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40A28149-80F7-4B14-B716-A7CF940872C9}" xr6:coauthVersionLast="45" xr6:coauthVersionMax="45" xr10:uidLastSave="{00000000-0000-0000-0000-000000000000}"/>
  <bookViews>
    <workbookView xWindow="-103" yWindow="-103" windowWidth="22149" windowHeight="11949" activeTab="5" xr2:uid="{00000000-000D-0000-FFFF-FFFF00000000}"/>
  </bookViews>
  <sheets>
    <sheet name="View" sheetId="43" r:id="rId1"/>
    <sheet name="Data_LastN" sheetId="42" r:id="rId2"/>
    <sheet name="Data_Teams" sheetId="41" r:id="rId3"/>
    <sheet name="Data_Roster" sheetId="40" r:id="rId4"/>
    <sheet name="Data_YoYAdv" sheetId="38" r:id="rId5"/>
    <sheet name="Data_Standings_2016-17" sheetId="37" r:id="rId6"/>
    <sheet name="Data_Standings_2017-18" sheetId="36" r:id="rId7"/>
    <sheet name="Data_Standings_2018-19" sheetId="35" r:id="rId8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" i="43" l="1"/>
  <c r="E1" i="43"/>
  <c r="C1" i="43"/>
</calcChain>
</file>

<file path=xl/sharedStrings.xml><?xml version="1.0" encoding="utf-8"?>
<sst xmlns="http://schemas.openxmlformats.org/spreadsheetml/2006/main" count="5450" uniqueCount="1609">
  <si>
    <t>LEAGUE_ID</t>
  </si>
  <si>
    <t>TEAM_ID</t>
  </si>
  <si>
    <t>MIN_YEAR</t>
  </si>
  <si>
    <t>MAX_YEAR</t>
  </si>
  <si>
    <t>ATL</t>
  </si>
  <si>
    <t>BOS</t>
  </si>
  <si>
    <t>NOP</t>
  </si>
  <si>
    <t>CHI</t>
  </si>
  <si>
    <t>DAL</t>
  </si>
  <si>
    <t>DEN</t>
  </si>
  <si>
    <t>HOU</t>
  </si>
  <si>
    <t>LAC</t>
  </si>
  <si>
    <t>LAL</t>
  </si>
  <si>
    <t>MIA</t>
  </si>
  <si>
    <t>MIL</t>
  </si>
  <si>
    <t>MIN</t>
  </si>
  <si>
    <t>BKN</t>
  </si>
  <si>
    <t>NYK</t>
  </si>
  <si>
    <t>ORL</t>
  </si>
  <si>
    <t>IND</t>
  </si>
  <si>
    <t>PHI</t>
  </si>
  <si>
    <t>PHX</t>
  </si>
  <si>
    <t>POR</t>
  </si>
  <si>
    <t>SAC</t>
  </si>
  <si>
    <t>SAS</t>
  </si>
  <si>
    <t>OKC</t>
  </si>
  <si>
    <t>TOR</t>
  </si>
  <si>
    <t>UTA</t>
  </si>
  <si>
    <t>MEM</t>
  </si>
  <si>
    <t>WAS</t>
  </si>
  <si>
    <t>DET</t>
  </si>
  <si>
    <t>CHA</t>
  </si>
  <si>
    <t>CLE</t>
  </si>
  <si>
    <t>GSW</t>
  </si>
  <si>
    <t>TeamID</t>
  </si>
  <si>
    <t>SEASON</t>
  </si>
  <si>
    <t>LeagueID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</si>
  <si>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</si>
  <si>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</si>
  <si>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</si>
  <si>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</si>
  <si>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</si>
  <si>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</si>
  <si>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</si>
  <si>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</si>
  <si>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</si>
  <si>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</si>
  <si>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</si>
  <si>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00</t>
  </si>
  <si>
    <t>1</t>
  </si>
  <si>
    <t>F</t>
  </si>
  <si>
    <t>6-6</t>
  </si>
  <si>
    <t>R</t>
  </si>
  <si>
    <t>2</t>
  </si>
  <si>
    <t>G</t>
  </si>
  <si>
    <t>6-4</t>
  </si>
  <si>
    <t>9</t>
  </si>
  <si>
    <t>Kentucky</t>
  </si>
  <si>
    <t>3</t>
  </si>
  <si>
    <t>6-5</t>
  </si>
  <si>
    <t>4</t>
  </si>
  <si>
    <t>5-9</t>
  </si>
  <si>
    <t>8</t>
  </si>
  <si>
    <t>Washington</t>
  </si>
  <si>
    <t>5</t>
  </si>
  <si>
    <t>6</t>
  </si>
  <si>
    <t>6-7</t>
  </si>
  <si>
    <t>Virginia</t>
  </si>
  <si>
    <t>6-8</t>
  </si>
  <si>
    <t>13</t>
  </si>
  <si>
    <t>C</t>
  </si>
  <si>
    <t>6-10</t>
  </si>
  <si>
    <t>Indiana</t>
  </si>
  <si>
    <t>6-3</t>
  </si>
  <si>
    <t>Villanova</t>
  </si>
  <si>
    <t>17</t>
  </si>
  <si>
    <t xml:space="preserve"> </t>
  </si>
  <si>
    <t>21</t>
  </si>
  <si>
    <t>6-11</t>
  </si>
  <si>
    <t>Michigan</t>
  </si>
  <si>
    <t>24</t>
  </si>
  <si>
    <t>12</t>
  </si>
  <si>
    <t>34</t>
  </si>
  <si>
    <t>225</t>
  </si>
  <si>
    <t>1949</t>
  </si>
  <si>
    <t>1946</t>
  </si>
  <si>
    <t>2002</t>
  </si>
  <si>
    <t>1966</t>
  </si>
  <si>
    <t>1980</t>
  </si>
  <si>
    <t>1976</t>
  </si>
  <si>
    <t>1967</t>
  </si>
  <si>
    <t>1970</t>
  </si>
  <si>
    <t>1948</t>
  </si>
  <si>
    <t>1988</t>
  </si>
  <si>
    <t>1968</t>
  </si>
  <si>
    <t>1989</t>
  </si>
  <si>
    <t>1995</t>
  </si>
  <si>
    <t>1974</t>
  </si>
  <si>
    <t>1961</t>
  </si>
  <si>
    <t>1950</t>
  </si>
  <si>
    <t>1947</t>
  </si>
  <si>
    <t>1954</t>
  </si>
  <si>
    <t>1952</t>
  </si>
  <si>
    <t>GROUP_SET</t>
  </si>
  <si>
    <t>GROUP_VALUE</t>
  </si>
  <si>
    <t>GP</t>
  </si>
  <si>
    <t>W</t>
  </si>
  <si>
    <t>L</t>
  </si>
  <si>
    <t>W_PCT</t>
  </si>
  <si>
    <t>GP_RANK</t>
  </si>
  <si>
    <t>W_RANK</t>
  </si>
  <si>
    <t>L_RANK</t>
  </si>
  <si>
    <t>W_PCT_RANK</t>
  </si>
  <si>
    <t>MIN_RANK</t>
  </si>
  <si>
    <t>CFID</t>
  </si>
  <si>
    <t>CFPARAMS</t>
  </si>
  <si>
    <t>2018-19</t>
  </si>
  <si>
    <t>By Year</t>
  </si>
  <si>
    <t>2017-18</t>
  </si>
  <si>
    <t>2016-17</t>
  </si>
  <si>
    <t>2015-16</t>
  </si>
  <si>
    <t>2014-15</t>
  </si>
  <si>
    <t>2013-14</t>
  </si>
  <si>
    <t>2012-13</t>
  </si>
  <si>
    <t>2011-12</t>
  </si>
  <si>
    <t>2010-11</t>
  </si>
  <si>
    <t>2009-10</t>
  </si>
  <si>
    <t>2008-09</t>
  </si>
  <si>
    <t>2007-08</t>
  </si>
  <si>
    <t>2006-07</t>
  </si>
  <si>
    <t>2005-06</t>
  </si>
  <si>
    <t>2004-05</t>
  </si>
  <si>
    <t>2003-04</t>
  </si>
  <si>
    <t>2002-03</t>
  </si>
  <si>
    <t>2001-02</t>
  </si>
  <si>
    <t>2000-01</t>
  </si>
  <si>
    <t>1999-00</t>
  </si>
  <si>
    <t>1998-99</t>
  </si>
  <si>
    <t>1997-98</t>
  </si>
  <si>
    <t>1996-97</t>
  </si>
  <si>
    <t>SeasonID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</si>
  <si>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</si>
  <si>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</si>
  <si>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</si>
  <si>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</si>
  <si>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</si>
  <si>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</si>
  <si>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</si>
  <si>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</si>
  <si>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</si>
  <si>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</si>
  <si>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</si>
  <si>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</si>
  <si>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</si>
  <si>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</si>
  <si>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</si>
  <si>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</si>
  <si>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</si>
  <si>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</si>
  <si>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</si>
  <si>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</si>
  <si>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</si>
  <si>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</si>
  <si>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</si>
  <si>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</si>
  <si>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</si>
  <si>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</si>
  <si>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</si>
  <si>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</si>
  <si>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</si>
  <si>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</si>
  <si>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</si>
  <si>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</si>
  <si>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</si>
  <si>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</si>
  <si>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</si>
  <si>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</si>
  <si>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</si>
  <si>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</si>
  <si>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</si>
  <si>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</si>
  <si>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</si>
  <si>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</si>
  <si>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</si>
  <si>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</si>
  <si>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</si>
  <si>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</si>
  <si>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</si>
  <si>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</si>
  <si>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</si>
  <si>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</si>
  <si>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</si>
  <si>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</si>
  <si>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</si>
  <si>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</si>
  <si>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</si>
  <si>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</si>
  <si>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</si>
  <si>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</si>
  <si>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</si>
  <si>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</si>
  <si>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</si>
  <si>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</si>
  <si>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</si>
  <si>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</si>
  <si>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</si>
  <si>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</si>
  <si>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</si>
  <si>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</si>
  <si>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</si>
  <si>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</si>
  <si>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</si>
  <si>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</si>
  <si>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</si>
  <si>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</si>
  <si>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</si>
  <si>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</si>
  <si>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</si>
  <si>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</si>
  <si>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22018</t>
  </si>
  <si>
    <t>Golden State</t>
  </si>
  <si>
    <t>Warriors</t>
  </si>
  <si>
    <t>West</t>
  </si>
  <si>
    <t>35-17</t>
  </si>
  <si>
    <t xml:space="preserve"> - w</t>
  </si>
  <si>
    <t>Pacific</t>
  </si>
  <si>
    <t xml:space="preserve">13-3 </t>
  </si>
  <si>
    <t>57-25</t>
  </si>
  <si>
    <t>30-11</t>
  </si>
  <si>
    <t>27-14</t>
  </si>
  <si>
    <t xml:space="preserve">8-2  </t>
  </si>
  <si>
    <t xml:space="preserve">7-3  </t>
  </si>
  <si>
    <t xml:space="preserve">0-5  </t>
  </si>
  <si>
    <t xml:space="preserve">7-7  </t>
  </si>
  <si>
    <t>34-10</t>
  </si>
  <si>
    <t>W 6</t>
  </si>
  <si>
    <t>W 11</t>
  </si>
  <si>
    <t>W 5</t>
  </si>
  <si>
    <t>L 1</t>
  </si>
  <si>
    <t xml:space="preserve">43-6 </t>
  </si>
  <si>
    <t>11-19</t>
  </si>
  <si>
    <t xml:space="preserve">3-0  </t>
  </si>
  <si>
    <t xml:space="preserve">49-5 </t>
  </si>
  <si>
    <t xml:space="preserve">8-19 </t>
  </si>
  <si>
    <t xml:space="preserve">0-1 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</si>
  <si>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</si>
  <si>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</si>
  <si>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</si>
  <si>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</si>
  <si>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</si>
  <si>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</si>
  <si>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</si>
  <si>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8-2</t>
  </si>
  <si>
    <t>12-6</t>
  </si>
  <si>
    <t>13-3</t>
  </si>
  <si>
    <t>10-8</t>
  </si>
  <si>
    <t>11-2</t>
  </si>
  <si>
    <t>7-4</t>
  </si>
  <si>
    <t>9-5</t>
  </si>
  <si>
    <t>5-1</t>
  </si>
  <si>
    <t>8-1</t>
  </si>
  <si>
    <t>7-7</t>
  </si>
  <si>
    <t>10-5</t>
  </si>
  <si>
    <t>41-16</t>
  </si>
  <si>
    <t>16-9</t>
  </si>
  <si>
    <t>Milwaukee</t>
  </si>
  <si>
    <t>Bucks</t>
  </si>
  <si>
    <t>East</t>
  </si>
  <si>
    <t>40-12</t>
  </si>
  <si>
    <t xml:space="preserve"> - e</t>
  </si>
  <si>
    <t>Central</t>
  </si>
  <si>
    <t xml:space="preserve">14-2 </t>
  </si>
  <si>
    <t>60-22</t>
  </si>
  <si>
    <t xml:space="preserve">33-8 </t>
  </si>
  <si>
    <t xml:space="preserve">5-5  </t>
  </si>
  <si>
    <t xml:space="preserve">1-3  </t>
  </si>
  <si>
    <t xml:space="preserve">5-6  </t>
  </si>
  <si>
    <t xml:space="preserve">45-5 </t>
  </si>
  <si>
    <t>W 10</t>
  </si>
  <si>
    <t>W 2</t>
  </si>
  <si>
    <t xml:space="preserve">47-7 </t>
  </si>
  <si>
    <t>13-15</t>
  </si>
  <si>
    <t xml:space="preserve">0-0  </t>
  </si>
  <si>
    <t xml:space="preserve">51-3 </t>
  </si>
  <si>
    <t xml:space="preserve">8-18 </t>
  </si>
  <si>
    <t xml:space="preserve">1-1 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</si>
  <si>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</si>
  <si>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</si>
  <si>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</si>
  <si>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</si>
  <si>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</si>
  <si>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</si>
  <si>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</si>
  <si>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</si>
  <si>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</si>
  <si>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12-3</t>
  </si>
  <si>
    <t>10-1</t>
  </si>
  <si>
    <t>10-6</t>
  </si>
  <si>
    <t>3-2</t>
  </si>
  <si>
    <t>7-0</t>
  </si>
  <si>
    <t>8-6</t>
  </si>
  <si>
    <t>10-4</t>
  </si>
  <si>
    <t>43-14</t>
  </si>
  <si>
    <t>17-8</t>
  </si>
  <si>
    <t>Toronto</t>
  </si>
  <si>
    <t>Raptors</t>
  </si>
  <si>
    <t>36-16</t>
  </si>
  <si>
    <t xml:space="preserve"> - a</t>
  </si>
  <si>
    <t>Atlantic</t>
  </si>
  <si>
    <t xml:space="preserve">12-4 </t>
  </si>
  <si>
    <t>58-24</t>
  </si>
  <si>
    <t xml:space="preserve">32-9 </t>
  </si>
  <si>
    <t>26-15</t>
  </si>
  <si>
    <t xml:space="preserve">4-3  </t>
  </si>
  <si>
    <t xml:space="preserve">11-7 </t>
  </si>
  <si>
    <t xml:space="preserve">33-9 </t>
  </si>
  <si>
    <t>W 3</t>
  </si>
  <si>
    <t>W 1</t>
  </si>
  <si>
    <t xml:space="preserve">45-4 </t>
  </si>
  <si>
    <t>13-19</t>
  </si>
  <si>
    <t xml:space="preserve">50-6 </t>
  </si>
  <si>
    <t xml:space="preserve">7-18 </t>
  </si>
  <si>
    <t xml:space="preserve">1-0 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</si>
  <si>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</si>
  <si>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</si>
  <si>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</si>
  <si>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</si>
  <si>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</si>
  <si>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</si>
  <si>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</si>
  <si>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</si>
  <si>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</si>
  <si>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</si>
  <si>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4-1</t>
  </si>
  <si>
    <t>7-1</t>
  </si>
  <si>
    <t>8-7</t>
  </si>
  <si>
    <t>43-16</t>
  </si>
  <si>
    <t>15-8</t>
  </si>
  <si>
    <t>Denver</t>
  </si>
  <si>
    <t>Nuggets</t>
  </si>
  <si>
    <t>34-18</t>
  </si>
  <si>
    <t xml:space="preserve"> - nw</t>
  </si>
  <si>
    <t>Northwest</t>
  </si>
  <si>
    <t>54-28</t>
  </si>
  <si>
    <t xml:space="preserve">34-7 </t>
  </si>
  <si>
    <t>20-21</t>
  </si>
  <si>
    <t xml:space="preserve">4-6  </t>
  </si>
  <si>
    <t xml:space="preserve">2-0  </t>
  </si>
  <si>
    <t>23-11</t>
  </si>
  <si>
    <t>W 12</t>
  </si>
  <si>
    <t>L 3</t>
  </si>
  <si>
    <t xml:space="preserve">40-5 </t>
  </si>
  <si>
    <t>14-22</t>
  </si>
  <si>
    <t xml:space="preserve">43-1 </t>
  </si>
  <si>
    <t xml:space="preserve">7-26 </t>
  </si>
  <si>
    <t xml:space="preserve">4-1  </t>
  </si>
  <si>
    <t>50-20</t>
  </si>
  <si>
    <t>29-26</t>
  </si>
  <si>
    <t>32-19</t>
  </si>
  <si>
    <t xml:space="preserve">42-4 </t>
  </si>
  <si>
    <t>40-11</t>
  </si>
  <si>
    <t>26-14</t>
  </si>
  <si>
    <t>7-3</t>
  </si>
  <si>
    <t>3-3</t>
  </si>
  <si>
    <t>6-1</t>
  </si>
  <si>
    <t>8-4</t>
  </si>
  <si>
    <t>39-18</t>
  </si>
  <si>
    <t>15-10</t>
  </si>
  <si>
    <t>Philadelphia</t>
  </si>
  <si>
    <t>76ers</t>
  </si>
  <si>
    <t>31-21</t>
  </si>
  <si>
    <t xml:space="preserve"> - x</t>
  </si>
  <si>
    <t xml:space="preserve">8-8  </t>
  </si>
  <si>
    <t>51-31</t>
  </si>
  <si>
    <t>31-10</t>
  </si>
  <si>
    <t xml:space="preserve">2-3  </t>
  </si>
  <si>
    <t xml:space="preserve">10-8 </t>
  </si>
  <si>
    <t>22-16</t>
  </si>
  <si>
    <t>L 5</t>
  </si>
  <si>
    <t xml:space="preserve">42-7 </t>
  </si>
  <si>
    <t xml:space="preserve">6-22 </t>
  </si>
  <si>
    <t xml:space="preserve">3-2 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</si>
  <si>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</si>
  <si>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</si>
  <si>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</si>
  <si>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</si>
  <si>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</si>
  <si>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</si>
  <si>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</si>
  <si>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11-4</t>
  </si>
  <si>
    <t>2-4</t>
  </si>
  <si>
    <t>4-4</t>
  </si>
  <si>
    <t>7-6</t>
  </si>
  <si>
    <t>37-21</t>
  </si>
  <si>
    <t>14-10</t>
  </si>
  <si>
    <t>Portland</t>
  </si>
  <si>
    <t>Trail Blazers</t>
  </si>
  <si>
    <t>29-23</t>
  </si>
  <si>
    <t xml:space="preserve">6-10 </t>
  </si>
  <si>
    <t>53-29</t>
  </si>
  <si>
    <t>21-20</t>
  </si>
  <si>
    <t xml:space="preserve">9-1  </t>
  </si>
  <si>
    <t xml:space="preserve">6-4  </t>
  </si>
  <si>
    <t xml:space="preserve">4-2  </t>
  </si>
  <si>
    <t xml:space="preserve">29-8 </t>
  </si>
  <si>
    <t>W 8</t>
  </si>
  <si>
    <t>L 6</t>
  </si>
  <si>
    <t>41-10</t>
  </si>
  <si>
    <t>10-18</t>
  </si>
  <si>
    <t xml:space="preserve">2-1  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</si>
  <si>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</si>
  <si>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</si>
  <si>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</si>
  <si>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</si>
  <si>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</si>
  <si>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</si>
  <si>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</si>
  <si>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</si>
  <si>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</si>
  <si>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</si>
  <si>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5-2</t>
  </si>
  <si>
    <t>34-23</t>
  </si>
  <si>
    <t>19-6</t>
  </si>
  <si>
    <t>Houston</t>
  </si>
  <si>
    <t>Rockets</t>
  </si>
  <si>
    <t>32-20</t>
  </si>
  <si>
    <t xml:space="preserve"> - sw</t>
  </si>
  <si>
    <t>Southwest</t>
  </si>
  <si>
    <t xml:space="preserve">10-6 </t>
  </si>
  <si>
    <t>22-19</t>
  </si>
  <si>
    <t xml:space="preserve">2-4  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</si>
  <si>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</si>
  <si>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</si>
  <si>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</si>
  <si>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</si>
  <si>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</si>
  <si>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</si>
  <si>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</si>
  <si>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 xml:space="preserve">1-2  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</si>
  <si>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</si>
  <si>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</si>
  <si>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</si>
  <si>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</si>
  <si>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</si>
  <si>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</si>
  <si>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</si>
  <si>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</si>
  <si>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</si>
  <si>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Boston</t>
  </si>
  <si>
    <t>Celtics</t>
  </si>
  <si>
    <t>49-33</t>
  </si>
  <si>
    <t>28-13</t>
  </si>
  <si>
    <t xml:space="preserve">4-0  </t>
  </si>
  <si>
    <t>24-12</t>
  </si>
  <si>
    <t>W 4</t>
  </si>
  <si>
    <t>38-11</t>
  </si>
  <si>
    <t xml:space="preserve">9-21 </t>
  </si>
  <si>
    <t xml:space="preserve">42-5 </t>
  </si>
  <si>
    <t xml:space="preserve">0-2  </t>
  </si>
  <si>
    <t>49-24</t>
  </si>
  <si>
    <t>33-29</t>
  </si>
  <si>
    <t>24-21</t>
  </si>
  <si>
    <t xml:space="preserve">41-9 </t>
  </si>
  <si>
    <t>30-19</t>
  </si>
  <si>
    <t>14-16</t>
  </si>
  <si>
    <t>4-6</t>
  </si>
  <si>
    <t>5-5</t>
  </si>
  <si>
    <t>5-6</t>
  </si>
  <si>
    <t>7-8</t>
  </si>
  <si>
    <t>12-12</t>
  </si>
  <si>
    <t>Pacers</t>
  </si>
  <si>
    <t>33-19</t>
  </si>
  <si>
    <t xml:space="preserve">11-5 </t>
  </si>
  <si>
    <t>48-34</t>
  </si>
  <si>
    <t>19-22</t>
  </si>
  <si>
    <t xml:space="preserve">2-8  </t>
  </si>
  <si>
    <t xml:space="preserve">6-6  </t>
  </si>
  <si>
    <t>23-16</t>
  </si>
  <si>
    <t>L 10</t>
  </si>
  <si>
    <t>L 2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</si>
  <si>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</si>
  <si>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</si>
  <si>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</si>
  <si>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</si>
  <si>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</si>
  <si>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</si>
  <si>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</si>
  <si>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</si>
  <si>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</si>
  <si>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</si>
  <si>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</si>
  <si>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</si>
  <si>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</si>
  <si>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</si>
  <si>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</si>
  <si>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5-3</t>
  </si>
  <si>
    <t>38-20</t>
  </si>
  <si>
    <t>10-14</t>
  </si>
  <si>
    <t>Utah</t>
  </si>
  <si>
    <t>Jazz</t>
  </si>
  <si>
    <t>30-22</t>
  </si>
  <si>
    <t>50-32</t>
  </si>
  <si>
    <t xml:space="preserve">0-7  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</si>
  <si>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</si>
  <si>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</si>
  <si>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</si>
  <si>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</si>
  <si>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</si>
  <si>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</si>
  <si>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</si>
  <si>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</si>
  <si>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</si>
  <si>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</si>
  <si>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4-2</t>
  </si>
  <si>
    <t>4-3</t>
  </si>
  <si>
    <t>7-9</t>
  </si>
  <si>
    <t>32-25</t>
  </si>
  <si>
    <t>18-7</t>
  </si>
  <si>
    <t>Oklahoma City</t>
  </si>
  <si>
    <t>Thunder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</si>
  <si>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</si>
  <si>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</si>
  <si>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</si>
  <si>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</si>
  <si>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</si>
  <si>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</si>
  <si>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</si>
  <si>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</si>
  <si>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</si>
  <si>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</si>
  <si>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</si>
  <si>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</si>
  <si>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</si>
  <si>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</si>
  <si>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</si>
  <si>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</si>
  <si>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</si>
  <si>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Brooklyn</t>
  </si>
  <si>
    <t>Nets</t>
  </si>
  <si>
    <t>42-40</t>
  </si>
  <si>
    <t>23-18</t>
  </si>
  <si>
    <t xml:space="preserve">5-2  </t>
  </si>
  <si>
    <t xml:space="preserve">12-8 </t>
  </si>
  <si>
    <t>16-22</t>
  </si>
  <si>
    <t>W 9</t>
  </si>
  <si>
    <t>L 4</t>
  </si>
  <si>
    <t xml:space="preserve">8-28 </t>
  </si>
  <si>
    <t xml:space="preserve">5-4  </t>
  </si>
  <si>
    <t xml:space="preserve">33-6 </t>
  </si>
  <si>
    <t xml:space="preserve">7-32 </t>
  </si>
  <si>
    <t xml:space="preserve">2-2  </t>
  </si>
  <si>
    <t>41-28</t>
  </si>
  <si>
    <t>29-39</t>
  </si>
  <si>
    <t>17-25</t>
  </si>
  <si>
    <t xml:space="preserve">28-7 </t>
  </si>
  <si>
    <t xml:space="preserve">21-9 </t>
  </si>
  <si>
    <t>13-17</t>
  </si>
  <si>
    <t>2-8</t>
  </si>
  <si>
    <t>3-5</t>
  </si>
  <si>
    <t>5-10</t>
  </si>
  <si>
    <t>30-29</t>
  </si>
  <si>
    <t>12-11</t>
  </si>
  <si>
    <t>Orlando</t>
  </si>
  <si>
    <t>Magic</t>
  </si>
  <si>
    <t xml:space="preserve"> - se</t>
  </si>
  <si>
    <t>Southeast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</si>
  <si>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</si>
  <si>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</si>
  <si>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</si>
  <si>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</si>
  <si>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</si>
  <si>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</si>
  <si>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</si>
  <si>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</si>
  <si>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</si>
  <si>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</si>
  <si>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5-11</t>
  </si>
  <si>
    <t>8-3</t>
  </si>
  <si>
    <t>2-5</t>
  </si>
  <si>
    <t>5-8</t>
  </si>
  <si>
    <t>27-32</t>
  </si>
  <si>
    <t>San Antonio</t>
  </si>
  <si>
    <t>Spurs</t>
  </si>
  <si>
    <t>16-25</t>
  </si>
  <si>
    <t xml:space="preserve">3-1  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</si>
  <si>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</si>
  <si>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</si>
  <si>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</si>
  <si>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</si>
  <si>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</si>
  <si>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</si>
  <si>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</si>
  <si>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</si>
  <si>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</si>
  <si>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3-7</t>
  </si>
  <si>
    <t>33-26</t>
  </si>
  <si>
    <t>Detroit</t>
  </si>
  <si>
    <t>Pistons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</si>
  <si>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</si>
  <si>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</si>
  <si>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</si>
  <si>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</si>
  <si>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</si>
  <si>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</si>
  <si>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</si>
  <si>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</si>
  <si>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</si>
  <si>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</si>
  <si>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</si>
  <si>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</si>
  <si>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</si>
  <si>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</si>
  <si>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</si>
  <si>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</si>
  <si>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</si>
  <si>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LA</t>
  </si>
  <si>
    <t>Clippers</t>
  </si>
  <si>
    <t xml:space="preserve">5-1  </t>
  </si>
  <si>
    <t xml:space="preserve">6-2  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</si>
  <si>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</si>
  <si>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</si>
  <si>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</si>
  <si>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</si>
  <si>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</si>
  <si>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</si>
  <si>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</si>
  <si>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</si>
  <si>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</si>
  <si>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</si>
  <si>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</si>
  <si>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1-3</t>
  </si>
  <si>
    <t>11-3</t>
  </si>
  <si>
    <t>6-9</t>
  </si>
  <si>
    <t>32-27</t>
  </si>
  <si>
    <t>16-7</t>
  </si>
  <si>
    <t>Charlotte</t>
  </si>
  <si>
    <t>Hornets</t>
  </si>
  <si>
    <t xml:space="preserve"> - o</t>
  </si>
  <si>
    <t>39-43</t>
  </si>
  <si>
    <t>14-27</t>
  </si>
  <si>
    <t xml:space="preserve">1-4  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</si>
  <si>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</si>
  <si>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</si>
  <si>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</si>
  <si>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</si>
  <si>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</si>
  <si>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</si>
  <si>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</si>
  <si>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</si>
  <si>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</si>
  <si>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4-7</t>
  </si>
  <si>
    <t>27-30</t>
  </si>
  <si>
    <t>Sacramento</t>
  </si>
  <si>
    <t>Kings</t>
  </si>
  <si>
    <t>21-31</t>
  </si>
  <si>
    <t xml:space="preserve">4-12 </t>
  </si>
  <si>
    <t>24-17</t>
  </si>
  <si>
    <t xml:space="preserve">3-7  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</si>
  <si>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</si>
  <si>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</si>
  <si>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</si>
  <si>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</si>
  <si>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</si>
  <si>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</si>
  <si>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</si>
  <si>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</si>
  <si>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</si>
  <si>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</si>
  <si>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</si>
  <si>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1-4</t>
  </si>
  <si>
    <t>30-27</t>
  </si>
  <si>
    <t>9-16</t>
  </si>
  <si>
    <t>Los Angeles</t>
  </si>
  <si>
    <t>Lakers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</si>
  <si>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</si>
  <si>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</si>
  <si>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</si>
  <si>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</si>
  <si>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</si>
  <si>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</si>
  <si>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</si>
  <si>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</si>
  <si>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</si>
  <si>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</si>
  <si>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</si>
  <si>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</si>
  <si>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</si>
  <si>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3-6</t>
  </si>
  <si>
    <t>2-3</t>
  </si>
  <si>
    <t>28-29</t>
  </si>
  <si>
    <t>Miami</t>
  </si>
  <si>
    <t>Heat</t>
  </si>
  <si>
    <t>23-29</t>
  </si>
  <si>
    <t xml:space="preserve">7-9  </t>
  </si>
  <si>
    <t>16-20</t>
  </si>
  <si>
    <t>11-24</t>
  </si>
  <si>
    <t xml:space="preserve">5-3  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</si>
  <si>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</si>
  <si>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</si>
  <si>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</si>
  <si>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</si>
  <si>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</si>
  <si>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</si>
  <si>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</si>
  <si>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</si>
  <si>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</si>
  <si>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</si>
  <si>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3-4</t>
  </si>
  <si>
    <t>13-13</t>
  </si>
  <si>
    <t>Wizards</t>
  </si>
  <si>
    <t>19-33</t>
  </si>
  <si>
    <t>32-50</t>
  </si>
  <si>
    <t xml:space="preserve">3-4  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</si>
  <si>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</si>
  <si>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</si>
  <si>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</si>
  <si>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</si>
  <si>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</si>
  <si>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</si>
  <si>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</si>
  <si>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</si>
  <si>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</si>
  <si>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</si>
  <si>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</si>
  <si>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</si>
  <si>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</si>
  <si>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0-4</t>
  </si>
  <si>
    <t>1-6</t>
  </si>
  <si>
    <t>24-34</t>
  </si>
  <si>
    <t>8-16</t>
  </si>
  <si>
    <t>Minnesota</t>
  </si>
  <si>
    <t>Timberwolves</t>
  </si>
  <si>
    <t>22-30</t>
  </si>
  <si>
    <t xml:space="preserve">5-11 </t>
  </si>
  <si>
    <t>36-46</t>
  </si>
  <si>
    <t>11-30</t>
  </si>
  <si>
    <t xml:space="preserve">3-3  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</si>
  <si>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</si>
  <si>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</si>
  <si>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</si>
  <si>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</si>
  <si>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</si>
  <si>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</si>
  <si>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</si>
  <si>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</si>
  <si>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</si>
  <si>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</si>
  <si>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</si>
  <si>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</si>
  <si>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Memphis</t>
  </si>
  <si>
    <t>Grizzlies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</si>
  <si>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</si>
  <si>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</si>
  <si>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</si>
  <si>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</si>
  <si>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</si>
  <si>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</si>
  <si>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</si>
  <si>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</si>
  <si>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</si>
  <si>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</si>
  <si>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</si>
  <si>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</si>
  <si>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</si>
  <si>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</si>
  <si>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</si>
  <si>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</si>
  <si>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Atlanta</t>
  </si>
  <si>
    <t>Hawks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</si>
  <si>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</si>
  <si>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</si>
  <si>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</si>
  <si>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</si>
  <si>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</si>
  <si>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</si>
  <si>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0-3  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</si>
  <si>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</si>
  <si>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</si>
  <si>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</si>
  <si>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</si>
  <si>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</si>
  <si>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</si>
  <si>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</si>
  <si>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</si>
  <si>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</si>
  <si>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19-39</t>
  </si>
  <si>
    <t>New Orleans</t>
  </si>
  <si>
    <t>Pelicans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</si>
  <si>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</si>
  <si>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</si>
  <si>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</si>
  <si>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</si>
  <si>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</si>
  <si>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</si>
  <si>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</si>
  <si>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</si>
  <si>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</si>
  <si>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</si>
  <si>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</si>
  <si>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</si>
  <si>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</si>
  <si>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</si>
  <si>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>Chicago</t>
  </si>
  <si>
    <t>Bulls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</si>
  <si>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</si>
  <si>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</si>
  <si>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</si>
  <si>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</si>
  <si>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</si>
  <si>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</si>
  <si>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</si>
  <si>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</si>
  <si>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</si>
  <si>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</si>
  <si>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</si>
  <si>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</si>
  <si>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</si>
  <si>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</si>
  <si>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</si>
  <si>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</si>
  <si>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</si>
  <si>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</si>
  <si>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</si>
  <si>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Cleveland</t>
  </si>
  <si>
    <t>Cavaliers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</si>
  <si>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</si>
  <si>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</si>
  <si>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</si>
  <si>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</si>
  <si>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</si>
  <si>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</si>
  <si>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1-5 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</si>
  <si>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</si>
  <si>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</si>
  <si>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</si>
  <si>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</si>
  <si>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</si>
  <si>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</si>
  <si>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</si>
  <si>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</si>
  <si>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</si>
  <si>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0-5</t>
  </si>
  <si>
    <t>3-11</t>
  </si>
  <si>
    <t>12-46</t>
  </si>
  <si>
    <t>7-17</t>
  </si>
  <si>
    <t>Dallas</t>
  </si>
  <si>
    <t>Mavericks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</si>
  <si>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</si>
  <si>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</si>
  <si>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</si>
  <si>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</si>
  <si>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</si>
  <si>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</si>
  <si>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</si>
  <si>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</si>
  <si>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</si>
  <si>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</si>
  <si>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</si>
  <si>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New York</t>
  </si>
  <si>
    <t>Knicks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</si>
  <si>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</si>
  <si>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</si>
  <si>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</si>
  <si>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</si>
  <si>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</si>
  <si>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</si>
  <si>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</si>
  <si>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</si>
  <si>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</si>
  <si>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</si>
  <si>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</si>
  <si>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</si>
  <si>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</si>
  <si>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</si>
  <si>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</si>
  <si>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</si>
  <si>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</si>
  <si>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</si>
  <si>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</si>
  <si>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</si>
  <si>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</si>
  <si>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</si>
  <si>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>Phoenix</t>
  </si>
  <si>
    <t>Suns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</si>
  <si>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</si>
  <si>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</si>
  <si>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</si>
  <si>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</si>
  <si>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</si>
  <si>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</si>
  <si>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</si>
  <si>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</si>
  <si>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</si>
  <si>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</si>
  <si>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</si>
  <si>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</si>
  <si>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</si>
  <si>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</si>
  <si>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</si>
  <si>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</si>
  <si>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</si>
  <si>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</si>
  <si>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</si>
  <si>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</si>
  <si>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</si>
  <si>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</si>
  <si>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</si>
  <si>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</si>
  <si>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</si>
  <si>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</si>
  <si>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</si>
  <si>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</si>
  <si>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</si>
  <si>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</si>
  <si>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</si>
  <si>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</si>
  <si>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</si>
  <si>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</si>
  <si>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</si>
  <si>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</si>
  <si>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</si>
  <si>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</si>
  <si>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</si>
  <si>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</si>
  <si>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</si>
  <si>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</si>
  <si>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</si>
  <si>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</si>
  <si>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</si>
  <si>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</si>
  <si>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</si>
  <si>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</si>
  <si>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</si>
  <si>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</si>
  <si>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</si>
  <si>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22017</t>
  </si>
  <si>
    <t>59-23</t>
  </si>
  <si>
    <t xml:space="preserve">33-5 </t>
  </si>
  <si>
    <t>44-11</t>
  </si>
  <si>
    <t>14-11</t>
  </si>
  <si>
    <t xml:space="preserve">47-5 </t>
  </si>
  <si>
    <t>53-15</t>
  </si>
  <si>
    <t>31-18</t>
  </si>
  <si>
    <t>25-18</t>
  </si>
  <si>
    <t xml:space="preserve">42-8 </t>
  </si>
  <si>
    <t>9-2</t>
  </si>
  <si>
    <t>41-11</t>
  </si>
  <si>
    <t>65-17</t>
  </si>
  <si>
    <t xml:space="preserve">38-8 </t>
  </si>
  <si>
    <t>W 20</t>
  </si>
  <si>
    <t xml:space="preserve">51-6 </t>
  </si>
  <si>
    <t>11-11</t>
  </si>
  <si>
    <t xml:space="preserve">56-3 </t>
  </si>
  <si>
    <t xml:space="preserve">9-13 </t>
  </si>
  <si>
    <t>62-12</t>
  </si>
  <si>
    <t>33-14</t>
  </si>
  <si>
    <t>39-13</t>
  </si>
  <si>
    <t xml:space="preserve">37-7 </t>
  </si>
  <si>
    <t>16-2</t>
  </si>
  <si>
    <t>12-0</t>
  </si>
  <si>
    <t>14-1</t>
  </si>
  <si>
    <t>12-1</t>
  </si>
  <si>
    <t>44-13</t>
  </si>
  <si>
    <t>21-4</t>
  </si>
  <si>
    <t>55-27</t>
  </si>
  <si>
    <t xml:space="preserve">11-8 </t>
  </si>
  <si>
    <t>20-17</t>
  </si>
  <si>
    <t xml:space="preserve">41-4 </t>
  </si>
  <si>
    <t>13-21</t>
  </si>
  <si>
    <t>42-13</t>
  </si>
  <si>
    <t xml:space="preserve">36-5 </t>
  </si>
  <si>
    <t>7-5</t>
  </si>
  <si>
    <t>9-4</t>
  </si>
  <si>
    <t>11-6</t>
  </si>
  <si>
    <t>40-19</t>
  </si>
  <si>
    <t xml:space="preserve"> - p</t>
  </si>
  <si>
    <t>38-13</t>
  </si>
  <si>
    <t>W 14</t>
  </si>
  <si>
    <t xml:space="preserve">35-9 </t>
  </si>
  <si>
    <t>18-14</t>
  </si>
  <si>
    <t xml:space="preserve">53-5 </t>
  </si>
  <si>
    <t xml:space="preserve">4-16 </t>
  </si>
  <si>
    <t>55-15</t>
  </si>
  <si>
    <t>43-19</t>
  </si>
  <si>
    <t>28-18</t>
  </si>
  <si>
    <t xml:space="preserve">55-7 </t>
  </si>
  <si>
    <t xml:space="preserve">37-5 </t>
  </si>
  <si>
    <t>44-14</t>
  </si>
  <si>
    <t>20-12</t>
  </si>
  <si>
    <t>39-12</t>
  </si>
  <si>
    <t xml:space="preserve">36-9 </t>
  </si>
  <si>
    <t xml:space="preserve">9-23 </t>
  </si>
  <si>
    <t>44-18</t>
  </si>
  <si>
    <t>23-26</t>
  </si>
  <si>
    <t>25-26</t>
  </si>
  <si>
    <t>22-13</t>
  </si>
  <si>
    <t>15-3</t>
  </si>
  <si>
    <t>32-26</t>
  </si>
  <si>
    <t>17-7</t>
  </si>
  <si>
    <t>52-30</t>
  </si>
  <si>
    <t xml:space="preserve">10-0 </t>
  </si>
  <si>
    <t>31-11</t>
  </si>
  <si>
    <t>W 16</t>
  </si>
  <si>
    <t>42-11</t>
  </si>
  <si>
    <t>10-19</t>
  </si>
  <si>
    <t xml:space="preserve">44-9 </t>
  </si>
  <si>
    <t>49-18</t>
  </si>
  <si>
    <t>30-30</t>
  </si>
  <si>
    <t>26-21</t>
  </si>
  <si>
    <t>47-11</t>
  </si>
  <si>
    <t xml:space="preserve">17-7 </t>
  </si>
  <si>
    <t>30-25</t>
  </si>
  <si>
    <t>22-5</t>
  </si>
  <si>
    <t xml:space="preserve"> - c</t>
  </si>
  <si>
    <t>17-20</t>
  </si>
  <si>
    <t>W 13</t>
  </si>
  <si>
    <t xml:space="preserve">31-8 </t>
  </si>
  <si>
    <t xml:space="preserve">39-0 </t>
  </si>
  <si>
    <t xml:space="preserve">8-32 </t>
  </si>
  <si>
    <t>48-18</t>
  </si>
  <si>
    <t>34-29</t>
  </si>
  <si>
    <t>21-23</t>
  </si>
  <si>
    <t xml:space="preserve">24-8 </t>
  </si>
  <si>
    <t xml:space="preserve">27-9 </t>
  </si>
  <si>
    <t>34-22</t>
  </si>
  <si>
    <t>16-10</t>
  </si>
  <si>
    <t xml:space="preserve">8-10 </t>
  </si>
  <si>
    <t>24-11</t>
  </si>
  <si>
    <t>36-10</t>
  </si>
  <si>
    <t>11-21</t>
  </si>
  <si>
    <t xml:space="preserve">35-7 </t>
  </si>
  <si>
    <t>12-25</t>
  </si>
  <si>
    <t>26-29</t>
  </si>
  <si>
    <t>24-24</t>
  </si>
  <si>
    <t xml:space="preserve">32-4 </t>
  </si>
  <si>
    <t>34-11</t>
  </si>
  <si>
    <t>30-21</t>
  </si>
  <si>
    <t>4-9</t>
  </si>
  <si>
    <t>12-5</t>
  </si>
  <si>
    <t>20-16</t>
  </si>
  <si>
    <t>16-27</t>
  </si>
  <si>
    <t xml:space="preserve">40-4 </t>
  </si>
  <si>
    <t xml:space="preserve">7-29 </t>
  </si>
  <si>
    <t>39-16</t>
  </si>
  <si>
    <t>25-24</t>
  </si>
  <si>
    <t xml:space="preserve">38-4 </t>
  </si>
  <si>
    <t xml:space="preserve">27-7 </t>
  </si>
  <si>
    <t>34-21</t>
  </si>
  <si>
    <t>5-4</t>
  </si>
  <si>
    <t>33-25</t>
  </si>
  <si>
    <t>15-9</t>
  </si>
  <si>
    <t xml:space="preserve">4-5  </t>
  </si>
  <si>
    <t>31-19</t>
  </si>
  <si>
    <t xml:space="preserve">35-8 </t>
  </si>
  <si>
    <t>11-26</t>
  </si>
  <si>
    <t xml:space="preserve">44-6 </t>
  </si>
  <si>
    <t xml:space="preserve">4-27 </t>
  </si>
  <si>
    <t>26-24</t>
  </si>
  <si>
    <t>24-15</t>
  </si>
  <si>
    <t>30-28</t>
  </si>
  <si>
    <t>18-6</t>
  </si>
  <si>
    <t>44-38</t>
  </si>
  <si>
    <t xml:space="preserve">3-6  </t>
  </si>
  <si>
    <t xml:space="preserve">9-9  </t>
  </si>
  <si>
    <t>16-13</t>
  </si>
  <si>
    <t>31-14</t>
  </si>
  <si>
    <t>11-23</t>
  </si>
  <si>
    <t>32-10</t>
  </si>
  <si>
    <t xml:space="preserve">8-27 </t>
  </si>
  <si>
    <t>17-32</t>
  </si>
  <si>
    <t>18-27</t>
  </si>
  <si>
    <t>37-11</t>
  </si>
  <si>
    <t xml:space="preserve">7-2  </t>
  </si>
  <si>
    <t>19-16</t>
  </si>
  <si>
    <t xml:space="preserve">36-7 </t>
  </si>
  <si>
    <t>45-22</t>
  </si>
  <si>
    <t>36-32</t>
  </si>
  <si>
    <t>31-26</t>
  </si>
  <si>
    <t>28-10</t>
  </si>
  <si>
    <t>10-27</t>
  </si>
  <si>
    <t xml:space="preserve">6-1  </t>
  </si>
  <si>
    <t xml:space="preserve">6-30 </t>
  </si>
  <si>
    <t>27-33</t>
  </si>
  <si>
    <t>20-29</t>
  </si>
  <si>
    <t xml:space="preserve">39-9 </t>
  </si>
  <si>
    <t xml:space="preserve">22-7 </t>
  </si>
  <si>
    <t>33-18</t>
  </si>
  <si>
    <t>17-13</t>
  </si>
  <si>
    <t>47-35</t>
  </si>
  <si>
    <t>25-17</t>
  </si>
  <si>
    <t>12-24</t>
  </si>
  <si>
    <t xml:space="preserve">9-25 </t>
  </si>
  <si>
    <t>36-14</t>
  </si>
  <si>
    <t>15-25</t>
  </si>
  <si>
    <t>23-24</t>
  </si>
  <si>
    <t>32-14</t>
  </si>
  <si>
    <t>32-15</t>
  </si>
  <si>
    <t>2-7</t>
  </si>
  <si>
    <t>35-24</t>
  </si>
  <si>
    <t>32-13</t>
  </si>
  <si>
    <t xml:space="preserve">6-23 </t>
  </si>
  <si>
    <t>44-22</t>
  </si>
  <si>
    <t>28-31</t>
  </si>
  <si>
    <t>22-23</t>
  </si>
  <si>
    <t xml:space="preserve">35-5 </t>
  </si>
  <si>
    <t>33-21</t>
  </si>
  <si>
    <t>9-8</t>
  </si>
  <si>
    <t>36-25</t>
  </si>
  <si>
    <t>11-10</t>
  </si>
  <si>
    <t>43-39</t>
  </si>
  <si>
    <t>22-12</t>
  </si>
  <si>
    <t xml:space="preserve">31-9 </t>
  </si>
  <si>
    <t xml:space="preserve">4-30 </t>
  </si>
  <si>
    <t>40-20</t>
  </si>
  <si>
    <t>24-35</t>
  </si>
  <si>
    <t>24-20</t>
  </si>
  <si>
    <t>29-17</t>
  </si>
  <si>
    <t>10-15</t>
  </si>
  <si>
    <t>46-36</t>
  </si>
  <si>
    <t xml:space="preserve">10-5 </t>
  </si>
  <si>
    <t>21-15</t>
  </si>
  <si>
    <t>14-26</t>
  </si>
  <si>
    <t>39-26</t>
  </si>
  <si>
    <t>31-34</t>
  </si>
  <si>
    <t>23-23</t>
  </si>
  <si>
    <t xml:space="preserve">30-3 </t>
  </si>
  <si>
    <t>31-20</t>
  </si>
  <si>
    <t>19-23</t>
  </si>
  <si>
    <t>L 12</t>
  </si>
  <si>
    <t xml:space="preserve">32-3 </t>
  </si>
  <si>
    <t>35-19</t>
  </si>
  <si>
    <t>17-37</t>
  </si>
  <si>
    <t>18-29</t>
  </si>
  <si>
    <t xml:space="preserve">29-4 </t>
  </si>
  <si>
    <t>27-13</t>
  </si>
  <si>
    <t>26-22</t>
  </si>
  <si>
    <t>11-14</t>
  </si>
  <si>
    <t xml:space="preserve">27-4 </t>
  </si>
  <si>
    <t>15-33</t>
  </si>
  <si>
    <t xml:space="preserve">32-5 </t>
  </si>
  <si>
    <t xml:space="preserve">9-35 </t>
  </si>
  <si>
    <t>40-27</t>
  </si>
  <si>
    <t>29-38</t>
  </si>
  <si>
    <t>18-32</t>
  </si>
  <si>
    <t xml:space="preserve">18-9 </t>
  </si>
  <si>
    <t>30-26</t>
  </si>
  <si>
    <t>12-14</t>
  </si>
  <si>
    <t>26-12</t>
  </si>
  <si>
    <t xml:space="preserve">5-36 </t>
  </si>
  <si>
    <t>23-43</t>
  </si>
  <si>
    <t>14-35</t>
  </si>
  <si>
    <t xml:space="preserve">25-6 </t>
  </si>
  <si>
    <t>19-24</t>
  </si>
  <si>
    <t>24-33</t>
  </si>
  <si>
    <t>17-35</t>
  </si>
  <si>
    <t xml:space="preserve">2-7  </t>
  </si>
  <si>
    <t xml:space="preserve">24-9 </t>
  </si>
  <si>
    <t xml:space="preserve">4-43 </t>
  </si>
  <si>
    <t>28-30</t>
  </si>
  <si>
    <t>14-49</t>
  </si>
  <si>
    <t>14-36</t>
  </si>
  <si>
    <t>19-20</t>
  </si>
  <si>
    <t>6-17</t>
  </si>
  <si>
    <t>35-47</t>
  </si>
  <si>
    <t xml:space="preserve">3-5  </t>
  </si>
  <si>
    <t>18-21</t>
  </si>
  <si>
    <t>12-31</t>
  </si>
  <si>
    <t xml:space="preserve">6-34 </t>
  </si>
  <si>
    <t>32-29</t>
  </si>
  <si>
    <t>22-42</t>
  </si>
  <si>
    <t>17-33</t>
  </si>
  <si>
    <t>22-20</t>
  </si>
  <si>
    <t>13-16</t>
  </si>
  <si>
    <t>23-34</t>
  </si>
  <si>
    <t>14-38</t>
  </si>
  <si>
    <t>27-55</t>
  </si>
  <si>
    <t xml:space="preserve">6-5  </t>
  </si>
  <si>
    <t xml:space="preserve">5-32 </t>
  </si>
  <si>
    <t xml:space="preserve">9-41 </t>
  </si>
  <si>
    <t xml:space="preserve">7-47 </t>
  </si>
  <si>
    <t>11-35</t>
  </si>
  <si>
    <t>15-13</t>
  </si>
  <si>
    <t>2-9</t>
  </si>
  <si>
    <t>18-39</t>
  </si>
  <si>
    <t xml:space="preserve">1-15 </t>
  </si>
  <si>
    <t>28-54</t>
  </si>
  <si>
    <t xml:space="preserve">9-27 </t>
  </si>
  <si>
    <t xml:space="preserve">6-42 </t>
  </si>
  <si>
    <t>15-53</t>
  </si>
  <si>
    <t>13-39</t>
  </si>
  <si>
    <t xml:space="preserve">23-7 </t>
  </si>
  <si>
    <t>15-18</t>
  </si>
  <si>
    <t>1-15</t>
  </si>
  <si>
    <t>19-40</t>
  </si>
  <si>
    <t>9-14</t>
  </si>
  <si>
    <t>24-58</t>
  </si>
  <si>
    <t xml:space="preserve">2-9  </t>
  </si>
  <si>
    <t>11-20</t>
  </si>
  <si>
    <t>17-17</t>
  </si>
  <si>
    <t xml:space="preserve">7-37 </t>
  </si>
  <si>
    <t xml:space="preserve">0-4  </t>
  </si>
  <si>
    <t>20-14</t>
  </si>
  <si>
    <t xml:space="preserve">4-42 </t>
  </si>
  <si>
    <t xml:space="preserve">8-45 </t>
  </si>
  <si>
    <t>16-35</t>
  </si>
  <si>
    <t>1-7</t>
  </si>
  <si>
    <t>18-40</t>
  </si>
  <si>
    <t xml:space="preserve">9-5  </t>
  </si>
  <si>
    <t xml:space="preserve">7-39 </t>
  </si>
  <si>
    <t xml:space="preserve">17-8 </t>
  </si>
  <si>
    <t>24-26</t>
  </si>
  <si>
    <t>19-49</t>
  </si>
  <si>
    <t>12-35</t>
  </si>
  <si>
    <t xml:space="preserve">19-5 </t>
  </si>
  <si>
    <t>11-22</t>
  </si>
  <si>
    <t>20-37</t>
  </si>
  <si>
    <t>25-57</t>
  </si>
  <si>
    <t xml:space="preserve">7-43 </t>
  </si>
  <si>
    <t xml:space="preserve">19-7 </t>
  </si>
  <si>
    <t xml:space="preserve">5-48 </t>
  </si>
  <si>
    <t>24-31</t>
  </si>
  <si>
    <t>13-48</t>
  </si>
  <si>
    <t>15-36</t>
  </si>
  <si>
    <t>13-10</t>
  </si>
  <si>
    <t>3-10</t>
  </si>
  <si>
    <t>3-8</t>
  </si>
  <si>
    <t xml:space="preserve">5-12 </t>
  </si>
  <si>
    <t xml:space="preserve">8-26 </t>
  </si>
  <si>
    <t>L 17</t>
  </si>
  <si>
    <t xml:space="preserve">14-8 </t>
  </si>
  <si>
    <t xml:space="preserve">6-46 </t>
  </si>
  <si>
    <t xml:space="preserve">2-6  </t>
  </si>
  <si>
    <t xml:space="preserve">16-7 </t>
  </si>
  <si>
    <t xml:space="preserve">5-51 </t>
  </si>
  <si>
    <t>17-23</t>
  </si>
  <si>
    <t>12-36</t>
  </si>
  <si>
    <t>13-25</t>
  </si>
  <si>
    <t>2-11</t>
  </si>
  <si>
    <t>5-12</t>
  </si>
  <si>
    <t>18-38</t>
  </si>
  <si>
    <t>4-22</t>
  </si>
  <si>
    <t>21-61</t>
  </si>
  <si>
    <t xml:space="preserve">5-46 </t>
  </si>
  <si>
    <t xml:space="preserve">13-6 </t>
  </si>
  <si>
    <t>13-59</t>
  </si>
  <si>
    <t xml:space="preserve">7-44 </t>
  </si>
  <si>
    <t>18-11</t>
  </si>
  <si>
    <t>1-10</t>
  </si>
  <si>
    <t>0-14</t>
  </si>
  <si>
    <t>3-20</t>
  </si>
  <si>
    <t>12-40</t>
  </si>
  <si>
    <t xml:space="preserve">6-8  </t>
  </si>
  <si>
    <t>10-40</t>
  </si>
  <si>
    <t>20-31</t>
  </si>
  <si>
    <t>12-54</t>
  </si>
  <si>
    <t>19-10</t>
  </si>
  <si>
    <t>16-11</t>
  </si>
  <si>
    <t>22016</t>
  </si>
  <si>
    <t xml:space="preserve">7-6  </t>
  </si>
  <si>
    <t>17-11</t>
  </si>
  <si>
    <t>46-18</t>
  </si>
  <si>
    <t>31-28</t>
  </si>
  <si>
    <t>21-18</t>
  </si>
  <si>
    <t xml:space="preserve">40-2 </t>
  </si>
  <si>
    <t>2-1</t>
  </si>
  <si>
    <t>67-15</t>
  </si>
  <si>
    <t xml:space="preserve">48-6 </t>
  </si>
  <si>
    <t xml:space="preserve">15-8 </t>
  </si>
  <si>
    <t xml:space="preserve">62-3 </t>
  </si>
  <si>
    <t xml:space="preserve">5-9  </t>
  </si>
  <si>
    <t xml:space="preserve">67-9 </t>
  </si>
  <si>
    <t>41-13</t>
  </si>
  <si>
    <t xml:space="preserve">61-7 </t>
  </si>
  <si>
    <t xml:space="preserve">37-2 </t>
  </si>
  <si>
    <t>25-5</t>
  </si>
  <si>
    <t>12-2</t>
  </si>
  <si>
    <t>47-9</t>
  </si>
  <si>
    <t>20-6</t>
  </si>
  <si>
    <t>25-15</t>
  </si>
  <si>
    <t xml:space="preserve">7-22 </t>
  </si>
  <si>
    <t xml:space="preserve">44-5 </t>
  </si>
  <si>
    <t xml:space="preserve">5-26 </t>
  </si>
  <si>
    <t>48-14</t>
  </si>
  <si>
    <t>33-28</t>
  </si>
  <si>
    <t xml:space="preserve">34-9 </t>
  </si>
  <si>
    <t xml:space="preserve">23-6 </t>
  </si>
  <si>
    <t>3-0</t>
  </si>
  <si>
    <t>10-3</t>
  </si>
  <si>
    <t>12-15</t>
  </si>
  <si>
    <t>61-21</t>
  </si>
  <si>
    <t xml:space="preserve">30-8 </t>
  </si>
  <si>
    <t xml:space="preserve">9-16 </t>
  </si>
  <si>
    <t xml:space="preserve">52-7 </t>
  </si>
  <si>
    <t>23-15</t>
  </si>
  <si>
    <t>36-11</t>
  </si>
  <si>
    <t xml:space="preserve">38-6 </t>
  </si>
  <si>
    <t>13-4</t>
  </si>
  <si>
    <t>4-0</t>
  </si>
  <si>
    <t>43-13</t>
  </si>
  <si>
    <t>18-8</t>
  </si>
  <si>
    <t xml:space="preserve">8-7  </t>
  </si>
  <si>
    <t xml:space="preserve">26-8 </t>
  </si>
  <si>
    <t xml:space="preserve">39-8 </t>
  </si>
  <si>
    <t>42-16</t>
  </si>
  <si>
    <t>26-27</t>
  </si>
  <si>
    <t>34-15</t>
  </si>
  <si>
    <t>8-9</t>
  </si>
  <si>
    <t xml:space="preserve">8-3  </t>
  </si>
  <si>
    <t xml:space="preserve">9-19 </t>
  </si>
  <si>
    <t xml:space="preserve">50-8 </t>
  </si>
  <si>
    <t xml:space="preserve">5-18 </t>
  </si>
  <si>
    <t>53-24</t>
  </si>
  <si>
    <t>37-27</t>
  </si>
  <si>
    <t>20-20</t>
  </si>
  <si>
    <t xml:space="preserve">41-2 </t>
  </si>
  <si>
    <t xml:space="preserve">33-7 </t>
  </si>
  <si>
    <t>10-7</t>
  </si>
  <si>
    <t>15-2</t>
  </si>
  <si>
    <t>40-18</t>
  </si>
  <si>
    <t>W 17</t>
  </si>
  <si>
    <t>30-10</t>
  </si>
  <si>
    <t>46-24</t>
  </si>
  <si>
    <t>33-30</t>
  </si>
  <si>
    <t>21-19</t>
  </si>
  <si>
    <t>24-13</t>
  </si>
  <si>
    <t>0-2</t>
  </si>
  <si>
    <t>15-12</t>
  </si>
  <si>
    <t>44-12</t>
  </si>
  <si>
    <t xml:space="preserve">6-18 </t>
  </si>
  <si>
    <t xml:space="preserve">4-22 </t>
  </si>
  <si>
    <t>45-17</t>
  </si>
  <si>
    <t>25-25</t>
  </si>
  <si>
    <t>31-12</t>
  </si>
  <si>
    <t>35-21</t>
  </si>
  <si>
    <t xml:space="preserve">4-4  </t>
  </si>
  <si>
    <t>23-10</t>
  </si>
  <si>
    <t xml:space="preserve">9-22 </t>
  </si>
  <si>
    <t>40-10</t>
  </si>
  <si>
    <t>15-22</t>
  </si>
  <si>
    <t xml:space="preserve">22-9 </t>
  </si>
  <si>
    <t>1-2</t>
  </si>
  <si>
    <t>35-22</t>
  </si>
  <si>
    <t xml:space="preserve">5-0  </t>
  </si>
  <si>
    <t xml:space="preserve">7-8  </t>
  </si>
  <si>
    <t xml:space="preserve">30-5 </t>
  </si>
  <si>
    <t xml:space="preserve">8-31 </t>
  </si>
  <si>
    <t>18-33</t>
  </si>
  <si>
    <t xml:space="preserve">36-4 </t>
  </si>
  <si>
    <t>29-14</t>
  </si>
  <si>
    <t>32-24</t>
  </si>
  <si>
    <t>11-15</t>
  </si>
  <si>
    <t>21-22</t>
  </si>
  <si>
    <t xml:space="preserve">30-6 </t>
  </si>
  <si>
    <t xml:space="preserve">34-5 </t>
  </si>
  <si>
    <t>34-17</t>
  </si>
  <si>
    <t>18-36</t>
  </si>
  <si>
    <t>35-10</t>
  </si>
  <si>
    <t>22-10</t>
  </si>
  <si>
    <t>23-20</t>
  </si>
  <si>
    <t>25-30</t>
  </si>
  <si>
    <t>17-10</t>
  </si>
  <si>
    <t xml:space="preserve">12-7 </t>
  </si>
  <si>
    <t>23-21</t>
  </si>
  <si>
    <t xml:space="preserve">34-8 </t>
  </si>
  <si>
    <t xml:space="preserve">33-4 </t>
  </si>
  <si>
    <t>13-31</t>
  </si>
  <si>
    <t>42-18</t>
  </si>
  <si>
    <t>24-32</t>
  </si>
  <si>
    <t>19-21</t>
  </si>
  <si>
    <t xml:space="preserve">38-2 </t>
  </si>
  <si>
    <t>40-22</t>
  </si>
  <si>
    <t>26-26</t>
  </si>
  <si>
    <t>23-19</t>
  </si>
  <si>
    <t xml:space="preserve">3-33 </t>
  </si>
  <si>
    <t>20-35</t>
  </si>
  <si>
    <t>29-28</t>
  </si>
  <si>
    <t xml:space="preserve">7-5  </t>
  </si>
  <si>
    <t>10-29</t>
  </si>
  <si>
    <t xml:space="preserve">7-33 </t>
  </si>
  <si>
    <t>31-17</t>
  </si>
  <si>
    <t xml:space="preserve">34-6 </t>
  </si>
  <si>
    <t>26-23</t>
  </si>
  <si>
    <t>34-24</t>
  </si>
  <si>
    <t>9-15</t>
  </si>
  <si>
    <t xml:space="preserve">5-30 </t>
  </si>
  <si>
    <t>34-14</t>
  </si>
  <si>
    <t>15-35</t>
  </si>
  <si>
    <t xml:space="preserve">26-5 </t>
  </si>
  <si>
    <t xml:space="preserve">7-11 </t>
  </si>
  <si>
    <t>30-15</t>
  </si>
  <si>
    <t xml:space="preserve">9-30 </t>
  </si>
  <si>
    <t>37-26</t>
  </si>
  <si>
    <t>25-36</t>
  </si>
  <si>
    <t>16-24</t>
  </si>
  <si>
    <t>23-33</t>
  </si>
  <si>
    <t xml:space="preserve">8-6  </t>
  </si>
  <si>
    <t>19-13</t>
  </si>
  <si>
    <t xml:space="preserve">28-9 </t>
  </si>
  <si>
    <t>36-13</t>
  </si>
  <si>
    <t>18-26</t>
  </si>
  <si>
    <t>25-32</t>
  </si>
  <si>
    <t>40-42</t>
  </si>
  <si>
    <t xml:space="preserve">5-10 </t>
  </si>
  <si>
    <t>24-19</t>
  </si>
  <si>
    <t xml:space="preserve">8-29 </t>
  </si>
  <si>
    <t xml:space="preserve">38-7 </t>
  </si>
  <si>
    <t xml:space="preserve">2-32 </t>
  </si>
  <si>
    <t>40-29</t>
  </si>
  <si>
    <t>29-41</t>
  </si>
  <si>
    <t>25-31</t>
  </si>
  <si>
    <t xml:space="preserve">26-6 </t>
  </si>
  <si>
    <t xml:space="preserve">9-38 </t>
  </si>
  <si>
    <t>18-25</t>
  </si>
  <si>
    <t>29-10</t>
  </si>
  <si>
    <t>29-21</t>
  </si>
  <si>
    <t>20-32</t>
  </si>
  <si>
    <t>34-48</t>
  </si>
  <si>
    <t>17-22</t>
  </si>
  <si>
    <t>11-34</t>
  </si>
  <si>
    <t xml:space="preserve">26-4 </t>
  </si>
  <si>
    <t xml:space="preserve">8-43 </t>
  </si>
  <si>
    <t>31-24</t>
  </si>
  <si>
    <t xml:space="preserve">16-5 </t>
  </si>
  <si>
    <t>0-3</t>
  </si>
  <si>
    <t xml:space="preserve">0-6  </t>
  </si>
  <si>
    <t xml:space="preserve">0-9  </t>
  </si>
  <si>
    <t>19-18</t>
  </si>
  <si>
    <t>11-32</t>
  </si>
  <si>
    <t>29-27</t>
  </si>
  <si>
    <t>16-42</t>
  </si>
  <si>
    <t>11-37</t>
  </si>
  <si>
    <t xml:space="preserve">7-40 </t>
  </si>
  <si>
    <t>11-31</t>
  </si>
  <si>
    <t>15-29</t>
  </si>
  <si>
    <t>29-33</t>
  </si>
  <si>
    <t>22-34</t>
  </si>
  <si>
    <t>14-37</t>
  </si>
  <si>
    <t>25-21</t>
  </si>
  <si>
    <t>17-46</t>
  </si>
  <si>
    <t>2-2</t>
  </si>
  <si>
    <t>8-17</t>
  </si>
  <si>
    <t>31-51</t>
  </si>
  <si>
    <t xml:space="preserve">7-10 </t>
  </si>
  <si>
    <t>19-14</t>
  </si>
  <si>
    <t xml:space="preserve">7-41 </t>
  </si>
  <si>
    <t>18-49</t>
  </si>
  <si>
    <t>14-17</t>
  </si>
  <si>
    <t>1-1</t>
  </si>
  <si>
    <t>10-32</t>
  </si>
  <si>
    <t>23-22</t>
  </si>
  <si>
    <t>15-46</t>
  </si>
  <si>
    <t xml:space="preserve">24-7 </t>
  </si>
  <si>
    <t>16-17</t>
  </si>
  <si>
    <t>21-37</t>
  </si>
  <si>
    <t>18-19</t>
  </si>
  <si>
    <t xml:space="preserve">6-38 </t>
  </si>
  <si>
    <t>26-32</t>
  </si>
  <si>
    <t>15-44</t>
  </si>
  <si>
    <t>22-35</t>
  </si>
  <si>
    <t xml:space="preserve">9-8  </t>
  </si>
  <si>
    <t>16-16</t>
  </si>
  <si>
    <t>10-34</t>
  </si>
  <si>
    <t>22-14</t>
  </si>
  <si>
    <t xml:space="preserve">5-38 </t>
  </si>
  <si>
    <t>16-51</t>
  </si>
  <si>
    <t>18-13</t>
  </si>
  <si>
    <t>4-8</t>
  </si>
  <si>
    <t>0-6</t>
  </si>
  <si>
    <t>21-35</t>
  </si>
  <si>
    <t>7-19</t>
  </si>
  <si>
    <t>26-56</t>
  </si>
  <si>
    <t>14-31</t>
  </si>
  <si>
    <t>10-43</t>
  </si>
  <si>
    <t xml:space="preserve">18-6 </t>
  </si>
  <si>
    <t xml:space="preserve">8-47 </t>
  </si>
  <si>
    <t>24-30</t>
  </si>
  <si>
    <t>15-52</t>
  </si>
  <si>
    <t>11-28</t>
  </si>
  <si>
    <t xml:space="preserve">18-7 </t>
  </si>
  <si>
    <t>17-16</t>
  </si>
  <si>
    <t xml:space="preserve">4-50 </t>
  </si>
  <si>
    <t>21-43</t>
  </si>
  <si>
    <t>16-55</t>
  </si>
  <si>
    <t>15-23</t>
  </si>
  <si>
    <t>6-19</t>
  </si>
  <si>
    <t>20-62</t>
  </si>
  <si>
    <t>L 16</t>
  </si>
  <si>
    <t>L 15</t>
  </si>
  <si>
    <t xml:space="preserve">6-54 </t>
  </si>
  <si>
    <t>14-58</t>
  </si>
  <si>
    <t xml:space="preserve">7-36 </t>
  </si>
  <si>
    <t>17-15</t>
  </si>
  <si>
    <t xml:space="preserve">6-14 </t>
  </si>
  <si>
    <t>9-47</t>
  </si>
  <si>
    <t>1999-00</t>
    <phoneticPr fontId="1"/>
  </si>
  <si>
    <t>2014-15</t>
    <phoneticPr fontId="1"/>
  </si>
  <si>
    <t>2018</t>
  </si>
  <si>
    <t>George Hill</t>
  </si>
  <si>
    <t>188</t>
  </si>
  <si>
    <t>MAY 04, 1986</t>
  </si>
  <si>
    <t>10</t>
  </si>
  <si>
    <t>D.J. Wilson</t>
  </si>
  <si>
    <t>231</t>
  </si>
  <si>
    <t>FEB 19, 1996</t>
  </si>
  <si>
    <t>Eric Bledsoe</t>
  </si>
  <si>
    <t>205</t>
  </si>
  <si>
    <t>DEC 09, 1989</t>
  </si>
  <si>
    <t>Donte DiVincenzo</t>
  </si>
  <si>
    <t>203</t>
  </si>
  <si>
    <t>JAN 31, 1997</t>
  </si>
  <si>
    <t>Brook Lopez</t>
  </si>
  <si>
    <t>11</t>
  </si>
  <si>
    <t>270</t>
  </si>
  <si>
    <t>APR 01, 1988</t>
  </si>
  <si>
    <t>Stanford</t>
  </si>
  <si>
    <t>Tim Frazier</t>
  </si>
  <si>
    <t>170</t>
  </si>
  <si>
    <t>NOV 01, 1990</t>
  </si>
  <si>
    <t>Penn State</t>
  </si>
  <si>
    <t>Malcolm Brogdon</t>
  </si>
  <si>
    <t>229</t>
  </si>
  <si>
    <t>DEC 11, 1992</t>
  </si>
  <si>
    <t>Pau Gasol</t>
  </si>
  <si>
    <t>C-F</t>
  </si>
  <si>
    <t>250</t>
  </si>
  <si>
    <t>JUL 06, 1980</t>
  </si>
  <si>
    <t>Tony Snell</t>
  </si>
  <si>
    <t>213</t>
  </si>
  <si>
    <t>NOV 10, 1991</t>
  </si>
  <si>
    <t>Khris Middleton</t>
  </si>
  <si>
    <t>22</t>
  </si>
  <si>
    <t>222</t>
  </si>
  <si>
    <t>AUG 12, 1991</t>
  </si>
  <si>
    <t>Texas A&amp;M</t>
  </si>
  <si>
    <t>Sterling Brown</t>
  </si>
  <si>
    <t>23</t>
  </si>
  <si>
    <t>232</t>
  </si>
  <si>
    <t>FEB 10, 1995</t>
  </si>
  <si>
    <t>Southern Methodist</t>
  </si>
  <si>
    <t>Pat Connaughton</t>
  </si>
  <si>
    <t>209</t>
  </si>
  <si>
    <t>JAN 06, 1993</t>
  </si>
  <si>
    <t>Notre Dame</t>
  </si>
  <si>
    <t>Giannis Antetokounmpo</t>
  </si>
  <si>
    <t>242</t>
  </si>
  <si>
    <t>DEC 06, 1994</t>
  </si>
  <si>
    <t>Nikola Mirotic</t>
  </si>
  <si>
    <t>41</t>
  </si>
  <si>
    <t>FEB 11, 1991</t>
  </si>
  <si>
    <t>Bonzie Colson</t>
  </si>
  <si>
    <t>50</t>
  </si>
  <si>
    <t>JAN 12, 1996</t>
  </si>
  <si>
    <t>Ersan Ilyasova</t>
  </si>
  <si>
    <t>77</t>
  </si>
  <si>
    <t>235</t>
  </si>
  <si>
    <t>MAY 15, 1987</t>
  </si>
  <si>
    <t>ABBREVIATION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</si>
  <si>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</si>
  <si>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</si>
  <si>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</si>
  <si>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</si>
  <si>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</si>
  <si>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</si>
  <si>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</si>
  <si>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</si>
  <si>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</si>
  <si>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</si>
  <si>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</si>
  <si>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</si>
  <si>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</si>
  <si>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</si>
  <si>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</si>
  <si>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</si>
  <si>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</si>
  <si>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</si>
  <si>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</si>
  <si>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</si>
  <si>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</si>
  <si>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</si>
  <si>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</si>
  <si>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</si>
  <si>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</si>
  <si>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</si>
  <si>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</si>
  <si>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</si>
  <si>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</si>
  <si>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</si>
  <si>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</si>
  <si>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</si>
  <si>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</si>
  <si>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</si>
  <si>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</si>
  <si>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</si>
  <si>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</si>
  <si>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</si>
  <si>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</si>
  <si>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</si>
  <si>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</si>
  <si>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</si>
  <si>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Last 5 Games</t>
  </si>
  <si>
    <t>13.8000000000000000000000</t>
  </si>
  <si>
    <t>1.6000000000000000000000</t>
  </si>
  <si>
    <t>1610612740</t>
    <phoneticPr fontId="1"/>
  </si>
  <si>
    <t>Season</t>
    <phoneticPr fontId="1"/>
  </si>
  <si>
    <t>WIN% (SEASON)</t>
    <phoneticPr fontId="1"/>
  </si>
  <si>
    <t>Home</t>
    <phoneticPr fontId="1"/>
  </si>
  <si>
    <t>Road</t>
    <phoneticPr fontId="1"/>
  </si>
  <si>
    <t>PreAS</t>
    <phoneticPr fontId="1"/>
  </si>
  <si>
    <t>PostAS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</si>
</sst>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標準" xfId="0" builtinId="0"/>
  </cellStyles>
  <dxfs count="372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C7FB712-52D5-427B-AAE0-EA70C9FE28A4}" name="Table_LastN" displayName="Table_LastN" ref="A1:BD2" totalsRowShown="0" headerRowDxfId="371">
  <autoFilter ref="A1:BD2" xr:uid="{AF1B7A04-AACD-4388-A342-BA22F1DFC1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0F4388B-336E-4F5F-A2EC-CDFB54F2FD78}" name="GROUP_SET" dataDxfId="370"/>
    <tableColumn id="2" xr3:uid="{9DFE46EB-A8AE-4905-B60E-663B6C01FCEB}" name="GROUP_VALUE" dataDxfId="369"/>
    <tableColumn id="3" xr3:uid="{52F41522-5981-4540-9935-CC8DE1CBB4F0}" name="GP" dataDxfId="368"/>
    <tableColumn id="4" xr3:uid="{191D68CD-3A8D-4CA2-9C85-A954153E21B4}" name="W" dataDxfId="367"/>
    <tableColumn id="5" xr3:uid="{3A0E9742-FA8B-4411-AD92-CC44EB06A286}" name="L" dataDxfId="366"/>
    <tableColumn id="6" xr3:uid="{D3578200-C496-42BA-A704-33DAA58E4941}" name="W_PCT" dataDxfId="365"/>
    <tableColumn id="7" xr3:uid="{26E44FE0-5DCF-476F-821A-475E8F8E2676}" name="MIN" dataDxfId="364"/>
    <tableColumn id="8" xr3:uid="{4AF6983B-1269-4EC5-BDDE-02115FF99EBE}" name="FGM" dataDxfId="363"/>
    <tableColumn id="9" xr3:uid="{2F9073E7-8D24-42E6-9E41-DE3060EC4846}" name="FGA" dataDxfId="362"/>
    <tableColumn id="10" xr3:uid="{9A3A625B-4990-4808-8EE0-DA123EAA8BB1}" name="FG_PCT" dataDxfId="361"/>
    <tableColumn id="11" xr3:uid="{6FC1F641-E2F7-4E6A-90A7-72574F3043D9}" name="FG3M" dataDxfId="360"/>
    <tableColumn id="12" xr3:uid="{6D453B24-2613-48A3-9F11-B9E03E6CE3A5}" name="FG3A" dataDxfId="359"/>
    <tableColumn id="13" xr3:uid="{F5048151-8EDF-467D-AD61-BBEB7888E1D6}" name="FG3_PCT" dataDxfId="358"/>
    <tableColumn id="14" xr3:uid="{8797791C-5AC2-40F8-988F-296EC5F13162}" name="FTM" dataDxfId="357"/>
    <tableColumn id="15" xr3:uid="{099A079A-8E31-44B1-8A6E-BD4FC3F3090B}" name="FTA" dataDxfId="356"/>
    <tableColumn id="16" xr3:uid="{53009774-31B9-4438-A38C-EB2A0522624B}" name="FT_PCT" dataDxfId="355"/>
    <tableColumn id="17" xr3:uid="{A24A2D57-6D31-4D0A-BCDC-7944F9016DCD}" name="OREB" dataDxfId="354"/>
    <tableColumn id="18" xr3:uid="{F82D71A7-9C42-4981-9E87-F840FB72A2C9}" name="DREB" dataDxfId="353"/>
    <tableColumn id="19" xr3:uid="{D32353A4-FE1B-480E-92DF-6898E27EB5BB}" name="REB" dataDxfId="352"/>
    <tableColumn id="20" xr3:uid="{E74B7A9B-0274-48B2-922F-9969CEDB1DB0}" name="AST" dataDxfId="351"/>
    <tableColumn id="21" xr3:uid="{2970CD7E-A147-45EE-9674-033654327D4D}" name="TOV" dataDxfId="350"/>
    <tableColumn id="22" xr3:uid="{49C64986-B839-4CEE-8C28-E37E90DB4268}" name="STL" dataDxfId="349"/>
    <tableColumn id="23" xr3:uid="{2B107BA5-C812-4C3C-B8F0-CC8FE8B9421C}" name="BLK" dataDxfId="348"/>
    <tableColumn id="24" xr3:uid="{55839F8D-284F-428F-8D95-8474E0A2328B}" name="BLKA" dataDxfId="347"/>
    <tableColumn id="25" xr3:uid="{73EFC7AA-5B0D-4031-BBE9-513A6A54C1F0}" name="PF" dataDxfId="346"/>
    <tableColumn id="26" xr3:uid="{47C48793-9082-4192-8556-27D48C0A9BC4}" name="PFD" dataDxfId="345"/>
    <tableColumn id="27" xr3:uid="{66883168-4627-4166-A643-2311E8E8237C}" name="PTS" dataDxfId="344"/>
    <tableColumn id="28" xr3:uid="{71BCB391-1638-4D78-8320-6CEDB418EDBA}" name="PLUS_MINUS" dataDxfId="343"/>
    <tableColumn id="29" xr3:uid="{A96F0771-141F-4B58-B2CF-418172092E8A}" name="GP_RANK" dataDxfId="342"/>
    <tableColumn id="30" xr3:uid="{162D24C6-8F96-4291-966D-A7962941B1FA}" name="W_RANK" dataDxfId="341"/>
    <tableColumn id="31" xr3:uid="{16BEF236-5F7E-4CDC-A04B-AC69699FD375}" name="L_RANK" dataDxfId="340"/>
    <tableColumn id="32" xr3:uid="{EF19FAAB-BAA7-45E7-B42C-26442658AEE0}" name="W_PCT_RANK" dataDxfId="339"/>
    <tableColumn id="33" xr3:uid="{629F31D8-CC90-4976-9EF0-669EF590A40C}" name="MIN_RANK" dataDxfId="338"/>
    <tableColumn id="34" xr3:uid="{E1F42F60-3B46-453C-B6EB-365E72B3B44E}" name="FGM_RANK" dataDxfId="337"/>
    <tableColumn id="35" xr3:uid="{8BCD5556-F400-43C6-B218-59AD31CFF063}" name="FGA_RANK" dataDxfId="336"/>
    <tableColumn id="36" xr3:uid="{0C9501B0-3B33-4D00-AA8F-8689653D93DA}" name="FG_PCT_RANK" dataDxfId="335"/>
    <tableColumn id="37" xr3:uid="{D0F0F7FB-3678-4FE1-A754-3A85E8D7D0AF}" name="FG3M_RANK" dataDxfId="334"/>
    <tableColumn id="38" xr3:uid="{6345068C-ACAD-4E05-83D6-F1227DB33AA1}" name="FG3A_RANK" dataDxfId="333"/>
    <tableColumn id="39" xr3:uid="{84506AFB-F5F6-44F9-B8F2-F7513D957BFE}" name="FG3_PCT_RANK" dataDxfId="332"/>
    <tableColumn id="40" xr3:uid="{263732EB-CB41-43D1-9C60-6CADC8FE0CE3}" name="FTM_RANK" dataDxfId="331"/>
    <tableColumn id="41" xr3:uid="{7B146B0F-C408-4CED-AED9-94600F7760AF}" name="FTA_RANK" dataDxfId="330"/>
    <tableColumn id="42" xr3:uid="{F8BDF86B-8B25-4C16-8AD2-38B784FE2C3C}" name="FT_PCT_RANK" dataDxfId="329"/>
    <tableColumn id="43" xr3:uid="{6512F669-E33B-4C44-8D67-FA7633D46D00}" name="OREB_RANK" dataDxfId="328"/>
    <tableColumn id="44" xr3:uid="{C8FF3234-A22D-4D9E-8D4A-4B9E492779E5}" name="DREB_RANK" dataDxfId="327"/>
    <tableColumn id="45" xr3:uid="{9A4B5A3B-C2B4-4FAC-91C0-C522029269D1}" name="REB_RANK" dataDxfId="326"/>
    <tableColumn id="46" xr3:uid="{7EBFC356-B0FE-466B-9C38-95D73C66D64D}" name="AST_RANK" dataDxfId="325"/>
    <tableColumn id="47" xr3:uid="{ECE1D86F-199D-4E14-9408-07CCD8857BB7}" name="TOV_RANK" dataDxfId="324"/>
    <tableColumn id="48" xr3:uid="{5A92B9A4-213C-4694-B23F-14BAB3DBE50E}" name="STL_RANK" dataDxfId="323"/>
    <tableColumn id="49" xr3:uid="{371E9A3F-C0AB-47C5-9545-97629409D721}" name="BLK_RANK" dataDxfId="322"/>
    <tableColumn id="50" xr3:uid="{070979A0-4992-4D82-B942-E40E97993CAA}" name="BLKA_RANK" dataDxfId="321"/>
    <tableColumn id="51" xr3:uid="{85FC3B2E-04ED-484C-B7D7-C74280930815}" name="PF_RANK" dataDxfId="320"/>
    <tableColumn id="52" xr3:uid="{6AC3DEAC-C5EC-41DE-8B66-4A4F262BBB93}" name="PFD_RANK" dataDxfId="319"/>
    <tableColumn id="53" xr3:uid="{7FC50C6C-F886-4D8C-A6A7-6E8D0230C4B3}" name="PTS_RANK" dataDxfId="318"/>
    <tableColumn id="54" xr3:uid="{8EF4CEA8-5D61-4C15-92AE-E3029D3B293A}" name="PLUS_MINUS_RANK" dataDxfId="317"/>
    <tableColumn id="55" xr3:uid="{AEB9D11B-8183-4623-9179-8178DB9DC90D}" name="CFID" dataDxfId="316"/>
    <tableColumn id="56" xr3:uid="{CA78CFBA-9226-4B11-A2A9-A15C6271195D}" name="CFPARAMS" dataDxfId="3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8DBD77-80C1-43F8-9B9E-0FB78E5618EB}" name="Table_Teams" displayName="Table_Teams" ref="A1:E46" totalsRowShown="0" headerRowDxfId="314">
  <autoFilter ref="A1:E46" xr:uid="{6924ECB7-6E43-48B8-98CD-62976EDCAD8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B77611A-FF0B-451C-AEAC-C9AAB08E5D87}" name="LEAGUE_ID" dataDxfId="313"/>
    <tableColumn id="2" xr3:uid="{0F7A892F-543E-4E70-B448-BC4F355B1755}" name="TEAM_ID" dataDxfId="312"/>
    <tableColumn id="3" xr3:uid="{92144221-0DD7-4FAE-875D-8A255EFF82B0}" name="MIN_YEAR" dataDxfId="311"/>
    <tableColumn id="4" xr3:uid="{FF0BA9B0-894F-421C-ADD0-B2B98867C777}" name="MAX_YEAR" dataDxfId="310"/>
    <tableColumn id="5" xr3:uid="{7C103E5A-0285-4A8B-8930-D1ECB77F6356}" name="ABBREVIATION" dataDxfId="3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A38070-17D7-4945-9496-A21517660DFC}" name="Table_Roster" displayName="Table_Roster" ref="A1:M17" totalsRowShown="0" headerRowDxfId="308">
  <autoFilter ref="A1:M17" xr:uid="{A0D1EF73-E6CB-4B6E-B0D9-8D0BFBD1BD5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C474E2DA-A5F9-499D-8DAE-C2721CC34BBB}" name="TeamID" dataDxfId="307"/>
    <tableColumn id="2" xr3:uid="{35E79003-CB14-46A3-B85E-EDB4D0B9A5D6}" name="SEASON" dataDxfId="306"/>
    <tableColumn id="3" xr3:uid="{484FF886-A0CE-4F8E-9049-EBB741FB47F5}" name="LeagueID" dataDxfId="305"/>
    <tableColumn id="4" xr3:uid="{43E53CF1-27F6-4131-BD99-57F85CBF4431}" name="PLAYER" dataDxfId="304"/>
    <tableColumn id="5" xr3:uid="{7C337910-E6F8-47DE-B65D-956D60B5165E}" name="NUM" dataDxfId="303"/>
    <tableColumn id="6" xr3:uid="{C7E463B3-6ABA-49A4-A8D0-D28892B76BF7}" name="POSITION" dataDxfId="302"/>
    <tableColumn id="7" xr3:uid="{635D5EB4-0C45-4FCE-AB5B-2189F3F3C4E6}" name="HEIGHT" dataDxfId="301"/>
    <tableColumn id="8" xr3:uid="{C24AD907-0560-4ED3-8A8F-B139261CBA95}" name="WEIGHT" dataDxfId="300"/>
    <tableColumn id="9" xr3:uid="{3F3C4F47-93C1-4B30-8DA1-5CDA086749C0}" name="BIRTH_DATE" dataDxfId="299"/>
    <tableColumn id="10" xr3:uid="{2ECE7F0B-BAAB-49C2-9A2A-97CB9554ED53}" name="AGE" dataDxfId="298"/>
    <tableColumn id="11" xr3:uid="{28586FAC-E04B-4CB4-B647-D2403CC69ED2}" name="EXP" dataDxfId="297"/>
    <tableColumn id="12" xr3:uid="{6521266A-74F2-4783-AE1C-2CD92BB91A98}" name="SCHOOL" dataDxfId="296"/>
    <tableColumn id="13" xr3:uid="{57B4289A-7045-42FB-866A-9A2284FE44C0}" name="PLAYER_ID" dataDxfId="2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5CD5C82-F5AE-4309-927C-A8F3258E1789}" name="Table_YoYAdv" displayName="Table_YoYAdv" ref="A1:AV24" totalsRowShown="0" headerRowDxfId="294">
  <autoFilter ref="A1:AV24" xr:uid="{EC8B7FB7-E7AD-4990-B877-6A37B90D9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2" xr3:uid="{0B6DECE4-04CE-4776-AD96-AF4E7B1FB5C3}" name="GROUP_VALUE" dataDxfId="293"/>
    <tableColumn id="1" xr3:uid="{E8F464C2-AEBA-436A-A3DB-41FEB4F21B24}" name="GROUP_SET" dataDxfId="292"/>
    <tableColumn id="3" xr3:uid="{21BBE41C-558D-46A7-B570-3DD73DD60C11}" name="GP" dataDxfId="291"/>
    <tableColumn id="4" xr3:uid="{90007739-8F14-4665-9BE2-9AA55E244051}" name="W" dataDxfId="290"/>
    <tableColumn id="5" xr3:uid="{FEFA8AA8-3838-45C5-9A1A-246B402937CA}" name="L" dataDxfId="289"/>
    <tableColumn id="6" xr3:uid="{855BF5F3-6271-437A-B960-47178A8718CC}" name="W_PCT" dataDxfId="288"/>
    <tableColumn id="7" xr3:uid="{ADD173CC-2E37-4DA6-AF66-CD81D107E81A}" name="MIN" dataDxfId="287"/>
    <tableColumn id="8" xr3:uid="{D8DC6C16-7C40-46E9-9CE3-729CE66403A1}" name="E_OFF_RATING" dataDxfId="286"/>
    <tableColumn id="9" xr3:uid="{68E6E71C-A798-4B8D-8A22-A198685F3F20}" name="OFF_RATING" dataDxfId="285"/>
    <tableColumn id="10" xr3:uid="{DE5CFC43-8C74-4A8E-9DC3-7DA9A4275DD5}" name="E_DEF_RATING" dataDxfId="284"/>
    <tableColumn id="11" xr3:uid="{228BD4AE-0994-4BD8-8486-D80388A1C81C}" name="DEF_RATING" dataDxfId="283"/>
    <tableColumn id="12" xr3:uid="{B83437E3-9B7F-45C6-AD88-CD1379E9FB0E}" name="E_NET_RATING" dataDxfId="282"/>
    <tableColumn id="13" xr3:uid="{FCFE0EE9-0995-4E1D-BF4F-70F56B444D11}" name="NET_RATING" dataDxfId="281"/>
    <tableColumn id="14" xr3:uid="{9D15CFDF-2276-4DD6-A0E0-8602EF7E208D}" name="AST_PCT" dataDxfId="280"/>
    <tableColumn id="15" xr3:uid="{FB721472-31AB-42E7-9CAB-E451CB0C56C8}" name="AST_TO" dataDxfId="279"/>
    <tableColumn id="16" xr3:uid="{A745F980-4C24-4F8E-BA76-376725B8F635}" name="AST_RATIO" dataDxfId="278"/>
    <tableColumn id="17" xr3:uid="{FB57C6D2-364B-4E2F-92C8-CEB691F1A2B6}" name="OREB_PCT" dataDxfId="277"/>
    <tableColumn id="18" xr3:uid="{E1B7C154-FB1C-49D6-98E6-F44487BC53B1}" name="DREB_PCT" dataDxfId="276"/>
    <tableColumn id="19" xr3:uid="{7F5F93C9-BD9F-48B8-BAA5-E6784F911173}" name="REB_PCT" dataDxfId="275"/>
    <tableColumn id="20" xr3:uid="{83D96671-008B-4803-8686-202C772EFE06}" name="TM_TOV_PCT" dataDxfId="274"/>
    <tableColumn id="21" xr3:uid="{18F24A8E-A199-42A7-BF7C-8A5727276408}" name="EFG_PCT" dataDxfId="273"/>
    <tableColumn id="22" xr3:uid="{F65DFDB1-169D-4261-A71D-C5B11DEE0243}" name="TS_PCT" dataDxfId="272"/>
    <tableColumn id="23" xr3:uid="{9710FD16-95FC-418F-9D30-95BC7EFCCBB6}" name="E_PACE" dataDxfId="271"/>
    <tableColumn id="24" xr3:uid="{EBD2B3ED-7E80-4A31-9335-C22F1AEE6905}" name="PACE" dataDxfId="270"/>
    <tableColumn id="25" xr3:uid="{8DCE1635-7351-4499-A272-0EA21C737D1C}" name="PACE_PER40" dataDxfId="269"/>
    <tableColumn id="26" xr3:uid="{60874FF7-5AFC-4A09-A6E0-AB8CC3436CF0}" name="POSS" dataDxfId="268"/>
    <tableColumn id="27" xr3:uid="{1824D8A3-2092-4C71-A7B2-57E607DAF8BC}" name="PIE" dataDxfId="267"/>
    <tableColumn id="28" xr3:uid="{2EB01D57-239E-4BE3-BF94-C94973B4E8C3}" name="GP_RANK" dataDxfId="266"/>
    <tableColumn id="29" xr3:uid="{41AED2F8-40D5-4F10-9DAC-BC4901FA7E8D}" name="W_RANK" dataDxfId="265"/>
    <tableColumn id="30" xr3:uid="{E062F06A-1469-4CFE-8FFA-6E84D00CB597}" name="L_RANK" dataDxfId="264"/>
    <tableColumn id="31" xr3:uid="{A4AA6BAF-3A5D-4502-8D57-C6254401E4FC}" name="W_PCT_RANK" dataDxfId="263"/>
    <tableColumn id="32" xr3:uid="{F2E75059-BF26-4B47-BD3A-24BAC279561E}" name="MIN_RANK" dataDxfId="262"/>
    <tableColumn id="33" xr3:uid="{4FA69692-6040-4797-A40A-EBF904960A29}" name="OFF_RATING_RANK" dataDxfId="261"/>
    <tableColumn id="34" xr3:uid="{6692CE92-F375-4750-B6BE-7BDA9FB5578E}" name="DEF_RATING_RANK" dataDxfId="260"/>
    <tableColumn id="35" xr3:uid="{E76EF982-3622-4DC6-AC60-C4103AC9EEA1}" name="NET_RATING_RANK" dataDxfId="259"/>
    <tableColumn id="36" xr3:uid="{582038C3-A9A8-491F-9D8B-4681CBF4E7E0}" name="AST_PCT_RANK" dataDxfId="258"/>
    <tableColumn id="37" xr3:uid="{FDF5289D-B3A5-4F4B-889B-BBB7AB75D86D}" name="AST_TO_RANK" dataDxfId="257"/>
    <tableColumn id="38" xr3:uid="{6D3E061B-BADA-46C4-B8F7-5F8891DF35B7}" name="AST_RATIO_RANK" dataDxfId="256"/>
    <tableColumn id="39" xr3:uid="{A9640741-20A8-4CD1-9486-D8DB2ADFD7D9}" name="OREB_PCT_RANK" dataDxfId="255"/>
    <tableColumn id="40" xr3:uid="{6CC59B67-D69C-4451-BBC2-46962285F219}" name="DREB_PCT_RANK" dataDxfId="254"/>
    <tableColumn id="41" xr3:uid="{D83962F2-C558-445E-97DD-D093450A8FD3}" name="REB_PCT_RANK" dataDxfId="253"/>
    <tableColumn id="42" xr3:uid="{9E609BAB-D2CB-4847-92E8-11D8C116846A}" name="TM_TOV_PCT_RANK" dataDxfId="252"/>
    <tableColumn id="43" xr3:uid="{03938729-20E8-44C0-A2A5-A9862F413DCA}" name="EFG_PCT_RANK" dataDxfId="251"/>
    <tableColumn id="44" xr3:uid="{86BA2FF2-0356-48A4-BE00-FD82025C3205}" name="TS_PCT_RANK" dataDxfId="250"/>
    <tableColumn id="45" xr3:uid="{2B30D282-5D5C-4179-9A95-B22F447B3B90}" name="PACE_RANK" dataDxfId="249"/>
    <tableColumn id="46" xr3:uid="{E429D59D-8B8D-430A-90D6-65C5C857C1F2}" name="PIE_RANK" dataDxfId="248"/>
    <tableColumn id="47" xr3:uid="{EE5350F1-D2B8-44C5-901D-A4D0DE7C2449}" name="CFID" dataDxfId="247"/>
    <tableColumn id="48" xr3:uid="{7A335D96-62B9-4F98-A582-BEC9FBEC98D0}" name="CFPARAMS" dataDxfId="2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75B511-1684-4FDC-B755-6E279FB4FEB6}" name="Table_Standings_2016-17" displayName="Table_Standings_2016_17" ref="A1:CC31" totalsRowShown="0" headerRowDxfId="1">
  <autoFilter ref="A1:CC31" xr:uid="{B759D464-058D-4178-8678-1084C5ED57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3" xr3:uid="{12B45D09-ED01-4479-B7FA-AB70418FCC56}" name="TeamID" dataDxfId="0"/>
    <tableColumn id="1" xr3:uid="{2FD1AF89-B79D-4EFE-8ACE-60FBEF391A56}" name="LeagueID" dataDxfId="81"/>
    <tableColumn id="2" xr3:uid="{A3319D0E-67E1-4A78-80FE-A2C9C40CE577}" name="SeasonID" dataDxfId="80"/>
    <tableColumn id="4" xr3:uid="{0D317D3B-682E-463B-B3F7-03B497A15ECE}" name="TeamCity" dataDxfId="79"/>
    <tableColumn id="5" xr3:uid="{F0B82C7C-5479-42F1-B3CC-81AFB357B4AB}" name="TeamName" dataDxfId="78"/>
    <tableColumn id="6" xr3:uid="{C06B7A76-86B9-4186-A215-43031520C8B3}" name="Conference" dataDxfId="77"/>
    <tableColumn id="7" xr3:uid="{C3B6EDB7-C27D-4E7B-B30E-C9E8FD9F70E4}" name="ConferenceRecord" dataDxfId="76"/>
    <tableColumn id="8" xr3:uid="{F43A1D2C-6A76-4DBA-B20B-EFDF3130672C}" name="PlayoffRank" dataDxfId="75"/>
    <tableColumn id="9" xr3:uid="{7B04D418-D3D5-41F9-856D-592DF949B84A}" name="ClinchIndicator" dataDxfId="74"/>
    <tableColumn id="10" xr3:uid="{46633D5F-5AEC-4F78-B4E0-CAD5F0379A3A}" name="Division" dataDxfId="73"/>
    <tableColumn id="11" xr3:uid="{AF61DF51-CAC3-4C50-8DB4-EA35D9C29EF6}" name="DivisionRecord" dataDxfId="72"/>
    <tableColumn id="12" xr3:uid="{974A52EF-4148-47FE-8600-54FCA9B28302}" name="DivisionRank" dataDxfId="71"/>
    <tableColumn id="13" xr3:uid="{5DE91253-7CDC-498B-B2B6-C301165ABA6E}" name="WINS" dataDxfId="70"/>
    <tableColumn id="14" xr3:uid="{565D76BC-900F-4BC5-B930-A69EAAFD7AE0}" name="LOSSES" dataDxfId="69"/>
    <tableColumn id="15" xr3:uid="{B3FF11FE-7726-4651-8492-305A6124EB48}" name="WinPCT" dataDxfId="68"/>
    <tableColumn id="16" xr3:uid="{A770E8D1-BA4B-478D-AE01-83FB55F26446}" name="LeagueRank" dataDxfId="67"/>
    <tableColumn id="17" xr3:uid="{D43210FC-A0CA-479B-A1FB-DE6C3AD0E880}" name="Record" dataDxfId="66"/>
    <tableColumn id="18" xr3:uid="{479CE61C-0F41-45FC-8651-982FA8F40DB2}" name="HOME" dataDxfId="65"/>
    <tableColumn id="19" xr3:uid="{8148169F-1601-4365-B9DC-DAF1E8923B7E}" name="ROAD" dataDxfId="64"/>
    <tableColumn id="20" xr3:uid="{9266A9E9-9C51-4751-98EC-B9016E2C7282}" name="L10" dataDxfId="63"/>
    <tableColumn id="21" xr3:uid="{39A3F011-5283-4963-8BDE-B9E773445979}" name="Last10Home" dataDxfId="62"/>
    <tableColumn id="22" xr3:uid="{233E3AFB-DCA9-4A6B-8488-191DA59F0C54}" name="Last10Road" dataDxfId="61"/>
    <tableColumn id="23" xr3:uid="{DD99B83A-0FA6-49BE-A995-DE1906B0DD3C}" name="OT" dataDxfId="60"/>
    <tableColumn id="24" xr3:uid="{43962FCC-3E66-42C8-B69C-E1E41A212541}" name="ThreePTSOrLess" dataDxfId="59"/>
    <tableColumn id="25" xr3:uid="{10A737D0-0573-4BBE-BB9D-09F2F54F4F88}" name="TenPTSOrMore" dataDxfId="58"/>
    <tableColumn id="26" xr3:uid="{752E6D08-60D6-48B0-8B3B-E2C7007EDADE}" name="LongHomeStreak" dataDxfId="57"/>
    <tableColumn id="27" xr3:uid="{98EE82DE-4881-4FF2-9CA1-7DD7F0BDE0C5}" name="strLongHomeStreak" dataDxfId="56"/>
    <tableColumn id="28" xr3:uid="{5ED1F65C-C85A-42D2-AA7C-6BDB0F40B361}" name="LongRoadStreak" dataDxfId="55"/>
    <tableColumn id="29" xr3:uid="{1112CFF5-B26C-43B7-B0E5-F06B49A04F98}" name="strLongRoadStreak" dataDxfId="54"/>
    <tableColumn id="30" xr3:uid="{2AC64181-7882-405A-BE21-E09C7D07723B}" name="LongWinStreak" dataDxfId="53"/>
    <tableColumn id="31" xr3:uid="{D44179F7-67F7-4AE8-BD85-54CD14EEB3F9}" name="LongLossStreak" dataDxfId="52"/>
    <tableColumn id="32" xr3:uid="{80E858F5-EDC2-4590-849B-5E296B2E1E42}" name="CurrentHomeStreak" dataDxfId="51"/>
    <tableColumn id="33" xr3:uid="{76EE4598-496E-4547-8942-D6C03911A83B}" name="strCurrentHomeStreak" dataDxfId="50"/>
    <tableColumn id="34" xr3:uid="{E62C6BFE-6655-476A-8925-75A624AD72AC}" name="CurrentRoadStreak" dataDxfId="49"/>
    <tableColumn id="35" xr3:uid="{B0BC35BB-B196-4EE4-82C4-1ABFB5F1AD86}" name="strCurrentRoadStreak" dataDxfId="48"/>
    <tableColumn id="36" xr3:uid="{D92FD158-0526-4463-B502-B6F86F8CB292}" name="CurrentStreak" dataDxfId="47"/>
    <tableColumn id="37" xr3:uid="{D436E51B-3ECA-4B2A-9093-BAD59B150657}" name="strCurrentStreak" dataDxfId="46"/>
    <tableColumn id="38" xr3:uid="{075193F9-1680-4701-8705-1DD6440F0CE4}" name="ConferenceGamesBack" dataDxfId="45"/>
    <tableColumn id="39" xr3:uid="{C44625F8-2B3D-4D7B-84B6-DF98B40BD323}" name="DivisionGamesBack" dataDxfId="44"/>
    <tableColumn id="40" xr3:uid="{34BA9E20-12BC-4A68-9FE2-12BF4F7F616A}" name="ClinchedConferenceTitle" dataDxfId="43"/>
    <tableColumn id="41" xr3:uid="{5A1E1374-AA49-43F1-AA94-1966D9A3121F}" name="ClinchedDivisionTitle" dataDxfId="42"/>
    <tableColumn id="42" xr3:uid="{2ACF4D24-9360-418F-9610-DF4EBF4CB23B}" name="ClinchedPlayoffBirth" dataDxfId="41"/>
    <tableColumn id="43" xr3:uid="{380CA8C6-42C3-44FF-83E9-85CC55D7A202}" name="EliminatedConference" dataDxfId="40"/>
    <tableColumn id="44" xr3:uid="{61D2207B-9ADA-476D-A45E-979B34DAA1B0}" name="EliminatedDivision" dataDxfId="39"/>
    <tableColumn id="45" xr3:uid="{0839B1A3-9590-4368-A956-223D9173F05B}" name="AheadAtHalf" dataDxfId="38"/>
    <tableColumn id="46" xr3:uid="{B97E811F-6D5C-4072-BF9A-17B002E55FF1}" name="BehindAtHalf" dataDxfId="37"/>
    <tableColumn id="47" xr3:uid="{EF92B10D-E433-47C5-AEE0-1F1C03CEE177}" name="TiedAtHalf" dataDxfId="36"/>
    <tableColumn id="48" xr3:uid="{DE426FD3-A49F-409C-B025-B96EBB23BD66}" name="AheadAtThird" dataDxfId="35"/>
    <tableColumn id="49" xr3:uid="{FFEB8995-B39A-4DAC-9B4E-A46112901445}" name="BehindAtThird" dataDxfId="34"/>
    <tableColumn id="50" xr3:uid="{C14A7611-CFD7-4EC9-AB5C-1446E7D6721F}" name="TiedAtThird" dataDxfId="33"/>
    <tableColumn id="51" xr3:uid="{80EB7E21-C6AE-4000-9791-149AB705736E}" name="Score100PTS" dataDxfId="32"/>
    <tableColumn id="52" xr3:uid="{0D5AB8E5-2FFF-4119-97D9-92C5A98A75E8}" name="OppScore100PTS" dataDxfId="31"/>
    <tableColumn id="53" xr3:uid="{8C8CAE3A-812A-4B20-9CC7-FD2E1476FC88}" name="OppOver500" dataDxfId="30"/>
    <tableColumn id="54" xr3:uid="{E25B069E-A5F6-406F-8640-4D00D283C638}" name="LeadInFGPCT" dataDxfId="29"/>
    <tableColumn id="55" xr3:uid="{F0FFE306-018F-40A5-ABCA-A2E6925B3A24}" name="LeadInReb" dataDxfId="28"/>
    <tableColumn id="56" xr3:uid="{258B4590-B785-43BA-8A7F-74664F6ACF8F}" name="FewerTurnovers" dataDxfId="27"/>
    <tableColumn id="57" xr3:uid="{22F0CCCB-5290-4857-91BD-0ED022C5263E}" name="PointsPG" dataDxfId="26"/>
    <tableColumn id="58" xr3:uid="{17419379-3F09-42EE-8124-B68784349BF5}" name="OppPointsPG" dataDxfId="25"/>
    <tableColumn id="59" xr3:uid="{0E56057D-BD3C-44B0-BE22-364B71543771}" name="DiffPointsPG" dataDxfId="24"/>
    <tableColumn id="60" xr3:uid="{B5AF3176-F855-4181-83A8-FE4EC3CC33E9}" name="vsEast" dataDxfId="23"/>
    <tableColumn id="61" xr3:uid="{4779CB5B-3258-49FE-945E-09986C69F8CA}" name="vsAtlantic" dataDxfId="22"/>
    <tableColumn id="62" xr3:uid="{B2832EF4-A1CF-43C1-B796-0D12E95DCF97}" name="vsCentral" dataDxfId="21"/>
    <tableColumn id="63" xr3:uid="{AAF0E81A-DC2C-43BA-8607-34C61B386E10}" name="vsSoutheast" dataDxfId="20"/>
    <tableColumn id="64" xr3:uid="{80E3B9F8-DB75-41A9-8AB6-F2A2443CC45E}" name="vsWest" dataDxfId="19"/>
    <tableColumn id="65" xr3:uid="{3EC2ABBD-E1FF-407C-9411-ACDBBE70D049}" name="vsNorthwest" dataDxfId="18"/>
    <tableColumn id="66" xr3:uid="{DAA4A3A7-3569-453C-A617-BA5227BEF464}" name="vsPacific" dataDxfId="17"/>
    <tableColumn id="67" xr3:uid="{45C2EF8D-E58A-4B37-B79F-6F2F2802F1D5}" name="vsSouthwest" dataDxfId="16"/>
    <tableColumn id="68" xr3:uid="{B123DA2D-8024-4540-8EA2-62CD69AF9775}" name="Jan" dataDxfId="15"/>
    <tableColumn id="69" xr3:uid="{D657397F-861B-4601-8BC5-292C12199E75}" name="Feb" dataDxfId="14"/>
    <tableColumn id="70" xr3:uid="{B5746798-6AAB-4E24-BE00-897692DA1B5D}" name="Mar" dataDxfId="13"/>
    <tableColumn id="71" xr3:uid="{B5336A9F-5E0F-43F5-B456-B54A3F696995}" name="Apr" dataDxfId="12"/>
    <tableColumn id="72" xr3:uid="{13677D26-D986-4FB8-B737-CD1D07E2785B}" name="May" dataDxfId="11"/>
    <tableColumn id="73" xr3:uid="{D3EFDB9C-A29A-421E-ABED-32327A1D98C4}" name="Jun" dataDxfId="10"/>
    <tableColumn id="74" xr3:uid="{1D61BCDE-FC3B-4A4E-8157-30931A2EFB4A}" name="Jul" dataDxfId="9"/>
    <tableColumn id="75" xr3:uid="{947170FF-95CB-457D-A548-8B82A9F49BD5}" name="Aug" dataDxfId="8"/>
    <tableColumn id="76" xr3:uid="{F337F48B-73D6-478F-9F8A-F3C193CB1215}" name="Sep" dataDxfId="7"/>
    <tableColumn id="77" xr3:uid="{645835D0-E1E4-493F-8401-DDE76A5E8FA0}" name="Oct" dataDxfId="6"/>
    <tableColumn id="78" xr3:uid="{DB8EE5F1-3FE4-4A68-AB40-E1F9FCE107DD}" name="Nov" dataDxfId="5"/>
    <tableColumn id="79" xr3:uid="{44855AB5-8F18-4D22-A0F4-A40CACECEB37}" name="Dec" dataDxfId="4"/>
    <tableColumn id="80" xr3:uid="{CAF43FDD-6C02-4280-9F11-48211EEB0C3D}" name="PreAS" dataDxfId="3"/>
    <tableColumn id="81" xr3:uid="{B5D96C84-1EF7-455E-A0A0-CF0544AC7C02}" name="PostAS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D2D6964-69F7-498A-A014-BDF479C0E059}" name="Table_Standings_2017-18" displayName="Table_Standings_2017_18" ref="A1:CC31" totalsRowShown="0" headerRowDxfId="245">
  <autoFilter ref="A1:CC31" xr:uid="{006B2574-99AD-436E-8100-51F9CA1886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3" xr3:uid="{49BD5974-7DDF-4F3C-8B18-15E478AC6CEA}" name="TeamID" dataDxfId="244"/>
    <tableColumn id="1" xr3:uid="{302D7689-439B-4093-9073-97701E45E2F2}" name="LeagueID" dataDxfId="243"/>
    <tableColumn id="2" xr3:uid="{F284EF07-356E-4FC0-979C-ED4931E683CC}" name="SeasonID" dataDxfId="242"/>
    <tableColumn id="4" xr3:uid="{28921DED-C9FF-496E-B4AE-39170F6ACCEA}" name="TeamCity" dataDxfId="241"/>
    <tableColumn id="5" xr3:uid="{70DD175A-FEEF-4FF5-BCD1-B3ED429E730C}" name="TeamName" dataDxfId="240"/>
    <tableColumn id="6" xr3:uid="{00EC0EC7-2776-4CCB-85F7-D4B00D8239B6}" name="Conference" dataDxfId="239"/>
    <tableColumn id="7" xr3:uid="{2ABAD49C-9DD7-4F0B-9386-C36250D7F989}" name="ConferenceRecord" dataDxfId="238"/>
    <tableColumn id="8" xr3:uid="{0CA40BFC-1768-4E89-96AD-65847D47BB2B}" name="PlayoffRank" dataDxfId="237"/>
    <tableColumn id="9" xr3:uid="{3592DECA-13B3-44EF-9BD5-057BAA14269C}" name="ClinchIndicator" dataDxfId="236"/>
    <tableColumn id="10" xr3:uid="{EAF50ACD-96AA-446E-9F43-C955E6E95939}" name="Division" dataDxfId="235"/>
    <tableColumn id="11" xr3:uid="{D97005C9-EE7B-4F1F-93C7-6B6201644AA4}" name="DivisionRecord" dataDxfId="234"/>
    <tableColumn id="12" xr3:uid="{DC3018D9-0DB4-407C-B150-2A82807391C0}" name="DivisionRank" dataDxfId="233"/>
    <tableColumn id="13" xr3:uid="{6B2B6EC4-18EE-4AC5-8A41-C7332B2433E0}" name="WINS" dataDxfId="232"/>
    <tableColumn id="14" xr3:uid="{4F69DAC9-06FD-465E-90BB-003CDEDC93E8}" name="LOSSES" dataDxfId="231"/>
    <tableColumn id="15" xr3:uid="{B4601713-1E6C-401D-91DB-D55149B932E8}" name="WinPCT" dataDxfId="230"/>
    <tableColumn id="16" xr3:uid="{73DBAE07-694F-430B-87CA-56ACA40DC7C5}" name="LeagueRank" dataDxfId="229"/>
    <tableColumn id="17" xr3:uid="{CAA6413E-2B65-48D0-BE6A-1E061FE251F3}" name="Record" dataDxfId="228"/>
    <tableColumn id="18" xr3:uid="{D8D10232-9EC7-4462-9082-E691E9E3548F}" name="HOME" dataDxfId="227"/>
    <tableColumn id="19" xr3:uid="{C9AD5B7B-798C-4E59-9C73-A7F2FEB6F99D}" name="ROAD" dataDxfId="226"/>
    <tableColumn id="20" xr3:uid="{E202D168-6A31-44F9-8819-7789545B00D9}" name="L10" dataDxfId="225"/>
    <tableColumn id="21" xr3:uid="{0EC03F59-4C87-47FE-AC63-4973AE760973}" name="Last10Home" dataDxfId="224"/>
    <tableColumn id="22" xr3:uid="{6AC148F3-DCF8-44D3-AF5B-E61FE955BED9}" name="Last10Road" dataDxfId="223"/>
    <tableColumn id="23" xr3:uid="{C10B1A7B-864B-4FAE-AC18-05C350965BEE}" name="OT" dataDxfId="222"/>
    <tableColumn id="24" xr3:uid="{3AA0CAEF-0A1C-42CF-A7F4-9C616A7F8AAD}" name="ThreePTSOrLess" dataDxfId="221"/>
    <tableColumn id="25" xr3:uid="{72CB2072-3C16-4980-BE8C-C10AFE72D621}" name="TenPTSOrMore" dataDxfId="220"/>
    <tableColumn id="26" xr3:uid="{8906B40F-97A2-4F2C-8717-484C0804B959}" name="LongHomeStreak" dataDxfId="219"/>
    <tableColumn id="27" xr3:uid="{12255AA9-18EF-4225-96A3-3BACE84F872E}" name="strLongHomeStreak" dataDxfId="218"/>
    <tableColumn id="28" xr3:uid="{2FDDBBCC-F5E3-4B80-A3A6-954CE33D0E21}" name="LongRoadStreak" dataDxfId="217"/>
    <tableColumn id="29" xr3:uid="{AF0C7820-4FA0-4F99-8608-105B3C923470}" name="strLongRoadStreak" dataDxfId="216"/>
    <tableColumn id="30" xr3:uid="{384324C2-B1E8-4EFC-8A9C-228CFDF52B8E}" name="LongWinStreak" dataDxfId="215"/>
    <tableColumn id="31" xr3:uid="{3FE5841C-3957-4BE9-A7FA-54AEF1B081E0}" name="LongLossStreak" dataDxfId="214"/>
    <tableColumn id="32" xr3:uid="{69AE8027-DB9C-4794-A0C1-150B027FB97E}" name="CurrentHomeStreak" dataDxfId="213"/>
    <tableColumn id="33" xr3:uid="{09CD07F7-9C87-46EA-85E3-30D424CEB6D9}" name="strCurrentHomeStreak" dataDxfId="212"/>
    <tableColumn id="34" xr3:uid="{0E43665B-02B5-4F39-ACA0-ECF28E1FD4F3}" name="CurrentRoadStreak" dataDxfId="211"/>
    <tableColumn id="35" xr3:uid="{B2284495-F2CC-4316-84AF-C8D136C39635}" name="strCurrentRoadStreak" dataDxfId="210"/>
    <tableColumn id="36" xr3:uid="{5089E73F-7230-44F0-A4EC-E4F613ECDC7E}" name="CurrentStreak" dataDxfId="209"/>
    <tableColumn id="37" xr3:uid="{FB587B8B-A2CE-4D17-B5FA-1AAA23AD6AAF}" name="strCurrentStreak" dataDxfId="208"/>
    <tableColumn id="38" xr3:uid="{82902F1F-4742-41CF-A8D6-588AFF20A588}" name="ConferenceGamesBack" dataDxfId="207"/>
    <tableColumn id="39" xr3:uid="{724EDDD3-8F13-4D27-8B4B-0418C2845D09}" name="DivisionGamesBack" dataDxfId="206"/>
    <tableColumn id="40" xr3:uid="{A29E5B5A-2A08-4E1D-9072-67E6BC95B8B8}" name="ClinchedConferenceTitle" dataDxfId="205"/>
    <tableColumn id="41" xr3:uid="{186660AD-C4ED-42D4-B46B-627CB57B2509}" name="ClinchedDivisionTitle" dataDxfId="204"/>
    <tableColumn id="42" xr3:uid="{D7589E3C-081C-4CB6-A6AA-C3DCA2B72C46}" name="ClinchedPlayoffBirth" dataDxfId="203"/>
    <tableColumn id="43" xr3:uid="{60CA52C9-3E53-4CD5-8CFF-46E89EF2E054}" name="EliminatedConference" dataDxfId="202"/>
    <tableColumn id="44" xr3:uid="{659D89D8-A7CE-408B-BEE9-34B2B7259D8C}" name="EliminatedDivision" dataDxfId="201"/>
    <tableColumn id="45" xr3:uid="{A3DF2851-29E0-4D72-8561-F339A3994A1A}" name="AheadAtHalf" dataDxfId="200"/>
    <tableColumn id="46" xr3:uid="{FC91B4D8-5B6C-4CD1-A8A3-D6AAFDFA598E}" name="BehindAtHalf" dataDxfId="199"/>
    <tableColumn id="47" xr3:uid="{52C00AFC-12F9-4302-82DC-5D3F9C7F6D08}" name="TiedAtHalf" dataDxfId="198"/>
    <tableColumn id="48" xr3:uid="{CCDAA512-A95D-440C-95AC-1E8B0931EA4C}" name="AheadAtThird" dataDxfId="197"/>
    <tableColumn id="49" xr3:uid="{EBB19DB6-EDA6-42D5-9C01-311995731359}" name="BehindAtThird" dataDxfId="196"/>
    <tableColumn id="50" xr3:uid="{3501ABB6-C236-4EC2-B5B2-350864BB3907}" name="TiedAtThird" dataDxfId="195"/>
    <tableColumn id="51" xr3:uid="{2945450F-0149-4872-BAE8-D2C75AA974D9}" name="Score100PTS" dataDxfId="194"/>
    <tableColumn id="52" xr3:uid="{20F33624-E8FB-4E9B-B510-DA195E38814A}" name="OppScore100PTS" dataDxfId="193"/>
    <tableColumn id="53" xr3:uid="{9F50A8EA-A9B1-4E14-B5AD-E60372808BD5}" name="OppOver500" dataDxfId="192"/>
    <tableColumn id="54" xr3:uid="{0CDB4107-10E6-4626-B294-78F3F6ED94B6}" name="LeadInFGPCT" dataDxfId="191"/>
    <tableColumn id="55" xr3:uid="{A6338626-A666-43C8-A8AA-C86F6D3A839B}" name="LeadInReb" dataDxfId="190"/>
    <tableColumn id="56" xr3:uid="{8E187CA0-7026-482B-9BE6-B39372EC431E}" name="FewerTurnovers" dataDxfId="189"/>
    <tableColumn id="57" xr3:uid="{6E6E3D52-3198-4005-AD37-DF3EB34DF6B4}" name="PointsPG" dataDxfId="188"/>
    <tableColumn id="58" xr3:uid="{BC173CF6-F01E-47B7-A919-9B79276B65C9}" name="OppPointsPG" dataDxfId="187"/>
    <tableColumn id="59" xr3:uid="{F5001C2E-07B5-415A-A51E-FFBDE21EADE5}" name="DiffPointsPG" dataDxfId="186"/>
    <tableColumn id="60" xr3:uid="{40899B0C-7644-412D-A1E5-73A0CFD0282B}" name="vsEast" dataDxfId="185"/>
    <tableColumn id="61" xr3:uid="{07E9B5C5-C932-456F-93D5-8B6353D9522A}" name="vsAtlantic" dataDxfId="184"/>
    <tableColumn id="62" xr3:uid="{D689C423-50F2-47C6-8A26-6A924D86261F}" name="vsCentral" dataDxfId="183"/>
    <tableColumn id="63" xr3:uid="{191D61B2-1B49-4990-82DA-B12C2B0DE15E}" name="vsSoutheast" dataDxfId="182"/>
    <tableColumn id="64" xr3:uid="{04C82018-E2EB-46A6-BB91-E1078755DCBC}" name="vsWest" dataDxfId="181"/>
    <tableColumn id="65" xr3:uid="{6D292F35-2C55-4374-93A9-C4E33C7DFA5B}" name="vsNorthwest" dataDxfId="180"/>
    <tableColumn id="66" xr3:uid="{E9AF3D1A-53CD-4335-808B-DC7D5148A5D6}" name="vsPacific" dataDxfId="179"/>
    <tableColumn id="67" xr3:uid="{F2F46D4E-451A-45AF-9CA9-9B4330565F26}" name="vsSouthwest" dataDxfId="178"/>
    <tableColumn id="68" xr3:uid="{31A5C1EE-52CE-44AC-97BE-B4CA07C8E0D9}" name="Jan" dataDxfId="177"/>
    <tableColumn id="69" xr3:uid="{7C665B92-42EE-496B-875D-5E7B50A5C9DC}" name="Feb" dataDxfId="176"/>
    <tableColumn id="70" xr3:uid="{050D5883-7F81-4AF6-93B0-DF93F6AAA0AA}" name="Mar" dataDxfId="175"/>
    <tableColumn id="71" xr3:uid="{CF5C8BF4-2247-4419-A8D3-C6D83C09F5C3}" name="Apr" dataDxfId="174"/>
    <tableColumn id="72" xr3:uid="{3B43A6FE-7F72-453A-ABBF-20C99E2F55C1}" name="May" dataDxfId="173"/>
    <tableColumn id="73" xr3:uid="{E5147E17-8406-4B63-A469-90EAE97ED196}" name="Jun" dataDxfId="172"/>
    <tableColumn id="74" xr3:uid="{F2D0A48C-D74A-419B-925A-3DCBCA7F19E3}" name="Jul" dataDxfId="171"/>
    <tableColumn id="75" xr3:uid="{4D973F88-34A0-45A9-837E-63FAA53ED4C3}" name="Aug" dataDxfId="170"/>
    <tableColumn id="76" xr3:uid="{3E203848-80BD-4A51-8343-899BBA43858F}" name="Sep" dataDxfId="169"/>
    <tableColumn id="77" xr3:uid="{04C42D5B-E6A3-4972-BE39-0A09DAA63D95}" name="Oct" dataDxfId="168"/>
    <tableColumn id="78" xr3:uid="{EB60DC80-2F59-4FC7-BE3D-531D56D2E8DF}" name="Nov" dataDxfId="167"/>
    <tableColumn id="79" xr3:uid="{5940F1DB-4BE1-44F8-B65B-487EA356F869}" name="Dec" dataDxfId="166"/>
    <tableColumn id="80" xr3:uid="{4F37C35B-B78A-4217-8992-49866E2C070C}" name="PreAS" dataDxfId="165"/>
    <tableColumn id="81" xr3:uid="{671074AC-5F52-4349-87C4-F602415040EF}" name="PostAS" dataDxfId="16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709E8E-BDEA-4FDF-8774-681848C2818F}" name="Table_Standings_2018-19" displayName="Table_Standings_2018_19" ref="A1:CC31" totalsRowShown="0" headerRowDxfId="163">
  <autoFilter ref="A1:CC31" xr:uid="{F465FFF1-BB76-4048-A039-E24C9297F0D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3" xr3:uid="{5780EAEE-FE0B-4030-87A6-7CFC263E1F71}" name="TeamID" dataDxfId="162"/>
    <tableColumn id="1" xr3:uid="{E938A611-594B-457A-99CD-CC27C5925E81}" name="LeagueID" dataDxfId="161"/>
    <tableColumn id="2" xr3:uid="{232D63E0-9579-4538-8216-173EBBC2C817}" name="SeasonID" dataDxfId="160"/>
    <tableColumn id="4" xr3:uid="{8BD2A012-50E3-441D-802D-3719A3C6F6C0}" name="TeamCity" dataDxfId="159"/>
    <tableColumn id="5" xr3:uid="{A34C69B8-9BED-4E16-89B4-23C21D933A40}" name="TeamName" dataDxfId="158"/>
    <tableColumn id="6" xr3:uid="{B166457B-EA56-4C21-895C-3E3C13824D11}" name="Conference" dataDxfId="157"/>
    <tableColumn id="7" xr3:uid="{A3BEFAE4-F180-417C-A800-AFD831579BDC}" name="ConferenceRecord" dataDxfId="156"/>
    <tableColumn id="8" xr3:uid="{738334F2-70EF-4808-B153-FD19BB206F28}" name="PlayoffRank" dataDxfId="155"/>
    <tableColumn id="9" xr3:uid="{BF81B863-115C-4AFC-B83E-734E83A7E487}" name="ClinchIndicator" dataDxfId="154"/>
    <tableColumn id="10" xr3:uid="{50132819-A74F-4B6E-B933-335B363FA9F8}" name="Division" dataDxfId="153"/>
    <tableColumn id="11" xr3:uid="{B9780EFC-27DA-42E9-826F-F3F8B752AB10}" name="DivisionRecord" dataDxfId="152"/>
    <tableColumn id="12" xr3:uid="{FD18F57B-6087-45D9-A5C8-42ED268DF9F8}" name="DivisionRank" dataDxfId="151"/>
    <tableColumn id="13" xr3:uid="{ADA00653-70C4-49CD-AB33-9F978591D7EB}" name="WINS" dataDxfId="150"/>
    <tableColumn id="14" xr3:uid="{BB830C2F-A9C6-4338-BB17-9D4FE1A06A1F}" name="LOSSES" dataDxfId="149"/>
    <tableColumn id="15" xr3:uid="{8BF79C95-89F4-41C0-960B-11BDDAED72EE}" name="WinPCT" dataDxfId="148"/>
    <tableColumn id="16" xr3:uid="{D07187E1-7683-4BA2-8DC7-6D07B84D08D9}" name="LeagueRank" dataDxfId="147"/>
    <tableColumn id="17" xr3:uid="{7CFB4880-32C6-4093-A8F4-ACF9F5619506}" name="Record" dataDxfId="146"/>
    <tableColumn id="18" xr3:uid="{4EDEFA62-EED7-4700-8659-28577ABF1E4A}" name="HOME" dataDxfId="145"/>
    <tableColumn id="19" xr3:uid="{953D3A71-70F1-4E23-9615-B8E9D81F921F}" name="ROAD" dataDxfId="144"/>
    <tableColumn id="20" xr3:uid="{00B7878C-30FB-439E-AC2A-44A9AA257ED9}" name="L10" dataDxfId="143"/>
    <tableColumn id="21" xr3:uid="{90691E9D-2797-4224-88A1-D332CF1A5D4E}" name="Last10Home" dataDxfId="142"/>
    <tableColumn id="22" xr3:uid="{6A5D1BFF-AA60-4A07-81C8-D1B346E933F4}" name="Last10Road" dataDxfId="141"/>
    <tableColumn id="23" xr3:uid="{A2273C29-8EF7-4C4F-A961-1E6E2293A1F5}" name="OT" dataDxfId="140"/>
    <tableColumn id="24" xr3:uid="{0328C027-FFE9-4C58-AD0F-48BA86600169}" name="ThreePTSOrLess" dataDxfId="139"/>
    <tableColumn id="25" xr3:uid="{9E1B65E1-18B4-4ECC-9901-1EB1E529EF6A}" name="TenPTSOrMore" dataDxfId="138"/>
    <tableColumn id="26" xr3:uid="{75845048-065E-4D74-A59C-FDF3B91DB391}" name="LongHomeStreak" dataDxfId="137"/>
    <tableColumn id="27" xr3:uid="{A086B3FC-CA36-468B-8A92-E707F1CDD2A6}" name="strLongHomeStreak" dataDxfId="136"/>
    <tableColumn id="28" xr3:uid="{57EFD18E-AA15-4168-8B50-2ECD8A17D340}" name="LongRoadStreak" dataDxfId="135"/>
    <tableColumn id="29" xr3:uid="{A17C63CB-08DA-4FF4-BC05-317697FD793E}" name="strLongRoadStreak" dataDxfId="134"/>
    <tableColumn id="30" xr3:uid="{2223801E-6543-4483-A20F-4324147FB2D4}" name="LongWinStreak" dataDxfId="133"/>
    <tableColumn id="31" xr3:uid="{8ACEC34B-4B07-474B-AB95-E405881ADD04}" name="LongLossStreak" dataDxfId="132"/>
    <tableColumn id="32" xr3:uid="{C8CA25B1-2181-45F1-9D2A-E3671A307D75}" name="CurrentHomeStreak" dataDxfId="131"/>
    <tableColumn id="33" xr3:uid="{D94239C3-7E62-45F3-B537-83CEC7B8DAA4}" name="strCurrentHomeStreak" dataDxfId="130"/>
    <tableColumn id="34" xr3:uid="{BFEEB7BA-66B3-4E56-BFB0-FB9885098D55}" name="CurrentRoadStreak" dataDxfId="129"/>
    <tableColumn id="35" xr3:uid="{26C37BB1-F029-4FB1-8E04-ABFB7762E6A8}" name="strCurrentRoadStreak" dataDxfId="128"/>
    <tableColumn id="36" xr3:uid="{60BBDF83-23AF-4260-88B8-5DF59DE0ED85}" name="CurrentStreak" dataDxfId="127"/>
    <tableColumn id="37" xr3:uid="{0025D4D4-741F-4BEA-931E-16D459A708E7}" name="strCurrentStreak" dataDxfId="126"/>
    <tableColumn id="38" xr3:uid="{E7C3468B-0B97-4FA8-82B3-719A328229B9}" name="ConferenceGamesBack" dataDxfId="125"/>
    <tableColumn id="39" xr3:uid="{45121F41-C67F-4331-BD10-DB2498219AFE}" name="DivisionGamesBack" dataDxfId="124"/>
    <tableColumn id="40" xr3:uid="{093F55FF-776B-47CF-8FE5-0BB20F7265F8}" name="ClinchedConferenceTitle" dataDxfId="123"/>
    <tableColumn id="41" xr3:uid="{6D992628-63A8-4977-9B66-118E54A7BBFB}" name="ClinchedDivisionTitle" dataDxfId="122"/>
    <tableColumn id="42" xr3:uid="{49447411-F3B4-481C-9794-23048C7F5F4F}" name="ClinchedPlayoffBirth" dataDxfId="121"/>
    <tableColumn id="43" xr3:uid="{EF9580CE-A61C-4FDE-8A6A-4005D3C34072}" name="EliminatedConference" dataDxfId="120"/>
    <tableColumn id="44" xr3:uid="{AB472B3B-ADCD-43E1-BFC5-A2D74124AFC2}" name="EliminatedDivision" dataDxfId="119"/>
    <tableColumn id="45" xr3:uid="{F8060DCD-048C-419A-BEAA-5387F3587602}" name="AheadAtHalf" dataDxfId="118"/>
    <tableColumn id="46" xr3:uid="{0763DC3F-25A8-4708-90A5-3DA0EF351D9F}" name="BehindAtHalf" dataDxfId="117"/>
    <tableColumn id="47" xr3:uid="{EEF14744-E933-4CAE-989B-4C1EB2EC9114}" name="TiedAtHalf" dataDxfId="116"/>
    <tableColumn id="48" xr3:uid="{B1AD3A25-F848-4301-80F3-07992D0842FD}" name="AheadAtThird" dataDxfId="115"/>
    <tableColumn id="49" xr3:uid="{F19815F5-A092-494E-9CD9-B6FE4B50ED5F}" name="BehindAtThird" dataDxfId="114"/>
    <tableColumn id="50" xr3:uid="{66C25AA2-34A7-4C18-8360-05B0B353ABAD}" name="TiedAtThird" dataDxfId="113"/>
    <tableColumn id="51" xr3:uid="{57F31419-6557-46AE-AE03-B2BC007AC3AD}" name="Score100PTS" dataDxfId="112"/>
    <tableColumn id="52" xr3:uid="{0D24764A-42F2-4035-B5DD-929D5A909609}" name="OppScore100PTS" dataDxfId="111"/>
    <tableColumn id="53" xr3:uid="{C673C135-67A3-4E3A-9504-D5CBBB177B21}" name="OppOver500" dataDxfId="110"/>
    <tableColumn id="54" xr3:uid="{ECAED611-5396-42B5-976E-60F883D658F8}" name="LeadInFGPCT" dataDxfId="109"/>
    <tableColumn id="55" xr3:uid="{EC33C45F-69A0-4ED7-A40A-E889FA0D953F}" name="LeadInReb" dataDxfId="108"/>
    <tableColumn id="56" xr3:uid="{9F98724D-988D-4121-B61B-1E5340F8A366}" name="FewerTurnovers" dataDxfId="107"/>
    <tableColumn id="57" xr3:uid="{A4B46583-DB62-4664-912E-69694AAA6615}" name="PointsPG" dataDxfId="106"/>
    <tableColumn id="58" xr3:uid="{A4D3C31D-80CC-45A0-88B4-98DCE6EBD288}" name="OppPointsPG" dataDxfId="105"/>
    <tableColumn id="59" xr3:uid="{F07166D5-769F-4E27-94E2-F5EDCE4485BF}" name="DiffPointsPG" dataDxfId="104"/>
    <tableColumn id="60" xr3:uid="{85C29A4C-8919-4278-ABC0-7A9408B07ADB}" name="vsEast" dataDxfId="103"/>
    <tableColumn id="61" xr3:uid="{AFCAA904-4816-42D4-BED2-3C0C44DB87F0}" name="vsAtlantic" dataDxfId="102"/>
    <tableColumn id="62" xr3:uid="{9DF49BF5-A589-4635-906A-AF2E41C218A0}" name="vsCentral" dataDxfId="101"/>
    <tableColumn id="63" xr3:uid="{7BF6D1A7-E5C8-4DA2-A263-9E5DCC4322CF}" name="vsSoutheast" dataDxfId="100"/>
    <tableColumn id="64" xr3:uid="{BCF94F77-703B-4725-8297-B44392D819F0}" name="vsWest" dataDxfId="99"/>
    <tableColumn id="65" xr3:uid="{049D08DC-C2E9-4357-91DC-3130ACC1D41E}" name="vsNorthwest" dataDxfId="98"/>
    <tableColumn id="66" xr3:uid="{D31FC40A-F4B4-48AC-8031-329DA56444EE}" name="vsPacific" dataDxfId="97"/>
    <tableColumn id="67" xr3:uid="{64EB4B05-FBEB-482A-B356-B44FC219D154}" name="vsSouthwest" dataDxfId="96"/>
    <tableColumn id="68" xr3:uid="{131AA006-0981-4D14-A4C2-93696899000E}" name="Jan" dataDxfId="95"/>
    <tableColumn id="69" xr3:uid="{53BA7B94-6DB7-4FEC-80C4-3072DD6A7C69}" name="Feb" dataDxfId="94"/>
    <tableColumn id="70" xr3:uid="{709121F1-8888-4A08-AE2D-F1F8C45473D8}" name="Mar" dataDxfId="93"/>
    <tableColumn id="71" xr3:uid="{017C69AB-6023-4D7C-A557-6311D585FA44}" name="Apr" dataDxfId="92"/>
    <tableColumn id="72" xr3:uid="{26EB6138-8CE3-4B47-8A6E-E64A91C4AAEF}" name="May" dataDxfId="91"/>
    <tableColumn id="73" xr3:uid="{79BCD456-DC40-4DF7-899C-F23207A8E121}" name="Jun" dataDxfId="90"/>
    <tableColumn id="74" xr3:uid="{520328D7-294C-45B5-AED4-8D453699089F}" name="Jul" dataDxfId="89"/>
    <tableColumn id="75" xr3:uid="{28077861-3839-4B09-8A40-7795ECC951B9}" name="Aug" dataDxfId="88"/>
    <tableColumn id="76" xr3:uid="{4E6427CB-26F6-485F-8A19-E6FF4A16EB60}" name="Sep" dataDxfId="87"/>
    <tableColumn id="77" xr3:uid="{88F01F53-A9CC-4355-83BE-B936DCF20362}" name="Oct" dataDxfId="86"/>
    <tableColumn id="78" xr3:uid="{51F5D7CF-0D15-4B80-A574-B24D695342EC}" name="Nov" dataDxfId="85"/>
    <tableColumn id="79" xr3:uid="{AF9E3E0C-9F5D-4EE5-8E7F-3FDCA82A1357}" name="Dec" dataDxfId="84"/>
    <tableColumn id="80" xr3:uid="{6075D6D0-F487-4FED-860B-2C4EF35E2A19}" name="PreAS" dataDxfId="83"/>
    <tableColumn id="81" xr3:uid="{972563CB-8197-4239-BB80-163BF141FC22}" name="PostAS" dataDxfId="8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F4661-126F-4C99-9B3A-F1E833D412FB}">
  <sheetPr codeName="Sheet1"/>
  <dimension ref="B1:G8"/>
  <sheetViews>
    <sheetView workbookViewId="0">
      <selection activeCell="C24" sqref="C24"/>
    </sheetView>
  </sheetViews>
  <sheetFormatPr defaultRowHeight="13.3" x14ac:dyDescent="0.25"/>
  <cols>
    <col min="2" max="2" width="15.15234375" bestFit="1" customWidth="1"/>
  </cols>
  <sheetData>
    <row r="1" spans="2:7" x14ac:dyDescent="0.25">
      <c r="C1" t="str">
        <f xml:space="preserve"> GetSeason(2)</f>
        <v>2016-17</v>
      </c>
      <c r="E1" t="str">
        <f>GetSeason(1)</f>
        <v>2017-18</v>
      </c>
      <c r="G1" t="str">
        <f xml:space="preserve"> GetSeason(0)</f>
        <v>2018-19</v>
      </c>
    </row>
    <row r="2" spans="2:7" x14ac:dyDescent="0.25">
      <c r="B2" t="s">
        <v>1603</v>
      </c>
    </row>
    <row r="3" spans="2:7" x14ac:dyDescent="0.25">
      <c r="B3" t="s">
        <v>1604</v>
      </c>
    </row>
    <row r="5" spans="2:7" x14ac:dyDescent="0.25">
      <c r="B5" t="s">
        <v>1605</v>
      </c>
    </row>
    <row r="6" spans="2:7" x14ac:dyDescent="0.25">
      <c r="B6" t="s">
        <v>1606</v>
      </c>
    </row>
    <row r="7" spans="2:7" x14ac:dyDescent="0.25">
      <c r="B7" t="s">
        <v>1607</v>
      </c>
    </row>
    <row r="8" spans="2:7" x14ac:dyDescent="0.25">
      <c r="B8" t="s">
        <v>1608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53DCF-80DC-4AA8-8C8C-70AF08CD7FD6}">
  <sheetPr codeName="Sheet16"/>
  <dimension ref="A1:BD2"/>
  <sheetViews>
    <sheetView workbookViewId="0">
      <selection activeCell="B34" sqref="B34"/>
    </sheetView>
  </sheetViews>
  <sheetFormatPr defaultRowHeight="13.3" x14ac:dyDescent="0.25"/>
  <cols>
    <col min="1" max="1" width="14.07421875" customWidth="1"/>
    <col min="2" max="2" width="16.6914062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103</v>
      </c>
      <c r="B1" s="1" t="s">
        <v>104</v>
      </c>
      <c r="C1" s="1" t="s">
        <v>105</v>
      </c>
      <c r="D1" s="1" t="s">
        <v>106</v>
      </c>
      <c r="E1" s="1" t="s">
        <v>107</v>
      </c>
      <c r="F1" s="1" t="s">
        <v>108</v>
      </c>
      <c r="G1" s="1" t="s">
        <v>15</v>
      </c>
      <c r="H1" s="1" t="s">
        <v>1557</v>
      </c>
      <c r="I1" s="1" t="s">
        <v>1558</v>
      </c>
      <c r="J1" s="1" t="s">
        <v>1559</v>
      </c>
      <c r="K1" s="1" t="s">
        <v>1560</v>
      </c>
      <c r="L1" s="1" t="s">
        <v>1561</v>
      </c>
      <c r="M1" s="1" t="s">
        <v>1562</v>
      </c>
      <c r="N1" s="1" t="s">
        <v>1563</v>
      </c>
      <c r="O1" s="1" t="s">
        <v>1564</v>
      </c>
      <c r="P1" s="1" t="s">
        <v>1565</v>
      </c>
      <c r="Q1" s="1" t="s">
        <v>1566</v>
      </c>
      <c r="R1" s="1" t="s">
        <v>1567</v>
      </c>
      <c r="S1" s="1" t="s">
        <v>1568</v>
      </c>
      <c r="T1" s="1" t="s">
        <v>1569</v>
      </c>
      <c r="U1" s="1" t="s">
        <v>1570</v>
      </c>
      <c r="V1" s="1" t="s">
        <v>1571</v>
      </c>
      <c r="W1" s="1" t="s">
        <v>1572</v>
      </c>
      <c r="X1" s="1" t="s">
        <v>1573</v>
      </c>
      <c r="Y1" s="1" t="s">
        <v>1574</v>
      </c>
      <c r="Z1" s="1" t="s">
        <v>1575</v>
      </c>
      <c r="AA1" s="1" t="s">
        <v>1576</v>
      </c>
      <c r="AB1" s="1" t="s">
        <v>1577</v>
      </c>
      <c r="AC1" s="1" t="s">
        <v>109</v>
      </c>
      <c r="AD1" s="1" t="s">
        <v>110</v>
      </c>
      <c r="AE1" s="1" t="s">
        <v>111</v>
      </c>
      <c r="AF1" s="1" t="s">
        <v>112</v>
      </c>
      <c r="AG1" s="1" t="s">
        <v>113</v>
      </c>
      <c r="AH1" s="1" t="s">
        <v>1578</v>
      </c>
      <c r="AI1" s="1" t="s">
        <v>1579</v>
      </c>
      <c r="AJ1" s="1" t="s">
        <v>1580</v>
      </c>
      <c r="AK1" s="1" t="s">
        <v>1581</v>
      </c>
      <c r="AL1" s="1" t="s">
        <v>1582</v>
      </c>
      <c r="AM1" s="1" t="s">
        <v>1583</v>
      </c>
      <c r="AN1" s="1" t="s">
        <v>1584</v>
      </c>
      <c r="AO1" s="1" t="s">
        <v>1585</v>
      </c>
      <c r="AP1" s="1" t="s">
        <v>1586</v>
      </c>
      <c r="AQ1" s="1" t="s">
        <v>1587</v>
      </c>
      <c r="AR1" s="1" t="s">
        <v>1588</v>
      </c>
      <c r="AS1" s="1" t="s">
        <v>1589</v>
      </c>
      <c r="AT1" s="1" t="s">
        <v>1590</v>
      </c>
      <c r="AU1" s="1" t="s">
        <v>1591</v>
      </c>
      <c r="AV1" s="1" t="s">
        <v>1592</v>
      </c>
      <c r="AW1" s="1" t="s">
        <v>1593</v>
      </c>
      <c r="AX1" s="1" t="s">
        <v>1594</v>
      </c>
      <c r="AY1" s="1" t="s">
        <v>1595</v>
      </c>
      <c r="AZ1" s="1" t="s">
        <v>1596</v>
      </c>
      <c r="BA1" s="1" t="s">
        <v>1597</v>
      </c>
      <c r="BB1" s="1" t="s">
        <v>1598</v>
      </c>
      <c r="BC1" s="1" t="s">
        <v>114</v>
      </c>
      <c r="BD1" s="1" t="s">
        <v>115</v>
      </c>
    </row>
    <row r="2" spans="1:56" x14ac:dyDescent="0.25">
      <c r="A2" s="1" t="s">
        <v>1599</v>
      </c>
      <c r="B2" s="1" t="s">
        <v>1599</v>
      </c>
      <c r="C2" s="1">
        <v>5</v>
      </c>
      <c r="D2" s="1">
        <v>3</v>
      </c>
      <c r="E2" s="1">
        <v>2</v>
      </c>
      <c r="F2" s="1">
        <v>0.6</v>
      </c>
      <c r="G2" s="1">
        <v>48</v>
      </c>
      <c r="H2" s="1">
        <v>44.2</v>
      </c>
      <c r="I2" s="1">
        <v>93.2</v>
      </c>
      <c r="J2" s="1">
        <v>0.47399999999999998</v>
      </c>
      <c r="K2" s="1">
        <v>12.6</v>
      </c>
      <c r="L2" s="1">
        <v>37.799999999999997</v>
      </c>
      <c r="M2" s="1">
        <v>0.33300000000000002</v>
      </c>
      <c r="N2" s="1">
        <v>22.6</v>
      </c>
      <c r="O2" s="1">
        <v>29.8</v>
      </c>
      <c r="P2" s="1">
        <v>0.75800000000000001</v>
      </c>
      <c r="Q2" s="1">
        <v>8.4</v>
      </c>
      <c r="R2" s="1">
        <v>41</v>
      </c>
      <c r="S2" s="1">
        <v>49.4</v>
      </c>
      <c r="T2" s="1">
        <v>25.6</v>
      </c>
      <c r="U2" s="1" t="s">
        <v>1600</v>
      </c>
      <c r="V2" s="1">
        <v>8.4</v>
      </c>
      <c r="W2" s="1">
        <v>5.6</v>
      </c>
      <c r="X2" s="1">
        <v>3.8</v>
      </c>
      <c r="Y2" s="1">
        <v>19.8</v>
      </c>
      <c r="Z2" s="1">
        <v>23.8</v>
      </c>
      <c r="AA2" s="1">
        <v>123.6</v>
      </c>
      <c r="AB2" s="1" t="s">
        <v>1601</v>
      </c>
      <c r="AC2" s="1">
        <v>1</v>
      </c>
      <c r="AD2" s="1">
        <v>1</v>
      </c>
      <c r="AE2" s="1">
        <v>1</v>
      </c>
      <c r="AF2" s="1">
        <v>1</v>
      </c>
      <c r="AG2" s="1">
        <v>1</v>
      </c>
      <c r="AH2" s="1">
        <v>1</v>
      </c>
      <c r="AI2" s="1">
        <v>1</v>
      </c>
      <c r="AJ2" s="1">
        <v>1</v>
      </c>
      <c r="AK2" s="1">
        <v>1</v>
      </c>
      <c r="AL2" s="1">
        <v>1</v>
      </c>
      <c r="AM2" s="1">
        <v>1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1</v>
      </c>
      <c r="AV2" s="1">
        <v>1</v>
      </c>
      <c r="AW2" s="1">
        <v>1</v>
      </c>
      <c r="AX2" s="1">
        <v>1</v>
      </c>
      <c r="AY2" s="1">
        <v>1</v>
      </c>
      <c r="AZ2" s="1">
        <v>1</v>
      </c>
      <c r="BA2" s="1">
        <v>1</v>
      </c>
      <c r="BB2" s="1">
        <v>1</v>
      </c>
      <c r="BC2" s="1">
        <v>162</v>
      </c>
      <c r="BD2" s="1" t="s">
        <v>1599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7DFFF-7045-4599-BE6F-B3D41D564345}">
  <sheetPr codeName="Sheet15"/>
  <dimension ref="A1:E46"/>
  <sheetViews>
    <sheetView workbookViewId="0"/>
  </sheetViews>
  <sheetFormatPr defaultRowHeight="13.3" x14ac:dyDescent="0.25"/>
  <cols>
    <col min="1" max="1" width="13.07421875" customWidth="1"/>
    <col min="2" max="2" width="10.61328125" customWidth="1"/>
    <col min="3" max="3" width="11.921875" customWidth="1"/>
    <col min="4" max="4" width="12.61328125" customWidth="1"/>
    <col min="5" max="5" width="17.074218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1556</v>
      </c>
    </row>
    <row r="2" spans="1:5" x14ac:dyDescent="0.25">
      <c r="A2" s="1" t="s">
        <v>48</v>
      </c>
      <c r="B2" s="1">
        <v>1610612737</v>
      </c>
      <c r="C2" s="1" t="s">
        <v>84</v>
      </c>
      <c r="D2" s="1" t="s">
        <v>47</v>
      </c>
      <c r="E2" s="1" t="s">
        <v>4</v>
      </c>
    </row>
    <row r="3" spans="1:5" x14ac:dyDescent="0.25">
      <c r="A3" s="1" t="s">
        <v>48</v>
      </c>
      <c r="B3" s="1">
        <v>1610612738</v>
      </c>
      <c r="C3" s="1" t="s">
        <v>85</v>
      </c>
      <c r="D3" s="1" t="s">
        <v>47</v>
      </c>
      <c r="E3" s="1" t="s">
        <v>5</v>
      </c>
    </row>
    <row r="4" spans="1:5" x14ac:dyDescent="0.25">
      <c r="A4" s="1" t="s">
        <v>48</v>
      </c>
      <c r="B4" s="1">
        <v>1610612740</v>
      </c>
      <c r="C4" s="1" t="s">
        <v>86</v>
      </c>
      <c r="D4" s="1" t="s">
        <v>47</v>
      </c>
      <c r="E4" s="1" t="s">
        <v>6</v>
      </c>
    </row>
    <row r="5" spans="1:5" x14ac:dyDescent="0.25">
      <c r="A5" s="1" t="s">
        <v>48</v>
      </c>
      <c r="B5" s="1">
        <v>1610612741</v>
      </c>
      <c r="C5" s="1" t="s">
        <v>87</v>
      </c>
      <c r="D5" s="1" t="s">
        <v>47</v>
      </c>
      <c r="E5" s="1" t="s">
        <v>7</v>
      </c>
    </row>
    <row r="6" spans="1:5" x14ac:dyDescent="0.25">
      <c r="A6" s="1" t="s">
        <v>48</v>
      </c>
      <c r="B6" s="1">
        <v>1610612742</v>
      </c>
      <c r="C6" s="1" t="s">
        <v>88</v>
      </c>
      <c r="D6" s="1" t="s">
        <v>47</v>
      </c>
      <c r="E6" s="1" t="s">
        <v>8</v>
      </c>
    </row>
    <row r="7" spans="1:5" x14ac:dyDescent="0.25">
      <c r="A7" s="1" t="s">
        <v>48</v>
      </c>
      <c r="B7" s="1">
        <v>1610612743</v>
      </c>
      <c r="C7" s="1" t="s">
        <v>89</v>
      </c>
      <c r="D7" s="1" t="s">
        <v>47</v>
      </c>
      <c r="E7" s="1" t="s">
        <v>9</v>
      </c>
    </row>
    <row r="8" spans="1:5" x14ac:dyDescent="0.25">
      <c r="A8" s="1" t="s">
        <v>48</v>
      </c>
      <c r="B8" s="1">
        <v>1610612745</v>
      </c>
      <c r="C8" s="1" t="s">
        <v>90</v>
      </c>
      <c r="D8" s="1" t="s">
        <v>47</v>
      </c>
      <c r="E8" s="1" t="s">
        <v>10</v>
      </c>
    </row>
    <row r="9" spans="1:5" x14ac:dyDescent="0.25">
      <c r="A9" s="1" t="s">
        <v>48</v>
      </c>
      <c r="B9" s="1">
        <v>1610612746</v>
      </c>
      <c r="C9" s="1" t="s">
        <v>91</v>
      </c>
      <c r="D9" s="1" t="s">
        <v>47</v>
      </c>
      <c r="E9" s="1" t="s">
        <v>11</v>
      </c>
    </row>
    <row r="10" spans="1:5" x14ac:dyDescent="0.25">
      <c r="A10" s="1" t="s">
        <v>48</v>
      </c>
      <c r="B10" s="1">
        <v>1610612747</v>
      </c>
      <c r="C10" s="1" t="s">
        <v>92</v>
      </c>
      <c r="D10" s="1" t="s">
        <v>47</v>
      </c>
      <c r="E10" s="1" t="s">
        <v>12</v>
      </c>
    </row>
    <row r="11" spans="1:5" x14ac:dyDescent="0.25">
      <c r="A11" s="1" t="s">
        <v>48</v>
      </c>
      <c r="B11" s="1">
        <v>1610612748</v>
      </c>
      <c r="C11" s="1" t="s">
        <v>93</v>
      </c>
      <c r="D11" s="1" t="s">
        <v>47</v>
      </c>
      <c r="E11" s="1" t="s">
        <v>13</v>
      </c>
    </row>
    <row r="12" spans="1:5" x14ac:dyDescent="0.25">
      <c r="A12" s="1" t="s">
        <v>48</v>
      </c>
      <c r="B12" s="1">
        <v>1610612749</v>
      </c>
      <c r="C12" s="1" t="s">
        <v>94</v>
      </c>
      <c r="D12" s="1" t="s">
        <v>47</v>
      </c>
      <c r="E12" s="1" t="s">
        <v>14</v>
      </c>
    </row>
    <row r="13" spans="1:5" x14ac:dyDescent="0.25">
      <c r="A13" s="1" t="s">
        <v>48</v>
      </c>
      <c r="B13" s="1">
        <v>1610612750</v>
      </c>
      <c r="C13" s="1" t="s">
        <v>95</v>
      </c>
      <c r="D13" s="1" t="s">
        <v>47</v>
      </c>
      <c r="E13" s="1" t="s">
        <v>15</v>
      </c>
    </row>
    <row r="14" spans="1:5" x14ac:dyDescent="0.25">
      <c r="A14" s="1" t="s">
        <v>48</v>
      </c>
      <c r="B14" s="1">
        <v>1610612751</v>
      </c>
      <c r="C14" s="1" t="s">
        <v>89</v>
      </c>
      <c r="D14" s="1" t="s">
        <v>47</v>
      </c>
      <c r="E14" s="1" t="s">
        <v>16</v>
      </c>
    </row>
    <row r="15" spans="1:5" x14ac:dyDescent="0.25">
      <c r="A15" s="1" t="s">
        <v>48</v>
      </c>
      <c r="B15" s="1">
        <v>1610612752</v>
      </c>
      <c r="C15" s="1" t="s">
        <v>85</v>
      </c>
      <c r="D15" s="1" t="s">
        <v>47</v>
      </c>
      <c r="E15" s="1" t="s">
        <v>17</v>
      </c>
    </row>
    <row r="16" spans="1:5" x14ac:dyDescent="0.25">
      <c r="A16" s="1" t="s">
        <v>48</v>
      </c>
      <c r="B16" s="1">
        <v>1610612753</v>
      </c>
      <c r="C16" s="1" t="s">
        <v>95</v>
      </c>
      <c r="D16" s="1" t="s">
        <v>47</v>
      </c>
      <c r="E16" s="1" t="s">
        <v>18</v>
      </c>
    </row>
    <row r="17" spans="1:5" x14ac:dyDescent="0.25">
      <c r="A17" s="1" t="s">
        <v>48</v>
      </c>
      <c r="B17" s="1">
        <v>1610612754</v>
      </c>
      <c r="C17" s="1" t="s">
        <v>89</v>
      </c>
      <c r="D17" s="1" t="s">
        <v>47</v>
      </c>
      <c r="E17" s="1" t="s">
        <v>19</v>
      </c>
    </row>
    <row r="18" spans="1:5" x14ac:dyDescent="0.25">
      <c r="A18" s="1" t="s">
        <v>48</v>
      </c>
      <c r="B18" s="1">
        <v>1610612755</v>
      </c>
      <c r="C18" s="1" t="s">
        <v>84</v>
      </c>
      <c r="D18" s="1" t="s">
        <v>47</v>
      </c>
      <c r="E18" s="1" t="s">
        <v>20</v>
      </c>
    </row>
    <row r="19" spans="1:5" x14ac:dyDescent="0.25">
      <c r="A19" s="1" t="s">
        <v>48</v>
      </c>
      <c r="B19" s="1">
        <v>1610612756</v>
      </c>
      <c r="C19" s="1" t="s">
        <v>94</v>
      </c>
      <c r="D19" s="1" t="s">
        <v>47</v>
      </c>
      <c r="E19" s="1" t="s">
        <v>21</v>
      </c>
    </row>
    <row r="20" spans="1:5" x14ac:dyDescent="0.25">
      <c r="A20" s="1" t="s">
        <v>48</v>
      </c>
      <c r="B20" s="1">
        <v>1610612757</v>
      </c>
      <c r="C20" s="1" t="s">
        <v>91</v>
      </c>
      <c r="D20" s="1" t="s">
        <v>47</v>
      </c>
      <c r="E20" s="1" t="s">
        <v>22</v>
      </c>
    </row>
    <row r="21" spans="1:5" x14ac:dyDescent="0.25">
      <c r="A21" s="1" t="s">
        <v>48</v>
      </c>
      <c r="B21" s="1">
        <v>1610612758</v>
      </c>
      <c r="C21" s="1" t="s">
        <v>92</v>
      </c>
      <c r="D21" s="1" t="s">
        <v>47</v>
      </c>
      <c r="E21" s="1" t="s">
        <v>23</v>
      </c>
    </row>
    <row r="22" spans="1:5" x14ac:dyDescent="0.25">
      <c r="A22" s="1" t="s">
        <v>48</v>
      </c>
      <c r="B22" s="1">
        <v>1610612759</v>
      </c>
      <c r="C22" s="1" t="s">
        <v>89</v>
      </c>
      <c r="D22" s="1" t="s">
        <v>47</v>
      </c>
      <c r="E22" s="1" t="s">
        <v>24</v>
      </c>
    </row>
    <row r="23" spans="1:5" x14ac:dyDescent="0.25">
      <c r="A23" s="1" t="s">
        <v>48</v>
      </c>
      <c r="B23" s="1">
        <v>1610612760</v>
      </c>
      <c r="C23" s="1" t="s">
        <v>90</v>
      </c>
      <c r="D23" s="1" t="s">
        <v>47</v>
      </c>
      <c r="E23" s="1" t="s">
        <v>25</v>
      </c>
    </row>
    <row r="24" spans="1:5" x14ac:dyDescent="0.25">
      <c r="A24" s="1" t="s">
        <v>48</v>
      </c>
      <c r="B24" s="1">
        <v>1610612761</v>
      </c>
      <c r="C24" s="1" t="s">
        <v>96</v>
      </c>
      <c r="D24" s="1" t="s">
        <v>47</v>
      </c>
      <c r="E24" s="1" t="s">
        <v>26</v>
      </c>
    </row>
    <row r="25" spans="1:5" x14ac:dyDescent="0.25">
      <c r="A25" s="1" t="s">
        <v>48</v>
      </c>
      <c r="B25" s="1">
        <v>1610612762</v>
      </c>
      <c r="C25" s="1" t="s">
        <v>97</v>
      </c>
      <c r="D25" s="1" t="s">
        <v>47</v>
      </c>
      <c r="E25" s="1" t="s">
        <v>27</v>
      </c>
    </row>
    <row r="26" spans="1:5" x14ac:dyDescent="0.25">
      <c r="A26" s="1" t="s">
        <v>48</v>
      </c>
      <c r="B26" s="1">
        <v>1610612763</v>
      </c>
      <c r="C26" s="1" t="s">
        <v>96</v>
      </c>
      <c r="D26" s="1" t="s">
        <v>47</v>
      </c>
      <c r="E26" s="1" t="s">
        <v>28</v>
      </c>
    </row>
    <row r="27" spans="1:5" x14ac:dyDescent="0.25">
      <c r="A27" s="1" t="s">
        <v>48</v>
      </c>
      <c r="B27" s="1">
        <v>1610612764</v>
      </c>
      <c r="C27" s="1" t="s">
        <v>98</v>
      </c>
      <c r="D27" s="1" t="s">
        <v>47</v>
      </c>
      <c r="E27" s="1" t="s">
        <v>29</v>
      </c>
    </row>
    <row r="28" spans="1:5" x14ac:dyDescent="0.25">
      <c r="A28" s="1" t="s">
        <v>48</v>
      </c>
      <c r="B28" s="1">
        <v>1610612765</v>
      </c>
      <c r="C28" s="1" t="s">
        <v>92</v>
      </c>
      <c r="D28" s="1" t="s">
        <v>47</v>
      </c>
      <c r="E28" s="1" t="s">
        <v>30</v>
      </c>
    </row>
    <row r="29" spans="1:5" x14ac:dyDescent="0.25">
      <c r="A29" s="1" t="s">
        <v>48</v>
      </c>
      <c r="B29" s="1">
        <v>1610612766</v>
      </c>
      <c r="C29" s="1" t="s">
        <v>93</v>
      </c>
      <c r="D29" s="1" t="s">
        <v>47</v>
      </c>
      <c r="E29" s="1" t="s">
        <v>31</v>
      </c>
    </row>
    <row r="30" spans="1:5" x14ac:dyDescent="0.25">
      <c r="A30" s="1" t="s">
        <v>48</v>
      </c>
      <c r="B30" s="1">
        <v>1610612739</v>
      </c>
      <c r="C30" s="1" t="s">
        <v>91</v>
      </c>
      <c r="D30" s="1" t="s">
        <v>47</v>
      </c>
      <c r="E30" s="1" t="s">
        <v>32</v>
      </c>
    </row>
    <row r="31" spans="1:5" x14ac:dyDescent="0.25">
      <c r="A31" s="1" t="s">
        <v>48</v>
      </c>
      <c r="B31" s="1">
        <v>1610612744</v>
      </c>
      <c r="C31" s="1" t="s">
        <v>85</v>
      </c>
      <c r="D31" s="1" t="s">
        <v>47</v>
      </c>
      <c r="E31" s="1" t="s">
        <v>33</v>
      </c>
    </row>
    <row r="32" spans="1:5" x14ac:dyDescent="0.25">
      <c r="A32" s="1" t="s">
        <v>48</v>
      </c>
      <c r="B32" s="1">
        <v>1610610031</v>
      </c>
      <c r="C32" s="1" t="s">
        <v>85</v>
      </c>
      <c r="D32" s="1" t="s">
        <v>85</v>
      </c>
      <c r="E32" s="1"/>
    </row>
    <row r="33" spans="1:5" x14ac:dyDescent="0.25">
      <c r="A33" s="1" t="s">
        <v>48</v>
      </c>
      <c r="B33" s="1">
        <v>1610610029</v>
      </c>
      <c r="C33" s="1" t="s">
        <v>92</v>
      </c>
      <c r="D33" s="1" t="s">
        <v>92</v>
      </c>
      <c r="E33" s="1"/>
    </row>
    <row r="34" spans="1:5" x14ac:dyDescent="0.25">
      <c r="A34" s="1" t="s">
        <v>48</v>
      </c>
      <c r="B34" s="1">
        <v>1610610025</v>
      </c>
      <c r="C34" s="1" t="s">
        <v>85</v>
      </c>
      <c r="D34" s="1" t="s">
        <v>84</v>
      </c>
      <c r="E34" s="1"/>
    </row>
    <row r="35" spans="1:5" x14ac:dyDescent="0.25">
      <c r="A35" s="1" t="s">
        <v>48</v>
      </c>
      <c r="B35" s="1">
        <v>1610610034</v>
      </c>
      <c r="C35" s="1" t="s">
        <v>85</v>
      </c>
      <c r="D35" s="1" t="s">
        <v>84</v>
      </c>
      <c r="E35" s="1"/>
    </row>
    <row r="36" spans="1:5" x14ac:dyDescent="0.25">
      <c r="A36" s="1" t="s">
        <v>48</v>
      </c>
      <c r="B36" s="1">
        <v>1610610036</v>
      </c>
      <c r="C36" s="1" t="s">
        <v>85</v>
      </c>
      <c r="D36" s="1" t="s">
        <v>99</v>
      </c>
      <c r="E36" s="1"/>
    </row>
    <row r="37" spans="1:5" x14ac:dyDescent="0.25">
      <c r="A37" s="1" t="s">
        <v>48</v>
      </c>
      <c r="B37" s="1">
        <v>1610610024</v>
      </c>
      <c r="C37" s="1" t="s">
        <v>100</v>
      </c>
      <c r="D37" s="1" t="s">
        <v>101</v>
      </c>
      <c r="E37" s="1"/>
    </row>
    <row r="38" spans="1:5" x14ac:dyDescent="0.25">
      <c r="A38" s="1" t="s">
        <v>48</v>
      </c>
      <c r="B38" s="1">
        <v>1610610027</v>
      </c>
      <c r="C38" s="1" t="s">
        <v>84</v>
      </c>
      <c r="D38" s="1" t="s">
        <v>84</v>
      </c>
      <c r="E38" s="1"/>
    </row>
    <row r="39" spans="1:5" x14ac:dyDescent="0.25">
      <c r="A39" s="1" t="s">
        <v>48</v>
      </c>
      <c r="B39" s="1">
        <v>1610610030</v>
      </c>
      <c r="C39" s="1" t="s">
        <v>84</v>
      </c>
      <c r="D39" s="1" t="s">
        <v>102</v>
      </c>
      <c r="E39" s="1"/>
    </row>
    <row r="40" spans="1:5" x14ac:dyDescent="0.25">
      <c r="A40" s="1" t="s">
        <v>48</v>
      </c>
      <c r="B40" s="1">
        <v>1610610033</v>
      </c>
      <c r="C40" s="1" t="s">
        <v>84</v>
      </c>
      <c r="D40" s="1" t="s">
        <v>84</v>
      </c>
      <c r="E40" s="1"/>
    </row>
    <row r="41" spans="1:5" x14ac:dyDescent="0.25">
      <c r="A41" s="1" t="s">
        <v>48</v>
      </c>
      <c r="B41" s="1">
        <v>1610610037</v>
      </c>
      <c r="C41" s="1" t="s">
        <v>84</v>
      </c>
      <c r="D41" s="1" t="s">
        <v>84</v>
      </c>
      <c r="E41" s="1"/>
    </row>
    <row r="42" spans="1:5" x14ac:dyDescent="0.25">
      <c r="A42" s="1" t="s">
        <v>48</v>
      </c>
      <c r="B42" s="1">
        <v>1610610023</v>
      </c>
      <c r="C42" s="1" t="s">
        <v>84</v>
      </c>
      <c r="D42" s="1" t="s">
        <v>84</v>
      </c>
      <c r="E42" s="1"/>
    </row>
    <row r="43" spans="1:5" x14ac:dyDescent="0.25">
      <c r="A43" s="1" t="s">
        <v>48</v>
      </c>
      <c r="B43" s="1">
        <v>1610610026</v>
      </c>
      <c r="C43" s="1" t="s">
        <v>85</v>
      </c>
      <c r="D43" s="1" t="s">
        <v>85</v>
      </c>
      <c r="E43" s="1"/>
    </row>
    <row r="44" spans="1:5" x14ac:dyDescent="0.25">
      <c r="A44" s="1" t="s">
        <v>48</v>
      </c>
      <c r="B44" s="1">
        <v>1610610028</v>
      </c>
      <c r="C44" s="1" t="s">
        <v>85</v>
      </c>
      <c r="D44" s="1" t="s">
        <v>85</v>
      </c>
      <c r="E44" s="1"/>
    </row>
    <row r="45" spans="1:5" x14ac:dyDescent="0.25">
      <c r="A45" s="1" t="s">
        <v>48</v>
      </c>
      <c r="B45" s="1">
        <v>1610610032</v>
      </c>
      <c r="C45" s="1" t="s">
        <v>85</v>
      </c>
      <c r="D45" s="1" t="s">
        <v>92</v>
      </c>
      <c r="E45" s="1"/>
    </row>
    <row r="46" spans="1:5" x14ac:dyDescent="0.25">
      <c r="A46" s="1" t="s">
        <v>48</v>
      </c>
      <c r="B46" s="1">
        <v>1610610035</v>
      </c>
      <c r="C46" s="1" t="s">
        <v>85</v>
      </c>
      <c r="D46" s="1" t="s">
        <v>85</v>
      </c>
      <c r="E46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599E-406F-43EB-9B93-28DACC371EA0}">
  <sheetPr codeName="Sheet14"/>
  <dimension ref="A1:M17"/>
  <sheetViews>
    <sheetView workbookViewId="0">
      <selection activeCell="D15" sqref="D15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46</v>
      </c>
    </row>
    <row r="2" spans="1:13" x14ac:dyDescent="0.25">
      <c r="A2" s="1">
        <v>1610612749</v>
      </c>
      <c r="B2" s="1" t="s">
        <v>1496</v>
      </c>
      <c r="C2" s="1" t="s">
        <v>48</v>
      </c>
      <c r="D2" s="1" t="s">
        <v>1497</v>
      </c>
      <c r="E2" s="1" t="s">
        <v>58</v>
      </c>
      <c r="F2" s="1" t="s">
        <v>54</v>
      </c>
      <c r="G2" s="1" t="s">
        <v>73</v>
      </c>
      <c r="H2" s="1" t="s">
        <v>1498</v>
      </c>
      <c r="I2" s="1" t="s">
        <v>1499</v>
      </c>
      <c r="J2" s="1">
        <v>33</v>
      </c>
      <c r="K2" s="1" t="s">
        <v>1500</v>
      </c>
      <c r="L2" s="1"/>
      <c r="M2" s="1">
        <v>201588</v>
      </c>
    </row>
    <row r="3" spans="1:13" x14ac:dyDescent="0.25">
      <c r="A3" s="1">
        <v>1610612749</v>
      </c>
      <c r="B3" s="1" t="s">
        <v>1496</v>
      </c>
      <c r="C3" s="1" t="s">
        <v>48</v>
      </c>
      <c r="D3" s="1" t="s">
        <v>1501</v>
      </c>
      <c r="E3" s="1" t="s">
        <v>64</v>
      </c>
      <c r="F3" s="1" t="s">
        <v>50</v>
      </c>
      <c r="G3" s="1" t="s">
        <v>71</v>
      </c>
      <c r="H3" s="1" t="s">
        <v>1502</v>
      </c>
      <c r="I3" s="1" t="s">
        <v>1503</v>
      </c>
      <c r="J3" s="1">
        <v>23</v>
      </c>
      <c r="K3" s="1" t="s">
        <v>49</v>
      </c>
      <c r="L3" s="1" t="s">
        <v>79</v>
      </c>
      <c r="M3" s="1">
        <v>1628391</v>
      </c>
    </row>
    <row r="4" spans="1:13" x14ac:dyDescent="0.25">
      <c r="A4" s="1">
        <v>1610612749</v>
      </c>
      <c r="B4" s="1" t="s">
        <v>1496</v>
      </c>
      <c r="C4" s="1" t="s">
        <v>48</v>
      </c>
      <c r="D4" s="1" t="s">
        <v>1504</v>
      </c>
      <c r="E4" s="1" t="s">
        <v>65</v>
      </c>
      <c r="F4" s="1" t="s">
        <v>54</v>
      </c>
      <c r="G4" s="1" t="s">
        <v>364</v>
      </c>
      <c r="H4" s="1" t="s">
        <v>1505</v>
      </c>
      <c r="I4" s="1" t="s">
        <v>1506</v>
      </c>
      <c r="J4" s="1">
        <v>29</v>
      </c>
      <c r="K4" s="1" t="s">
        <v>62</v>
      </c>
      <c r="L4" s="1" t="s">
        <v>57</v>
      </c>
      <c r="M4" s="1">
        <v>202339</v>
      </c>
    </row>
    <row r="5" spans="1:13" x14ac:dyDescent="0.25">
      <c r="A5" s="1">
        <v>1610612749</v>
      </c>
      <c r="B5" s="1" t="s">
        <v>1496</v>
      </c>
      <c r="C5" s="1" t="s">
        <v>48</v>
      </c>
      <c r="D5" s="1" t="s">
        <v>1507</v>
      </c>
      <c r="E5" s="1" t="s">
        <v>56</v>
      </c>
      <c r="F5" s="1" t="s">
        <v>54</v>
      </c>
      <c r="G5" s="1" t="s">
        <v>55</v>
      </c>
      <c r="H5" s="1" t="s">
        <v>1508</v>
      </c>
      <c r="I5" s="1" t="s">
        <v>1509</v>
      </c>
      <c r="J5" s="1">
        <v>22</v>
      </c>
      <c r="K5" s="1" t="s">
        <v>52</v>
      </c>
      <c r="L5" s="1" t="s">
        <v>74</v>
      </c>
      <c r="M5" s="1">
        <v>1628978</v>
      </c>
    </row>
    <row r="6" spans="1:13" x14ac:dyDescent="0.25">
      <c r="A6" s="1">
        <v>1610612749</v>
      </c>
      <c r="B6" s="1" t="s">
        <v>1496</v>
      </c>
      <c r="C6" s="1" t="s">
        <v>48</v>
      </c>
      <c r="D6" s="1" t="s">
        <v>1510</v>
      </c>
      <c r="E6" s="1" t="s">
        <v>1511</v>
      </c>
      <c r="F6" s="1" t="s">
        <v>70</v>
      </c>
      <c r="G6" s="1" t="s">
        <v>299</v>
      </c>
      <c r="H6" s="1" t="s">
        <v>1512</v>
      </c>
      <c r="I6" s="1" t="s">
        <v>1513</v>
      </c>
      <c r="J6" s="1">
        <v>31</v>
      </c>
      <c r="K6" s="1" t="s">
        <v>1500</v>
      </c>
      <c r="L6" s="1" t="s">
        <v>1514</v>
      </c>
      <c r="M6" s="1">
        <v>201572</v>
      </c>
    </row>
    <row r="7" spans="1:13" x14ac:dyDescent="0.25">
      <c r="A7" s="1">
        <v>1610612749</v>
      </c>
      <c r="B7" s="1" t="s">
        <v>1496</v>
      </c>
      <c r="C7" s="1" t="s">
        <v>48</v>
      </c>
      <c r="D7" s="1" t="s">
        <v>1515</v>
      </c>
      <c r="E7" s="1" t="s">
        <v>81</v>
      </c>
      <c r="F7" s="1" t="s">
        <v>54</v>
      </c>
      <c r="G7" s="1" t="s">
        <v>364</v>
      </c>
      <c r="H7" s="1" t="s">
        <v>1516</v>
      </c>
      <c r="I7" s="1" t="s">
        <v>1517</v>
      </c>
      <c r="J7" s="1">
        <v>28</v>
      </c>
      <c r="K7" s="1" t="s">
        <v>60</v>
      </c>
      <c r="L7" s="1" t="s">
        <v>1518</v>
      </c>
      <c r="M7" s="1">
        <v>204025</v>
      </c>
    </row>
    <row r="8" spans="1:13" x14ac:dyDescent="0.25">
      <c r="A8" s="1">
        <v>1610612749</v>
      </c>
      <c r="B8" s="1" t="s">
        <v>1496</v>
      </c>
      <c r="C8" s="1" t="s">
        <v>48</v>
      </c>
      <c r="D8" s="1" t="s">
        <v>1519</v>
      </c>
      <c r="E8" s="1" t="s">
        <v>69</v>
      </c>
      <c r="F8" s="1" t="s">
        <v>54</v>
      </c>
      <c r="G8" s="1" t="s">
        <v>59</v>
      </c>
      <c r="H8" s="1" t="s">
        <v>1520</v>
      </c>
      <c r="I8" s="1" t="s">
        <v>1521</v>
      </c>
      <c r="J8" s="1">
        <v>26</v>
      </c>
      <c r="K8" s="1" t="s">
        <v>53</v>
      </c>
      <c r="L8" s="1" t="s">
        <v>67</v>
      </c>
      <c r="M8" s="1">
        <v>1627763</v>
      </c>
    </row>
    <row r="9" spans="1:13" x14ac:dyDescent="0.25">
      <c r="A9" s="1">
        <v>1610612749</v>
      </c>
      <c r="B9" s="1" t="s">
        <v>1496</v>
      </c>
      <c r="C9" s="1" t="s">
        <v>48</v>
      </c>
      <c r="D9" s="1" t="s">
        <v>1522</v>
      </c>
      <c r="E9" s="1" t="s">
        <v>75</v>
      </c>
      <c r="F9" s="1" t="s">
        <v>1523</v>
      </c>
      <c r="G9" s="1" t="s">
        <v>299</v>
      </c>
      <c r="H9" s="1" t="s">
        <v>1524</v>
      </c>
      <c r="I9" s="1" t="s">
        <v>1525</v>
      </c>
      <c r="J9" s="1">
        <v>38</v>
      </c>
      <c r="K9" s="1" t="s">
        <v>75</v>
      </c>
      <c r="L9" s="1" t="s">
        <v>76</v>
      </c>
      <c r="M9" s="1">
        <v>2200</v>
      </c>
    </row>
    <row r="10" spans="1:13" x14ac:dyDescent="0.25">
      <c r="A10" s="1">
        <v>1610612749</v>
      </c>
      <c r="B10" s="1" t="s">
        <v>1496</v>
      </c>
      <c r="C10" s="1" t="s">
        <v>48</v>
      </c>
      <c r="D10" s="1" t="s">
        <v>1526</v>
      </c>
      <c r="E10" s="1" t="s">
        <v>77</v>
      </c>
      <c r="F10" s="1" t="s">
        <v>54</v>
      </c>
      <c r="G10" s="1" t="s">
        <v>66</v>
      </c>
      <c r="H10" s="1" t="s">
        <v>1527</v>
      </c>
      <c r="I10" s="1" t="s">
        <v>1528</v>
      </c>
      <c r="J10" s="1">
        <v>27</v>
      </c>
      <c r="K10" s="1" t="s">
        <v>64</v>
      </c>
      <c r="L10" s="1" t="s">
        <v>76</v>
      </c>
      <c r="M10" s="1">
        <v>203503</v>
      </c>
    </row>
    <row r="11" spans="1:13" x14ac:dyDescent="0.25">
      <c r="A11" s="1">
        <v>1610612749</v>
      </c>
      <c r="B11" s="1" t="s">
        <v>1496</v>
      </c>
      <c r="C11" s="1" t="s">
        <v>48</v>
      </c>
      <c r="D11" s="1" t="s">
        <v>1529</v>
      </c>
      <c r="E11" s="1" t="s">
        <v>1530</v>
      </c>
      <c r="F11" s="1" t="s">
        <v>50</v>
      </c>
      <c r="G11" s="1" t="s">
        <v>68</v>
      </c>
      <c r="H11" s="1" t="s">
        <v>1531</v>
      </c>
      <c r="I11" s="1" t="s">
        <v>1532</v>
      </c>
      <c r="J11" s="1">
        <v>27</v>
      </c>
      <c r="K11" s="1" t="s">
        <v>65</v>
      </c>
      <c r="L11" s="1" t="s">
        <v>1533</v>
      </c>
      <c r="M11" s="1">
        <v>203114</v>
      </c>
    </row>
    <row r="12" spans="1:13" x14ac:dyDescent="0.25">
      <c r="A12" s="1">
        <v>1610612749</v>
      </c>
      <c r="B12" s="1" t="s">
        <v>1496</v>
      </c>
      <c r="C12" s="1" t="s">
        <v>48</v>
      </c>
      <c r="D12" s="1" t="s">
        <v>1534</v>
      </c>
      <c r="E12" s="1" t="s">
        <v>1535</v>
      </c>
      <c r="F12" s="1" t="s">
        <v>54</v>
      </c>
      <c r="G12" s="1" t="s">
        <v>51</v>
      </c>
      <c r="H12" s="1" t="s">
        <v>1536</v>
      </c>
      <c r="I12" s="1" t="s">
        <v>1537</v>
      </c>
      <c r="J12" s="1">
        <v>24</v>
      </c>
      <c r="K12" s="1" t="s">
        <v>49</v>
      </c>
      <c r="L12" s="1" t="s">
        <v>1538</v>
      </c>
      <c r="M12" s="1">
        <v>1628425</v>
      </c>
    </row>
    <row r="13" spans="1:13" x14ac:dyDescent="0.25">
      <c r="A13" s="1">
        <v>1610612749</v>
      </c>
      <c r="B13" s="1" t="s">
        <v>1496</v>
      </c>
      <c r="C13" s="1" t="s">
        <v>48</v>
      </c>
      <c r="D13" s="1" t="s">
        <v>1539</v>
      </c>
      <c r="E13" s="1" t="s">
        <v>80</v>
      </c>
      <c r="F13" s="1" t="s">
        <v>54</v>
      </c>
      <c r="G13" s="1" t="s">
        <v>55</v>
      </c>
      <c r="H13" s="1" t="s">
        <v>1540</v>
      </c>
      <c r="I13" s="1" t="s">
        <v>1541</v>
      </c>
      <c r="J13" s="1">
        <v>26</v>
      </c>
      <c r="K13" s="1" t="s">
        <v>58</v>
      </c>
      <c r="L13" s="1" t="s">
        <v>1542</v>
      </c>
      <c r="M13" s="1">
        <v>1626192</v>
      </c>
    </row>
    <row r="14" spans="1:13" x14ac:dyDescent="0.25">
      <c r="A14" s="1">
        <v>1610612749</v>
      </c>
      <c r="B14" s="1" t="s">
        <v>1496</v>
      </c>
      <c r="C14" s="1" t="s">
        <v>48</v>
      </c>
      <c r="D14" s="1" t="s">
        <v>1543</v>
      </c>
      <c r="E14" s="1" t="s">
        <v>82</v>
      </c>
      <c r="F14" s="1" t="s">
        <v>50</v>
      </c>
      <c r="G14" s="1" t="s">
        <v>78</v>
      </c>
      <c r="H14" s="1" t="s">
        <v>1544</v>
      </c>
      <c r="I14" s="1" t="s">
        <v>1545</v>
      </c>
      <c r="J14" s="1">
        <v>24</v>
      </c>
      <c r="K14" s="1" t="s">
        <v>64</v>
      </c>
      <c r="L14" s="1" t="s">
        <v>76</v>
      </c>
      <c r="M14" s="1">
        <v>203507</v>
      </c>
    </row>
    <row r="15" spans="1:13" x14ac:dyDescent="0.25">
      <c r="A15" s="1">
        <v>1610612749</v>
      </c>
      <c r="B15" s="1" t="s">
        <v>1496</v>
      </c>
      <c r="C15" s="1" t="s">
        <v>48</v>
      </c>
      <c r="D15" s="1" t="s">
        <v>1546</v>
      </c>
      <c r="E15" s="1" t="s">
        <v>1547</v>
      </c>
      <c r="F15" s="1" t="s">
        <v>50</v>
      </c>
      <c r="G15" s="1" t="s">
        <v>71</v>
      </c>
      <c r="H15" s="1" t="s">
        <v>1524</v>
      </c>
      <c r="I15" s="1" t="s">
        <v>1548</v>
      </c>
      <c r="J15" s="1">
        <v>28</v>
      </c>
      <c r="K15" s="1" t="s">
        <v>60</v>
      </c>
      <c r="L15" s="1" t="s">
        <v>76</v>
      </c>
      <c r="M15" s="1">
        <v>202703</v>
      </c>
    </row>
    <row r="16" spans="1:13" x14ac:dyDescent="0.25">
      <c r="A16" s="1">
        <v>1610612749</v>
      </c>
      <c r="B16" s="1" t="s">
        <v>1496</v>
      </c>
      <c r="C16" s="1" t="s">
        <v>48</v>
      </c>
      <c r="D16" s="1" t="s">
        <v>1549</v>
      </c>
      <c r="E16" s="1" t="s">
        <v>1550</v>
      </c>
      <c r="F16" s="1" t="s">
        <v>50</v>
      </c>
      <c r="G16" s="1" t="s">
        <v>51</v>
      </c>
      <c r="H16" s="1" t="s">
        <v>83</v>
      </c>
      <c r="I16" s="1" t="s">
        <v>1551</v>
      </c>
      <c r="J16" s="1">
        <v>23</v>
      </c>
      <c r="K16" s="1" t="s">
        <v>52</v>
      </c>
      <c r="L16" s="1" t="s">
        <v>1542</v>
      </c>
      <c r="M16" s="1">
        <v>1629045</v>
      </c>
    </row>
    <row r="17" spans="1:13" x14ac:dyDescent="0.25">
      <c r="A17" s="1">
        <v>1610612749</v>
      </c>
      <c r="B17" s="1" t="s">
        <v>1496</v>
      </c>
      <c r="C17" s="1" t="s">
        <v>48</v>
      </c>
      <c r="D17" s="1" t="s">
        <v>1552</v>
      </c>
      <c r="E17" s="1" t="s">
        <v>1553</v>
      </c>
      <c r="F17" s="1" t="s">
        <v>50</v>
      </c>
      <c r="G17" s="1" t="s">
        <v>71</v>
      </c>
      <c r="H17" s="1" t="s">
        <v>1554</v>
      </c>
      <c r="I17" s="1" t="s">
        <v>1555</v>
      </c>
      <c r="J17" s="1">
        <v>32</v>
      </c>
      <c r="K17" s="1" t="s">
        <v>1500</v>
      </c>
      <c r="L17" s="1" t="s">
        <v>76</v>
      </c>
      <c r="M17" s="1">
        <v>101141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B3D0-5018-41C9-8BE7-35A69A082E75}">
  <sheetPr codeName="Sheet12"/>
  <dimension ref="A1:AV24"/>
  <sheetViews>
    <sheetView workbookViewId="0">
      <selection activeCell="H19" sqref="H19"/>
    </sheetView>
  </sheetViews>
  <sheetFormatPr defaultRowHeight="13.3" x14ac:dyDescent="0.25"/>
  <cols>
    <col min="1" max="1" width="14.07421875" customWidth="1"/>
    <col min="2" max="2" width="16.6914062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104</v>
      </c>
      <c r="B1" s="1" t="s">
        <v>103</v>
      </c>
      <c r="C1" s="1" t="s">
        <v>105</v>
      </c>
      <c r="D1" s="1" t="s">
        <v>106</v>
      </c>
      <c r="E1" s="1" t="s">
        <v>107</v>
      </c>
      <c r="F1" s="1" t="s">
        <v>108</v>
      </c>
      <c r="G1" s="1" t="s">
        <v>15</v>
      </c>
      <c r="H1" s="1" t="s">
        <v>901</v>
      </c>
      <c r="I1" s="1" t="s">
        <v>902</v>
      </c>
      <c r="J1" s="1" t="s">
        <v>903</v>
      </c>
      <c r="K1" s="1" t="s">
        <v>904</v>
      </c>
      <c r="L1" s="1" t="s">
        <v>905</v>
      </c>
      <c r="M1" s="1" t="s">
        <v>906</v>
      </c>
      <c r="N1" s="1" t="s">
        <v>907</v>
      </c>
      <c r="O1" s="1" t="s">
        <v>908</v>
      </c>
      <c r="P1" s="1" t="s">
        <v>909</v>
      </c>
      <c r="Q1" s="1" t="s">
        <v>910</v>
      </c>
      <c r="R1" s="1" t="s">
        <v>911</v>
      </c>
      <c r="S1" s="1" t="s">
        <v>912</v>
      </c>
      <c r="T1" s="1" t="s">
        <v>913</v>
      </c>
      <c r="U1" s="1" t="s">
        <v>914</v>
      </c>
      <c r="V1" s="1" t="s">
        <v>915</v>
      </c>
      <c r="W1" s="1" t="s">
        <v>916</v>
      </c>
      <c r="X1" s="1" t="s">
        <v>917</v>
      </c>
      <c r="Y1" s="1" t="s">
        <v>918</v>
      </c>
      <c r="Z1" s="1" t="s">
        <v>919</v>
      </c>
      <c r="AA1" s="1" t="s">
        <v>920</v>
      </c>
      <c r="AB1" s="1" t="s">
        <v>109</v>
      </c>
      <c r="AC1" s="1" t="s">
        <v>110</v>
      </c>
      <c r="AD1" s="1" t="s">
        <v>111</v>
      </c>
      <c r="AE1" s="1" t="s">
        <v>112</v>
      </c>
      <c r="AF1" s="1" t="s">
        <v>113</v>
      </c>
      <c r="AG1" s="1" t="s">
        <v>921</v>
      </c>
      <c r="AH1" s="1" t="s">
        <v>922</v>
      </c>
      <c r="AI1" s="1" t="s">
        <v>923</v>
      </c>
      <c r="AJ1" s="1" t="s">
        <v>924</v>
      </c>
      <c r="AK1" s="1" t="s">
        <v>925</v>
      </c>
      <c r="AL1" s="1" t="s">
        <v>926</v>
      </c>
      <c r="AM1" s="1" t="s">
        <v>927</v>
      </c>
      <c r="AN1" s="1" t="s">
        <v>928</v>
      </c>
      <c r="AO1" s="1" t="s">
        <v>929</v>
      </c>
      <c r="AP1" s="1" t="s">
        <v>930</v>
      </c>
      <c r="AQ1" s="1" t="s">
        <v>931</v>
      </c>
      <c r="AR1" s="1" t="s">
        <v>932</v>
      </c>
      <c r="AS1" s="1" t="s">
        <v>933</v>
      </c>
      <c r="AT1" s="1" t="s">
        <v>934</v>
      </c>
      <c r="AU1" s="1" t="s">
        <v>114</v>
      </c>
      <c r="AV1" s="1" t="s">
        <v>115</v>
      </c>
    </row>
    <row r="2" spans="1:48" x14ac:dyDescent="0.25">
      <c r="A2" s="1" t="s">
        <v>116</v>
      </c>
      <c r="B2" s="1" t="s">
        <v>117</v>
      </c>
      <c r="C2" s="1">
        <v>82</v>
      </c>
      <c r="D2" s="1">
        <v>60</v>
      </c>
      <c r="E2" s="1">
        <v>22</v>
      </c>
      <c r="F2" s="1">
        <v>0.73199999999999998</v>
      </c>
      <c r="G2" s="1">
        <v>3956</v>
      </c>
      <c r="H2" s="1">
        <v>111.5</v>
      </c>
      <c r="I2" s="1">
        <v>113.5</v>
      </c>
      <c r="J2" s="1">
        <v>103</v>
      </c>
      <c r="K2" s="1">
        <v>104.9</v>
      </c>
      <c r="L2" s="1">
        <v>8.5</v>
      </c>
      <c r="M2" s="1">
        <v>8.6</v>
      </c>
      <c r="N2" s="1">
        <v>0.60099999999999998</v>
      </c>
      <c r="O2" s="1">
        <v>1.88</v>
      </c>
      <c r="P2" s="1">
        <v>18.3</v>
      </c>
      <c r="Q2" s="1">
        <v>0.25</v>
      </c>
      <c r="R2" s="1">
        <v>0.75700000000000001</v>
      </c>
      <c r="S2" s="1">
        <v>0.51600000000000001</v>
      </c>
      <c r="T2" s="1">
        <v>0.13300000000000001</v>
      </c>
      <c r="U2" s="1">
        <v>0.55000000000000004</v>
      </c>
      <c r="V2" s="1">
        <v>0.58299999999999996</v>
      </c>
      <c r="W2" s="1">
        <v>105.4</v>
      </c>
      <c r="X2" s="1">
        <v>103.57</v>
      </c>
      <c r="Y2" s="1">
        <v>86.31</v>
      </c>
      <c r="Z2" s="1">
        <v>8533</v>
      </c>
      <c r="AA2" s="1">
        <v>0.55300000000000005</v>
      </c>
      <c r="AB2" s="1">
        <v>1</v>
      </c>
      <c r="AC2" s="1">
        <v>1</v>
      </c>
      <c r="AD2" s="1">
        <v>1</v>
      </c>
      <c r="AE2" s="1">
        <v>1</v>
      </c>
      <c r="AF2" s="1">
        <v>15</v>
      </c>
      <c r="AG2" s="1">
        <v>1</v>
      </c>
      <c r="AH2" s="1">
        <v>10</v>
      </c>
      <c r="AI2" s="1">
        <v>1</v>
      </c>
      <c r="AJ2" s="1">
        <v>7</v>
      </c>
      <c r="AK2" s="1">
        <v>1</v>
      </c>
      <c r="AL2" s="1">
        <v>2</v>
      </c>
      <c r="AM2" s="1">
        <v>22</v>
      </c>
      <c r="AN2" s="1">
        <v>1</v>
      </c>
      <c r="AO2" s="1">
        <v>1</v>
      </c>
      <c r="AP2" s="1">
        <v>1</v>
      </c>
      <c r="AQ2" s="1">
        <v>1</v>
      </c>
      <c r="AR2" s="1">
        <v>1</v>
      </c>
      <c r="AS2" s="1">
        <v>1</v>
      </c>
      <c r="AT2" s="1">
        <v>1</v>
      </c>
      <c r="AU2" s="1">
        <v>210</v>
      </c>
      <c r="AV2" s="1" t="s">
        <v>116</v>
      </c>
    </row>
    <row r="3" spans="1:48" x14ac:dyDescent="0.25">
      <c r="A3" s="1" t="s">
        <v>118</v>
      </c>
      <c r="B3" s="1" t="s">
        <v>117</v>
      </c>
      <c r="C3" s="1">
        <v>82</v>
      </c>
      <c r="D3" s="1">
        <v>44</v>
      </c>
      <c r="E3" s="1">
        <v>38</v>
      </c>
      <c r="F3" s="1">
        <v>0.53700000000000003</v>
      </c>
      <c r="G3" s="1">
        <v>3966</v>
      </c>
      <c r="H3" s="1">
        <v>107.8</v>
      </c>
      <c r="I3" s="1">
        <v>109</v>
      </c>
      <c r="J3" s="1">
        <v>107.1</v>
      </c>
      <c r="K3" s="1">
        <v>109.1</v>
      </c>
      <c r="L3" s="1">
        <v>0.7</v>
      </c>
      <c r="M3" s="1">
        <v>-0.2</v>
      </c>
      <c r="N3" s="1">
        <v>0.58499999999999996</v>
      </c>
      <c r="O3" s="1">
        <v>1.68</v>
      </c>
      <c r="P3" s="1">
        <v>17.7</v>
      </c>
      <c r="Q3" s="1">
        <v>0.24399999999999999</v>
      </c>
      <c r="R3" s="1">
        <v>0.70899999999999996</v>
      </c>
      <c r="S3" s="1">
        <v>0.48</v>
      </c>
      <c r="T3" s="1">
        <v>0.14199999999999999</v>
      </c>
      <c r="U3" s="1">
        <v>0.53100000000000003</v>
      </c>
      <c r="V3" s="1">
        <v>0.57099999999999995</v>
      </c>
      <c r="W3" s="1">
        <v>98.5</v>
      </c>
      <c r="X3" s="1">
        <v>97.03</v>
      </c>
      <c r="Y3" s="1">
        <v>80.86</v>
      </c>
      <c r="Z3" s="1">
        <v>8013</v>
      </c>
      <c r="AA3" s="1">
        <v>0.502</v>
      </c>
      <c r="AB3" s="1">
        <v>1</v>
      </c>
      <c r="AC3" s="1">
        <v>4</v>
      </c>
      <c r="AD3" s="1">
        <v>6</v>
      </c>
      <c r="AE3" s="1">
        <v>5</v>
      </c>
      <c r="AF3" s="1">
        <v>11</v>
      </c>
      <c r="AG3" s="1">
        <v>2</v>
      </c>
      <c r="AH3" s="1">
        <v>20</v>
      </c>
      <c r="AI3" s="1">
        <v>11</v>
      </c>
      <c r="AJ3" s="1">
        <v>15</v>
      </c>
      <c r="AK3" s="1">
        <v>5</v>
      </c>
      <c r="AL3" s="1">
        <v>5</v>
      </c>
      <c r="AM3" s="1">
        <v>23</v>
      </c>
      <c r="AN3" s="1">
        <v>5</v>
      </c>
      <c r="AO3" s="1">
        <v>21</v>
      </c>
      <c r="AP3" s="1">
        <v>4</v>
      </c>
      <c r="AQ3" s="1">
        <v>2</v>
      </c>
      <c r="AR3" s="1">
        <v>2</v>
      </c>
      <c r="AS3" s="1">
        <v>2</v>
      </c>
      <c r="AT3" s="1">
        <v>8</v>
      </c>
      <c r="AU3" s="1">
        <v>210</v>
      </c>
      <c r="AV3" s="1" t="s">
        <v>118</v>
      </c>
    </row>
    <row r="4" spans="1:48" x14ac:dyDescent="0.25">
      <c r="A4" s="1" t="s">
        <v>119</v>
      </c>
      <c r="B4" s="1" t="s">
        <v>117</v>
      </c>
      <c r="C4" s="1">
        <v>82</v>
      </c>
      <c r="D4" s="1">
        <v>42</v>
      </c>
      <c r="E4" s="1">
        <v>40</v>
      </c>
      <c r="F4" s="1">
        <v>0.51200000000000001</v>
      </c>
      <c r="G4" s="1">
        <v>3956</v>
      </c>
      <c r="H4" s="1">
        <v>106.9</v>
      </c>
      <c r="I4" s="1">
        <v>108.5</v>
      </c>
      <c r="J4" s="1">
        <v>106.4</v>
      </c>
      <c r="K4" s="1">
        <v>108.7</v>
      </c>
      <c r="L4" s="1">
        <v>0.5</v>
      </c>
      <c r="M4" s="1">
        <v>-0.2</v>
      </c>
      <c r="N4" s="1">
        <v>0.624</v>
      </c>
      <c r="O4" s="1">
        <v>1.73</v>
      </c>
      <c r="P4" s="1">
        <v>18.5</v>
      </c>
      <c r="Q4" s="1">
        <v>0.26</v>
      </c>
      <c r="R4" s="1">
        <v>0.70599999999999996</v>
      </c>
      <c r="S4" s="1">
        <v>0.48699999999999999</v>
      </c>
      <c r="T4" s="1">
        <v>0.14599999999999999</v>
      </c>
      <c r="U4" s="1">
        <v>0.52700000000000002</v>
      </c>
      <c r="V4" s="1">
        <v>0.56499999999999995</v>
      </c>
      <c r="W4" s="1">
        <v>96.7</v>
      </c>
      <c r="X4" s="1">
        <v>94.99</v>
      </c>
      <c r="Y4" s="1">
        <v>79.16</v>
      </c>
      <c r="Z4" s="1">
        <v>7828</v>
      </c>
      <c r="AA4" s="1">
        <v>0.504</v>
      </c>
      <c r="AB4" s="1">
        <v>1</v>
      </c>
      <c r="AC4" s="1">
        <v>5</v>
      </c>
      <c r="AD4" s="1">
        <v>7</v>
      </c>
      <c r="AE4" s="1">
        <v>6</v>
      </c>
      <c r="AF4" s="1">
        <v>15</v>
      </c>
      <c r="AG4" s="1">
        <v>3</v>
      </c>
      <c r="AH4" s="1">
        <v>19</v>
      </c>
      <c r="AI4" s="1">
        <v>10</v>
      </c>
      <c r="AJ4" s="1">
        <v>3</v>
      </c>
      <c r="AK4" s="1">
        <v>3</v>
      </c>
      <c r="AL4" s="1">
        <v>1</v>
      </c>
      <c r="AM4" s="1">
        <v>21</v>
      </c>
      <c r="AN4" s="1">
        <v>6</v>
      </c>
      <c r="AO4" s="1">
        <v>19</v>
      </c>
      <c r="AP4" s="1">
        <v>8</v>
      </c>
      <c r="AQ4" s="1">
        <v>3</v>
      </c>
      <c r="AR4" s="1">
        <v>3</v>
      </c>
      <c r="AS4" s="1">
        <v>5</v>
      </c>
      <c r="AT4" s="1">
        <v>6</v>
      </c>
      <c r="AU4" s="1">
        <v>210</v>
      </c>
      <c r="AV4" s="1" t="s">
        <v>119</v>
      </c>
    </row>
    <row r="5" spans="1:48" x14ac:dyDescent="0.25">
      <c r="A5" s="1" t="s">
        <v>120</v>
      </c>
      <c r="B5" s="1" t="s">
        <v>117</v>
      </c>
      <c r="C5" s="1">
        <v>82</v>
      </c>
      <c r="D5" s="1">
        <v>33</v>
      </c>
      <c r="E5" s="1">
        <v>49</v>
      </c>
      <c r="F5" s="1">
        <v>0.40200000000000002</v>
      </c>
      <c r="G5" s="1">
        <v>3966</v>
      </c>
      <c r="H5" s="1">
        <v>102.2</v>
      </c>
      <c r="I5" s="1">
        <v>103.4</v>
      </c>
      <c r="J5" s="1">
        <v>105.7</v>
      </c>
      <c r="K5" s="1">
        <v>107.8</v>
      </c>
      <c r="L5" s="1">
        <v>-3.5</v>
      </c>
      <c r="M5" s="1">
        <v>-4.5</v>
      </c>
      <c r="N5" s="1">
        <v>0.60299999999999998</v>
      </c>
      <c r="O5" s="1">
        <v>1.52</v>
      </c>
      <c r="P5" s="1">
        <v>17.600000000000001</v>
      </c>
      <c r="Q5" s="1">
        <v>0.28599999999999998</v>
      </c>
      <c r="R5" s="1">
        <v>0.68899999999999995</v>
      </c>
      <c r="S5" s="1">
        <v>0.49</v>
      </c>
      <c r="T5" s="1">
        <v>0.159</v>
      </c>
      <c r="U5" s="1">
        <v>0.499</v>
      </c>
      <c r="V5" s="1">
        <v>0.53700000000000003</v>
      </c>
      <c r="W5" s="1">
        <v>96.6</v>
      </c>
      <c r="X5" s="1">
        <v>95.05</v>
      </c>
      <c r="Y5" s="1">
        <v>79.209999999999994</v>
      </c>
      <c r="Z5" s="1">
        <v>7858</v>
      </c>
      <c r="AA5" s="1">
        <v>0.48299999999999998</v>
      </c>
      <c r="AB5" s="1">
        <v>1</v>
      </c>
      <c r="AC5" s="1">
        <v>16</v>
      </c>
      <c r="AD5" s="1">
        <v>18</v>
      </c>
      <c r="AE5" s="1">
        <v>18</v>
      </c>
      <c r="AF5" s="1">
        <v>11</v>
      </c>
      <c r="AG5" s="1">
        <v>17</v>
      </c>
      <c r="AH5" s="1">
        <v>17</v>
      </c>
      <c r="AI5" s="1">
        <v>21</v>
      </c>
      <c r="AJ5" s="1">
        <v>6</v>
      </c>
      <c r="AK5" s="1">
        <v>12</v>
      </c>
      <c r="AL5" s="1">
        <v>7</v>
      </c>
      <c r="AM5" s="1">
        <v>20</v>
      </c>
      <c r="AN5" s="1">
        <v>10</v>
      </c>
      <c r="AO5" s="1">
        <v>17</v>
      </c>
      <c r="AP5" s="1">
        <v>17</v>
      </c>
      <c r="AQ5" s="1">
        <v>7</v>
      </c>
      <c r="AR5" s="1">
        <v>10</v>
      </c>
      <c r="AS5" s="1">
        <v>4</v>
      </c>
      <c r="AT5" s="1">
        <v>17</v>
      </c>
      <c r="AU5" s="1">
        <v>210</v>
      </c>
      <c r="AV5" s="1" t="s">
        <v>120</v>
      </c>
    </row>
    <row r="6" spans="1:48" x14ac:dyDescent="0.25">
      <c r="A6" s="1" t="s">
        <v>1495</v>
      </c>
      <c r="B6" s="1" t="s">
        <v>117</v>
      </c>
      <c r="C6" s="1">
        <v>82</v>
      </c>
      <c r="D6" s="1">
        <v>41</v>
      </c>
      <c r="E6" s="1">
        <v>41</v>
      </c>
      <c r="F6" s="1">
        <v>0.5</v>
      </c>
      <c r="G6" s="1">
        <v>3986</v>
      </c>
      <c r="H6" s="1">
        <v>100.5</v>
      </c>
      <c r="I6" s="1">
        <v>102</v>
      </c>
      <c r="J6" s="1">
        <v>99.3</v>
      </c>
      <c r="K6" s="1">
        <v>101.4</v>
      </c>
      <c r="L6" s="1">
        <v>1.2</v>
      </c>
      <c r="M6" s="1">
        <v>0.6</v>
      </c>
      <c r="N6" s="1">
        <v>0.627</v>
      </c>
      <c r="O6" s="1">
        <v>1.41</v>
      </c>
      <c r="P6" s="1">
        <v>17.8</v>
      </c>
      <c r="Q6" s="1">
        <v>0.28999999999999998</v>
      </c>
      <c r="R6" s="1">
        <v>0.68600000000000005</v>
      </c>
      <c r="S6" s="1">
        <v>0.49099999999999999</v>
      </c>
      <c r="T6" s="1">
        <v>0.17499999999999999</v>
      </c>
      <c r="U6" s="1">
        <v>0.499</v>
      </c>
      <c r="V6" s="1">
        <v>0.53600000000000003</v>
      </c>
      <c r="W6" s="1">
        <v>96.5</v>
      </c>
      <c r="X6" s="1">
        <v>94.82</v>
      </c>
      <c r="Y6" s="1">
        <v>79.02</v>
      </c>
      <c r="Z6" s="1">
        <v>7867</v>
      </c>
      <c r="AA6" s="1">
        <v>0.51100000000000001</v>
      </c>
      <c r="AB6" s="1">
        <v>1</v>
      </c>
      <c r="AC6" s="1">
        <v>8</v>
      </c>
      <c r="AD6" s="1">
        <v>10</v>
      </c>
      <c r="AE6" s="1">
        <v>9</v>
      </c>
      <c r="AF6" s="1">
        <v>2</v>
      </c>
      <c r="AG6" s="1">
        <v>20</v>
      </c>
      <c r="AH6" s="1">
        <v>2</v>
      </c>
      <c r="AI6" s="1">
        <v>6</v>
      </c>
      <c r="AJ6" s="1">
        <v>2</v>
      </c>
      <c r="AK6" s="1">
        <v>20</v>
      </c>
      <c r="AL6" s="1">
        <v>3</v>
      </c>
      <c r="AM6" s="1">
        <v>16</v>
      </c>
      <c r="AN6" s="1">
        <v>12</v>
      </c>
      <c r="AO6" s="1">
        <v>13</v>
      </c>
      <c r="AP6" s="1">
        <v>22</v>
      </c>
      <c r="AQ6" s="1">
        <v>8</v>
      </c>
      <c r="AR6" s="1">
        <v>11</v>
      </c>
      <c r="AS6" s="1">
        <v>6</v>
      </c>
      <c r="AT6" s="1">
        <v>4</v>
      </c>
      <c r="AU6" s="1">
        <v>210</v>
      </c>
      <c r="AV6" s="1" t="s">
        <v>121</v>
      </c>
    </row>
    <row r="7" spans="1:48" x14ac:dyDescent="0.25">
      <c r="A7" s="1" t="s">
        <v>122</v>
      </c>
      <c r="B7" s="1" t="s">
        <v>117</v>
      </c>
      <c r="C7" s="1">
        <v>82</v>
      </c>
      <c r="D7" s="1">
        <v>15</v>
      </c>
      <c r="E7" s="1">
        <v>67</v>
      </c>
      <c r="F7" s="1">
        <v>0.183</v>
      </c>
      <c r="G7" s="1">
        <v>3976</v>
      </c>
      <c r="H7" s="1">
        <v>100.2</v>
      </c>
      <c r="I7" s="1">
        <v>101.9</v>
      </c>
      <c r="J7" s="1">
        <v>108.9</v>
      </c>
      <c r="K7" s="1">
        <v>110.2</v>
      </c>
      <c r="L7" s="1">
        <v>-8.6999999999999993</v>
      </c>
      <c r="M7" s="1">
        <v>-8.3000000000000007</v>
      </c>
      <c r="N7" s="1">
        <v>0.59599999999999997</v>
      </c>
      <c r="O7" s="1">
        <v>1.42</v>
      </c>
      <c r="P7" s="1">
        <v>16.5</v>
      </c>
      <c r="Q7" s="1">
        <v>0.31</v>
      </c>
      <c r="R7" s="1">
        <v>0.67800000000000005</v>
      </c>
      <c r="S7" s="1">
        <v>0.49</v>
      </c>
      <c r="T7" s="1">
        <v>0.161</v>
      </c>
      <c r="U7" s="1">
        <v>0.47899999999999998</v>
      </c>
      <c r="V7" s="1">
        <v>0.51900000000000002</v>
      </c>
      <c r="W7" s="1">
        <v>94.3</v>
      </c>
      <c r="X7" s="1">
        <v>92.96</v>
      </c>
      <c r="Y7" s="1">
        <v>77.47</v>
      </c>
      <c r="Z7" s="1">
        <v>7685</v>
      </c>
      <c r="AA7" s="1">
        <v>0.44900000000000001</v>
      </c>
      <c r="AB7" s="1">
        <v>1</v>
      </c>
      <c r="AC7" s="1">
        <v>23</v>
      </c>
      <c r="AD7" s="1">
        <v>23</v>
      </c>
      <c r="AE7" s="1">
        <v>23</v>
      </c>
      <c r="AF7" s="1">
        <v>6</v>
      </c>
      <c r="AG7" s="1">
        <v>21</v>
      </c>
      <c r="AH7" s="1">
        <v>21</v>
      </c>
      <c r="AI7" s="1">
        <v>23</v>
      </c>
      <c r="AJ7" s="1">
        <v>11</v>
      </c>
      <c r="AK7" s="1">
        <v>19</v>
      </c>
      <c r="AL7" s="1">
        <v>17</v>
      </c>
      <c r="AM7" s="1">
        <v>9</v>
      </c>
      <c r="AN7" s="1">
        <v>15</v>
      </c>
      <c r="AO7" s="1">
        <v>18</v>
      </c>
      <c r="AP7" s="1">
        <v>19</v>
      </c>
      <c r="AQ7" s="1">
        <v>18</v>
      </c>
      <c r="AR7" s="1">
        <v>20</v>
      </c>
      <c r="AS7" s="1">
        <v>13</v>
      </c>
      <c r="AT7" s="1">
        <v>23</v>
      </c>
      <c r="AU7" s="1">
        <v>210</v>
      </c>
      <c r="AV7" s="1" t="s">
        <v>122</v>
      </c>
    </row>
    <row r="8" spans="1:48" x14ac:dyDescent="0.25">
      <c r="A8" s="1" t="s">
        <v>123</v>
      </c>
      <c r="B8" s="1" t="s">
        <v>117</v>
      </c>
      <c r="C8" s="1">
        <v>82</v>
      </c>
      <c r="D8" s="1">
        <v>38</v>
      </c>
      <c r="E8" s="1">
        <v>44</v>
      </c>
      <c r="F8" s="1">
        <v>0.46300000000000002</v>
      </c>
      <c r="G8" s="1">
        <v>3966</v>
      </c>
      <c r="H8" s="1">
        <v>100.9</v>
      </c>
      <c r="I8" s="1">
        <v>102.5</v>
      </c>
      <c r="J8" s="1">
        <v>102.3</v>
      </c>
      <c r="K8" s="1">
        <v>104.2</v>
      </c>
      <c r="L8" s="1">
        <v>-1.4</v>
      </c>
      <c r="M8" s="1">
        <v>-1.7</v>
      </c>
      <c r="N8" s="1">
        <v>0.6</v>
      </c>
      <c r="O8" s="1">
        <v>1.62</v>
      </c>
      <c r="P8" s="1">
        <v>17</v>
      </c>
      <c r="Q8" s="1">
        <v>0.315</v>
      </c>
      <c r="R8" s="1">
        <v>0.67800000000000005</v>
      </c>
      <c r="S8" s="1">
        <v>0.49099999999999999</v>
      </c>
      <c r="T8" s="1">
        <v>0.14599999999999999</v>
      </c>
      <c r="U8" s="1">
        <v>0.47599999999999998</v>
      </c>
      <c r="V8" s="1">
        <v>0.51</v>
      </c>
      <c r="W8" s="1">
        <v>97.3</v>
      </c>
      <c r="X8" s="1">
        <v>95.65</v>
      </c>
      <c r="Y8" s="1">
        <v>79.709999999999994</v>
      </c>
      <c r="Z8" s="1">
        <v>7909</v>
      </c>
      <c r="AA8" s="1">
        <v>0.48799999999999999</v>
      </c>
      <c r="AB8" s="1">
        <v>1</v>
      </c>
      <c r="AC8" s="1">
        <v>12</v>
      </c>
      <c r="AD8" s="1">
        <v>14</v>
      </c>
      <c r="AE8" s="1">
        <v>14</v>
      </c>
      <c r="AF8" s="1">
        <v>11</v>
      </c>
      <c r="AG8" s="1">
        <v>19</v>
      </c>
      <c r="AH8" s="1">
        <v>9</v>
      </c>
      <c r="AI8" s="1">
        <v>16</v>
      </c>
      <c r="AJ8" s="1">
        <v>8</v>
      </c>
      <c r="AK8" s="1">
        <v>8</v>
      </c>
      <c r="AL8" s="1">
        <v>12</v>
      </c>
      <c r="AM8" s="1">
        <v>6</v>
      </c>
      <c r="AN8" s="1">
        <v>16</v>
      </c>
      <c r="AO8" s="1">
        <v>15</v>
      </c>
      <c r="AP8" s="1">
        <v>7</v>
      </c>
      <c r="AQ8" s="1">
        <v>20</v>
      </c>
      <c r="AR8" s="1">
        <v>23</v>
      </c>
      <c r="AS8" s="1">
        <v>3</v>
      </c>
      <c r="AT8" s="1">
        <v>14</v>
      </c>
      <c r="AU8" s="1">
        <v>210</v>
      </c>
      <c r="AV8" s="1" t="s">
        <v>123</v>
      </c>
    </row>
    <row r="9" spans="1:48" x14ac:dyDescent="0.25">
      <c r="A9" s="1" t="s">
        <v>124</v>
      </c>
      <c r="B9" s="1" t="s">
        <v>117</v>
      </c>
      <c r="C9" s="1">
        <v>66</v>
      </c>
      <c r="D9" s="1">
        <v>31</v>
      </c>
      <c r="E9" s="1">
        <v>35</v>
      </c>
      <c r="F9" s="1">
        <v>0.47</v>
      </c>
      <c r="G9" s="1">
        <v>3173</v>
      </c>
      <c r="H9" s="1">
        <v>102.4</v>
      </c>
      <c r="I9" s="1">
        <v>104.5</v>
      </c>
      <c r="J9" s="1">
        <v>102.4</v>
      </c>
      <c r="K9" s="1">
        <v>104.1</v>
      </c>
      <c r="L9" s="1">
        <v>0</v>
      </c>
      <c r="M9" s="1">
        <v>0.4</v>
      </c>
      <c r="N9" s="1">
        <v>0.62</v>
      </c>
      <c r="O9" s="1">
        <v>1.67</v>
      </c>
      <c r="P9" s="1">
        <v>17.600000000000001</v>
      </c>
      <c r="Q9" s="1">
        <v>0.314</v>
      </c>
      <c r="R9" s="1">
        <v>0.67500000000000004</v>
      </c>
      <c r="S9" s="1">
        <v>0.49</v>
      </c>
      <c r="T9" s="1">
        <v>0.14799999999999999</v>
      </c>
      <c r="U9" s="1">
        <v>0.48099999999999998</v>
      </c>
      <c r="V9" s="1">
        <v>0.52100000000000002</v>
      </c>
      <c r="W9" s="1">
        <v>96.4</v>
      </c>
      <c r="X9" s="1">
        <v>94.68</v>
      </c>
      <c r="Y9" s="1">
        <v>78.900000000000006</v>
      </c>
      <c r="Z9" s="1">
        <v>6256</v>
      </c>
      <c r="AA9" s="1">
        <v>0.503</v>
      </c>
      <c r="AB9" s="1">
        <v>22</v>
      </c>
      <c r="AC9" s="1">
        <v>18</v>
      </c>
      <c r="AD9" s="1">
        <v>4</v>
      </c>
      <c r="AE9" s="1">
        <v>13</v>
      </c>
      <c r="AF9" s="1">
        <v>22</v>
      </c>
      <c r="AG9" s="1">
        <v>14</v>
      </c>
      <c r="AH9" s="1">
        <v>8</v>
      </c>
      <c r="AI9" s="1">
        <v>7</v>
      </c>
      <c r="AJ9" s="1">
        <v>4</v>
      </c>
      <c r="AK9" s="1">
        <v>6</v>
      </c>
      <c r="AL9" s="1">
        <v>6</v>
      </c>
      <c r="AM9" s="1">
        <v>7</v>
      </c>
      <c r="AN9" s="1">
        <v>17</v>
      </c>
      <c r="AO9" s="1">
        <v>16</v>
      </c>
      <c r="AP9" s="1">
        <v>10</v>
      </c>
      <c r="AQ9" s="1">
        <v>17</v>
      </c>
      <c r="AR9" s="1">
        <v>19</v>
      </c>
      <c r="AS9" s="1">
        <v>7</v>
      </c>
      <c r="AT9" s="1">
        <v>7</v>
      </c>
      <c r="AU9" s="1">
        <v>210</v>
      </c>
      <c r="AV9" s="1" t="s">
        <v>124</v>
      </c>
    </row>
    <row r="10" spans="1:48" x14ac:dyDescent="0.25">
      <c r="A10" s="1" t="s">
        <v>125</v>
      </c>
      <c r="B10" s="1" t="s">
        <v>117</v>
      </c>
      <c r="C10" s="1">
        <v>82</v>
      </c>
      <c r="D10" s="1">
        <v>35</v>
      </c>
      <c r="E10" s="1">
        <v>47</v>
      </c>
      <c r="F10" s="1">
        <v>0.42699999999999999</v>
      </c>
      <c r="G10" s="1">
        <v>3966</v>
      </c>
      <c r="H10" s="1">
        <v>99</v>
      </c>
      <c r="I10" s="1">
        <v>100.8</v>
      </c>
      <c r="J10" s="1">
        <v>99.9</v>
      </c>
      <c r="K10" s="1">
        <v>101.5</v>
      </c>
      <c r="L10" s="1">
        <v>-1</v>
      </c>
      <c r="M10" s="1">
        <v>-0.8</v>
      </c>
      <c r="N10" s="1">
        <v>0.54900000000000004</v>
      </c>
      <c r="O10" s="1">
        <v>1.4</v>
      </c>
      <c r="P10" s="1">
        <v>15.3</v>
      </c>
      <c r="Q10" s="1">
        <v>0.28699999999999998</v>
      </c>
      <c r="R10" s="1">
        <v>0.71</v>
      </c>
      <c r="S10" s="1">
        <v>0.49199999999999999</v>
      </c>
      <c r="T10" s="1">
        <v>0.14799999999999999</v>
      </c>
      <c r="U10" s="1">
        <v>0.46700000000000003</v>
      </c>
      <c r="V10" s="1">
        <v>0.51100000000000001</v>
      </c>
      <c r="W10" s="1">
        <v>92.1</v>
      </c>
      <c r="X10" s="1">
        <v>90.57</v>
      </c>
      <c r="Y10" s="1">
        <v>75.47</v>
      </c>
      <c r="Z10" s="1">
        <v>7477</v>
      </c>
      <c r="AA10" s="1">
        <v>0.48799999999999999</v>
      </c>
      <c r="AB10" s="1">
        <v>1</v>
      </c>
      <c r="AC10" s="1">
        <v>14</v>
      </c>
      <c r="AD10" s="1">
        <v>16</v>
      </c>
      <c r="AE10" s="1">
        <v>16</v>
      </c>
      <c r="AF10" s="1">
        <v>11</v>
      </c>
      <c r="AG10" s="1">
        <v>23</v>
      </c>
      <c r="AH10" s="1">
        <v>3</v>
      </c>
      <c r="AI10" s="1">
        <v>13</v>
      </c>
      <c r="AJ10" s="1">
        <v>22</v>
      </c>
      <c r="AK10" s="1">
        <v>21</v>
      </c>
      <c r="AL10" s="1">
        <v>23</v>
      </c>
      <c r="AM10" s="1">
        <v>19</v>
      </c>
      <c r="AN10" s="1">
        <v>4</v>
      </c>
      <c r="AO10" s="1">
        <v>12</v>
      </c>
      <c r="AP10" s="1">
        <v>9</v>
      </c>
      <c r="AQ10" s="1">
        <v>23</v>
      </c>
      <c r="AR10" s="1">
        <v>22</v>
      </c>
      <c r="AS10" s="1">
        <v>22</v>
      </c>
      <c r="AT10" s="1">
        <v>13</v>
      </c>
      <c r="AU10" s="1">
        <v>210</v>
      </c>
      <c r="AV10" s="1" t="s">
        <v>125</v>
      </c>
    </row>
    <row r="11" spans="1:48" x14ac:dyDescent="0.25">
      <c r="A11" s="1" t="s">
        <v>126</v>
      </c>
      <c r="B11" s="1" t="s">
        <v>117</v>
      </c>
      <c r="C11" s="1">
        <v>82</v>
      </c>
      <c r="D11" s="1">
        <v>46</v>
      </c>
      <c r="E11" s="1">
        <v>36</v>
      </c>
      <c r="F11" s="1">
        <v>0.56100000000000005</v>
      </c>
      <c r="G11" s="1">
        <v>3996</v>
      </c>
      <c r="H11" s="1">
        <v>102</v>
      </c>
      <c r="I11" s="1">
        <v>104</v>
      </c>
      <c r="J11" s="1">
        <v>100.9</v>
      </c>
      <c r="K11" s="1">
        <v>101.9</v>
      </c>
      <c r="L11" s="1">
        <v>1</v>
      </c>
      <c r="M11" s="1">
        <v>2.1</v>
      </c>
      <c r="N11" s="1">
        <v>0.56999999999999995</v>
      </c>
      <c r="O11" s="1">
        <v>1.6</v>
      </c>
      <c r="P11" s="1">
        <v>16.399999999999999</v>
      </c>
      <c r="Q11" s="1">
        <v>0.29799999999999999</v>
      </c>
      <c r="R11" s="1">
        <v>0.72599999999999998</v>
      </c>
      <c r="S11" s="1">
        <v>0.501</v>
      </c>
      <c r="T11" s="1">
        <v>0.14099999999999999</v>
      </c>
      <c r="U11" s="1">
        <v>0.48199999999999998</v>
      </c>
      <c r="V11" s="1">
        <v>0.51800000000000002</v>
      </c>
      <c r="W11" s="1">
        <v>94</v>
      </c>
      <c r="X11" s="1">
        <v>92.6</v>
      </c>
      <c r="Y11" s="1">
        <v>77.17</v>
      </c>
      <c r="Z11" s="1">
        <v>7698</v>
      </c>
      <c r="AA11" s="1">
        <v>0.495</v>
      </c>
      <c r="AB11" s="1">
        <v>1</v>
      </c>
      <c r="AC11" s="1">
        <v>3</v>
      </c>
      <c r="AD11" s="1">
        <v>5</v>
      </c>
      <c r="AE11" s="1">
        <v>3</v>
      </c>
      <c r="AF11" s="1">
        <v>1</v>
      </c>
      <c r="AG11" s="1">
        <v>15</v>
      </c>
      <c r="AH11" s="1">
        <v>4</v>
      </c>
      <c r="AI11" s="1">
        <v>3</v>
      </c>
      <c r="AJ11" s="1">
        <v>19</v>
      </c>
      <c r="AK11" s="1">
        <v>9</v>
      </c>
      <c r="AL11" s="1">
        <v>19</v>
      </c>
      <c r="AM11" s="1">
        <v>15</v>
      </c>
      <c r="AN11" s="1">
        <v>2</v>
      </c>
      <c r="AO11" s="1">
        <v>6</v>
      </c>
      <c r="AP11" s="1">
        <v>3</v>
      </c>
      <c r="AQ11" s="1">
        <v>16</v>
      </c>
      <c r="AR11" s="1">
        <v>21</v>
      </c>
      <c r="AS11" s="1">
        <v>15</v>
      </c>
      <c r="AT11" s="1">
        <v>12</v>
      </c>
      <c r="AU11" s="1">
        <v>210</v>
      </c>
      <c r="AV11" s="1" t="s">
        <v>126</v>
      </c>
    </row>
    <row r="12" spans="1:48" x14ac:dyDescent="0.25">
      <c r="A12" s="1" t="s">
        <v>127</v>
      </c>
      <c r="B12" s="1" t="s">
        <v>117</v>
      </c>
      <c r="C12" s="1">
        <v>82</v>
      </c>
      <c r="D12" s="1">
        <v>34</v>
      </c>
      <c r="E12" s="1">
        <v>48</v>
      </c>
      <c r="F12" s="1">
        <v>0.41499999999999998</v>
      </c>
      <c r="G12" s="1">
        <v>3956</v>
      </c>
      <c r="H12" s="1">
        <v>103.8</v>
      </c>
      <c r="I12" s="1">
        <v>105.2</v>
      </c>
      <c r="J12" s="1">
        <v>104.9</v>
      </c>
      <c r="K12" s="1">
        <v>106.3</v>
      </c>
      <c r="L12" s="1">
        <v>-1.2</v>
      </c>
      <c r="M12" s="1">
        <v>-1.1000000000000001</v>
      </c>
      <c r="N12" s="1">
        <v>0.59899999999999998</v>
      </c>
      <c r="O12" s="1">
        <v>1.56</v>
      </c>
      <c r="P12" s="1">
        <v>16.8</v>
      </c>
      <c r="Q12" s="1">
        <v>0.31</v>
      </c>
      <c r="R12" s="1">
        <v>0.69899999999999995</v>
      </c>
      <c r="S12" s="1">
        <v>0.496</v>
      </c>
      <c r="T12" s="1">
        <v>0.14899999999999999</v>
      </c>
      <c r="U12" s="1">
        <v>0.48299999999999998</v>
      </c>
      <c r="V12" s="1">
        <v>0.53100000000000003</v>
      </c>
      <c r="W12" s="1">
        <v>95.2</v>
      </c>
      <c r="X12" s="1">
        <v>93.89</v>
      </c>
      <c r="Y12" s="1">
        <v>78.25</v>
      </c>
      <c r="Z12" s="1">
        <v>7736</v>
      </c>
      <c r="AA12" s="1">
        <v>0.48499999999999999</v>
      </c>
      <c r="AB12" s="1">
        <v>1</v>
      </c>
      <c r="AC12" s="1">
        <v>15</v>
      </c>
      <c r="AD12" s="1">
        <v>17</v>
      </c>
      <c r="AE12" s="1">
        <v>17</v>
      </c>
      <c r="AF12" s="1">
        <v>15</v>
      </c>
      <c r="AG12" s="1">
        <v>9</v>
      </c>
      <c r="AH12" s="1">
        <v>14</v>
      </c>
      <c r="AI12" s="1">
        <v>15</v>
      </c>
      <c r="AJ12" s="1">
        <v>9</v>
      </c>
      <c r="AK12" s="1">
        <v>11</v>
      </c>
      <c r="AL12" s="1">
        <v>13</v>
      </c>
      <c r="AM12" s="1">
        <v>10</v>
      </c>
      <c r="AN12" s="1">
        <v>7</v>
      </c>
      <c r="AO12" s="1">
        <v>10</v>
      </c>
      <c r="AP12" s="1">
        <v>11</v>
      </c>
      <c r="AQ12" s="1">
        <v>14</v>
      </c>
      <c r="AR12" s="1">
        <v>13</v>
      </c>
      <c r="AS12" s="1">
        <v>9</v>
      </c>
      <c r="AT12" s="1">
        <v>16</v>
      </c>
      <c r="AU12" s="1">
        <v>210</v>
      </c>
      <c r="AV12" s="1" t="s">
        <v>127</v>
      </c>
    </row>
    <row r="13" spans="1:48" x14ac:dyDescent="0.25">
      <c r="A13" s="1" t="s">
        <v>128</v>
      </c>
      <c r="B13" s="1" t="s">
        <v>117</v>
      </c>
      <c r="C13" s="1">
        <v>82</v>
      </c>
      <c r="D13" s="1">
        <v>26</v>
      </c>
      <c r="E13" s="1">
        <v>56</v>
      </c>
      <c r="F13" s="1">
        <v>0.317</v>
      </c>
      <c r="G13" s="1">
        <v>3971</v>
      </c>
      <c r="H13" s="1">
        <v>102.4</v>
      </c>
      <c r="I13" s="1">
        <v>103.9</v>
      </c>
      <c r="J13" s="1">
        <v>109.8</v>
      </c>
      <c r="K13" s="1">
        <v>111.1</v>
      </c>
      <c r="L13" s="1">
        <v>-7.5</v>
      </c>
      <c r="M13" s="1">
        <v>-7.2</v>
      </c>
      <c r="N13" s="1">
        <v>0.58199999999999996</v>
      </c>
      <c r="O13" s="1">
        <v>1.45</v>
      </c>
      <c r="P13" s="1">
        <v>16.5</v>
      </c>
      <c r="Q13" s="1">
        <v>0.33200000000000002</v>
      </c>
      <c r="R13" s="1">
        <v>0.69399999999999995</v>
      </c>
      <c r="S13" s="1">
        <v>0.50600000000000001</v>
      </c>
      <c r="T13" s="1">
        <v>0.158</v>
      </c>
      <c r="U13" s="1">
        <v>0.48199999999999998</v>
      </c>
      <c r="V13" s="1">
        <v>0.52200000000000002</v>
      </c>
      <c r="W13" s="1">
        <v>93.8</v>
      </c>
      <c r="X13" s="1">
        <v>92.61</v>
      </c>
      <c r="Y13" s="1">
        <v>77.17</v>
      </c>
      <c r="Z13" s="1">
        <v>7654</v>
      </c>
      <c r="AA13" s="1">
        <v>0.45200000000000001</v>
      </c>
      <c r="AB13" s="1">
        <v>1</v>
      </c>
      <c r="AC13" s="1">
        <v>22</v>
      </c>
      <c r="AD13" s="1">
        <v>22</v>
      </c>
      <c r="AE13" s="1">
        <v>22</v>
      </c>
      <c r="AF13" s="1">
        <v>7</v>
      </c>
      <c r="AG13" s="1">
        <v>16</v>
      </c>
      <c r="AH13" s="1">
        <v>23</v>
      </c>
      <c r="AI13" s="1">
        <v>22</v>
      </c>
      <c r="AJ13" s="1">
        <v>17</v>
      </c>
      <c r="AK13" s="1">
        <v>16</v>
      </c>
      <c r="AL13" s="1">
        <v>18</v>
      </c>
      <c r="AM13" s="1">
        <v>2</v>
      </c>
      <c r="AN13" s="1">
        <v>8</v>
      </c>
      <c r="AO13" s="1">
        <v>3</v>
      </c>
      <c r="AP13" s="1">
        <v>16</v>
      </c>
      <c r="AQ13" s="1">
        <v>15</v>
      </c>
      <c r="AR13" s="1">
        <v>18</v>
      </c>
      <c r="AS13" s="1">
        <v>14</v>
      </c>
      <c r="AT13" s="1">
        <v>22</v>
      </c>
      <c r="AU13" s="1">
        <v>210</v>
      </c>
      <c r="AV13" s="1" t="s">
        <v>128</v>
      </c>
    </row>
    <row r="14" spans="1:48" x14ac:dyDescent="0.25">
      <c r="A14" s="1" t="s">
        <v>129</v>
      </c>
      <c r="B14" s="1" t="s">
        <v>117</v>
      </c>
      <c r="C14" s="1">
        <v>82</v>
      </c>
      <c r="D14" s="1">
        <v>28</v>
      </c>
      <c r="E14" s="1">
        <v>54</v>
      </c>
      <c r="F14" s="1">
        <v>0.34100000000000003</v>
      </c>
      <c r="G14" s="1">
        <v>3971</v>
      </c>
      <c r="H14" s="1">
        <v>104</v>
      </c>
      <c r="I14" s="1">
        <v>106</v>
      </c>
      <c r="J14" s="1">
        <v>109.1</v>
      </c>
      <c r="K14" s="1">
        <v>110.3</v>
      </c>
      <c r="L14" s="1">
        <v>-5</v>
      </c>
      <c r="M14" s="1">
        <v>-4.3</v>
      </c>
      <c r="N14" s="1">
        <v>0.56699999999999995</v>
      </c>
      <c r="O14" s="1">
        <v>1.43</v>
      </c>
      <c r="P14" s="1">
        <v>16.7</v>
      </c>
      <c r="Q14" s="1">
        <v>0.30599999999999999</v>
      </c>
      <c r="R14" s="1">
        <v>0.65700000000000003</v>
      </c>
      <c r="S14" s="1">
        <v>0.47899999999999998</v>
      </c>
      <c r="T14" s="1">
        <v>0.161</v>
      </c>
      <c r="U14" s="1">
        <v>0.504</v>
      </c>
      <c r="V14" s="1">
        <v>0.54100000000000004</v>
      </c>
      <c r="W14" s="1">
        <v>94.8</v>
      </c>
      <c r="X14" s="1">
        <v>93.33</v>
      </c>
      <c r="Y14" s="1">
        <v>77.78</v>
      </c>
      <c r="Z14" s="1">
        <v>7709</v>
      </c>
      <c r="AA14" s="1">
        <v>0.45600000000000002</v>
      </c>
      <c r="AB14" s="1">
        <v>1</v>
      </c>
      <c r="AC14" s="1">
        <v>20</v>
      </c>
      <c r="AD14" s="1">
        <v>21</v>
      </c>
      <c r="AE14" s="1">
        <v>21</v>
      </c>
      <c r="AF14" s="1">
        <v>7</v>
      </c>
      <c r="AG14" s="1">
        <v>7</v>
      </c>
      <c r="AH14" s="1">
        <v>22</v>
      </c>
      <c r="AI14" s="1">
        <v>20</v>
      </c>
      <c r="AJ14" s="1">
        <v>20</v>
      </c>
      <c r="AK14" s="1">
        <v>18</v>
      </c>
      <c r="AL14" s="1">
        <v>16</v>
      </c>
      <c r="AM14" s="1">
        <v>13</v>
      </c>
      <c r="AN14" s="1">
        <v>22</v>
      </c>
      <c r="AO14" s="1">
        <v>22</v>
      </c>
      <c r="AP14" s="1">
        <v>18</v>
      </c>
      <c r="AQ14" s="1">
        <v>5</v>
      </c>
      <c r="AR14" s="1">
        <v>8</v>
      </c>
      <c r="AS14" s="1">
        <v>11</v>
      </c>
      <c r="AT14" s="1">
        <v>21</v>
      </c>
      <c r="AU14" s="1">
        <v>210</v>
      </c>
      <c r="AV14" s="1" t="s">
        <v>129</v>
      </c>
    </row>
    <row r="15" spans="1:48" x14ac:dyDescent="0.25">
      <c r="A15" s="1" t="s">
        <v>130</v>
      </c>
      <c r="B15" s="1" t="s">
        <v>117</v>
      </c>
      <c r="C15" s="1">
        <v>82</v>
      </c>
      <c r="D15" s="1">
        <v>40</v>
      </c>
      <c r="E15" s="1">
        <v>42</v>
      </c>
      <c r="F15" s="1">
        <v>0.48799999999999999</v>
      </c>
      <c r="G15" s="1">
        <v>3971</v>
      </c>
      <c r="H15" s="1">
        <v>103.3</v>
      </c>
      <c r="I15" s="1">
        <v>104.9</v>
      </c>
      <c r="J15" s="1">
        <v>105</v>
      </c>
      <c r="K15" s="1">
        <v>105.9</v>
      </c>
      <c r="L15" s="1">
        <v>-1.7</v>
      </c>
      <c r="M15" s="1">
        <v>-1</v>
      </c>
      <c r="N15" s="1">
        <v>0.59399999999999997</v>
      </c>
      <c r="O15" s="1">
        <v>1.48</v>
      </c>
      <c r="P15" s="1">
        <v>16.8</v>
      </c>
      <c r="Q15" s="1">
        <v>0.309</v>
      </c>
      <c r="R15" s="1">
        <v>0.71299999999999997</v>
      </c>
      <c r="S15" s="1">
        <v>0.50700000000000001</v>
      </c>
      <c r="T15" s="1">
        <v>0.157</v>
      </c>
      <c r="U15" s="1">
        <v>0.49199999999999999</v>
      </c>
      <c r="V15" s="1">
        <v>0.53500000000000003</v>
      </c>
      <c r="W15" s="1">
        <v>93.6</v>
      </c>
      <c r="X15" s="1">
        <v>92.45</v>
      </c>
      <c r="Y15" s="1">
        <v>77.040000000000006</v>
      </c>
      <c r="Z15" s="1">
        <v>7646</v>
      </c>
      <c r="AA15" s="1">
        <v>0.48599999999999999</v>
      </c>
      <c r="AB15" s="1">
        <v>1</v>
      </c>
      <c r="AC15" s="1">
        <v>11</v>
      </c>
      <c r="AD15" s="1">
        <v>13</v>
      </c>
      <c r="AE15" s="1">
        <v>12</v>
      </c>
      <c r="AF15" s="1">
        <v>7</v>
      </c>
      <c r="AG15" s="1">
        <v>11</v>
      </c>
      <c r="AH15" s="1">
        <v>12</v>
      </c>
      <c r="AI15" s="1">
        <v>14</v>
      </c>
      <c r="AJ15" s="1">
        <v>12</v>
      </c>
      <c r="AK15" s="1">
        <v>15</v>
      </c>
      <c r="AL15" s="1">
        <v>14</v>
      </c>
      <c r="AM15" s="1">
        <v>11</v>
      </c>
      <c r="AN15" s="1">
        <v>3</v>
      </c>
      <c r="AO15" s="1">
        <v>2</v>
      </c>
      <c r="AP15" s="1">
        <v>14</v>
      </c>
      <c r="AQ15" s="1">
        <v>12</v>
      </c>
      <c r="AR15" s="1">
        <v>12</v>
      </c>
      <c r="AS15" s="1">
        <v>16</v>
      </c>
      <c r="AT15" s="1">
        <v>15</v>
      </c>
      <c r="AU15" s="1">
        <v>210</v>
      </c>
      <c r="AV15" s="1" t="s">
        <v>130</v>
      </c>
    </row>
    <row r="16" spans="1:48" x14ac:dyDescent="0.25">
      <c r="A16" s="1" t="s">
        <v>131</v>
      </c>
      <c r="B16" s="1" t="s">
        <v>117</v>
      </c>
      <c r="C16" s="1">
        <v>82</v>
      </c>
      <c r="D16" s="1">
        <v>30</v>
      </c>
      <c r="E16" s="1">
        <v>52</v>
      </c>
      <c r="F16" s="1">
        <v>0.36599999999999999</v>
      </c>
      <c r="G16" s="1">
        <v>3956</v>
      </c>
      <c r="H16" s="1">
        <v>103.4</v>
      </c>
      <c r="I16" s="1">
        <v>105.1</v>
      </c>
      <c r="J16" s="1">
        <v>106.7</v>
      </c>
      <c r="K16" s="1">
        <v>108.1</v>
      </c>
      <c r="L16" s="1">
        <v>-3.3</v>
      </c>
      <c r="M16" s="1">
        <v>-3</v>
      </c>
      <c r="N16" s="1">
        <v>0.57999999999999996</v>
      </c>
      <c r="O16" s="1">
        <v>1.52</v>
      </c>
      <c r="P16" s="1">
        <v>16.399999999999999</v>
      </c>
      <c r="Q16" s="1">
        <v>0.32200000000000001</v>
      </c>
      <c r="R16" s="1">
        <v>0.68700000000000006</v>
      </c>
      <c r="S16" s="1">
        <v>0.503</v>
      </c>
      <c r="T16" s="1">
        <v>0.14899999999999999</v>
      </c>
      <c r="U16" s="1">
        <v>0.47499999999999998</v>
      </c>
      <c r="V16" s="1">
        <v>0.52700000000000002</v>
      </c>
      <c r="W16" s="1">
        <v>93.5</v>
      </c>
      <c r="X16" s="1">
        <v>92.14</v>
      </c>
      <c r="Y16" s="1">
        <v>76.78</v>
      </c>
      <c r="Z16" s="1">
        <v>7584</v>
      </c>
      <c r="AA16" s="1">
        <v>0.47799999999999998</v>
      </c>
      <c r="AB16" s="1">
        <v>1</v>
      </c>
      <c r="AC16" s="1">
        <v>19</v>
      </c>
      <c r="AD16" s="1">
        <v>20</v>
      </c>
      <c r="AE16" s="1">
        <v>20</v>
      </c>
      <c r="AF16" s="1">
        <v>15</v>
      </c>
      <c r="AG16" s="1">
        <v>10</v>
      </c>
      <c r="AH16" s="1">
        <v>18</v>
      </c>
      <c r="AI16" s="1">
        <v>19</v>
      </c>
      <c r="AJ16" s="1">
        <v>18</v>
      </c>
      <c r="AK16" s="1">
        <v>13</v>
      </c>
      <c r="AL16" s="1">
        <v>20</v>
      </c>
      <c r="AM16" s="1">
        <v>5</v>
      </c>
      <c r="AN16" s="1">
        <v>11</v>
      </c>
      <c r="AO16" s="1">
        <v>4</v>
      </c>
      <c r="AP16" s="1">
        <v>12</v>
      </c>
      <c r="AQ16" s="1">
        <v>22</v>
      </c>
      <c r="AR16" s="1">
        <v>16</v>
      </c>
      <c r="AS16" s="1">
        <v>17</v>
      </c>
      <c r="AT16" s="1">
        <v>19</v>
      </c>
      <c r="AU16" s="1">
        <v>210</v>
      </c>
      <c r="AV16" s="1" t="s">
        <v>131</v>
      </c>
    </row>
    <row r="17" spans="1:48" x14ac:dyDescent="0.25">
      <c r="A17" s="1" t="s">
        <v>132</v>
      </c>
      <c r="B17" s="1" t="s">
        <v>117</v>
      </c>
      <c r="C17" s="1">
        <v>82</v>
      </c>
      <c r="D17" s="1">
        <v>41</v>
      </c>
      <c r="E17" s="1">
        <v>41</v>
      </c>
      <c r="F17" s="1">
        <v>0.5</v>
      </c>
      <c r="G17" s="1">
        <v>3956</v>
      </c>
      <c r="H17" s="1">
        <v>103.5</v>
      </c>
      <c r="I17" s="1">
        <v>104.6</v>
      </c>
      <c r="J17" s="1">
        <v>102.6</v>
      </c>
      <c r="K17" s="1">
        <v>103.5</v>
      </c>
      <c r="L17" s="1">
        <v>0.9</v>
      </c>
      <c r="M17" s="1">
        <v>1.1000000000000001</v>
      </c>
      <c r="N17" s="1">
        <v>0.63</v>
      </c>
      <c r="O17" s="1">
        <v>1.69</v>
      </c>
      <c r="P17" s="1">
        <v>17.5</v>
      </c>
      <c r="Q17" s="1">
        <v>0.308</v>
      </c>
      <c r="R17" s="1">
        <v>0.69</v>
      </c>
      <c r="S17" s="1">
        <v>0.499</v>
      </c>
      <c r="T17" s="1">
        <v>0.14399999999999999</v>
      </c>
      <c r="U17" s="1">
        <v>0.47699999999999998</v>
      </c>
      <c r="V17" s="1">
        <v>0.52800000000000002</v>
      </c>
      <c r="W17" s="1">
        <v>94.1</v>
      </c>
      <c r="X17" s="1">
        <v>93.2</v>
      </c>
      <c r="Y17" s="1">
        <v>77.66</v>
      </c>
      <c r="Z17" s="1">
        <v>7682</v>
      </c>
      <c r="AA17" s="1">
        <v>0.51</v>
      </c>
      <c r="AB17" s="1">
        <v>1</v>
      </c>
      <c r="AC17" s="1">
        <v>8</v>
      </c>
      <c r="AD17" s="1">
        <v>10</v>
      </c>
      <c r="AE17" s="1">
        <v>9</v>
      </c>
      <c r="AF17" s="1">
        <v>15</v>
      </c>
      <c r="AG17" s="1">
        <v>13</v>
      </c>
      <c r="AH17" s="1">
        <v>6</v>
      </c>
      <c r="AI17" s="1">
        <v>5</v>
      </c>
      <c r="AJ17" s="1">
        <v>1</v>
      </c>
      <c r="AK17" s="1">
        <v>4</v>
      </c>
      <c r="AL17" s="1">
        <v>8</v>
      </c>
      <c r="AM17" s="1">
        <v>12</v>
      </c>
      <c r="AN17" s="1">
        <v>9</v>
      </c>
      <c r="AO17" s="1">
        <v>8</v>
      </c>
      <c r="AP17" s="1">
        <v>5</v>
      </c>
      <c r="AQ17" s="1">
        <v>19</v>
      </c>
      <c r="AR17" s="1">
        <v>15</v>
      </c>
      <c r="AS17" s="1">
        <v>12</v>
      </c>
      <c r="AT17" s="1">
        <v>5</v>
      </c>
      <c r="AU17" s="1">
        <v>210</v>
      </c>
      <c r="AV17" s="1" t="s">
        <v>132</v>
      </c>
    </row>
    <row r="18" spans="1:48" x14ac:dyDescent="0.25">
      <c r="A18" s="1" t="s">
        <v>133</v>
      </c>
      <c r="B18" s="1" t="s">
        <v>117</v>
      </c>
      <c r="C18" s="1">
        <v>82</v>
      </c>
      <c r="D18" s="1">
        <v>42</v>
      </c>
      <c r="E18" s="1">
        <v>40</v>
      </c>
      <c r="F18" s="1">
        <v>0.51200000000000001</v>
      </c>
      <c r="G18" s="1">
        <v>3981</v>
      </c>
      <c r="H18" s="1">
        <v>106.2</v>
      </c>
      <c r="I18" s="1">
        <v>107.2</v>
      </c>
      <c r="J18" s="1">
        <v>105.3</v>
      </c>
      <c r="K18" s="1">
        <v>106.9</v>
      </c>
      <c r="L18" s="1">
        <v>1</v>
      </c>
      <c r="M18" s="1">
        <v>0.3</v>
      </c>
      <c r="N18" s="1">
        <v>0.59899999999999998</v>
      </c>
      <c r="O18" s="1">
        <v>1.75</v>
      </c>
      <c r="P18" s="1">
        <v>17.399999999999999</v>
      </c>
      <c r="Q18" s="1">
        <v>0.28699999999999998</v>
      </c>
      <c r="R18" s="1">
        <v>0.66600000000000004</v>
      </c>
      <c r="S18" s="1">
        <v>0.47699999999999998</v>
      </c>
      <c r="T18" s="1">
        <v>0.13700000000000001</v>
      </c>
      <c r="U18" s="1">
        <v>0.5</v>
      </c>
      <c r="V18" s="1">
        <v>0.54300000000000004</v>
      </c>
      <c r="W18" s="1">
        <v>92.9</v>
      </c>
      <c r="X18" s="1">
        <v>91.76</v>
      </c>
      <c r="Y18" s="1">
        <v>76.459999999999994</v>
      </c>
      <c r="Z18" s="1">
        <v>7607</v>
      </c>
      <c r="AA18" s="1">
        <v>0.495</v>
      </c>
      <c r="AB18" s="1">
        <v>1</v>
      </c>
      <c r="AC18" s="1">
        <v>5</v>
      </c>
      <c r="AD18" s="1">
        <v>7</v>
      </c>
      <c r="AE18" s="1">
        <v>6</v>
      </c>
      <c r="AF18" s="1">
        <v>4</v>
      </c>
      <c r="AG18" s="1">
        <v>4</v>
      </c>
      <c r="AH18" s="1">
        <v>16</v>
      </c>
      <c r="AI18" s="1">
        <v>8</v>
      </c>
      <c r="AJ18" s="1">
        <v>10</v>
      </c>
      <c r="AK18" s="1">
        <v>2</v>
      </c>
      <c r="AL18" s="1">
        <v>9</v>
      </c>
      <c r="AM18" s="1">
        <v>18</v>
      </c>
      <c r="AN18" s="1">
        <v>20</v>
      </c>
      <c r="AO18" s="1">
        <v>23</v>
      </c>
      <c r="AP18" s="1">
        <v>2</v>
      </c>
      <c r="AQ18" s="1">
        <v>6</v>
      </c>
      <c r="AR18" s="1">
        <v>5</v>
      </c>
      <c r="AS18" s="1">
        <v>19</v>
      </c>
      <c r="AT18" s="1">
        <v>11</v>
      </c>
      <c r="AU18" s="1">
        <v>210</v>
      </c>
      <c r="AV18" s="1" t="s">
        <v>133</v>
      </c>
    </row>
    <row r="19" spans="1:48" x14ac:dyDescent="0.25">
      <c r="A19" s="1" t="s">
        <v>134</v>
      </c>
      <c r="B19" s="1" t="s">
        <v>117</v>
      </c>
      <c r="C19" s="1">
        <v>82</v>
      </c>
      <c r="D19" s="1">
        <v>41</v>
      </c>
      <c r="E19" s="1">
        <v>41</v>
      </c>
      <c r="F19" s="1">
        <v>0.5</v>
      </c>
      <c r="G19" s="1">
        <v>3981</v>
      </c>
      <c r="H19" s="1">
        <v>104.2</v>
      </c>
      <c r="I19" s="1">
        <v>105.3</v>
      </c>
      <c r="J19" s="1">
        <v>103.9</v>
      </c>
      <c r="K19" s="1">
        <v>105.6</v>
      </c>
      <c r="L19" s="1">
        <v>0.4</v>
      </c>
      <c r="M19" s="1">
        <v>-0.3</v>
      </c>
      <c r="N19" s="1">
        <v>0.60699999999999998</v>
      </c>
      <c r="O19" s="1">
        <v>1.6</v>
      </c>
      <c r="P19" s="1">
        <v>17.7</v>
      </c>
      <c r="Q19" s="1">
        <v>0.28699999999999998</v>
      </c>
      <c r="R19" s="1">
        <v>0.67900000000000005</v>
      </c>
      <c r="S19" s="1">
        <v>0.49099999999999999</v>
      </c>
      <c r="T19" s="1">
        <v>0.152</v>
      </c>
      <c r="U19" s="1">
        <v>0.50700000000000001</v>
      </c>
      <c r="V19" s="1">
        <v>0.54400000000000004</v>
      </c>
      <c r="W19" s="1">
        <v>92.8</v>
      </c>
      <c r="X19" s="1">
        <v>91.51</v>
      </c>
      <c r="Y19" s="1">
        <v>76.260000000000005</v>
      </c>
      <c r="Z19" s="1">
        <v>7591</v>
      </c>
      <c r="AA19" s="1">
        <v>0.502</v>
      </c>
      <c r="AB19" s="1">
        <v>1</v>
      </c>
      <c r="AC19" s="1">
        <v>8</v>
      </c>
      <c r="AD19" s="1">
        <v>10</v>
      </c>
      <c r="AE19" s="1">
        <v>9</v>
      </c>
      <c r="AF19" s="1">
        <v>4</v>
      </c>
      <c r="AG19" s="1">
        <v>8</v>
      </c>
      <c r="AH19" s="1">
        <v>11</v>
      </c>
      <c r="AI19" s="1">
        <v>12</v>
      </c>
      <c r="AJ19" s="1">
        <v>5</v>
      </c>
      <c r="AK19" s="1">
        <v>10</v>
      </c>
      <c r="AL19" s="1">
        <v>4</v>
      </c>
      <c r="AM19" s="1">
        <v>17</v>
      </c>
      <c r="AN19" s="1">
        <v>14</v>
      </c>
      <c r="AO19" s="1">
        <v>14</v>
      </c>
      <c r="AP19" s="1">
        <v>13</v>
      </c>
      <c r="AQ19" s="1">
        <v>4</v>
      </c>
      <c r="AR19" s="1">
        <v>4</v>
      </c>
      <c r="AS19" s="1">
        <v>20</v>
      </c>
      <c r="AT19" s="1">
        <v>9</v>
      </c>
      <c r="AU19" s="1">
        <v>210</v>
      </c>
      <c r="AV19" s="1" t="s">
        <v>134</v>
      </c>
    </row>
    <row r="20" spans="1:48" x14ac:dyDescent="0.25">
      <c r="A20" s="1" t="s">
        <v>135</v>
      </c>
      <c r="B20" s="1" t="s">
        <v>117</v>
      </c>
      <c r="C20" s="1">
        <v>82</v>
      </c>
      <c r="D20" s="1">
        <v>52</v>
      </c>
      <c r="E20" s="1">
        <v>30</v>
      </c>
      <c r="F20" s="1">
        <v>0.63400000000000001</v>
      </c>
      <c r="G20" s="1">
        <v>3956</v>
      </c>
      <c r="H20" s="1">
        <v>106.3</v>
      </c>
      <c r="I20" s="1">
        <v>106.8</v>
      </c>
      <c r="J20" s="1">
        <v>101.2</v>
      </c>
      <c r="K20" s="1">
        <v>102.6</v>
      </c>
      <c r="L20" s="1">
        <v>5.0999999999999996</v>
      </c>
      <c r="M20" s="1">
        <v>4.2</v>
      </c>
      <c r="N20" s="1">
        <v>0.59299999999999997</v>
      </c>
      <c r="O20" s="1">
        <v>1.64</v>
      </c>
      <c r="P20" s="1">
        <v>17.2</v>
      </c>
      <c r="Q20" s="1">
        <v>0.30099999999999999</v>
      </c>
      <c r="R20" s="1">
        <v>0.68300000000000005</v>
      </c>
      <c r="S20" s="1">
        <v>0.49399999999999999</v>
      </c>
      <c r="T20" s="1">
        <v>0.14499999999999999</v>
      </c>
      <c r="U20" s="1">
        <v>0.499</v>
      </c>
      <c r="V20" s="1">
        <v>0.54200000000000004</v>
      </c>
      <c r="W20" s="1">
        <v>94.7</v>
      </c>
      <c r="X20" s="1">
        <v>93.89</v>
      </c>
      <c r="Y20" s="1">
        <v>78.239999999999995</v>
      </c>
      <c r="Z20" s="1">
        <v>7733</v>
      </c>
      <c r="AA20" s="1">
        <v>0.51900000000000002</v>
      </c>
      <c r="AB20" s="1">
        <v>1</v>
      </c>
      <c r="AC20" s="1">
        <v>2</v>
      </c>
      <c r="AD20" s="1">
        <v>3</v>
      </c>
      <c r="AE20" s="1">
        <v>2</v>
      </c>
      <c r="AF20" s="1">
        <v>15</v>
      </c>
      <c r="AG20" s="1">
        <v>5</v>
      </c>
      <c r="AH20" s="1">
        <v>5</v>
      </c>
      <c r="AI20" s="1">
        <v>2</v>
      </c>
      <c r="AJ20" s="1">
        <v>13</v>
      </c>
      <c r="AK20" s="1">
        <v>7</v>
      </c>
      <c r="AL20" s="1">
        <v>10</v>
      </c>
      <c r="AM20" s="1">
        <v>14</v>
      </c>
      <c r="AN20" s="1">
        <v>13</v>
      </c>
      <c r="AO20" s="1">
        <v>11</v>
      </c>
      <c r="AP20" s="1">
        <v>6</v>
      </c>
      <c r="AQ20" s="1">
        <v>9</v>
      </c>
      <c r="AR20" s="1">
        <v>6</v>
      </c>
      <c r="AS20" s="1">
        <v>10</v>
      </c>
      <c r="AT20" s="1">
        <v>2</v>
      </c>
      <c r="AU20" s="1">
        <v>210</v>
      </c>
      <c r="AV20" s="1" t="s">
        <v>135</v>
      </c>
    </row>
    <row r="21" spans="1:48" x14ac:dyDescent="0.25">
      <c r="A21" s="1" t="s">
        <v>1494</v>
      </c>
      <c r="B21" s="1" t="s">
        <v>117</v>
      </c>
      <c r="C21" s="1">
        <v>82</v>
      </c>
      <c r="D21" s="1">
        <v>42</v>
      </c>
      <c r="E21" s="1">
        <v>40</v>
      </c>
      <c r="F21" s="1">
        <v>0.51200000000000001</v>
      </c>
      <c r="G21" s="1">
        <v>3971</v>
      </c>
      <c r="H21" s="1">
        <v>104.9</v>
      </c>
      <c r="I21" s="1">
        <v>106.5</v>
      </c>
      <c r="J21" s="1">
        <v>104.9</v>
      </c>
      <c r="K21" s="1">
        <v>106.2</v>
      </c>
      <c r="L21" s="1">
        <v>0</v>
      </c>
      <c r="M21" s="1">
        <v>0.3</v>
      </c>
      <c r="N21" s="1">
        <v>0.58299999999999996</v>
      </c>
      <c r="O21" s="1">
        <v>1.51</v>
      </c>
      <c r="P21" s="1">
        <v>17.100000000000001</v>
      </c>
      <c r="Q21" s="1">
        <v>0.32700000000000001</v>
      </c>
      <c r="R21" s="1">
        <v>0.66700000000000004</v>
      </c>
      <c r="S21" s="1">
        <v>0.497</v>
      </c>
      <c r="T21" s="1">
        <v>0.158</v>
      </c>
      <c r="U21" s="1">
        <v>0.49399999999999999</v>
      </c>
      <c r="V21" s="1">
        <v>0.53900000000000003</v>
      </c>
      <c r="W21" s="1">
        <v>95.5</v>
      </c>
      <c r="X21" s="1">
        <v>94.27</v>
      </c>
      <c r="Y21" s="1">
        <v>78.56</v>
      </c>
      <c r="Z21" s="1">
        <v>7796</v>
      </c>
      <c r="AA21" s="1">
        <v>0.498</v>
      </c>
      <c r="AB21" s="1">
        <v>1</v>
      </c>
      <c r="AC21" s="1">
        <v>5</v>
      </c>
      <c r="AD21" s="1">
        <v>7</v>
      </c>
      <c r="AE21" s="1">
        <v>6</v>
      </c>
      <c r="AF21" s="1">
        <v>7</v>
      </c>
      <c r="AG21" s="1">
        <v>6</v>
      </c>
      <c r="AH21" s="1">
        <v>13</v>
      </c>
      <c r="AI21" s="1">
        <v>9</v>
      </c>
      <c r="AJ21" s="1">
        <v>16</v>
      </c>
      <c r="AK21" s="1">
        <v>14</v>
      </c>
      <c r="AL21" s="1">
        <v>11</v>
      </c>
      <c r="AM21" s="1">
        <v>4</v>
      </c>
      <c r="AN21" s="1">
        <v>19</v>
      </c>
      <c r="AO21" s="1">
        <v>9</v>
      </c>
      <c r="AP21" s="1">
        <v>15</v>
      </c>
      <c r="AQ21" s="1">
        <v>11</v>
      </c>
      <c r="AR21" s="1">
        <v>9</v>
      </c>
      <c r="AS21" s="1">
        <v>8</v>
      </c>
      <c r="AT21" s="1">
        <v>10</v>
      </c>
      <c r="AU21" s="1">
        <v>210</v>
      </c>
      <c r="AV21" s="1" t="s">
        <v>136</v>
      </c>
    </row>
    <row r="22" spans="1:48" x14ac:dyDescent="0.25">
      <c r="A22" s="1" t="s">
        <v>137</v>
      </c>
      <c r="B22" s="1" t="s">
        <v>117</v>
      </c>
      <c r="C22" s="1">
        <v>50</v>
      </c>
      <c r="D22" s="1">
        <v>28</v>
      </c>
      <c r="E22" s="1">
        <v>22</v>
      </c>
      <c r="F22" s="1">
        <v>0.56000000000000005</v>
      </c>
      <c r="G22" s="1">
        <v>2410</v>
      </c>
      <c r="H22" s="1">
        <v>102.4</v>
      </c>
      <c r="I22" s="1">
        <v>102.9</v>
      </c>
      <c r="J22" s="1">
        <v>99.5</v>
      </c>
      <c r="K22" s="1">
        <v>101.2</v>
      </c>
      <c r="L22" s="1">
        <v>2.9</v>
      </c>
      <c r="M22" s="1">
        <v>1.8</v>
      </c>
      <c r="N22" s="1">
        <v>0.58799999999999997</v>
      </c>
      <c r="O22" s="1">
        <v>1.43</v>
      </c>
      <c r="P22" s="1">
        <v>16.8</v>
      </c>
      <c r="Q22" s="1">
        <v>0.312</v>
      </c>
      <c r="R22" s="1">
        <v>0.64800000000000002</v>
      </c>
      <c r="S22" s="1">
        <v>0.48399999999999999</v>
      </c>
      <c r="T22" s="1">
        <v>0.161</v>
      </c>
      <c r="U22" s="1">
        <v>0.48899999999999999</v>
      </c>
      <c r="V22" s="1">
        <v>0.53</v>
      </c>
      <c r="W22" s="1">
        <v>89.6</v>
      </c>
      <c r="X22" s="1">
        <v>88.64</v>
      </c>
      <c r="Y22" s="1">
        <v>73.87</v>
      </c>
      <c r="Z22" s="1">
        <v>4453</v>
      </c>
      <c r="AA22" s="1">
        <v>0.51200000000000001</v>
      </c>
      <c r="AB22" s="1">
        <v>23</v>
      </c>
      <c r="AC22" s="1">
        <v>20</v>
      </c>
      <c r="AD22" s="1">
        <v>1</v>
      </c>
      <c r="AE22" s="1">
        <v>4</v>
      </c>
      <c r="AF22" s="1">
        <v>23</v>
      </c>
      <c r="AG22" s="1">
        <v>18</v>
      </c>
      <c r="AH22" s="1">
        <v>1</v>
      </c>
      <c r="AI22" s="1">
        <v>4</v>
      </c>
      <c r="AJ22" s="1">
        <v>14</v>
      </c>
      <c r="AK22" s="1">
        <v>17</v>
      </c>
      <c r="AL22" s="1">
        <v>15</v>
      </c>
      <c r="AM22" s="1">
        <v>8</v>
      </c>
      <c r="AN22" s="1">
        <v>23</v>
      </c>
      <c r="AO22" s="1">
        <v>20</v>
      </c>
      <c r="AP22" s="1">
        <v>20</v>
      </c>
      <c r="AQ22" s="1">
        <v>13</v>
      </c>
      <c r="AR22" s="1">
        <v>14</v>
      </c>
      <c r="AS22" s="1">
        <v>23</v>
      </c>
      <c r="AT22" s="1">
        <v>3</v>
      </c>
      <c r="AU22" s="1">
        <v>210</v>
      </c>
      <c r="AV22" s="1" t="s">
        <v>137</v>
      </c>
    </row>
    <row r="23" spans="1:48" x14ac:dyDescent="0.25">
      <c r="A23" s="1" t="s">
        <v>138</v>
      </c>
      <c r="B23" s="1" t="s">
        <v>117</v>
      </c>
      <c r="C23" s="1">
        <v>82</v>
      </c>
      <c r="D23" s="1">
        <v>36</v>
      </c>
      <c r="E23" s="1">
        <v>46</v>
      </c>
      <c r="F23" s="1">
        <v>0.439</v>
      </c>
      <c r="G23" s="1">
        <v>3986</v>
      </c>
      <c r="H23" s="1">
        <v>100.6</v>
      </c>
      <c r="I23" s="1">
        <v>101.5</v>
      </c>
      <c r="J23" s="1">
        <v>102.4</v>
      </c>
      <c r="K23" s="1">
        <v>103.7</v>
      </c>
      <c r="L23" s="1">
        <v>-1.8</v>
      </c>
      <c r="M23" s="1">
        <v>-2.2000000000000002</v>
      </c>
      <c r="N23" s="1">
        <v>0.56499999999999995</v>
      </c>
      <c r="O23" s="1">
        <v>1.19</v>
      </c>
      <c r="P23" s="1">
        <v>15.7</v>
      </c>
      <c r="Q23" s="1">
        <v>0.34</v>
      </c>
      <c r="R23" s="1">
        <v>0.66400000000000003</v>
      </c>
      <c r="S23" s="1">
        <v>0.501</v>
      </c>
      <c r="T23" s="1">
        <v>0.18099999999999999</v>
      </c>
      <c r="U23" s="1">
        <v>0.47499999999999998</v>
      </c>
      <c r="V23" s="1">
        <v>0.52700000000000002</v>
      </c>
      <c r="W23" s="1">
        <v>92.8</v>
      </c>
      <c r="X23" s="1">
        <v>91.9</v>
      </c>
      <c r="Y23" s="1">
        <v>76.58</v>
      </c>
      <c r="Z23" s="1">
        <v>7637</v>
      </c>
      <c r="AA23" s="1">
        <v>0.48299999999999998</v>
      </c>
      <c r="AB23" s="1">
        <v>1</v>
      </c>
      <c r="AC23" s="1">
        <v>13</v>
      </c>
      <c r="AD23" s="1">
        <v>15</v>
      </c>
      <c r="AE23" s="1">
        <v>15</v>
      </c>
      <c r="AF23" s="1">
        <v>3</v>
      </c>
      <c r="AG23" s="1">
        <v>22</v>
      </c>
      <c r="AH23" s="1">
        <v>7</v>
      </c>
      <c r="AI23" s="1">
        <v>18</v>
      </c>
      <c r="AJ23" s="1">
        <v>21</v>
      </c>
      <c r="AK23" s="1">
        <v>23</v>
      </c>
      <c r="AL23" s="1">
        <v>22</v>
      </c>
      <c r="AM23" s="1">
        <v>1</v>
      </c>
      <c r="AN23" s="1">
        <v>21</v>
      </c>
      <c r="AO23" s="1">
        <v>5</v>
      </c>
      <c r="AP23" s="1">
        <v>23</v>
      </c>
      <c r="AQ23" s="1">
        <v>21</v>
      </c>
      <c r="AR23" s="1">
        <v>17</v>
      </c>
      <c r="AS23" s="1">
        <v>18</v>
      </c>
      <c r="AT23" s="1">
        <v>18</v>
      </c>
      <c r="AU23" s="1">
        <v>210</v>
      </c>
      <c r="AV23" s="1" t="s">
        <v>138</v>
      </c>
    </row>
    <row r="24" spans="1:48" x14ac:dyDescent="0.25">
      <c r="A24" s="1" t="s">
        <v>139</v>
      </c>
      <c r="B24" s="1" t="s">
        <v>117</v>
      </c>
      <c r="C24" s="1">
        <v>82</v>
      </c>
      <c r="D24" s="1">
        <v>33</v>
      </c>
      <c r="E24" s="1">
        <v>49</v>
      </c>
      <c r="F24" s="1">
        <v>0.40200000000000002</v>
      </c>
      <c r="G24" s="1">
        <v>3946</v>
      </c>
      <c r="H24" s="1">
        <v>103.4</v>
      </c>
      <c r="I24" s="1">
        <v>104.7</v>
      </c>
      <c r="J24" s="1">
        <v>105.6</v>
      </c>
      <c r="K24" s="1">
        <v>106.7</v>
      </c>
      <c r="L24" s="1">
        <v>-2.2000000000000002</v>
      </c>
      <c r="M24" s="1">
        <v>-2</v>
      </c>
      <c r="N24" s="1">
        <v>0.54300000000000004</v>
      </c>
      <c r="O24" s="1">
        <v>1.25</v>
      </c>
      <c r="P24" s="1">
        <v>15.8</v>
      </c>
      <c r="Q24" s="1">
        <v>0.32900000000000001</v>
      </c>
      <c r="R24" s="1">
        <v>0.66900000000000004</v>
      </c>
      <c r="S24" s="1">
        <v>0.501</v>
      </c>
      <c r="T24" s="1">
        <v>0.17199999999999999</v>
      </c>
      <c r="U24" s="1">
        <v>0.496</v>
      </c>
      <c r="V24" s="1">
        <v>0.54100000000000004</v>
      </c>
      <c r="W24" s="1">
        <v>91.9</v>
      </c>
      <c r="X24" s="1">
        <v>90.85</v>
      </c>
      <c r="Y24" s="1">
        <v>75.709999999999994</v>
      </c>
      <c r="Z24" s="1">
        <v>7465</v>
      </c>
      <c r="AA24" s="1">
        <v>0.47699999999999998</v>
      </c>
      <c r="AB24" s="1">
        <v>1</v>
      </c>
      <c r="AC24" s="1">
        <v>16</v>
      </c>
      <c r="AD24" s="1">
        <v>18</v>
      </c>
      <c r="AE24" s="1">
        <v>18</v>
      </c>
      <c r="AF24" s="1">
        <v>21</v>
      </c>
      <c r="AG24" s="1">
        <v>12</v>
      </c>
      <c r="AH24" s="1">
        <v>15</v>
      </c>
      <c r="AI24" s="1">
        <v>17</v>
      </c>
      <c r="AJ24" s="1">
        <v>23</v>
      </c>
      <c r="AK24" s="1">
        <v>22</v>
      </c>
      <c r="AL24" s="1">
        <v>21</v>
      </c>
      <c r="AM24" s="1">
        <v>3</v>
      </c>
      <c r="AN24" s="1">
        <v>18</v>
      </c>
      <c r="AO24" s="1">
        <v>7</v>
      </c>
      <c r="AP24" s="1">
        <v>21</v>
      </c>
      <c r="AQ24" s="1">
        <v>10</v>
      </c>
      <c r="AR24" s="1">
        <v>7</v>
      </c>
      <c r="AS24" s="1">
        <v>21</v>
      </c>
      <c r="AT24" s="1">
        <v>20</v>
      </c>
      <c r="AU24" s="1">
        <v>210</v>
      </c>
      <c r="AV24" s="1" t="s">
        <v>139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6E41A-60A3-4A04-B55B-34B497A78D29}">
  <sheetPr codeName="Sheet11"/>
  <dimension ref="A1:CC31"/>
  <sheetViews>
    <sheetView tabSelected="1" workbookViewId="0">
      <selection activeCell="E5" sqref="E5"/>
    </sheetView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34</v>
      </c>
      <c r="B1" s="1" t="s">
        <v>36</v>
      </c>
      <c r="C1" s="1" t="s">
        <v>140</v>
      </c>
      <c r="D1" s="1" t="s">
        <v>141</v>
      </c>
      <c r="E1" s="1" t="s">
        <v>142</v>
      </c>
      <c r="F1" s="1" t="s">
        <v>143</v>
      </c>
      <c r="G1" s="1" t="s">
        <v>144</v>
      </c>
      <c r="H1" s="1" t="s">
        <v>145</v>
      </c>
      <c r="I1" s="1" t="s">
        <v>146</v>
      </c>
      <c r="J1" s="1" t="s">
        <v>147</v>
      </c>
      <c r="K1" s="1" t="s">
        <v>148</v>
      </c>
      <c r="L1" s="1" t="s">
        <v>149</v>
      </c>
      <c r="M1" s="1" t="s">
        <v>150</v>
      </c>
      <c r="N1" s="1" t="s">
        <v>151</v>
      </c>
      <c r="O1" s="1" t="s">
        <v>152</v>
      </c>
      <c r="P1" s="1" t="s">
        <v>153</v>
      </c>
      <c r="Q1" s="1" t="s">
        <v>154</v>
      </c>
      <c r="R1" s="1" t="s">
        <v>155</v>
      </c>
      <c r="S1" s="1" t="s">
        <v>156</v>
      </c>
      <c r="T1" s="1" t="s">
        <v>157</v>
      </c>
      <c r="U1" s="1" t="s">
        <v>158</v>
      </c>
      <c r="V1" s="1" t="s">
        <v>159</v>
      </c>
      <c r="W1" s="1" t="s">
        <v>160</v>
      </c>
      <c r="X1" s="1" t="s">
        <v>161</v>
      </c>
      <c r="Y1" s="1" t="s">
        <v>162</v>
      </c>
      <c r="Z1" s="1" t="s">
        <v>163</v>
      </c>
      <c r="AA1" s="1" t="s">
        <v>164</v>
      </c>
      <c r="AB1" s="1" t="s">
        <v>165</v>
      </c>
      <c r="AC1" s="1" t="s">
        <v>166</v>
      </c>
      <c r="AD1" s="1" t="s">
        <v>167</v>
      </c>
      <c r="AE1" s="1" t="s">
        <v>168</v>
      </c>
      <c r="AF1" s="1" t="s">
        <v>169</v>
      </c>
      <c r="AG1" s="1" t="s">
        <v>170</v>
      </c>
      <c r="AH1" s="1" t="s">
        <v>171</v>
      </c>
      <c r="AI1" s="1" t="s">
        <v>172</v>
      </c>
      <c r="AJ1" s="1" t="s">
        <v>173</v>
      </c>
      <c r="AK1" s="1" t="s">
        <v>174</v>
      </c>
      <c r="AL1" s="1" t="s">
        <v>175</v>
      </c>
      <c r="AM1" s="1" t="s">
        <v>176</v>
      </c>
      <c r="AN1" s="1" t="s">
        <v>177</v>
      </c>
      <c r="AO1" s="1" t="s">
        <v>178</v>
      </c>
      <c r="AP1" s="1" t="s">
        <v>179</v>
      </c>
      <c r="AQ1" s="1" t="s">
        <v>180</v>
      </c>
      <c r="AR1" s="1" t="s">
        <v>181</v>
      </c>
      <c r="AS1" s="1" t="s">
        <v>182</v>
      </c>
      <c r="AT1" s="1" t="s">
        <v>183</v>
      </c>
      <c r="AU1" s="1" t="s">
        <v>184</v>
      </c>
      <c r="AV1" s="1" t="s">
        <v>185</v>
      </c>
      <c r="AW1" s="1" t="s">
        <v>186</v>
      </c>
      <c r="AX1" s="1" t="s">
        <v>187</v>
      </c>
      <c r="AY1" s="1" t="s">
        <v>188</v>
      </c>
      <c r="AZ1" s="1" t="s">
        <v>189</v>
      </c>
      <c r="BA1" s="1" t="s">
        <v>190</v>
      </c>
      <c r="BB1" s="1" t="s">
        <v>191</v>
      </c>
      <c r="BC1" s="1" t="s">
        <v>192</v>
      </c>
      <c r="BD1" s="1" t="s">
        <v>193</v>
      </c>
      <c r="BE1" s="1" t="s">
        <v>194</v>
      </c>
      <c r="BF1" s="1" t="s">
        <v>195</v>
      </c>
      <c r="BG1" s="1" t="s">
        <v>196</v>
      </c>
      <c r="BH1" s="1" t="s">
        <v>197</v>
      </c>
      <c r="BI1" s="1" t="s">
        <v>198</v>
      </c>
      <c r="BJ1" s="1" t="s">
        <v>199</v>
      </c>
      <c r="BK1" s="1" t="s">
        <v>200</v>
      </c>
      <c r="BL1" s="1" t="s">
        <v>201</v>
      </c>
      <c r="BM1" s="1" t="s">
        <v>202</v>
      </c>
      <c r="BN1" s="1" t="s">
        <v>203</v>
      </c>
      <c r="BO1" s="1" t="s">
        <v>204</v>
      </c>
      <c r="BP1" s="1" t="s">
        <v>205</v>
      </c>
      <c r="BQ1" s="1" t="s">
        <v>206</v>
      </c>
      <c r="BR1" s="1" t="s">
        <v>207</v>
      </c>
      <c r="BS1" s="1" t="s">
        <v>208</v>
      </c>
      <c r="BT1" s="1" t="s">
        <v>209</v>
      </c>
      <c r="BU1" s="1" t="s">
        <v>210</v>
      </c>
      <c r="BV1" s="1" t="s">
        <v>211</v>
      </c>
      <c r="BW1" s="1" t="s">
        <v>212</v>
      </c>
      <c r="BX1" s="1" t="s">
        <v>213</v>
      </c>
      <c r="BY1" s="1" t="s">
        <v>214</v>
      </c>
      <c r="BZ1" s="1" t="s">
        <v>215</v>
      </c>
      <c r="CA1" s="1" t="s">
        <v>216</v>
      </c>
      <c r="CB1" s="1" t="s">
        <v>217</v>
      </c>
      <c r="CC1" s="1" t="s">
        <v>218</v>
      </c>
    </row>
    <row r="2" spans="1:81" x14ac:dyDescent="0.25">
      <c r="A2" s="1">
        <v>1610612738</v>
      </c>
      <c r="B2" s="1" t="s">
        <v>48</v>
      </c>
      <c r="C2" s="1" t="s">
        <v>1257</v>
      </c>
      <c r="D2" s="1" t="s">
        <v>448</v>
      </c>
      <c r="E2" s="1" t="s">
        <v>449</v>
      </c>
      <c r="F2" s="1" t="s">
        <v>267</v>
      </c>
      <c r="G2" s="1" t="s">
        <v>306</v>
      </c>
      <c r="H2" s="1">
        <v>1</v>
      </c>
      <c r="I2" s="1" t="s">
        <v>269</v>
      </c>
      <c r="J2" s="1" t="s">
        <v>308</v>
      </c>
      <c r="K2" s="1" t="s">
        <v>472</v>
      </c>
      <c r="L2" s="1">
        <v>1</v>
      </c>
      <c r="M2" s="1">
        <v>53</v>
      </c>
      <c r="N2" s="1">
        <v>29</v>
      </c>
      <c r="O2" s="1">
        <v>0.64600000000000002</v>
      </c>
      <c r="P2" s="1">
        <v>0</v>
      </c>
      <c r="Q2" s="1" t="s">
        <v>399</v>
      </c>
      <c r="R2" s="1" t="s">
        <v>228</v>
      </c>
      <c r="S2" s="1" t="s">
        <v>540</v>
      </c>
      <c r="T2" s="1" t="s">
        <v>231</v>
      </c>
      <c r="U2" s="1" t="s">
        <v>230</v>
      </c>
      <c r="V2" s="1" t="s">
        <v>274</v>
      </c>
      <c r="W2" s="1" t="s">
        <v>409</v>
      </c>
      <c r="X2" s="1" t="s">
        <v>1258</v>
      </c>
      <c r="Y2" s="1" t="s">
        <v>1259</v>
      </c>
      <c r="Z2" s="1">
        <v>7</v>
      </c>
      <c r="AA2" s="1" t="s">
        <v>433</v>
      </c>
      <c r="AB2" s="1">
        <v>5</v>
      </c>
      <c r="AC2" s="1" t="s">
        <v>237</v>
      </c>
      <c r="AD2" s="1">
        <v>7</v>
      </c>
      <c r="AE2" s="1">
        <v>3</v>
      </c>
      <c r="AF2" s="1">
        <v>2</v>
      </c>
      <c r="AG2" s="1" t="s">
        <v>279</v>
      </c>
      <c r="AH2" s="1">
        <v>1</v>
      </c>
      <c r="AI2" s="1" t="s">
        <v>317</v>
      </c>
      <c r="AJ2" s="1">
        <v>3</v>
      </c>
      <c r="AK2" s="1" t="s">
        <v>316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480</v>
      </c>
      <c r="AT2" s="1" t="s">
        <v>435</v>
      </c>
      <c r="AU2" s="1" t="s">
        <v>285</v>
      </c>
      <c r="AV2" s="1" t="s">
        <v>457</v>
      </c>
      <c r="AW2" s="1" t="s">
        <v>874</v>
      </c>
      <c r="AX2" s="1" t="s">
        <v>347</v>
      </c>
      <c r="AY2" s="1" t="s">
        <v>1260</v>
      </c>
      <c r="AZ2" s="1" t="s">
        <v>1261</v>
      </c>
      <c r="BA2" s="1" t="s">
        <v>1262</v>
      </c>
      <c r="BB2" s="1" t="s">
        <v>1263</v>
      </c>
      <c r="BC2" s="1" t="s">
        <v>441</v>
      </c>
      <c r="BD2" s="1" t="s">
        <v>611</v>
      </c>
      <c r="BE2" s="1">
        <v>108</v>
      </c>
      <c r="BF2" s="1">
        <v>105.4</v>
      </c>
      <c r="BG2" s="1">
        <v>2.6</v>
      </c>
      <c r="BH2" s="1" t="s">
        <v>306</v>
      </c>
      <c r="BI2" s="1" t="s">
        <v>491</v>
      </c>
      <c r="BJ2" s="1" t="s">
        <v>388</v>
      </c>
      <c r="BK2" s="1" t="s">
        <v>330</v>
      </c>
      <c r="BL2" s="1" t="s">
        <v>1087</v>
      </c>
      <c r="BM2" s="1" t="s">
        <v>466</v>
      </c>
      <c r="BN2" s="1" t="s">
        <v>55</v>
      </c>
      <c r="BO2" s="1" t="s">
        <v>55</v>
      </c>
      <c r="BP2" s="1" t="s">
        <v>301</v>
      </c>
      <c r="BQ2" s="1" t="s">
        <v>365</v>
      </c>
      <c r="BR2" s="1" t="s">
        <v>491</v>
      </c>
      <c r="BS2" s="1" t="s">
        <v>513</v>
      </c>
      <c r="BT2" s="1"/>
      <c r="BU2" s="1"/>
      <c r="BV2" s="1"/>
      <c r="BW2" s="1"/>
      <c r="BX2" s="1"/>
      <c r="BY2" s="1" t="s">
        <v>1264</v>
      </c>
      <c r="BZ2" s="1" t="s">
        <v>335</v>
      </c>
      <c r="CA2" s="1" t="s">
        <v>297</v>
      </c>
      <c r="CB2" s="1" t="s">
        <v>535</v>
      </c>
      <c r="CC2" s="1" t="s">
        <v>264</v>
      </c>
    </row>
    <row r="3" spans="1:81" x14ac:dyDescent="0.25">
      <c r="A3" s="1">
        <v>1610612744</v>
      </c>
      <c r="B3" s="1" t="s">
        <v>48</v>
      </c>
      <c r="C3" s="1" t="s">
        <v>1257</v>
      </c>
      <c r="D3" s="1" t="s">
        <v>220</v>
      </c>
      <c r="E3" s="1" t="s">
        <v>221</v>
      </c>
      <c r="F3" s="1" t="s">
        <v>222</v>
      </c>
      <c r="G3" s="1" t="s">
        <v>504</v>
      </c>
      <c r="H3" s="1">
        <v>1</v>
      </c>
      <c r="I3" s="1" t="s">
        <v>224</v>
      </c>
      <c r="J3" s="1" t="s">
        <v>225</v>
      </c>
      <c r="K3" s="1" t="s">
        <v>271</v>
      </c>
      <c r="L3" s="1">
        <v>1</v>
      </c>
      <c r="M3" s="1">
        <v>67</v>
      </c>
      <c r="N3" s="1">
        <v>15</v>
      </c>
      <c r="O3" s="1">
        <v>0.81699999999999995</v>
      </c>
      <c r="P3" s="1">
        <v>0</v>
      </c>
      <c r="Q3" s="1" t="s">
        <v>1265</v>
      </c>
      <c r="R3" s="1" t="s">
        <v>970</v>
      </c>
      <c r="S3" s="1" t="s">
        <v>374</v>
      </c>
      <c r="T3" s="1" t="s">
        <v>401</v>
      </c>
      <c r="U3" s="1" t="s">
        <v>401</v>
      </c>
      <c r="V3" s="1" t="s">
        <v>231</v>
      </c>
      <c r="W3" s="1" t="s">
        <v>775</v>
      </c>
      <c r="X3" s="1" t="s">
        <v>712</v>
      </c>
      <c r="Y3" s="1" t="s">
        <v>1266</v>
      </c>
      <c r="Z3" s="1">
        <v>10</v>
      </c>
      <c r="AA3" s="1" t="s">
        <v>278</v>
      </c>
      <c r="AB3" s="1">
        <v>8</v>
      </c>
      <c r="AC3" s="1" t="s">
        <v>405</v>
      </c>
      <c r="AD3" s="1">
        <v>14</v>
      </c>
      <c r="AE3" s="1">
        <v>3</v>
      </c>
      <c r="AF3" s="1">
        <v>1</v>
      </c>
      <c r="AG3" s="1" t="s">
        <v>317</v>
      </c>
      <c r="AH3" s="1">
        <v>5</v>
      </c>
      <c r="AI3" s="1" t="s">
        <v>237</v>
      </c>
      <c r="AJ3" s="1">
        <v>1</v>
      </c>
      <c r="AK3" s="1" t="s">
        <v>317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320</v>
      </c>
      <c r="AT3" s="1" t="s">
        <v>1267</v>
      </c>
      <c r="AU3" s="1" t="s">
        <v>409</v>
      </c>
      <c r="AV3" s="1" t="s">
        <v>1268</v>
      </c>
      <c r="AW3" s="1" t="s">
        <v>1269</v>
      </c>
      <c r="AX3" s="1" t="s">
        <v>775</v>
      </c>
      <c r="AY3" s="1" t="s">
        <v>1270</v>
      </c>
      <c r="AZ3" s="1" t="s">
        <v>1271</v>
      </c>
      <c r="BA3" s="1" t="s">
        <v>1067</v>
      </c>
      <c r="BB3" s="1" t="s">
        <v>1272</v>
      </c>
      <c r="BC3" s="1" t="s">
        <v>1273</v>
      </c>
      <c r="BD3" s="1" t="s">
        <v>526</v>
      </c>
      <c r="BE3" s="1">
        <v>115.9</v>
      </c>
      <c r="BF3" s="1">
        <v>104.3</v>
      </c>
      <c r="BG3" s="1">
        <v>11.6</v>
      </c>
      <c r="BH3" s="1" t="s">
        <v>1274</v>
      </c>
      <c r="BI3" s="1" t="s">
        <v>419</v>
      </c>
      <c r="BJ3" s="1" t="s">
        <v>252</v>
      </c>
      <c r="BK3" s="1" t="s">
        <v>252</v>
      </c>
      <c r="BL3" s="1" t="s">
        <v>504</v>
      </c>
      <c r="BM3" s="1" t="s">
        <v>996</v>
      </c>
      <c r="BN3" s="1" t="s">
        <v>293</v>
      </c>
      <c r="BO3" s="1" t="s">
        <v>292</v>
      </c>
      <c r="BP3" s="1" t="s">
        <v>1275</v>
      </c>
      <c r="BQ3" s="1" t="s">
        <v>493</v>
      </c>
      <c r="BR3" s="1" t="s">
        <v>329</v>
      </c>
      <c r="BS3" s="1" t="s">
        <v>259</v>
      </c>
      <c r="BT3" s="1"/>
      <c r="BU3" s="1"/>
      <c r="BV3" s="1"/>
      <c r="BW3" s="1"/>
      <c r="BX3" s="1"/>
      <c r="BY3" s="1" t="s">
        <v>1264</v>
      </c>
      <c r="BZ3" s="1" t="s">
        <v>960</v>
      </c>
      <c r="CA3" s="1" t="s">
        <v>254</v>
      </c>
      <c r="CB3" s="1" t="s">
        <v>1276</v>
      </c>
      <c r="CC3" s="1" t="s">
        <v>1277</v>
      </c>
    </row>
    <row r="4" spans="1:81" x14ac:dyDescent="0.25">
      <c r="A4" s="1">
        <v>1610612739</v>
      </c>
      <c r="B4" s="1" t="s">
        <v>48</v>
      </c>
      <c r="C4" s="1" t="s">
        <v>1257</v>
      </c>
      <c r="D4" s="1" t="s">
        <v>823</v>
      </c>
      <c r="E4" s="1" t="s">
        <v>824</v>
      </c>
      <c r="F4" s="1" t="s">
        <v>267</v>
      </c>
      <c r="G4" s="1" t="s">
        <v>223</v>
      </c>
      <c r="H4" s="1">
        <v>2</v>
      </c>
      <c r="I4" s="1" t="s">
        <v>1013</v>
      </c>
      <c r="J4" s="1" t="s">
        <v>270</v>
      </c>
      <c r="K4" s="1" t="s">
        <v>372</v>
      </c>
      <c r="L4" s="1">
        <v>1</v>
      </c>
      <c r="M4" s="1">
        <v>51</v>
      </c>
      <c r="N4" s="1">
        <v>31</v>
      </c>
      <c r="O4" s="1">
        <v>0.622</v>
      </c>
      <c r="P4" s="1">
        <v>0</v>
      </c>
      <c r="Q4" s="1" t="s">
        <v>373</v>
      </c>
      <c r="R4" s="1" t="s">
        <v>374</v>
      </c>
      <c r="S4" s="1" t="s">
        <v>345</v>
      </c>
      <c r="T4" s="1" t="s">
        <v>346</v>
      </c>
      <c r="U4" s="1" t="s">
        <v>402</v>
      </c>
      <c r="V4" s="1" t="s">
        <v>657</v>
      </c>
      <c r="W4" s="1" t="s">
        <v>712</v>
      </c>
      <c r="X4" s="1" t="s">
        <v>712</v>
      </c>
      <c r="Y4" s="1" t="s">
        <v>1278</v>
      </c>
      <c r="Z4" s="1">
        <v>9</v>
      </c>
      <c r="AA4" s="1" t="s">
        <v>544</v>
      </c>
      <c r="AB4" s="1">
        <v>3</v>
      </c>
      <c r="AC4" s="1" t="s">
        <v>316</v>
      </c>
      <c r="AD4" s="1">
        <v>6</v>
      </c>
      <c r="AE4" s="1">
        <v>4</v>
      </c>
      <c r="AF4" s="1">
        <v>-2</v>
      </c>
      <c r="AG4" s="1" t="s">
        <v>479</v>
      </c>
      <c r="AH4" s="1">
        <v>-2</v>
      </c>
      <c r="AI4" s="1" t="s">
        <v>479</v>
      </c>
      <c r="AJ4" s="1">
        <v>-4</v>
      </c>
      <c r="AK4" s="1" t="s">
        <v>545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1005</v>
      </c>
      <c r="AT4" s="1" t="s">
        <v>1279</v>
      </c>
      <c r="AU4" s="1" t="s">
        <v>282</v>
      </c>
      <c r="AV4" s="1" t="s">
        <v>1280</v>
      </c>
      <c r="AW4" s="1" t="s">
        <v>1281</v>
      </c>
      <c r="AX4" s="1" t="s">
        <v>347</v>
      </c>
      <c r="AY4" s="1" t="s">
        <v>1282</v>
      </c>
      <c r="AZ4" s="1" t="s">
        <v>1283</v>
      </c>
      <c r="BA4" s="1" t="s">
        <v>1089</v>
      </c>
      <c r="BB4" s="1" t="s">
        <v>944</v>
      </c>
      <c r="BC4" s="1" t="s">
        <v>1284</v>
      </c>
      <c r="BD4" s="1" t="s">
        <v>1285</v>
      </c>
      <c r="BE4" s="1">
        <v>110.3</v>
      </c>
      <c r="BF4" s="1">
        <v>107.2</v>
      </c>
      <c r="BG4" s="1">
        <v>3.2</v>
      </c>
      <c r="BH4" s="1" t="s">
        <v>223</v>
      </c>
      <c r="BI4" s="1" t="s">
        <v>958</v>
      </c>
      <c r="BJ4" s="1" t="s">
        <v>387</v>
      </c>
      <c r="BK4" s="1" t="s">
        <v>388</v>
      </c>
      <c r="BL4" s="1" t="s">
        <v>705</v>
      </c>
      <c r="BM4" s="1" t="s">
        <v>55</v>
      </c>
      <c r="BN4" s="1" t="s">
        <v>55</v>
      </c>
      <c r="BO4" s="1" t="s">
        <v>465</v>
      </c>
      <c r="BP4" s="1" t="s">
        <v>468</v>
      </c>
      <c r="BQ4" s="1" t="s">
        <v>945</v>
      </c>
      <c r="BR4" s="1" t="s">
        <v>725</v>
      </c>
      <c r="BS4" s="1" t="s">
        <v>707</v>
      </c>
      <c r="BT4" s="1"/>
      <c r="BU4" s="1"/>
      <c r="BV4" s="1"/>
      <c r="BW4" s="1"/>
      <c r="BX4" s="1"/>
      <c r="BY4" s="1" t="s">
        <v>1286</v>
      </c>
      <c r="BZ4" s="1" t="s">
        <v>1287</v>
      </c>
      <c r="CA4" s="1" t="s">
        <v>329</v>
      </c>
      <c r="CB4" s="1" t="s">
        <v>1043</v>
      </c>
      <c r="CC4" s="1" t="s">
        <v>1288</v>
      </c>
    </row>
    <row r="5" spans="1:81" x14ac:dyDescent="0.25">
      <c r="A5" s="1">
        <v>1610612759</v>
      </c>
      <c r="B5" s="1" t="s">
        <v>48</v>
      </c>
      <c r="C5" s="1" t="s">
        <v>1257</v>
      </c>
      <c r="D5" s="1" t="s">
        <v>581</v>
      </c>
      <c r="E5" s="1" t="s">
        <v>582</v>
      </c>
      <c r="F5" s="1" t="s">
        <v>222</v>
      </c>
      <c r="G5" s="1" t="s">
        <v>306</v>
      </c>
      <c r="H5" s="1">
        <v>2</v>
      </c>
      <c r="I5" s="1" t="s">
        <v>426</v>
      </c>
      <c r="J5" s="1" t="s">
        <v>427</v>
      </c>
      <c r="K5" s="1" t="s">
        <v>472</v>
      </c>
      <c r="L5" s="1">
        <v>1</v>
      </c>
      <c r="M5" s="1">
        <v>61</v>
      </c>
      <c r="N5" s="1">
        <v>21</v>
      </c>
      <c r="O5" s="1">
        <v>0.74399999999999999</v>
      </c>
      <c r="P5" s="1">
        <v>0</v>
      </c>
      <c r="Q5" s="1" t="s">
        <v>1289</v>
      </c>
      <c r="R5" s="1" t="s">
        <v>374</v>
      </c>
      <c r="S5" s="1" t="s">
        <v>228</v>
      </c>
      <c r="T5" s="1" t="s">
        <v>274</v>
      </c>
      <c r="U5" s="1" t="s">
        <v>402</v>
      </c>
      <c r="V5" s="1" t="s">
        <v>402</v>
      </c>
      <c r="W5" s="1" t="s">
        <v>355</v>
      </c>
      <c r="X5" s="1" t="s">
        <v>737</v>
      </c>
      <c r="Y5" s="1" t="s">
        <v>1290</v>
      </c>
      <c r="Z5" s="1">
        <v>9</v>
      </c>
      <c r="AA5" s="1" t="s">
        <v>544</v>
      </c>
      <c r="AB5" s="1">
        <v>13</v>
      </c>
      <c r="AC5" s="1" t="s">
        <v>1015</v>
      </c>
      <c r="AD5" s="1">
        <v>9</v>
      </c>
      <c r="AE5" s="1">
        <v>3</v>
      </c>
      <c r="AF5" s="1">
        <v>-2</v>
      </c>
      <c r="AG5" s="1" t="s">
        <v>479</v>
      </c>
      <c r="AH5" s="1">
        <v>-2</v>
      </c>
      <c r="AI5" s="1" t="s">
        <v>479</v>
      </c>
      <c r="AJ5" s="1">
        <v>-3</v>
      </c>
      <c r="AK5" s="1" t="s">
        <v>350</v>
      </c>
      <c r="AL5" s="1">
        <v>6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625</v>
      </c>
      <c r="AT5" s="1" t="s">
        <v>1110</v>
      </c>
      <c r="AU5" s="1" t="s">
        <v>409</v>
      </c>
      <c r="AV5" s="1" t="s">
        <v>242</v>
      </c>
      <c r="AW5" s="1" t="s">
        <v>1291</v>
      </c>
      <c r="AX5" s="1" t="s">
        <v>241</v>
      </c>
      <c r="AY5" s="1" t="s">
        <v>1292</v>
      </c>
      <c r="AZ5" s="1" t="s">
        <v>1293</v>
      </c>
      <c r="BA5" s="1" t="s">
        <v>451</v>
      </c>
      <c r="BB5" s="1" t="s">
        <v>950</v>
      </c>
      <c r="BC5" s="1" t="s">
        <v>1294</v>
      </c>
      <c r="BD5" s="1" t="s">
        <v>1295</v>
      </c>
      <c r="BE5" s="1">
        <v>105.3</v>
      </c>
      <c r="BF5" s="1">
        <v>98.1</v>
      </c>
      <c r="BG5" s="1">
        <v>7.2</v>
      </c>
      <c r="BH5" s="1" t="s">
        <v>1274</v>
      </c>
      <c r="BI5" s="1" t="s">
        <v>419</v>
      </c>
      <c r="BJ5" s="1" t="s">
        <v>252</v>
      </c>
      <c r="BK5" s="1" t="s">
        <v>252</v>
      </c>
      <c r="BL5" s="1" t="s">
        <v>306</v>
      </c>
      <c r="BM5" s="1" t="s">
        <v>292</v>
      </c>
      <c r="BN5" s="1" t="s">
        <v>253</v>
      </c>
      <c r="BO5" s="1" t="s">
        <v>491</v>
      </c>
      <c r="BP5" s="1" t="s">
        <v>262</v>
      </c>
      <c r="BQ5" s="1" t="s">
        <v>252</v>
      </c>
      <c r="BR5" s="1" t="s">
        <v>1296</v>
      </c>
      <c r="BS5" s="1" t="s">
        <v>707</v>
      </c>
      <c r="BT5" s="1"/>
      <c r="BU5" s="1"/>
      <c r="BV5" s="1"/>
      <c r="BW5" s="1"/>
      <c r="BX5" s="1"/>
      <c r="BY5" s="1" t="s">
        <v>1297</v>
      </c>
      <c r="BZ5" s="1" t="s">
        <v>389</v>
      </c>
      <c r="CA5" s="1" t="s">
        <v>1275</v>
      </c>
      <c r="CB5" s="1" t="s">
        <v>1298</v>
      </c>
      <c r="CC5" s="1" t="s">
        <v>1299</v>
      </c>
    </row>
    <row r="6" spans="1:81" x14ac:dyDescent="0.25">
      <c r="A6" s="1">
        <v>1610612761</v>
      </c>
      <c r="B6" s="1" t="s">
        <v>48</v>
      </c>
      <c r="C6" s="1" t="s">
        <v>1257</v>
      </c>
      <c r="D6" s="1" t="s">
        <v>304</v>
      </c>
      <c r="E6" s="1" t="s">
        <v>305</v>
      </c>
      <c r="F6" s="1" t="s">
        <v>267</v>
      </c>
      <c r="G6" s="1" t="s">
        <v>340</v>
      </c>
      <c r="H6" s="1">
        <v>3</v>
      </c>
      <c r="I6" s="1" t="s">
        <v>371</v>
      </c>
      <c r="J6" s="1" t="s">
        <v>308</v>
      </c>
      <c r="K6" s="1" t="s">
        <v>271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373</v>
      </c>
      <c r="R6" s="1" t="s">
        <v>451</v>
      </c>
      <c r="S6" s="1" t="s">
        <v>540</v>
      </c>
      <c r="T6" s="1" t="s">
        <v>230</v>
      </c>
      <c r="U6" s="1" t="s">
        <v>231</v>
      </c>
      <c r="V6" s="1" t="s">
        <v>231</v>
      </c>
      <c r="W6" s="1" t="s">
        <v>584</v>
      </c>
      <c r="X6" s="1" t="s">
        <v>1300</v>
      </c>
      <c r="Y6" s="1" t="s">
        <v>1301</v>
      </c>
      <c r="Z6" s="1">
        <v>4</v>
      </c>
      <c r="AA6" s="1" t="s">
        <v>454</v>
      </c>
      <c r="AB6" s="1">
        <v>7</v>
      </c>
      <c r="AC6" s="1" t="s">
        <v>433</v>
      </c>
      <c r="AD6" s="1">
        <v>6</v>
      </c>
      <c r="AE6" s="1">
        <v>5</v>
      </c>
      <c r="AF6" s="1">
        <v>3</v>
      </c>
      <c r="AG6" s="1" t="s">
        <v>316</v>
      </c>
      <c r="AH6" s="1">
        <v>3</v>
      </c>
      <c r="AI6" s="1" t="s">
        <v>316</v>
      </c>
      <c r="AJ6" s="1">
        <v>4</v>
      </c>
      <c r="AK6" s="1" t="s">
        <v>454</v>
      </c>
      <c r="AL6" s="1">
        <v>2</v>
      </c>
      <c r="AM6" s="1">
        <v>2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328</v>
      </c>
      <c r="AT6" s="1" t="s">
        <v>1014</v>
      </c>
      <c r="AU6" s="1" t="s">
        <v>322</v>
      </c>
      <c r="AV6" s="1" t="s">
        <v>1302</v>
      </c>
      <c r="AW6" s="1" t="s">
        <v>848</v>
      </c>
      <c r="AX6" s="1" t="s">
        <v>244</v>
      </c>
      <c r="AY6" s="1" t="s">
        <v>1303</v>
      </c>
      <c r="AZ6" s="1" t="s">
        <v>1304</v>
      </c>
      <c r="BA6" s="1" t="s">
        <v>1073</v>
      </c>
      <c r="BB6" s="1" t="s">
        <v>407</v>
      </c>
      <c r="BC6" s="1" t="s">
        <v>374</v>
      </c>
      <c r="BD6" s="1" t="s">
        <v>1305</v>
      </c>
      <c r="BE6" s="1">
        <v>106.9</v>
      </c>
      <c r="BF6" s="1">
        <v>102.6</v>
      </c>
      <c r="BG6" s="1">
        <v>4.2</v>
      </c>
      <c r="BH6" s="1" t="s">
        <v>340</v>
      </c>
      <c r="BI6" s="1" t="s">
        <v>293</v>
      </c>
      <c r="BJ6" s="1" t="s">
        <v>255</v>
      </c>
      <c r="BK6" s="1" t="s">
        <v>255</v>
      </c>
      <c r="BL6" s="1" t="s">
        <v>1087</v>
      </c>
      <c r="BM6" s="1" t="s">
        <v>252</v>
      </c>
      <c r="BN6" s="1" t="s">
        <v>594</v>
      </c>
      <c r="BO6" s="1" t="s">
        <v>55</v>
      </c>
      <c r="BP6" s="1" t="s">
        <v>1306</v>
      </c>
      <c r="BQ6" s="1" t="s">
        <v>59</v>
      </c>
      <c r="BR6" s="1" t="s">
        <v>297</v>
      </c>
      <c r="BS6" s="1" t="s">
        <v>259</v>
      </c>
      <c r="BT6" s="1"/>
      <c r="BU6" s="1"/>
      <c r="BV6" s="1"/>
      <c r="BW6" s="1"/>
      <c r="BX6" s="1"/>
      <c r="BY6" s="1" t="s">
        <v>1264</v>
      </c>
      <c r="BZ6" s="1" t="s">
        <v>262</v>
      </c>
      <c r="CA6" s="1" t="s">
        <v>301</v>
      </c>
      <c r="CB6" s="1" t="s">
        <v>446</v>
      </c>
      <c r="CC6" s="1" t="s">
        <v>517</v>
      </c>
    </row>
    <row r="7" spans="1:81" x14ac:dyDescent="0.25">
      <c r="A7" s="1">
        <v>1610612745</v>
      </c>
      <c r="B7" s="1" t="s">
        <v>48</v>
      </c>
      <c r="C7" s="1" t="s">
        <v>1257</v>
      </c>
      <c r="D7" s="1" t="s">
        <v>423</v>
      </c>
      <c r="E7" s="1" t="s">
        <v>424</v>
      </c>
      <c r="F7" s="1" t="s">
        <v>222</v>
      </c>
      <c r="G7" s="1" t="s">
        <v>306</v>
      </c>
      <c r="H7" s="1">
        <v>3</v>
      </c>
      <c r="I7" s="1" t="s">
        <v>371</v>
      </c>
      <c r="J7" s="1" t="s">
        <v>427</v>
      </c>
      <c r="K7" s="1" t="s">
        <v>428</v>
      </c>
      <c r="L7" s="1">
        <v>2</v>
      </c>
      <c r="M7" s="1">
        <v>55</v>
      </c>
      <c r="N7" s="1">
        <v>27</v>
      </c>
      <c r="O7" s="1">
        <v>0.67100000000000004</v>
      </c>
      <c r="P7" s="1">
        <v>0</v>
      </c>
      <c r="Q7" s="1" t="s">
        <v>964</v>
      </c>
      <c r="R7" s="1" t="s">
        <v>228</v>
      </c>
      <c r="S7" s="1" t="s">
        <v>566</v>
      </c>
      <c r="T7" s="1" t="s">
        <v>274</v>
      </c>
      <c r="U7" s="1" t="s">
        <v>231</v>
      </c>
      <c r="V7" s="1" t="s">
        <v>274</v>
      </c>
      <c r="W7" s="1" t="s">
        <v>241</v>
      </c>
      <c r="X7" s="1" t="s">
        <v>1307</v>
      </c>
      <c r="Y7" s="1" t="s">
        <v>228</v>
      </c>
      <c r="Z7" s="1">
        <v>6</v>
      </c>
      <c r="AA7" s="1" t="s">
        <v>235</v>
      </c>
      <c r="AB7" s="1">
        <v>5</v>
      </c>
      <c r="AC7" s="1" t="s">
        <v>237</v>
      </c>
      <c r="AD7" s="1">
        <v>10</v>
      </c>
      <c r="AE7" s="1">
        <v>3</v>
      </c>
      <c r="AF7" s="1">
        <v>1</v>
      </c>
      <c r="AG7" s="1" t="s">
        <v>317</v>
      </c>
      <c r="AH7" s="1">
        <v>-1</v>
      </c>
      <c r="AI7" s="1" t="s">
        <v>238</v>
      </c>
      <c r="AJ7" s="1">
        <v>1</v>
      </c>
      <c r="AK7" s="1" t="s">
        <v>317</v>
      </c>
      <c r="AL7" s="1">
        <v>12</v>
      </c>
      <c r="AM7" s="1">
        <v>6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487</v>
      </c>
      <c r="AT7" s="1" t="s">
        <v>1308</v>
      </c>
      <c r="AU7" s="1" t="s">
        <v>584</v>
      </c>
      <c r="AV7" s="1" t="s">
        <v>1309</v>
      </c>
      <c r="AW7" s="1" t="s">
        <v>1310</v>
      </c>
      <c r="AX7" s="1" t="s">
        <v>244</v>
      </c>
      <c r="AY7" s="1" t="s">
        <v>1311</v>
      </c>
      <c r="AZ7" s="1" t="s">
        <v>1312</v>
      </c>
      <c r="BA7" s="1" t="s">
        <v>1313</v>
      </c>
      <c r="BB7" s="1" t="s">
        <v>1314</v>
      </c>
      <c r="BC7" s="1" t="s">
        <v>1315</v>
      </c>
      <c r="BD7" s="1" t="s">
        <v>453</v>
      </c>
      <c r="BE7" s="1">
        <v>115.3</v>
      </c>
      <c r="BF7" s="1">
        <v>109.6</v>
      </c>
      <c r="BG7" s="1">
        <v>5.8</v>
      </c>
      <c r="BH7" s="1" t="s">
        <v>627</v>
      </c>
      <c r="BI7" s="1" t="s">
        <v>252</v>
      </c>
      <c r="BJ7" s="1" t="s">
        <v>466</v>
      </c>
      <c r="BK7" s="1" t="s">
        <v>55</v>
      </c>
      <c r="BL7" s="1" t="s">
        <v>306</v>
      </c>
      <c r="BM7" s="1" t="s">
        <v>292</v>
      </c>
      <c r="BN7" s="1" t="s">
        <v>292</v>
      </c>
      <c r="BO7" s="1" t="s">
        <v>297</v>
      </c>
      <c r="BP7" s="1" t="s">
        <v>1316</v>
      </c>
      <c r="BQ7" s="1" t="s">
        <v>73</v>
      </c>
      <c r="BR7" s="1" t="s">
        <v>332</v>
      </c>
      <c r="BS7" s="1" t="s">
        <v>513</v>
      </c>
      <c r="BT7" s="1"/>
      <c r="BU7" s="1"/>
      <c r="BV7" s="1"/>
      <c r="BW7" s="1"/>
      <c r="BX7" s="1"/>
      <c r="BY7" s="1" t="s">
        <v>1264</v>
      </c>
      <c r="BZ7" s="1" t="s">
        <v>332</v>
      </c>
      <c r="CA7" s="1" t="s">
        <v>1317</v>
      </c>
      <c r="CB7" s="1" t="s">
        <v>1318</v>
      </c>
      <c r="CC7" s="1" t="s">
        <v>1050</v>
      </c>
    </row>
    <row r="8" spans="1:81" x14ac:dyDescent="0.25">
      <c r="A8" s="1">
        <v>1610612764</v>
      </c>
      <c r="B8" s="1" t="s">
        <v>48</v>
      </c>
      <c r="C8" s="1" t="s">
        <v>1257</v>
      </c>
      <c r="D8" s="1" t="s">
        <v>63</v>
      </c>
      <c r="E8" s="1" t="s">
        <v>709</v>
      </c>
      <c r="F8" s="1" t="s">
        <v>267</v>
      </c>
      <c r="G8" s="1" t="s">
        <v>425</v>
      </c>
      <c r="H8" s="1">
        <v>4</v>
      </c>
      <c r="I8" s="1" t="s">
        <v>564</v>
      </c>
      <c r="J8" s="1" t="s">
        <v>565</v>
      </c>
      <c r="K8" s="1" t="s">
        <v>372</v>
      </c>
      <c r="L8" s="1">
        <v>1</v>
      </c>
      <c r="M8" s="1">
        <v>49</v>
      </c>
      <c r="N8" s="1">
        <v>33</v>
      </c>
      <c r="O8" s="1">
        <v>0.59799999999999998</v>
      </c>
      <c r="P8" s="1">
        <v>0</v>
      </c>
      <c r="Q8" s="1" t="s">
        <v>450</v>
      </c>
      <c r="R8" s="1" t="s">
        <v>228</v>
      </c>
      <c r="S8" s="1" t="s">
        <v>474</v>
      </c>
      <c r="T8" s="1" t="s">
        <v>274</v>
      </c>
      <c r="U8" s="1" t="s">
        <v>402</v>
      </c>
      <c r="V8" s="1" t="s">
        <v>346</v>
      </c>
      <c r="W8" s="1" t="s">
        <v>313</v>
      </c>
      <c r="X8" s="1" t="s">
        <v>771</v>
      </c>
      <c r="Y8" s="1" t="s">
        <v>593</v>
      </c>
      <c r="Z8" s="1">
        <v>17</v>
      </c>
      <c r="AA8" s="1" t="s">
        <v>1319</v>
      </c>
      <c r="AB8" s="1">
        <v>5</v>
      </c>
      <c r="AC8" s="1" t="s">
        <v>237</v>
      </c>
      <c r="AD8" s="1">
        <v>7</v>
      </c>
      <c r="AE8" s="1">
        <v>3</v>
      </c>
      <c r="AF8" s="1">
        <v>-1</v>
      </c>
      <c r="AG8" s="1" t="s">
        <v>238</v>
      </c>
      <c r="AH8" s="1">
        <v>-1</v>
      </c>
      <c r="AI8" s="1" t="s">
        <v>238</v>
      </c>
      <c r="AJ8" s="1">
        <v>-1</v>
      </c>
      <c r="AK8" s="1" t="s">
        <v>238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1320</v>
      </c>
      <c r="AT8" s="1" t="s">
        <v>602</v>
      </c>
      <c r="AU8" s="1" t="s">
        <v>381</v>
      </c>
      <c r="AV8" s="1" t="s">
        <v>970</v>
      </c>
      <c r="AW8" s="1" t="s">
        <v>1186</v>
      </c>
      <c r="AX8" s="1" t="s">
        <v>355</v>
      </c>
      <c r="AY8" s="1" t="s">
        <v>1321</v>
      </c>
      <c r="AZ8" s="1" t="s">
        <v>1322</v>
      </c>
      <c r="BA8" s="1" t="s">
        <v>1323</v>
      </c>
      <c r="BB8" s="1" t="s">
        <v>957</v>
      </c>
      <c r="BC8" s="1" t="s">
        <v>1324</v>
      </c>
      <c r="BD8" s="1" t="s">
        <v>659</v>
      </c>
      <c r="BE8" s="1">
        <v>109.2</v>
      </c>
      <c r="BF8" s="1">
        <v>107.4</v>
      </c>
      <c r="BG8" s="1">
        <v>1.8</v>
      </c>
      <c r="BH8" s="1" t="s">
        <v>425</v>
      </c>
      <c r="BI8" s="1" t="s">
        <v>253</v>
      </c>
      <c r="BJ8" s="1" t="s">
        <v>253</v>
      </c>
      <c r="BK8" s="1" t="s">
        <v>387</v>
      </c>
      <c r="BL8" s="1" t="s">
        <v>1087</v>
      </c>
      <c r="BM8" s="1" t="s">
        <v>55</v>
      </c>
      <c r="BN8" s="1" t="s">
        <v>252</v>
      </c>
      <c r="BO8" s="1" t="s">
        <v>594</v>
      </c>
      <c r="BP8" s="1" t="s">
        <v>329</v>
      </c>
      <c r="BQ8" s="1" t="s">
        <v>362</v>
      </c>
      <c r="BR8" s="1" t="s">
        <v>388</v>
      </c>
      <c r="BS8" s="1" t="s">
        <v>363</v>
      </c>
      <c r="BT8" s="1"/>
      <c r="BU8" s="1"/>
      <c r="BV8" s="1"/>
      <c r="BW8" s="1"/>
      <c r="BX8" s="1"/>
      <c r="BY8" s="1" t="s">
        <v>1325</v>
      </c>
      <c r="BZ8" s="1" t="s">
        <v>632</v>
      </c>
      <c r="CA8" s="1" t="s">
        <v>262</v>
      </c>
      <c r="CB8" s="1" t="s">
        <v>1047</v>
      </c>
      <c r="CC8" s="1" t="s">
        <v>1326</v>
      </c>
    </row>
    <row r="9" spans="1:81" x14ac:dyDescent="0.25">
      <c r="A9" s="1">
        <v>1610612746</v>
      </c>
      <c r="B9" s="1" t="s">
        <v>48</v>
      </c>
      <c r="C9" s="1" t="s">
        <v>1257</v>
      </c>
      <c r="D9" s="1" t="s">
        <v>615</v>
      </c>
      <c r="E9" s="1" t="s">
        <v>616</v>
      </c>
      <c r="F9" s="1" t="s">
        <v>222</v>
      </c>
      <c r="G9" s="1" t="s">
        <v>370</v>
      </c>
      <c r="H9" s="1">
        <v>4</v>
      </c>
      <c r="I9" s="1" t="s">
        <v>371</v>
      </c>
      <c r="J9" s="1" t="s">
        <v>225</v>
      </c>
      <c r="K9" s="1" t="s">
        <v>428</v>
      </c>
      <c r="L9" s="1">
        <v>2</v>
      </c>
      <c r="M9" s="1">
        <v>51</v>
      </c>
      <c r="N9" s="1">
        <v>31</v>
      </c>
      <c r="O9" s="1">
        <v>0.622</v>
      </c>
      <c r="P9" s="1">
        <v>0</v>
      </c>
      <c r="Q9" s="1" t="s">
        <v>373</v>
      </c>
      <c r="R9" s="1" t="s">
        <v>432</v>
      </c>
      <c r="S9" s="1" t="s">
        <v>429</v>
      </c>
      <c r="T9" s="1" t="s">
        <v>230</v>
      </c>
      <c r="U9" s="1" t="s">
        <v>230</v>
      </c>
      <c r="V9" s="1" t="s">
        <v>274</v>
      </c>
      <c r="W9" s="1" t="s">
        <v>285</v>
      </c>
      <c r="X9" s="1" t="s">
        <v>1062</v>
      </c>
      <c r="Y9" s="1" t="s">
        <v>955</v>
      </c>
      <c r="Z9" s="1">
        <v>6</v>
      </c>
      <c r="AA9" s="1" t="s">
        <v>235</v>
      </c>
      <c r="AB9" s="1">
        <v>7</v>
      </c>
      <c r="AC9" s="1" t="s">
        <v>433</v>
      </c>
      <c r="AD9" s="1">
        <v>7</v>
      </c>
      <c r="AE9" s="1">
        <v>6</v>
      </c>
      <c r="AF9" s="1">
        <v>5</v>
      </c>
      <c r="AG9" s="1" t="s">
        <v>237</v>
      </c>
      <c r="AH9" s="1">
        <v>2</v>
      </c>
      <c r="AI9" s="1" t="s">
        <v>279</v>
      </c>
      <c r="AJ9" s="1">
        <v>7</v>
      </c>
      <c r="AK9" s="1" t="s">
        <v>433</v>
      </c>
      <c r="AL9" s="1">
        <v>16</v>
      </c>
      <c r="AM9" s="1">
        <v>16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1327</v>
      </c>
      <c r="AT9" s="1" t="s">
        <v>1328</v>
      </c>
      <c r="AU9" s="1" t="s">
        <v>285</v>
      </c>
      <c r="AV9" s="1" t="s">
        <v>290</v>
      </c>
      <c r="AW9" s="1" t="s">
        <v>1329</v>
      </c>
      <c r="AX9" s="1" t="s">
        <v>409</v>
      </c>
      <c r="AY9" s="1" t="s">
        <v>1330</v>
      </c>
      <c r="AZ9" s="1" t="s">
        <v>1331</v>
      </c>
      <c r="BA9" s="1" t="s">
        <v>1324</v>
      </c>
      <c r="BB9" s="1" t="s">
        <v>280</v>
      </c>
      <c r="BC9" s="1" t="s">
        <v>374</v>
      </c>
      <c r="BD9" s="1" t="s">
        <v>1332</v>
      </c>
      <c r="BE9" s="1">
        <v>108.7</v>
      </c>
      <c r="BF9" s="1">
        <v>104.4</v>
      </c>
      <c r="BG9" s="1">
        <v>4.3</v>
      </c>
      <c r="BH9" s="1" t="s">
        <v>294</v>
      </c>
      <c r="BI9" s="1" t="s">
        <v>55</v>
      </c>
      <c r="BJ9" s="1" t="s">
        <v>466</v>
      </c>
      <c r="BK9" s="1" t="s">
        <v>419</v>
      </c>
      <c r="BL9" s="1" t="s">
        <v>370</v>
      </c>
      <c r="BM9" s="1" t="s">
        <v>255</v>
      </c>
      <c r="BN9" s="1" t="s">
        <v>297</v>
      </c>
      <c r="BO9" s="1" t="s">
        <v>388</v>
      </c>
      <c r="BP9" s="1" t="s">
        <v>365</v>
      </c>
      <c r="BQ9" s="1" t="s">
        <v>59</v>
      </c>
      <c r="BR9" s="1" t="s">
        <v>255</v>
      </c>
      <c r="BS9" s="1" t="s">
        <v>534</v>
      </c>
      <c r="BT9" s="1"/>
      <c r="BU9" s="1"/>
      <c r="BV9" s="1"/>
      <c r="BW9" s="1"/>
      <c r="BX9" s="1"/>
      <c r="BY9" s="1" t="s">
        <v>1286</v>
      </c>
      <c r="BZ9" s="1" t="s">
        <v>491</v>
      </c>
      <c r="CA9" s="1" t="s">
        <v>1306</v>
      </c>
      <c r="CB9" s="1" t="s">
        <v>1333</v>
      </c>
      <c r="CC9" s="1" t="s">
        <v>1025</v>
      </c>
    </row>
    <row r="10" spans="1:81" x14ac:dyDescent="0.25">
      <c r="A10" s="1">
        <v>1610612762</v>
      </c>
      <c r="B10" s="1" t="s">
        <v>48</v>
      </c>
      <c r="C10" s="1" t="s">
        <v>1257</v>
      </c>
      <c r="D10" s="1" t="s">
        <v>498</v>
      </c>
      <c r="E10" s="1" t="s">
        <v>499</v>
      </c>
      <c r="F10" s="1" t="s">
        <v>222</v>
      </c>
      <c r="G10" s="1" t="s">
        <v>370</v>
      </c>
      <c r="H10" s="1">
        <v>5</v>
      </c>
      <c r="I10" s="1" t="s">
        <v>341</v>
      </c>
      <c r="J10" s="1" t="s">
        <v>342</v>
      </c>
      <c r="K10" s="1" t="s">
        <v>372</v>
      </c>
      <c r="L10" s="1">
        <v>1</v>
      </c>
      <c r="M10" s="1">
        <v>51</v>
      </c>
      <c r="N10" s="1">
        <v>31</v>
      </c>
      <c r="O10" s="1">
        <v>0.622</v>
      </c>
      <c r="P10" s="1">
        <v>0</v>
      </c>
      <c r="Q10" s="1" t="s">
        <v>373</v>
      </c>
      <c r="R10" s="1" t="s">
        <v>432</v>
      </c>
      <c r="S10" s="1" t="s">
        <v>429</v>
      </c>
      <c r="T10" s="1" t="s">
        <v>231</v>
      </c>
      <c r="U10" s="1" t="s">
        <v>401</v>
      </c>
      <c r="V10" s="1" t="s">
        <v>657</v>
      </c>
      <c r="W10" s="1" t="s">
        <v>409</v>
      </c>
      <c r="X10" s="1" t="s">
        <v>1334</v>
      </c>
      <c r="Y10" s="1" t="s">
        <v>1335</v>
      </c>
      <c r="Z10" s="1">
        <v>9</v>
      </c>
      <c r="AA10" s="1" t="s">
        <v>544</v>
      </c>
      <c r="AB10" s="1">
        <v>-4</v>
      </c>
      <c r="AC10" s="1" t="s">
        <v>545</v>
      </c>
      <c r="AD10" s="1">
        <v>6</v>
      </c>
      <c r="AE10" s="1">
        <v>4</v>
      </c>
      <c r="AF10" s="1">
        <v>9</v>
      </c>
      <c r="AG10" s="1" t="s">
        <v>544</v>
      </c>
      <c r="AH10" s="1">
        <v>1</v>
      </c>
      <c r="AI10" s="1" t="s">
        <v>317</v>
      </c>
      <c r="AJ10" s="1">
        <v>2</v>
      </c>
      <c r="AK10" s="1" t="s">
        <v>279</v>
      </c>
      <c r="AL10" s="1">
        <v>16</v>
      </c>
      <c r="AM10" s="1">
        <v>0</v>
      </c>
      <c r="AN10" s="1">
        <v>0</v>
      </c>
      <c r="AO10" s="1">
        <v>1</v>
      </c>
      <c r="AP10" s="1">
        <v>1</v>
      </c>
      <c r="AQ10" s="1">
        <v>0</v>
      </c>
      <c r="AR10" s="1">
        <v>0</v>
      </c>
      <c r="AS10" s="1" t="s">
        <v>1295</v>
      </c>
      <c r="AT10" s="1" t="s">
        <v>1236</v>
      </c>
      <c r="AU10" s="1" t="s">
        <v>282</v>
      </c>
      <c r="AV10" s="1" t="s">
        <v>1302</v>
      </c>
      <c r="AW10" s="1" t="s">
        <v>1336</v>
      </c>
      <c r="AX10" s="1" t="s">
        <v>584</v>
      </c>
      <c r="AY10" s="1" t="s">
        <v>1337</v>
      </c>
      <c r="AZ10" s="1" t="s">
        <v>1234</v>
      </c>
      <c r="BA10" s="1" t="s">
        <v>1338</v>
      </c>
      <c r="BB10" s="1" t="s">
        <v>239</v>
      </c>
      <c r="BC10" s="1" t="s">
        <v>989</v>
      </c>
      <c r="BD10" s="1" t="s">
        <v>1339</v>
      </c>
      <c r="BE10" s="1">
        <v>100.7</v>
      </c>
      <c r="BF10" s="1">
        <v>96.8</v>
      </c>
      <c r="BG10" s="1">
        <v>3.9</v>
      </c>
      <c r="BH10" s="1" t="s">
        <v>294</v>
      </c>
      <c r="BI10" s="1" t="s">
        <v>55</v>
      </c>
      <c r="BJ10" s="1" t="s">
        <v>55</v>
      </c>
      <c r="BK10" s="1" t="s">
        <v>252</v>
      </c>
      <c r="BL10" s="1" t="s">
        <v>370</v>
      </c>
      <c r="BM10" s="1" t="s">
        <v>387</v>
      </c>
      <c r="BN10" s="1" t="s">
        <v>253</v>
      </c>
      <c r="BO10" s="1" t="s">
        <v>388</v>
      </c>
      <c r="BP10" s="1" t="s">
        <v>332</v>
      </c>
      <c r="BQ10" s="1" t="s">
        <v>257</v>
      </c>
      <c r="BR10" s="1" t="s">
        <v>297</v>
      </c>
      <c r="BS10" s="1" t="s">
        <v>513</v>
      </c>
      <c r="BT10" s="1"/>
      <c r="BU10" s="1"/>
      <c r="BV10" s="1"/>
      <c r="BW10" s="1"/>
      <c r="BX10" s="1"/>
      <c r="BY10" s="1" t="s">
        <v>1340</v>
      </c>
      <c r="BZ10" s="1" t="s">
        <v>297</v>
      </c>
      <c r="CA10" s="1" t="s">
        <v>262</v>
      </c>
      <c r="CB10" s="1" t="s">
        <v>1341</v>
      </c>
      <c r="CC10" s="1" t="s">
        <v>264</v>
      </c>
    </row>
    <row r="11" spans="1:81" x14ac:dyDescent="0.25">
      <c r="A11" s="1">
        <v>1610612737</v>
      </c>
      <c r="B11" s="1" t="s">
        <v>48</v>
      </c>
      <c r="C11" s="1" t="s">
        <v>1257</v>
      </c>
      <c r="D11" s="1" t="s">
        <v>767</v>
      </c>
      <c r="E11" s="1" t="s">
        <v>768</v>
      </c>
      <c r="F11" s="1" t="s">
        <v>267</v>
      </c>
      <c r="G11" s="1" t="s">
        <v>500</v>
      </c>
      <c r="H11" s="1">
        <v>5</v>
      </c>
      <c r="I11" s="1" t="s">
        <v>371</v>
      </c>
      <c r="J11" s="1" t="s">
        <v>565</v>
      </c>
      <c r="K11" s="1" t="s">
        <v>398</v>
      </c>
      <c r="L11" s="1">
        <v>2</v>
      </c>
      <c r="M11" s="1">
        <v>43</v>
      </c>
      <c r="N11" s="1">
        <v>39</v>
      </c>
      <c r="O11" s="1">
        <v>0.52400000000000002</v>
      </c>
      <c r="P11" s="1">
        <v>0</v>
      </c>
      <c r="Q11" s="1" t="s">
        <v>1109</v>
      </c>
      <c r="R11" s="1" t="s">
        <v>540</v>
      </c>
      <c r="S11" s="1" t="s">
        <v>345</v>
      </c>
      <c r="T11" s="1" t="s">
        <v>402</v>
      </c>
      <c r="U11" s="1" t="s">
        <v>402</v>
      </c>
      <c r="V11" s="1" t="s">
        <v>657</v>
      </c>
      <c r="W11" s="1" t="s">
        <v>1342</v>
      </c>
      <c r="X11" s="1" t="s">
        <v>1343</v>
      </c>
      <c r="Y11" s="1" t="s">
        <v>486</v>
      </c>
      <c r="Z11" s="1">
        <v>4</v>
      </c>
      <c r="AA11" s="1" t="s">
        <v>454</v>
      </c>
      <c r="AB11" s="1">
        <v>5</v>
      </c>
      <c r="AC11" s="1" t="s">
        <v>237</v>
      </c>
      <c r="AD11" s="1">
        <v>7</v>
      </c>
      <c r="AE11" s="1">
        <v>7</v>
      </c>
      <c r="AF11" s="1">
        <v>4</v>
      </c>
      <c r="AG11" s="1" t="s">
        <v>454</v>
      </c>
      <c r="AH11" s="1">
        <v>-1</v>
      </c>
      <c r="AI11" s="1" t="s">
        <v>238</v>
      </c>
      <c r="AJ11" s="1">
        <v>-1</v>
      </c>
      <c r="AK11" s="1" t="s">
        <v>238</v>
      </c>
      <c r="AL11" s="1">
        <v>10</v>
      </c>
      <c r="AM11" s="1">
        <v>6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1344</v>
      </c>
      <c r="AT11" s="1" t="s">
        <v>665</v>
      </c>
      <c r="AU11" s="1" t="s">
        <v>244</v>
      </c>
      <c r="AV11" s="1" t="s">
        <v>344</v>
      </c>
      <c r="AW11" s="1" t="s">
        <v>1345</v>
      </c>
      <c r="AX11" s="1" t="s">
        <v>285</v>
      </c>
      <c r="AY11" s="1" t="s">
        <v>1071</v>
      </c>
      <c r="AZ11" s="1" t="s">
        <v>1346</v>
      </c>
      <c r="BA11" s="1" t="s">
        <v>1313</v>
      </c>
      <c r="BB11" s="1" t="s">
        <v>1347</v>
      </c>
      <c r="BC11" s="1" t="s">
        <v>1348</v>
      </c>
      <c r="BD11" s="1" t="s">
        <v>1201</v>
      </c>
      <c r="BE11" s="1">
        <v>103.2</v>
      </c>
      <c r="BF11" s="1">
        <v>104</v>
      </c>
      <c r="BG11" s="1">
        <v>-0.9</v>
      </c>
      <c r="BH11" s="1" t="s">
        <v>500</v>
      </c>
      <c r="BI11" s="1" t="s">
        <v>292</v>
      </c>
      <c r="BJ11" s="1" t="s">
        <v>388</v>
      </c>
      <c r="BK11" s="1" t="s">
        <v>71</v>
      </c>
      <c r="BL11" s="1" t="s">
        <v>556</v>
      </c>
      <c r="BM11" s="1" t="s">
        <v>465</v>
      </c>
      <c r="BN11" s="1" t="s">
        <v>557</v>
      </c>
      <c r="BO11" s="1" t="s">
        <v>362</v>
      </c>
      <c r="BP11" s="1" t="s">
        <v>389</v>
      </c>
      <c r="BQ11" s="1" t="s">
        <v>467</v>
      </c>
      <c r="BR11" s="1" t="s">
        <v>71</v>
      </c>
      <c r="BS11" s="1" t="s">
        <v>514</v>
      </c>
      <c r="BT11" s="1"/>
      <c r="BU11" s="1"/>
      <c r="BV11" s="1"/>
      <c r="BW11" s="1"/>
      <c r="BX11" s="1"/>
      <c r="BY11" s="1" t="s">
        <v>1286</v>
      </c>
      <c r="BZ11" s="1" t="s">
        <v>515</v>
      </c>
      <c r="CA11" s="1" t="s">
        <v>261</v>
      </c>
      <c r="CB11" s="1" t="s">
        <v>1349</v>
      </c>
      <c r="CC11" s="1" t="s">
        <v>1350</v>
      </c>
    </row>
    <row r="12" spans="1:81" x14ac:dyDescent="0.25">
      <c r="A12" s="1">
        <v>1610612749</v>
      </c>
      <c r="B12" s="1" t="s">
        <v>48</v>
      </c>
      <c r="C12" s="1" t="s">
        <v>1257</v>
      </c>
      <c r="D12" s="1" t="s">
        <v>265</v>
      </c>
      <c r="E12" s="1" t="s">
        <v>266</v>
      </c>
      <c r="F12" s="1" t="s">
        <v>267</v>
      </c>
      <c r="G12" s="1" t="s">
        <v>598</v>
      </c>
      <c r="H12" s="1">
        <v>6</v>
      </c>
      <c r="I12" s="1" t="s">
        <v>371</v>
      </c>
      <c r="J12" s="1" t="s">
        <v>270</v>
      </c>
      <c r="K12" s="1" t="s">
        <v>428</v>
      </c>
      <c r="L12" s="1">
        <v>2</v>
      </c>
      <c r="M12" s="1">
        <v>42</v>
      </c>
      <c r="N12" s="1">
        <v>40</v>
      </c>
      <c r="O12" s="1">
        <v>0.51200000000000001</v>
      </c>
      <c r="P12" s="1">
        <v>0</v>
      </c>
      <c r="Q12" s="1" t="s">
        <v>539</v>
      </c>
      <c r="R12" s="1" t="s">
        <v>540</v>
      </c>
      <c r="S12" s="1" t="s">
        <v>474</v>
      </c>
      <c r="T12" s="1" t="s">
        <v>274</v>
      </c>
      <c r="U12" s="1" t="s">
        <v>230</v>
      </c>
      <c r="V12" s="1" t="s">
        <v>402</v>
      </c>
      <c r="W12" s="1" t="s">
        <v>275</v>
      </c>
      <c r="X12" s="1" t="s">
        <v>230</v>
      </c>
      <c r="Y12" s="1" t="s">
        <v>1351</v>
      </c>
      <c r="Z12" s="1">
        <v>6</v>
      </c>
      <c r="AA12" s="1" t="s">
        <v>235</v>
      </c>
      <c r="AB12" s="1">
        <v>-7</v>
      </c>
      <c r="AC12" s="1" t="s">
        <v>773</v>
      </c>
      <c r="AD12" s="1">
        <v>6</v>
      </c>
      <c r="AE12" s="1">
        <v>5</v>
      </c>
      <c r="AF12" s="1">
        <v>1</v>
      </c>
      <c r="AG12" s="1" t="s">
        <v>317</v>
      </c>
      <c r="AH12" s="1">
        <v>-1</v>
      </c>
      <c r="AI12" s="1" t="s">
        <v>238</v>
      </c>
      <c r="AJ12" s="1">
        <v>-1</v>
      </c>
      <c r="AK12" s="1" t="s">
        <v>238</v>
      </c>
      <c r="AL12" s="1">
        <v>11</v>
      </c>
      <c r="AM12" s="1">
        <v>9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1352</v>
      </c>
      <c r="AT12" s="1" t="s">
        <v>807</v>
      </c>
      <c r="AU12" s="1" t="s">
        <v>736</v>
      </c>
      <c r="AV12" s="1" t="s">
        <v>1353</v>
      </c>
      <c r="AW12" s="1" t="s">
        <v>679</v>
      </c>
      <c r="AX12" s="1" t="s">
        <v>244</v>
      </c>
      <c r="AY12" s="1" t="s">
        <v>1354</v>
      </c>
      <c r="AZ12" s="1" t="s">
        <v>1355</v>
      </c>
      <c r="BA12" s="1" t="s">
        <v>1014</v>
      </c>
      <c r="BB12" s="1" t="s">
        <v>1356</v>
      </c>
      <c r="BC12" s="1" t="s">
        <v>1357</v>
      </c>
      <c r="BD12" s="1" t="s">
        <v>1358</v>
      </c>
      <c r="BE12" s="1">
        <v>103.6</v>
      </c>
      <c r="BF12" s="1">
        <v>103.8</v>
      </c>
      <c r="BG12" s="1">
        <v>-0.2</v>
      </c>
      <c r="BH12" s="1" t="s">
        <v>598</v>
      </c>
      <c r="BI12" s="1" t="s">
        <v>255</v>
      </c>
      <c r="BJ12" s="1" t="s">
        <v>297</v>
      </c>
      <c r="BK12" s="1" t="s">
        <v>628</v>
      </c>
      <c r="BL12" s="1" t="s">
        <v>492</v>
      </c>
      <c r="BM12" s="1" t="s">
        <v>465</v>
      </c>
      <c r="BN12" s="1" t="s">
        <v>362</v>
      </c>
      <c r="BO12" s="1" t="s">
        <v>465</v>
      </c>
      <c r="BP12" s="1" t="s">
        <v>559</v>
      </c>
      <c r="BQ12" s="1" t="s">
        <v>467</v>
      </c>
      <c r="BR12" s="1" t="s">
        <v>330</v>
      </c>
      <c r="BS12" s="1" t="s">
        <v>390</v>
      </c>
      <c r="BT12" s="1"/>
      <c r="BU12" s="1"/>
      <c r="BV12" s="1"/>
      <c r="BW12" s="1"/>
      <c r="BX12" s="1"/>
      <c r="BY12" s="1" t="s">
        <v>1340</v>
      </c>
      <c r="BZ12" s="1" t="s">
        <v>392</v>
      </c>
      <c r="CA12" s="1" t="s">
        <v>387</v>
      </c>
      <c r="CB12" s="1" t="s">
        <v>1359</v>
      </c>
      <c r="CC12" s="1" t="s">
        <v>1360</v>
      </c>
    </row>
    <row r="13" spans="1:81" x14ac:dyDescent="0.25">
      <c r="A13" s="1">
        <v>1610612760</v>
      </c>
      <c r="B13" s="1" t="s">
        <v>48</v>
      </c>
      <c r="C13" s="1" t="s">
        <v>1257</v>
      </c>
      <c r="D13" s="1" t="s">
        <v>518</v>
      </c>
      <c r="E13" s="1" t="s">
        <v>519</v>
      </c>
      <c r="F13" s="1" t="s">
        <v>222</v>
      </c>
      <c r="G13" s="1" t="s">
        <v>397</v>
      </c>
      <c r="H13" s="1">
        <v>6</v>
      </c>
      <c r="I13" s="1" t="s">
        <v>371</v>
      </c>
      <c r="J13" s="1" t="s">
        <v>342</v>
      </c>
      <c r="K13" s="1" t="s">
        <v>428</v>
      </c>
      <c r="L13" s="1">
        <v>2</v>
      </c>
      <c r="M13" s="1">
        <v>47</v>
      </c>
      <c r="N13" s="1">
        <v>35</v>
      </c>
      <c r="O13" s="1">
        <v>0.57299999999999995</v>
      </c>
      <c r="P13" s="1">
        <v>0</v>
      </c>
      <c r="Q13" s="1" t="s">
        <v>1088</v>
      </c>
      <c r="R13" s="1" t="s">
        <v>451</v>
      </c>
      <c r="S13" s="1" t="s">
        <v>474</v>
      </c>
      <c r="T13" s="1" t="s">
        <v>402</v>
      </c>
      <c r="U13" s="1" t="s">
        <v>274</v>
      </c>
      <c r="V13" s="1" t="s">
        <v>231</v>
      </c>
      <c r="W13" s="1" t="s">
        <v>355</v>
      </c>
      <c r="X13" s="1" t="s">
        <v>1361</v>
      </c>
      <c r="Y13" s="1" t="s">
        <v>1362</v>
      </c>
      <c r="Z13" s="1">
        <v>5</v>
      </c>
      <c r="AA13" s="1" t="s">
        <v>237</v>
      </c>
      <c r="AB13" s="1">
        <v>-7</v>
      </c>
      <c r="AC13" s="1" t="s">
        <v>773</v>
      </c>
      <c r="AD13" s="1">
        <v>6</v>
      </c>
      <c r="AE13" s="1">
        <v>4</v>
      </c>
      <c r="AF13" s="1">
        <v>-1</v>
      </c>
      <c r="AG13" s="1" t="s">
        <v>238</v>
      </c>
      <c r="AH13" s="1">
        <v>2</v>
      </c>
      <c r="AI13" s="1" t="s">
        <v>279</v>
      </c>
      <c r="AJ13" s="1">
        <v>-1</v>
      </c>
      <c r="AK13" s="1" t="s">
        <v>238</v>
      </c>
      <c r="AL13" s="1">
        <v>20</v>
      </c>
      <c r="AM13" s="1">
        <v>4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1363</v>
      </c>
      <c r="AT13" s="1" t="s">
        <v>1091</v>
      </c>
      <c r="AU13" s="1" t="s">
        <v>403</v>
      </c>
      <c r="AV13" s="1" t="s">
        <v>1364</v>
      </c>
      <c r="AW13" s="1" t="s">
        <v>1365</v>
      </c>
      <c r="AX13" s="1" t="s">
        <v>322</v>
      </c>
      <c r="AY13" s="1" t="s">
        <v>1366</v>
      </c>
      <c r="AZ13" s="1" t="s">
        <v>1367</v>
      </c>
      <c r="BA13" s="1" t="s">
        <v>1368</v>
      </c>
      <c r="BB13" s="1" t="s">
        <v>1369</v>
      </c>
      <c r="BC13" s="1" t="s">
        <v>1370</v>
      </c>
      <c r="BD13" s="1" t="s">
        <v>1064</v>
      </c>
      <c r="BE13" s="1">
        <v>106.6</v>
      </c>
      <c r="BF13" s="1">
        <v>105.8</v>
      </c>
      <c r="BG13" s="1">
        <v>0.8</v>
      </c>
      <c r="BH13" s="1" t="s">
        <v>593</v>
      </c>
      <c r="BI13" s="1" t="s">
        <v>419</v>
      </c>
      <c r="BJ13" s="1" t="s">
        <v>465</v>
      </c>
      <c r="BK13" s="1" t="s">
        <v>466</v>
      </c>
      <c r="BL13" s="1" t="s">
        <v>397</v>
      </c>
      <c r="BM13" s="1" t="s">
        <v>297</v>
      </c>
      <c r="BN13" s="1" t="s">
        <v>444</v>
      </c>
      <c r="BO13" s="1" t="s">
        <v>388</v>
      </c>
      <c r="BP13" s="1" t="s">
        <v>468</v>
      </c>
      <c r="BQ13" s="1" t="s">
        <v>257</v>
      </c>
      <c r="BR13" s="1" t="s">
        <v>335</v>
      </c>
      <c r="BS13" s="1" t="s">
        <v>514</v>
      </c>
      <c r="BT13" s="1"/>
      <c r="BU13" s="1"/>
      <c r="BV13" s="1"/>
      <c r="BW13" s="1"/>
      <c r="BX13" s="1"/>
      <c r="BY13" s="1" t="s">
        <v>1286</v>
      </c>
      <c r="BZ13" s="1" t="s">
        <v>1106</v>
      </c>
      <c r="CA13" s="1" t="s">
        <v>258</v>
      </c>
      <c r="CB13" s="1" t="s">
        <v>516</v>
      </c>
      <c r="CC13" s="1" t="s">
        <v>367</v>
      </c>
    </row>
    <row r="14" spans="1:81" x14ac:dyDescent="0.25">
      <c r="A14" s="1">
        <v>1610612754</v>
      </c>
      <c r="B14" s="1" t="s">
        <v>48</v>
      </c>
      <c r="C14" s="1" t="s">
        <v>1257</v>
      </c>
      <c r="D14" s="1" t="s">
        <v>72</v>
      </c>
      <c r="E14" s="1" t="s">
        <v>470</v>
      </c>
      <c r="F14" s="1" t="s">
        <v>267</v>
      </c>
      <c r="G14" s="1" t="s">
        <v>1371</v>
      </c>
      <c r="H14" s="1">
        <v>7</v>
      </c>
      <c r="I14" s="1" t="s">
        <v>371</v>
      </c>
      <c r="J14" s="1" t="s">
        <v>270</v>
      </c>
      <c r="K14" s="1" t="s">
        <v>372</v>
      </c>
      <c r="L14" s="1">
        <v>3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539</v>
      </c>
      <c r="R14" s="1" t="s">
        <v>432</v>
      </c>
      <c r="S14" s="1" t="s">
        <v>806</v>
      </c>
      <c r="T14" s="1" t="s">
        <v>402</v>
      </c>
      <c r="U14" s="1" t="s">
        <v>230</v>
      </c>
      <c r="V14" s="1" t="s">
        <v>475</v>
      </c>
      <c r="W14" s="1" t="s">
        <v>403</v>
      </c>
      <c r="X14" s="1" t="s">
        <v>403</v>
      </c>
      <c r="Y14" s="1" t="s">
        <v>1372</v>
      </c>
      <c r="Z14" s="1">
        <v>5</v>
      </c>
      <c r="AA14" s="1" t="s">
        <v>237</v>
      </c>
      <c r="AB14" s="1">
        <v>-8</v>
      </c>
      <c r="AC14" s="1" t="s">
        <v>714</v>
      </c>
      <c r="AD14" s="1">
        <v>7</v>
      </c>
      <c r="AE14" s="1">
        <v>6</v>
      </c>
      <c r="AF14" s="1">
        <v>3</v>
      </c>
      <c r="AG14" s="1" t="s">
        <v>316</v>
      </c>
      <c r="AH14" s="1">
        <v>2</v>
      </c>
      <c r="AI14" s="1" t="s">
        <v>279</v>
      </c>
      <c r="AJ14" s="1">
        <v>5</v>
      </c>
      <c r="AK14" s="1" t="s">
        <v>237</v>
      </c>
      <c r="AL14" s="1">
        <v>11</v>
      </c>
      <c r="AM14" s="1">
        <v>9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1320</v>
      </c>
      <c r="AT14" s="1" t="s">
        <v>587</v>
      </c>
      <c r="AU14" s="1" t="s">
        <v>381</v>
      </c>
      <c r="AV14" s="1" t="s">
        <v>957</v>
      </c>
      <c r="AW14" s="1" t="s">
        <v>1373</v>
      </c>
      <c r="AX14" s="1" t="s">
        <v>347</v>
      </c>
      <c r="AY14" s="1" t="s">
        <v>699</v>
      </c>
      <c r="AZ14" s="1" t="s">
        <v>1374</v>
      </c>
      <c r="BA14" s="1" t="s">
        <v>1368</v>
      </c>
      <c r="BB14" s="1" t="s">
        <v>480</v>
      </c>
      <c r="BC14" s="1" t="s">
        <v>647</v>
      </c>
      <c r="BD14" s="1" t="s">
        <v>229</v>
      </c>
      <c r="BE14" s="1">
        <v>105.1</v>
      </c>
      <c r="BF14" s="1">
        <v>105.3</v>
      </c>
      <c r="BG14" s="1">
        <v>-0.2</v>
      </c>
      <c r="BH14" s="1" t="s">
        <v>1371</v>
      </c>
      <c r="BI14" s="1" t="s">
        <v>444</v>
      </c>
      <c r="BJ14" s="1" t="s">
        <v>387</v>
      </c>
      <c r="BK14" s="1" t="s">
        <v>255</v>
      </c>
      <c r="BL14" s="1" t="s">
        <v>705</v>
      </c>
      <c r="BM14" s="1" t="s">
        <v>466</v>
      </c>
      <c r="BN14" s="1" t="s">
        <v>55</v>
      </c>
      <c r="BO14" s="1" t="s">
        <v>466</v>
      </c>
      <c r="BP14" s="1" t="s">
        <v>972</v>
      </c>
      <c r="BQ14" s="1" t="s">
        <v>66</v>
      </c>
      <c r="BR14" s="1" t="s">
        <v>71</v>
      </c>
      <c r="BS14" s="1" t="s">
        <v>259</v>
      </c>
      <c r="BT14" s="1"/>
      <c r="BU14" s="1"/>
      <c r="BV14" s="1"/>
      <c r="BW14" s="1"/>
      <c r="BX14" s="1"/>
      <c r="BY14" s="1" t="s">
        <v>1340</v>
      </c>
      <c r="BZ14" s="1" t="s">
        <v>387</v>
      </c>
      <c r="CA14" s="1" t="s">
        <v>468</v>
      </c>
      <c r="CB14" s="1" t="s">
        <v>1375</v>
      </c>
      <c r="CC14" s="1" t="s">
        <v>873</v>
      </c>
    </row>
    <row r="15" spans="1:81" x14ac:dyDescent="0.25">
      <c r="A15" s="1">
        <v>1610612763</v>
      </c>
      <c r="B15" s="1" t="s">
        <v>48</v>
      </c>
      <c r="C15" s="1" t="s">
        <v>1257</v>
      </c>
      <c r="D15" s="1" t="s">
        <v>749</v>
      </c>
      <c r="E15" s="1" t="s">
        <v>750</v>
      </c>
      <c r="F15" s="1" t="s">
        <v>222</v>
      </c>
      <c r="G15" s="1" t="s">
        <v>520</v>
      </c>
      <c r="H15" s="1">
        <v>7</v>
      </c>
      <c r="I15" s="1" t="s">
        <v>371</v>
      </c>
      <c r="J15" s="1" t="s">
        <v>427</v>
      </c>
      <c r="K15" s="1" t="s">
        <v>372</v>
      </c>
      <c r="L15" s="1">
        <v>3</v>
      </c>
      <c r="M15" s="1">
        <v>43</v>
      </c>
      <c r="N15" s="1">
        <v>39</v>
      </c>
      <c r="O15" s="1">
        <v>0.52400000000000002</v>
      </c>
      <c r="P15" s="1">
        <v>0</v>
      </c>
      <c r="Q15" s="1" t="s">
        <v>1109</v>
      </c>
      <c r="R15" s="1" t="s">
        <v>656</v>
      </c>
      <c r="S15" s="1" t="s">
        <v>474</v>
      </c>
      <c r="T15" s="1" t="s">
        <v>657</v>
      </c>
      <c r="U15" s="1" t="s">
        <v>274</v>
      </c>
      <c r="V15" s="1" t="s">
        <v>475</v>
      </c>
      <c r="W15" s="1" t="s">
        <v>541</v>
      </c>
      <c r="X15" s="1" t="s">
        <v>1376</v>
      </c>
      <c r="Y15" s="1" t="s">
        <v>1014</v>
      </c>
      <c r="Z15" s="1">
        <v>6</v>
      </c>
      <c r="AA15" s="1" t="s">
        <v>235</v>
      </c>
      <c r="AB15" s="1">
        <v>6</v>
      </c>
      <c r="AC15" s="1" t="s">
        <v>235</v>
      </c>
      <c r="AD15" s="1">
        <v>6</v>
      </c>
      <c r="AE15" s="1">
        <v>5</v>
      </c>
      <c r="AF15" s="1">
        <v>-2</v>
      </c>
      <c r="AG15" s="1" t="s">
        <v>479</v>
      </c>
      <c r="AH15" s="1">
        <v>-6</v>
      </c>
      <c r="AI15" s="1" t="s">
        <v>406</v>
      </c>
      <c r="AJ15" s="1">
        <v>-2</v>
      </c>
      <c r="AK15" s="1" t="s">
        <v>479</v>
      </c>
      <c r="AL15" s="1">
        <v>24</v>
      </c>
      <c r="AM15" s="1">
        <v>18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1320</v>
      </c>
      <c r="AT15" s="1" t="s">
        <v>1377</v>
      </c>
      <c r="AU15" s="1" t="s">
        <v>241</v>
      </c>
      <c r="AV15" s="1" t="s">
        <v>548</v>
      </c>
      <c r="AW15" s="1" t="s">
        <v>1378</v>
      </c>
      <c r="AX15" s="1" t="s">
        <v>241</v>
      </c>
      <c r="AY15" s="1" t="s">
        <v>1379</v>
      </c>
      <c r="AZ15" s="1" t="s">
        <v>735</v>
      </c>
      <c r="BA15" s="1" t="s">
        <v>1127</v>
      </c>
      <c r="BB15" s="1" t="s">
        <v>1380</v>
      </c>
      <c r="BC15" s="1" t="s">
        <v>312</v>
      </c>
      <c r="BD15" s="1" t="s">
        <v>1381</v>
      </c>
      <c r="BE15" s="1">
        <v>100.5</v>
      </c>
      <c r="BF15" s="1">
        <v>100</v>
      </c>
      <c r="BG15" s="1">
        <v>0.5</v>
      </c>
      <c r="BH15" s="1" t="s">
        <v>492</v>
      </c>
      <c r="BI15" s="1" t="s">
        <v>466</v>
      </c>
      <c r="BJ15" s="1" t="s">
        <v>466</v>
      </c>
      <c r="BK15" s="1" t="s">
        <v>466</v>
      </c>
      <c r="BL15" s="1" t="s">
        <v>520</v>
      </c>
      <c r="BM15" s="1" t="s">
        <v>388</v>
      </c>
      <c r="BN15" s="1" t="s">
        <v>490</v>
      </c>
      <c r="BO15" s="1" t="s">
        <v>387</v>
      </c>
      <c r="BP15" s="1" t="s">
        <v>261</v>
      </c>
      <c r="BQ15" s="1" t="s">
        <v>257</v>
      </c>
      <c r="BR15" s="1" t="s">
        <v>632</v>
      </c>
      <c r="BS15" s="1" t="s">
        <v>445</v>
      </c>
      <c r="BT15" s="1"/>
      <c r="BU15" s="1"/>
      <c r="BV15" s="1"/>
      <c r="BW15" s="1"/>
      <c r="BX15" s="1"/>
      <c r="BY15" s="1" t="s">
        <v>1264</v>
      </c>
      <c r="BZ15" s="1" t="s">
        <v>533</v>
      </c>
      <c r="CA15" s="1" t="s">
        <v>973</v>
      </c>
      <c r="CB15" s="1" t="s">
        <v>1382</v>
      </c>
      <c r="CC15" s="1" t="s">
        <v>1383</v>
      </c>
    </row>
    <row r="16" spans="1:81" x14ac:dyDescent="0.25">
      <c r="A16" s="1">
        <v>1610612741</v>
      </c>
      <c r="B16" s="1" t="s">
        <v>48</v>
      </c>
      <c r="C16" s="1" t="s">
        <v>1257</v>
      </c>
      <c r="D16" s="1" t="s">
        <v>802</v>
      </c>
      <c r="E16" s="1" t="s">
        <v>803</v>
      </c>
      <c r="F16" s="1" t="s">
        <v>267</v>
      </c>
      <c r="G16" s="1" t="s">
        <v>520</v>
      </c>
      <c r="H16" s="1">
        <v>8</v>
      </c>
      <c r="I16" s="1" t="s">
        <v>371</v>
      </c>
      <c r="J16" s="1" t="s">
        <v>270</v>
      </c>
      <c r="K16" s="1" t="s">
        <v>521</v>
      </c>
      <c r="L16" s="1">
        <v>4</v>
      </c>
      <c r="M16" s="1">
        <v>41</v>
      </c>
      <c r="N16" s="1">
        <v>41</v>
      </c>
      <c r="O16" s="1">
        <v>0.5</v>
      </c>
      <c r="P16" s="1">
        <v>0</v>
      </c>
      <c r="Q16" s="1" t="s">
        <v>599</v>
      </c>
      <c r="R16" s="1" t="s">
        <v>566</v>
      </c>
      <c r="S16" s="1" t="s">
        <v>583</v>
      </c>
      <c r="T16" s="1" t="s">
        <v>231</v>
      </c>
      <c r="U16" s="1" t="s">
        <v>402</v>
      </c>
      <c r="V16" s="1" t="s">
        <v>346</v>
      </c>
      <c r="W16" s="1" t="s">
        <v>550</v>
      </c>
      <c r="X16" s="1" t="s">
        <v>276</v>
      </c>
      <c r="Y16" s="1" t="s">
        <v>1234</v>
      </c>
      <c r="Z16" s="1">
        <v>4</v>
      </c>
      <c r="AA16" s="1" t="s">
        <v>454</v>
      </c>
      <c r="AB16" s="1">
        <v>-6</v>
      </c>
      <c r="AC16" s="1" t="s">
        <v>406</v>
      </c>
      <c r="AD16" s="1">
        <v>4</v>
      </c>
      <c r="AE16" s="1">
        <v>5</v>
      </c>
      <c r="AF16" s="1">
        <v>4</v>
      </c>
      <c r="AG16" s="1" t="s">
        <v>454</v>
      </c>
      <c r="AH16" s="1">
        <v>-1</v>
      </c>
      <c r="AI16" s="1" t="s">
        <v>238</v>
      </c>
      <c r="AJ16" s="1">
        <v>2</v>
      </c>
      <c r="AK16" s="1" t="s">
        <v>279</v>
      </c>
      <c r="AL16" s="1">
        <v>12</v>
      </c>
      <c r="AM16" s="1">
        <v>10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741</v>
      </c>
      <c r="AT16" s="1" t="s">
        <v>1054</v>
      </c>
      <c r="AU16" s="1" t="s">
        <v>375</v>
      </c>
      <c r="AV16" s="1" t="s">
        <v>1053</v>
      </c>
      <c r="AW16" s="1" t="s">
        <v>1384</v>
      </c>
      <c r="AX16" s="1" t="s">
        <v>275</v>
      </c>
      <c r="AY16" s="1" t="s">
        <v>1385</v>
      </c>
      <c r="AZ16" s="1" t="s">
        <v>1386</v>
      </c>
      <c r="BA16" s="1" t="s">
        <v>400</v>
      </c>
      <c r="BB16" s="1" t="s">
        <v>1387</v>
      </c>
      <c r="BC16" s="1" t="s">
        <v>471</v>
      </c>
      <c r="BD16" s="1" t="s">
        <v>312</v>
      </c>
      <c r="BE16" s="1">
        <v>102.9</v>
      </c>
      <c r="BF16" s="1">
        <v>102.4</v>
      </c>
      <c r="BG16" s="1">
        <v>0.4</v>
      </c>
      <c r="BH16" s="1" t="s">
        <v>520</v>
      </c>
      <c r="BI16" s="1" t="s">
        <v>255</v>
      </c>
      <c r="BJ16" s="1" t="s">
        <v>533</v>
      </c>
      <c r="BK16" s="1" t="s">
        <v>490</v>
      </c>
      <c r="BL16" s="1" t="s">
        <v>556</v>
      </c>
      <c r="BM16" s="1" t="s">
        <v>465</v>
      </c>
      <c r="BN16" s="1" t="s">
        <v>466</v>
      </c>
      <c r="BO16" s="1" t="s">
        <v>465</v>
      </c>
      <c r="BP16" s="1" t="s">
        <v>335</v>
      </c>
      <c r="BQ16" s="1" t="s">
        <v>59</v>
      </c>
      <c r="BR16" s="1" t="s">
        <v>632</v>
      </c>
      <c r="BS16" s="1" t="s">
        <v>420</v>
      </c>
      <c r="BT16" s="1"/>
      <c r="BU16" s="1"/>
      <c r="BV16" s="1"/>
      <c r="BW16" s="1"/>
      <c r="BX16" s="1"/>
      <c r="BY16" s="1" t="s">
        <v>1286</v>
      </c>
      <c r="BZ16" s="1" t="s">
        <v>261</v>
      </c>
      <c r="CA16" s="1" t="s">
        <v>78</v>
      </c>
      <c r="CB16" s="1" t="s">
        <v>689</v>
      </c>
      <c r="CC16" s="1" t="s">
        <v>873</v>
      </c>
    </row>
    <row r="17" spans="1:81" x14ac:dyDescent="0.25">
      <c r="A17" s="1">
        <v>1610612757</v>
      </c>
      <c r="B17" s="1" t="s">
        <v>48</v>
      </c>
      <c r="C17" s="1" t="s">
        <v>1257</v>
      </c>
      <c r="D17" s="1" t="s">
        <v>395</v>
      </c>
      <c r="E17" s="1" t="s">
        <v>396</v>
      </c>
      <c r="F17" s="1" t="s">
        <v>222</v>
      </c>
      <c r="G17" s="1" t="s">
        <v>520</v>
      </c>
      <c r="H17" s="1">
        <v>8</v>
      </c>
      <c r="I17" s="1" t="s">
        <v>371</v>
      </c>
      <c r="J17" s="1" t="s">
        <v>342</v>
      </c>
      <c r="K17" s="1" t="s">
        <v>472</v>
      </c>
      <c r="L17" s="1">
        <v>3</v>
      </c>
      <c r="M17" s="1">
        <v>41</v>
      </c>
      <c r="N17" s="1">
        <v>41</v>
      </c>
      <c r="O17" s="1">
        <v>0.5</v>
      </c>
      <c r="P17" s="1">
        <v>0</v>
      </c>
      <c r="Q17" s="1" t="s">
        <v>599</v>
      </c>
      <c r="R17" s="1" t="s">
        <v>566</v>
      </c>
      <c r="S17" s="1" t="s">
        <v>583</v>
      </c>
      <c r="T17" s="1" t="s">
        <v>231</v>
      </c>
      <c r="U17" s="1" t="s">
        <v>230</v>
      </c>
      <c r="V17" s="1" t="s">
        <v>402</v>
      </c>
      <c r="W17" s="1" t="s">
        <v>1051</v>
      </c>
      <c r="X17" s="1" t="s">
        <v>1388</v>
      </c>
      <c r="Y17" s="1" t="s">
        <v>855</v>
      </c>
      <c r="Z17" s="1">
        <v>8</v>
      </c>
      <c r="AA17" s="1" t="s">
        <v>405</v>
      </c>
      <c r="AB17" s="1">
        <v>-8</v>
      </c>
      <c r="AC17" s="1" t="s">
        <v>714</v>
      </c>
      <c r="AD17" s="1">
        <v>6</v>
      </c>
      <c r="AE17" s="1">
        <v>6</v>
      </c>
      <c r="AF17" s="1">
        <v>-1</v>
      </c>
      <c r="AG17" s="1" t="s">
        <v>238</v>
      </c>
      <c r="AH17" s="1">
        <v>-2</v>
      </c>
      <c r="AI17" s="1" t="s">
        <v>479</v>
      </c>
      <c r="AJ17" s="1">
        <v>-1</v>
      </c>
      <c r="AK17" s="1" t="s">
        <v>238</v>
      </c>
      <c r="AL17" s="1">
        <v>26</v>
      </c>
      <c r="AM17" s="1">
        <v>10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1389</v>
      </c>
      <c r="AT17" s="1" t="s">
        <v>695</v>
      </c>
      <c r="AU17" s="1" t="s">
        <v>458</v>
      </c>
      <c r="AV17" s="1" t="s">
        <v>1111</v>
      </c>
      <c r="AW17" s="1" t="s">
        <v>1390</v>
      </c>
      <c r="AX17" s="1" t="s">
        <v>438</v>
      </c>
      <c r="AY17" s="1" t="s">
        <v>1391</v>
      </c>
      <c r="AZ17" s="1" t="s">
        <v>1392</v>
      </c>
      <c r="BA17" s="1" t="s">
        <v>1393</v>
      </c>
      <c r="BB17" s="1" t="s">
        <v>1067</v>
      </c>
      <c r="BC17" s="1" t="s">
        <v>780</v>
      </c>
      <c r="BD17" s="1" t="s">
        <v>1357</v>
      </c>
      <c r="BE17" s="1">
        <v>107.9</v>
      </c>
      <c r="BF17" s="1">
        <v>108.5</v>
      </c>
      <c r="BG17" s="1">
        <v>-0.5</v>
      </c>
      <c r="BH17" s="1" t="s">
        <v>556</v>
      </c>
      <c r="BI17" s="1" t="s">
        <v>466</v>
      </c>
      <c r="BJ17" s="1" t="s">
        <v>594</v>
      </c>
      <c r="BK17" s="1" t="s">
        <v>466</v>
      </c>
      <c r="BL17" s="1" t="s">
        <v>520</v>
      </c>
      <c r="BM17" s="1" t="s">
        <v>491</v>
      </c>
      <c r="BN17" s="1" t="s">
        <v>490</v>
      </c>
      <c r="BO17" s="1" t="s">
        <v>444</v>
      </c>
      <c r="BP17" s="1" t="s">
        <v>335</v>
      </c>
      <c r="BQ17" s="1" t="s">
        <v>1097</v>
      </c>
      <c r="BR17" s="1" t="s">
        <v>254</v>
      </c>
      <c r="BS17" s="1" t="s">
        <v>514</v>
      </c>
      <c r="BT17" s="1"/>
      <c r="BU17" s="1"/>
      <c r="BV17" s="1"/>
      <c r="BW17" s="1"/>
      <c r="BX17" s="1"/>
      <c r="BY17" s="1" t="s">
        <v>1264</v>
      </c>
      <c r="BZ17" s="1" t="s">
        <v>1306</v>
      </c>
      <c r="CA17" s="1" t="s">
        <v>612</v>
      </c>
      <c r="CB17" s="1" t="s">
        <v>1394</v>
      </c>
      <c r="CC17" s="1" t="s">
        <v>1299</v>
      </c>
    </row>
    <row r="18" spans="1:81" x14ac:dyDescent="0.25">
      <c r="A18" s="1">
        <v>1610612748</v>
      </c>
      <c r="B18" s="1" t="s">
        <v>48</v>
      </c>
      <c r="C18" s="1" t="s">
        <v>1257</v>
      </c>
      <c r="D18" s="1" t="s">
        <v>690</v>
      </c>
      <c r="E18" s="1" t="s">
        <v>691</v>
      </c>
      <c r="F18" s="1" t="s">
        <v>267</v>
      </c>
      <c r="G18" s="1" t="s">
        <v>598</v>
      </c>
      <c r="H18" s="1">
        <v>9</v>
      </c>
      <c r="I18" s="1" t="s">
        <v>637</v>
      </c>
      <c r="J18" s="1" t="s">
        <v>565</v>
      </c>
      <c r="K18" s="1" t="s">
        <v>521</v>
      </c>
      <c r="L18" s="1">
        <v>3</v>
      </c>
      <c r="M18" s="1">
        <v>41</v>
      </c>
      <c r="N18" s="1">
        <v>41</v>
      </c>
      <c r="O18" s="1">
        <v>0.5</v>
      </c>
      <c r="P18" s="1">
        <v>0</v>
      </c>
      <c r="Q18" s="1" t="s">
        <v>599</v>
      </c>
      <c r="R18" s="1" t="s">
        <v>540</v>
      </c>
      <c r="S18" s="1" t="s">
        <v>574</v>
      </c>
      <c r="T18" s="1" t="s">
        <v>402</v>
      </c>
      <c r="U18" s="1" t="s">
        <v>402</v>
      </c>
      <c r="V18" s="1" t="s">
        <v>274</v>
      </c>
      <c r="W18" s="1" t="s">
        <v>409</v>
      </c>
      <c r="X18" s="1" t="s">
        <v>1395</v>
      </c>
      <c r="Y18" s="1" t="s">
        <v>1396</v>
      </c>
      <c r="Z18" s="1">
        <v>8</v>
      </c>
      <c r="AA18" s="1" t="s">
        <v>405</v>
      </c>
      <c r="AB18" s="1">
        <v>-8</v>
      </c>
      <c r="AC18" s="1" t="s">
        <v>714</v>
      </c>
      <c r="AD18" s="1">
        <v>13</v>
      </c>
      <c r="AE18" s="1">
        <v>6</v>
      </c>
      <c r="AF18" s="1">
        <v>2</v>
      </c>
      <c r="AG18" s="1" t="s">
        <v>279</v>
      </c>
      <c r="AH18" s="1">
        <v>1</v>
      </c>
      <c r="AI18" s="1" t="s">
        <v>317</v>
      </c>
      <c r="AJ18" s="1">
        <v>3</v>
      </c>
      <c r="AK18" s="1" t="s">
        <v>316</v>
      </c>
      <c r="AL18" s="1">
        <v>12</v>
      </c>
      <c r="AM18" s="1">
        <v>8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1397</v>
      </c>
      <c r="AT18" s="1" t="s">
        <v>621</v>
      </c>
      <c r="AU18" s="1" t="s">
        <v>541</v>
      </c>
      <c r="AV18" s="1" t="s">
        <v>1129</v>
      </c>
      <c r="AW18" s="1" t="s">
        <v>815</v>
      </c>
      <c r="AX18" s="1" t="s">
        <v>275</v>
      </c>
      <c r="AY18" s="1" t="s">
        <v>1398</v>
      </c>
      <c r="AZ18" s="1" t="s">
        <v>1070</v>
      </c>
      <c r="BA18" s="1" t="s">
        <v>1399</v>
      </c>
      <c r="BB18" s="1" t="s">
        <v>1067</v>
      </c>
      <c r="BC18" s="1" t="s">
        <v>312</v>
      </c>
      <c r="BD18" s="1" t="s">
        <v>611</v>
      </c>
      <c r="BE18" s="1">
        <v>103.2</v>
      </c>
      <c r="BF18" s="1">
        <v>102.1</v>
      </c>
      <c r="BG18" s="1">
        <v>1.1000000000000001</v>
      </c>
      <c r="BH18" s="1" t="s">
        <v>598</v>
      </c>
      <c r="BI18" s="1" t="s">
        <v>628</v>
      </c>
      <c r="BJ18" s="1" t="s">
        <v>388</v>
      </c>
      <c r="BK18" s="1" t="s">
        <v>533</v>
      </c>
      <c r="BL18" s="1" t="s">
        <v>464</v>
      </c>
      <c r="BM18" s="1" t="s">
        <v>465</v>
      </c>
      <c r="BN18" s="1" t="s">
        <v>466</v>
      </c>
      <c r="BO18" s="1" t="s">
        <v>466</v>
      </c>
      <c r="BP18" s="1" t="s">
        <v>332</v>
      </c>
      <c r="BQ18" s="1" t="s">
        <v>577</v>
      </c>
      <c r="BR18" s="1" t="s">
        <v>297</v>
      </c>
      <c r="BS18" s="1" t="s">
        <v>513</v>
      </c>
      <c r="BT18" s="1"/>
      <c r="BU18" s="1"/>
      <c r="BV18" s="1"/>
      <c r="BW18" s="1"/>
      <c r="BX18" s="1"/>
      <c r="BY18" s="1" t="s">
        <v>1340</v>
      </c>
      <c r="BZ18" s="1" t="s">
        <v>559</v>
      </c>
      <c r="CA18" s="1" t="s">
        <v>668</v>
      </c>
      <c r="CB18" s="1" t="s">
        <v>1400</v>
      </c>
      <c r="CC18" s="1" t="s">
        <v>264</v>
      </c>
    </row>
    <row r="19" spans="1:81" x14ac:dyDescent="0.25">
      <c r="A19" s="1">
        <v>1610612743</v>
      </c>
      <c r="B19" s="1" t="s">
        <v>48</v>
      </c>
      <c r="C19" s="1" t="s">
        <v>1257</v>
      </c>
      <c r="D19" s="1" t="s">
        <v>338</v>
      </c>
      <c r="E19" s="1" t="s">
        <v>339</v>
      </c>
      <c r="F19" s="1" t="s">
        <v>222</v>
      </c>
      <c r="G19" s="1" t="s">
        <v>751</v>
      </c>
      <c r="H19" s="1">
        <v>9</v>
      </c>
      <c r="I19" s="1" t="s">
        <v>637</v>
      </c>
      <c r="J19" s="1" t="s">
        <v>342</v>
      </c>
      <c r="K19" s="1" t="s">
        <v>398</v>
      </c>
      <c r="L19" s="1">
        <v>4</v>
      </c>
      <c r="M19" s="1">
        <v>40</v>
      </c>
      <c r="N19" s="1">
        <v>42</v>
      </c>
      <c r="O19" s="1">
        <v>0.48799999999999999</v>
      </c>
      <c r="P19" s="1">
        <v>0</v>
      </c>
      <c r="Q19" s="1" t="s">
        <v>1401</v>
      </c>
      <c r="R19" s="1" t="s">
        <v>429</v>
      </c>
      <c r="S19" s="1" t="s">
        <v>574</v>
      </c>
      <c r="T19" s="1" t="s">
        <v>274</v>
      </c>
      <c r="U19" s="1" t="s">
        <v>402</v>
      </c>
      <c r="V19" s="1" t="s">
        <v>402</v>
      </c>
      <c r="W19" s="1" t="s">
        <v>775</v>
      </c>
      <c r="X19" s="1" t="s">
        <v>1402</v>
      </c>
      <c r="Y19" s="1" t="s">
        <v>1403</v>
      </c>
      <c r="Z19" s="1">
        <v>5</v>
      </c>
      <c r="AA19" s="1" t="s">
        <v>237</v>
      </c>
      <c r="AB19" s="1">
        <v>3</v>
      </c>
      <c r="AC19" s="1" t="s">
        <v>316</v>
      </c>
      <c r="AD19" s="1">
        <v>4</v>
      </c>
      <c r="AE19" s="1">
        <v>5</v>
      </c>
      <c r="AF19" s="1">
        <v>-1</v>
      </c>
      <c r="AG19" s="1" t="s">
        <v>238</v>
      </c>
      <c r="AH19" s="1">
        <v>2</v>
      </c>
      <c r="AI19" s="1" t="s">
        <v>279</v>
      </c>
      <c r="AJ19" s="1">
        <v>2</v>
      </c>
      <c r="AK19" s="1" t="s">
        <v>279</v>
      </c>
      <c r="AL19" s="1">
        <v>27</v>
      </c>
      <c r="AM19" s="1">
        <v>11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666</v>
      </c>
      <c r="AT19" s="1" t="s">
        <v>1404</v>
      </c>
      <c r="AU19" s="1" t="s">
        <v>430</v>
      </c>
      <c r="AV19" s="1" t="s">
        <v>1405</v>
      </c>
      <c r="AW19" s="1" t="s">
        <v>1406</v>
      </c>
      <c r="AX19" s="1" t="s">
        <v>775</v>
      </c>
      <c r="AY19" s="1" t="s">
        <v>1407</v>
      </c>
      <c r="AZ19" s="1" t="s">
        <v>1408</v>
      </c>
      <c r="BA19" s="1" t="s">
        <v>1393</v>
      </c>
      <c r="BB19" s="1" t="s">
        <v>344</v>
      </c>
      <c r="BC19" s="1" t="s">
        <v>595</v>
      </c>
      <c r="BD19" s="1" t="s">
        <v>771</v>
      </c>
      <c r="BE19" s="1">
        <v>111.7</v>
      </c>
      <c r="BF19" s="1">
        <v>111.2</v>
      </c>
      <c r="BG19" s="1">
        <v>0.5</v>
      </c>
      <c r="BH19" s="1" t="s">
        <v>705</v>
      </c>
      <c r="BI19" s="1" t="s">
        <v>55</v>
      </c>
      <c r="BJ19" s="1" t="s">
        <v>362</v>
      </c>
      <c r="BK19" s="1" t="s">
        <v>594</v>
      </c>
      <c r="BL19" s="1" t="s">
        <v>751</v>
      </c>
      <c r="BM19" s="1" t="s">
        <v>71</v>
      </c>
      <c r="BN19" s="1" t="s">
        <v>253</v>
      </c>
      <c r="BO19" s="1" t="s">
        <v>724</v>
      </c>
      <c r="BP19" s="1" t="s">
        <v>261</v>
      </c>
      <c r="BQ19" s="1" t="s">
        <v>66</v>
      </c>
      <c r="BR19" s="1" t="s">
        <v>335</v>
      </c>
      <c r="BS19" s="1" t="s">
        <v>420</v>
      </c>
      <c r="BT19" s="1"/>
      <c r="BU19" s="1"/>
      <c r="BV19" s="1"/>
      <c r="BW19" s="1"/>
      <c r="BX19" s="1"/>
      <c r="BY19" s="1" t="s">
        <v>1340</v>
      </c>
      <c r="BZ19" s="1" t="s">
        <v>632</v>
      </c>
      <c r="CA19" s="1" t="s">
        <v>468</v>
      </c>
      <c r="CB19" s="1" t="s">
        <v>1409</v>
      </c>
      <c r="CC19" s="1" t="s">
        <v>614</v>
      </c>
    </row>
    <row r="20" spans="1:81" x14ac:dyDescent="0.25">
      <c r="A20" s="1">
        <v>1610612765</v>
      </c>
      <c r="B20" s="1" t="s">
        <v>48</v>
      </c>
      <c r="C20" s="1" t="s">
        <v>1257</v>
      </c>
      <c r="D20" s="1" t="s">
        <v>596</v>
      </c>
      <c r="E20" s="1" t="s">
        <v>597</v>
      </c>
      <c r="F20" s="1" t="s">
        <v>267</v>
      </c>
      <c r="G20" s="1" t="s">
        <v>654</v>
      </c>
      <c r="H20" s="1">
        <v>10</v>
      </c>
      <c r="I20" s="1" t="s">
        <v>637</v>
      </c>
      <c r="J20" s="1" t="s">
        <v>270</v>
      </c>
      <c r="K20" s="1" t="s">
        <v>733</v>
      </c>
      <c r="L20" s="1">
        <v>5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675</v>
      </c>
      <c r="R20" s="1" t="s">
        <v>656</v>
      </c>
      <c r="S20" s="1" t="s">
        <v>806</v>
      </c>
      <c r="T20" s="1" t="s">
        <v>657</v>
      </c>
      <c r="U20" s="1" t="s">
        <v>274</v>
      </c>
      <c r="V20" s="1" t="s">
        <v>475</v>
      </c>
      <c r="W20" s="1" t="s">
        <v>584</v>
      </c>
      <c r="X20" s="1" t="s">
        <v>431</v>
      </c>
      <c r="Y20" s="1" t="s">
        <v>993</v>
      </c>
      <c r="Z20" s="1">
        <v>5</v>
      </c>
      <c r="AA20" s="1" t="s">
        <v>237</v>
      </c>
      <c r="AB20" s="1">
        <v>-7</v>
      </c>
      <c r="AC20" s="1" t="s">
        <v>773</v>
      </c>
      <c r="AD20" s="1">
        <v>3</v>
      </c>
      <c r="AE20" s="1">
        <v>5</v>
      </c>
      <c r="AF20" s="1">
        <v>-2</v>
      </c>
      <c r="AG20" s="1" t="s">
        <v>479</v>
      </c>
      <c r="AH20" s="1">
        <v>-1</v>
      </c>
      <c r="AI20" s="1" t="s">
        <v>238</v>
      </c>
      <c r="AJ20" s="1">
        <v>-2</v>
      </c>
      <c r="AK20" s="1" t="s">
        <v>479</v>
      </c>
      <c r="AL20" s="1">
        <v>16</v>
      </c>
      <c r="AM20" s="1">
        <v>14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1410</v>
      </c>
      <c r="AT20" s="1" t="s">
        <v>892</v>
      </c>
      <c r="AU20" s="1" t="s">
        <v>322</v>
      </c>
      <c r="AV20" s="1" t="s">
        <v>792</v>
      </c>
      <c r="AW20" s="1" t="s">
        <v>1411</v>
      </c>
      <c r="AX20" s="1" t="s">
        <v>285</v>
      </c>
      <c r="AY20" s="1" t="s">
        <v>955</v>
      </c>
      <c r="AZ20" s="1" t="s">
        <v>791</v>
      </c>
      <c r="BA20" s="1" t="s">
        <v>1412</v>
      </c>
      <c r="BB20" s="1" t="s">
        <v>1413</v>
      </c>
      <c r="BC20" s="1" t="s">
        <v>1414</v>
      </c>
      <c r="BD20" s="1" t="s">
        <v>568</v>
      </c>
      <c r="BE20" s="1">
        <v>101.3</v>
      </c>
      <c r="BF20" s="1">
        <v>102.5</v>
      </c>
      <c r="BG20" s="1">
        <v>-1.1000000000000001</v>
      </c>
      <c r="BH20" s="1" t="s">
        <v>654</v>
      </c>
      <c r="BI20" s="1" t="s">
        <v>628</v>
      </c>
      <c r="BJ20" s="1" t="s">
        <v>576</v>
      </c>
      <c r="BK20" s="1" t="s">
        <v>490</v>
      </c>
      <c r="BL20" s="1" t="s">
        <v>705</v>
      </c>
      <c r="BM20" s="1" t="s">
        <v>362</v>
      </c>
      <c r="BN20" s="1" t="s">
        <v>465</v>
      </c>
      <c r="BO20" s="1" t="s">
        <v>466</v>
      </c>
      <c r="BP20" s="1" t="s">
        <v>66</v>
      </c>
      <c r="BQ20" s="1" t="s">
        <v>365</v>
      </c>
      <c r="BR20" s="1" t="s">
        <v>78</v>
      </c>
      <c r="BS20" s="1" t="s">
        <v>688</v>
      </c>
      <c r="BT20" s="1"/>
      <c r="BU20" s="1"/>
      <c r="BV20" s="1"/>
      <c r="BW20" s="1"/>
      <c r="BX20" s="1"/>
      <c r="BY20" s="1" t="s">
        <v>1264</v>
      </c>
      <c r="BZ20" s="1" t="s">
        <v>1306</v>
      </c>
      <c r="CA20" s="1" t="s">
        <v>559</v>
      </c>
      <c r="CB20" s="1" t="s">
        <v>651</v>
      </c>
      <c r="CC20" s="1" t="s">
        <v>1117</v>
      </c>
    </row>
    <row r="21" spans="1:81" x14ac:dyDescent="0.25">
      <c r="A21" s="1">
        <v>1610612740</v>
      </c>
      <c r="B21" s="1" t="s">
        <v>48</v>
      </c>
      <c r="C21" s="1" t="s">
        <v>1257</v>
      </c>
      <c r="D21" s="1" t="s">
        <v>786</v>
      </c>
      <c r="E21" s="1" t="s">
        <v>787</v>
      </c>
      <c r="F21" s="1" t="s">
        <v>222</v>
      </c>
      <c r="G21" s="1" t="s">
        <v>1415</v>
      </c>
      <c r="H21" s="1">
        <v>10</v>
      </c>
      <c r="I21" s="1" t="s">
        <v>637</v>
      </c>
      <c r="J21" s="1" t="s">
        <v>427</v>
      </c>
      <c r="K21" s="1" t="s">
        <v>398</v>
      </c>
      <c r="L21" s="1">
        <v>4</v>
      </c>
      <c r="M21" s="1">
        <v>34</v>
      </c>
      <c r="N21" s="1">
        <v>48</v>
      </c>
      <c r="O21" s="1">
        <v>0.41499999999999998</v>
      </c>
      <c r="P21" s="1">
        <v>0</v>
      </c>
      <c r="Q21" s="1" t="s">
        <v>1416</v>
      </c>
      <c r="R21" s="1" t="s">
        <v>400</v>
      </c>
      <c r="S21" s="1" t="s">
        <v>806</v>
      </c>
      <c r="T21" s="1" t="s">
        <v>346</v>
      </c>
      <c r="U21" s="1" t="s">
        <v>402</v>
      </c>
      <c r="V21" s="1" t="s">
        <v>657</v>
      </c>
      <c r="W21" s="1" t="s">
        <v>1164</v>
      </c>
      <c r="X21" s="1" t="s">
        <v>1258</v>
      </c>
      <c r="Y21" s="1" t="s">
        <v>1417</v>
      </c>
      <c r="Z21" s="1">
        <v>6</v>
      </c>
      <c r="AA21" s="1" t="s">
        <v>235</v>
      </c>
      <c r="AB21" s="1">
        <v>-5</v>
      </c>
      <c r="AC21" s="1" t="s">
        <v>378</v>
      </c>
      <c r="AD21" s="1">
        <v>4</v>
      </c>
      <c r="AE21" s="1">
        <v>8</v>
      </c>
      <c r="AF21" s="1">
        <v>-2</v>
      </c>
      <c r="AG21" s="1" t="s">
        <v>479</v>
      </c>
      <c r="AH21" s="1">
        <v>1</v>
      </c>
      <c r="AI21" s="1" t="s">
        <v>317</v>
      </c>
      <c r="AJ21" s="1">
        <v>1</v>
      </c>
      <c r="AK21" s="1" t="s">
        <v>317</v>
      </c>
      <c r="AL21" s="1">
        <v>33</v>
      </c>
      <c r="AM21" s="1">
        <v>27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995</v>
      </c>
      <c r="AT21" s="1" t="s">
        <v>1418</v>
      </c>
      <c r="AU21" s="1" t="s">
        <v>285</v>
      </c>
      <c r="AV21" s="1" t="s">
        <v>1419</v>
      </c>
      <c r="AW21" s="1" t="s">
        <v>1420</v>
      </c>
      <c r="AX21" s="1" t="s">
        <v>244</v>
      </c>
      <c r="AY21" s="1" t="s">
        <v>1421</v>
      </c>
      <c r="AZ21" s="1" t="s">
        <v>870</v>
      </c>
      <c r="BA21" s="1" t="s">
        <v>853</v>
      </c>
      <c r="BB21" s="1" t="s">
        <v>291</v>
      </c>
      <c r="BC21" s="1" t="s">
        <v>1422</v>
      </c>
      <c r="BD21" s="1" t="s">
        <v>400</v>
      </c>
      <c r="BE21" s="1">
        <v>104.3</v>
      </c>
      <c r="BF21" s="1">
        <v>106.4</v>
      </c>
      <c r="BG21" s="1">
        <v>-2.1</v>
      </c>
      <c r="BH21" s="1" t="s">
        <v>464</v>
      </c>
      <c r="BI21" s="1" t="s">
        <v>466</v>
      </c>
      <c r="BJ21" s="1" t="s">
        <v>465</v>
      </c>
      <c r="BK21" s="1" t="s">
        <v>466</v>
      </c>
      <c r="BL21" s="1" t="s">
        <v>1415</v>
      </c>
      <c r="BM21" s="1" t="s">
        <v>628</v>
      </c>
      <c r="BN21" s="1" t="s">
        <v>628</v>
      </c>
      <c r="BO21" s="1" t="s">
        <v>71</v>
      </c>
      <c r="BP21" s="1" t="s">
        <v>61</v>
      </c>
      <c r="BQ21" s="1" t="s">
        <v>650</v>
      </c>
      <c r="BR21" s="1" t="s">
        <v>297</v>
      </c>
      <c r="BS21" s="1" t="s">
        <v>445</v>
      </c>
      <c r="BT21" s="1"/>
      <c r="BU21" s="1"/>
      <c r="BV21" s="1"/>
      <c r="BW21" s="1"/>
      <c r="BX21" s="1"/>
      <c r="BY21" s="1" t="s">
        <v>1423</v>
      </c>
      <c r="BZ21" s="1" t="s">
        <v>515</v>
      </c>
      <c r="CA21" s="1" t="s">
        <v>515</v>
      </c>
      <c r="CB21" s="1" t="s">
        <v>1173</v>
      </c>
      <c r="CC21" s="1" t="s">
        <v>1136</v>
      </c>
    </row>
    <row r="22" spans="1:81" x14ac:dyDescent="0.25">
      <c r="A22" s="1">
        <v>1610612766</v>
      </c>
      <c r="B22" s="1" t="s">
        <v>48</v>
      </c>
      <c r="C22" s="1" t="s">
        <v>1257</v>
      </c>
      <c r="D22" s="1" t="s">
        <v>635</v>
      </c>
      <c r="E22" s="1" t="s">
        <v>636</v>
      </c>
      <c r="F22" s="1" t="s">
        <v>267</v>
      </c>
      <c r="G22" s="1" t="s">
        <v>732</v>
      </c>
      <c r="H22" s="1">
        <v>11</v>
      </c>
      <c r="I22" s="1" t="s">
        <v>637</v>
      </c>
      <c r="J22" s="1" t="s">
        <v>565</v>
      </c>
      <c r="K22" s="1" t="s">
        <v>428</v>
      </c>
      <c r="L22" s="1">
        <v>4</v>
      </c>
      <c r="M22" s="1">
        <v>36</v>
      </c>
      <c r="N22" s="1">
        <v>46</v>
      </c>
      <c r="O22" s="1">
        <v>0.439</v>
      </c>
      <c r="P22" s="1">
        <v>0</v>
      </c>
      <c r="Q22" s="1" t="s">
        <v>734</v>
      </c>
      <c r="R22" s="1" t="s">
        <v>429</v>
      </c>
      <c r="S22" s="1" t="s">
        <v>639</v>
      </c>
      <c r="T22" s="1" t="s">
        <v>346</v>
      </c>
      <c r="U22" s="1" t="s">
        <v>346</v>
      </c>
      <c r="V22" s="1" t="s">
        <v>346</v>
      </c>
      <c r="W22" s="1" t="s">
        <v>1424</v>
      </c>
      <c r="X22" s="1" t="s">
        <v>1425</v>
      </c>
      <c r="Y22" s="1" t="s">
        <v>1426</v>
      </c>
      <c r="Z22" s="1">
        <v>5</v>
      </c>
      <c r="AA22" s="1" t="s">
        <v>237</v>
      </c>
      <c r="AB22" s="1">
        <v>-12</v>
      </c>
      <c r="AC22" s="1" t="s">
        <v>1128</v>
      </c>
      <c r="AD22" s="1">
        <v>4</v>
      </c>
      <c r="AE22" s="1">
        <v>7</v>
      </c>
      <c r="AF22" s="1">
        <v>-2</v>
      </c>
      <c r="AG22" s="1" t="s">
        <v>479</v>
      </c>
      <c r="AH22" s="1">
        <v>-3</v>
      </c>
      <c r="AI22" s="1" t="s">
        <v>350</v>
      </c>
      <c r="AJ22" s="1">
        <v>-5</v>
      </c>
      <c r="AK22" s="1" t="s">
        <v>378</v>
      </c>
      <c r="AL22" s="1">
        <v>17</v>
      </c>
      <c r="AM22" s="1">
        <v>13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453</v>
      </c>
      <c r="AT22" s="1" t="s">
        <v>1427</v>
      </c>
      <c r="AU22" s="1" t="s">
        <v>438</v>
      </c>
      <c r="AV22" s="1" t="s">
        <v>659</v>
      </c>
      <c r="AW22" s="1" t="s">
        <v>895</v>
      </c>
      <c r="AX22" s="1" t="s">
        <v>438</v>
      </c>
      <c r="AY22" s="1" t="s">
        <v>1428</v>
      </c>
      <c r="AZ22" s="1" t="s">
        <v>1429</v>
      </c>
      <c r="BA22" s="1" t="s">
        <v>682</v>
      </c>
      <c r="BB22" s="1" t="s">
        <v>854</v>
      </c>
      <c r="BC22" s="1" t="s">
        <v>1396</v>
      </c>
      <c r="BD22" s="1" t="s">
        <v>1057</v>
      </c>
      <c r="BE22" s="1">
        <v>104.9</v>
      </c>
      <c r="BF22" s="1">
        <v>104.7</v>
      </c>
      <c r="BG22" s="1">
        <v>0.2</v>
      </c>
      <c r="BH22" s="1" t="s">
        <v>732</v>
      </c>
      <c r="BI22" s="1" t="s">
        <v>628</v>
      </c>
      <c r="BJ22" s="1" t="s">
        <v>838</v>
      </c>
      <c r="BK22" s="1" t="s">
        <v>297</v>
      </c>
      <c r="BL22" s="1" t="s">
        <v>464</v>
      </c>
      <c r="BM22" s="1" t="s">
        <v>362</v>
      </c>
      <c r="BN22" s="1" t="s">
        <v>465</v>
      </c>
      <c r="BO22" s="1" t="s">
        <v>594</v>
      </c>
      <c r="BP22" s="1" t="s">
        <v>612</v>
      </c>
      <c r="BQ22" s="1" t="s">
        <v>1225</v>
      </c>
      <c r="BR22" s="1" t="s">
        <v>533</v>
      </c>
      <c r="BS22" s="1" t="s">
        <v>445</v>
      </c>
      <c r="BT22" s="1"/>
      <c r="BU22" s="1"/>
      <c r="BV22" s="1"/>
      <c r="BW22" s="1"/>
      <c r="BX22" s="1"/>
      <c r="BY22" s="1" t="s">
        <v>1264</v>
      </c>
      <c r="BZ22" s="1" t="s">
        <v>335</v>
      </c>
      <c r="CA22" s="1" t="s">
        <v>533</v>
      </c>
      <c r="CB22" s="1" t="s">
        <v>1367</v>
      </c>
      <c r="CC22" s="1" t="s">
        <v>1146</v>
      </c>
    </row>
    <row r="23" spans="1:81" x14ac:dyDescent="0.25">
      <c r="A23" s="1">
        <v>1610612742</v>
      </c>
      <c r="B23" s="1" t="s">
        <v>48</v>
      </c>
      <c r="C23" s="1" t="s">
        <v>1257</v>
      </c>
      <c r="D23" s="1" t="s">
        <v>845</v>
      </c>
      <c r="E23" s="1" t="s">
        <v>846</v>
      </c>
      <c r="F23" s="1" t="s">
        <v>222</v>
      </c>
      <c r="G23" s="1" t="s">
        <v>710</v>
      </c>
      <c r="H23" s="1">
        <v>11</v>
      </c>
      <c r="I23" s="1" t="s">
        <v>637</v>
      </c>
      <c r="J23" s="1" t="s">
        <v>427</v>
      </c>
      <c r="K23" s="1" t="s">
        <v>733</v>
      </c>
      <c r="L23" s="1">
        <v>5</v>
      </c>
      <c r="M23" s="1">
        <v>33</v>
      </c>
      <c r="N23" s="1">
        <v>49</v>
      </c>
      <c r="O23" s="1">
        <v>0.40200000000000002</v>
      </c>
      <c r="P23" s="1">
        <v>0</v>
      </c>
      <c r="Q23" s="1" t="s">
        <v>752</v>
      </c>
      <c r="R23" s="1" t="s">
        <v>400</v>
      </c>
      <c r="S23" s="1" t="s">
        <v>753</v>
      </c>
      <c r="T23" s="1" t="s">
        <v>475</v>
      </c>
      <c r="U23" s="1" t="s">
        <v>346</v>
      </c>
      <c r="V23" s="1" t="s">
        <v>346</v>
      </c>
      <c r="W23" s="1" t="s">
        <v>550</v>
      </c>
      <c r="X23" s="1" t="s">
        <v>346</v>
      </c>
      <c r="Y23" s="1" t="s">
        <v>1121</v>
      </c>
      <c r="Z23" s="1">
        <v>6</v>
      </c>
      <c r="AA23" s="1" t="s">
        <v>235</v>
      </c>
      <c r="AB23" s="1">
        <v>-10</v>
      </c>
      <c r="AC23" s="1" t="s">
        <v>478</v>
      </c>
      <c r="AD23" s="1">
        <v>4</v>
      </c>
      <c r="AE23" s="1">
        <v>8</v>
      </c>
      <c r="AF23" s="1">
        <v>-4</v>
      </c>
      <c r="AG23" s="1" t="s">
        <v>545</v>
      </c>
      <c r="AH23" s="1">
        <v>1</v>
      </c>
      <c r="AI23" s="1" t="s">
        <v>317</v>
      </c>
      <c r="AJ23" s="1">
        <v>1</v>
      </c>
      <c r="AK23" s="1" t="s">
        <v>317</v>
      </c>
      <c r="AL23" s="1">
        <v>34</v>
      </c>
      <c r="AM23" s="1">
        <v>28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676</v>
      </c>
      <c r="AT23" s="1" t="s">
        <v>1430</v>
      </c>
      <c r="AU23" s="1" t="s">
        <v>285</v>
      </c>
      <c r="AV23" s="1" t="s">
        <v>717</v>
      </c>
      <c r="AW23" s="1" t="s">
        <v>1431</v>
      </c>
      <c r="AX23" s="1" t="s">
        <v>285</v>
      </c>
      <c r="AY23" s="1" t="s">
        <v>523</v>
      </c>
      <c r="AZ23" s="1" t="s">
        <v>1432</v>
      </c>
      <c r="BA23" s="1" t="s">
        <v>1433</v>
      </c>
      <c r="BB23" s="1" t="s">
        <v>1419</v>
      </c>
      <c r="BC23" s="1" t="s">
        <v>376</v>
      </c>
      <c r="BD23" s="1" t="s">
        <v>1434</v>
      </c>
      <c r="BE23" s="1">
        <v>97.9</v>
      </c>
      <c r="BF23" s="1">
        <v>100.8</v>
      </c>
      <c r="BG23" s="1">
        <v>-2.9</v>
      </c>
      <c r="BH23" s="1" t="s">
        <v>464</v>
      </c>
      <c r="BI23" s="1" t="s">
        <v>465</v>
      </c>
      <c r="BJ23" s="1" t="s">
        <v>55</v>
      </c>
      <c r="BK23" s="1" t="s">
        <v>465</v>
      </c>
      <c r="BL23" s="1" t="s">
        <v>710</v>
      </c>
      <c r="BM23" s="1" t="s">
        <v>724</v>
      </c>
      <c r="BN23" s="1" t="s">
        <v>444</v>
      </c>
      <c r="BO23" s="1" t="s">
        <v>576</v>
      </c>
      <c r="BP23" s="1" t="s">
        <v>300</v>
      </c>
      <c r="BQ23" s="1" t="s">
        <v>59</v>
      </c>
      <c r="BR23" s="1" t="s">
        <v>515</v>
      </c>
      <c r="BS23" s="1" t="s">
        <v>578</v>
      </c>
      <c r="BT23" s="1"/>
      <c r="BU23" s="1"/>
      <c r="BV23" s="1"/>
      <c r="BW23" s="1"/>
      <c r="BX23" s="1"/>
      <c r="BY23" s="1" t="s">
        <v>1423</v>
      </c>
      <c r="BZ23" s="1" t="s">
        <v>842</v>
      </c>
      <c r="CA23" s="1" t="s">
        <v>725</v>
      </c>
      <c r="CB23" s="1" t="s">
        <v>1435</v>
      </c>
      <c r="CC23" s="1" t="s">
        <v>1350</v>
      </c>
    </row>
    <row r="24" spans="1:81" x14ac:dyDescent="0.25">
      <c r="A24" s="1">
        <v>1610612758</v>
      </c>
      <c r="B24" s="1" t="s">
        <v>48</v>
      </c>
      <c r="C24" s="1" t="s">
        <v>1257</v>
      </c>
      <c r="D24" s="1" t="s">
        <v>652</v>
      </c>
      <c r="E24" s="1" t="s">
        <v>653</v>
      </c>
      <c r="F24" s="1" t="s">
        <v>222</v>
      </c>
      <c r="G24" s="1" t="s">
        <v>654</v>
      </c>
      <c r="H24" s="1">
        <v>12</v>
      </c>
      <c r="I24" s="1" t="s">
        <v>637</v>
      </c>
      <c r="J24" s="1" t="s">
        <v>225</v>
      </c>
      <c r="K24" s="1" t="s">
        <v>693</v>
      </c>
      <c r="L24" s="1">
        <v>3</v>
      </c>
      <c r="M24" s="1">
        <v>32</v>
      </c>
      <c r="N24" s="1">
        <v>50</v>
      </c>
      <c r="O24" s="1">
        <v>0.39</v>
      </c>
      <c r="P24" s="1">
        <v>0</v>
      </c>
      <c r="Q24" s="1" t="s">
        <v>711</v>
      </c>
      <c r="R24" s="1" t="s">
        <v>567</v>
      </c>
      <c r="S24" s="1" t="s">
        <v>600</v>
      </c>
      <c r="T24" s="1" t="s">
        <v>274</v>
      </c>
      <c r="U24" s="1" t="s">
        <v>346</v>
      </c>
      <c r="V24" s="1" t="s">
        <v>657</v>
      </c>
      <c r="W24" s="1" t="s">
        <v>1231</v>
      </c>
      <c r="X24" s="1" t="s">
        <v>428</v>
      </c>
      <c r="Y24" s="1" t="s">
        <v>1186</v>
      </c>
      <c r="Z24" s="1">
        <v>-6</v>
      </c>
      <c r="AA24" s="1" t="s">
        <v>406</v>
      </c>
      <c r="AB24" s="1">
        <v>-4</v>
      </c>
      <c r="AC24" s="1" t="s">
        <v>545</v>
      </c>
      <c r="AD24" s="1">
        <v>4</v>
      </c>
      <c r="AE24" s="1">
        <v>8</v>
      </c>
      <c r="AF24" s="1">
        <v>1</v>
      </c>
      <c r="AG24" s="1" t="s">
        <v>317</v>
      </c>
      <c r="AH24" s="1">
        <v>-2</v>
      </c>
      <c r="AI24" s="1" t="s">
        <v>479</v>
      </c>
      <c r="AJ24" s="1">
        <v>-1</v>
      </c>
      <c r="AK24" s="1" t="s">
        <v>238</v>
      </c>
      <c r="AL24" s="1">
        <v>35</v>
      </c>
      <c r="AM24" s="1">
        <v>35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1326</v>
      </c>
      <c r="AT24" s="1" t="s">
        <v>1436</v>
      </c>
      <c r="AU24" s="1" t="s">
        <v>584</v>
      </c>
      <c r="AV24" s="1" t="s">
        <v>555</v>
      </c>
      <c r="AW24" s="1" t="s">
        <v>1252</v>
      </c>
      <c r="AX24" s="1" t="s">
        <v>285</v>
      </c>
      <c r="AY24" s="1" t="s">
        <v>1437</v>
      </c>
      <c r="AZ24" s="1" t="s">
        <v>1438</v>
      </c>
      <c r="BA24" s="1" t="s">
        <v>605</v>
      </c>
      <c r="BB24" s="1" t="s">
        <v>757</v>
      </c>
      <c r="BC24" s="1" t="s">
        <v>979</v>
      </c>
      <c r="BD24" s="1" t="s">
        <v>789</v>
      </c>
      <c r="BE24" s="1">
        <v>102.8</v>
      </c>
      <c r="BF24" s="1">
        <v>106.7</v>
      </c>
      <c r="BG24" s="1">
        <v>-3.9</v>
      </c>
      <c r="BH24" s="1" t="s">
        <v>240</v>
      </c>
      <c r="BI24" s="1" t="s">
        <v>466</v>
      </c>
      <c r="BJ24" s="1" t="s">
        <v>594</v>
      </c>
      <c r="BK24" s="1" t="s">
        <v>594</v>
      </c>
      <c r="BL24" s="1" t="s">
        <v>654</v>
      </c>
      <c r="BM24" s="1" t="s">
        <v>444</v>
      </c>
      <c r="BN24" s="1" t="s">
        <v>515</v>
      </c>
      <c r="BO24" s="1" t="s">
        <v>724</v>
      </c>
      <c r="BP24" s="1" t="s">
        <v>576</v>
      </c>
      <c r="BQ24" s="1" t="s">
        <v>59</v>
      </c>
      <c r="BR24" s="1" t="s">
        <v>668</v>
      </c>
      <c r="BS24" s="1" t="s">
        <v>363</v>
      </c>
      <c r="BT24" s="1"/>
      <c r="BU24" s="1"/>
      <c r="BV24" s="1"/>
      <c r="BW24" s="1"/>
      <c r="BX24" s="1"/>
      <c r="BY24" s="1" t="s">
        <v>1439</v>
      </c>
      <c r="BZ24" s="1" t="s">
        <v>61</v>
      </c>
      <c r="CA24" s="1" t="s">
        <v>468</v>
      </c>
      <c r="CB24" s="1" t="s">
        <v>1153</v>
      </c>
      <c r="CC24" s="1" t="s">
        <v>1440</v>
      </c>
    </row>
    <row r="25" spans="1:81" x14ac:dyDescent="0.25">
      <c r="A25" s="1">
        <v>1610612752</v>
      </c>
      <c r="B25" s="1" t="s">
        <v>48</v>
      </c>
      <c r="C25" s="1" t="s">
        <v>1257</v>
      </c>
      <c r="D25" s="1" t="s">
        <v>858</v>
      </c>
      <c r="E25" s="1" t="s">
        <v>859</v>
      </c>
      <c r="F25" s="1" t="s">
        <v>267</v>
      </c>
      <c r="G25" s="1" t="s">
        <v>732</v>
      </c>
      <c r="H25" s="1">
        <v>12</v>
      </c>
      <c r="I25" s="1" t="s">
        <v>637</v>
      </c>
      <c r="J25" s="1" t="s">
        <v>308</v>
      </c>
      <c r="K25" s="1" t="s">
        <v>733</v>
      </c>
      <c r="L25" s="1">
        <v>3</v>
      </c>
      <c r="M25" s="1">
        <v>31</v>
      </c>
      <c r="N25" s="1">
        <v>51</v>
      </c>
      <c r="O25" s="1">
        <v>0.378</v>
      </c>
      <c r="P25" s="1">
        <v>0</v>
      </c>
      <c r="Q25" s="1" t="s">
        <v>1441</v>
      </c>
      <c r="R25" s="1" t="s">
        <v>474</v>
      </c>
      <c r="S25" s="1" t="s">
        <v>753</v>
      </c>
      <c r="T25" s="1" t="s">
        <v>346</v>
      </c>
      <c r="U25" s="1" t="s">
        <v>346</v>
      </c>
      <c r="V25" s="1" t="s">
        <v>475</v>
      </c>
      <c r="W25" s="1" t="s">
        <v>275</v>
      </c>
      <c r="X25" s="1" t="s">
        <v>1442</v>
      </c>
      <c r="Y25" s="1" t="s">
        <v>817</v>
      </c>
      <c r="Z25" s="1">
        <v>6</v>
      </c>
      <c r="AA25" s="1" t="s">
        <v>235</v>
      </c>
      <c r="AB25" s="1">
        <v>-7</v>
      </c>
      <c r="AC25" s="1" t="s">
        <v>773</v>
      </c>
      <c r="AD25" s="1">
        <v>4</v>
      </c>
      <c r="AE25" s="1">
        <v>6</v>
      </c>
      <c r="AF25" s="1">
        <v>1</v>
      </c>
      <c r="AG25" s="1" t="s">
        <v>317</v>
      </c>
      <c r="AH25" s="1">
        <v>-1</v>
      </c>
      <c r="AI25" s="1" t="s">
        <v>238</v>
      </c>
      <c r="AJ25" s="1">
        <v>1</v>
      </c>
      <c r="AK25" s="1" t="s">
        <v>317</v>
      </c>
      <c r="AL25" s="1">
        <v>22</v>
      </c>
      <c r="AM25" s="1">
        <v>22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1443</v>
      </c>
      <c r="AT25" s="1" t="s">
        <v>1235</v>
      </c>
      <c r="AU25" s="1" t="s">
        <v>244</v>
      </c>
      <c r="AV25" s="1" t="s">
        <v>647</v>
      </c>
      <c r="AW25" s="1" t="s">
        <v>1444</v>
      </c>
      <c r="AX25" s="1" t="s">
        <v>285</v>
      </c>
      <c r="AY25" s="1" t="s">
        <v>856</v>
      </c>
      <c r="AZ25" s="1" t="s">
        <v>1445</v>
      </c>
      <c r="BA25" s="1" t="s">
        <v>1365</v>
      </c>
      <c r="BB25" s="1" t="s">
        <v>797</v>
      </c>
      <c r="BC25" s="1" t="s">
        <v>1171</v>
      </c>
      <c r="BD25" s="1" t="s">
        <v>1446</v>
      </c>
      <c r="BE25" s="1">
        <v>104.3</v>
      </c>
      <c r="BF25" s="1">
        <v>108</v>
      </c>
      <c r="BG25" s="1">
        <v>-3.7</v>
      </c>
      <c r="BH25" s="1" t="s">
        <v>732</v>
      </c>
      <c r="BI25" s="1" t="s">
        <v>576</v>
      </c>
      <c r="BJ25" s="1" t="s">
        <v>490</v>
      </c>
      <c r="BK25" s="1" t="s">
        <v>444</v>
      </c>
      <c r="BL25" s="1" t="s">
        <v>763</v>
      </c>
      <c r="BM25" s="1" t="s">
        <v>594</v>
      </c>
      <c r="BN25" s="1" t="s">
        <v>594</v>
      </c>
      <c r="BO25" s="1" t="s">
        <v>594</v>
      </c>
      <c r="BP25" s="1" t="s">
        <v>1238</v>
      </c>
      <c r="BQ25" s="1" t="s">
        <v>594</v>
      </c>
      <c r="BR25" s="1" t="s">
        <v>576</v>
      </c>
      <c r="BS25" s="1" t="s">
        <v>390</v>
      </c>
      <c r="BT25" s="1"/>
      <c r="BU25" s="1"/>
      <c r="BV25" s="1"/>
      <c r="BW25" s="1"/>
      <c r="BX25" s="1"/>
      <c r="BY25" s="1" t="s">
        <v>1447</v>
      </c>
      <c r="BZ25" s="1" t="s">
        <v>387</v>
      </c>
      <c r="CA25" s="1" t="s">
        <v>468</v>
      </c>
      <c r="CB25" s="1" t="s">
        <v>1173</v>
      </c>
      <c r="CC25" s="1" t="s">
        <v>1440</v>
      </c>
    </row>
    <row r="26" spans="1:81" x14ac:dyDescent="0.25">
      <c r="A26" s="1">
        <v>1610612753</v>
      </c>
      <c r="B26" s="1" t="s">
        <v>48</v>
      </c>
      <c r="C26" s="1" t="s">
        <v>1257</v>
      </c>
      <c r="D26" s="1" t="s">
        <v>562</v>
      </c>
      <c r="E26" s="1" t="s">
        <v>563</v>
      </c>
      <c r="F26" s="1" t="s">
        <v>267</v>
      </c>
      <c r="G26" s="1" t="s">
        <v>1415</v>
      </c>
      <c r="H26" s="1">
        <v>13</v>
      </c>
      <c r="I26" s="1" t="s">
        <v>637</v>
      </c>
      <c r="J26" s="1" t="s">
        <v>565</v>
      </c>
      <c r="K26" s="1" t="s">
        <v>693</v>
      </c>
      <c r="L26" s="1">
        <v>5</v>
      </c>
      <c r="M26" s="1">
        <v>29</v>
      </c>
      <c r="N26" s="1">
        <v>53</v>
      </c>
      <c r="O26" s="1">
        <v>0.35399999999999998</v>
      </c>
      <c r="P26" s="1">
        <v>0</v>
      </c>
      <c r="Q26" s="1" t="s">
        <v>770</v>
      </c>
      <c r="R26" s="1" t="s">
        <v>583</v>
      </c>
      <c r="S26" s="1" t="s">
        <v>806</v>
      </c>
      <c r="T26" s="1" t="s">
        <v>657</v>
      </c>
      <c r="U26" s="1" t="s">
        <v>274</v>
      </c>
      <c r="V26" s="1" t="s">
        <v>788</v>
      </c>
      <c r="W26" s="1" t="s">
        <v>550</v>
      </c>
      <c r="X26" s="1" t="s">
        <v>274</v>
      </c>
      <c r="Y26" s="1" t="s">
        <v>1448</v>
      </c>
      <c r="Z26" s="1">
        <v>-6</v>
      </c>
      <c r="AA26" s="1" t="s">
        <v>406</v>
      </c>
      <c r="AB26" s="1">
        <v>-5</v>
      </c>
      <c r="AC26" s="1" t="s">
        <v>378</v>
      </c>
      <c r="AD26" s="1">
        <v>3</v>
      </c>
      <c r="AE26" s="1">
        <v>5</v>
      </c>
      <c r="AF26" s="1">
        <v>1</v>
      </c>
      <c r="AG26" s="1" t="s">
        <v>317</v>
      </c>
      <c r="AH26" s="1">
        <v>-5</v>
      </c>
      <c r="AI26" s="1" t="s">
        <v>378</v>
      </c>
      <c r="AJ26" s="1">
        <v>1</v>
      </c>
      <c r="AK26" s="1" t="s">
        <v>317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676</v>
      </c>
      <c r="AT26" s="1" t="s">
        <v>1431</v>
      </c>
      <c r="AU26" s="1" t="s">
        <v>438</v>
      </c>
      <c r="AV26" s="1" t="s">
        <v>294</v>
      </c>
      <c r="AW26" s="1" t="s">
        <v>1444</v>
      </c>
      <c r="AX26" s="1" t="s">
        <v>550</v>
      </c>
      <c r="AY26" s="1" t="s">
        <v>1449</v>
      </c>
      <c r="AZ26" s="1" t="s">
        <v>1450</v>
      </c>
      <c r="BA26" s="1" t="s">
        <v>546</v>
      </c>
      <c r="BB26" s="1" t="s">
        <v>1451</v>
      </c>
      <c r="BC26" s="1" t="s">
        <v>1452</v>
      </c>
      <c r="BD26" s="1" t="s">
        <v>574</v>
      </c>
      <c r="BE26" s="1">
        <v>101.1</v>
      </c>
      <c r="BF26" s="1">
        <v>107.6</v>
      </c>
      <c r="BG26" s="1">
        <v>-6.6</v>
      </c>
      <c r="BH26" s="1" t="s">
        <v>1415</v>
      </c>
      <c r="BI26" s="1" t="s">
        <v>444</v>
      </c>
      <c r="BJ26" s="1" t="s">
        <v>838</v>
      </c>
      <c r="BK26" s="1" t="s">
        <v>515</v>
      </c>
      <c r="BL26" s="1" t="s">
        <v>763</v>
      </c>
      <c r="BM26" s="1" t="s">
        <v>557</v>
      </c>
      <c r="BN26" s="1" t="s">
        <v>594</v>
      </c>
      <c r="BO26" s="1" t="s">
        <v>465</v>
      </c>
      <c r="BP26" s="1" t="s">
        <v>668</v>
      </c>
      <c r="BQ26" s="1" t="s">
        <v>594</v>
      </c>
      <c r="BR26" s="1" t="s">
        <v>576</v>
      </c>
      <c r="BS26" s="1" t="s">
        <v>390</v>
      </c>
      <c r="BT26" s="1"/>
      <c r="BU26" s="1"/>
      <c r="BV26" s="1"/>
      <c r="BW26" s="1"/>
      <c r="BX26" s="1"/>
      <c r="BY26" s="1" t="s">
        <v>1423</v>
      </c>
      <c r="BZ26" s="1" t="s">
        <v>468</v>
      </c>
      <c r="CA26" s="1" t="s">
        <v>387</v>
      </c>
      <c r="CB26" s="1" t="s">
        <v>1453</v>
      </c>
      <c r="CC26" s="1" t="s">
        <v>729</v>
      </c>
    </row>
    <row r="27" spans="1:81" x14ac:dyDescent="0.25">
      <c r="A27" s="1">
        <v>1610612750</v>
      </c>
      <c r="B27" s="1" t="s">
        <v>48</v>
      </c>
      <c r="C27" s="1" t="s">
        <v>1257</v>
      </c>
      <c r="D27" s="1" t="s">
        <v>730</v>
      </c>
      <c r="E27" s="1" t="s">
        <v>731</v>
      </c>
      <c r="F27" s="1" t="s">
        <v>222</v>
      </c>
      <c r="G27" s="1" t="s">
        <v>847</v>
      </c>
      <c r="H27" s="1">
        <v>13</v>
      </c>
      <c r="I27" s="1" t="s">
        <v>637</v>
      </c>
      <c r="J27" s="1" t="s">
        <v>342</v>
      </c>
      <c r="K27" s="1" t="s">
        <v>733</v>
      </c>
      <c r="L27" s="1">
        <v>5</v>
      </c>
      <c r="M27" s="1">
        <v>31</v>
      </c>
      <c r="N27" s="1">
        <v>51</v>
      </c>
      <c r="O27" s="1">
        <v>0.378</v>
      </c>
      <c r="P27" s="1">
        <v>0</v>
      </c>
      <c r="Q27" s="1" t="s">
        <v>1441</v>
      </c>
      <c r="R27" s="1" t="s">
        <v>345</v>
      </c>
      <c r="S27" s="1" t="s">
        <v>735</v>
      </c>
      <c r="T27" s="1" t="s">
        <v>657</v>
      </c>
      <c r="U27" s="1" t="s">
        <v>402</v>
      </c>
      <c r="V27" s="1" t="s">
        <v>788</v>
      </c>
      <c r="W27" s="1" t="s">
        <v>375</v>
      </c>
      <c r="X27" s="1" t="s">
        <v>1442</v>
      </c>
      <c r="Y27" s="1" t="s">
        <v>1454</v>
      </c>
      <c r="Z27" s="1">
        <v>-7</v>
      </c>
      <c r="AA27" s="1" t="s">
        <v>773</v>
      </c>
      <c r="AB27" s="1">
        <v>-7</v>
      </c>
      <c r="AC27" s="1" t="s">
        <v>773</v>
      </c>
      <c r="AD27" s="1">
        <v>3</v>
      </c>
      <c r="AE27" s="1">
        <v>6</v>
      </c>
      <c r="AF27" s="1">
        <v>-1</v>
      </c>
      <c r="AG27" s="1" t="s">
        <v>238</v>
      </c>
      <c r="AH27" s="1">
        <v>-5</v>
      </c>
      <c r="AI27" s="1" t="s">
        <v>378</v>
      </c>
      <c r="AJ27" s="1">
        <v>-6</v>
      </c>
      <c r="AK27" s="1" t="s">
        <v>406</v>
      </c>
      <c r="AL27" s="1">
        <v>36</v>
      </c>
      <c r="AM27" s="1">
        <v>20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1115</v>
      </c>
      <c r="AT27" s="1" t="s">
        <v>354</v>
      </c>
      <c r="AU27" s="1" t="s">
        <v>232</v>
      </c>
      <c r="AV27" s="1" t="s">
        <v>453</v>
      </c>
      <c r="AW27" s="1" t="s">
        <v>1455</v>
      </c>
      <c r="AX27" s="1" t="s">
        <v>285</v>
      </c>
      <c r="AY27" s="1" t="s">
        <v>1456</v>
      </c>
      <c r="AZ27" s="1" t="s">
        <v>1457</v>
      </c>
      <c r="BA27" s="1" t="s">
        <v>796</v>
      </c>
      <c r="BB27" s="1" t="s">
        <v>659</v>
      </c>
      <c r="BC27" s="1" t="s">
        <v>748</v>
      </c>
      <c r="BD27" s="1" t="s">
        <v>1368</v>
      </c>
      <c r="BE27" s="1">
        <v>105.6</v>
      </c>
      <c r="BF27" s="1">
        <v>106.7</v>
      </c>
      <c r="BG27" s="1">
        <v>-1.1000000000000001</v>
      </c>
      <c r="BH27" s="1" t="s">
        <v>556</v>
      </c>
      <c r="BI27" s="1" t="s">
        <v>594</v>
      </c>
      <c r="BJ27" s="1" t="s">
        <v>465</v>
      </c>
      <c r="BK27" s="1" t="s">
        <v>55</v>
      </c>
      <c r="BL27" s="1" t="s">
        <v>847</v>
      </c>
      <c r="BM27" s="1" t="s">
        <v>576</v>
      </c>
      <c r="BN27" s="1" t="s">
        <v>490</v>
      </c>
      <c r="BO27" s="1" t="s">
        <v>782</v>
      </c>
      <c r="BP27" s="1" t="s">
        <v>335</v>
      </c>
      <c r="BQ27" s="1" t="s">
        <v>783</v>
      </c>
      <c r="BR27" s="1" t="s">
        <v>68</v>
      </c>
      <c r="BS27" s="1" t="s">
        <v>1205</v>
      </c>
      <c r="BT27" s="1"/>
      <c r="BU27" s="1"/>
      <c r="BV27" s="1"/>
      <c r="BW27" s="1"/>
      <c r="BX27" s="1"/>
      <c r="BY27" s="1" t="s">
        <v>1325</v>
      </c>
      <c r="BZ27" s="1" t="s">
        <v>576</v>
      </c>
      <c r="CA27" s="1" t="s">
        <v>632</v>
      </c>
      <c r="CB27" s="1" t="s">
        <v>1458</v>
      </c>
      <c r="CC27" s="1" t="s">
        <v>671</v>
      </c>
    </row>
    <row r="28" spans="1:81" x14ac:dyDescent="0.25">
      <c r="A28" s="1">
        <v>1610612755</v>
      </c>
      <c r="B28" s="1" t="s">
        <v>48</v>
      </c>
      <c r="C28" s="1" t="s">
        <v>1257</v>
      </c>
      <c r="D28" s="1" t="s">
        <v>368</v>
      </c>
      <c r="E28" s="1" t="s">
        <v>369</v>
      </c>
      <c r="F28" s="1" t="s">
        <v>267</v>
      </c>
      <c r="G28" s="1" t="s">
        <v>710</v>
      </c>
      <c r="H28" s="1">
        <v>14</v>
      </c>
      <c r="I28" s="1" t="s">
        <v>637</v>
      </c>
      <c r="J28" s="1" t="s">
        <v>308</v>
      </c>
      <c r="K28" s="1" t="s">
        <v>693</v>
      </c>
      <c r="L28" s="1">
        <v>4</v>
      </c>
      <c r="M28" s="1">
        <v>28</v>
      </c>
      <c r="N28" s="1">
        <v>54</v>
      </c>
      <c r="O28" s="1">
        <v>0.34100000000000003</v>
      </c>
      <c r="P28" s="1">
        <v>0</v>
      </c>
      <c r="Q28" s="1" t="s">
        <v>1185</v>
      </c>
      <c r="R28" s="1" t="s">
        <v>567</v>
      </c>
      <c r="S28" s="1" t="s">
        <v>735</v>
      </c>
      <c r="T28" s="1" t="s">
        <v>788</v>
      </c>
      <c r="U28" s="1" t="s">
        <v>657</v>
      </c>
      <c r="V28" s="1" t="s">
        <v>657</v>
      </c>
      <c r="W28" s="1" t="s">
        <v>640</v>
      </c>
      <c r="X28" s="1" t="s">
        <v>1459</v>
      </c>
      <c r="Y28" s="1" t="s">
        <v>1042</v>
      </c>
      <c r="Z28" s="1">
        <v>-8</v>
      </c>
      <c r="AA28" s="1" t="s">
        <v>714</v>
      </c>
      <c r="AB28" s="1">
        <v>-7</v>
      </c>
      <c r="AC28" s="1" t="s">
        <v>773</v>
      </c>
      <c r="AD28" s="1">
        <v>3</v>
      </c>
      <c r="AE28" s="1">
        <v>8</v>
      </c>
      <c r="AF28" s="1">
        <v>-5</v>
      </c>
      <c r="AG28" s="1" t="s">
        <v>378</v>
      </c>
      <c r="AH28" s="1">
        <v>-3</v>
      </c>
      <c r="AI28" s="1" t="s">
        <v>350</v>
      </c>
      <c r="AJ28" s="1">
        <v>-8</v>
      </c>
      <c r="AK28" s="1" t="s">
        <v>714</v>
      </c>
      <c r="AL28" s="1">
        <v>25</v>
      </c>
      <c r="AM28" s="1">
        <v>25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1460</v>
      </c>
      <c r="AT28" s="1" t="s">
        <v>1461</v>
      </c>
      <c r="AU28" s="1" t="s">
        <v>430</v>
      </c>
      <c r="AV28" s="1" t="s">
        <v>1462</v>
      </c>
      <c r="AW28" s="1" t="s">
        <v>1463</v>
      </c>
      <c r="AX28" s="1" t="s">
        <v>438</v>
      </c>
      <c r="AY28" s="1" t="s">
        <v>748</v>
      </c>
      <c r="AZ28" s="1" t="s">
        <v>1464</v>
      </c>
      <c r="BA28" s="1" t="s">
        <v>1018</v>
      </c>
      <c r="BB28" s="1" t="s">
        <v>1465</v>
      </c>
      <c r="BC28" s="1" t="s">
        <v>1246</v>
      </c>
      <c r="BD28" s="1" t="s">
        <v>1291</v>
      </c>
      <c r="BE28" s="1">
        <v>102.4</v>
      </c>
      <c r="BF28" s="1">
        <v>108.1</v>
      </c>
      <c r="BG28" s="1">
        <v>-5.7</v>
      </c>
      <c r="BH28" s="1" t="s">
        <v>710</v>
      </c>
      <c r="BI28" s="1" t="s">
        <v>515</v>
      </c>
      <c r="BJ28" s="1" t="s">
        <v>838</v>
      </c>
      <c r="BK28" s="1" t="s">
        <v>628</v>
      </c>
      <c r="BL28" s="1" t="s">
        <v>763</v>
      </c>
      <c r="BM28" s="1" t="s">
        <v>594</v>
      </c>
      <c r="BN28" s="1" t="s">
        <v>465</v>
      </c>
      <c r="BO28" s="1" t="s">
        <v>557</v>
      </c>
      <c r="BP28" s="1" t="s">
        <v>262</v>
      </c>
      <c r="BQ28" s="1" t="s">
        <v>1466</v>
      </c>
      <c r="BR28" s="1" t="s">
        <v>78</v>
      </c>
      <c r="BS28" s="1" t="s">
        <v>1467</v>
      </c>
      <c r="BT28" s="1"/>
      <c r="BU28" s="1"/>
      <c r="BV28" s="1"/>
      <c r="BW28" s="1"/>
      <c r="BX28" s="1"/>
      <c r="BY28" s="1" t="s">
        <v>1325</v>
      </c>
      <c r="BZ28" s="1" t="s">
        <v>668</v>
      </c>
      <c r="CA28" s="1" t="s">
        <v>494</v>
      </c>
      <c r="CB28" s="1" t="s">
        <v>1468</v>
      </c>
      <c r="CC28" s="1" t="s">
        <v>1469</v>
      </c>
    </row>
    <row r="29" spans="1:81" x14ac:dyDescent="0.25">
      <c r="A29" s="1">
        <v>1610612747</v>
      </c>
      <c r="B29" s="1" t="s">
        <v>48</v>
      </c>
      <c r="C29" s="1" t="s">
        <v>1257</v>
      </c>
      <c r="D29" s="1" t="s">
        <v>672</v>
      </c>
      <c r="E29" s="1" t="s">
        <v>673</v>
      </c>
      <c r="F29" s="1" t="s">
        <v>222</v>
      </c>
      <c r="G29" s="1" t="s">
        <v>769</v>
      </c>
      <c r="H29" s="1">
        <v>14</v>
      </c>
      <c r="I29" s="1" t="s">
        <v>637</v>
      </c>
      <c r="J29" s="1" t="s">
        <v>225</v>
      </c>
      <c r="K29" s="1" t="s">
        <v>398</v>
      </c>
      <c r="L29" s="1">
        <v>4</v>
      </c>
      <c r="M29" s="1">
        <v>26</v>
      </c>
      <c r="N29" s="1">
        <v>56</v>
      </c>
      <c r="O29" s="1">
        <v>0.317</v>
      </c>
      <c r="P29" s="1">
        <v>0</v>
      </c>
      <c r="Q29" s="1" t="s">
        <v>1470</v>
      </c>
      <c r="R29" s="1" t="s">
        <v>567</v>
      </c>
      <c r="S29" s="1" t="s">
        <v>642</v>
      </c>
      <c r="T29" s="1" t="s">
        <v>274</v>
      </c>
      <c r="U29" s="1" t="s">
        <v>274</v>
      </c>
      <c r="V29" s="1" t="s">
        <v>475</v>
      </c>
      <c r="W29" s="1" t="s">
        <v>322</v>
      </c>
      <c r="X29" s="1" t="s">
        <v>430</v>
      </c>
      <c r="Y29" s="1" t="s">
        <v>1471</v>
      </c>
      <c r="Z29" s="1">
        <v>-9</v>
      </c>
      <c r="AA29" s="1" t="s">
        <v>738</v>
      </c>
      <c r="AB29" s="1">
        <v>-12</v>
      </c>
      <c r="AC29" s="1" t="s">
        <v>1128</v>
      </c>
      <c r="AD29" s="1">
        <v>5</v>
      </c>
      <c r="AE29" s="1">
        <v>8</v>
      </c>
      <c r="AF29" s="1">
        <v>4</v>
      </c>
      <c r="AG29" s="1" t="s">
        <v>454</v>
      </c>
      <c r="AH29" s="1">
        <v>-1</v>
      </c>
      <c r="AI29" s="1" t="s">
        <v>238</v>
      </c>
      <c r="AJ29" s="1">
        <v>-1</v>
      </c>
      <c r="AK29" s="1" t="s">
        <v>238</v>
      </c>
      <c r="AL29" s="1">
        <v>41</v>
      </c>
      <c r="AM29" s="1">
        <v>41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614</v>
      </c>
      <c r="AT29" s="1" t="s">
        <v>1472</v>
      </c>
      <c r="AU29" s="1" t="s">
        <v>438</v>
      </c>
      <c r="AV29" s="1" t="s">
        <v>1473</v>
      </c>
      <c r="AW29" s="1" t="s">
        <v>1474</v>
      </c>
      <c r="AX29" s="1" t="s">
        <v>775</v>
      </c>
      <c r="AY29" s="1" t="s">
        <v>1475</v>
      </c>
      <c r="AZ29" s="1" t="s">
        <v>1476</v>
      </c>
      <c r="BA29" s="1" t="s">
        <v>1477</v>
      </c>
      <c r="BB29" s="1" t="s">
        <v>1478</v>
      </c>
      <c r="BC29" s="1" t="s">
        <v>1417</v>
      </c>
      <c r="BD29" s="1" t="s">
        <v>1214</v>
      </c>
      <c r="BE29" s="1">
        <v>104.6</v>
      </c>
      <c r="BF29" s="1">
        <v>111.5</v>
      </c>
      <c r="BG29" s="1">
        <v>-6.9</v>
      </c>
      <c r="BH29" s="1" t="s">
        <v>649</v>
      </c>
      <c r="BI29" s="1" t="s">
        <v>594</v>
      </c>
      <c r="BJ29" s="1" t="s">
        <v>594</v>
      </c>
      <c r="BK29" s="1" t="s">
        <v>465</v>
      </c>
      <c r="BL29" s="1" t="s">
        <v>769</v>
      </c>
      <c r="BM29" s="1" t="s">
        <v>782</v>
      </c>
      <c r="BN29" s="1" t="s">
        <v>71</v>
      </c>
      <c r="BO29" s="1" t="s">
        <v>724</v>
      </c>
      <c r="BP29" s="1" t="s">
        <v>559</v>
      </c>
      <c r="BQ29" s="1" t="s">
        <v>557</v>
      </c>
      <c r="BR29" s="1" t="s">
        <v>879</v>
      </c>
      <c r="BS29" s="1" t="s">
        <v>420</v>
      </c>
      <c r="BT29" s="1"/>
      <c r="BU29" s="1"/>
      <c r="BV29" s="1"/>
      <c r="BW29" s="1"/>
      <c r="BX29" s="1"/>
      <c r="BY29" s="1" t="s">
        <v>1340</v>
      </c>
      <c r="BZ29" s="1" t="s">
        <v>1106</v>
      </c>
      <c r="CA29" s="1" t="s">
        <v>764</v>
      </c>
      <c r="CB29" s="1" t="s">
        <v>785</v>
      </c>
      <c r="CC29" s="1" t="s">
        <v>844</v>
      </c>
    </row>
    <row r="30" spans="1:81" x14ac:dyDescent="0.25">
      <c r="A30" s="1">
        <v>1610612756</v>
      </c>
      <c r="B30" s="1" t="s">
        <v>48</v>
      </c>
      <c r="C30" s="1" t="s">
        <v>1257</v>
      </c>
      <c r="D30" s="1" t="s">
        <v>882</v>
      </c>
      <c r="E30" s="1" t="s">
        <v>883</v>
      </c>
      <c r="F30" s="1" t="s">
        <v>222</v>
      </c>
      <c r="G30" s="1" t="s">
        <v>860</v>
      </c>
      <c r="H30" s="1">
        <v>15</v>
      </c>
      <c r="I30" s="1" t="s">
        <v>637</v>
      </c>
      <c r="J30" s="1" t="s">
        <v>225</v>
      </c>
      <c r="K30" s="1" t="s">
        <v>804</v>
      </c>
      <c r="L30" s="1">
        <v>5</v>
      </c>
      <c r="M30" s="1">
        <v>24</v>
      </c>
      <c r="N30" s="1">
        <v>58</v>
      </c>
      <c r="O30" s="1">
        <v>0.29299999999999998</v>
      </c>
      <c r="P30" s="1">
        <v>0</v>
      </c>
      <c r="Q30" s="1" t="s">
        <v>1195</v>
      </c>
      <c r="R30" s="1" t="s">
        <v>600</v>
      </c>
      <c r="S30" s="1" t="s">
        <v>642</v>
      </c>
      <c r="T30" s="1" t="s">
        <v>475</v>
      </c>
      <c r="U30" s="1" t="s">
        <v>475</v>
      </c>
      <c r="V30" s="1" t="s">
        <v>788</v>
      </c>
      <c r="W30" s="1" t="s">
        <v>736</v>
      </c>
      <c r="X30" s="1" t="s">
        <v>1207</v>
      </c>
      <c r="Y30" s="1" t="s">
        <v>549</v>
      </c>
      <c r="Z30" s="1">
        <v>-8</v>
      </c>
      <c r="AA30" s="1" t="s">
        <v>714</v>
      </c>
      <c r="AB30" s="1">
        <v>-8</v>
      </c>
      <c r="AC30" s="1" t="s">
        <v>714</v>
      </c>
      <c r="AD30" s="1">
        <v>3</v>
      </c>
      <c r="AE30" s="1">
        <v>13</v>
      </c>
      <c r="AF30" s="1">
        <v>2</v>
      </c>
      <c r="AG30" s="1" t="s">
        <v>279</v>
      </c>
      <c r="AH30" s="1">
        <v>-8</v>
      </c>
      <c r="AI30" s="1" t="s">
        <v>714</v>
      </c>
      <c r="AJ30" s="1">
        <v>-1</v>
      </c>
      <c r="AK30" s="1" t="s">
        <v>238</v>
      </c>
      <c r="AL30" s="1">
        <v>43</v>
      </c>
      <c r="AM30" s="1">
        <v>43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1479</v>
      </c>
      <c r="AT30" s="1" t="s">
        <v>1187</v>
      </c>
      <c r="AU30" s="1" t="s">
        <v>322</v>
      </c>
      <c r="AV30" s="1" t="s">
        <v>417</v>
      </c>
      <c r="AW30" s="1" t="s">
        <v>1480</v>
      </c>
      <c r="AX30" s="1" t="s">
        <v>347</v>
      </c>
      <c r="AY30" s="1" t="s">
        <v>1481</v>
      </c>
      <c r="AZ30" s="1" t="s">
        <v>1482</v>
      </c>
      <c r="BA30" s="1" t="s">
        <v>735</v>
      </c>
      <c r="BB30" s="1" t="s">
        <v>1465</v>
      </c>
      <c r="BC30" s="1" t="s">
        <v>1483</v>
      </c>
      <c r="BD30" s="1" t="s">
        <v>1477</v>
      </c>
      <c r="BE30" s="1">
        <v>107.7</v>
      </c>
      <c r="BF30" s="1">
        <v>113.3</v>
      </c>
      <c r="BG30" s="1">
        <v>-5.6</v>
      </c>
      <c r="BH30" s="1" t="s">
        <v>556</v>
      </c>
      <c r="BI30" s="1" t="s">
        <v>55</v>
      </c>
      <c r="BJ30" s="1" t="s">
        <v>594</v>
      </c>
      <c r="BK30" s="1" t="s">
        <v>465</v>
      </c>
      <c r="BL30" s="1" t="s">
        <v>860</v>
      </c>
      <c r="BM30" s="1" t="s">
        <v>876</v>
      </c>
      <c r="BN30" s="1" t="s">
        <v>784</v>
      </c>
      <c r="BO30" s="1" t="s">
        <v>838</v>
      </c>
      <c r="BP30" s="1" t="s">
        <v>61</v>
      </c>
      <c r="BQ30" s="1" t="s">
        <v>706</v>
      </c>
      <c r="BR30" s="1" t="s">
        <v>668</v>
      </c>
      <c r="BS30" s="1" t="s">
        <v>390</v>
      </c>
      <c r="BT30" s="1"/>
      <c r="BU30" s="1"/>
      <c r="BV30" s="1"/>
      <c r="BW30" s="1"/>
      <c r="BX30" s="1"/>
      <c r="BY30" s="1" t="s">
        <v>726</v>
      </c>
      <c r="BZ30" s="1" t="s">
        <v>632</v>
      </c>
      <c r="CA30" s="1" t="s">
        <v>612</v>
      </c>
      <c r="CB30" s="1" t="s">
        <v>1183</v>
      </c>
      <c r="CC30" s="1" t="s">
        <v>1484</v>
      </c>
    </row>
    <row r="31" spans="1:81" x14ac:dyDescent="0.25">
      <c r="A31" s="1">
        <v>1610612751</v>
      </c>
      <c r="B31" s="1" t="s">
        <v>48</v>
      </c>
      <c r="C31" s="1" t="s">
        <v>1257</v>
      </c>
      <c r="D31" s="1" t="s">
        <v>537</v>
      </c>
      <c r="E31" s="1" t="s">
        <v>538</v>
      </c>
      <c r="F31" s="1" t="s">
        <v>267</v>
      </c>
      <c r="G31" s="1" t="s">
        <v>860</v>
      </c>
      <c r="H31" s="1">
        <v>15</v>
      </c>
      <c r="I31" s="1" t="s">
        <v>637</v>
      </c>
      <c r="J31" s="1" t="s">
        <v>308</v>
      </c>
      <c r="K31" s="1" t="s">
        <v>804</v>
      </c>
      <c r="L31" s="1">
        <v>5</v>
      </c>
      <c r="M31" s="1">
        <v>20</v>
      </c>
      <c r="N31" s="1">
        <v>62</v>
      </c>
      <c r="O31" s="1">
        <v>0.24399999999999999</v>
      </c>
      <c r="P31" s="1">
        <v>0</v>
      </c>
      <c r="Q31" s="1" t="s">
        <v>1485</v>
      </c>
      <c r="R31" s="1" t="s">
        <v>806</v>
      </c>
      <c r="S31" s="1" t="s">
        <v>884</v>
      </c>
      <c r="T31" s="1" t="s">
        <v>274</v>
      </c>
      <c r="U31" s="1" t="s">
        <v>402</v>
      </c>
      <c r="V31" s="1" t="s">
        <v>657</v>
      </c>
      <c r="W31" s="1" t="s">
        <v>285</v>
      </c>
      <c r="X31" s="1" t="s">
        <v>1062</v>
      </c>
      <c r="Y31" s="1" t="s">
        <v>1390</v>
      </c>
      <c r="Z31" s="1">
        <v>-16</v>
      </c>
      <c r="AA31" s="1" t="s">
        <v>1486</v>
      </c>
      <c r="AB31" s="1">
        <v>-15</v>
      </c>
      <c r="AC31" s="1" t="s">
        <v>1487</v>
      </c>
      <c r="AD31" s="1">
        <v>3</v>
      </c>
      <c r="AE31" s="1">
        <v>16</v>
      </c>
      <c r="AF31" s="1">
        <v>3</v>
      </c>
      <c r="AG31" s="1" t="s">
        <v>316</v>
      </c>
      <c r="AH31" s="1">
        <v>-3</v>
      </c>
      <c r="AI31" s="1" t="s">
        <v>350</v>
      </c>
      <c r="AJ31" s="1">
        <v>-2</v>
      </c>
      <c r="AK31" s="1" t="s">
        <v>479</v>
      </c>
      <c r="AL31" s="1">
        <v>33</v>
      </c>
      <c r="AM31" s="1">
        <v>33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1452</v>
      </c>
      <c r="AT31" s="1" t="s">
        <v>1157</v>
      </c>
      <c r="AU31" s="1" t="s">
        <v>458</v>
      </c>
      <c r="AV31" s="1" t="s">
        <v>1243</v>
      </c>
      <c r="AW31" s="1" t="s">
        <v>1488</v>
      </c>
      <c r="AX31" s="1" t="s">
        <v>438</v>
      </c>
      <c r="AY31" s="1" t="s">
        <v>1355</v>
      </c>
      <c r="AZ31" s="1" t="s">
        <v>1489</v>
      </c>
      <c r="BA31" s="1" t="s">
        <v>1490</v>
      </c>
      <c r="BB31" s="1" t="s">
        <v>1491</v>
      </c>
      <c r="BC31" s="1" t="s">
        <v>561</v>
      </c>
      <c r="BD31" s="1" t="s">
        <v>1492</v>
      </c>
      <c r="BE31" s="1">
        <v>105.8</v>
      </c>
      <c r="BF31" s="1">
        <v>112.5</v>
      </c>
      <c r="BG31" s="1">
        <v>-6.7</v>
      </c>
      <c r="BH31" s="1" t="s">
        <v>860</v>
      </c>
      <c r="BI31" s="1" t="s">
        <v>784</v>
      </c>
      <c r="BJ31" s="1" t="s">
        <v>782</v>
      </c>
      <c r="BK31" s="1" t="s">
        <v>782</v>
      </c>
      <c r="BL31" s="1" t="s">
        <v>763</v>
      </c>
      <c r="BM31" s="1" t="s">
        <v>557</v>
      </c>
      <c r="BN31" s="1" t="s">
        <v>466</v>
      </c>
      <c r="BO31" s="1" t="s">
        <v>557</v>
      </c>
      <c r="BP31" s="1" t="s">
        <v>1192</v>
      </c>
      <c r="BQ31" s="1" t="s">
        <v>840</v>
      </c>
      <c r="BR31" s="1" t="s">
        <v>725</v>
      </c>
      <c r="BS31" s="1" t="s">
        <v>514</v>
      </c>
      <c r="BT31" s="1"/>
      <c r="BU31" s="1"/>
      <c r="BV31" s="1"/>
      <c r="BW31" s="1"/>
      <c r="BX31" s="1"/>
      <c r="BY31" s="1" t="s">
        <v>630</v>
      </c>
      <c r="BZ31" s="1" t="s">
        <v>1037</v>
      </c>
      <c r="CA31" s="1" t="s">
        <v>821</v>
      </c>
      <c r="CB31" s="1" t="s">
        <v>1493</v>
      </c>
      <c r="CC31" s="1" t="s">
        <v>1350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6B8B6-29D0-41F7-879F-1B7F99771B90}">
  <sheetPr codeName="Sheet10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34</v>
      </c>
      <c r="B1" s="1" t="s">
        <v>36</v>
      </c>
      <c r="C1" s="1" t="s">
        <v>140</v>
      </c>
      <c r="D1" s="1" t="s">
        <v>141</v>
      </c>
      <c r="E1" s="1" t="s">
        <v>142</v>
      </c>
      <c r="F1" s="1" t="s">
        <v>143</v>
      </c>
      <c r="G1" s="1" t="s">
        <v>144</v>
      </c>
      <c r="H1" s="1" t="s">
        <v>145</v>
      </c>
      <c r="I1" s="1" t="s">
        <v>146</v>
      </c>
      <c r="J1" s="1" t="s">
        <v>147</v>
      </c>
      <c r="K1" s="1" t="s">
        <v>148</v>
      </c>
      <c r="L1" s="1" t="s">
        <v>149</v>
      </c>
      <c r="M1" s="1" t="s">
        <v>150</v>
      </c>
      <c r="N1" s="1" t="s">
        <v>151</v>
      </c>
      <c r="O1" s="1" t="s">
        <v>152</v>
      </c>
      <c r="P1" s="1" t="s">
        <v>153</v>
      </c>
      <c r="Q1" s="1" t="s">
        <v>154</v>
      </c>
      <c r="R1" s="1" t="s">
        <v>155</v>
      </c>
      <c r="S1" s="1" t="s">
        <v>156</v>
      </c>
      <c r="T1" s="1" t="s">
        <v>157</v>
      </c>
      <c r="U1" s="1" t="s">
        <v>158</v>
      </c>
      <c r="V1" s="1" t="s">
        <v>159</v>
      </c>
      <c r="W1" s="1" t="s">
        <v>160</v>
      </c>
      <c r="X1" s="1" t="s">
        <v>161</v>
      </c>
      <c r="Y1" s="1" t="s">
        <v>162</v>
      </c>
      <c r="Z1" s="1" t="s">
        <v>163</v>
      </c>
      <c r="AA1" s="1" t="s">
        <v>164</v>
      </c>
      <c r="AB1" s="1" t="s">
        <v>165</v>
      </c>
      <c r="AC1" s="1" t="s">
        <v>166</v>
      </c>
      <c r="AD1" s="1" t="s">
        <v>167</v>
      </c>
      <c r="AE1" s="1" t="s">
        <v>168</v>
      </c>
      <c r="AF1" s="1" t="s">
        <v>169</v>
      </c>
      <c r="AG1" s="1" t="s">
        <v>170</v>
      </c>
      <c r="AH1" s="1" t="s">
        <v>171</v>
      </c>
      <c r="AI1" s="1" t="s">
        <v>172</v>
      </c>
      <c r="AJ1" s="1" t="s">
        <v>173</v>
      </c>
      <c r="AK1" s="1" t="s">
        <v>174</v>
      </c>
      <c r="AL1" s="1" t="s">
        <v>175</v>
      </c>
      <c r="AM1" s="1" t="s">
        <v>176</v>
      </c>
      <c r="AN1" s="1" t="s">
        <v>177</v>
      </c>
      <c r="AO1" s="1" t="s">
        <v>178</v>
      </c>
      <c r="AP1" s="1" t="s">
        <v>179</v>
      </c>
      <c r="AQ1" s="1" t="s">
        <v>180</v>
      </c>
      <c r="AR1" s="1" t="s">
        <v>181</v>
      </c>
      <c r="AS1" s="1" t="s">
        <v>182</v>
      </c>
      <c r="AT1" s="1" t="s">
        <v>183</v>
      </c>
      <c r="AU1" s="1" t="s">
        <v>184</v>
      </c>
      <c r="AV1" s="1" t="s">
        <v>185</v>
      </c>
      <c r="AW1" s="1" t="s">
        <v>186</v>
      </c>
      <c r="AX1" s="1" t="s">
        <v>187</v>
      </c>
      <c r="AY1" s="1" t="s">
        <v>188</v>
      </c>
      <c r="AZ1" s="1" t="s">
        <v>189</v>
      </c>
      <c r="BA1" s="1" t="s">
        <v>190</v>
      </c>
      <c r="BB1" s="1" t="s">
        <v>191</v>
      </c>
      <c r="BC1" s="1" t="s">
        <v>192</v>
      </c>
      <c r="BD1" s="1" t="s">
        <v>193</v>
      </c>
      <c r="BE1" s="1" t="s">
        <v>194</v>
      </c>
      <c r="BF1" s="1" t="s">
        <v>195</v>
      </c>
      <c r="BG1" s="1" t="s">
        <v>196</v>
      </c>
      <c r="BH1" s="1" t="s">
        <v>197</v>
      </c>
      <c r="BI1" s="1" t="s">
        <v>198</v>
      </c>
      <c r="BJ1" s="1" t="s">
        <v>199</v>
      </c>
      <c r="BK1" s="1" t="s">
        <v>200</v>
      </c>
      <c r="BL1" s="1" t="s">
        <v>201</v>
      </c>
      <c r="BM1" s="1" t="s">
        <v>202</v>
      </c>
      <c r="BN1" s="1" t="s">
        <v>203</v>
      </c>
      <c r="BO1" s="1" t="s">
        <v>204</v>
      </c>
      <c r="BP1" s="1" t="s">
        <v>205</v>
      </c>
      <c r="BQ1" s="1" t="s">
        <v>206</v>
      </c>
      <c r="BR1" s="1" t="s">
        <v>207</v>
      </c>
      <c r="BS1" s="1" t="s">
        <v>208</v>
      </c>
      <c r="BT1" s="1" t="s">
        <v>209</v>
      </c>
      <c r="BU1" s="1" t="s">
        <v>210</v>
      </c>
      <c r="BV1" s="1" t="s">
        <v>211</v>
      </c>
      <c r="BW1" s="1" t="s">
        <v>212</v>
      </c>
      <c r="BX1" s="1" t="s">
        <v>213</v>
      </c>
      <c r="BY1" s="1" t="s">
        <v>214</v>
      </c>
      <c r="BZ1" s="1" t="s">
        <v>215</v>
      </c>
      <c r="CA1" s="1" t="s">
        <v>216</v>
      </c>
      <c r="CB1" s="1" t="s">
        <v>217</v>
      </c>
      <c r="CC1" s="1" t="s">
        <v>218</v>
      </c>
    </row>
    <row r="2" spans="1:81" x14ac:dyDescent="0.25">
      <c r="A2" s="1">
        <v>1610612761</v>
      </c>
      <c r="B2" s="1" t="s">
        <v>48</v>
      </c>
      <c r="C2" s="1" t="s">
        <v>935</v>
      </c>
      <c r="D2" s="1" t="s">
        <v>304</v>
      </c>
      <c r="E2" s="1" t="s">
        <v>305</v>
      </c>
      <c r="F2" s="1" t="s">
        <v>267</v>
      </c>
      <c r="G2" s="1" t="s">
        <v>268</v>
      </c>
      <c r="H2" s="1">
        <v>1</v>
      </c>
      <c r="I2" s="1" t="s">
        <v>269</v>
      </c>
      <c r="J2" s="1" t="s">
        <v>308</v>
      </c>
      <c r="K2" s="1" t="s">
        <v>309</v>
      </c>
      <c r="L2" s="1">
        <v>1</v>
      </c>
      <c r="M2" s="1">
        <v>59</v>
      </c>
      <c r="N2" s="1">
        <v>23</v>
      </c>
      <c r="O2" s="1">
        <v>0.72</v>
      </c>
      <c r="P2" s="1">
        <v>0</v>
      </c>
      <c r="Q2" s="1" t="s">
        <v>936</v>
      </c>
      <c r="R2" s="1" t="s">
        <v>344</v>
      </c>
      <c r="S2" s="1" t="s">
        <v>566</v>
      </c>
      <c r="T2" s="1" t="s">
        <v>402</v>
      </c>
      <c r="U2" s="1" t="s">
        <v>230</v>
      </c>
      <c r="V2" s="1" t="s">
        <v>402</v>
      </c>
      <c r="W2" s="1" t="s">
        <v>403</v>
      </c>
      <c r="X2" s="1" t="s">
        <v>431</v>
      </c>
      <c r="Y2" s="1" t="s">
        <v>937</v>
      </c>
      <c r="Z2" s="1">
        <v>12</v>
      </c>
      <c r="AA2" s="1" t="s">
        <v>349</v>
      </c>
      <c r="AB2" s="1">
        <v>9</v>
      </c>
      <c r="AC2" s="1" t="s">
        <v>544</v>
      </c>
      <c r="AD2" s="1">
        <v>11</v>
      </c>
      <c r="AE2" s="1">
        <v>2</v>
      </c>
      <c r="AF2" s="1">
        <v>4</v>
      </c>
      <c r="AG2" s="1" t="s">
        <v>454</v>
      </c>
      <c r="AH2" s="1">
        <v>-1</v>
      </c>
      <c r="AI2" s="1" t="s">
        <v>238</v>
      </c>
      <c r="AJ2" s="1">
        <v>-1</v>
      </c>
      <c r="AK2" s="1" t="s">
        <v>238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938</v>
      </c>
      <c r="AT2" s="1" t="s">
        <v>939</v>
      </c>
      <c r="AU2" s="1" t="s">
        <v>285</v>
      </c>
      <c r="AV2" s="1" t="s">
        <v>940</v>
      </c>
      <c r="AW2" s="1" t="s">
        <v>809</v>
      </c>
      <c r="AX2" s="1" t="s">
        <v>584</v>
      </c>
      <c r="AY2" s="1" t="s">
        <v>941</v>
      </c>
      <c r="AZ2" s="1" t="s">
        <v>942</v>
      </c>
      <c r="BA2" s="1" t="s">
        <v>943</v>
      </c>
      <c r="BB2" s="1" t="s">
        <v>944</v>
      </c>
      <c r="BC2" s="1" t="s">
        <v>487</v>
      </c>
      <c r="BD2" s="1" t="s">
        <v>697</v>
      </c>
      <c r="BE2" s="1">
        <v>111.7</v>
      </c>
      <c r="BF2" s="1">
        <v>103.9</v>
      </c>
      <c r="BG2" s="1">
        <v>7.8</v>
      </c>
      <c r="BH2" s="1" t="s">
        <v>268</v>
      </c>
      <c r="BI2" s="1" t="s">
        <v>329</v>
      </c>
      <c r="BJ2" s="1" t="s">
        <v>330</v>
      </c>
      <c r="BK2" s="1" t="s">
        <v>330</v>
      </c>
      <c r="BL2" s="1" t="s">
        <v>627</v>
      </c>
      <c r="BM2" s="1" t="s">
        <v>466</v>
      </c>
      <c r="BN2" s="1" t="s">
        <v>55</v>
      </c>
      <c r="BO2" s="1" t="s">
        <v>252</v>
      </c>
      <c r="BP2" s="1" t="s">
        <v>262</v>
      </c>
      <c r="BQ2" s="1" t="s">
        <v>945</v>
      </c>
      <c r="BR2" s="1" t="s">
        <v>329</v>
      </c>
      <c r="BS2" s="1" t="s">
        <v>513</v>
      </c>
      <c r="BT2" s="1"/>
      <c r="BU2" s="1"/>
      <c r="BV2" s="1"/>
      <c r="BW2" s="1"/>
      <c r="BX2" s="1"/>
      <c r="BY2" s="1" t="s">
        <v>513</v>
      </c>
      <c r="BZ2" s="1" t="s">
        <v>258</v>
      </c>
      <c r="CA2" s="1" t="s">
        <v>631</v>
      </c>
      <c r="CB2" s="1" t="s">
        <v>263</v>
      </c>
      <c r="CC2" s="1" t="s">
        <v>517</v>
      </c>
    </row>
    <row r="3" spans="1:81" x14ac:dyDescent="0.25">
      <c r="A3" s="1">
        <v>1610612745</v>
      </c>
      <c r="B3" s="1" t="s">
        <v>48</v>
      </c>
      <c r="C3" s="1" t="s">
        <v>935</v>
      </c>
      <c r="D3" s="1" t="s">
        <v>423</v>
      </c>
      <c r="E3" s="1" t="s">
        <v>424</v>
      </c>
      <c r="F3" s="1" t="s">
        <v>222</v>
      </c>
      <c r="G3" s="1" t="s">
        <v>946</v>
      </c>
      <c r="H3" s="1">
        <v>1</v>
      </c>
      <c r="I3" s="1" t="s">
        <v>224</v>
      </c>
      <c r="J3" s="1" t="s">
        <v>427</v>
      </c>
      <c r="K3" s="1" t="s">
        <v>309</v>
      </c>
      <c r="L3" s="1">
        <v>1</v>
      </c>
      <c r="M3" s="1">
        <v>65</v>
      </c>
      <c r="N3" s="1">
        <v>17</v>
      </c>
      <c r="O3" s="1">
        <v>0.79300000000000004</v>
      </c>
      <c r="P3" s="1">
        <v>0</v>
      </c>
      <c r="Q3" s="1" t="s">
        <v>947</v>
      </c>
      <c r="R3" s="1" t="s">
        <v>344</v>
      </c>
      <c r="S3" s="1" t="s">
        <v>374</v>
      </c>
      <c r="T3" s="1" t="s">
        <v>231</v>
      </c>
      <c r="U3" s="1" t="s">
        <v>401</v>
      </c>
      <c r="V3" s="1" t="s">
        <v>231</v>
      </c>
      <c r="W3" s="1" t="s">
        <v>347</v>
      </c>
      <c r="X3" s="1" t="s">
        <v>696</v>
      </c>
      <c r="Y3" s="1" t="s">
        <v>948</v>
      </c>
      <c r="Z3" s="1">
        <v>20</v>
      </c>
      <c r="AA3" s="1" t="s">
        <v>949</v>
      </c>
      <c r="AB3" s="1">
        <v>10</v>
      </c>
      <c r="AC3" s="1" t="s">
        <v>278</v>
      </c>
      <c r="AD3" s="1">
        <v>17</v>
      </c>
      <c r="AE3" s="1">
        <v>5</v>
      </c>
      <c r="AF3" s="1">
        <v>-1</v>
      </c>
      <c r="AG3" s="1" t="s">
        <v>238</v>
      </c>
      <c r="AH3" s="1">
        <v>-1</v>
      </c>
      <c r="AI3" s="1" t="s">
        <v>238</v>
      </c>
      <c r="AJ3" s="1">
        <v>-1</v>
      </c>
      <c r="AK3" s="1" t="s">
        <v>238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950</v>
      </c>
      <c r="AT3" s="1" t="s">
        <v>951</v>
      </c>
      <c r="AU3" s="1" t="s">
        <v>241</v>
      </c>
      <c r="AV3" s="1" t="s">
        <v>952</v>
      </c>
      <c r="AW3" s="1" t="s">
        <v>953</v>
      </c>
      <c r="AX3" s="1" t="s">
        <v>244</v>
      </c>
      <c r="AY3" s="1" t="s">
        <v>954</v>
      </c>
      <c r="AZ3" s="1" t="s">
        <v>955</v>
      </c>
      <c r="BA3" s="1" t="s">
        <v>956</v>
      </c>
      <c r="BB3" s="1" t="s">
        <v>620</v>
      </c>
      <c r="BC3" s="1" t="s">
        <v>415</v>
      </c>
      <c r="BD3" s="1" t="s">
        <v>957</v>
      </c>
      <c r="BE3" s="1">
        <v>112.4</v>
      </c>
      <c r="BF3" s="1">
        <v>103.9</v>
      </c>
      <c r="BG3" s="1">
        <v>8.5</v>
      </c>
      <c r="BH3" s="1" t="s">
        <v>418</v>
      </c>
      <c r="BI3" s="1" t="s">
        <v>55</v>
      </c>
      <c r="BJ3" s="1" t="s">
        <v>419</v>
      </c>
      <c r="BK3" s="1" t="s">
        <v>419</v>
      </c>
      <c r="BL3" s="1" t="s">
        <v>946</v>
      </c>
      <c r="BM3" s="1" t="s">
        <v>958</v>
      </c>
      <c r="BN3" s="1" t="s">
        <v>292</v>
      </c>
      <c r="BO3" s="1" t="s">
        <v>329</v>
      </c>
      <c r="BP3" s="1" t="s">
        <v>301</v>
      </c>
      <c r="BQ3" s="1" t="s">
        <v>959</v>
      </c>
      <c r="BR3" s="1" t="s">
        <v>960</v>
      </c>
      <c r="BS3" s="1" t="s">
        <v>363</v>
      </c>
      <c r="BT3" s="1"/>
      <c r="BU3" s="1"/>
      <c r="BV3" s="1"/>
      <c r="BW3" s="1"/>
      <c r="BX3" s="1"/>
      <c r="BY3" s="1" t="s">
        <v>495</v>
      </c>
      <c r="BZ3" s="1" t="s">
        <v>961</v>
      </c>
      <c r="CA3" s="1" t="s">
        <v>258</v>
      </c>
      <c r="CB3" s="1" t="s">
        <v>962</v>
      </c>
      <c r="CC3" s="1" t="s">
        <v>963</v>
      </c>
    </row>
    <row r="4" spans="1:81" x14ac:dyDescent="0.25">
      <c r="A4" s="1">
        <v>1610612738</v>
      </c>
      <c r="B4" s="1" t="s">
        <v>48</v>
      </c>
      <c r="C4" s="1" t="s">
        <v>935</v>
      </c>
      <c r="D4" s="1" t="s">
        <v>448</v>
      </c>
      <c r="E4" s="1" t="s">
        <v>449</v>
      </c>
      <c r="F4" s="1" t="s">
        <v>267</v>
      </c>
      <c r="G4" s="1" t="s">
        <v>471</v>
      </c>
      <c r="H4" s="1">
        <v>2</v>
      </c>
      <c r="I4" s="1" t="s">
        <v>371</v>
      </c>
      <c r="J4" s="1" t="s">
        <v>308</v>
      </c>
      <c r="K4" s="1" t="s">
        <v>309</v>
      </c>
      <c r="L4" s="1">
        <v>2</v>
      </c>
      <c r="M4" s="1">
        <v>55</v>
      </c>
      <c r="N4" s="1">
        <v>27</v>
      </c>
      <c r="O4" s="1">
        <v>0.67100000000000004</v>
      </c>
      <c r="P4" s="1">
        <v>0</v>
      </c>
      <c r="Q4" s="1" t="s">
        <v>964</v>
      </c>
      <c r="R4" s="1" t="s">
        <v>229</v>
      </c>
      <c r="S4" s="1" t="s">
        <v>451</v>
      </c>
      <c r="T4" s="1" t="s">
        <v>402</v>
      </c>
      <c r="U4" s="1" t="s">
        <v>402</v>
      </c>
      <c r="V4" s="1" t="s">
        <v>402</v>
      </c>
      <c r="W4" s="1" t="s">
        <v>550</v>
      </c>
      <c r="X4" s="1" t="s">
        <v>965</v>
      </c>
      <c r="Y4" s="1" t="s">
        <v>854</v>
      </c>
      <c r="Z4" s="1">
        <v>8</v>
      </c>
      <c r="AA4" s="1" t="s">
        <v>405</v>
      </c>
      <c r="AB4" s="1">
        <v>9</v>
      </c>
      <c r="AC4" s="1" t="s">
        <v>544</v>
      </c>
      <c r="AD4" s="1">
        <v>16</v>
      </c>
      <c r="AE4" s="1">
        <v>4</v>
      </c>
      <c r="AF4" s="1">
        <v>1</v>
      </c>
      <c r="AG4" s="1" t="s">
        <v>317</v>
      </c>
      <c r="AH4" s="1">
        <v>-3</v>
      </c>
      <c r="AI4" s="1" t="s">
        <v>350</v>
      </c>
      <c r="AJ4" s="1">
        <v>1</v>
      </c>
      <c r="AK4" s="1" t="s">
        <v>317</v>
      </c>
      <c r="AL4" s="1">
        <v>4</v>
      </c>
      <c r="AM4" s="1">
        <v>4</v>
      </c>
      <c r="AN4" s="1">
        <v>0</v>
      </c>
      <c r="AO4" s="1">
        <v>0</v>
      </c>
      <c r="AP4" s="1">
        <v>1</v>
      </c>
      <c r="AQ4" s="1">
        <v>0</v>
      </c>
      <c r="AR4" s="1">
        <v>0</v>
      </c>
      <c r="AS4" s="1" t="s">
        <v>697</v>
      </c>
      <c r="AT4" s="1" t="s">
        <v>966</v>
      </c>
      <c r="AU4" s="1" t="s">
        <v>347</v>
      </c>
      <c r="AV4" s="1" t="s">
        <v>967</v>
      </c>
      <c r="AW4" s="1" t="s">
        <v>968</v>
      </c>
      <c r="AX4" s="1" t="s">
        <v>438</v>
      </c>
      <c r="AY4" s="1" t="s">
        <v>969</v>
      </c>
      <c r="AZ4" s="1" t="s">
        <v>474</v>
      </c>
      <c r="BA4" s="1" t="s">
        <v>648</v>
      </c>
      <c r="BB4" s="1" t="s">
        <v>239</v>
      </c>
      <c r="BC4" s="1" t="s">
        <v>970</v>
      </c>
      <c r="BD4" s="1" t="s">
        <v>288</v>
      </c>
      <c r="BE4" s="1">
        <v>104</v>
      </c>
      <c r="BF4" s="1">
        <v>100.4</v>
      </c>
      <c r="BG4" s="1">
        <v>3.6</v>
      </c>
      <c r="BH4" s="1" t="s">
        <v>471</v>
      </c>
      <c r="BI4" s="1" t="s">
        <v>329</v>
      </c>
      <c r="BJ4" s="1" t="s">
        <v>255</v>
      </c>
      <c r="BK4" s="1" t="s">
        <v>388</v>
      </c>
      <c r="BL4" s="1" t="s">
        <v>251</v>
      </c>
      <c r="BM4" s="1" t="s">
        <v>419</v>
      </c>
      <c r="BN4" s="1" t="s">
        <v>362</v>
      </c>
      <c r="BO4" s="1" t="s">
        <v>55</v>
      </c>
      <c r="BP4" s="1" t="s">
        <v>971</v>
      </c>
      <c r="BQ4" s="1" t="s">
        <v>257</v>
      </c>
      <c r="BR4" s="1" t="s">
        <v>972</v>
      </c>
      <c r="BS4" s="1" t="s">
        <v>390</v>
      </c>
      <c r="BT4" s="1"/>
      <c r="BU4" s="1"/>
      <c r="BV4" s="1"/>
      <c r="BW4" s="1"/>
      <c r="BX4" s="1"/>
      <c r="BY4" s="1" t="s">
        <v>420</v>
      </c>
      <c r="BZ4" s="1" t="s">
        <v>293</v>
      </c>
      <c r="CA4" s="1" t="s">
        <v>973</v>
      </c>
      <c r="CB4" s="1" t="s">
        <v>974</v>
      </c>
      <c r="CC4" s="1" t="s">
        <v>337</v>
      </c>
    </row>
    <row r="5" spans="1:81" x14ac:dyDescent="0.25">
      <c r="A5" s="1">
        <v>1610612744</v>
      </c>
      <c r="B5" s="1" t="s">
        <v>48</v>
      </c>
      <c r="C5" s="1" t="s">
        <v>935</v>
      </c>
      <c r="D5" s="1" t="s">
        <v>220</v>
      </c>
      <c r="E5" s="1" t="s">
        <v>221</v>
      </c>
      <c r="F5" s="1" t="s">
        <v>222</v>
      </c>
      <c r="G5" s="1" t="s">
        <v>340</v>
      </c>
      <c r="H5" s="1">
        <v>2</v>
      </c>
      <c r="I5" s="1" t="s">
        <v>975</v>
      </c>
      <c r="J5" s="1" t="s">
        <v>225</v>
      </c>
      <c r="K5" s="1" t="s">
        <v>226</v>
      </c>
      <c r="L5" s="1">
        <v>1</v>
      </c>
      <c r="M5" s="1">
        <v>58</v>
      </c>
      <c r="N5" s="1">
        <v>24</v>
      </c>
      <c r="O5" s="1">
        <v>0.70699999999999996</v>
      </c>
      <c r="P5" s="1">
        <v>0</v>
      </c>
      <c r="Q5" s="1" t="s">
        <v>310</v>
      </c>
      <c r="R5" s="1" t="s">
        <v>432</v>
      </c>
      <c r="S5" s="1" t="s">
        <v>432</v>
      </c>
      <c r="T5" s="1" t="s">
        <v>346</v>
      </c>
      <c r="U5" s="1" t="s">
        <v>274</v>
      </c>
      <c r="V5" s="1" t="s">
        <v>274</v>
      </c>
      <c r="W5" s="1" t="s">
        <v>347</v>
      </c>
      <c r="X5" s="1" t="s">
        <v>617</v>
      </c>
      <c r="Y5" s="1" t="s">
        <v>976</v>
      </c>
      <c r="Z5" s="1">
        <v>8</v>
      </c>
      <c r="AA5" s="1" t="s">
        <v>405</v>
      </c>
      <c r="AB5" s="1">
        <v>14</v>
      </c>
      <c r="AC5" s="1" t="s">
        <v>977</v>
      </c>
      <c r="AD5" s="1">
        <v>11</v>
      </c>
      <c r="AE5" s="1">
        <v>3</v>
      </c>
      <c r="AF5" s="1">
        <v>-1</v>
      </c>
      <c r="AG5" s="1" t="s">
        <v>238</v>
      </c>
      <c r="AH5" s="1">
        <v>-1</v>
      </c>
      <c r="AI5" s="1" t="s">
        <v>238</v>
      </c>
      <c r="AJ5" s="1">
        <v>-1</v>
      </c>
      <c r="AK5" s="1" t="s">
        <v>238</v>
      </c>
      <c r="AL5" s="1">
        <v>7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978</v>
      </c>
      <c r="AT5" s="1" t="s">
        <v>979</v>
      </c>
      <c r="AU5" s="1" t="s">
        <v>617</v>
      </c>
      <c r="AV5" s="1" t="s">
        <v>980</v>
      </c>
      <c r="AW5" s="1" t="s">
        <v>981</v>
      </c>
      <c r="AX5" s="1" t="s">
        <v>275</v>
      </c>
      <c r="AY5" s="1" t="s">
        <v>982</v>
      </c>
      <c r="AZ5" s="1" t="s">
        <v>983</v>
      </c>
      <c r="BA5" s="1" t="s">
        <v>984</v>
      </c>
      <c r="BB5" s="1" t="s">
        <v>985</v>
      </c>
      <c r="BC5" s="1" t="s">
        <v>986</v>
      </c>
      <c r="BD5" s="1" t="s">
        <v>250</v>
      </c>
      <c r="BE5" s="1">
        <v>113.5</v>
      </c>
      <c r="BF5" s="1">
        <v>107.5</v>
      </c>
      <c r="BG5" s="1">
        <v>6</v>
      </c>
      <c r="BH5" s="1" t="s">
        <v>418</v>
      </c>
      <c r="BI5" s="1" t="s">
        <v>419</v>
      </c>
      <c r="BJ5" s="1" t="s">
        <v>55</v>
      </c>
      <c r="BK5" s="1" t="s">
        <v>419</v>
      </c>
      <c r="BL5" s="1" t="s">
        <v>340</v>
      </c>
      <c r="BM5" s="1" t="s">
        <v>444</v>
      </c>
      <c r="BN5" s="1" t="s">
        <v>254</v>
      </c>
      <c r="BO5" s="1" t="s">
        <v>292</v>
      </c>
      <c r="BP5" s="1" t="s">
        <v>631</v>
      </c>
      <c r="BQ5" s="1" t="s">
        <v>577</v>
      </c>
      <c r="BR5" s="1" t="s">
        <v>261</v>
      </c>
      <c r="BS5" s="1" t="s">
        <v>363</v>
      </c>
      <c r="BT5" s="1"/>
      <c r="BU5" s="1"/>
      <c r="BV5" s="1"/>
      <c r="BW5" s="1"/>
      <c r="BX5" s="1"/>
      <c r="BY5" s="1" t="s">
        <v>495</v>
      </c>
      <c r="BZ5" s="1" t="s">
        <v>631</v>
      </c>
      <c r="CA5" s="1" t="s">
        <v>629</v>
      </c>
      <c r="CB5" s="1" t="s">
        <v>987</v>
      </c>
      <c r="CC5" s="1" t="s">
        <v>394</v>
      </c>
    </row>
    <row r="6" spans="1:81" x14ac:dyDescent="0.25">
      <c r="A6" s="1">
        <v>1610612757</v>
      </c>
      <c r="B6" s="1" t="s">
        <v>48</v>
      </c>
      <c r="C6" s="1" t="s">
        <v>935</v>
      </c>
      <c r="D6" s="1" t="s">
        <v>395</v>
      </c>
      <c r="E6" s="1" t="s">
        <v>396</v>
      </c>
      <c r="F6" s="1" t="s">
        <v>222</v>
      </c>
      <c r="G6" s="1" t="s">
        <v>370</v>
      </c>
      <c r="H6" s="1">
        <v>3</v>
      </c>
      <c r="I6" s="1" t="s">
        <v>341</v>
      </c>
      <c r="J6" s="1" t="s">
        <v>342</v>
      </c>
      <c r="K6" s="1" t="s">
        <v>521</v>
      </c>
      <c r="L6" s="1">
        <v>1</v>
      </c>
      <c r="M6" s="1">
        <v>49</v>
      </c>
      <c r="N6" s="1">
        <v>33</v>
      </c>
      <c r="O6" s="1">
        <v>0.59799999999999998</v>
      </c>
      <c r="P6" s="1">
        <v>0</v>
      </c>
      <c r="Q6" s="1" t="s">
        <v>450</v>
      </c>
      <c r="R6" s="1" t="s">
        <v>451</v>
      </c>
      <c r="S6" s="1" t="s">
        <v>400</v>
      </c>
      <c r="T6" s="1" t="s">
        <v>274</v>
      </c>
      <c r="U6" s="1" t="s">
        <v>230</v>
      </c>
      <c r="V6" s="1" t="s">
        <v>274</v>
      </c>
      <c r="W6" s="1" t="s">
        <v>409</v>
      </c>
      <c r="X6" s="1" t="s">
        <v>372</v>
      </c>
      <c r="Y6" s="1" t="s">
        <v>988</v>
      </c>
      <c r="Z6" s="1">
        <v>9</v>
      </c>
      <c r="AA6" s="1" t="s">
        <v>544</v>
      </c>
      <c r="AB6" s="1">
        <v>7</v>
      </c>
      <c r="AC6" s="1" t="s">
        <v>433</v>
      </c>
      <c r="AD6" s="1">
        <v>13</v>
      </c>
      <c r="AE6" s="1">
        <v>5</v>
      </c>
      <c r="AF6" s="1">
        <v>3</v>
      </c>
      <c r="AG6" s="1" t="s">
        <v>316</v>
      </c>
      <c r="AH6" s="1">
        <v>-5</v>
      </c>
      <c r="AI6" s="1" t="s">
        <v>378</v>
      </c>
      <c r="AJ6" s="1">
        <v>1</v>
      </c>
      <c r="AK6" s="1" t="s">
        <v>317</v>
      </c>
      <c r="AL6" s="1">
        <v>16</v>
      </c>
      <c r="AM6" s="1">
        <v>0</v>
      </c>
      <c r="AN6" s="1">
        <v>0</v>
      </c>
      <c r="AO6" s="1">
        <v>1</v>
      </c>
      <c r="AP6" s="1">
        <v>1</v>
      </c>
      <c r="AQ6" s="1">
        <v>0</v>
      </c>
      <c r="AR6" s="1">
        <v>0</v>
      </c>
      <c r="AS6" s="1" t="s">
        <v>989</v>
      </c>
      <c r="AT6" s="1" t="s">
        <v>809</v>
      </c>
      <c r="AU6" s="1" t="s">
        <v>640</v>
      </c>
      <c r="AV6" s="1" t="s">
        <v>990</v>
      </c>
      <c r="AW6" s="1" t="s">
        <v>991</v>
      </c>
      <c r="AX6" s="1" t="s">
        <v>355</v>
      </c>
      <c r="AY6" s="1" t="s">
        <v>992</v>
      </c>
      <c r="AZ6" s="1" t="s">
        <v>993</v>
      </c>
      <c r="BA6" s="1" t="s">
        <v>994</v>
      </c>
      <c r="BB6" s="1" t="s">
        <v>586</v>
      </c>
      <c r="BC6" s="1" t="s">
        <v>591</v>
      </c>
      <c r="BD6" s="1" t="s">
        <v>995</v>
      </c>
      <c r="BE6" s="1">
        <v>105.6</v>
      </c>
      <c r="BF6" s="1">
        <v>103</v>
      </c>
      <c r="BG6" s="1">
        <v>2.6</v>
      </c>
      <c r="BH6" s="1" t="s">
        <v>593</v>
      </c>
      <c r="BI6" s="1" t="s">
        <v>465</v>
      </c>
      <c r="BJ6" s="1" t="s">
        <v>55</v>
      </c>
      <c r="BK6" s="1" t="s">
        <v>252</v>
      </c>
      <c r="BL6" s="1" t="s">
        <v>370</v>
      </c>
      <c r="BM6" s="1" t="s">
        <v>533</v>
      </c>
      <c r="BN6" s="1" t="s">
        <v>996</v>
      </c>
      <c r="BO6" s="1" t="s">
        <v>628</v>
      </c>
      <c r="BP6" s="1" t="s">
        <v>491</v>
      </c>
      <c r="BQ6" s="1" t="s">
        <v>55</v>
      </c>
      <c r="BR6" s="1" t="s">
        <v>295</v>
      </c>
      <c r="BS6" s="1" t="s">
        <v>390</v>
      </c>
      <c r="BT6" s="1"/>
      <c r="BU6" s="1"/>
      <c r="BV6" s="1"/>
      <c r="BW6" s="1"/>
      <c r="BX6" s="1"/>
      <c r="BY6" s="1" t="s">
        <v>514</v>
      </c>
      <c r="BZ6" s="1" t="s">
        <v>332</v>
      </c>
      <c r="CA6" s="1" t="s">
        <v>579</v>
      </c>
      <c r="CB6" s="1" t="s">
        <v>997</v>
      </c>
      <c r="CC6" s="1" t="s">
        <v>998</v>
      </c>
    </row>
    <row r="7" spans="1:81" x14ac:dyDescent="0.25">
      <c r="A7" s="1">
        <v>1610612755</v>
      </c>
      <c r="B7" s="1" t="s">
        <v>48</v>
      </c>
      <c r="C7" s="1" t="s">
        <v>935</v>
      </c>
      <c r="D7" s="1" t="s">
        <v>368</v>
      </c>
      <c r="E7" s="1" t="s">
        <v>369</v>
      </c>
      <c r="F7" s="1" t="s">
        <v>267</v>
      </c>
      <c r="G7" s="1" t="s">
        <v>340</v>
      </c>
      <c r="H7" s="1">
        <v>3</v>
      </c>
      <c r="I7" s="1" t="s">
        <v>371</v>
      </c>
      <c r="J7" s="1" t="s">
        <v>308</v>
      </c>
      <c r="K7" s="1" t="s">
        <v>521</v>
      </c>
      <c r="L7" s="1">
        <v>3</v>
      </c>
      <c r="M7" s="1">
        <v>52</v>
      </c>
      <c r="N7" s="1">
        <v>30</v>
      </c>
      <c r="O7" s="1">
        <v>0.63400000000000001</v>
      </c>
      <c r="P7" s="1">
        <v>0</v>
      </c>
      <c r="Q7" s="1" t="s">
        <v>999</v>
      </c>
      <c r="R7" s="1" t="s">
        <v>228</v>
      </c>
      <c r="S7" s="1" t="s">
        <v>429</v>
      </c>
      <c r="T7" s="1" t="s">
        <v>1000</v>
      </c>
      <c r="U7" s="1" t="s">
        <v>1000</v>
      </c>
      <c r="V7" s="1" t="s">
        <v>230</v>
      </c>
      <c r="W7" s="1" t="s">
        <v>285</v>
      </c>
      <c r="X7" s="1" t="s">
        <v>864</v>
      </c>
      <c r="Y7" s="1" t="s">
        <v>1001</v>
      </c>
      <c r="Z7" s="1">
        <v>11</v>
      </c>
      <c r="AA7" s="1" t="s">
        <v>236</v>
      </c>
      <c r="AB7" s="1">
        <v>7</v>
      </c>
      <c r="AC7" s="1" t="s">
        <v>433</v>
      </c>
      <c r="AD7" s="1">
        <v>16</v>
      </c>
      <c r="AE7" s="1">
        <v>5</v>
      </c>
      <c r="AF7" s="1">
        <v>10</v>
      </c>
      <c r="AG7" s="1" t="s">
        <v>278</v>
      </c>
      <c r="AH7" s="1">
        <v>7</v>
      </c>
      <c r="AI7" s="1" t="s">
        <v>433</v>
      </c>
      <c r="AJ7" s="1">
        <v>16</v>
      </c>
      <c r="AK7" s="1" t="s">
        <v>1002</v>
      </c>
      <c r="AL7" s="1">
        <v>7</v>
      </c>
      <c r="AM7" s="1">
        <v>7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1003</v>
      </c>
      <c r="AT7" s="1" t="s">
        <v>1004</v>
      </c>
      <c r="AU7" s="1" t="s">
        <v>282</v>
      </c>
      <c r="AV7" s="1" t="s">
        <v>1005</v>
      </c>
      <c r="AW7" s="1" t="s">
        <v>837</v>
      </c>
      <c r="AX7" s="1" t="s">
        <v>347</v>
      </c>
      <c r="AY7" s="1" t="s">
        <v>1006</v>
      </c>
      <c r="AZ7" s="1" t="s">
        <v>1007</v>
      </c>
      <c r="BA7" s="1" t="s">
        <v>1008</v>
      </c>
      <c r="BB7" s="1" t="s">
        <v>1009</v>
      </c>
      <c r="BC7" s="1" t="s">
        <v>302</v>
      </c>
      <c r="BD7" s="1" t="s">
        <v>1010</v>
      </c>
      <c r="BE7" s="1">
        <v>109.8</v>
      </c>
      <c r="BF7" s="1">
        <v>105.3</v>
      </c>
      <c r="BG7" s="1">
        <v>4.5</v>
      </c>
      <c r="BH7" s="1" t="s">
        <v>340</v>
      </c>
      <c r="BI7" s="1" t="s">
        <v>533</v>
      </c>
      <c r="BJ7" s="1" t="s">
        <v>388</v>
      </c>
      <c r="BK7" s="1" t="s">
        <v>330</v>
      </c>
      <c r="BL7" s="1" t="s">
        <v>593</v>
      </c>
      <c r="BM7" s="1" t="s">
        <v>362</v>
      </c>
      <c r="BN7" s="1" t="s">
        <v>465</v>
      </c>
      <c r="BO7" s="1" t="s">
        <v>362</v>
      </c>
      <c r="BP7" s="1" t="s">
        <v>971</v>
      </c>
      <c r="BQ7" s="1" t="s">
        <v>577</v>
      </c>
      <c r="BR7" s="1" t="s">
        <v>254</v>
      </c>
      <c r="BS7" s="1" t="s">
        <v>299</v>
      </c>
      <c r="BT7" s="1"/>
      <c r="BU7" s="1"/>
      <c r="BV7" s="1"/>
      <c r="BW7" s="1"/>
      <c r="BX7" s="1"/>
      <c r="BY7" s="1" t="s">
        <v>707</v>
      </c>
      <c r="BZ7" s="1" t="s">
        <v>258</v>
      </c>
      <c r="CA7" s="1" t="s">
        <v>559</v>
      </c>
      <c r="CB7" s="1" t="s">
        <v>1011</v>
      </c>
      <c r="CC7" s="1" t="s">
        <v>1012</v>
      </c>
    </row>
    <row r="8" spans="1:81" x14ac:dyDescent="0.25">
      <c r="A8" s="1">
        <v>1610612739</v>
      </c>
      <c r="B8" s="1" t="s">
        <v>48</v>
      </c>
      <c r="C8" s="1" t="s">
        <v>935</v>
      </c>
      <c r="D8" s="1" t="s">
        <v>823</v>
      </c>
      <c r="E8" s="1" t="s">
        <v>824</v>
      </c>
      <c r="F8" s="1" t="s">
        <v>267</v>
      </c>
      <c r="G8" s="1" t="s">
        <v>223</v>
      </c>
      <c r="H8" s="1">
        <v>4</v>
      </c>
      <c r="I8" s="1" t="s">
        <v>1013</v>
      </c>
      <c r="J8" s="1" t="s">
        <v>270</v>
      </c>
      <c r="K8" s="1" t="s">
        <v>472</v>
      </c>
      <c r="L8" s="1">
        <v>1</v>
      </c>
      <c r="M8" s="1">
        <v>50</v>
      </c>
      <c r="N8" s="1">
        <v>32</v>
      </c>
      <c r="O8" s="1">
        <v>0.61</v>
      </c>
      <c r="P8" s="1">
        <v>0</v>
      </c>
      <c r="Q8" s="1" t="s">
        <v>501</v>
      </c>
      <c r="R8" s="1" t="s">
        <v>432</v>
      </c>
      <c r="S8" s="1" t="s">
        <v>400</v>
      </c>
      <c r="T8" s="1" t="s">
        <v>231</v>
      </c>
      <c r="U8" s="1" t="s">
        <v>230</v>
      </c>
      <c r="V8" s="1" t="s">
        <v>274</v>
      </c>
      <c r="W8" s="1" t="s">
        <v>347</v>
      </c>
      <c r="X8" s="1" t="s">
        <v>737</v>
      </c>
      <c r="Y8" s="1" t="s">
        <v>1014</v>
      </c>
      <c r="Z8" s="1">
        <v>13</v>
      </c>
      <c r="AA8" s="1" t="s">
        <v>1015</v>
      </c>
      <c r="AB8" s="1">
        <v>7</v>
      </c>
      <c r="AC8" s="1" t="s">
        <v>433</v>
      </c>
      <c r="AD8" s="1">
        <v>13</v>
      </c>
      <c r="AE8" s="1">
        <v>4</v>
      </c>
      <c r="AF8" s="1">
        <v>-1</v>
      </c>
      <c r="AG8" s="1" t="s">
        <v>238</v>
      </c>
      <c r="AH8" s="1">
        <v>1</v>
      </c>
      <c r="AI8" s="1" t="s">
        <v>317</v>
      </c>
      <c r="AJ8" s="1">
        <v>-1</v>
      </c>
      <c r="AK8" s="1" t="s">
        <v>238</v>
      </c>
      <c r="AL8" s="1">
        <v>9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1016</v>
      </c>
      <c r="AT8" s="1" t="s">
        <v>567</v>
      </c>
      <c r="AU8" s="1" t="s">
        <v>347</v>
      </c>
      <c r="AV8" s="1" t="s">
        <v>1017</v>
      </c>
      <c r="AW8" s="1" t="s">
        <v>1018</v>
      </c>
      <c r="AX8" s="1" t="s">
        <v>241</v>
      </c>
      <c r="AY8" s="1" t="s">
        <v>1019</v>
      </c>
      <c r="AZ8" s="1" t="s">
        <v>1020</v>
      </c>
      <c r="BA8" s="1" t="s">
        <v>1021</v>
      </c>
      <c r="BB8" s="1" t="s">
        <v>986</v>
      </c>
      <c r="BC8" s="1" t="s">
        <v>1022</v>
      </c>
      <c r="BD8" s="1" t="s">
        <v>1023</v>
      </c>
      <c r="BE8" s="1">
        <v>110.9</v>
      </c>
      <c r="BF8" s="1">
        <v>109.9</v>
      </c>
      <c r="BG8" s="1">
        <v>0.9</v>
      </c>
      <c r="BH8" s="1" t="s">
        <v>223</v>
      </c>
      <c r="BI8" s="1" t="s">
        <v>388</v>
      </c>
      <c r="BJ8" s="1" t="s">
        <v>491</v>
      </c>
      <c r="BK8" s="1" t="s">
        <v>292</v>
      </c>
      <c r="BL8" s="1" t="s">
        <v>492</v>
      </c>
      <c r="BM8" s="1" t="s">
        <v>466</v>
      </c>
      <c r="BN8" s="1" t="s">
        <v>466</v>
      </c>
      <c r="BO8" s="1" t="s">
        <v>466</v>
      </c>
      <c r="BP8" s="1" t="s">
        <v>68</v>
      </c>
      <c r="BQ8" s="1" t="s">
        <v>55</v>
      </c>
      <c r="BR8" s="1" t="s">
        <v>297</v>
      </c>
      <c r="BS8" s="1" t="s">
        <v>513</v>
      </c>
      <c r="BT8" s="1"/>
      <c r="BU8" s="1"/>
      <c r="BV8" s="1"/>
      <c r="BW8" s="1"/>
      <c r="BX8" s="1"/>
      <c r="BY8" s="1" t="s">
        <v>707</v>
      </c>
      <c r="BZ8" s="1" t="s">
        <v>295</v>
      </c>
      <c r="CA8" s="1" t="s">
        <v>258</v>
      </c>
      <c r="CB8" s="1" t="s">
        <v>1024</v>
      </c>
      <c r="CC8" s="1" t="s">
        <v>1025</v>
      </c>
    </row>
    <row r="9" spans="1:81" x14ac:dyDescent="0.25">
      <c r="A9" s="1">
        <v>1610612760</v>
      </c>
      <c r="B9" s="1" t="s">
        <v>48</v>
      </c>
      <c r="C9" s="1" t="s">
        <v>935</v>
      </c>
      <c r="D9" s="1" t="s">
        <v>518</v>
      </c>
      <c r="E9" s="1" t="s">
        <v>519</v>
      </c>
      <c r="F9" s="1" t="s">
        <v>222</v>
      </c>
      <c r="G9" s="1" t="s">
        <v>520</v>
      </c>
      <c r="H9" s="1">
        <v>4</v>
      </c>
      <c r="I9" s="1" t="s">
        <v>371</v>
      </c>
      <c r="J9" s="1" t="s">
        <v>342</v>
      </c>
      <c r="K9" s="1" t="s">
        <v>733</v>
      </c>
      <c r="L9" s="1">
        <v>2</v>
      </c>
      <c r="M9" s="1">
        <v>48</v>
      </c>
      <c r="N9" s="1">
        <v>34</v>
      </c>
      <c r="O9" s="1">
        <v>0.58499999999999996</v>
      </c>
      <c r="P9" s="1">
        <v>0</v>
      </c>
      <c r="Q9" s="1" t="s">
        <v>473</v>
      </c>
      <c r="R9" s="1" t="s">
        <v>229</v>
      </c>
      <c r="S9" s="1" t="s">
        <v>400</v>
      </c>
      <c r="T9" s="1" t="s">
        <v>274</v>
      </c>
      <c r="U9" s="1" t="s">
        <v>402</v>
      </c>
      <c r="V9" s="1" t="s">
        <v>231</v>
      </c>
      <c r="W9" s="1" t="s">
        <v>584</v>
      </c>
      <c r="X9" s="1" t="s">
        <v>1026</v>
      </c>
      <c r="Y9" s="1" t="s">
        <v>1027</v>
      </c>
      <c r="Z9" s="1">
        <v>5</v>
      </c>
      <c r="AA9" s="1" t="s">
        <v>237</v>
      </c>
      <c r="AB9" s="1">
        <v>-8</v>
      </c>
      <c r="AC9" s="1" t="s">
        <v>714</v>
      </c>
      <c r="AD9" s="1">
        <v>8</v>
      </c>
      <c r="AE9" s="1">
        <v>4</v>
      </c>
      <c r="AF9" s="1">
        <v>1</v>
      </c>
      <c r="AG9" s="1" t="s">
        <v>317</v>
      </c>
      <c r="AH9" s="1">
        <v>3</v>
      </c>
      <c r="AI9" s="1" t="s">
        <v>316</v>
      </c>
      <c r="AJ9" s="1">
        <v>3</v>
      </c>
      <c r="AK9" s="1" t="s">
        <v>316</v>
      </c>
      <c r="AL9" s="1">
        <v>17</v>
      </c>
      <c r="AM9" s="1">
        <v>1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1028</v>
      </c>
      <c r="AT9" s="1" t="s">
        <v>1029</v>
      </c>
      <c r="AU9" s="1" t="s">
        <v>275</v>
      </c>
      <c r="AV9" s="1" t="s">
        <v>1030</v>
      </c>
      <c r="AW9" s="1" t="s">
        <v>1031</v>
      </c>
      <c r="AX9" s="1" t="s">
        <v>438</v>
      </c>
      <c r="AY9" s="1" t="s">
        <v>992</v>
      </c>
      <c r="AZ9" s="1" t="s">
        <v>1032</v>
      </c>
      <c r="BA9" s="1" t="s">
        <v>1033</v>
      </c>
      <c r="BB9" s="1" t="s">
        <v>1034</v>
      </c>
      <c r="BC9" s="1" t="s">
        <v>1035</v>
      </c>
      <c r="BD9" s="1" t="s">
        <v>1036</v>
      </c>
      <c r="BE9" s="1">
        <v>107.9</v>
      </c>
      <c r="BF9" s="1">
        <v>104.4</v>
      </c>
      <c r="BG9" s="1">
        <v>3.4</v>
      </c>
      <c r="BH9" s="1" t="s">
        <v>294</v>
      </c>
      <c r="BI9" s="1" t="s">
        <v>55</v>
      </c>
      <c r="BJ9" s="1" t="s">
        <v>362</v>
      </c>
      <c r="BK9" s="1" t="s">
        <v>362</v>
      </c>
      <c r="BL9" s="1" t="s">
        <v>520</v>
      </c>
      <c r="BM9" s="1" t="s">
        <v>576</v>
      </c>
      <c r="BN9" s="1" t="s">
        <v>253</v>
      </c>
      <c r="BO9" s="1" t="s">
        <v>388</v>
      </c>
      <c r="BP9" s="1" t="s">
        <v>301</v>
      </c>
      <c r="BQ9" s="1" t="s">
        <v>51</v>
      </c>
      <c r="BR9" s="1" t="s">
        <v>300</v>
      </c>
      <c r="BS9" s="1" t="s">
        <v>333</v>
      </c>
      <c r="BT9" s="1"/>
      <c r="BU9" s="1"/>
      <c r="BV9" s="1"/>
      <c r="BW9" s="1"/>
      <c r="BX9" s="1"/>
      <c r="BY9" s="1" t="s">
        <v>514</v>
      </c>
      <c r="BZ9" s="1" t="s">
        <v>1037</v>
      </c>
      <c r="CA9" s="1" t="s">
        <v>1038</v>
      </c>
      <c r="CB9" s="1" t="s">
        <v>595</v>
      </c>
      <c r="CC9" s="1" t="s">
        <v>337</v>
      </c>
    </row>
    <row r="10" spans="1:81" x14ac:dyDescent="0.25">
      <c r="A10" s="1">
        <v>1610612754</v>
      </c>
      <c r="B10" s="1" t="s">
        <v>48</v>
      </c>
      <c r="C10" s="1" t="s">
        <v>935</v>
      </c>
      <c r="D10" s="1" t="s">
        <v>72</v>
      </c>
      <c r="E10" s="1" t="s">
        <v>470</v>
      </c>
      <c r="F10" s="1" t="s">
        <v>267</v>
      </c>
      <c r="G10" s="1" t="s">
        <v>425</v>
      </c>
      <c r="H10" s="1">
        <v>5</v>
      </c>
      <c r="I10" s="1" t="s">
        <v>371</v>
      </c>
      <c r="J10" s="1" t="s">
        <v>270</v>
      </c>
      <c r="K10" s="1" t="s">
        <v>428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473</v>
      </c>
      <c r="R10" s="1" t="s">
        <v>229</v>
      </c>
      <c r="S10" s="1" t="s">
        <v>400</v>
      </c>
      <c r="T10" s="1" t="s">
        <v>231</v>
      </c>
      <c r="U10" s="1" t="s">
        <v>231</v>
      </c>
      <c r="V10" s="1" t="s">
        <v>402</v>
      </c>
      <c r="W10" s="1" t="s">
        <v>241</v>
      </c>
      <c r="X10" s="1" t="s">
        <v>832</v>
      </c>
      <c r="Y10" s="1" t="s">
        <v>1039</v>
      </c>
      <c r="Z10" s="1">
        <v>6</v>
      </c>
      <c r="AA10" s="1" t="s">
        <v>235</v>
      </c>
      <c r="AB10" s="1">
        <v>4</v>
      </c>
      <c r="AC10" s="1" t="s">
        <v>454</v>
      </c>
      <c r="AD10" s="1">
        <v>5</v>
      </c>
      <c r="AE10" s="1">
        <v>5</v>
      </c>
      <c r="AF10" s="1">
        <v>-1</v>
      </c>
      <c r="AG10" s="1" t="s">
        <v>238</v>
      </c>
      <c r="AH10" s="1">
        <v>1</v>
      </c>
      <c r="AI10" s="1" t="s">
        <v>317</v>
      </c>
      <c r="AJ10" s="1">
        <v>-1</v>
      </c>
      <c r="AK10" s="1" t="s">
        <v>238</v>
      </c>
      <c r="AL10" s="1">
        <v>11</v>
      </c>
      <c r="AM10" s="1">
        <v>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327</v>
      </c>
      <c r="AT10" s="1" t="s">
        <v>1040</v>
      </c>
      <c r="AU10" s="1" t="s">
        <v>347</v>
      </c>
      <c r="AV10" s="1" t="s">
        <v>1041</v>
      </c>
      <c r="AW10" s="1" t="s">
        <v>1042</v>
      </c>
      <c r="AX10" s="1" t="s">
        <v>285</v>
      </c>
      <c r="AY10" s="1" t="s">
        <v>1043</v>
      </c>
      <c r="AZ10" s="1" t="s">
        <v>732</v>
      </c>
      <c r="BA10" s="1" t="s">
        <v>1044</v>
      </c>
      <c r="BB10" s="1" t="s">
        <v>1045</v>
      </c>
      <c r="BC10" s="1" t="s">
        <v>1046</v>
      </c>
      <c r="BD10" s="1" t="s">
        <v>1047</v>
      </c>
      <c r="BE10" s="1">
        <v>105.6</v>
      </c>
      <c r="BF10" s="1">
        <v>104.2</v>
      </c>
      <c r="BG10" s="1">
        <v>1.4</v>
      </c>
      <c r="BH10" s="1" t="s">
        <v>425</v>
      </c>
      <c r="BI10" s="1" t="s">
        <v>388</v>
      </c>
      <c r="BJ10" s="1" t="s">
        <v>297</v>
      </c>
      <c r="BK10" s="1" t="s">
        <v>388</v>
      </c>
      <c r="BL10" s="1" t="s">
        <v>705</v>
      </c>
      <c r="BM10" s="1" t="s">
        <v>594</v>
      </c>
      <c r="BN10" s="1" t="s">
        <v>419</v>
      </c>
      <c r="BO10" s="1" t="s">
        <v>465</v>
      </c>
      <c r="BP10" s="1" t="s">
        <v>262</v>
      </c>
      <c r="BQ10" s="1" t="s">
        <v>1048</v>
      </c>
      <c r="BR10" s="1" t="s">
        <v>389</v>
      </c>
      <c r="BS10" s="1" t="s">
        <v>363</v>
      </c>
      <c r="BT10" s="1"/>
      <c r="BU10" s="1"/>
      <c r="BV10" s="1"/>
      <c r="BW10" s="1"/>
      <c r="BX10" s="1"/>
      <c r="BY10" s="1" t="s">
        <v>514</v>
      </c>
      <c r="BZ10" s="1" t="s">
        <v>335</v>
      </c>
      <c r="CA10" s="1" t="s">
        <v>468</v>
      </c>
      <c r="CB10" s="1" t="s">
        <v>1049</v>
      </c>
      <c r="CC10" s="1" t="s">
        <v>1050</v>
      </c>
    </row>
    <row r="11" spans="1:81" x14ac:dyDescent="0.25">
      <c r="A11" s="1">
        <v>1610612762</v>
      </c>
      <c r="B11" s="1" t="s">
        <v>48</v>
      </c>
      <c r="C11" s="1" t="s">
        <v>935</v>
      </c>
      <c r="D11" s="1" t="s">
        <v>498</v>
      </c>
      <c r="E11" s="1" t="s">
        <v>499</v>
      </c>
      <c r="F11" s="1" t="s">
        <v>222</v>
      </c>
      <c r="G11" s="1" t="s">
        <v>340</v>
      </c>
      <c r="H11" s="1">
        <v>5</v>
      </c>
      <c r="I11" s="1" t="s">
        <v>371</v>
      </c>
      <c r="J11" s="1" t="s">
        <v>342</v>
      </c>
      <c r="K11" s="1" t="s">
        <v>693</v>
      </c>
      <c r="L11" s="1">
        <v>3</v>
      </c>
      <c r="M11" s="1">
        <v>48</v>
      </c>
      <c r="N11" s="1">
        <v>34</v>
      </c>
      <c r="O11" s="1">
        <v>0.58499999999999996</v>
      </c>
      <c r="P11" s="1">
        <v>0</v>
      </c>
      <c r="Q11" s="1" t="s">
        <v>473</v>
      </c>
      <c r="R11" s="1" t="s">
        <v>451</v>
      </c>
      <c r="S11" s="1" t="s">
        <v>345</v>
      </c>
      <c r="T11" s="1" t="s">
        <v>231</v>
      </c>
      <c r="U11" s="1" t="s">
        <v>230</v>
      </c>
      <c r="V11" s="1" t="s">
        <v>230</v>
      </c>
      <c r="W11" s="1" t="s">
        <v>409</v>
      </c>
      <c r="X11" s="1" t="s">
        <v>1051</v>
      </c>
      <c r="Y11" s="1" t="s">
        <v>1052</v>
      </c>
      <c r="Z11" s="1">
        <v>5</v>
      </c>
      <c r="AA11" s="1" t="s">
        <v>237</v>
      </c>
      <c r="AB11" s="1">
        <v>12</v>
      </c>
      <c r="AC11" s="1" t="s">
        <v>349</v>
      </c>
      <c r="AD11" s="1">
        <v>11</v>
      </c>
      <c r="AE11" s="1">
        <v>4</v>
      </c>
      <c r="AF11" s="1">
        <v>4</v>
      </c>
      <c r="AG11" s="1" t="s">
        <v>454</v>
      </c>
      <c r="AH11" s="1">
        <v>-1</v>
      </c>
      <c r="AI11" s="1" t="s">
        <v>238</v>
      </c>
      <c r="AJ11" s="1">
        <v>-1</v>
      </c>
      <c r="AK11" s="1" t="s">
        <v>238</v>
      </c>
      <c r="AL11" s="1">
        <v>17</v>
      </c>
      <c r="AM11" s="1">
        <v>1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1053</v>
      </c>
      <c r="AT11" s="1" t="s">
        <v>1054</v>
      </c>
      <c r="AU11" s="1" t="s">
        <v>347</v>
      </c>
      <c r="AV11" s="1" t="s">
        <v>1055</v>
      </c>
      <c r="AW11" s="1" t="s">
        <v>1056</v>
      </c>
      <c r="AX11" s="1" t="s">
        <v>244</v>
      </c>
      <c r="AY11" s="1" t="s">
        <v>989</v>
      </c>
      <c r="AZ11" s="1" t="s">
        <v>639</v>
      </c>
      <c r="BA11" s="1" t="s">
        <v>1057</v>
      </c>
      <c r="BB11" s="1" t="s">
        <v>351</v>
      </c>
      <c r="BC11" s="1" t="s">
        <v>1053</v>
      </c>
      <c r="BD11" s="1" t="s">
        <v>1058</v>
      </c>
      <c r="BE11" s="1">
        <v>104.1</v>
      </c>
      <c r="BF11" s="1">
        <v>99.8</v>
      </c>
      <c r="BG11" s="1">
        <v>4.3</v>
      </c>
      <c r="BH11" s="1" t="s">
        <v>464</v>
      </c>
      <c r="BI11" s="1" t="s">
        <v>594</v>
      </c>
      <c r="BJ11" s="1" t="s">
        <v>55</v>
      </c>
      <c r="BK11" s="1" t="s">
        <v>466</v>
      </c>
      <c r="BL11" s="1" t="s">
        <v>340</v>
      </c>
      <c r="BM11" s="1" t="s">
        <v>515</v>
      </c>
      <c r="BN11" s="1" t="s">
        <v>996</v>
      </c>
      <c r="BO11" s="1" t="s">
        <v>253</v>
      </c>
      <c r="BP11" s="1" t="s">
        <v>66</v>
      </c>
      <c r="BQ11" s="1" t="s">
        <v>945</v>
      </c>
      <c r="BR11" s="1" t="s">
        <v>295</v>
      </c>
      <c r="BS11" s="1" t="s">
        <v>259</v>
      </c>
      <c r="BT11" s="1"/>
      <c r="BU11" s="1"/>
      <c r="BV11" s="1"/>
      <c r="BW11" s="1"/>
      <c r="BX11" s="1"/>
      <c r="BY11" s="1" t="s">
        <v>514</v>
      </c>
      <c r="BZ11" s="1" t="s">
        <v>468</v>
      </c>
      <c r="CA11" s="1" t="s">
        <v>559</v>
      </c>
      <c r="CB11" s="1" t="s">
        <v>1059</v>
      </c>
      <c r="CC11" s="1" t="s">
        <v>1060</v>
      </c>
    </row>
    <row r="12" spans="1:81" x14ac:dyDescent="0.25">
      <c r="A12" s="1">
        <v>1610612748</v>
      </c>
      <c r="B12" s="1" t="s">
        <v>48</v>
      </c>
      <c r="C12" s="1" t="s">
        <v>935</v>
      </c>
      <c r="D12" s="1" t="s">
        <v>690</v>
      </c>
      <c r="E12" s="1" t="s">
        <v>691</v>
      </c>
      <c r="F12" s="1" t="s">
        <v>267</v>
      </c>
      <c r="G12" s="1" t="s">
        <v>370</v>
      </c>
      <c r="H12" s="1">
        <v>6</v>
      </c>
      <c r="I12" s="1" t="s">
        <v>564</v>
      </c>
      <c r="J12" s="1" t="s">
        <v>565</v>
      </c>
      <c r="K12" s="1" t="s">
        <v>472</v>
      </c>
      <c r="L12" s="1">
        <v>1</v>
      </c>
      <c r="M12" s="1">
        <v>44</v>
      </c>
      <c r="N12" s="1">
        <v>38</v>
      </c>
      <c r="O12" s="1">
        <v>0.53700000000000003</v>
      </c>
      <c r="P12" s="1">
        <v>0</v>
      </c>
      <c r="Q12" s="1" t="s">
        <v>1061</v>
      </c>
      <c r="R12" s="1" t="s">
        <v>312</v>
      </c>
      <c r="S12" s="1" t="s">
        <v>574</v>
      </c>
      <c r="T12" s="1" t="s">
        <v>274</v>
      </c>
      <c r="U12" s="1" t="s">
        <v>230</v>
      </c>
      <c r="V12" s="1" t="s">
        <v>475</v>
      </c>
      <c r="W12" s="1" t="s">
        <v>1062</v>
      </c>
      <c r="X12" s="1" t="s">
        <v>1063</v>
      </c>
      <c r="Y12" s="1" t="s">
        <v>1064</v>
      </c>
      <c r="Z12" s="1">
        <v>8</v>
      </c>
      <c r="AA12" s="1" t="s">
        <v>405</v>
      </c>
      <c r="AB12" s="1">
        <v>-9</v>
      </c>
      <c r="AC12" s="1" t="s">
        <v>738</v>
      </c>
      <c r="AD12" s="1">
        <v>7</v>
      </c>
      <c r="AE12" s="1">
        <v>5</v>
      </c>
      <c r="AF12" s="1">
        <v>1</v>
      </c>
      <c r="AG12" s="1" t="s">
        <v>317</v>
      </c>
      <c r="AH12" s="1">
        <v>-1</v>
      </c>
      <c r="AI12" s="1" t="s">
        <v>238</v>
      </c>
      <c r="AJ12" s="1">
        <v>1</v>
      </c>
      <c r="AK12" s="1" t="s">
        <v>317</v>
      </c>
      <c r="AL12" s="1">
        <v>15</v>
      </c>
      <c r="AM12" s="1">
        <v>0</v>
      </c>
      <c r="AN12" s="1">
        <v>0</v>
      </c>
      <c r="AO12" s="1">
        <v>1</v>
      </c>
      <c r="AP12" s="1">
        <v>1</v>
      </c>
      <c r="AQ12" s="1">
        <v>0</v>
      </c>
      <c r="AR12" s="1">
        <v>0</v>
      </c>
      <c r="AS12" s="1" t="s">
        <v>1065</v>
      </c>
      <c r="AT12" s="1" t="s">
        <v>1066</v>
      </c>
      <c r="AU12" s="1" t="s">
        <v>409</v>
      </c>
      <c r="AV12" s="1" t="s">
        <v>1067</v>
      </c>
      <c r="AW12" s="1" t="s">
        <v>1068</v>
      </c>
      <c r="AX12" s="1" t="s">
        <v>355</v>
      </c>
      <c r="AY12" s="1" t="s">
        <v>683</v>
      </c>
      <c r="AZ12" s="1" t="s">
        <v>1069</v>
      </c>
      <c r="BA12" s="1" t="s">
        <v>1070</v>
      </c>
      <c r="BB12" s="1" t="s">
        <v>1071</v>
      </c>
      <c r="BC12" s="1" t="s">
        <v>610</v>
      </c>
      <c r="BD12" s="1" t="s">
        <v>523</v>
      </c>
      <c r="BE12" s="1">
        <v>103.4</v>
      </c>
      <c r="BF12" s="1">
        <v>102.9</v>
      </c>
      <c r="BG12" s="1">
        <v>0.5</v>
      </c>
      <c r="BH12" s="1" t="s">
        <v>370</v>
      </c>
      <c r="BI12" s="1" t="s">
        <v>490</v>
      </c>
      <c r="BJ12" s="1" t="s">
        <v>388</v>
      </c>
      <c r="BK12" s="1" t="s">
        <v>491</v>
      </c>
      <c r="BL12" s="1" t="s">
        <v>556</v>
      </c>
      <c r="BM12" s="1" t="s">
        <v>465</v>
      </c>
      <c r="BN12" s="1" t="s">
        <v>466</v>
      </c>
      <c r="BO12" s="1" t="s">
        <v>465</v>
      </c>
      <c r="BP12" s="1" t="s">
        <v>262</v>
      </c>
      <c r="BQ12" s="1" t="s">
        <v>594</v>
      </c>
      <c r="BR12" s="1" t="s">
        <v>533</v>
      </c>
      <c r="BS12" s="1" t="s">
        <v>298</v>
      </c>
      <c r="BT12" s="1"/>
      <c r="BU12" s="1"/>
      <c r="BV12" s="1"/>
      <c r="BW12" s="1"/>
      <c r="BX12" s="1"/>
      <c r="BY12" s="1" t="s">
        <v>390</v>
      </c>
      <c r="BZ12" s="1" t="s">
        <v>335</v>
      </c>
      <c r="CA12" s="1" t="s">
        <v>332</v>
      </c>
      <c r="CB12" s="1" t="s">
        <v>1059</v>
      </c>
      <c r="CC12" s="1" t="s">
        <v>394</v>
      </c>
    </row>
    <row r="13" spans="1:81" x14ac:dyDescent="0.25">
      <c r="A13" s="1">
        <v>1610612740</v>
      </c>
      <c r="B13" s="1" t="s">
        <v>48</v>
      </c>
      <c r="C13" s="1" t="s">
        <v>935</v>
      </c>
      <c r="D13" s="1" t="s">
        <v>786</v>
      </c>
      <c r="E13" s="1" t="s">
        <v>787</v>
      </c>
      <c r="F13" s="1" t="s">
        <v>222</v>
      </c>
      <c r="G13" s="1" t="s">
        <v>598</v>
      </c>
      <c r="H13" s="1">
        <v>6</v>
      </c>
      <c r="I13" s="1" t="s">
        <v>371</v>
      </c>
      <c r="J13" s="1" t="s">
        <v>427</v>
      </c>
      <c r="K13" s="1" t="s">
        <v>521</v>
      </c>
      <c r="L13" s="1">
        <v>2</v>
      </c>
      <c r="M13" s="1">
        <v>48</v>
      </c>
      <c r="N13" s="1">
        <v>34</v>
      </c>
      <c r="O13" s="1">
        <v>0.58499999999999996</v>
      </c>
      <c r="P13" s="1">
        <v>0</v>
      </c>
      <c r="Q13" s="1" t="s">
        <v>473</v>
      </c>
      <c r="R13" s="1" t="s">
        <v>656</v>
      </c>
      <c r="S13" s="1" t="s">
        <v>656</v>
      </c>
      <c r="T13" s="1" t="s">
        <v>402</v>
      </c>
      <c r="U13" s="1" t="s">
        <v>231</v>
      </c>
      <c r="V13" s="1" t="s">
        <v>231</v>
      </c>
      <c r="W13" s="1" t="s">
        <v>1072</v>
      </c>
      <c r="X13" s="1" t="s">
        <v>231</v>
      </c>
      <c r="Y13" s="1" t="s">
        <v>1073</v>
      </c>
      <c r="Z13" s="1">
        <v>5</v>
      </c>
      <c r="AA13" s="1" t="s">
        <v>237</v>
      </c>
      <c r="AB13" s="1">
        <v>7</v>
      </c>
      <c r="AC13" s="1" t="s">
        <v>433</v>
      </c>
      <c r="AD13" s="1">
        <v>10</v>
      </c>
      <c r="AE13" s="1">
        <v>4</v>
      </c>
      <c r="AF13" s="1">
        <v>2</v>
      </c>
      <c r="AG13" s="1" t="s">
        <v>279</v>
      </c>
      <c r="AH13" s="1">
        <v>3</v>
      </c>
      <c r="AI13" s="1" t="s">
        <v>316</v>
      </c>
      <c r="AJ13" s="1">
        <v>5</v>
      </c>
      <c r="AK13" s="1" t="s">
        <v>237</v>
      </c>
      <c r="AL13" s="1">
        <v>17</v>
      </c>
      <c r="AM13" s="1">
        <v>17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955</v>
      </c>
      <c r="AT13" s="1" t="s">
        <v>319</v>
      </c>
      <c r="AU13" s="1" t="s">
        <v>409</v>
      </c>
      <c r="AV13" s="1" t="s">
        <v>1074</v>
      </c>
      <c r="AW13" s="1" t="s">
        <v>527</v>
      </c>
      <c r="AX13" s="1" t="s">
        <v>584</v>
      </c>
      <c r="AY13" s="1" t="s">
        <v>1075</v>
      </c>
      <c r="AZ13" s="1" t="s">
        <v>1076</v>
      </c>
      <c r="BA13" s="1" t="s">
        <v>993</v>
      </c>
      <c r="BB13" s="1" t="s">
        <v>987</v>
      </c>
      <c r="BC13" s="1" t="s">
        <v>570</v>
      </c>
      <c r="BD13" s="1" t="s">
        <v>715</v>
      </c>
      <c r="BE13" s="1">
        <v>111.7</v>
      </c>
      <c r="BF13" s="1">
        <v>110.4</v>
      </c>
      <c r="BG13" s="1">
        <v>1.3</v>
      </c>
      <c r="BH13" s="1" t="s">
        <v>443</v>
      </c>
      <c r="BI13" s="1" t="s">
        <v>55</v>
      </c>
      <c r="BJ13" s="1" t="s">
        <v>419</v>
      </c>
      <c r="BK13" s="1" t="s">
        <v>55</v>
      </c>
      <c r="BL13" s="1" t="s">
        <v>598</v>
      </c>
      <c r="BM13" s="1" t="s">
        <v>724</v>
      </c>
      <c r="BN13" s="1" t="s">
        <v>253</v>
      </c>
      <c r="BO13" s="1" t="s">
        <v>533</v>
      </c>
      <c r="BP13" s="1" t="s">
        <v>258</v>
      </c>
      <c r="BQ13" s="1" t="s">
        <v>577</v>
      </c>
      <c r="BR13" s="1" t="s">
        <v>335</v>
      </c>
      <c r="BS13" s="1" t="s">
        <v>259</v>
      </c>
      <c r="BT13" s="1"/>
      <c r="BU13" s="1"/>
      <c r="BV13" s="1"/>
      <c r="BW13" s="1"/>
      <c r="BX13" s="1"/>
      <c r="BY13" s="1" t="s">
        <v>707</v>
      </c>
      <c r="BZ13" s="1" t="s">
        <v>300</v>
      </c>
      <c r="CA13" s="1" t="s">
        <v>468</v>
      </c>
      <c r="CB13" s="1" t="s">
        <v>1077</v>
      </c>
      <c r="CC13" s="1" t="s">
        <v>303</v>
      </c>
    </row>
    <row r="14" spans="1:81" x14ac:dyDescent="0.25">
      <c r="A14" s="1">
        <v>1610612749</v>
      </c>
      <c r="B14" s="1" t="s">
        <v>48</v>
      </c>
      <c r="C14" s="1" t="s">
        <v>935</v>
      </c>
      <c r="D14" s="1" t="s">
        <v>265</v>
      </c>
      <c r="E14" s="1" t="s">
        <v>266</v>
      </c>
      <c r="F14" s="1" t="s">
        <v>267</v>
      </c>
      <c r="G14" s="1" t="s">
        <v>598</v>
      </c>
      <c r="H14" s="1">
        <v>7</v>
      </c>
      <c r="I14" s="1" t="s">
        <v>371</v>
      </c>
      <c r="J14" s="1" t="s">
        <v>270</v>
      </c>
      <c r="K14" s="1" t="s">
        <v>398</v>
      </c>
      <c r="L14" s="1">
        <v>3</v>
      </c>
      <c r="M14" s="1">
        <v>44</v>
      </c>
      <c r="N14" s="1">
        <v>38</v>
      </c>
      <c r="O14" s="1">
        <v>0.53700000000000003</v>
      </c>
      <c r="P14" s="1">
        <v>0</v>
      </c>
      <c r="Q14" s="1" t="s">
        <v>1061</v>
      </c>
      <c r="R14" s="1" t="s">
        <v>566</v>
      </c>
      <c r="S14" s="1" t="s">
        <v>474</v>
      </c>
      <c r="T14" s="1" t="s">
        <v>402</v>
      </c>
      <c r="U14" s="1" t="s">
        <v>402</v>
      </c>
      <c r="V14" s="1" t="s">
        <v>274</v>
      </c>
      <c r="W14" s="1" t="s">
        <v>736</v>
      </c>
      <c r="X14" s="1" t="s">
        <v>585</v>
      </c>
      <c r="Y14" s="1" t="s">
        <v>464</v>
      </c>
      <c r="Z14" s="1">
        <v>5</v>
      </c>
      <c r="AA14" s="1" t="s">
        <v>237</v>
      </c>
      <c r="AB14" s="1">
        <v>-4</v>
      </c>
      <c r="AC14" s="1" t="s">
        <v>545</v>
      </c>
      <c r="AD14" s="1">
        <v>4</v>
      </c>
      <c r="AE14" s="1">
        <v>4</v>
      </c>
      <c r="AF14" s="1">
        <v>1</v>
      </c>
      <c r="AG14" s="1" t="s">
        <v>317</v>
      </c>
      <c r="AH14" s="1">
        <v>-1</v>
      </c>
      <c r="AI14" s="1" t="s">
        <v>238</v>
      </c>
      <c r="AJ14" s="1">
        <v>-1</v>
      </c>
      <c r="AK14" s="1" t="s">
        <v>238</v>
      </c>
      <c r="AL14" s="1">
        <v>15</v>
      </c>
      <c r="AM14" s="1">
        <v>6</v>
      </c>
      <c r="AN14" s="1">
        <v>0</v>
      </c>
      <c r="AO14" s="1">
        <v>0</v>
      </c>
      <c r="AP14" s="1">
        <v>1</v>
      </c>
      <c r="AQ14" s="1">
        <v>0</v>
      </c>
      <c r="AR14" s="1">
        <v>0</v>
      </c>
      <c r="AS14" s="1" t="s">
        <v>1078</v>
      </c>
      <c r="AT14" s="1" t="s">
        <v>1079</v>
      </c>
      <c r="AU14" s="1" t="s">
        <v>1080</v>
      </c>
      <c r="AV14" s="1" t="s">
        <v>970</v>
      </c>
      <c r="AW14" s="1" t="s">
        <v>1081</v>
      </c>
      <c r="AX14" s="1" t="s">
        <v>375</v>
      </c>
      <c r="AY14" s="1" t="s">
        <v>496</v>
      </c>
      <c r="AZ14" s="1" t="s">
        <v>1082</v>
      </c>
      <c r="BA14" s="1" t="s">
        <v>1083</v>
      </c>
      <c r="BB14" s="1" t="s">
        <v>1084</v>
      </c>
      <c r="BC14" s="1" t="s">
        <v>1085</v>
      </c>
      <c r="BD14" s="1" t="s">
        <v>1086</v>
      </c>
      <c r="BE14" s="1">
        <v>106.5</v>
      </c>
      <c r="BF14" s="1">
        <v>106.8</v>
      </c>
      <c r="BG14" s="1">
        <v>-0.3</v>
      </c>
      <c r="BH14" s="1" t="s">
        <v>598</v>
      </c>
      <c r="BI14" s="1" t="s">
        <v>388</v>
      </c>
      <c r="BJ14" s="1" t="s">
        <v>71</v>
      </c>
      <c r="BK14" s="1" t="s">
        <v>255</v>
      </c>
      <c r="BL14" s="1" t="s">
        <v>1087</v>
      </c>
      <c r="BM14" s="1" t="s">
        <v>466</v>
      </c>
      <c r="BN14" s="1" t="s">
        <v>362</v>
      </c>
      <c r="BO14" s="1" t="s">
        <v>466</v>
      </c>
      <c r="BP14" s="1" t="s">
        <v>335</v>
      </c>
      <c r="BQ14" s="1" t="s">
        <v>51</v>
      </c>
      <c r="BR14" s="1" t="s">
        <v>335</v>
      </c>
      <c r="BS14" s="1" t="s">
        <v>363</v>
      </c>
      <c r="BT14" s="1"/>
      <c r="BU14" s="1"/>
      <c r="BV14" s="1"/>
      <c r="BW14" s="1"/>
      <c r="BX14" s="1"/>
      <c r="BY14" s="1" t="s">
        <v>514</v>
      </c>
      <c r="BZ14" s="1" t="s">
        <v>392</v>
      </c>
      <c r="CA14" s="1" t="s">
        <v>300</v>
      </c>
      <c r="CB14" s="1" t="s">
        <v>516</v>
      </c>
      <c r="CC14" s="1" t="s">
        <v>536</v>
      </c>
    </row>
    <row r="15" spans="1:81" x14ac:dyDescent="0.25">
      <c r="A15" s="1">
        <v>1610612759</v>
      </c>
      <c r="B15" s="1" t="s">
        <v>48</v>
      </c>
      <c r="C15" s="1" t="s">
        <v>935</v>
      </c>
      <c r="D15" s="1" t="s">
        <v>581</v>
      </c>
      <c r="E15" s="1" t="s">
        <v>582</v>
      </c>
      <c r="F15" s="1" t="s">
        <v>222</v>
      </c>
      <c r="G15" s="1" t="s">
        <v>397</v>
      </c>
      <c r="H15" s="1">
        <v>7</v>
      </c>
      <c r="I15" s="1" t="s">
        <v>371</v>
      </c>
      <c r="J15" s="1" t="s">
        <v>427</v>
      </c>
      <c r="K15" s="1" t="s">
        <v>521</v>
      </c>
      <c r="L15" s="1">
        <v>3</v>
      </c>
      <c r="M15" s="1">
        <v>47</v>
      </c>
      <c r="N15" s="1">
        <v>35</v>
      </c>
      <c r="O15" s="1">
        <v>0.57299999999999995</v>
      </c>
      <c r="P15" s="1">
        <v>0</v>
      </c>
      <c r="Q15" s="1" t="s">
        <v>1088</v>
      </c>
      <c r="R15" s="1" t="s">
        <v>273</v>
      </c>
      <c r="S15" s="1" t="s">
        <v>639</v>
      </c>
      <c r="T15" s="1" t="s">
        <v>274</v>
      </c>
      <c r="U15" s="1" t="s">
        <v>1000</v>
      </c>
      <c r="V15" s="1" t="s">
        <v>788</v>
      </c>
      <c r="W15" s="1" t="s">
        <v>285</v>
      </c>
      <c r="X15" s="1" t="s">
        <v>1026</v>
      </c>
      <c r="Y15" s="1" t="s">
        <v>1089</v>
      </c>
      <c r="Z15" s="1">
        <v>14</v>
      </c>
      <c r="AA15" s="1" t="s">
        <v>977</v>
      </c>
      <c r="AB15" s="1">
        <v>-8</v>
      </c>
      <c r="AC15" s="1" t="s">
        <v>714</v>
      </c>
      <c r="AD15" s="1">
        <v>6</v>
      </c>
      <c r="AE15" s="1">
        <v>4</v>
      </c>
      <c r="AF15" s="1">
        <v>11</v>
      </c>
      <c r="AG15" s="1" t="s">
        <v>236</v>
      </c>
      <c r="AH15" s="1">
        <v>-8</v>
      </c>
      <c r="AI15" s="1" t="s">
        <v>714</v>
      </c>
      <c r="AJ15" s="1">
        <v>-1</v>
      </c>
      <c r="AK15" s="1" t="s">
        <v>238</v>
      </c>
      <c r="AL15" s="1">
        <v>18</v>
      </c>
      <c r="AM15" s="1">
        <v>18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234</v>
      </c>
      <c r="AT15" s="1" t="s">
        <v>1090</v>
      </c>
      <c r="AU15" s="1" t="s">
        <v>285</v>
      </c>
      <c r="AV15" s="1" t="s">
        <v>480</v>
      </c>
      <c r="AW15" s="1" t="s">
        <v>1091</v>
      </c>
      <c r="AX15" s="1" t="s">
        <v>285</v>
      </c>
      <c r="AY15" s="1" t="s">
        <v>1092</v>
      </c>
      <c r="AZ15" s="1" t="s">
        <v>1093</v>
      </c>
      <c r="BA15" s="1" t="s">
        <v>1094</v>
      </c>
      <c r="BB15" s="1" t="s">
        <v>526</v>
      </c>
      <c r="BC15" s="1" t="s">
        <v>1095</v>
      </c>
      <c r="BD15" s="1" t="s">
        <v>1096</v>
      </c>
      <c r="BE15" s="1">
        <v>102.7</v>
      </c>
      <c r="BF15" s="1">
        <v>99.8</v>
      </c>
      <c r="BG15" s="1">
        <v>2.9</v>
      </c>
      <c r="BH15" s="1" t="s">
        <v>593</v>
      </c>
      <c r="BI15" s="1" t="s">
        <v>55</v>
      </c>
      <c r="BJ15" s="1" t="s">
        <v>466</v>
      </c>
      <c r="BK15" s="1" t="s">
        <v>362</v>
      </c>
      <c r="BL15" s="1" t="s">
        <v>397</v>
      </c>
      <c r="BM15" s="1" t="s">
        <v>490</v>
      </c>
      <c r="BN15" s="1" t="s">
        <v>388</v>
      </c>
      <c r="BO15" s="1" t="s">
        <v>533</v>
      </c>
      <c r="BP15" s="1" t="s">
        <v>533</v>
      </c>
      <c r="BQ15" s="1" t="s">
        <v>1097</v>
      </c>
      <c r="BR15" s="1" t="s">
        <v>300</v>
      </c>
      <c r="BS15" s="1" t="s">
        <v>363</v>
      </c>
      <c r="BT15" s="1"/>
      <c r="BU15" s="1"/>
      <c r="BV15" s="1"/>
      <c r="BW15" s="1"/>
      <c r="BX15" s="1"/>
      <c r="BY15" s="1" t="s">
        <v>514</v>
      </c>
      <c r="BZ15" s="1" t="s">
        <v>301</v>
      </c>
      <c r="CA15" s="1" t="s">
        <v>491</v>
      </c>
      <c r="CB15" s="1" t="s">
        <v>1098</v>
      </c>
      <c r="CC15" s="1" t="s">
        <v>561</v>
      </c>
    </row>
    <row r="16" spans="1:81" x14ac:dyDescent="0.25">
      <c r="A16" s="1">
        <v>1610612750</v>
      </c>
      <c r="B16" s="1" t="s">
        <v>48</v>
      </c>
      <c r="C16" s="1" t="s">
        <v>935</v>
      </c>
      <c r="D16" s="1" t="s">
        <v>730</v>
      </c>
      <c r="E16" s="1" t="s">
        <v>731</v>
      </c>
      <c r="F16" s="1" t="s">
        <v>222</v>
      </c>
      <c r="G16" s="1" t="s">
        <v>340</v>
      </c>
      <c r="H16" s="1">
        <v>8</v>
      </c>
      <c r="I16" s="1" t="s">
        <v>371</v>
      </c>
      <c r="J16" s="1" t="s">
        <v>342</v>
      </c>
      <c r="K16" s="1" t="s">
        <v>428</v>
      </c>
      <c r="L16" s="1">
        <v>4</v>
      </c>
      <c r="M16" s="1">
        <v>47</v>
      </c>
      <c r="N16" s="1">
        <v>35</v>
      </c>
      <c r="O16" s="1">
        <v>0.57299999999999995</v>
      </c>
      <c r="P16" s="1">
        <v>0</v>
      </c>
      <c r="Q16" s="1" t="s">
        <v>1088</v>
      </c>
      <c r="R16" s="1" t="s">
        <v>228</v>
      </c>
      <c r="S16" s="1" t="s">
        <v>567</v>
      </c>
      <c r="T16" s="1" t="s">
        <v>402</v>
      </c>
      <c r="U16" s="1" t="s">
        <v>402</v>
      </c>
      <c r="V16" s="1" t="s">
        <v>274</v>
      </c>
      <c r="W16" s="1" t="s">
        <v>381</v>
      </c>
      <c r="X16" s="1" t="s">
        <v>233</v>
      </c>
      <c r="Y16" s="1" t="s">
        <v>797</v>
      </c>
      <c r="Z16" s="1">
        <v>13</v>
      </c>
      <c r="AA16" s="1" t="s">
        <v>1015</v>
      </c>
      <c r="AB16" s="1">
        <v>-7</v>
      </c>
      <c r="AC16" s="1" t="s">
        <v>773</v>
      </c>
      <c r="AD16" s="1">
        <v>5</v>
      </c>
      <c r="AE16" s="1">
        <v>3</v>
      </c>
      <c r="AF16" s="1">
        <v>2</v>
      </c>
      <c r="AG16" s="1" t="s">
        <v>279</v>
      </c>
      <c r="AH16" s="1">
        <v>1</v>
      </c>
      <c r="AI16" s="1" t="s">
        <v>317</v>
      </c>
      <c r="AJ16" s="1">
        <v>3</v>
      </c>
      <c r="AK16" s="1" t="s">
        <v>316</v>
      </c>
      <c r="AL16" s="1">
        <v>18</v>
      </c>
      <c r="AM16" s="1">
        <v>2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1099</v>
      </c>
      <c r="AT16" s="1" t="s">
        <v>319</v>
      </c>
      <c r="AU16" s="1" t="s">
        <v>375</v>
      </c>
      <c r="AV16" s="1" t="s">
        <v>268</v>
      </c>
      <c r="AW16" s="1" t="s">
        <v>1100</v>
      </c>
      <c r="AX16" s="1" t="s">
        <v>322</v>
      </c>
      <c r="AY16" s="1" t="s">
        <v>1101</v>
      </c>
      <c r="AZ16" s="1" t="s">
        <v>1102</v>
      </c>
      <c r="BA16" s="1" t="s">
        <v>1103</v>
      </c>
      <c r="BB16" s="1" t="s">
        <v>1104</v>
      </c>
      <c r="BC16" s="1" t="s">
        <v>741</v>
      </c>
      <c r="BD16" s="1" t="s">
        <v>1105</v>
      </c>
      <c r="BE16" s="1">
        <v>109.5</v>
      </c>
      <c r="BF16" s="1">
        <v>107.3</v>
      </c>
      <c r="BG16" s="1">
        <v>2.2000000000000002</v>
      </c>
      <c r="BH16" s="1" t="s">
        <v>556</v>
      </c>
      <c r="BI16" s="1" t="s">
        <v>465</v>
      </c>
      <c r="BJ16" s="1" t="s">
        <v>465</v>
      </c>
      <c r="BK16" s="1" t="s">
        <v>466</v>
      </c>
      <c r="BL16" s="1" t="s">
        <v>340</v>
      </c>
      <c r="BM16" s="1" t="s">
        <v>297</v>
      </c>
      <c r="BN16" s="1" t="s">
        <v>330</v>
      </c>
      <c r="BO16" s="1" t="s">
        <v>255</v>
      </c>
      <c r="BP16" s="1" t="s">
        <v>1106</v>
      </c>
      <c r="BQ16" s="1" t="s">
        <v>55</v>
      </c>
      <c r="BR16" s="1" t="s">
        <v>66</v>
      </c>
      <c r="BS16" s="1" t="s">
        <v>298</v>
      </c>
      <c r="BT16" s="1"/>
      <c r="BU16" s="1"/>
      <c r="BV16" s="1"/>
      <c r="BW16" s="1"/>
      <c r="BX16" s="1"/>
      <c r="BY16" s="1" t="s">
        <v>514</v>
      </c>
      <c r="BZ16" s="1" t="s">
        <v>332</v>
      </c>
      <c r="CA16" s="1" t="s">
        <v>262</v>
      </c>
      <c r="CB16" s="1" t="s">
        <v>1107</v>
      </c>
      <c r="CC16" s="1" t="s">
        <v>1108</v>
      </c>
    </row>
    <row r="17" spans="1:81" x14ac:dyDescent="0.25">
      <c r="A17" s="1">
        <v>1610612764</v>
      </c>
      <c r="B17" s="1" t="s">
        <v>48</v>
      </c>
      <c r="C17" s="1" t="s">
        <v>935</v>
      </c>
      <c r="D17" s="1" t="s">
        <v>63</v>
      </c>
      <c r="E17" s="1" t="s">
        <v>709</v>
      </c>
      <c r="F17" s="1" t="s">
        <v>267</v>
      </c>
      <c r="G17" s="1" t="s">
        <v>520</v>
      </c>
      <c r="H17" s="1">
        <v>8</v>
      </c>
      <c r="I17" s="1" t="s">
        <v>371</v>
      </c>
      <c r="J17" s="1" t="s">
        <v>565</v>
      </c>
      <c r="K17" s="1" t="s">
        <v>372</v>
      </c>
      <c r="L17" s="1">
        <v>2</v>
      </c>
      <c r="M17" s="1">
        <v>43</v>
      </c>
      <c r="N17" s="1">
        <v>39</v>
      </c>
      <c r="O17" s="1">
        <v>0.52400000000000002</v>
      </c>
      <c r="P17" s="1">
        <v>0</v>
      </c>
      <c r="Q17" s="1" t="s">
        <v>1109</v>
      </c>
      <c r="R17" s="1" t="s">
        <v>540</v>
      </c>
      <c r="S17" s="1" t="s">
        <v>345</v>
      </c>
      <c r="T17" s="1" t="s">
        <v>657</v>
      </c>
      <c r="U17" s="1" t="s">
        <v>274</v>
      </c>
      <c r="V17" s="1" t="s">
        <v>657</v>
      </c>
      <c r="W17" s="1" t="s">
        <v>736</v>
      </c>
      <c r="X17" s="1" t="s">
        <v>431</v>
      </c>
      <c r="Y17" s="1" t="s">
        <v>1110</v>
      </c>
      <c r="Z17" s="1">
        <v>5</v>
      </c>
      <c r="AA17" s="1" t="s">
        <v>237</v>
      </c>
      <c r="AB17" s="1">
        <v>-6</v>
      </c>
      <c r="AC17" s="1" t="s">
        <v>406</v>
      </c>
      <c r="AD17" s="1">
        <v>5</v>
      </c>
      <c r="AE17" s="1">
        <v>4</v>
      </c>
      <c r="AF17" s="1">
        <v>1</v>
      </c>
      <c r="AG17" s="1" t="s">
        <v>317</v>
      </c>
      <c r="AH17" s="1">
        <v>-6</v>
      </c>
      <c r="AI17" s="1" t="s">
        <v>406</v>
      </c>
      <c r="AJ17" s="1">
        <v>-1</v>
      </c>
      <c r="AK17" s="1" t="s">
        <v>238</v>
      </c>
      <c r="AL17" s="1">
        <v>16</v>
      </c>
      <c r="AM17" s="1">
        <v>1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1111</v>
      </c>
      <c r="AT17" s="1" t="s">
        <v>1054</v>
      </c>
      <c r="AU17" s="1" t="s">
        <v>640</v>
      </c>
      <c r="AV17" s="1" t="s">
        <v>948</v>
      </c>
      <c r="AW17" s="1" t="s">
        <v>1112</v>
      </c>
      <c r="AX17" s="1" t="s">
        <v>285</v>
      </c>
      <c r="AY17" s="1" t="s">
        <v>1113</v>
      </c>
      <c r="AZ17" s="1" t="s">
        <v>1114</v>
      </c>
      <c r="BA17" s="1" t="s">
        <v>1115</v>
      </c>
      <c r="BB17" s="1" t="s">
        <v>548</v>
      </c>
      <c r="BC17" s="1" t="s">
        <v>432</v>
      </c>
      <c r="BD17" s="1" t="s">
        <v>1116</v>
      </c>
      <c r="BE17" s="1">
        <v>106.6</v>
      </c>
      <c r="BF17" s="1">
        <v>106</v>
      </c>
      <c r="BG17" s="1">
        <v>0.6</v>
      </c>
      <c r="BH17" s="1" t="s">
        <v>520</v>
      </c>
      <c r="BI17" s="1" t="s">
        <v>255</v>
      </c>
      <c r="BJ17" s="1" t="s">
        <v>255</v>
      </c>
      <c r="BK17" s="1" t="s">
        <v>387</v>
      </c>
      <c r="BL17" s="1" t="s">
        <v>492</v>
      </c>
      <c r="BM17" s="1" t="s">
        <v>465</v>
      </c>
      <c r="BN17" s="1" t="s">
        <v>466</v>
      </c>
      <c r="BO17" s="1" t="s">
        <v>55</v>
      </c>
      <c r="BP17" s="1" t="s">
        <v>392</v>
      </c>
      <c r="BQ17" s="1" t="s">
        <v>365</v>
      </c>
      <c r="BR17" s="1" t="s">
        <v>68</v>
      </c>
      <c r="BS17" s="1" t="s">
        <v>445</v>
      </c>
      <c r="BT17" s="1"/>
      <c r="BU17" s="1"/>
      <c r="BV17" s="1"/>
      <c r="BW17" s="1"/>
      <c r="BX17" s="1"/>
      <c r="BY17" s="1" t="s">
        <v>513</v>
      </c>
      <c r="BZ17" s="1" t="s">
        <v>468</v>
      </c>
      <c r="CA17" s="1" t="s">
        <v>297</v>
      </c>
      <c r="CB17" s="1" t="s">
        <v>446</v>
      </c>
      <c r="CC17" s="1" t="s">
        <v>1117</v>
      </c>
    </row>
    <row r="18" spans="1:81" x14ac:dyDescent="0.25">
      <c r="A18" s="1">
        <v>1610612743</v>
      </c>
      <c r="B18" s="1" t="s">
        <v>48</v>
      </c>
      <c r="C18" s="1" t="s">
        <v>935</v>
      </c>
      <c r="D18" s="1" t="s">
        <v>338</v>
      </c>
      <c r="E18" s="1" t="s">
        <v>339</v>
      </c>
      <c r="F18" s="1" t="s">
        <v>222</v>
      </c>
      <c r="G18" s="1" t="s">
        <v>520</v>
      </c>
      <c r="H18" s="1">
        <v>9</v>
      </c>
      <c r="I18" s="1" t="s">
        <v>637</v>
      </c>
      <c r="J18" s="1" t="s">
        <v>342</v>
      </c>
      <c r="K18" s="1" t="s">
        <v>521</v>
      </c>
      <c r="L18" s="1">
        <v>5</v>
      </c>
      <c r="M18" s="1">
        <v>46</v>
      </c>
      <c r="N18" s="1">
        <v>36</v>
      </c>
      <c r="O18" s="1">
        <v>0.56100000000000005</v>
      </c>
      <c r="P18" s="1">
        <v>0</v>
      </c>
      <c r="Q18" s="1" t="s">
        <v>1118</v>
      </c>
      <c r="R18" s="1" t="s">
        <v>374</v>
      </c>
      <c r="S18" s="1" t="s">
        <v>600</v>
      </c>
      <c r="T18" s="1" t="s">
        <v>231</v>
      </c>
      <c r="U18" s="1" t="s">
        <v>231</v>
      </c>
      <c r="V18" s="1" t="s">
        <v>346</v>
      </c>
      <c r="W18" s="1" t="s">
        <v>712</v>
      </c>
      <c r="X18" s="1" t="s">
        <v>1119</v>
      </c>
      <c r="Y18" s="1" t="s">
        <v>1120</v>
      </c>
      <c r="Z18" s="1">
        <v>8</v>
      </c>
      <c r="AA18" s="1" t="s">
        <v>405</v>
      </c>
      <c r="AB18" s="1">
        <v>-7</v>
      </c>
      <c r="AC18" s="1" t="s">
        <v>773</v>
      </c>
      <c r="AD18" s="1">
        <v>6</v>
      </c>
      <c r="AE18" s="1">
        <v>3</v>
      </c>
      <c r="AF18" s="1">
        <v>7</v>
      </c>
      <c r="AG18" s="1" t="s">
        <v>433</v>
      </c>
      <c r="AH18" s="1">
        <v>-1</v>
      </c>
      <c r="AI18" s="1" t="s">
        <v>238</v>
      </c>
      <c r="AJ18" s="1">
        <v>-1</v>
      </c>
      <c r="AK18" s="1" t="s">
        <v>238</v>
      </c>
      <c r="AL18" s="1">
        <v>19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1111</v>
      </c>
      <c r="AT18" s="1" t="s">
        <v>1121</v>
      </c>
      <c r="AU18" s="1" t="s">
        <v>285</v>
      </c>
      <c r="AV18" s="1" t="s">
        <v>978</v>
      </c>
      <c r="AW18" s="1" t="s">
        <v>1079</v>
      </c>
      <c r="AX18" s="1" t="s">
        <v>322</v>
      </c>
      <c r="AY18" s="1" t="s">
        <v>1122</v>
      </c>
      <c r="AZ18" s="1" t="s">
        <v>1123</v>
      </c>
      <c r="BA18" s="1" t="s">
        <v>1124</v>
      </c>
      <c r="BB18" s="1" t="s">
        <v>1125</v>
      </c>
      <c r="BC18" s="1" t="s">
        <v>1126</v>
      </c>
      <c r="BD18" s="1" t="s">
        <v>614</v>
      </c>
      <c r="BE18" s="1">
        <v>110</v>
      </c>
      <c r="BF18" s="1">
        <v>108.5</v>
      </c>
      <c r="BG18" s="1">
        <v>1.5</v>
      </c>
      <c r="BH18" s="1" t="s">
        <v>593</v>
      </c>
      <c r="BI18" s="1" t="s">
        <v>465</v>
      </c>
      <c r="BJ18" s="1" t="s">
        <v>252</v>
      </c>
      <c r="BK18" s="1" t="s">
        <v>55</v>
      </c>
      <c r="BL18" s="1" t="s">
        <v>520</v>
      </c>
      <c r="BM18" s="1" t="s">
        <v>533</v>
      </c>
      <c r="BN18" s="1" t="s">
        <v>255</v>
      </c>
      <c r="BO18" s="1" t="s">
        <v>490</v>
      </c>
      <c r="BP18" s="1" t="s">
        <v>468</v>
      </c>
      <c r="BQ18" s="1" t="s">
        <v>362</v>
      </c>
      <c r="BR18" s="1" t="s">
        <v>335</v>
      </c>
      <c r="BS18" s="1" t="s">
        <v>259</v>
      </c>
      <c r="BT18" s="1"/>
      <c r="BU18" s="1"/>
      <c r="BV18" s="1"/>
      <c r="BW18" s="1"/>
      <c r="BX18" s="1"/>
      <c r="BY18" s="1" t="s">
        <v>707</v>
      </c>
      <c r="BZ18" s="1" t="s">
        <v>258</v>
      </c>
      <c r="CA18" s="1" t="s">
        <v>468</v>
      </c>
      <c r="CB18" s="1" t="s">
        <v>997</v>
      </c>
      <c r="CC18" s="1" t="s">
        <v>394</v>
      </c>
    </row>
    <row r="19" spans="1:81" x14ac:dyDescent="0.25">
      <c r="A19" s="1">
        <v>1610612765</v>
      </c>
      <c r="B19" s="1" t="s">
        <v>48</v>
      </c>
      <c r="C19" s="1" t="s">
        <v>935</v>
      </c>
      <c r="D19" s="1" t="s">
        <v>596</v>
      </c>
      <c r="E19" s="1" t="s">
        <v>597</v>
      </c>
      <c r="F19" s="1" t="s">
        <v>267</v>
      </c>
      <c r="G19" s="1" t="s">
        <v>751</v>
      </c>
      <c r="H19" s="1">
        <v>9</v>
      </c>
      <c r="I19" s="1" t="s">
        <v>637</v>
      </c>
      <c r="J19" s="1" t="s">
        <v>270</v>
      </c>
      <c r="K19" s="1" t="s">
        <v>521</v>
      </c>
      <c r="L19" s="1">
        <v>4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638</v>
      </c>
      <c r="R19" s="1" t="s">
        <v>566</v>
      </c>
      <c r="S19" s="1" t="s">
        <v>639</v>
      </c>
      <c r="T19" s="1" t="s">
        <v>231</v>
      </c>
      <c r="U19" s="1" t="s">
        <v>402</v>
      </c>
      <c r="V19" s="1" t="s">
        <v>274</v>
      </c>
      <c r="W19" s="1" t="s">
        <v>640</v>
      </c>
      <c r="X19" s="1" t="s">
        <v>864</v>
      </c>
      <c r="Y19" s="1" t="s">
        <v>1127</v>
      </c>
      <c r="Z19" s="1">
        <v>6</v>
      </c>
      <c r="AA19" s="1" t="s">
        <v>235</v>
      </c>
      <c r="AB19" s="1">
        <v>-12</v>
      </c>
      <c r="AC19" s="1" t="s">
        <v>1128</v>
      </c>
      <c r="AD19" s="1">
        <v>5</v>
      </c>
      <c r="AE19" s="1">
        <v>8</v>
      </c>
      <c r="AF19" s="1">
        <v>-1</v>
      </c>
      <c r="AG19" s="1" t="s">
        <v>238</v>
      </c>
      <c r="AH19" s="1">
        <v>1</v>
      </c>
      <c r="AI19" s="1" t="s">
        <v>317</v>
      </c>
      <c r="AJ19" s="1">
        <v>1</v>
      </c>
      <c r="AK19" s="1" t="s">
        <v>317</v>
      </c>
      <c r="AL19" s="1">
        <v>20</v>
      </c>
      <c r="AM19" s="1">
        <v>11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659</v>
      </c>
      <c r="AT19" s="1" t="s">
        <v>1054</v>
      </c>
      <c r="AU19" s="1" t="s">
        <v>736</v>
      </c>
      <c r="AV19" s="1" t="s">
        <v>1129</v>
      </c>
      <c r="AW19" s="1" t="s">
        <v>827</v>
      </c>
      <c r="AX19" s="1" t="s">
        <v>831</v>
      </c>
      <c r="AY19" s="1" t="s">
        <v>1130</v>
      </c>
      <c r="AZ19" s="1" t="s">
        <v>1131</v>
      </c>
      <c r="BA19" s="1" t="s">
        <v>1132</v>
      </c>
      <c r="BB19" s="1" t="s">
        <v>1133</v>
      </c>
      <c r="BC19" s="1" t="s">
        <v>1134</v>
      </c>
      <c r="BD19" s="1" t="s">
        <v>1135</v>
      </c>
      <c r="BE19" s="1">
        <v>103.8</v>
      </c>
      <c r="BF19" s="1">
        <v>103.9</v>
      </c>
      <c r="BG19" s="1">
        <v>-0.1</v>
      </c>
      <c r="BH19" s="1" t="s">
        <v>751</v>
      </c>
      <c r="BI19" s="1" t="s">
        <v>628</v>
      </c>
      <c r="BJ19" s="1" t="s">
        <v>533</v>
      </c>
      <c r="BK19" s="1" t="s">
        <v>444</v>
      </c>
      <c r="BL19" s="1" t="s">
        <v>492</v>
      </c>
      <c r="BM19" s="1" t="s">
        <v>465</v>
      </c>
      <c r="BN19" s="1" t="s">
        <v>362</v>
      </c>
      <c r="BO19" s="1" t="s">
        <v>465</v>
      </c>
      <c r="BP19" s="1" t="s">
        <v>842</v>
      </c>
      <c r="BQ19" s="1" t="s">
        <v>51</v>
      </c>
      <c r="BR19" s="1" t="s">
        <v>468</v>
      </c>
      <c r="BS19" s="1" t="s">
        <v>363</v>
      </c>
      <c r="BT19" s="1"/>
      <c r="BU19" s="1"/>
      <c r="BV19" s="1"/>
      <c r="BW19" s="1"/>
      <c r="BX19" s="1"/>
      <c r="BY19" s="1" t="s">
        <v>495</v>
      </c>
      <c r="BZ19" s="1" t="s">
        <v>493</v>
      </c>
      <c r="CA19" s="1" t="s">
        <v>632</v>
      </c>
      <c r="CB19" s="1" t="s">
        <v>689</v>
      </c>
      <c r="CC19" s="1" t="s">
        <v>1136</v>
      </c>
    </row>
    <row r="20" spans="1:81" x14ac:dyDescent="0.25">
      <c r="A20" s="1">
        <v>1610612746</v>
      </c>
      <c r="B20" s="1" t="s">
        <v>48</v>
      </c>
      <c r="C20" s="1" t="s">
        <v>935</v>
      </c>
      <c r="D20" s="1" t="s">
        <v>615</v>
      </c>
      <c r="E20" s="1" t="s">
        <v>616</v>
      </c>
      <c r="F20" s="1" t="s">
        <v>222</v>
      </c>
      <c r="G20" s="1" t="s">
        <v>751</v>
      </c>
      <c r="H20" s="1">
        <v>10</v>
      </c>
      <c r="I20" s="1" t="s">
        <v>637</v>
      </c>
      <c r="J20" s="1" t="s">
        <v>225</v>
      </c>
      <c r="K20" s="1" t="s">
        <v>309</v>
      </c>
      <c r="L20" s="1">
        <v>2</v>
      </c>
      <c r="M20" s="1">
        <v>42</v>
      </c>
      <c r="N20" s="1">
        <v>40</v>
      </c>
      <c r="O20" s="1">
        <v>0.51200000000000001</v>
      </c>
      <c r="P20" s="1">
        <v>0</v>
      </c>
      <c r="Q20" s="1" t="s">
        <v>539</v>
      </c>
      <c r="R20" s="1" t="s">
        <v>429</v>
      </c>
      <c r="S20" s="1" t="s">
        <v>345</v>
      </c>
      <c r="T20" s="1" t="s">
        <v>346</v>
      </c>
      <c r="U20" s="1" t="s">
        <v>346</v>
      </c>
      <c r="V20" s="1" t="s">
        <v>346</v>
      </c>
      <c r="W20" s="1" t="s">
        <v>244</v>
      </c>
      <c r="X20" s="1" t="s">
        <v>230</v>
      </c>
      <c r="Y20" s="1" t="s">
        <v>429</v>
      </c>
      <c r="Z20" s="1">
        <v>6</v>
      </c>
      <c r="AA20" s="1" t="s">
        <v>235</v>
      </c>
      <c r="AB20" s="1">
        <v>-6</v>
      </c>
      <c r="AC20" s="1" t="s">
        <v>406</v>
      </c>
      <c r="AD20" s="1">
        <v>6</v>
      </c>
      <c r="AE20" s="1">
        <v>9</v>
      </c>
      <c r="AF20" s="1">
        <v>-3</v>
      </c>
      <c r="AG20" s="1" t="s">
        <v>350</v>
      </c>
      <c r="AH20" s="1">
        <v>-2</v>
      </c>
      <c r="AI20" s="1" t="s">
        <v>479</v>
      </c>
      <c r="AJ20" s="1">
        <v>-4</v>
      </c>
      <c r="AK20" s="1" t="s">
        <v>545</v>
      </c>
      <c r="AL20" s="1">
        <v>23</v>
      </c>
      <c r="AM20" s="1">
        <v>16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1137</v>
      </c>
      <c r="AT20" s="1" t="s">
        <v>1138</v>
      </c>
      <c r="AU20" s="1" t="s">
        <v>775</v>
      </c>
      <c r="AV20" s="1" t="s">
        <v>1139</v>
      </c>
      <c r="AW20" s="1" t="s">
        <v>1140</v>
      </c>
      <c r="AX20" s="1" t="s">
        <v>322</v>
      </c>
      <c r="AY20" s="1" t="s">
        <v>1141</v>
      </c>
      <c r="AZ20" s="1" t="s">
        <v>1142</v>
      </c>
      <c r="BA20" s="1" t="s">
        <v>1143</v>
      </c>
      <c r="BB20" s="1" t="s">
        <v>1092</v>
      </c>
      <c r="BC20" s="1" t="s">
        <v>312</v>
      </c>
      <c r="BD20" s="1" t="s">
        <v>1144</v>
      </c>
      <c r="BE20" s="1">
        <v>109</v>
      </c>
      <c r="BF20" s="1">
        <v>109</v>
      </c>
      <c r="BG20" s="1">
        <v>0</v>
      </c>
      <c r="BH20" s="1" t="s">
        <v>593</v>
      </c>
      <c r="BI20" s="1" t="s">
        <v>55</v>
      </c>
      <c r="BJ20" s="1" t="s">
        <v>55</v>
      </c>
      <c r="BK20" s="1" t="s">
        <v>55</v>
      </c>
      <c r="BL20" s="1" t="s">
        <v>751</v>
      </c>
      <c r="BM20" s="1" t="s">
        <v>782</v>
      </c>
      <c r="BN20" s="1" t="s">
        <v>329</v>
      </c>
      <c r="BO20" s="1" t="s">
        <v>444</v>
      </c>
      <c r="BP20" s="1" t="s">
        <v>332</v>
      </c>
      <c r="BQ20" s="1" t="s">
        <v>362</v>
      </c>
      <c r="BR20" s="1" t="s">
        <v>533</v>
      </c>
      <c r="BS20" s="1" t="s">
        <v>445</v>
      </c>
      <c r="BT20" s="1"/>
      <c r="BU20" s="1"/>
      <c r="BV20" s="1"/>
      <c r="BW20" s="1"/>
      <c r="BX20" s="1"/>
      <c r="BY20" s="1" t="s">
        <v>513</v>
      </c>
      <c r="BZ20" s="1" t="s">
        <v>494</v>
      </c>
      <c r="CA20" s="1" t="s">
        <v>335</v>
      </c>
      <c r="CB20" s="1" t="s">
        <v>1145</v>
      </c>
      <c r="CC20" s="1" t="s">
        <v>1146</v>
      </c>
    </row>
    <row r="21" spans="1:81" x14ac:dyDescent="0.25">
      <c r="A21" s="1">
        <v>1610612766</v>
      </c>
      <c r="B21" s="1" t="s">
        <v>48</v>
      </c>
      <c r="C21" s="1" t="s">
        <v>935</v>
      </c>
      <c r="D21" s="1" t="s">
        <v>635</v>
      </c>
      <c r="E21" s="1" t="s">
        <v>636</v>
      </c>
      <c r="F21" s="1" t="s">
        <v>267</v>
      </c>
      <c r="G21" s="1" t="s">
        <v>732</v>
      </c>
      <c r="H21" s="1">
        <v>10</v>
      </c>
      <c r="I21" s="1" t="s">
        <v>637</v>
      </c>
      <c r="J21" s="1" t="s">
        <v>565</v>
      </c>
      <c r="K21" s="1" t="s">
        <v>472</v>
      </c>
      <c r="L21" s="1">
        <v>3</v>
      </c>
      <c r="M21" s="1">
        <v>36</v>
      </c>
      <c r="N21" s="1">
        <v>46</v>
      </c>
      <c r="O21" s="1">
        <v>0.439</v>
      </c>
      <c r="P21" s="1">
        <v>0</v>
      </c>
      <c r="Q21" s="1" t="s">
        <v>734</v>
      </c>
      <c r="R21" s="1" t="s">
        <v>400</v>
      </c>
      <c r="S21" s="1" t="s">
        <v>600</v>
      </c>
      <c r="T21" s="1" t="s">
        <v>274</v>
      </c>
      <c r="U21" s="1" t="s">
        <v>274</v>
      </c>
      <c r="V21" s="1" t="s">
        <v>274</v>
      </c>
      <c r="W21" s="1" t="s">
        <v>550</v>
      </c>
      <c r="X21" s="1" t="s">
        <v>831</v>
      </c>
      <c r="Y21" s="1" t="s">
        <v>1124</v>
      </c>
      <c r="Z21" s="1">
        <v>-5</v>
      </c>
      <c r="AA21" s="1" t="s">
        <v>378</v>
      </c>
      <c r="AB21" s="1">
        <v>-8</v>
      </c>
      <c r="AC21" s="1" t="s">
        <v>714</v>
      </c>
      <c r="AD21" s="1">
        <v>5</v>
      </c>
      <c r="AE21" s="1">
        <v>6</v>
      </c>
      <c r="AF21" s="1">
        <v>-3</v>
      </c>
      <c r="AG21" s="1" t="s">
        <v>350</v>
      </c>
      <c r="AH21" s="1">
        <v>2</v>
      </c>
      <c r="AI21" s="1" t="s">
        <v>279</v>
      </c>
      <c r="AJ21" s="1">
        <v>1</v>
      </c>
      <c r="AK21" s="1" t="s">
        <v>317</v>
      </c>
      <c r="AL21" s="1">
        <v>23</v>
      </c>
      <c r="AM21" s="1">
        <v>8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1147</v>
      </c>
      <c r="AT21" s="1" t="s">
        <v>549</v>
      </c>
      <c r="AU21" s="1" t="s">
        <v>381</v>
      </c>
      <c r="AV21" s="1" t="s">
        <v>666</v>
      </c>
      <c r="AW21" s="1" t="s">
        <v>1148</v>
      </c>
      <c r="AX21" s="1" t="s">
        <v>285</v>
      </c>
      <c r="AY21" s="1" t="s">
        <v>699</v>
      </c>
      <c r="AZ21" s="1" t="s">
        <v>1149</v>
      </c>
      <c r="BA21" s="1" t="s">
        <v>1150</v>
      </c>
      <c r="BB21" s="1" t="s">
        <v>1151</v>
      </c>
      <c r="BC21" s="1" t="s">
        <v>1052</v>
      </c>
      <c r="BD21" s="1" t="s">
        <v>1152</v>
      </c>
      <c r="BE21" s="1">
        <v>108.2</v>
      </c>
      <c r="BF21" s="1">
        <v>108</v>
      </c>
      <c r="BG21" s="1">
        <v>0.3</v>
      </c>
      <c r="BH21" s="1" t="s">
        <v>732</v>
      </c>
      <c r="BI21" s="1" t="s">
        <v>782</v>
      </c>
      <c r="BJ21" s="1" t="s">
        <v>628</v>
      </c>
      <c r="BK21" s="1" t="s">
        <v>491</v>
      </c>
      <c r="BL21" s="1" t="s">
        <v>464</v>
      </c>
      <c r="BM21" s="1" t="s">
        <v>465</v>
      </c>
      <c r="BN21" s="1" t="s">
        <v>362</v>
      </c>
      <c r="BO21" s="1" t="s">
        <v>594</v>
      </c>
      <c r="BP21" s="1" t="s">
        <v>300</v>
      </c>
      <c r="BQ21" s="1" t="s">
        <v>971</v>
      </c>
      <c r="BR21" s="1" t="s">
        <v>632</v>
      </c>
      <c r="BS21" s="1" t="s">
        <v>688</v>
      </c>
      <c r="BT21" s="1"/>
      <c r="BU21" s="1"/>
      <c r="BV21" s="1"/>
      <c r="BW21" s="1"/>
      <c r="BX21" s="1"/>
      <c r="BY21" s="1" t="s">
        <v>514</v>
      </c>
      <c r="BZ21" s="1" t="s">
        <v>1037</v>
      </c>
      <c r="CA21" s="1" t="s">
        <v>576</v>
      </c>
      <c r="CB21" s="1" t="s">
        <v>1153</v>
      </c>
      <c r="CC21" s="1" t="s">
        <v>536</v>
      </c>
    </row>
    <row r="22" spans="1:81" x14ac:dyDescent="0.25">
      <c r="A22" s="1">
        <v>1610612752</v>
      </c>
      <c r="B22" s="1" t="s">
        <v>48</v>
      </c>
      <c r="C22" s="1" t="s">
        <v>935</v>
      </c>
      <c r="D22" s="1" t="s">
        <v>858</v>
      </c>
      <c r="E22" s="1" t="s">
        <v>859</v>
      </c>
      <c r="F22" s="1" t="s">
        <v>267</v>
      </c>
      <c r="G22" s="1" t="s">
        <v>1154</v>
      </c>
      <c r="H22" s="1">
        <v>11</v>
      </c>
      <c r="I22" s="1" t="s">
        <v>637</v>
      </c>
      <c r="J22" s="1" t="s">
        <v>308</v>
      </c>
      <c r="K22" s="1" t="s">
        <v>398</v>
      </c>
      <c r="L22" s="1">
        <v>4</v>
      </c>
      <c r="M22" s="1">
        <v>29</v>
      </c>
      <c r="N22" s="1">
        <v>53</v>
      </c>
      <c r="O22" s="1">
        <v>0.35399999999999998</v>
      </c>
      <c r="P22" s="1">
        <v>0</v>
      </c>
      <c r="Q22" s="1" t="s">
        <v>770</v>
      </c>
      <c r="R22" s="1" t="s">
        <v>474</v>
      </c>
      <c r="S22" s="1" t="s">
        <v>571</v>
      </c>
      <c r="T22" s="1" t="s">
        <v>657</v>
      </c>
      <c r="U22" s="1" t="s">
        <v>657</v>
      </c>
      <c r="V22" s="1" t="s">
        <v>657</v>
      </c>
      <c r="W22" s="1" t="s">
        <v>640</v>
      </c>
      <c r="X22" s="1" t="s">
        <v>1155</v>
      </c>
      <c r="Y22" s="1" t="s">
        <v>853</v>
      </c>
      <c r="Z22" s="1">
        <v>-8</v>
      </c>
      <c r="AA22" s="1" t="s">
        <v>714</v>
      </c>
      <c r="AB22" s="1">
        <v>-6</v>
      </c>
      <c r="AC22" s="1" t="s">
        <v>406</v>
      </c>
      <c r="AD22" s="1">
        <v>4</v>
      </c>
      <c r="AE22" s="1">
        <v>9</v>
      </c>
      <c r="AF22" s="1">
        <v>-2</v>
      </c>
      <c r="AG22" s="1" t="s">
        <v>479</v>
      </c>
      <c r="AH22" s="1">
        <v>1</v>
      </c>
      <c r="AI22" s="1" t="s">
        <v>317</v>
      </c>
      <c r="AJ22" s="1">
        <v>1</v>
      </c>
      <c r="AK22" s="1" t="s">
        <v>317</v>
      </c>
      <c r="AL22" s="1">
        <v>30</v>
      </c>
      <c r="AM22" s="1">
        <v>30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611</v>
      </c>
      <c r="AT22" s="1" t="s">
        <v>716</v>
      </c>
      <c r="AU22" s="1" t="s">
        <v>285</v>
      </c>
      <c r="AV22" s="1" t="s">
        <v>1156</v>
      </c>
      <c r="AW22" s="1" t="s">
        <v>1157</v>
      </c>
      <c r="AX22" s="1" t="s">
        <v>285</v>
      </c>
      <c r="AY22" s="1" t="s">
        <v>1158</v>
      </c>
      <c r="AZ22" s="1" t="s">
        <v>1159</v>
      </c>
      <c r="BA22" s="1" t="s">
        <v>1160</v>
      </c>
      <c r="BB22" s="1" t="s">
        <v>798</v>
      </c>
      <c r="BC22" s="1" t="s">
        <v>1161</v>
      </c>
      <c r="BD22" s="1" t="s">
        <v>492</v>
      </c>
      <c r="BE22" s="1">
        <v>104.5</v>
      </c>
      <c r="BF22" s="1">
        <v>108</v>
      </c>
      <c r="BG22" s="1">
        <v>-3.6</v>
      </c>
      <c r="BH22" s="1" t="s">
        <v>1154</v>
      </c>
      <c r="BI22" s="1" t="s">
        <v>71</v>
      </c>
      <c r="BJ22" s="1" t="s">
        <v>782</v>
      </c>
      <c r="BK22" s="1" t="s">
        <v>628</v>
      </c>
      <c r="BL22" s="1" t="s">
        <v>575</v>
      </c>
      <c r="BM22" s="1" t="s">
        <v>465</v>
      </c>
      <c r="BN22" s="1" t="s">
        <v>466</v>
      </c>
      <c r="BO22" s="1" t="s">
        <v>594</v>
      </c>
      <c r="BP22" s="1" t="s">
        <v>576</v>
      </c>
      <c r="BQ22" s="1" t="s">
        <v>686</v>
      </c>
      <c r="BR22" s="1" t="s">
        <v>821</v>
      </c>
      <c r="BS22" s="1" t="s">
        <v>688</v>
      </c>
      <c r="BT22" s="1"/>
      <c r="BU22" s="1"/>
      <c r="BV22" s="1"/>
      <c r="BW22" s="1"/>
      <c r="BX22" s="1"/>
      <c r="BY22" s="1" t="s">
        <v>363</v>
      </c>
      <c r="BZ22" s="1" t="s">
        <v>335</v>
      </c>
      <c r="CA22" s="1" t="s">
        <v>468</v>
      </c>
      <c r="CB22" s="1" t="s">
        <v>765</v>
      </c>
      <c r="CC22" s="1" t="s">
        <v>1162</v>
      </c>
    </row>
    <row r="23" spans="1:81" x14ac:dyDescent="0.25">
      <c r="A23" s="1">
        <v>1610612747</v>
      </c>
      <c r="B23" s="1" t="s">
        <v>48</v>
      </c>
      <c r="C23" s="1" t="s">
        <v>935</v>
      </c>
      <c r="D23" s="1" t="s">
        <v>672</v>
      </c>
      <c r="E23" s="1" t="s">
        <v>673</v>
      </c>
      <c r="F23" s="1" t="s">
        <v>222</v>
      </c>
      <c r="G23" s="1" t="s">
        <v>710</v>
      </c>
      <c r="H23" s="1">
        <v>11</v>
      </c>
      <c r="I23" s="1" t="s">
        <v>637</v>
      </c>
      <c r="J23" s="1" t="s">
        <v>225</v>
      </c>
      <c r="K23" s="1" t="s">
        <v>398</v>
      </c>
      <c r="L23" s="1">
        <v>3</v>
      </c>
      <c r="M23" s="1">
        <v>35</v>
      </c>
      <c r="N23" s="1">
        <v>47</v>
      </c>
      <c r="O23" s="1">
        <v>0.42699999999999999</v>
      </c>
      <c r="P23" s="1">
        <v>0</v>
      </c>
      <c r="Q23" s="1" t="s">
        <v>1163</v>
      </c>
      <c r="R23" s="1" t="s">
        <v>345</v>
      </c>
      <c r="S23" s="1" t="s">
        <v>600</v>
      </c>
      <c r="T23" s="1" t="s">
        <v>657</v>
      </c>
      <c r="U23" s="1" t="s">
        <v>346</v>
      </c>
      <c r="V23" s="1" t="s">
        <v>346</v>
      </c>
      <c r="W23" s="1" t="s">
        <v>1164</v>
      </c>
      <c r="X23" s="1" t="s">
        <v>522</v>
      </c>
      <c r="Y23" s="1" t="s">
        <v>1165</v>
      </c>
      <c r="Z23" s="1">
        <v>9</v>
      </c>
      <c r="AA23" s="1" t="s">
        <v>544</v>
      </c>
      <c r="AB23" s="1">
        <v>-5</v>
      </c>
      <c r="AC23" s="1" t="s">
        <v>378</v>
      </c>
      <c r="AD23" s="1">
        <v>5</v>
      </c>
      <c r="AE23" s="1">
        <v>9</v>
      </c>
      <c r="AF23" s="1">
        <v>-3</v>
      </c>
      <c r="AG23" s="1" t="s">
        <v>350</v>
      </c>
      <c r="AH23" s="1">
        <v>1</v>
      </c>
      <c r="AI23" s="1" t="s">
        <v>317</v>
      </c>
      <c r="AJ23" s="1">
        <v>1</v>
      </c>
      <c r="AK23" s="1" t="s">
        <v>317</v>
      </c>
      <c r="AL23" s="1">
        <v>30</v>
      </c>
      <c r="AM23" s="1">
        <v>23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995</v>
      </c>
      <c r="AT23" s="1" t="s">
        <v>1166</v>
      </c>
      <c r="AU23" s="1" t="s">
        <v>275</v>
      </c>
      <c r="AV23" s="1" t="s">
        <v>603</v>
      </c>
      <c r="AW23" s="1" t="s">
        <v>1167</v>
      </c>
      <c r="AX23" s="1" t="s">
        <v>375</v>
      </c>
      <c r="AY23" s="1" t="s">
        <v>1168</v>
      </c>
      <c r="AZ23" s="1" t="s">
        <v>1169</v>
      </c>
      <c r="BA23" s="1" t="s">
        <v>1170</v>
      </c>
      <c r="BB23" s="1" t="s">
        <v>984</v>
      </c>
      <c r="BC23" s="1" t="s">
        <v>1171</v>
      </c>
      <c r="BD23" s="1" t="s">
        <v>1172</v>
      </c>
      <c r="BE23" s="1">
        <v>108.1</v>
      </c>
      <c r="BF23" s="1">
        <v>109.6</v>
      </c>
      <c r="BG23" s="1">
        <v>-1.5</v>
      </c>
      <c r="BH23" s="1" t="s">
        <v>705</v>
      </c>
      <c r="BI23" s="1" t="s">
        <v>466</v>
      </c>
      <c r="BJ23" s="1" t="s">
        <v>466</v>
      </c>
      <c r="BK23" s="1" t="s">
        <v>55</v>
      </c>
      <c r="BL23" s="1" t="s">
        <v>710</v>
      </c>
      <c r="BM23" s="1" t="s">
        <v>782</v>
      </c>
      <c r="BN23" s="1" t="s">
        <v>71</v>
      </c>
      <c r="BO23" s="1" t="s">
        <v>490</v>
      </c>
      <c r="BP23" s="1" t="s">
        <v>335</v>
      </c>
      <c r="BQ23" s="1" t="s">
        <v>362</v>
      </c>
      <c r="BR23" s="1" t="s">
        <v>468</v>
      </c>
      <c r="BS23" s="1" t="s">
        <v>578</v>
      </c>
      <c r="BT23" s="1"/>
      <c r="BU23" s="1"/>
      <c r="BV23" s="1"/>
      <c r="BW23" s="1"/>
      <c r="BX23" s="1"/>
      <c r="BY23" s="1" t="s">
        <v>707</v>
      </c>
      <c r="BZ23" s="1" t="s">
        <v>61</v>
      </c>
      <c r="CA23" s="1" t="s">
        <v>842</v>
      </c>
      <c r="CB23" s="1" t="s">
        <v>1173</v>
      </c>
      <c r="CC23" s="1" t="s">
        <v>536</v>
      </c>
    </row>
    <row r="24" spans="1:81" x14ac:dyDescent="0.25">
      <c r="A24" s="1">
        <v>1610612758</v>
      </c>
      <c r="B24" s="1" t="s">
        <v>48</v>
      </c>
      <c r="C24" s="1" t="s">
        <v>935</v>
      </c>
      <c r="D24" s="1" t="s">
        <v>652</v>
      </c>
      <c r="E24" s="1" t="s">
        <v>653</v>
      </c>
      <c r="F24" s="1" t="s">
        <v>222</v>
      </c>
      <c r="G24" s="1" t="s">
        <v>1174</v>
      </c>
      <c r="H24" s="1">
        <v>12</v>
      </c>
      <c r="I24" s="1" t="s">
        <v>637</v>
      </c>
      <c r="J24" s="1" t="s">
        <v>225</v>
      </c>
      <c r="K24" s="1" t="s">
        <v>733</v>
      </c>
      <c r="L24" s="1">
        <v>4</v>
      </c>
      <c r="M24" s="1">
        <v>27</v>
      </c>
      <c r="N24" s="1">
        <v>55</v>
      </c>
      <c r="O24" s="1">
        <v>0.32900000000000001</v>
      </c>
      <c r="P24" s="1">
        <v>0</v>
      </c>
      <c r="Q24" s="1" t="s">
        <v>1175</v>
      </c>
      <c r="R24" s="1" t="s">
        <v>639</v>
      </c>
      <c r="S24" s="1" t="s">
        <v>806</v>
      </c>
      <c r="T24" s="1" t="s">
        <v>346</v>
      </c>
      <c r="U24" s="1" t="s">
        <v>346</v>
      </c>
      <c r="V24" s="1" t="s">
        <v>657</v>
      </c>
      <c r="W24" s="1" t="s">
        <v>241</v>
      </c>
      <c r="X24" s="1" t="s">
        <v>1176</v>
      </c>
      <c r="Y24" s="1" t="s">
        <v>1177</v>
      </c>
      <c r="Z24" s="1">
        <v>-5</v>
      </c>
      <c r="AA24" s="1" t="s">
        <v>378</v>
      </c>
      <c r="AB24" s="1">
        <v>-9</v>
      </c>
      <c r="AC24" s="1" t="s">
        <v>738</v>
      </c>
      <c r="AD24" s="1">
        <v>2</v>
      </c>
      <c r="AE24" s="1">
        <v>8</v>
      </c>
      <c r="AF24" s="1">
        <v>1</v>
      </c>
      <c r="AG24" s="1" t="s">
        <v>317</v>
      </c>
      <c r="AH24" s="1">
        <v>-1</v>
      </c>
      <c r="AI24" s="1" t="s">
        <v>238</v>
      </c>
      <c r="AJ24" s="1">
        <v>1</v>
      </c>
      <c r="AK24" s="1" t="s">
        <v>317</v>
      </c>
      <c r="AL24" s="1">
        <v>38</v>
      </c>
      <c r="AM24" s="1">
        <v>31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614</v>
      </c>
      <c r="AT24" s="1" t="s">
        <v>1178</v>
      </c>
      <c r="AU24" s="1" t="s">
        <v>736</v>
      </c>
      <c r="AV24" s="1" t="s">
        <v>1010</v>
      </c>
      <c r="AW24" s="1" t="s">
        <v>1179</v>
      </c>
      <c r="AX24" s="1" t="s">
        <v>584</v>
      </c>
      <c r="AY24" s="1" t="s">
        <v>486</v>
      </c>
      <c r="AZ24" s="1" t="s">
        <v>887</v>
      </c>
      <c r="BA24" s="1" t="s">
        <v>1180</v>
      </c>
      <c r="BB24" s="1" t="s">
        <v>647</v>
      </c>
      <c r="BC24" s="1" t="s">
        <v>1181</v>
      </c>
      <c r="BD24" s="1" t="s">
        <v>1093</v>
      </c>
      <c r="BE24" s="1">
        <v>98.8</v>
      </c>
      <c r="BF24" s="1">
        <v>105.8</v>
      </c>
      <c r="BG24" s="1">
        <v>-7</v>
      </c>
      <c r="BH24" s="1" t="s">
        <v>556</v>
      </c>
      <c r="BI24" s="1" t="s">
        <v>466</v>
      </c>
      <c r="BJ24" s="1" t="s">
        <v>594</v>
      </c>
      <c r="BK24" s="1" t="s">
        <v>466</v>
      </c>
      <c r="BL24" s="1" t="s">
        <v>1174</v>
      </c>
      <c r="BM24" s="1" t="s">
        <v>876</v>
      </c>
      <c r="BN24" s="1" t="s">
        <v>576</v>
      </c>
      <c r="BO24" s="1" t="s">
        <v>724</v>
      </c>
      <c r="BP24" s="1" t="s">
        <v>494</v>
      </c>
      <c r="BQ24" s="1" t="s">
        <v>1182</v>
      </c>
      <c r="BR24" s="1" t="s">
        <v>71</v>
      </c>
      <c r="BS24" s="1" t="s">
        <v>298</v>
      </c>
      <c r="BT24" s="1"/>
      <c r="BU24" s="1"/>
      <c r="BV24" s="1"/>
      <c r="BW24" s="1"/>
      <c r="BX24" s="1"/>
      <c r="BY24" s="1" t="s">
        <v>727</v>
      </c>
      <c r="BZ24" s="1" t="s">
        <v>61</v>
      </c>
      <c r="CA24" s="1" t="s">
        <v>632</v>
      </c>
      <c r="CB24" s="1" t="s">
        <v>1183</v>
      </c>
      <c r="CC24" s="1" t="s">
        <v>671</v>
      </c>
    </row>
    <row r="25" spans="1:81" x14ac:dyDescent="0.25">
      <c r="A25" s="1">
        <v>1610612751</v>
      </c>
      <c r="B25" s="1" t="s">
        <v>48</v>
      </c>
      <c r="C25" s="1" t="s">
        <v>935</v>
      </c>
      <c r="D25" s="1" t="s">
        <v>537</v>
      </c>
      <c r="E25" s="1" t="s">
        <v>538</v>
      </c>
      <c r="F25" s="1" t="s">
        <v>267</v>
      </c>
      <c r="G25" s="1" t="s">
        <v>710</v>
      </c>
      <c r="H25" s="1">
        <v>12</v>
      </c>
      <c r="I25" s="1" t="s">
        <v>637</v>
      </c>
      <c r="J25" s="1" t="s">
        <v>308</v>
      </c>
      <c r="K25" s="1" t="s">
        <v>1184</v>
      </c>
      <c r="L25" s="1">
        <v>5</v>
      </c>
      <c r="M25" s="1">
        <v>28</v>
      </c>
      <c r="N25" s="1">
        <v>54</v>
      </c>
      <c r="O25" s="1">
        <v>0.34100000000000003</v>
      </c>
      <c r="P25" s="1">
        <v>0</v>
      </c>
      <c r="Q25" s="1" t="s">
        <v>1185</v>
      </c>
      <c r="R25" s="1" t="s">
        <v>600</v>
      </c>
      <c r="S25" s="1" t="s">
        <v>806</v>
      </c>
      <c r="T25" s="1" t="s">
        <v>274</v>
      </c>
      <c r="U25" s="1" t="s">
        <v>346</v>
      </c>
      <c r="V25" s="1" t="s">
        <v>274</v>
      </c>
      <c r="W25" s="1" t="s">
        <v>831</v>
      </c>
      <c r="X25" s="1" t="s">
        <v>431</v>
      </c>
      <c r="Y25" s="1" t="s">
        <v>1186</v>
      </c>
      <c r="Z25" s="1">
        <v>-6</v>
      </c>
      <c r="AA25" s="1" t="s">
        <v>406</v>
      </c>
      <c r="AB25" s="1">
        <v>-10</v>
      </c>
      <c r="AC25" s="1" t="s">
        <v>478</v>
      </c>
      <c r="AD25" s="1">
        <v>3</v>
      </c>
      <c r="AE25" s="1">
        <v>8</v>
      </c>
      <c r="AF25" s="1">
        <v>1</v>
      </c>
      <c r="AG25" s="1" t="s">
        <v>317</v>
      </c>
      <c r="AH25" s="1">
        <v>-1</v>
      </c>
      <c r="AI25" s="1" t="s">
        <v>238</v>
      </c>
      <c r="AJ25" s="1">
        <v>-1</v>
      </c>
      <c r="AK25" s="1" t="s">
        <v>238</v>
      </c>
      <c r="AL25" s="1">
        <v>31</v>
      </c>
      <c r="AM25" s="1">
        <v>31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979</v>
      </c>
      <c r="AT25" s="1" t="s">
        <v>716</v>
      </c>
      <c r="AU25" s="1" t="s">
        <v>375</v>
      </c>
      <c r="AV25" s="1" t="s">
        <v>555</v>
      </c>
      <c r="AW25" s="1" t="s">
        <v>1187</v>
      </c>
      <c r="AX25" s="1" t="s">
        <v>275</v>
      </c>
      <c r="AY25" s="1" t="s">
        <v>1114</v>
      </c>
      <c r="AZ25" s="1" t="s">
        <v>1188</v>
      </c>
      <c r="BA25" s="1" t="s">
        <v>1189</v>
      </c>
      <c r="BB25" s="1" t="s">
        <v>1190</v>
      </c>
      <c r="BC25" s="1" t="s">
        <v>1191</v>
      </c>
      <c r="BD25" s="1" t="s">
        <v>886</v>
      </c>
      <c r="BE25" s="1">
        <v>106.6</v>
      </c>
      <c r="BF25" s="1">
        <v>110.3</v>
      </c>
      <c r="BG25" s="1">
        <v>-3.7</v>
      </c>
      <c r="BH25" s="1" t="s">
        <v>710</v>
      </c>
      <c r="BI25" s="1" t="s">
        <v>1192</v>
      </c>
      <c r="BJ25" s="1" t="s">
        <v>724</v>
      </c>
      <c r="BK25" s="1" t="s">
        <v>253</v>
      </c>
      <c r="BL25" s="1" t="s">
        <v>763</v>
      </c>
      <c r="BM25" s="1" t="s">
        <v>465</v>
      </c>
      <c r="BN25" s="1" t="s">
        <v>686</v>
      </c>
      <c r="BO25" s="1" t="s">
        <v>465</v>
      </c>
      <c r="BP25" s="1" t="s">
        <v>71</v>
      </c>
      <c r="BQ25" s="1" t="s">
        <v>686</v>
      </c>
      <c r="BR25" s="1" t="s">
        <v>61</v>
      </c>
      <c r="BS25" s="1" t="s">
        <v>363</v>
      </c>
      <c r="BT25" s="1"/>
      <c r="BU25" s="1"/>
      <c r="BV25" s="1"/>
      <c r="BW25" s="1"/>
      <c r="BX25" s="1"/>
      <c r="BY25" s="1" t="s">
        <v>558</v>
      </c>
      <c r="BZ25" s="1" t="s">
        <v>579</v>
      </c>
      <c r="CA25" s="1" t="s">
        <v>559</v>
      </c>
      <c r="CB25" s="1" t="s">
        <v>1193</v>
      </c>
      <c r="CC25" s="1" t="s">
        <v>1194</v>
      </c>
    </row>
    <row r="26" spans="1:81" x14ac:dyDescent="0.25">
      <c r="A26" s="1">
        <v>1610612742</v>
      </c>
      <c r="B26" s="1" t="s">
        <v>48</v>
      </c>
      <c r="C26" s="1" t="s">
        <v>935</v>
      </c>
      <c r="D26" s="1" t="s">
        <v>845</v>
      </c>
      <c r="E26" s="1" t="s">
        <v>846</v>
      </c>
      <c r="F26" s="1" t="s">
        <v>222</v>
      </c>
      <c r="G26" s="1" t="s">
        <v>1174</v>
      </c>
      <c r="H26" s="1">
        <v>13</v>
      </c>
      <c r="I26" s="1" t="s">
        <v>637</v>
      </c>
      <c r="J26" s="1" t="s">
        <v>427</v>
      </c>
      <c r="K26" s="1" t="s">
        <v>733</v>
      </c>
      <c r="L26" s="1">
        <v>4</v>
      </c>
      <c r="M26" s="1">
        <v>24</v>
      </c>
      <c r="N26" s="1">
        <v>58</v>
      </c>
      <c r="O26" s="1">
        <v>0.29299999999999998</v>
      </c>
      <c r="P26" s="1">
        <v>0</v>
      </c>
      <c r="Q26" s="1" t="s">
        <v>1195</v>
      </c>
      <c r="R26" s="1" t="s">
        <v>600</v>
      </c>
      <c r="S26" s="1" t="s">
        <v>642</v>
      </c>
      <c r="T26" s="1" t="s">
        <v>475</v>
      </c>
      <c r="U26" s="1" t="s">
        <v>657</v>
      </c>
      <c r="V26" s="1" t="s">
        <v>475</v>
      </c>
      <c r="W26" s="1" t="s">
        <v>232</v>
      </c>
      <c r="X26" s="1" t="s">
        <v>1196</v>
      </c>
      <c r="Y26" s="1" t="s">
        <v>1197</v>
      </c>
      <c r="Z26" s="1">
        <v>-5</v>
      </c>
      <c r="AA26" s="1" t="s">
        <v>378</v>
      </c>
      <c r="AB26" s="1">
        <v>-8</v>
      </c>
      <c r="AC26" s="1" t="s">
        <v>714</v>
      </c>
      <c r="AD26" s="1">
        <v>4</v>
      </c>
      <c r="AE26" s="1">
        <v>6</v>
      </c>
      <c r="AF26" s="1">
        <v>-1</v>
      </c>
      <c r="AG26" s="1" t="s">
        <v>238</v>
      </c>
      <c r="AH26" s="1">
        <v>-5</v>
      </c>
      <c r="AI26" s="1" t="s">
        <v>378</v>
      </c>
      <c r="AJ26" s="1">
        <v>-4</v>
      </c>
      <c r="AK26" s="1" t="s">
        <v>545</v>
      </c>
      <c r="AL26" s="1">
        <v>41</v>
      </c>
      <c r="AM26" s="1">
        <v>41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1198</v>
      </c>
      <c r="AT26" s="1" t="s">
        <v>1199</v>
      </c>
      <c r="AU26" s="1" t="s">
        <v>1200</v>
      </c>
      <c r="AV26" s="1" t="s">
        <v>1201</v>
      </c>
      <c r="AW26" s="1" t="s">
        <v>1202</v>
      </c>
      <c r="AX26" s="1" t="s">
        <v>458</v>
      </c>
      <c r="AY26" s="1" t="s">
        <v>701</v>
      </c>
      <c r="AZ26" s="1" t="s">
        <v>1203</v>
      </c>
      <c r="BA26" s="1" t="s">
        <v>1160</v>
      </c>
      <c r="BB26" s="1" t="s">
        <v>1144</v>
      </c>
      <c r="BC26" s="1" t="s">
        <v>1108</v>
      </c>
      <c r="BD26" s="1" t="s">
        <v>1204</v>
      </c>
      <c r="BE26" s="1">
        <v>102.3</v>
      </c>
      <c r="BF26" s="1">
        <v>105.4</v>
      </c>
      <c r="BG26" s="1">
        <v>-3</v>
      </c>
      <c r="BH26" s="1" t="s">
        <v>649</v>
      </c>
      <c r="BI26" s="1" t="s">
        <v>557</v>
      </c>
      <c r="BJ26" s="1" t="s">
        <v>465</v>
      </c>
      <c r="BK26" s="1" t="s">
        <v>465</v>
      </c>
      <c r="BL26" s="1" t="s">
        <v>1174</v>
      </c>
      <c r="BM26" s="1" t="s">
        <v>838</v>
      </c>
      <c r="BN26" s="1" t="s">
        <v>782</v>
      </c>
      <c r="BO26" s="1" t="s">
        <v>576</v>
      </c>
      <c r="BP26" s="1" t="s">
        <v>842</v>
      </c>
      <c r="BQ26" s="1" t="s">
        <v>594</v>
      </c>
      <c r="BR26" s="1" t="s">
        <v>494</v>
      </c>
      <c r="BS26" s="1" t="s">
        <v>445</v>
      </c>
      <c r="BT26" s="1"/>
      <c r="BU26" s="1"/>
      <c r="BV26" s="1"/>
      <c r="BW26" s="1"/>
      <c r="BX26" s="1"/>
      <c r="BY26" s="1" t="s">
        <v>1205</v>
      </c>
      <c r="BZ26" s="1" t="s">
        <v>494</v>
      </c>
      <c r="CA26" s="1" t="s">
        <v>387</v>
      </c>
      <c r="CB26" s="1" t="s">
        <v>1206</v>
      </c>
      <c r="CC26" s="1" t="s">
        <v>881</v>
      </c>
    </row>
    <row r="27" spans="1:81" x14ac:dyDescent="0.25">
      <c r="A27" s="1">
        <v>1610612741</v>
      </c>
      <c r="B27" s="1" t="s">
        <v>48</v>
      </c>
      <c r="C27" s="1" t="s">
        <v>935</v>
      </c>
      <c r="D27" s="1" t="s">
        <v>802</v>
      </c>
      <c r="E27" s="1" t="s">
        <v>803</v>
      </c>
      <c r="F27" s="1" t="s">
        <v>267</v>
      </c>
      <c r="G27" s="1" t="s">
        <v>654</v>
      </c>
      <c r="H27" s="1">
        <v>13</v>
      </c>
      <c r="I27" s="1" t="s">
        <v>637</v>
      </c>
      <c r="J27" s="1" t="s">
        <v>270</v>
      </c>
      <c r="K27" s="1" t="s">
        <v>655</v>
      </c>
      <c r="L27" s="1">
        <v>5</v>
      </c>
      <c r="M27" s="1">
        <v>27</v>
      </c>
      <c r="N27" s="1">
        <v>55</v>
      </c>
      <c r="O27" s="1">
        <v>0.32900000000000001</v>
      </c>
      <c r="P27" s="1">
        <v>0</v>
      </c>
      <c r="Q27" s="1" t="s">
        <v>1175</v>
      </c>
      <c r="R27" s="1" t="s">
        <v>567</v>
      </c>
      <c r="S27" s="1" t="s">
        <v>571</v>
      </c>
      <c r="T27" s="1" t="s">
        <v>657</v>
      </c>
      <c r="U27" s="1" t="s">
        <v>657</v>
      </c>
      <c r="V27" s="1" t="s">
        <v>657</v>
      </c>
      <c r="W27" s="1" t="s">
        <v>375</v>
      </c>
      <c r="X27" s="1" t="s">
        <v>1207</v>
      </c>
      <c r="Y27" s="1" t="s">
        <v>1081</v>
      </c>
      <c r="Z27" s="1">
        <v>7</v>
      </c>
      <c r="AA27" s="1" t="s">
        <v>433</v>
      </c>
      <c r="AB27" s="1">
        <v>-9</v>
      </c>
      <c r="AC27" s="1" t="s">
        <v>738</v>
      </c>
      <c r="AD27" s="1">
        <v>7</v>
      </c>
      <c r="AE27" s="1">
        <v>10</v>
      </c>
      <c r="AF27" s="1">
        <v>-2</v>
      </c>
      <c r="AG27" s="1" t="s">
        <v>479</v>
      </c>
      <c r="AH27" s="1">
        <v>-2</v>
      </c>
      <c r="AI27" s="1" t="s">
        <v>479</v>
      </c>
      <c r="AJ27" s="1">
        <v>-4</v>
      </c>
      <c r="AK27" s="1" t="s">
        <v>545</v>
      </c>
      <c r="AL27" s="1">
        <v>32</v>
      </c>
      <c r="AM27" s="1">
        <v>23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1087</v>
      </c>
      <c r="AT27" s="1" t="s">
        <v>1208</v>
      </c>
      <c r="AU27" s="1" t="s">
        <v>736</v>
      </c>
      <c r="AV27" s="1" t="s">
        <v>1209</v>
      </c>
      <c r="AW27" s="1" t="s">
        <v>1203</v>
      </c>
      <c r="AX27" s="1" t="s">
        <v>550</v>
      </c>
      <c r="AY27" s="1" t="s">
        <v>1210</v>
      </c>
      <c r="AZ27" s="1" t="s">
        <v>1211</v>
      </c>
      <c r="BA27" s="1" t="s">
        <v>1212</v>
      </c>
      <c r="BB27" s="1" t="s">
        <v>1213</v>
      </c>
      <c r="BC27" s="1" t="s">
        <v>319</v>
      </c>
      <c r="BD27" s="1" t="s">
        <v>1214</v>
      </c>
      <c r="BE27" s="1">
        <v>102.9</v>
      </c>
      <c r="BF27" s="1">
        <v>110</v>
      </c>
      <c r="BG27" s="1">
        <v>-7</v>
      </c>
      <c r="BH27" s="1" t="s">
        <v>654</v>
      </c>
      <c r="BI27" s="1" t="s">
        <v>838</v>
      </c>
      <c r="BJ27" s="1" t="s">
        <v>668</v>
      </c>
      <c r="BK27" s="1" t="s">
        <v>253</v>
      </c>
      <c r="BL27" s="1" t="s">
        <v>818</v>
      </c>
      <c r="BM27" s="1" t="s">
        <v>557</v>
      </c>
      <c r="BN27" s="1" t="s">
        <v>840</v>
      </c>
      <c r="BO27" s="1" t="s">
        <v>465</v>
      </c>
      <c r="BP27" s="1" t="s">
        <v>559</v>
      </c>
      <c r="BQ27" s="1" t="s">
        <v>557</v>
      </c>
      <c r="BR27" s="1" t="s">
        <v>559</v>
      </c>
      <c r="BS27" s="1" t="s">
        <v>390</v>
      </c>
      <c r="BT27" s="1"/>
      <c r="BU27" s="1"/>
      <c r="BV27" s="1"/>
      <c r="BW27" s="1"/>
      <c r="BX27" s="1"/>
      <c r="BY27" s="1" t="s">
        <v>669</v>
      </c>
      <c r="BZ27" s="1" t="s">
        <v>819</v>
      </c>
      <c r="CA27" s="1" t="s">
        <v>297</v>
      </c>
      <c r="CB27" s="1" t="s">
        <v>1215</v>
      </c>
      <c r="CC27" s="1" t="s">
        <v>857</v>
      </c>
    </row>
    <row r="28" spans="1:81" x14ac:dyDescent="0.25">
      <c r="A28" s="1">
        <v>1610612753</v>
      </c>
      <c r="B28" s="1" t="s">
        <v>48</v>
      </c>
      <c r="C28" s="1" t="s">
        <v>935</v>
      </c>
      <c r="D28" s="1" t="s">
        <v>562</v>
      </c>
      <c r="E28" s="1" t="s">
        <v>563</v>
      </c>
      <c r="F28" s="1" t="s">
        <v>267</v>
      </c>
      <c r="G28" s="1" t="s">
        <v>825</v>
      </c>
      <c r="H28" s="1">
        <v>14</v>
      </c>
      <c r="I28" s="1" t="s">
        <v>637</v>
      </c>
      <c r="J28" s="1" t="s">
        <v>565</v>
      </c>
      <c r="K28" s="1" t="s">
        <v>733</v>
      </c>
      <c r="L28" s="1">
        <v>4</v>
      </c>
      <c r="M28" s="1">
        <v>25</v>
      </c>
      <c r="N28" s="1">
        <v>57</v>
      </c>
      <c r="O28" s="1">
        <v>0.30499999999999999</v>
      </c>
      <c r="P28" s="1">
        <v>0</v>
      </c>
      <c r="Q28" s="1" t="s">
        <v>1216</v>
      </c>
      <c r="R28" s="1" t="s">
        <v>567</v>
      </c>
      <c r="S28" s="1" t="s">
        <v>863</v>
      </c>
      <c r="T28" s="1" t="s">
        <v>346</v>
      </c>
      <c r="U28" s="1" t="s">
        <v>346</v>
      </c>
      <c r="V28" s="1" t="s">
        <v>788</v>
      </c>
      <c r="W28" s="1" t="s">
        <v>347</v>
      </c>
      <c r="X28" s="1" t="s">
        <v>1164</v>
      </c>
      <c r="Y28" s="1" t="s">
        <v>1079</v>
      </c>
      <c r="Z28" s="1">
        <v>-4</v>
      </c>
      <c r="AA28" s="1" t="s">
        <v>545</v>
      </c>
      <c r="AB28" s="1">
        <v>-11</v>
      </c>
      <c r="AC28" s="1" t="s">
        <v>808</v>
      </c>
      <c r="AD28" s="1">
        <v>3</v>
      </c>
      <c r="AE28" s="1">
        <v>9</v>
      </c>
      <c r="AF28" s="1">
        <v>1</v>
      </c>
      <c r="AG28" s="1" t="s">
        <v>317</v>
      </c>
      <c r="AH28" s="1">
        <v>-2</v>
      </c>
      <c r="AI28" s="1" t="s">
        <v>479</v>
      </c>
      <c r="AJ28" s="1">
        <v>1</v>
      </c>
      <c r="AK28" s="1" t="s">
        <v>317</v>
      </c>
      <c r="AL28" s="1">
        <v>34</v>
      </c>
      <c r="AM28" s="1">
        <v>19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708</v>
      </c>
      <c r="AT28" s="1" t="s">
        <v>1217</v>
      </c>
      <c r="AU28" s="1" t="s">
        <v>617</v>
      </c>
      <c r="AV28" s="1" t="s">
        <v>1218</v>
      </c>
      <c r="AW28" s="1" t="s">
        <v>1219</v>
      </c>
      <c r="AX28" s="1" t="s">
        <v>438</v>
      </c>
      <c r="AY28" s="1" t="s">
        <v>1220</v>
      </c>
      <c r="AZ28" s="1" t="s">
        <v>1221</v>
      </c>
      <c r="BA28" s="1" t="s">
        <v>1222</v>
      </c>
      <c r="BB28" s="1" t="s">
        <v>453</v>
      </c>
      <c r="BC28" s="1" t="s">
        <v>1223</v>
      </c>
      <c r="BD28" s="1" t="s">
        <v>569</v>
      </c>
      <c r="BE28" s="1">
        <v>103.4</v>
      </c>
      <c r="BF28" s="1">
        <v>108.2</v>
      </c>
      <c r="BG28" s="1">
        <v>-4.8</v>
      </c>
      <c r="BH28" s="1" t="s">
        <v>825</v>
      </c>
      <c r="BI28" s="1" t="s">
        <v>838</v>
      </c>
      <c r="BJ28" s="1" t="s">
        <v>838</v>
      </c>
      <c r="BK28" s="1" t="s">
        <v>576</v>
      </c>
      <c r="BL28" s="1" t="s">
        <v>649</v>
      </c>
      <c r="BM28" s="1" t="s">
        <v>557</v>
      </c>
      <c r="BN28" s="1" t="s">
        <v>594</v>
      </c>
      <c r="BO28" s="1" t="s">
        <v>466</v>
      </c>
      <c r="BP28" s="1" t="s">
        <v>1224</v>
      </c>
      <c r="BQ28" s="1" t="s">
        <v>1225</v>
      </c>
      <c r="BR28" s="1" t="s">
        <v>494</v>
      </c>
      <c r="BS28" s="1" t="s">
        <v>707</v>
      </c>
      <c r="BT28" s="1"/>
      <c r="BU28" s="1"/>
      <c r="BV28" s="1"/>
      <c r="BW28" s="1"/>
      <c r="BX28" s="1"/>
      <c r="BY28" s="1" t="s">
        <v>420</v>
      </c>
      <c r="BZ28" s="1" t="s">
        <v>612</v>
      </c>
      <c r="CA28" s="1" t="s">
        <v>821</v>
      </c>
      <c r="CB28" s="1" t="s">
        <v>1183</v>
      </c>
      <c r="CC28" s="1" t="s">
        <v>857</v>
      </c>
    </row>
    <row r="29" spans="1:81" x14ac:dyDescent="0.25">
      <c r="A29" s="1">
        <v>1610612763</v>
      </c>
      <c r="B29" s="1" t="s">
        <v>48</v>
      </c>
      <c r="C29" s="1" t="s">
        <v>935</v>
      </c>
      <c r="D29" s="1" t="s">
        <v>749</v>
      </c>
      <c r="E29" s="1" t="s">
        <v>750</v>
      </c>
      <c r="F29" s="1" t="s">
        <v>222</v>
      </c>
      <c r="G29" s="1" t="s">
        <v>847</v>
      </c>
      <c r="H29" s="1">
        <v>14</v>
      </c>
      <c r="I29" s="1" t="s">
        <v>637</v>
      </c>
      <c r="J29" s="1" t="s">
        <v>427</v>
      </c>
      <c r="K29" s="1" t="s">
        <v>733</v>
      </c>
      <c r="L29" s="1">
        <v>5</v>
      </c>
      <c r="M29" s="1">
        <v>22</v>
      </c>
      <c r="N29" s="1">
        <v>60</v>
      </c>
      <c r="O29" s="1">
        <v>0.26800000000000002</v>
      </c>
      <c r="P29" s="1">
        <v>0</v>
      </c>
      <c r="Q29" s="1" t="s">
        <v>805</v>
      </c>
      <c r="R29" s="1" t="s">
        <v>583</v>
      </c>
      <c r="S29" s="1" t="s">
        <v>827</v>
      </c>
      <c r="T29" s="1" t="s">
        <v>657</v>
      </c>
      <c r="U29" s="1" t="s">
        <v>657</v>
      </c>
      <c r="V29" s="1" t="s">
        <v>788</v>
      </c>
      <c r="W29" s="1" t="s">
        <v>244</v>
      </c>
      <c r="X29" s="1" t="s">
        <v>1226</v>
      </c>
      <c r="Y29" s="1" t="s">
        <v>1227</v>
      </c>
      <c r="Z29" s="1">
        <v>-8</v>
      </c>
      <c r="AA29" s="1" t="s">
        <v>714</v>
      </c>
      <c r="AB29" s="1">
        <v>-17</v>
      </c>
      <c r="AC29" s="1" t="s">
        <v>1228</v>
      </c>
      <c r="AD29" s="1">
        <v>3</v>
      </c>
      <c r="AE29" s="1">
        <v>19</v>
      </c>
      <c r="AF29" s="1">
        <v>1</v>
      </c>
      <c r="AG29" s="1" t="s">
        <v>317</v>
      </c>
      <c r="AH29" s="1">
        <v>-5</v>
      </c>
      <c r="AI29" s="1" t="s">
        <v>378</v>
      </c>
      <c r="AJ29" s="1">
        <v>-2</v>
      </c>
      <c r="AK29" s="1" t="s">
        <v>479</v>
      </c>
      <c r="AL29" s="1">
        <v>43</v>
      </c>
      <c r="AM29" s="1">
        <v>43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1229</v>
      </c>
      <c r="AT29" s="1" t="s">
        <v>1230</v>
      </c>
      <c r="AU29" s="1" t="s">
        <v>1231</v>
      </c>
      <c r="AV29" s="1" t="s">
        <v>1232</v>
      </c>
      <c r="AW29" s="1" t="s">
        <v>1233</v>
      </c>
      <c r="AX29" s="1" t="s">
        <v>438</v>
      </c>
      <c r="AY29" s="1" t="s">
        <v>1234</v>
      </c>
      <c r="AZ29" s="1" t="s">
        <v>887</v>
      </c>
      <c r="BA29" s="1" t="s">
        <v>1235</v>
      </c>
      <c r="BB29" s="1" t="s">
        <v>715</v>
      </c>
      <c r="BC29" s="1" t="s">
        <v>817</v>
      </c>
      <c r="BD29" s="1" t="s">
        <v>1236</v>
      </c>
      <c r="BE29" s="1">
        <v>99.3</v>
      </c>
      <c r="BF29" s="1">
        <v>105.5</v>
      </c>
      <c r="BG29" s="1">
        <v>-6.2</v>
      </c>
      <c r="BH29" s="1" t="s">
        <v>839</v>
      </c>
      <c r="BI29" s="1" t="s">
        <v>557</v>
      </c>
      <c r="BJ29" s="1" t="s">
        <v>686</v>
      </c>
      <c r="BK29" s="1" t="s">
        <v>686</v>
      </c>
      <c r="BL29" s="1" t="s">
        <v>847</v>
      </c>
      <c r="BM29" s="1" t="s">
        <v>838</v>
      </c>
      <c r="BN29" s="1" t="s">
        <v>444</v>
      </c>
      <c r="BO29" s="1" t="s">
        <v>576</v>
      </c>
      <c r="BP29" s="1" t="s">
        <v>66</v>
      </c>
      <c r="BQ29" s="1" t="s">
        <v>840</v>
      </c>
      <c r="BR29" s="1" t="s">
        <v>784</v>
      </c>
      <c r="BS29" s="1" t="s">
        <v>445</v>
      </c>
      <c r="BT29" s="1"/>
      <c r="BU29" s="1"/>
      <c r="BV29" s="1"/>
      <c r="BW29" s="1"/>
      <c r="BX29" s="1"/>
      <c r="BY29" s="1" t="s">
        <v>420</v>
      </c>
      <c r="BZ29" s="1" t="s">
        <v>1237</v>
      </c>
      <c r="CA29" s="1" t="s">
        <v>1238</v>
      </c>
      <c r="CB29" s="1" t="s">
        <v>1239</v>
      </c>
      <c r="CC29" s="1" t="s">
        <v>1240</v>
      </c>
    </row>
    <row r="30" spans="1:81" x14ac:dyDescent="0.25">
      <c r="A30" s="1">
        <v>1610612756</v>
      </c>
      <c r="B30" s="1" t="s">
        <v>48</v>
      </c>
      <c r="C30" s="1" t="s">
        <v>935</v>
      </c>
      <c r="D30" s="1" t="s">
        <v>882</v>
      </c>
      <c r="E30" s="1" t="s">
        <v>883</v>
      </c>
      <c r="F30" s="1" t="s">
        <v>222</v>
      </c>
      <c r="G30" s="1" t="s">
        <v>825</v>
      </c>
      <c r="H30" s="1">
        <v>15</v>
      </c>
      <c r="I30" s="1" t="s">
        <v>637</v>
      </c>
      <c r="J30" s="1" t="s">
        <v>225</v>
      </c>
      <c r="K30" s="1" t="s">
        <v>655</v>
      </c>
      <c r="L30" s="1">
        <v>5</v>
      </c>
      <c r="M30" s="1">
        <v>21</v>
      </c>
      <c r="N30" s="1">
        <v>61</v>
      </c>
      <c r="O30" s="1">
        <v>0.25600000000000001</v>
      </c>
      <c r="P30" s="1">
        <v>0</v>
      </c>
      <c r="Q30" s="1" t="s">
        <v>1241</v>
      </c>
      <c r="R30" s="1" t="s">
        <v>571</v>
      </c>
      <c r="S30" s="1" t="s">
        <v>735</v>
      </c>
      <c r="T30" s="1" t="s">
        <v>475</v>
      </c>
      <c r="U30" s="1" t="s">
        <v>788</v>
      </c>
      <c r="V30" s="1" t="s">
        <v>788</v>
      </c>
      <c r="W30" s="1" t="s">
        <v>244</v>
      </c>
      <c r="X30" s="1" t="s">
        <v>1176</v>
      </c>
      <c r="Y30" s="1" t="s">
        <v>850</v>
      </c>
      <c r="Z30" s="1">
        <v>-12</v>
      </c>
      <c r="AA30" s="1" t="s">
        <v>1128</v>
      </c>
      <c r="AB30" s="1">
        <v>-9</v>
      </c>
      <c r="AC30" s="1" t="s">
        <v>738</v>
      </c>
      <c r="AD30" s="1">
        <v>2</v>
      </c>
      <c r="AE30" s="1">
        <v>15</v>
      </c>
      <c r="AF30" s="1">
        <v>-2</v>
      </c>
      <c r="AG30" s="1" t="s">
        <v>479</v>
      </c>
      <c r="AH30" s="1">
        <v>1</v>
      </c>
      <c r="AI30" s="1" t="s">
        <v>317</v>
      </c>
      <c r="AJ30" s="1">
        <v>1</v>
      </c>
      <c r="AK30" s="1" t="s">
        <v>317</v>
      </c>
      <c r="AL30" s="1">
        <v>44</v>
      </c>
      <c r="AM30" s="1">
        <v>37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512</v>
      </c>
      <c r="AT30" s="1" t="s">
        <v>1242</v>
      </c>
      <c r="AU30" s="1" t="s">
        <v>775</v>
      </c>
      <c r="AV30" s="1" t="s">
        <v>1243</v>
      </c>
      <c r="AW30" s="1" t="s">
        <v>869</v>
      </c>
      <c r="AX30" s="1" t="s">
        <v>285</v>
      </c>
      <c r="AY30" s="1" t="s">
        <v>769</v>
      </c>
      <c r="AZ30" s="1" t="s">
        <v>1244</v>
      </c>
      <c r="BA30" s="1" t="s">
        <v>1245</v>
      </c>
      <c r="BB30" s="1" t="s">
        <v>1246</v>
      </c>
      <c r="BC30" s="1" t="s">
        <v>556</v>
      </c>
      <c r="BD30" s="1" t="s">
        <v>243</v>
      </c>
      <c r="BE30" s="1">
        <v>103.9</v>
      </c>
      <c r="BF30" s="1">
        <v>113.3</v>
      </c>
      <c r="BG30" s="1">
        <v>-9.4</v>
      </c>
      <c r="BH30" s="1" t="s">
        <v>818</v>
      </c>
      <c r="BI30" s="1" t="s">
        <v>557</v>
      </c>
      <c r="BJ30" s="1" t="s">
        <v>557</v>
      </c>
      <c r="BK30" s="1" t="s">
        <v>557</v>
      </c>
      <c r="BL30" s="1" t="s">
        <v>825</v>
      </c>
      <c r="BM30" s="1" t="s">
        <v>838</v>
      </c>
      <c r="BN30" s="1" t="s">
        <v>668</v>
      </c>
      <c r="BO30" s="1" t="s">
        <v>724</v>
      </c>
      <c r="BP30" s="1" t="s">
        <v>494</v>
      </c>
      <c r="BQ30" s="1" t="s">
        <v>1247</v>
      </c>
      <c r="BR30" s="1" t="s">
        <v>1248</v>
      </c>
      <c r="BS30" s="1" t="s">
        <v>688</v>
      </c>
      <c r="BT30" s="1"/>
      <c r="BU30" s="1"/>
      <c r="BV30" s="1"/>
      <c r="BW30" s="1"/>
      <c r="BX30" s="1"/>
      <c r="BY30" s="1" t="s">
        <v>707</v>
      </c>
      <c r="BZ30" s="1" t="s">
        <v>576</v>
      </c>
      <c r="CA30" s="1" t="s">
        <v>632</v>
      </c>
      <c r="CB30" s="1" t="s">
        <v>890</v>
      </c>
      <c r="CC30" s="1" t="s">
        <v>1249</v>
      </c>
    </row>
    <row r="31" spans="1:81" x14ac:dyDescent="0.25">
      <c r="A31" s="1">
        <v>1610612737</v>
      </c>
      <c r="B31" s="1" t="s">
        <v>48</v>
      </c>
      <c r="C31" s="1" t="s">
        <v>935</v>
      </c>
      <c r="D31" s="1" t="s">
        <v>767</v>
      </c>
      <c r="E31" s="1" t="s">
        <v>768</v>
      </c>
      <c r="F31" s="1" t="s">
        <v>267</v>
      </c>
      <c r="G31" s="1" t="s">
        <v>1250</v>
      </c>
      <c r="H31" s="1">
        <v>15</v>
      </c>
      <c r="I31" s="1" t="s">
        <v>637</v>
      </c>
      <c r="J31" s="1" t="s">
        <v>565</v>
      </c>
      <c r="K31" s="1" t="s">
        <v>733</v>
      </c>
      <c r="L31" s="1">
        <v>5</v>
      </c>
      <c r="M31" s="1">
        <v>24</v>
      </c>
      <c r="N31" s="1">
        <v>58</v>
      </c>
      <c r="O31" s="1">
        <v>0.29299999999999998</v>
      </c>
      <c r="P31" s="1">
        <v>0</v>
      </c>
      <c r="Q31" s="1" t="s">
        <v>1195</v>
      </c>
      <c r="R31" s="1" t="s">
        <v>583</v>
      </c>
      <c r="S31" s="1" t="s">
        <v>863</v>
      </c>
      <c r="T31" s="1" t="s">
        <v>657</v>
      </c>
      <c r="U31" s="1" t="s">
        <v>657</v>
      </c>
      <c r="V31" s="1" t="s">
        <v>657</v>
      </c>
      <c r="W31" s="1" t="s">
        <v>244</v>
      </c>
      <c r="X31" s="1" t="s">
        <v>1251</v>
      </c>
      <c r="Y31" s="1" t="s">
        <v>815</v>
      </c>
      <c r="Z31" s="1">
        <v>-4</v>
      </c>
      <c r="AA31" s="1" t="s">
        <v>545</v>
      </c>
      <c r="AB31" s="1">
        <v>-10</v>
      </c>
      <c r="AC31" s="1" t="s">
        <v>478</v>
      </c>
      <c r="AD31" s="1">
        <v>2</v>
      </c>
      <c r="AE31" s="1">
        <v>8</v>
      </c>
      <c r="AF31" s="1">
        <v>-2</v>
      </c>
      <c r="AG31" s="1" t="s">
        <v>479</v>
      </c>
      <c r="AH31" s="1">
        <v>2</v>
      </c>
      <c r="AI31" s="1" t="s">
        <v>279</v>
      </c>
      <c r="AJ31" s="1">
        <v>-1</v>
      </c>
      <c r="AK31" s="1" t="s">
        <v>238</v>
      </c>
      <c r="AL31" s="1">
        <v>35</v>
      </c>
      <c r="AM31" s="1">
        <v>20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1172</v>
      </c>
      <c r="AT31" s="1" t="s">
        <v>1252</v>
      </c>
      <c r="AU31" s="1" t="s">
        <v>438</v>
      </c>
      <c r="AV31" s="1" t="s">
        <v>723</v>
      </c>
      <c r="AW31" s="1" t="s">
        <v>776</v>
      </c>
      <c r="AX31" s="1" t="s">
        <v>275</v>
      </c>
      <c r="AY31" s="1" t="s">
        <v>1253</v>
      </c>
      <c r="AZ31" s="1" t="s">
        <v>1254</v>
      </c>
      <c r="BA31" s="1" t="s">
        <v>1160</v>
      </c>
      <c r="BB31" s="1" t="s">
        <v>1255</v>
      </c>
      <c r="BC31" s="1" t="s">
        <v>1256</v>
      </c>
      <c r="BD31" s="1" t="s">
        <v>1214</v>
      </c>
      <c r="BE31" s="1">
        <v>103.4</v>
      </c>
      <c r="BF31" s="1">
        <v>108.8</v>
      </c>
      <c r="BG31" s="1">
        <v>-5.5</v>
      </c>
      <c r="BH31" s="1" t="s">
        <v>1250</v>
      </c>
      <c r="BI31" s="1" t="s">
        <v>782</v>
      </c>
      <c r="BJ31" s="1" t="s">
        <v>876</v>
      </c>
      <c r="BK31" s="1" t="s">
        <v>576</v>
      </c>
      <c r="BL31" s="1" t="s">
        <v>575</v>
      </c>
      <c r="BM31" s="1" t="s">
        <v>466</v>
      </c>
      <c r="BN31" s="1" t="s">
        <v>557</v>
      </c>
      <c r="BO31" s="1" t="s">
        <v>466</v>
      </c>
      <c r="BP31" s="1" t="s">
        <v>559</v>
      </c>
      <c r="BQ31" s="1" t="s">
        <v>650</v>
      </c>
      <c r="BR31" s="1" t="s">
        <v>879</v>
      </c>
      <c r="BS31" s="1" t="s">
        <v>363</v>
      </c>
      <c r="BT31" s="1"/>
      <c r="BU31" s="1"/>
      <c r="BV31" s="1"/>
      <c r="BW31" s="1"/>
      <c r="BX31" s="1"/>
      <c r="BY31" s="1" t="s">
        <v>727</v>
      </c>
      <c r="BZ31" s="1" t="s">
        <v>842</v>
      </c>
      <c r="CA31" s="1" t="s">
        <v>632</v>
      </c>
      <c r="CB31" s="1" t="s">
        <v>890</v>
      </c>
      <c r="CC31" s="1" t="s">
        <v>1162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A5524-EE42-4316-ABA8-8B6DFB0832BB}">
  <sheetPr codeName="Sheet9"/>
  <dimension ref="A1:CC31"/>
  <sheetViews>
    <sheetView workbookViewId="0">
      <selection activeCell="M2" sqref="M2"/>
    </sheetView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34</v>
      </c>
      <c r="B1" s="1" t="s">
        <v>36</v>
      </c>
      <c r="C1" s="1" t="s">
        <v>140</v>
      </c>
      <c r="D1" s="1" t="s">
        <v>141</v>
      </c>
      <c r="E1" s="1" t="s">
        <v>142</v>
      </c>
      <c r="F1" s="1" t="s">
        <v>143</v>
      </c>
      <c r="G1" s="1" t="s">
        <v>144</v>
      </c>
      <c r="H1" s="1" t="s">
        <v>145</v>
      </c>
      <c r="I1" s="1" t="s">
        <v>146</v>
      </c>
      <c r="J1" s="1" t="s">
        <v>147</v>
      </c>
      <c r="K1" s="1" t="s">
        <v>148</v>
      </c>
      <c r="L1" s="1" t="s">
        <v>149</v>
      </c>
      <c r="M1" s="1" t="s">
        <v>150</v>
      </c>
      <c r="N1" s="1" t="s">
        <v>151</v>
      </c>
      <c r="O1" s="1" t="s">
        <v>152</v>
      </c>
      <c r="P1" s="1" t="s">
        <v>153</v>
      </c>
      <c r="Q1" s="1" t="s">
        <v>154</v>
      </c>
      <c r="R1" s="1" t="s">
        <v>155</v>
      </c>
      <c r="S1" s="1" t="s">
        <v>156</v>
      </c>
      <c r="T1" s="1" t="s">
        <v>157</v>
      </c>
      <c r="U1" s="1" t="s">
        <v>158</v>
      </c>
      <c r="V1" s="1" t="s">
        <v>159</v>
      </c>
      <c r="W1" s="1" t="s">
        <v>160</v>
      </c>
      <c r="X1" s="1" t="s">
        <v>161</v>
      </c>
      <c r="Y1" s="1" t="s">
        <v>162</v>
      </c>
      <c r="Z1" s="1" t="s">
        <v>163</v>
      </c>
      <c r="AA1" s="1" t="s">
        <v>164</v>
      </c>
      <c r="AB1" s="1" t="s">
        <v>165</v>
      </c>
      <c r="AC1" s="1" t="s">
        <v>166</v>
      </c>
      <c r="AD1" s="1" t="s">
        <v>167</v>
      </c>
      <c r="AE1" s="1" t="s">
        <v>168</v>
      </c>
      <c r="AF1" s="1" t="s">
        <v>169</v>
      </c>
      <c r="AG1" s="1" t="s">
        <v>170</v>
      </c>
      <c r="AH1" s="1" t="s">
        <v>171</v>
      </c>
      <c r="AI1" s="1" t="s">
        <v>172</v>
      </c>
      <c r="AJ1" s="1" t="s">
        <v>173</v>
      </c>
      <c r="AK1" s="1" t="s">
        <v>174</v>
      </c>
      <c r="AL1" s="1" t="s">
        <v>175</v>
      </c>
      <c r="AM1" s="1" t="s">
        <v>176</v>
      </c>
      <c r="AN1" s="1" t="s">
        <v>177</v>
      </c>
      <c r="AO1" s="1" t="s">
        <v>178</v>
      </c>
      <c r="AP1" s="1" t="s">
        <v>179</v>
      </c>
      <c r="AQ1" s="1" t="s">
        <v>180</v>
      </c>
      <c r="AR1" s="1" t="s">
        <v>181</v>
      </c>
      <c r="AS1" s="1" t="s">
        <v>182</v>
      </c>
      <c r="AT1" s="1" t="s">
        <v>183</v>
      </c>
      <c r="AU1" s="1" t="s">
        <v>184</v>
      </c>
      <c r="AV1" s="1" t="s">
        <v>185</v>
      </c>
      <c r="AW1" s="1" t="s">
        <v>186</v>
      </c>
      <c r="AX1" s="1" t="s">
        <v>187</v>
      </c>
      <c r="AY1" s="1" t="s">
        <v>188</v>
      </c>
      <c r="AZ1" s="1" t="s">
        <v>189</v>
      </c>
      <c r="BA1" s="1" t="s">
        <v>190</v>
      </c>
      <c r="BB1" s="1" t="s">
        <v>191</v>
      </c>
      <c r="BC1" s="1" t="s">
        <v>192</v>
      </c>
      <c r="BD1" s="1" t="s">
        <v>193</v>
      </c>
      <c r="BE1" s="1" t="s">
        <v>194</v>
      </c>
      <c r="BF1" s="1" t="s">
        <v>195</v>
      </c>
      <c r="BG1" s="1" t="s">
        <v>196</v>
      </c>
      <c r="BH1" s="1" t="s">
        <v>197</v>
      </c>
      <c r="BI1" s="1" t="s">
        <v>198</v>
      </c>
      <c r="BJ1" s="1" t="s">
        <v>199</v>
      </c>
      <c r="BK1" s="1" t="s">
        <v>200</v>
      </c>
      <c r="BL1" s="1" t="s">
        <v>201</v>
      </c>
      <c r="BM1" s="1" t="s">
        <v>202</v>
      </c>
      <c r="BN1" s="1" t="s">
        <v>203</v>
      </c>
      <c r="BO1" s="1" t="s">
        <v>204</v>
      </c>
      <c r="BP1" s="1" t="s">
        <v>205</v>
      </c>
      <c r="BQ1" s="1" t="s">
        <v>206</v>
      </c>
      <c r="BR1" s="1" t="s">
        <v>207</v>
      </c>
      <c r="BS1" s="1" t="s">
        <v>208</v>
      </c>
      <c r="BT1" s="1" t="s">
        <v>209</v>
      </c>
      <c r="BU1" s="1" t="s">
        <v>210</v>
      </c>
      <c r="BV1" s="1" t="s">
        <v>211</v>
      </c>
      <c r="BW1" s="1" t="s">
        <v>212</v>
      </c>
      <c r="BX1" s="1" t="s">
        <v>213</v>
      </c>
      <c r="BY1" s="1" t="s">
        <v>214</v>
      </c>
      <c r="BZ1" s="1" t="s">
        <v>215</v>
      </c>
      <c r="CA1" s="1" t="s">
        <v>216</v>
      </c>
      <c r="CB1" s="1" t="s">
        <v>217</v>
      </c>
      <c r="CC1" s="1" t="s">
        <v>218</v>
      </c>
    </row>
    <row r="2" spans="1:81" x14ac:dyDescent="0.25">
      <c r="A2" s="1">
        <v>1610612744</v>
      </c>
      <c r="B2" s="1" t="s">
        <v>48</v>
      </c>
      <c r="C2" s="1" t="s">
        <v>219</v>
      </c>
      <c r="D2" s="1" t="s">
        <v>220</v>
      </c>
      <c r="E2" s="1" t="s">
        <v>221</v>
      </c>
      <c r="F2" s="1" t="s">
        <v>222</v>
      </c>
      <c r="G2" s="1" t="s">
        <v>223</v>
      </c>
      <c r="H2" s="1">
        <v>1</v>
      </c>
      <c r="I2" s="1" t="s">
        <v>224</v>
      </c>
      <c r="J2" s="1" t="s">
        <v>225</v>
      </c>
      <c r="K2" s="1" t="s">
        <v>226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227</v>
      </c>
      <c r="R2" s="1" t="s">
        <v>228</v>
      </c>
      <c r="S2" s="1" t="s">
        <v>229</v>
      </c>
      <c r="T2" s="1" t="s">
        <v>230</v>
      </c>
      <c r="U2" s="1" t="s">
        <v>231</v>
      </c>
      <c r="V2" s="1" t="s">
        <v>231</v>
      </c>
      <c r="W2" s="1" t="s">
        <v>232</v>
      </c>
      <c r="X2" s="1" t="s">
        <v>233</v>
      </c>
      <c r="Y2" s="1" t="s">
        <v>234</v>
      </c>
      <c r="Z2" s="1">
        <v>6</v>
      </c>
      <c r="AA2" s="1" t="s">
        <v>235</v>
      </c>
      <c r="AB2" s="1">
        <v>11</v>
      </c>
      <c r="AC2" s="1" t="s">
        <v>236</v>
      </c>
      <c r="AD2" s="1">
        <v>11</v>
      </c>
      <c r="AE2" s="1">
        <v>4</v>
      </c>
      <c r="AF2" s="1">
        <v>5</v>
      </c>
      <c r="AG2" s="1" t="s">
        <v>237</v>
      </c>
      <c r="AH2" s="1">
        <v>-1</v>
      </c>
      <c r="AI2" s="1" t="s">
        <v>238</v>
      </c>
      <c r="AJ2" s="1">
        <v>-1</v>
      </c>
      <c r="AK2" s="1" t="s">
        <v>238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239</v>
      </c>
      <c r="AT2" s="1" t="s">
        <v>240</v>
      </c>
      <c r="AU2" s="1" t="s">
        <v>241</v>
      </c>
      <c r="AV2" s="1" t="s">
        <v>242</v>
      </c>
      <c r="AW2" s="1" t="s">
        <v>243</v>
      </c>
      <c r="AX2" s="1" t="s">
        <v>244</v>
      </c>
      <c r="AY2" s="1" t="s">
        <v>245</v>
      </c>
      <c r="AZ2" s="1" t="s">
        <v>246</v>
      </c>
      <c r="BA2" s="1" t="s">
        <v>247</v>
      </c>
      <c r="BB2" s="1" t="s">
        <v>248</v>
      </c>
      <c r="BC2" s="1" t="s">
        <v>249</v>
      </c>
      <c r="BD2" s="1" t="s">
        <v>250</v>
      </c>
      <c r="BE2" s="1">
        <v>117.7</v>
      </c>
      <c r="BF2" s="1">
        <v>111.2</v>
      </c>
      <c r="BG2" s="1">
        <v>6.5</v>
      </c>
      <c r="BH2" s="1" t="s">
        <v>251</v>
      </c>
      <c r="BI2" s="1" t="s">
        <v>55</v>
      </c>
      <c r="BJ2" s="1" t="s">
        <v>252</v>
      </c>
      <c r="BK2" s="1" t="s">
        <v>252</v>
      </c>
      <c r="BL2" s="1" t="s">
        <v>223</v>
      </c>
      <c r="BM2" s="1" t="s">
        <v>253</v>
      </c>
      <c r="BN2" s="1" t="s">
        <v>254</v>
      </c>
      <c r="BO2" s="1" t="s">
        <v>255</v>
      </c>
      <c r="BP2" s="1" t="s">
        <v>256</v>
      </c>
      <c r="BQ2" s="1" t="s">
        <v>257</v>
      </c>
      <c r="BR2" s="1" t="s">
        <v>258</v>
      </c>
      <c r="BS2" s="1" t="s">
        <v>259</v>
      </c>
      <c r="BT2" s="1"/>
      <c r="BU2" s="1"/>
      <c r="BV2" s="1"/>
      <c r="BW2" s="1"/>
      <c r="BX2" s="1"/>
      <c r="BY2" s="1" t="s">
        <v>260</v>
      </c>
      <c r="BZ2" s="1" t="s">
        <v>261</v>
      </c>
      <c r="CA2" s="1" t="s">
        <v>262</v>
      </c>
      <c r="CB2" s="1" t="s">
        <v>263</v>
      </c>
      <c r="CC2" s="1" t="s">
        <v>264</v>
      </c>
    </row>
    <row r="3" spans="1:81" x14ac:dyDescent="0.25">
      <c r="A3" s="1">
        <v>1610612749</v>
      </c>
      <c r="B3" s="1" t="s">
        <v>48</v>
      </c>
      <c r="C3" s="1" t="s">
        <v>219</v>
      </c>
      <c r="D3" s="1" t="s">
        <v>265</v>
      </c>
      <c r="E3" s="1" t="s">
        <v>266</v>
      </c>
      <c r="F3" s="1" t="s">
        <v>267</v>
      </c>
      <c r="G3" s="1" t="s">
        <v>268</v>
      </c>
      <c r="H3" s="1">
        <v>1</v>
      </c>
      <c r="I3" s="1" t="s">
        <v>269</v>
      </c>
      <c r="J3" s="1" t="s">
        <v>270</v>
      </c>
      <c r="K3" s="1" t="s">
        <v>271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272</v>
      </c>
      <c r="R3" s="1" t="s">
        <v>273</v>
      </c>
      <c r="S3" s="1" t="s">
        <v>229</v>
      </c>
      <c r="T3" s="1" t="s">
        <v>231</v>
      </c>
      <c r="U3" s="1" t="s">
        <v>231</v>
      </c>
      <c r="V3" s="1" t="s">
        <v>274</v>
      </c>
      <c r="W3" s="1" t="s">
        <v>275</v>
      </c>
      <c r="X3" s="1" t="s">
        <v>276</v>
      </c>
      <c r="Y3" s="1" t="s">
        <v>277</v>
      </c>
      <c r="Z3" s="1">
        <v>6</v>
      </c>
      <c r="AA3" s="1" t="s">
        <v>235</v>
      </c>
      <c r="AB3" s="1">
        <v>10</v>
      </c>
      <c r="AC3" s="1" t="s">
        <v>278</v>
      </c>
      <c r="AD3" s="1">
        <v>7</v>
      </c>
      <c r="AE3" s="1">
        <v>2</v>
      </c>
      <c r="AF3" s="1">
        <v>-1</v>
      </c>
      <c r="AG3" s="1" t="s">
        <v>238</v>
      </c>
      <c r="AH3" s="1">
        <v>2</v>
      </c>
      <c r="AI3" s="1" t="s">
        <v>279</v>
      </c>
      <c r="AJ3" s="1">
        <v>-1</v>
      </c>
      <c r="AK3" s="1" t="s">
        <v>238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280</v>
      </c>
      <c r="AT3" s="1" t="s">
        <v>281</v>
      </c>
      <c r="AU3" s="1" t="s">
        <v>282</v>
      </c>
      <c r="AV3" s="1" t="s">
        <v>283</v>
      </c>
      <c r="AW3" s="1" t="s">
        <v>284</v>
      </c>
      <c r="AX3" s="1" t="s">
        <v>285</v>
      </c>
      <c r="AY3" s="1" t="s">
        <v>286</v>
      </c>
      <c r="AZ3" s="1" t="s">
        <v>287</v>
      </c>
      <c r="BA3" s="1" t="s">
        <v>288</v>
      </c>
      <c r="BB3" s="1" t="s">
        <v>289</v>
      </c>
      <c r="BC3" s="1" t="s">
        <v>290</v>
      </c>
      <c r="BD3" s="1" t="s">
        <v>291</v>
      </c>
      <c r="BE3" s="1">
        <v>118.1</v>
      </c>
      <c r="BF3" s="1">
        <v>109.3</v>
      </c>
      <c r="BG3" s="1">
        <v>8.9</v>
      </c>
      <c r="BH3" s="1" t="s">
        <v>268</v>
      </c>
      <c r="BI3" s="1" t="s">
        <v>292</v>
      </c>
      <c r="BJ3" s="1" t="s">
        <v>293</v>
      </c>
      <c r="BK3" s="1" t="s">
        <v>292</v>
      </c>
      <c r="BL3" s="1" t="s">
        <v>294</v>
      </c>
      <c r="BM3" s="1" t="s">
        <v>55</v>
      </c>
      <c r="BN3" s="1" t="s">
        <v>55</v>
      </c>
      <c r="BO3" s="1" t="s">
        <v>252</v>
      </c>
      <c r="BP3" s="1" t="s">
        <v>295</v>
      </c>
      <c r="BQ3" s="1" t="s">
        <v>296</v>
      </c>
      <c r="BR3" s="1" t="s">
        <v>297</v>
      </c>
      <c r="BS3" s="1" t="s">
        <v>298</v>
      </c>
      <c r="BT3" s="1"/>
      <c r="BU3" s="1"/>
      <c r="BV3" s="1"/>
      <c r="BW3" s="1"/>
      <c r="BX3" s="1"/>
      <c r="BY3" s="1" t="s">
        <v>299</v>
      </c>
      <c r="BZ3" s="1" t="s">
        <v>300</v>
      </c>
      <c r="CA3" s="1" t="s">
        <v>301</v>
      </c>
      <c r="CB3" s="1" t="s">
        <v>302</v>
      </c>
      <c r="CC3" s="1" t="s">
        <v>303</v>
      </c>
    </row>
    <row r="4" spans="1:81" x14ac:dyDescent="0.25">
      <c r="A4" s="1">
        <v>1610612761</v>
      </c>
      <c r="B4" s="1" t="s">
        <v>48</v>
      </c>
      <c r="C4" s="1" t="s">
        <v>219</v>
      </c>
      <c r="D4" s="1" t="s">
        <v>304</v>
      </c>
      <c r="E4" s="1" t="s">
        <v>305</v>
      </c>
      <c r="F4" s="1" t="s">
        <v>267</v>
      </c>
      <c r="G4" s="1" t="s">
        <v>306</v>
      </c>
      <c r="H4" s="1">
        <v>2</v>
      </c>
      <c r="I4" s="1" t="s">
        <v>307</v>
      </c>
      <c r="J4" s="1" t="s">
        <v>308</v>
      </c>
      <c r="K4" s="1" t="s">
        <v>309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310</v>
      </c>
      <c r="R4" s="1" t="s">
        <v>311</v>
      </c>
      <c r="S4" s="1" t="s">
        <v>312</v>
      </c>
      <c r="T4" s="1" t="s">
        <v>231</v>
      </c>
      <c r="U4" s="1" t="s">
        <v>231</v>
      </c>
      <c r="V4" s="1" t="s">
        <v>231</v>
      </c>
      <c r="W4" s="1" t="s">
        <v>313</v>
      </c>
      <c r="X4" s="1" t="s">
        <v>314</v>
      </c>
      <c r="Y4" s="1" t="s">
        <v>315</v>
      </c>
      <c r="Z4" s="1">
        <v>10</v>
      </c>
      <c r="AA4" s="1" t="s">
        <v>278</v>
      </c>
      <c r="AB4" s="1">
        <v>5</v>
      </c>
      <c r="AC4" s="1" t="s">
        <v>237</v>
      </c>
      <c r="AD4" s="1">
        <v>8</v>
      </c>
      <c r="AE4" s="1">
        <v>3</v>
      </c>
      <c r="AF4" s="1">
        <v>3</v>
      </c>
      <c r="AG4" s="1" t="s">
        <v>316</v>
      </c>
      <c r="AH4" s="1">
        <v>1</v>
      </c>
      <c r="AI4" s="1" t="s">
        <v>317</v>
      </c>
      <c r="AJ4" s="1">
        <v>2</v>
      </c>
      <c r="AK4" s="1" t="s">
        <v>279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318</v>
      </c>
      <c r="AT4" s="1" t="s">
        <v>319</v>
      </c>
      <c r="AU4" s="1" t="s">
        <v>244</v>
      </c>
      <c r="AV4" s="1" t="s">
        <v>320</v>
      </c>
      <c r="AW4" s="1" t="s">
        <v>321</v>
      </c>
      <c r="AX4" s="1" t="s">
        <v>322</v>
      </c>
      <c r="AY4" s="1" t="s">
        <v>323</v>
      </c>
      <c r="AZ4" s="1" t="s">
        <v>324</v>
      </c>
      <c r="BA4" s="1" t="s">
        <v>325</v>
      </c>
      <c r="BB4" s="1" t="s">
        <v>326</v>
      </c>
      <c r="BC4" s="1" t="s">
        <v>327</v>
      </c>
      <c r="BD4" s="1" t="s">
        <v>328</v>
      </c>
      <c r="BE4" s="1">
        <v>114.4</v>
      </c>
      <c r="BF4" s="1">
        <v>108.4</v>
      </c>
      <c r="BG4" s="1">
        <v>6.1</v>
      </c>
      <c r="BH4" s="1" t="s">
        <v>306</v>
      </c>
      <c r="BI4" s="1" t="s">
        <v>329</v>
      </c>
      <c r="BJ4" s="1" t="s">
        <v>255</v>
      </c>
      <c r="BK4" s="1" t="s">
        <v>330</v>
      </c>
      <c r="BL4" s="1" t="s">
        <v>251</v>
      </c>
      <c r="BM4" s="1" t="s">
        <v>55</v>
      </c>
      <c r="BN4" s="1" t="s">
        <v>331</v>
      </c>
      <c r="BO4" s="1" t="s">
        <v>55</v>
      </c>
      <c r="BP4" s="1" t="s">
        <v>262</v>
      </c>
      <c r="BQ4" s="1" t="s">
        <v>260</v>
      </c>
      <c r="BR4" s="1" t="s">
        <v>332</v>
      </c>
      <c r="BS4" s="1" t="s">
        <v>333</v>
      </c>
      <c r="BT4" s="1"/>
      <c r="BU4" s="1"/>
      <c r="BV4" s="1"/>
      <c r="BW4" s="1"/>
      <c r="BX4" s="1"/>
      <c r="BY4" s="1" t="s">
        <v>334</v>
      </c>
      <c r="BZ4" s="1" t="s">
        <v>295</v>
      </c>
      <c r="CA4" s="1" t="s">
        <v>335</v>
      </c>
      <c r="CB4" s="1" t="s">
        <v>336</v>
      </c>
      <c r="CC4" s="1" t="s">
        <v>337</v>
      </c>
    </row>
    <row r="5" spans="1:81" x14ac:dyDescent="0.25">
      <c r="A5" s="1">
        <v>1610612743</v>
      </c>
      <c r="B5" s="1" t="s">
        <v>48</v>
      </c>
      <c r="C5" s="1" t="s">
        <v>219</v>
      </c>
      <c r="D5" s="1" t="s">
        <v>338</v>
      </c>
      <c r="E5" s="1" t="s">
        <v>339</v>
      </c>
      <c r="F5" s="1" t="s">
        <v>222</v>
      </c>
      <c r="G5" s="1" t="s">
        <v>340</v>
      </c>
      <c r="H5" s="1">
        <v>2</v>
      </c>
      <c r="I5" s="1" t="s">
        <v>341</v>
      </c>
      <c r="J5" s="1" t="s">
        <v>342</v>
      </c>
      <c r="K5" s="1" t="s">
        <v>309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343</v>
      </c>
      <c r="R5" s="1" t="s">
        <v>344</v>
      </c>
      <c r="S5" s="1" t="s">
        <v>345</v>
      </c>
      <c r="T5" s="1" t="s">
        <v>274</v>
      </c>
      <c r="U5" s="1" t="s">
        <v>231</v>
      </c>
      <c r="V5" s="1" t="s">
        <v>346</v>
      </c>
      <c r="W5" s="1" t="s">
        <v>347</v>
      </c>
      <c r="X5" s="1" t="s">
        <v>226</v>
      </c>
      <c r="Y5" s="1" t="s">
        <v>348</v>
      </c>
      <c r="Z5" s="1">
        <v>12</v>
      </c>
      <c r="AA5" s="1" t="s">
        <v>349</v>
      </c>
      <c r="AB5" s="1">
        <v>5</v>
      </c>
      <c r="AC5" s="1" t="s">
        <v>237</v>
      </c>
      <c r="AD5" s="1">
        <v>7</v>
      </c>
      <c r="AE5" s="1">
        <v>4</v>
      </c>
      <c r="AF5" s="1">
        <v>3</v>
      </c>
      <c r="AG5" s="1" t="s">
        <v>316</v>
      </c>
      <c r="AH5" s="1">
        <v>-3</v>
      </c>
      <c r="AI5" s="1" t="s">
        <v>350</v>
      </c>
      <c r="AJ5" s="1">
        <v>1</v>
      </c>
      <c r="AK5" s="1" t="s">
        <v>317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351</v>
      </c>
      <c r="AT5" s="1" t="s">
        <v>352</v>
      </c>
      <c r="AU5" s="1" t="s">
        <v>244</v>
      </c>
      <c r="AV5" s="1" t="s">
        <v>353</v>
      </c>
      <c r="AW5" s="1" t="s">
        <v>354</v>
      </c>
      <c r="AX5" s="1" t="s">
        <v>355</v>
      </c>
      <c r="AY5" s="1" t="s">
        <v>356</v>
      </c>
      <c r="AZ5" s="1" t="s">
        <v>357</v>
      </c>
      <c r="BA5" s="1" t="s">
        <v>358</v>
      </c>
      <c r="BB5" s="1" t="s">
        <v>359</v>
      </c>
      <c r="BC5" s="1" t="s">
        <v>360</v>
      </c>
      <c r="BD5" s="1" t="s">
        <v>361</v>
      </c>
      <c r="BE5" s="1">
        <v>110.7</v>
      </c>
      <c r="BF5" s="1">
        <v>106.7</v>
      </c>
      <c r="BG5" s="1">
        <v>4</v>
      </c>
      <c r="BH5" s="1" t="s">
        <v>294</v>
      </c>
      <c r="BI5" s="1" t="s">
        <v>362</v>
      </c>
      <c r="BJ5" s="1" t="s">
        <v>55</v>
      </c>
      <c r="BK5" s="1" t="s">
        <v>362</v>
      </c>
      <c r="BL5" s="1" t="s">
        <v>340</v>
      </c>
      <c r="BM5" s="1" t="s">
        <v>329</v>
      </c>
      <c r="BN5" s="1" t="s">
        <v>253</v>
      </c>
      <c r="BO5" s="1" t="s">
        <v>255</v>
      </c>
      <c r="BP5" s="1" t="s">
        <v>329</v>
      </c>
      <c r="BQ5" s="1" t="s">
        <v>257</v>
      </c>
      <c r="BR5" s="1" t="s">
        <v>332</v>
      </c>
      <c r="BS5" s="1" t="s">
        <v>363</v>
      </c>
      <c r="BT5" s="1"/>
      <c r="BU5" s="1"/>
      <c r="BV5" s="1"/>
      <c r="BW5" s="1"/>
      <c r="BX5" s="1"/>
      <c r="BY5" s="1" t="s">
        <v>364</v>
      </c>
      <c r="BZ5" s="1" t="s">
        <v>332</v>
      </c>
      <c r="CA5" s="1" t="s">
        <v>365</v>
      </c>
      <c r="CB5" s="1" t="s">
        <v>366</v>
      </c>
      <c r="CC5" s="1" t="s">
        <v>367</v>
      </c>
    </row>
    <row r="6" spans="1:81" x14ac:dyDescent="0.25">
      <c r="A6" s="1">
        <v>1610612755</v>
      </c>
      <c r="B6" s="1" t="s">
        <v>48</v>
      </c>
      <c r="C6" s="1" t="s">
        <v>219</v>
      </c>
      <c r="D6" s="1" t="s">
        <v>368</v>
      </c>
      <c r="E6" s="1" t="s">
        <v>369</v>
      </c>
      <c r="F6" s="1" t="s">
        <v>267</v>
      </c>
      <c r="G6" s="1" t="s">
        <v>370</v>
      </c>
      <c r="H6" s="1">
        <v>3</v>
      </c>
      <c r="I6" s="1" t="s">
        <v>371</v>
      </c>
      <c r="J6" s="1" t="s">
        <v>308</v>
      </c>
      <c r="K6" s="1" t="s">
        <v>372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373</v>
      </c>
      <c r="R6" s="1" t="s">
        <v>374</v>
      </c>
      <c r="S6" s="1" t="s">
        <v>345</v>
      </c>
      <c r="T6" s="1" t="s">
        <v>346</v>
      </c>
      <c r="U6" s="1" t="s">
        <v>231</v>
      </c>
      <c r="V6" s="1" t="s">
        <v>346</v>
      </c>
      <c r="W6" s="1" t="s">
        <v>375</v>
      </c>
      <c r="X6" s="1" t="s">
        <v>376</v>
      </c>
      <c r="Y6" s="1" t="s">
        <v>377</v>
      </c>
      <c r="Z6" s="1">
        <v>10</v>
      </c>
      <c r="AA6" s="1" t="s">
        <v>278</v>
      </c>
      <c r="AB6" s="1">
        <v>-5</v>
      </c>
      <c r="AC6" s="1" t="s">
        <v>378</v>
      </c>
      <c r="AD6" s="1">
        <v>6</v>
      </c>
      <c r="AE6" s="1">
        <v>3</v>
      </c>
      <c r="AF6" s="1">
        <v>1</v>
      </c>
      <c r="AG6" s="1" t="s">
        <v>317</v>
      </c>
      <c r="AH6" s="1">
        <v>-1</v>
      </c>
      <c r="AI6" s="1" t="s">
        <v>238</v>
      </c>
      <c r="AJ6" s="1">
        <v>1</v>
      </c>
      <c r="AK6" s="1" t="s">
        <v>317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379</v>
      </c>
      <c r="AT6" s="1" t="s">
        <v>380</v>
      </c>
      <c r="AU6" s="1" t="s">
        <v>381</v>
      </c>
      <c r="AV6" s="1" t="s">
        <v>239</v>
      </c>
      <c r="AW6" s="1" t="s">
        <v>382</v>
      </c>
      <c r="AX6" s="1" t="s">
        <v>285</v>
      </c>
      <c r="AY6" s="1" t="s">
        <v>383</v>
      </c>
      <c r="AZ6" s="1" t="s">
        <v>384</v>
      </c>
      <c r="BA6" s="1" t="s">
        <v>385</v>
      </c>
      <c r="BB6" s="1" t="s">
        <v>360</v>
      </c>
      <c r="BC6" s="1" t="s">
        <v>263</v>
      </c>
      <c r="BD6" s="1" t="s">
        <v>386</v>
      </c>
      <c r="BE6" s="1">
        <v>115.2</v>
      </c>
      <c r="BF6" s="1">
        <v>112.5</v>
      </c>
      <c r="BG6" s="1">
        <v>2.7</v>
      </c>
      <c r="BH6" s="1" t="s">
        <v>370</v>
      </c>
      <c r="BI6" s="1" t="s">
        <v>387</v>
      </c>
      <c r="BJ6" s="1" t="s">
        <v>253</v>
      </c>
      <c r="BK6" s="1" t="s">
        <v>388</v>
      </c>
      <c r="BL6" s="1" t="s">
        <v>294</v>
      </c>
      <c r="BM6" s="1" t="s">
        <v>55</v>
      </c>
      <c r="BN6" s="1" t="s">
        <v>252</v>
      </c>
      <c r="BO6" s="1" t="s">
        <v>55</v>
      </c>
      <c r="BP6" s="1" t="s">
        <v>389</v>
      </c>
      <c r="BQ6" s="1" t="s">
        <v>55</v>
      </c>
      <c r="BR6" s="1" t="s">
        <v>258</v>
      </c>
      <c r="BS6" s="1" t="s">
        <v>390</v>
      </c>
      <c r="BT6" s="1"/>
      <c r="BU6" s="1"/>
      <c r="BV6" s="1"/>
      <c r="BW6" s="1"/>
      <c r="BX6" s="1"/>
      <c r="BY6" s="1" t="s">
        <v>391</v>
      </c>
      <c r="BZ6" s="1" t="s">
        <v>329</v>
      </c>
      <c r="CA6" s="1" t="s">
        <v>392</v>
      </c>
      <c r="CB6" s="1" t="s">
        <v>393</v>
      </c>
      <c r="CC6" s="1" t="s">
        <v>394</v>
      </c>
    </row>
    <row r="7" spans="1:81" x14ac:dyDescent="0.25">
      <c r="A7" s="1">
        <v>1610612757</v>
      </c>
      <c r="B7" s="1" t="s">
        <v>48</v>
      </c>
      <c r="C7" s="1" t="s">
        <v>219</v>
      </c>
      <c r="D7" s="1" t="s">
        <v>395</v>
      </c>
      <c r="E7" s="1" t="s">
        <v>396</v>
      </c>
      <c r="F7" s="1" t="s">
        <v>222</v>
      </c>
      <c r="G7" s="1" t="s">
        <v>397</v>
      </c>
      <c r="H7" s="1">
        <v>3</v>
      </c>
      <c r="I7" s="1" t="s">
        <v>371</v>
      </c>
      <c r="J7" s="1" t="s">
        <v>342</v>
      </c>
      <c r="K7" s="1" t="s">
        <v>398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399</v>
      </c>
      <c r="R7" s="1" t="s">
        <v>311</v>
      </c>
      <c r="S7" s="1" t="s">
        <v>400</v>
      </c>
      <c r="T7" s="1" t="s">
        <v>230</v>
      </c>
      <c r="U7" s="1" t="s">
        <v>401</v>
      </c>
      <c r="V7" s="1" t="s">
        <v>402</v>
      </c>
      <c r="W7" s="1" t="s">
        <v>403</v>
      </c>
      <c r="X7" s="1" t="s">
        <v>346</v>
      </c>
      <c r="Y7" s="1" t="s">
        <v>404</v>
      </c>
      <c r="Z7" s="1">
        <v>8</v>
      </c>
      <c r="AA7" s="1" t="s">
        <v>405</v>
      </c>
      <c r="AB7" s="1">
        <v>-6</v>
      </c>
      <c r="AC7" s="1" t="s">
        <v>406</v>
      </c>
      <c r="AD7" s="1">
        <v>6</v>
      </c>
      <c r="AE7" s="1">
        <v>3</v>
      </c>
      <c r="AF7" s="1">
        <v>8</v>
      </c>
      <c r="AG7" s="1" t="s">
        <v>405</v>
      </c>
      <c r="AH7" s="1">
        <v>1</v>
      </c>
      <c r="AI7" s="1" t="s">
        <v>317</v>
      </c>
      <c r="AJ7" s="1">
        <v>3</v>
      </c>
      <c r="AK7" s="1" t="s">
        <v>316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407</v>
      </c>
      <c r="AT7" s="1" t="s">
        <v>408</v>
      </c>
      <c r="AU7" s="1" t="s">
        <v>409</v>
      </c>
      <c r="AV7" s="1" t="s">
        <v>410</v>
      </c>
      <c r="AW7" s="1" t="s">
        <v>411</v>
      </c>
      <c r="AX7" s="1" t="s">
        <v>282</v>
      </c>
      <c r="AY7" s="1" t="s">
        <v>412</v>
      </c>
      <c r="AZ7" s="1" t="s">
        <v>413</v>
      </c>
      <c r="BA7" s="1" t="s">
        <v>414</v>
      </c>
      <c r="BB7" s="1" t="s">
        <v>415</v>
      </c>
      <c r="BC7" s="1" t="s">
        <v>416</v>
      </c>
      <c r="BD7" s="1" t="s">
        <v>417</v>
      </c>
      <c r="BE7" s="1">
        <v>114.7</v>
      </c>
      <c r="BF7" s="1">
        <v>110.5</v>
      </c>
      <c r="BG7" s="1">
        <v>4.2</v>
      </c>
      <c r="BH7" s="1" t="s">
        <v>418</v>
      </c>
      <c r="BI7" s="1" t="s">
        <v>419</v>
      </c>
      <c r="BJ7" s="1" t="s">
        <v>252</v>
      </c>
      <c r="BK7" s="1" t="s">
        <v>362</v>
      </c>
      <c r="BL7" s="1" t="s">
        <v>397</v>
      </c>
      <c r="BM7" s="1" t="s">
        <v>71</v>
      </c>
      <c r="BN7" s="1" t="s">
        <v>253</v>
      </c>
      <c r="BO7" s="1" t="s">
        <v>388</v>
      </c>
      <c r="BP7" s="1" t="s">
        <v>389</v>
      </c>
      <c r="BQ7" s="1" t="s">
        <v>73</v>
      </c>
      <c r="BR7" s="1" t="s">
        <v>262</v>
      </c>
      <c r="BS7" s="1" t="s">
        <v>259</v>
      </c>
      <c r="BT7" s="1"/>
      <c r="BU7" s="1"/>
      <c r="BV7" s="1"/>
      <c r="BW7" s="1"/>
      <c r="BX7" s="1"/>
      <c r="BY7" s="1" t="s">
        <v>420</v>
      </c>
      <c r="BZ7" s="1" t="s">
        <v>335</v>
      </c>
      <c r="CA7" s="1" t="s">
        <v>335</v>
      </c>
      <c r="CB7" s="1" t="s">
        <v>421</v>
      </c>
      <c r="CC7" s="1" t="s">
        <v>422</v>
      </c>
    </row>
    <row r="8" spans="1:81" x14ac:dyDescent="0.25">
      <c r="A8" s="1">
        <v>1610612745</v>
      </c>
      <c r="B8" s="1" t="s">
        <v>48</v>
      </c>
      <c r="C8" s="1" t="s">
        <v>219</v>
      </c>
      <c r="D8" s="1" t="s">
        <v>423</v>
      </c>
      <c r="E8" s="1" t="s">
        <v>424</v>
      </c>
      <c r="F8" s="1" t="s">
        <v>222</v>
      </c>
      <c r="G8" s="1" t="s">
        <v>425</v>
      </c>
      <c r="H8" s="1">
        <v>4</v>
      </c>
      <c r="I8" s="1" t="s">
        <v>426</v>
      </c>
      <c r="J8" s="1" t="s">
        <v>427</v>
      </c>
      <c r="K8" s="1" t="s">
        <v>428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399</v>
      </c>
      <c r="R8" s="1" t="s">
        <v>374</v>
      </c>
      <c r="S8" s="1" t="s">
        <v>429</v>
      </c>
      <c r="T8" s="1" t="s">
        <v>230</v>
      </c>
      <c r="U8" s="1" t="s">
        <v>401</v>
      </c>
      <c r="V8" s="1" t="s">
        <v>231</v>
      </c>
      <c r="W8" s="1" t="s">
        <v>430</v>
      </c>
      <c r="X8" s="1" t="s">
        <v>431</v>
      </c>
      <c r="Y8" s="1" t="s">
        <v>432</v>
      </c>
      <c r="Z8" s="1">
        <v>10</v>
      </c>
      <c r="AA8" s="1" t="s">
        <v>278</v>
      </c>
      <c r="AB8" s="1">
        <v>6</v>
      </c>
      <c r="AC8" s="1" t="s">
        <v>235</v>
      </c>
      <c r="AD8" s="1">
        <v>9</v>
      </c>
      <c r="AE8" s="1">
        <v>4</v>
      </c>
      <c r="AF8" s="1">
        <v>7</v>
      </c>
      <c r="AG8" s="1" t="s">
        <v>433</v>
      </c>
      <c r="AH8" s="1">
        <v>-1</v>
      </c>
      <c r="AI8" s="1" t="s">
        <v>238</v>
      </c>
      <c r="AJ8" s="1">
        <v>-1</v>
      </c>
      <c r="AK8" s="1" t="s">
        <v>238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434</v>
      </c>
      <c r="AT8" s="1" t="s">
        <v>435</v>
      </c>
      <c r="AU8" s="1" t="s">
        <v>322</v>
      </c>
      <c r="AV8" s="1" t="s">
        <v>436</v>
      </c>
      <c r="AW8" s="1" t="s">
        <v>437</v>
      </c>
      <c r="AX8" s="1" t="s">
        <v>438</v>
      </c>
      <c r="AY8" s="1" t="s">
        <v>356</v>
      </c>
      <c r="AZ8" s="1" t="s">
        <v>439</v>
      </c>
      <c r="BA8" s="1" t="s">
        <v>325</v>
      </c>
      <c r="BB8" s="1" t="s">
        <v>440</v>
      </c>
      <c r="BC8" s="1" t="s">
        <v>441</v>
      </c>
      <c r="BD8" s="1" t="s">
        <v>442</v>
      </c>
      <c r="BE8" s="1">
        <v>113.9</v>
      </c>
      <c r="BF8" s="1">
        <v>109.1</v>
      </c>
      <c r="BG8" s="1">
        <v>4.8</v>
      </c>
      <c r="BH8" s="1" t="s">
        <v>443</v>
      </c>
      <c r="BI8" s="1" t="s">
        <v>252</v>
      </c>
      <c r="BJ8" s="1" t="s">
        <v>55</v>
      </c>
      <c r="BK8" s="1" t="s">
        <v>362</v>
      </c>
      <c r="BL8" s="1" t="s">
        <v>425</v>
      </c>
      <c r="BM8" s="1" t="s">
        <v>444</v>
      </c>
      <c r="BN8" s="1" t="s">
        <v>330</v>
      </c>
      <c r="BO8" s="1" t="s">
        <v>297</v>
      </c>
      <c r="BP8" s="1" t="s">
        <v>300</v>
      </c>
      <c r="BQ8" s="1" t="s">
        <v>365</v>
      </c>
      <c r="BR8" s="1" t="s">
        <v>295</v>
      </c>
      <c r="BS8" s="1" t="s">
        <v>333</v>
      </c>
      <c r="BT8" s="1"/>
      <c r="BU8" s="1"/>
      <c r="BV8" s="1"/>
      <c r="BW8" s="1"/>
      <c r="BX8" s="1"/>
      <c r="BY8" s="1" t="s">
        <v>445</v>
      </c>
      <c r="BZ8" s="1" t="s">
        <v>332</v>
      </c>
      <c r="CA8" s="1" t="s">
        <v>389</v>
      </c>
      <c r="CB8" s="1" t="s">
        <v>446</v>
      </c>
      <c r="CC8" s="1" t="s">
        <v>447</v>
      </c>
    </row>
    <row r="9" spans="1:81" x14ac:dyDescent="0.25">
      <c r="A9" s="1">
        <v>1610612738</v>
      </c>
      <c r="B9" s="1" t="s">
        <v>48</v>
      </c>
      <c r="C9" s="1" t="s">
        <v>219</v>
      </c>
      <c r="D9" s="1" t="s">
        <v>448</v>
      </c>
      <c r="E9" s="1" t="s">
        <v>449</v>
      </c>
      <c r="F9" s="1" t="s">
        <v>267</v>
      </c>
      <c r="G9" s="1" t="s">
        <v>223</v>
      </c>
      <c r="H9" s="1">
        <v>4</v>
      </c>
      <c r="I9" s="1" t="s">
        <v>371</v>
      </c>
      <c r="J9" s="1" t="s">
        <v>308</v>
      </c>
      <c r="K9" s="1" t="s">
        <v>428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450</v>
      </c>
      <c r="R9" s="1" t="s">
        <v>451</v>
      </c>
      <c r="S9" s="1" t="s">
        <v>400</v>
      </c>
      <c r="T9" s="1" t="s">
        <v>402</v>
      </c>
      <c r="U9" s="1" t="s">
        <v>274</v>
      </c>
      <c r="V9" s="1" t="s">
        <v>402</v>
      </c>
      <c r="W9" s="1" t="s">
        <v>452</v>
      </c>
      <c r="X9" s="1" t="s">
        <v>276</v>
      </c>
      <c r="Y9" s="1" t="s">
        <v>453</v>
      </c>
      <c r="Z9" s="1">
        <v>10</v>
      </c>
      <c r="AA9" s="1" t="s">
        <v>278</v>
      </c>
      <c r="AB9" s="1">
        <v>4</v>
      </c>
      <c r="AC9" s="1" t="s">
        <v>454</v>
      </c>
      <c r="AD9" s="1">
        <v>8</v>
      </c>
      <c r="AE9" s="1">
        <v>4</v>
      </c>
      <c r="AF9" s="1">
        <v>-1</v>
      </c>
      <c r="AG9" s="1" t="s">
        <v>238</v>
      </c>
      <c r="AH9" s="1">
        <v>3</v>
      </c>
      <c r="AI9" s="1" t="s">
        <v>316</v>
      </c>
      <c r="AJ9" s="1">
        <v>1</v>
      </c>
      <c r="AK9" s="1" t="s">
        <v>317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455</v>
      </c>
      <c r="AT9" s="1" t="s">
        <v>456</v>
      </c>
      <c r="AU9" s="1" t="s">
        <v>409</v>
      </c>
      <c r="AV9" s="1" t="s">
        <v>457</v>
      </c>
      <c r="AW9" s="1" t="s">
        <v>354</v>
      </c>
      <c r="AX9" s="1" t="s">
        <v>458</v>
      </c>
      <c r="AY9" s="1" t="s">
        <v>459</v>
      </c>
      <c r="AZ9" s="1" t="s">
        <v>460</v>
      </c>
      <c r="BA9" s="1" t="s">
        <v>461</v>
      </c>
      <c r="BB9" s="1" t="s">
        <v>462</v>
      </c>
      <c r="BC9" s="1" t="s">
        <v>291</v>
      </c>
      <c r="BD9" s="1" t="s">
        <v>463</v>
      </c>
      <c r="BE9" s="1">
        <v>112.4</v>
      </c>
      <c r="BF9" s="1">
        <v>108</v>
      </c>
      <c r="BG9" s="1">
        <v>4.4000000000000004</v>
      </c>
      <c r="BH9" s="1" t="s">
        <v>223</v>
      </c>
      <c r="BI9" s="1" t="s">
        <v>297</v>
      </c>
      <c r="BJ9" s="1" t="s">
        <v>292</v>
      </c>
      <c r="BK9" s="1" t="s">
        <v>253</v>
      </c>
      <c r="BL9" s="1" t="s">
        <v>464</v>
      </c>
      <c r="BM9" s="1" t="s">
        <v>465</v>
      </c>
      <c r="BN9" s="1" t="s">
        <v>466</v>
      </c>
      <c r="BO9" s="1" t="s">
        <v>466</v>
      </c>
      <c r="BP9" s="1" t="s">
        <v>389</v>
      </c>
      <c r="BQ9" s="1" t="s">
        <v>467</v>
      </c>
      <c r="BR9" s="1" t="s">
        <v>335</v>
      </c>
      <c r="BS9" s="1" t="s">
        <v>333</v>
      </c>
      <c r="BT9" s="1"/>
      <c r="BU9" s="1"/>
      <c r="BV9" s="1"/>
      <c r="BW9" s="1"/>
      <c r="BX9" s="1"/>
      <c r="BY9" s="1" t="s">
        <v>420</v>
      </c>
      <c r="BZ9" s="1" t="s">
        <v>468</v>
      </c>
      <c r="CA9" s="1" t="s">
        <v>258</v>
      </c>
      <c r="CB9" s="1" t="s">
        <v>393</v>
      </c>
      <c r="CC9" s="1" t="s">
        <v>469</v>
      </c>
    </row>
    <row r="10" spans="1:81" x14ac:dyDescent="0.25">
      <c r="A10" s="1">
        <v>1610612754</v>
      </c>
      <c r="B10" s="1" t="s">
        <v>48</v>
      </c>
      <c r="C10" s="1" t="s">
        <v>219</v>
      </c>
      <c r="D10" s="1" t="s">
        <v>72</v>
      </c>
      <c r="E10" s="1" t="s">
        <v>470</v>
      </c>
      <c r="F10" s="1" t="s">
        <v>267</v>
      </c>
      <c r="G10" s="1" t="s">
        <v>471</v>
      </c>
      <c r="H10" s="1">
        <v>5</v>
      </c>
      <c r="I10" s="1" t="s">
        <v>371</v>
      </c>
      <c r="J10" s="1" t="s">
        <v>270</v>
      </c>
      <c r="K10" s="1" t="s">
        <v>472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473</v>
      </c>
      <c r="R10" s="1" t="s">
        <v>432</v>
      </c>
      <c r="S10" s="1" t="s">
        <v>474</v>
      </c>
      <c r="T10" s="1" t="s">
        <v>346</v>
      </c>
      <c r="U10" s="1" t="s">
        <v>402</v>
      </c>
      <c r="V10" s="1" t="s">
        <v>475</v>
      </c>
      <c r="W10" s="1" t="s">
        <v>322</v>
      </c>
      <c r="X10" s="1" t="s">
        <v>476</v>
      </c>
      <c r="Y10" s="1" t="s">
        <v>477</v>
      </c>
      <c r="Z10" s="1">
        <v>5</v>
      </c>
      <c r="AA10" s="1" t="s">
        <v>237</v>
      </c>
      <c r="AB10" s="1">
        <v>-10</v>
      </c>
      <c r="AC10" s="1" t="s">
        <v>478</v>
      </c>
      <c r="AD10" s="1">
        <v>7</v>
      </c>
      <c r="AE10" s="1">
        <v>4</v>
      </c>
      <c r="AF10" s="1">
        <v>-2</v>
      </c>
      <c r="AG10" s="1" t="s">
        <v>479</v>
      </c>
      <c r="AH10" s="1">
        <v>2</v>
      </c>
      <c r="AI10" s="1" t="s">
        <v>279</v>
      </c>
      <c r="AJ10" s="1">
        <v>1</v>
      </c>
      <c r="AK10" s="1" t="s">
        <v>317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480</v>
      </c>
      <c r="AT10" s="1" t="s">
        <v>481</v>
      </c>
      <c r="AU10" s="1" t="s">
        <v>438</v>
      </c>
      <c r="AV10" s="1" t="s">
        <v>482</v>
      </c>
      <c r="AW10" s="1" t="s">
        <v>483</v>
      </c>
      <c r="AX10" s="1" t="s">
        <v>322</v>
      </c>
      <c r="AY10" s="1" t="s">
        <v>484</v>
      </c>
      <c r="AZ10" s="1" t="s">
        <v>485</v>
      </c>
      <c r="BA10" s="1" t="s">
        <v>486</v>
      </c>
      <c r="BB10" s="1" t="s">
        <v>487</v>
      </c>
      <c r="BC10" s="1" t="s">
        <v>488</v>
      </c>
      <c r="BD10" s="1" t="s">
        <v>489</v>
      </c>
      <c r="BE10" s="1">
        <v>108</v>
      </c>
      <c r="BF10" s="1">
        <v>104.7</v>
      </c>
      <c r="BG10" s="1">
        <v>3.3</v>
      </c>
      <c r="BH10" s="1" t="s">
        <v>471</v>
      </c>
      <c r="BI10" s="1" t="s">
        <v>490</v>
      </c>
      <c r="BJ10" s="1" t="s">
        <v>491</v>
      </c>
      <c r="BK10" s="1" t="s">
        <v>292</v>
      </c>
      <c r="BL10" s="1" t="s">
        <v>492</v>
      </c>
      <c r="BM10" s="1" t="s">
        <v>466</v>
      </c>
      <c r="BN10" s="1" t="s">
        <v>466</v>
      </c>
      <c r="BO10" s="1" t="s">
        <v>466</v>
      </c>
      <c r="BP10" s="1" t="s">
        <v>261</v>
      </c>
      <c r="BQ10" s="1" t="s">
        <v>493</v>
      </c>
      <c r="BR10" s="1" t="s">
        <v>494</v>
      </c>
      <c r="BS10" s="1" t="s">
        <v>298</v>
      </c>
      <c r="BT10" s="1"/>
      <c r="BU10" s="1"/>
      <c r="BV10" s="1"/>
      <c r="BW10" s="1"/>
      <c r="BX10" s="1"/>
      <c r="BY10" s="1" t="s">
        <v>495</v>
      </c>
      <c r="BZ10" s="1" t="s">
        <v>300</v>
      </c>
      <c r="CA10" s="1" t="s">
        <v>295</v>
      </c>
      <c r="CB10" s="1" t="s">
        <v>496</v>
      </c>
      <c r="CC10" s="1" t="s">
        <v>497</v>
      </c>
    </row>
    <row r="11" spans="1:81" x14ac:dyDescent="0.25">
      <c r="A11" s="1">
        <v>1610612762</v>
      </c>
      <c r="B11" s="1" t="s">
        <v>48</v>
      </c>
      <c r="C11" s="1" t="s">
        <v>219</v>
      </c>
      <c r="D11" s="1" t="s">
        <v>498</v>
      </c>
      <c r="E11" s="1" t="s">
        <v>499</v>
      </c>
      <c r="F11" s="1" t="s">
        <v>222</v>
      </c>
      <c r="G11" s="1" t="s">
        <v>500</v>
      </c>
      <c r="H11" s="1">
        <v>5</v>
      </c>
      <c r="I11" s="1" t="s">
        <v>371</v>
      </c>
      <c r="J11" s="1" t="s">
        <v>342</v>
      </c>
      <c r="K11" s="1" t="s">
        <v>372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501</v>
      </c>
      <c r="R11" s="1" t="s">
        <v>432</v>
      </c>
      <c r="S11" s="1" t="s">
        <v>400</v>
      </c>
      <c r="T11" s="1" t="s">
        <v>230</v>
      </c>
      <c r="U11" s="1" t="s">
        <v>230</v>
      </c>
      <c r="V11" s="1" t="s">
        <v>402</v>
      </c>
      <c r="W11" s="1" t="s">
        <v>458</v>
      </c>
      <c r="X11" s="1" t="s">
        <v>502</v>
      </c>
      <c r="Y11" s="1" t="s">
        <v>503</v>
      </c>
      <c r="Z11" s="1">
        <v>8</v>
      </c>
      <c r="AA11" s="1" t="s">
        <v>405</v>
      </c>
      <c r="AB11" s="1">
        <v>-5</v>
      </c>
      <c r="AC11" s="1" t="s">
        <v>378</v>
      </c>
      <c r="AD11" s="1">
        <v>7</v>
      </c>
      <c r="AE11" s="1">
        <v>4</v>
      </c>
      <c r="AF11" s="1">
        <v>8</v>
      </c>
      <c r="AG11" s="1" t="s">
        <v>405</v>
      </c>
      <c r="AH11" s="1">
        <v>-2</v>
      </c>
      <c r="AI11" s="1" t="s">
        <v>479</v>
      </c>
      <c r="AJ11" s="1">
        <v>-1</v>
      </c>
      <c r="AK11" s="1" t="s">
        <v>238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504</v>
      </c>
      <c r="AT11" s="1" t="s">
        <v>505</v>
      </c>
      <c r="AU11" s="1" t="s">
        <v>244</v>
      </c>
      <c r="AV11" s="1" t="s">
        <v>506</v>
      </c>
      <c r="AW11" s="1" t="s">
        <v>507</v>
      </c>
      <c r="AX11" s="1" t="s">
        <v>322</v>
      </c>
      <c r="AY11" s="1" t="s">
        <v>508</v>
      </c>
      <c r="AZ11" s="1" t="s">
        <v>509</v>
      </c>
      <c r="BA11" s="1" t="s">
        <v>510</v>
      </c>
      <c r="BB11" s="1" t="s">
        <v>511</v>
      </c>
      <c r="BC11" s="1" t="s">
        <v>455</v>
      </c>
      <c r="BD11" s="1" t="s">
        <v>512</v>
      </c>
      <c r="BE11" s="1">
        <v>111.7</v>
      </c>
      <c r="BF11" s="1">
        <v>106.5</v>
      </c>
      <c r="BG11" s="1">
        <v>5.3</v>
      </c>
      <c r="BH11" s="1" t="s">
        <v>294</v>
      </c>
      <c r="BI11" s="1" t="s">
        <v>55</v>
      </c>
      <c r="BJ11" s="1" t="s">
        <v>362</v>
      </c>
      <c r="BK11" s="1" t="s">
        <v>362</v>
      </c>
      <c r="BL11" s="1" t="s">
        <v>500</v>
      </c>
      <c r="BM11" s="1" t="s">
        <v>387</v>
      </c>
      <c r="BN11" s="1" t="s">
        <v>253</v>
      </c>
      <c r="BO11" s="1" t="s">
        <v>255</v>
      </c>
      <c r="BP11" s="1" t="s">
        <v>389</v>
      </c>
      <c r="BQ11" s="1" t="s">
        <v>73</v>
      </c>
      <c r="BR11" s="1" t="s">
        <v>389</v>
      </c>
      <c r="BS11" s="1" t="s">
        <v>513</v>
      </c>
      <c r="BT11" s="1"/>
      <c r="BU11" s="1"/>
      <c r="BV11" s="1"/>
      <c r="BW11" s="1"/>
      <c r="BX11" s="1"/>
      <c r="BY11" s="1" t="s">
        <v>514</v>
      </c>
      <c r="BZ11" s="1" t="s">
        <v>515</v>
      </c>
      <c r="CA11" s="1" t="s">
        <v>261</v>
      </c>
      <c r="CB11" s="1" t="s">
        <v>516</v>
      </c>
      <c r="CC11" s="1" t="s">
        <v>517</v>
      </c>
    </row>
    <row r="12" spans="1:81" x14ac:dyDescent="0.25">
      <c r="A12" s="1">
        <v>1610612760</v>
      </c>
      <c r="B12" s="1" t="s">
        <v>48</v>
      </c>
      <c r="C12" s="1" t="s">
        <v>219</v>
      </c>
      <c r="D12" s="1" t="s">
        <v>518</v>
      </c>
      <c r="E12" s="1" t="s">
        <v>519</v>
      </c>
      <c r="F12" s="1" t="s">
        <v>222</v>
      </c>
      <c r="G12" s="1" t="s">
        <v>520</v>
      </c>
      <c r="H12" s="1">
        <v>6</v>
      </c>
      <c r="I12" s="1" t="s">
        <v>371</v>
      </c>
      <c r="J12" s="1" t="s">
        <v>342</v>
      </c>
      <c r="K12" s="1" t="s">
        <v>521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450</v>
      </c>
      <c r="R12" s="1" t="s">
        <v>229</v>
      </c>
      <c r="S12" s="1" t="s">
        <v>429</v>
      </c>
      <c r="T12" s="1" t="s">
        <v>231</v>
      </c>
      <c r="U12" s="1" t="s">
        <v>274</v>
      </c>
      <c r="V12" s="1" t="s">
        <v>274</v>
      </c>
      <c r="W12" s="1" t="s">
        <v>375</v>
      </c>
      <c r="X12" s="1" t="s">
        <v>522</v>
      </c>
      <c r="Y12" s="1" t="s">
        <v>523</v>
      </c>
      <c r="Z12" s="1">
        <v>7</v>
      </c>
      <c r="AA12" s="1" t="s">
        <v>433</v>
      </c>
      <c r="AB12" s="1">
        <v>4</v>
      </c>
      <c r="AC12" s="1" t="s">
        <v>454</v>
      </c>
      <c r="AD12" s="1">
        <v>7</v>
      </c>
      <c r="AE12" s="1">
        <v>4</v>
      </c>
      <c r="AF12" s="1">
        <v>3</v>
      </c>
      <c r="AG12" s="1" t="s">
        <v>316</v>
      </c>
      <c r="AH12" s="1">
        <v>2</v>
      </c>
      <c r="AI12" s="1" t="s">
        <v>279</v>
      </c>
      <c r="AJ12" s="1">
        <v>5</v>
      </c>
      <c r="AK12" s="1" t="s">
        <v>237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524</v>
      </c>
      <c r="AT12" s="1" t="s">
        <v>525</v>
      </c>
      <c r="AU12" s="1" t="s">
        <v>285</v>
      </c>
      <c r="AV12" s="1" t="s">
        <v>526</v>
      </c>
      <c r="AW12" s="1" t="s">
        <v>527</v>
      </c>
      <c r="AX12" s="1" t="s">
        <v>322</v>
      </c>
      <c r="AY12" s="1" t="s">
        <v>528</v>
      </c>
      <c r="AZ12" s="1" t="s">
        <v>529</v>
      </c>
      <c r="BA12" s="1" t="s">
        <v>530</v>
      </c>
      <c r="BB12" s="1" t="s">
        <v>531</v>
      </c>
      <c r="BC12" s="1" t="s">
        <v>432</v>
      </c>
      <c r="BD12" s="1" t="s">
        <v>532</v>
      </c>
      <c r="BE12" s="1">
        <v>114.5</v>
      </c>
      <c r="BF12" s="1">
        <v>111.1</v>
      </c>
      <c r="BG12" s="1">
        <v>3.4</v>
      </c>
      <c r="BH12" s="1" t="s">
        <v>443</v>
      </c>
      <c r="BI12" s="1" t="s">
        <v>55</v>
      </c>
      <c r="BJ12" s="1" t="s">
        <v>252</v>
      </c>
      <c r="BK12" s="1" t="s">
        <v>362</v>
      </c>
      <c r="BL12" s="1" t="s">
        <v>520</v>
      </c>
      <c r="BM12" s="1" t="s">
        <v>533</v>
      </c>
      <c r="BN12" s="1" t="s">
        <v>255</v>
      </c>
      <c r="BO12" s="1" t="s">
        <v>490</v>
      </c>
      <c r="BP12" s="1" t="s">
        <v>258</v>
      </c>
      <c r="BQ12" s="1" t="s">
        <v>59</v>
      </c>
      <c r="BR12" s="1" t="s">
        <v>71</v>
      </c>
      <c r="BS12" s="1" t="s">
        <v>534</v>
      </c>
      <c r="BT12" s="1"/>
      <c r="BU12" s="1"/>
      <c r="BV12" s="1"/>
      <c r="BW12" s="1"/>
      <c r="BX12" s="1"/>
      <c r="BY12" s="1" t="s">
        <v>390</v>
      </c>
      <c r="BZ12" s="1" t="s">
        <v>295</v>
      </c>
      <c r="CA12" s="1" t="s">
        <v>332</v>
      </c>
      <c r="CB12" s="1" t="s">
        <v>535</v>
      </c>
      <c r="CC12" s="1" t="s">
        <v>536</v>
      </c>
    </row>
    <row r="13" spans="1:81" x14ac:dyDescent="0.25">
      <c r="A13" s="1">
        <v>1610612751</v>
      </c>
      <c r="B13" s="1" t="s">
        <v>48</v>
      </c>
      <c r="C13" s="1" t="s">
        <v>219</v>
      </c>
      <c r="D13" s="1" t="s">
        <v>537</v>
      </c>
      <c r="E13" s="1" t="s">
        <v>538</v>
      </c>
      <c r="F13" s="1" t="s">
        <v>267</v>
      </c>
      <c r="G13" s="1" t="s">
        <v>397</v>
      </c>
      <c r="H13" s="1">
        <v>6</v>
      </c>
      <c r="I13" s="1" t="s">
        <v>371</v>
      </c>
      <c r="J13" s="1" t="s">
        <v>308</v>
      </c>
      <c r="K13" s="1" t="s">
        <v>372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539</v>
      </c>
      <c r="R13" s="1" t="s">
        <v>540</v>
      </c>
      <c r="S13" s="1" t="s">
        <v>474</v>
      </c>
      <c r="T13" s="1" t="s">
        <v>402</v>
      </c>
      <c r="U13" s="1" t="s">
        <v>402</v>
      </c>
      <c r="V13" s="1" t="s">
        <v>274</v>
      </c>
      <c r="W13" s="1" t="s">
        <v>541</v>
      </c>
      <c r="X13" s="1" t="s">
        <v>542</v>
      </c>
      <c r="Y13" s="1" t="s">
        <v>543</v>
      </c>
      <c r="Z13" s="1">
        <v>9</v>
      </c>
      <c r="AA13" s="1" t="s">
        <v>544</v>
      </c>
      <c r="AB13" s="1">
        <v>-4</v>
      </c>
      <c r="AC13" s="1" t="s">
        <v>545</v>
      </c>
      <c r="AD13" s="1">
        <v>7</v>
      </c>
      <c r="AE13" s="1">
        <v>8</v>
      </c>
      <c r="AF13" s="1">
        <v>1</v>
      </c>
      <c r="AG13" s="1" t="s">
        <v>317</v>
      </c>
      <c r="AH13" s="1">
        <v>2</v>
      </c>
      <c r="AI13" s="1" t="s">
        <v>279</v>
      </c>
      <c r="AJ13" s="1">
        <v>3</v>
      </c>
      <c r="AK13" s="1" t="s">
        <v>316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404</v>
      </c>
      <c r="AT13" s="1" t="s">
        <v>546</v>
      </c>
      <c r="AU13" s="1" t="s">
        <v>547</v>
      </c>
      <c r="AV13" s="1" t="s">
        <v>548</v>
      </c>
      <c r="AW13" s="1" t="s">
        <v>549</v>
      </c>
      <c r="AX13" s="1" t="s">
        <v>550</v>
      </c>
      <c r="AY13" s="1" t="s">
        <v>551</v>
      </c>
      <c r="AZ13" s="1" t="s">
        <v>552</v>
      </c>
      <c r="BA13" s="1" t="s">
        <v>553</v>
      </c>
      <c r="BB13" s="1" t="s">
        <v>554</v>
      </c>
      <c r="BC13" s="1" t="s">
        <v>361</v>
      </c>
      <c r="BD13" s="1" t="s">
        <v>555</v>
      </c>
      <c r="BE13" s="1">
        <v>112.2</v>
      </c>
      <c r="BF13" s="1">
        <v>112.3</v>
      </c>
      <c r="BG13" s="1">
        <v>-0.1</v>
      </c>
      <c r="BH13" s="1" t="s">
        <v>397</v>
      </c>
      <c r="BI13" s="1" t="s">
        <v>387</v>
      </c>
      <c r="BJ13" s="1" t="s">
        <v>255</v>
      </c>
      <c r="BK13" s="1" t="s">
        <v>388</v>
      </c>
      <c r="BL13" s="1" t="s">
        <v>556</v>
      </c>
      <c r="BM13" s="1" t="s">
        <v>557</v>
      </c>
      <c r="BN13" s="1" t="s">
        <v>55</v>
      </c>
      <c r="BO13" s="1" t="s">
        <v>466</v>
      </c>
      <c r="BP13" s="1" t="s">
        <v>389</v>
      </c>
      <c r="BQ13" s="1" t="s">
        <v>465</v>
      </c>
      <c r="BR13" s="1" t="s">
        <v>261</v>
      </c>
      <c r="BS13" s="1" t="s">
        <v>298</v>
      </c>
      <c r="BT13" s="1"/>
      <c r="BU13" s="1"/>
      <c r="BV13" s="1"/>
      <c r="BW13" s="1"/>
      <c r="BX13" s="1"/>
      <c r="BY13" s="1" t="s">
        <v>558</v>
      </c>
      <c r="BZ13" s="1" t="s">
        <v>559</v>
      </c>
      <c r="CA13" s="1" t="s">
        <v>332</v>
      </c>
      <c r="CB13" s="1" t="s">
        <v>560</v>
      </c>
      <c r="CC13" s="1" t="s">
        <v>561</v>
      </c>
    </row>
    <row r="14" spans="1:81" x14ac:dyDescent="0.25">
      <c r="A14" s="1">
        <v>1610612753</v>
      </c>
      <c r="B14" s="1" t="s">
        <v>48</v>
      </c>
      <c r="C14" s="1" t="s">
        <v>219</v>
      </c>
      <c r="D14" s="1" t="s">
        <v>562</v>
      </c>
      <c r="E14" s="1" t="s">
        <v>563</v>
      </c>
      <c r="F14" s="1" t="s">
        <v>267</v>
      </c>
      <c r="G14" s="1" t="s">
        <v>500</v>
      </c>
      <c r="H14" s="1">
        <v>7</v>
      </c>
      <c r="I14" s="1" t="s">
        <v>564</v>
      </c>
      <c r="J14" s="1" t="s">
        <v>565</v>
      </c>
      <c r="K14" s="1" t="s">
        <v>428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539</v>
      </c>
      <c r="R14" s="1" t="s">
        <v>566</v>
      </c>
      <c r="S14" s="1" t="s">
        <v>567</v>
      </c>
      <c r="T14" s="1" t="s">
        <v>230</v>
      </c>
      <c r="U14" s="1" t="s">
        <v>401</v>
      </c>
      <c r="V14" s="1" t="s">
        <v>346</v>
      </c>
      <c r="W14" s="1" t="s">
        <v>275</v>
      </c>
      <c r="X14" s="1" t="s">
        <v>276</v>
      </c>
      <c r="Y14" s="1" t="s">
        <v>568</v>
      </c>
      <c r="Z14" s="1">
        <v>9</v>
      </c>
      <c r="AA14" s="1" t="s">
        <v>544</v>
      </c>
      <c r="AB14" s="1">
        <v>-5</v>
      </c>
      <c r="AC14" s="1" t="s">
        <v>378</v>
      </c>
      <c r="AD14" s="1">
        <v>6</v>
      </c>
      <c r="AE14" s="1">
        <v>4</v>
      </c>
      <c r="AF14" s="1">
        <v>9</v>
      </c>
      <c r="AG14" s="1" t="s">
        <v>544</v>
      </c>
      <c r="AH14" s="1">
        <v>2</v>
      </c>
      <c r="AI14" s="1" t="s">
        <v>279</v>
      </c>
      <c r="AJ14" s="1">
        <v>4</v>
      </c>
      <c r="AK14" s="1" t="s">
        <v>454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228</v>
      </c>
      <c r="AT14" s="1" t="s">
        <v>569</v>
      </c>
      <c r="AU14" s="1" t="s">
        <v>458</v>
      </c>
      <c r="AV14" s="1" t="s">
        <v>570</v>
      </c>
      <c r="AW14" s="1" t="s">
        <v>571</v>
      </c>
      <c r="AX14" s="1" t="s">
        <v>244</v>
      </c>
      <c r="AY14" s="1" t="s">
        <v>572</v>
      </c>
      <c r="AZ14" s="1" t="s">
        <v>573</v>
      </c>
      <c r="BA14" s="1" t="s">
        <v>574</v>
      </c>
      <c r="BB14" s="1" t="s">
        <v>570</v>
      </c>
      <c r="BC14" s="1" t="s">
        <v>451</v>
      </c>
      <c r="BD14" s="1" t="s">
        <v>453</v>
      </c>
      <c r="BE14" s="1">
        <v>107.3</v>
      </c>
      <c r="BF14" s="1">
        <v>106.6</v>
      </c>
      <c r="BG14" s="1">
        <v>0.7</v>
      </c>
      <c r="BH14" s="1" t="s">
        <v>500</v>
      </c>
      <c r="BI14" s="1" t="s">
        <v>388</v>
      </c>
      <c r="BJ14" s="1" t="s">
        <v>490</v>
      </c>
      <c r="BK14" s="1" t="s">
        <v>297</v>
      </c>
      <c r="BL14" s="1" t="s">
        <v>575</v>
      </c>
      <c r="BM14" s="1" t="s">
        <v>557</v>
      </c>
      <c r="BN14" s="1" t="s">
        <v>465</v>
      </c>
      <c r="BO14" s="1" t="s">
        <v>55</v>
      </c>
      <c r="BP14" s="1" t="s">
        <v>576</v>
      </c>
      <c r="BQ14" s="1" t="s">
        <v>577</v>
      </c>
      <c r="BR14" s="1" t="s">
        <v>258</v>
      </c>
      <c r="BS14" s="1" t="s">
        <v>333</v>
      </c>
      <c r="BT14" s="1"/>
      <c r="BU14" s="1"/>
      <c r="BV14" s="1"/>
      <c r="BW14" s="1"/>
      <c r="BX14" s="1"/>
      <c r="BY14" s="1" t="s">
        <v>578</v>
      </c>
      <c r="BZ14" s="1" t="s">
        <v>533</v>
      </c>
      <c r="CA14" s="1" t="s">
        <v>579</v>
      </c>
      <c r="CB14" s="1" t="s">
        <v>580</v>
      </c>
      <c r="CC14" s="1" t="s">
        <v>337</v>
      </c>
    </row>
    <row r="15" spans="1:81" x14ac:dyDescent="0.25">
      <c r="A15" s="1">
        <v>1610612759</v>
      </c>
      <c r="B15" s="1" t="s">
        <v>48</v>
      </c>
      <c r="C15" s="1" t="s">
        <v>219</v>
      </c>
      <c r="D15" s="1" t="s">
        <v>581</v>
      </c>
      <c r="E15" s="1" t="s">
        <v>582</v>
      </c>
      <c r="F15" s="1" t="s">
        <v>222</v>
      </c>
      <c r="G15" s="1" t="s">
        <v>500</v>
      </c>
      <c r="H15" s="1">
        <v>7</v>
      </c>
      <c r="I15" s="1" t="s">
        <v>371</v>
      </c>
      <c r="J15" s="1" t="s">
        <v>427</v>
      </c>
      <c r="K15" s="1" t="s">
        <v>428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473</v>
      </c>
      <c r="R15" s="1" t="s">
        <v>311</v>
      </c>
      <c r="S15" s="1" t="s">
        <v>583</v>
      </c>
      <c r="T15" s="1" t="s">
        <v>402</v>
      </c>
      <c r="U15" s="1" t="s">
        <v>230</v>
      </c>
      <c r="V15" s="1" t="s">
        <v>274</v>
      </c>
      <c r="W15" s="1" t="s">
        <v>584</v>
      </c>
      <c r="X15" s="1" t="s">
        <v>585</v>
      </c>
      <c r="Y15" s="1" t="s">
        <v>566</v>
      </c>
      <c r="Z15" s="1">
        <v>11</v>
      </c>
      <c r="AA15" s="1" t="s">
        <v>236</v>
      </c>
      <c r="AB15" s="1">
        <v>-5</v>
      </c>
      <c r="AC15" s="1" t="s">
        <v>378</v>
      </c>
      <c r="AD15" s="1">
        <v>9</v>
      </c>
      <c r="AE15" s="1">
        <v>4</v>
      </c>
      <c r="AF15" s="1">
        <v>2</v>
      </c>
      <c r="AG15" s="1" t="s">
        <v>279</v>
      </c>
      <c r="AH15" s="1">
        <v>2</v>
      </c>
      <c r="AI15" s="1" t="s">
        <v>279</v>
      </c>
      <c r="AJ15" s="1">
        <v>3</v>
      </c>
      <c r="AK15" s="1" t="s">
        <v>316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586</v>
      </c>
      <c r="AT15" s="1" t="s">
        <v>587</v>
      </c>
      <c r="AU15" s="1" t="s">
        <v>347</v>
      </c>
      <c r="AV15" s="1" t="s">
        <v>588</v>
      </c>
      <c r="AW15" s="1" t="s">
        <v>587</v>
      </c>
      <c r="AX15" s="1" t="s">
        <v>458</v>
      </c>
      <c r="AY15" s="1" t="s">
        <v>589</v>
      </c>
      <c r="AZ15" s="1" t="s">
        <v>590</v>
      </c>
      <c r="BA15" s="1" t="s">
        <v>568</v>
      </c>
      <c r="BB15" s="1" t="s">
        <v>239</v>
      </c>
      <c r="BC15" s="1" t="s">
        <v>591</v>
      </c>
      <c r="BD15" s="1" t="s">
        <v>592</v>
      </c>
      <c r="BE15" s="1">
        <v>111.7</v>
      </c>
      <c r="BF15" s="1">
        <v>110</v>
      </c>
      <c r="BG15" s="1">
        <v>1.7</v>
      </c>
      <c r="BH15" s="1" t="s">
        <v>593</v>
      </c>
      <c r="BI15" s="1" t="s">
        <v>55</v>
      </c>
      <c r="BJ15" s="1" t="s">
        <v>362</v>
      </c>
      <c r="BK15" s="1" t="s">
        <v>466</v>
      </c>
      <c r="BL15" s="1" t="s">
        <v>500</v>
      </c>
      <c r="BM15" s="1" t="s">
        <v>255</v>
      </c>
      <c r="BN15" s="1" t="s">
        <v>255</v>
      </c>
      <c r="BO15" s="1" t="s">
        <v>297</v>
      </c>
      <c r="BP15" s="1" t="s">
        <v>262</v>
      </c>
      <c r="BQ15" s="1" t="s">
        <v>594</v>
      </c>
      <c r="BR15" s="1" t="s">
        <v>301</v>
      </c>
      <c r="BS15" s="1" t="s">
        <v>333</v>
      </c>
      <c r="BT15" s="1"/>
      <c r="BU15" s="1"/>
      <c r="BV15" s="1"/>
      <c r="BW15" s="1"/>
      <c r="BX15" s="1"/>
      <c r="BY15" s="1" t="s">
        <v>420</v>
      </c>
      <c r="BZ15" s="1" t="s">
        <v>559</v>
      </c>
      <c r="CA15" s="1" t="s">
        <v>491</v>
      </c>
      <c r="CB15" s="1" t="s">
        <v>595</v>
      </c>
      <c r="CC15" s="1" t="s">
        <v>337</v>
      </c>
    </row>
    <row r="16" spans="1:81" x14ac:dyDescent="0.25">
      <c r="A16" s="1">
        <v>1610612765</v>
      </c>
      <c r="B16" s="1" t="s">
        <v>48</v>
      </c>
      <c r="C16" s="1" t="s">
        <v>219</v>
      </c>
      <c r="D16" s="1" t="s">
        <v>596</v>
      </c>
      <c r="E16" s="1" t="s">
        <v>597</v>
      </c>
      <c r="F16" s="1" t="s">
        <v>267</v>
      </c>
      <c r="G16" s="1" t="s">
        <v>598</v>
      </c>
      <c r="H16" s="1">
        <v>8</v>
      </c>
      <c r="I16" s="1" t="s">
        <v>371</v>
      </c>
      <c r="J16" s="1" t="s">
        <v>270</v>
      </c>
      <c r="K16" s="1" t="s">
        <v>372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599</v>
      </c>
      <c r="R16" s="1" t="s">
        <v>312</v>
      </c>
      <c r="S16" s="1" t="s">
        <v>600</v>
      </c>
      <c r="T16" s="1" t="s">
        <v>346</v>
      </c>
      <c r="U16" s="1" t="s">
        <v>230</v>
      </c>
      <c r="V16" s="1" t="s">
        <v>475</v>
      </c>
      <c r="W16" s="1" t="s">
        <v>541</v>
      </c>
      <c r="X16" s="1" t="s">
        <v>601</v>
      </c>
      <c r="Y16" s="1" t="s">
        <v>602</v>
      </c>
      <c r="Z16" s="1">
        <v>11</v>
      </c>
      <c r="AA16" s="1" t="s">
        <v>236</v>
      </c>
      <c r="AB16" s="1">
        <v>-5</v>
      </c>
      <c r="AC16" s="1" t="s">
        <v>378</v>
      </c>
      <c r="AD16" s="1">
        <v>5</v>
      </c>
      <c r="AE16" s="1">
        <v>6</v>
      </c>
      <c r="AF16" s="1">
        <v>1</v>
      </c>
      <c r="AG16" s="1" t="s">
        <v>317</v>
      </c>
      <c r="AH16" s="1">
        <v>1</v>
      </c>
      <c r="AI16" s="1" t="s">
        <v>317</v>
      </c>
      <c r="AJ16" s="1">
        <v>2</v>
      </c>
      <c r="AK16" s="1" t="s">
        <v>279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603</v>
      </c>
      <c r="AT16" s="1" t="s">
        <v>604</v>
      </c>
      <c r="AU16" s="1" t="s">
        <v>285</v>
      </c>
      <c r="AV16" s="1" t="s">
        <v>404</v>
      </c>
      <c r="AW16" s="1" t="s">
        <v>605</v>
      </c>
      <c r="AX16" s="1" t="s">
        <v>282</v>
      </c>
      <c r="AY16" s="1" t="s">
        <v>606</v>
      </c>
      <c r="AZ16" s="1" t="s">
        <v>607</v>
      </c>
      <c r="BA16" s="1" t="s">
        <v>608</v>
      </c>
      <c r="BB16" s="1" t="s">
        <v>609</v>
      </c>
      <c r="BC16" s="1" t="s">
        <v>610</v>
      </c>
      <c r="BD16" s="1" t="s">
        <v>611</v>
      </c>
      <c r="BE16" s="1">
        <v>107</v>
      </c>
      <c r="BF16" s="1">
        <v>107.3</v>
      </c>
      <c r="BG16" s="1">
        <v>-0.2</v>
      </c>
      <c r="BH16" s="1" t="s">
        <v>598</v>
      </c>
      <c r="BI16" s="1" t="s">
        <v>255</v>
      </c>
      <c r="BJ16" s="1" t="s">
        <v>387</v>
      </c>
      <c r="BK16" s="1" t="s">
        <v>490</v>
      </c>
      <c r="BL16" s="1" t="s">
        <v>464</v>
      </c>
      <c r="BM16" s="1" t="s">
        <v>465</v>
      </c>
      <c r="BN16" s="1" t="s">
        <v>466</v>
      </c>
      <c r="BO16" s="1" t="s">
        <v>466</v>
      </c>
      <c r="BP16" s="1" t="s">
        <v>71</v>
      </c>
      <c r="BQ16" s="1" t="s">
        <v>362</v>
      </c>
      <c r="BR16" s="1" t="s">
        <v>297</v>
      </c>
      <c r="BS16" s="1" t="s">
        <v>390</v>
      </c>
      <c r="BT16" s="1"/>
      <c r="BU16" s="1"/>
      <c r="BV16" s="1"/>
      <c r="BW16" s="1"/>
      <c r="BX16" s="1"/>
      <c r="BY16" s="1" t="s">
        <v>514</v>
      </c>
      <c r="BZ16" s="1" t="s">
        <v>365</v>
      </c>
      <c r="CA16" s="1" t="s">
        <v>612</v>
      </c>
      <c r="CB16" s="1" t="s">
        <v>613</v>
      </c>
      <c r="CC16" s="1" t="s">
        <v>614</v>
      </c>
    </row>
    <row r="17" spans="1:81" x14ac:dyDescent="0.25">
      <c r="A17" s="1">
        <v>1610612746</v>
      </c>
      <c r="B17" s="1" t="s">
        <v>48</v>
      </c>
      <c r="C17" s="1" t="s">
        <v>219</v>
      </c>
      <c r="D17" s="1" t="s">
        <v>615</v>
      </c>
      <c r="E17" s="1" t="s">
        <v>616</v>
      </c>
      <c r="F17" s="1" t="s">
        <v>222</v>
      </c>
      <c r="G17" s="1" t="s">
        <v>520</v>
      </c>
      <c r="H17" s="1">
        <v>8</v>
      </c>
      <c r="I17" s="1" t="s">
        <v>371</v>
      </c>
      <c r="J17" s="1" t="s">
        <v>225</v>
      </c>
      <c r="K17" s="1" t="s">
        <v>472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473</v>
      </c>
      <c r="R17" s="1" t="s">
        <v>312</v>
      </c>
      <c r="S17" s="1" t="s">
        <v>429</v>
      </c>
      <c r="T17" s="1" t="s">
        <v>402</v>
      </c>
      <c r="U17" s="1" t="s">
        <v>231</v>
      </c>
      <c r="V17" s="1" t="s">
        <v>402</v>
      </c>
      <c r="W17" s="1" t="s">
        <v>617</v>
      </c>
      <c r="X17" s="1" t="s">
        <v>618</v>
      </c>
      <c r="Y17" s="1" t="s">
        <v>540</v>
      </c>
      <c r="Z17" s="1">
        <v>9</v>
      </c>
      <c r="AA17" s="1" t="s">
        <v>544</v>
      </c>
      <c r="AB17" s="1">
        <v>5</v>
      </c>
      <c r="AC17" s="1" t="s">
        <v>237</v>
      </c>
      <c r="AD17" s="1">
        <v>6</v>
      </c>
      <c r="AE17" s="1">
        <v>5</v>
      </c>
      <c r="AF17" s="1">
        <v>1</v>
      </c>
      <c r="AG17" s="1" t="s">
        <v>317</v>
      </c>
      <c r="AH17" s="1">
        <v>-2</v>
      </c>
      <c r="AI17" s="1" t="s">
        <v>479</v>
      </c>
      <c r="AJ17" s="1">
        <v>1</v>
      </c>
      <c r="AK17" s="1" t="s">
        <v>317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570</v>
      </c>
      <c r="AT17" s="1" t="s">
        <v>619</v>
      </c>
      <c r="AU17" s="1" t="s">
        <v>409</v>
      </c>
      <c r="AV17" s="1" t="s">
        <v>620</v>
      </c>
      <c r="AW17" s="1" t="s">
        <v>621</v>
      </c>
      <c r="AX17" s="1" t="s">
        <v>438</v>
      </c>
      <c r="AY17" s="1" t="s">
        <v>622</v>
      </c>
      <c r="AZ17" s="1" t="s">
        <v>623</v>
      </c>
      <c r="BA17" s="1" t="s">
        <v>624</v>
      </c>
      <c r="BB17" s="1" t="s">
        <v>625</v>
      </c>
      <c r="BC17" s="1" t="s">
        <v>626</v>
      </c>
      <c r="BD17" s="1" t="s">
        <v>627</v>
      </c>
      <c r="BE17" s="1">
        <v>115.1</v>
      </c>
      <c r="BF17" s="1">
        <v>114.3</v>
      </c>
      <c r="BG17" s="1">
        <v>0.9</v>
      </c>
      <c r="BH17" s="1" t="s">
        <v>294</v>
      </c>
      <c r="BI17" s="1" t="s">
        <v>55</v>
      </c>
      <c r="BJ17" s="1" t="s">
        <v>362</v>
      </c>
      <c r="BK17" s="1" t="s">
        <v>362</v>
      </c>
      <c r="BL17" s="1" t="s">
        <v>520</v>
      </c>
      <c r="BM17" s="1" t="s">
        <v>628</v>
      </c>
      <c r="BN17" s="1" t="s">
        <v>491</v>
      </c>
      <c r="BO17" s="1" t="s">
        <v>255</v>
      </c>
      <c r="BP17" s="1" t="s">
        <v>515</v>
      </c>
      <c r="BQ17" s="1" t="s">
        <v>59</v>
      </c>
      <c r="BR17" s="1" t="s">
        <v>629</v>
      </c>
      <c r="BS17" s="1" t="s">
        <v>630</v>
      </c>
      <c r="BT17" s="1"/>
      <c r="BU17" s="1"/>
      <c r="BV17" s="1"/>
      <c r="BW17" s="1"/>
      <c r="BX17" s="1"/>
      <c r="BY17" s="1" t="s">
        <v>514</v>
      </c>
      <c r="BZ17" s="1" t="s">
        <v>631</v>
      </c>
      <c r="CA17" s="1" t="s">
        <v>632</v>
      </c>
      <c r="CB17" s="1" t="s">
        <v>633</v>
      </c>
      <c r="CC17" s="1" t="s">
        <v>634</v>
      </c>
    </row>
    <row r="18" spans="1:81" x14ac:dyDescent="0.25">
      <c r="A18" s="1">
        <v>1610612766</v>
      </c>
      <c r="B18" s="1" t="s">
        <v>48</v>
      </c>
      <c r="C18" s="1" t="s">
        <v>219</v>
      </c>
      <c r="D18" s="1" t="s">
        <v>635</v>
      </c>
      <c r="E18" s="1" t="s">
        <v>636</v>
      </c>
      <c r="F18" s="1" t="s">
        <v>267</v>
      </c>
      <c r="G18" s="1" t="s">
        <v>397</v>
      </c>
      <c r="H18" s="1">
        <v>9</v>
      </c>
      <c r="I18" s="1" t="s">
        <v>637</v>
      </c>
      <c r="J18" s="1" t="s">
        <v>565</v>
      </c>
      <c r="K18" s="1" t="s">
        <v>428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638</v>
      </c>
      <c r="R18" s="1" t="s">
        <v>566</v>
      </c>
      <c r="S18" s="1" t="s">
        <v>639</v>
      </c>
      <c r="T18" s="1" t="s">
        <v>402</v>
      </c>
      <c r="U18" s="1" t="s">
        <v>274</v>
      </c>
      <c r="V18" s="1" t="s">
        <v>274</v>
      </c>
      <c r="W18" s="1" t="s">
        <v>640</v>
      </c>
      <c r="X18" s="1" t="s">
        <v>398</v>
      </c>
      <c r="Y18" s="1" t="s">
        <v>400</v>
      </c>
      <c r="Z18" s="1">
        <v>5</v>
      </c>
      <c r="AA18" s="1" t="s">
        <v>237</v>
      </c>
      <c r="AB18" s="1">
        <v>-4</v>
      </c>
      <c r="AC18" s="1" t="s">
        <v>545</v>
      </c>
      <c r="AD18" s="1">
        <v>4</v>
      </c>
      <c r="AE18" s="1">
        <v>3</v>
      </c>
      <c r="AF18" s="1">
        <v>-1</v>
      </c>
      <c r="AG18" s="1" t="s">
        <v>238</v>
      </c>
      <c r="AH18" s="1">
        <v>3</v>
      </c>
      <c r="AI18" s="1" t="s">
        <v>316</v>
      </c>
      <c r="AJ18" s="1">
        <v>-1</v>
      </c>
      <c r="AK18" s="1" t="s">
        <v>238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641</v>
      </c>
      <c r="AT18" s="1" t="s">
        <v>642</v>
      </c>
      <c r="AU18" s="1" t="s">
        <v>438</v>
      </c>
      <c r="AV18" s="1" t="s">
        <v>273</v>
      </c>
      <c r="AW18" s="1" t="s">
        <v>643</v>
      </c>
      <c r="AX18" s="1" t="s">
        <v>285</v>
      </c>
      <c r="AY18" s="1" t="s">
        <v>644</v>
      </c>
      <c r="AZ18" s="1" t="s">
        <v>645</v>
      </c>
      <c r="BA18" s="1" t="s">
        <v>525</v>
      </c>
      <c r="BB18" s="1" t="s">
        <v>646</v>
      </c>
      <c r="BC18" s="1" t="s">
        <v>647</v>
      </c>
      <c r="BD18" s="1" t="s">
        <v>648</v>
      </c>
      <c r="BE18" s="1">
        <v>110.7</v>
      </c>
      <c r="BF18" s="1">
        <v>111.8</v>
      </c>
      <c r="BG18" s="1">
        <v>-1.1000000000000001</v>
      </c>
      <c r="BH18" s="1" t="s">
        <v>397</v>
      </c>
      <c r="BI18" s="1" t="s">
        <v>444</v>
      </c>
      <c r="BJ18" s="1" t="s">
        <v>388</v>
      </c>
      <c r="BK18" s="1" t="s">
        <v>297</v>
      </c>
      <c r="BL18" s="1" t="s">
        <v>649</v>
      </c>
      <c r="BM18" s="1" t="s">
        <v>557</v>
      </c>
      <c r="BN18" s="1" t="s">
        <v>594</v>
      </c>
      <c r="BO18" s="1" t="s">
        <v>466</v>
      </c>
      <c r="BP18" s="1" t="s">
        <v>68</v>
      </c>
      <c r="BQ18" s="1" t="s">
        <v>650</v>
      </c>
      <c r="BR18" s="1" t="s">
        <v>468</v>
      </c>
      <c r="BS18" s="1" t="s">
        <v>513</v>
      </c>
      <c r="BT18" s="1"/>
      <c r="BU18" s="1"/>
      <c r="BV18" s="1"/>
      <c r="BW18" s="1"/>
      <c r="BX18" s="1"/>
      <c r="BY18" s="1" t="s">
        <v>391</v>
      </c>
      <c r="BZ18" s="1" t="s">
        <v>261</v>
      </c>
      <c r="CA18" s="1" t="s">
        <v>261</v>
      </c>
      <c r="CB18" s="1" t="s">
        <v>651</v>
      </c>
      <c r="CC18" s="1" t="s">
        <v>536</v>
      </c>
    </row>
    <row r="19" spans="1:81" x14ac:dyDescent="0.25">
      <c r="A19" s="1">
        <v>1610612758</v>
      </c>
      <c r="B19" s="1" t="s">
        <v>48</v>
      </c>
      <c r="C19" s="1" t="s">
        <v>219</v>
      </c>
      <c r="D19" s="1" t="s">
        <v>652</v>
      </c>
      <c r="E19" s="1" t="s">
        <v>653</v>
      </c>
      <c r="F19" s="1" t="s">
        <v>222</v>
      </c>
      <c r="G19" s="1" t="s">
        <v>654</v>
      </c>
      <c r="H19" s="1">
        <v>9</v>
      </c>
      <c r="I19" s="1" t="s">
        <v>637</v>
      </c>
      <c r="J19" s="1" t="s">
        <v>225</v>
      </c>
      <c r="K19" s="1" t="s">
        <v>655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638</v>
      </c>
      <c r="R19" s="1" t="s">
        <v>656</v>
      </c>
      <c r="S19" s="1" t="s">
        <v>600</v>
      </c>
      <c r="T19" s="1" t="s">
        <v>657</v>
      </c>
      <c r="U19" s="1" t="s">
        <v>274</v>
      </c>
      <c r="V19" s="1" t="s">
        <v>475</v>
      </c>
      <c r="W19" s="1" t="s">
        <v>458</v>
      </c>
      <c r="X19" s="1" t="s">
        <v>522</v>
      </c>
      <c r="Y19" s="1" t="s">
        <v>658</v>
      </c>
      <c r="Z19" s="1">
        <v>7</v>
      </c>
      <c r="AA19" s="1" t="s">
        <v>433</v>
      </c>
      <c r="AB19" s="1">
        <v>-5</v>
      </c>
      <c r="AC19" s="1" t="s">
        <v>378</v>
      </c>
      <c r="AD19" s="1">
        <v>5</v>
      </c>
      <c r="AE19" s="1">
        <v>4</v>
      </c>
      <c r="AF19" s="1">
        <v>-1</v>
      </c>
      <c r="AG19" s="1" t="s">
        <v>238</v>
      </c>
      <c r="AH19" s="1">
        <v>-2</v>
      </c>
      <c r="AI19" s="1" t="s">
        <v>479</v>
      </c>
      <c r="AJ19" s="1">
        <v>-3</v>
      </c>
      <c r="AK19" s="1" t="s">
        <v>350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659</v>
      </c>
      <c r="AT19" s="1" t="s">
        <v>660</v>
      </c>
      <c r="AU19" s="1" t="s">
        <v>409</v>
      </c>
      <c r="AV19" s="1" t="s">
        <v>661</v>
      </c>
      <c r="AW19" s="1" t="s">
        <v>662</v>
      </c>
      <c r="AX19" s="1" t="s">
        <v>275</v>
      </c>
      <c r="AY19" s="1" t="s">
        <v>663</v>
      </c>
      <c r="AZ19" s="1" t="s">
        <v>664</v>
      </c>
      <c r="BA19" s="1" t="s">
        <v>665</v>
      </c>
      <c r="BB19" s="1" t="s">
        <v>666</v>
      </c>
      <c r="BC19" s="1" t="s">
        <v>627</v>
      </c>
      <c r="BD19" s="1" t="s">
        <v>667</v>
      </c>
      <c r="BE19" s="1">
        <v>114.2</v>
      </c>
      <c r="BF19" s="1">
        <v>115.3</v>
      </c>
      <c r="BG19" s="1">
        <v>-1.1000000000000001</v>
      </c>
      <c r="BH19" s="1" t="s">
        <v>593</v>
      </c>
      <c r="BI19" s="1" t="s">
        <v>594</v>
      </c>
      <c r="BJ19" s="1" t="s">
        <v>362</v>
      </c>
      <c r="BK19" s="1" t="s">
        <v>252</v>
      </c>
      <c r="BL19" s="1" t="s">
        <v>654</v>
      </c>
      <c r="BM19" s="1" t="s">
        <v>628</v>
      </c>
      <c r="BN19" s="1" t="s">
        <v>668</v>
      </c>
      <c r="BO19" s="1" t="s">
        <v>255</v>
      </c>
      <c r="BP19" s="1" t="s">
        <v>468</v>
      </c>
      <c r="BQ19" s="1" t="s">
        <v>466</v>
      </c>
      <c r="BR19" s="1" t="s">
        <v>515</v>
      </c>
      <c r="BS19" s="1" t="s">
        <v>669</v>
      </c>
      <c r="BT19" s="1"/>
      <c r="BU19" s="1"/>
      <c r="BV19" s="1"/>
      <c r="BW19" s="1"/>
      <c r="BX19" s="1"/>
      <c r="BY19" s="1" t="s">
        <v>495</v>
      </c>
      <c r="BZ19" s="1" t="s">
        <v>579</v>
      </c>
      <c r="CA19" s="1" t="s">
        <v>332</v>
      </c>
      <c r="CB19" s="1" t="s">
        <v>670</v>
      </c>
      <c r="CC19" s="1" t="s">
        <v>671</v>
      </c>
    </row>
    <row r="20" spans="1:81" x14ac:dyDescent="0.25">
      <c r="A20" s="1">
        <v>1610612747</v>
      </c>
      <c r="B20" s="1" t="s">
        <v>48</v>
      </c>
      <c r="C20" s="1" t="s">
        <v>219</v>
      </c>
      <c r="D20" s="1" t="s">
        <v>672</v>
      </c>
      <c r="E20" s="1" t="s">
        <v>673</v>
      </c>
      <c r="F20" s="1" t="s">
        <v>222</v>
      </c>
      <c r="G20" s="1" t="s">
        <v>674</v>
      </c>
      <c r="H20" s="1">
        <v>10</v>
      </c>
      <c r="I20" s="1" t="s">
        <v>637</v>
      </c>
      <c r="J20" s="1" t="s">
        <v>225</v>
      </c>
      <c r="K20" s="1" t="s">
        <v>521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675</v>
      </c>
      <c r="R20" s="1" t="s">
        <v>429</v>
      </c>
      <c r="S20" s="1" t="s">
        <v>600</v>
      </c>
      <c r="T20" s="1" t="s">
        <v>402</v>
      </c>
      <c r="U20" s="1" t="s">
        <v>346</v>
      </c>
      <c r="V20" s="1" t="s">
        <v>657</v>
      </c>
      <c r="W20" s="1" t="s">
        <v>550</v>
      </c>
      <c r="X20" s="1" t="s">
        <v>547</v>
      </c>
      <c r="Y20" s="1" t="s">
        <v>583</v>
      </c>
      <c r="Z20" s="1">
        <v>6</v>
      </c>
      <c r="AA20" s="1" t="s">
        <v>235</v>
      </c>
      <c r="AB20" s="1">
        <v>-5</v>
      </c>
      <c r="AC20" s="1" t="s">
        <v>378</v>
      </c>
      <c r="AD20" s="1">
        <v>4</v>
      </c>
      <c r="AE20" s="1">
        <v>5</v>
      </c>
      <c r="AF20" s="1">
        <v>-1</v>
      </c>
      <c r="AG20" s="1" t="s">
        <v>238</v>
      </c>
      <c r="AH20" s="1">
        <v>1</v>
      </c>
      <c r="AI20" s="1" t="s">
        <v>317</v>
      </c>
      <c r="AJ20" s="1">
        <v>-1</v>
      </c>
      <c r="AK20" s="1" t="s">
        <v>238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676</v>
      </c>
      <c r="AT20" s="1" t="s">
        <v>677</v>
      </c>
      <c r="AU20" s="1" t="s">
        <v>322</v>
      </c>
      <c r="AV20" s="1" t="s">
        <v>678</v>
      </c>
      <c r="AW20" s="1" t="s">
        <v>679</v>
      </c>
      <c r="AX20" s="1" t="s">
        <v>322</v>
      </c>
      <c r="AY20" s="1" t="s">
        <v>680</v>
      </c>
      <c r="AZ20" s="1" t="s">
        <v>681</v>
      </c>
      <c r="BA20" s="1" t="s">
        <v>682</v>
      </c>
      <c r="BB20" s="1" t="s">
        <v>683</v>
      </c>
      <c r="BC20" s="1" t="s">
        <v>684</v>
      </c>
      <c r="BD20" s="1" t="s">
        <v>685</v>
      </c>
      <c r="BE20" s="1">
        <v>111.8</v>
      </c>
      <c r="BF20" s="1">
        <v>113.5</v>
      </c>
      <c r="BG20" s="1">
        <v>-1.7</v>
      </c>
      <c r="BH20" s="1" t="s">
        <v>575</v>
      </c>
      <c r="BI20" s="1" t="s">
        <v>686</v>
      </c>
      <c r="BJ20" s="1" t="s">
        <v>466</v>
      </c>
      <c r="BK20" s="1" t="s">
        <v>55</v>
      </c>
      <c r="BL20" s="1" t="s">
        <v>674</v>
      </c>
      <c r="BM20" s="1" t="s">
        <v>628</v>
      </c>
      <c r="BN20" s="1" t="s">
        <v>533</v>
      </c>
      <c r="BO20" s="1" t="s">
        <v>490</v>
      </c>
      <c r="BP20" s="1" t="s">
        <v>632</v>
      </c>
      <c r="BQ20" s="1" t="s">
        <v>687</v>
      </c>
      <c r="BR20" s="1" t="s">
        <v>576</v>
      </c>
      <c r="BS20" s="1" t="s">
        <v>688</v>
      </c>
      <c r="BT20" s="1"/>
      <c r="BU20" s="1"/>
      <c r="BV20" s="1"/>
      <c r="BW20" s="1"/>
      <c r="BX20" s="1"/>
      <c r="BY20" s="1" t="s">
        <v>558</v>
      </c>
      <c r="BZ20" s="1" t="s">
        <v>301</v>
      </c>
      <c r="CA20" s="1" t="s">
        <v>335</v>
      </c>
      <c r="CB20" s="1" t="s">
        <v>689</v>
      </c>
      <c r="CC20" s="1" t="s">
        <v>671</v>
      </c>
    </row>
    <row r="21" spans="1:81" x14ac:dyDescent="0.25">
      <c r="A21" s="1">
        <v>1610612748</v>
      </c>
      <c r="B21" s="1" t="s">
        <v>48</v>
      </c>
      <c r="C21" s="1" t="s">
        <v>219</v>
      </c>
      <c r="D21" s="1" t="s">
        <v>690</v>
      </c>
      <c r="E21" s="1" t="s">
        <v>691</v>
      </c>
      <c r="F21" s="1" t="s">
        <v>267</v>
      </c>
      <c r="G21" s="1" t="s">
        <v>692</v>
      </c>
      <c r="H21" s="1">
        <v>10</v>
      </c>
      <c r="I21" s="1" t="s">
        <v>637</v>
      </c>
      <c r="J21" s="1" t="s">
        <v>565</v>
      </c>
      <c r="K21" s="1" t="s">
        <v>693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638</v>
      </c>
      <c r="R21" s="1" t="s">
        <v>474</v>
      </c>
      <c r="S21" s="1" t="s">
        <v>345</v>
      </c>
      <c r="T21" s="1" t="s">
        <v>346</v>
      </c>
      <c r="U21" s="1" t="s">
        <v>402</v>
      </c>
      <c r="V21" s="1" t="s">
        <v>274</v>
      </c>
      <c r="W21" s="1" t="s">
        <v>285</v>
      </c>
      <c r="X21" s="1" t="s">
        <v>601</v>
      </c>
      <c r="Y21" s="1" t="s">
        <v>694</v>
      </c>
      <c r="Z21" s="1">
        <v>-6</v>
      </c>
      <c r="AA21" s="1" t="s">
        <v>406</v>
      </c>
      <c r="AB21" s="1">
        <v>4</v>
      </c>
      <c r="AC21" s="1" t="s">
        <v>454</v>
      </c>
      <c r="AD21" s="1">
        <v>5</v>
      </c>
      <c r="AE21" s="1">
        <v>4</v>
      </c>
      <c r="AF21" s="1">
        <v>1</v>
      </c>
      <c r="AG21" s="1" t="s">
        <v>317</v>
      </c>
      <c r="AH21" s="1">
        <v>-4</v>
      </c>
      <c r="AI21" s="1" t="s">
        <v>545</v>
      </c>
      <c r="AJ21" s="1">
        <v>-1</v>
      </c>
      <c r="AK21" s="1" t="s">
        <v>238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477</v>
      </c>
      <c r="AT21" s="1" t="s">
        <v>695</v>
      </c>
      <c r="AU21" s="1" t="s">
        <v>696</v>
      </c>
      <c r="AV21" s="1" t="s">
        <v>697</v>
      </c>
      <c r="AW21" s="1" t="s">
        <v>698</v>
      </c>
      <c r="AX21" s="1" t="s">
        <v>409</v>
      </c>
      <c r="AY21" s="1" t="s">
        <v>699</v>
      </c>
      <c r="AZ21" s="1" t="s">
        <v>700</v>
      </c>
      <c r="BA21" s="1" t="s">
        <v>701</v>
      </c>
      <c r="BB21" s="1" t="s">
        <v>702</v>
      </c>
      <c r="BC21" s="1" t="s">
        <v>703</v>
      </c>
      <c r="BD21" s="1" t="s">
        <v>704</v>
      </c>
      <c r="BE21" s="1">
        <v>105.7</v>
      </c>
      <c r="BF21" s="1">
        <v>105.9</v>
      </c>
      <c r="BG21" s="1">
        <v>-0.2</v>
      </c>
      <c r="BH21" s="1" t="s">
        <v>692</v>
      </c>
      <c r="BI21" s="1" t="s">
        <v>628</v>
      </c>
      <c r="BJ21" s="1" t="s">
        <v>490</v>
      </c>
      <c r="BK21" s="1" t="s">
        <v>515</v>
      </c>
      <c r="BL21" s="1" t="s">
        <v>705</v>
      </c>
      <c r="BM21" s="1" t="s">
        <v>465</v>
      </c>
      <c r="BN21" s="1" t="s">
        <v>594</v>
      </c>
      <c r="BO21" s="1" t="s">
        <v>419</v>
      </c>
      <c r="BP21" s="1" t="s">
        <v>261</v>
      </c>
      <c r="BQ21" s="1" t="s">
        <v>706</v>
      </c>
      <c r="BR21" s="1" t="s">
        <v>389</v>
      </c>
      <c r="BS21" s="1" t="s">
        <v>445</v>
      </c>
      <c r="BT21" s="1"/>
      <c r="BU21" s="1"/>
      <c r="BV21" s="1"/>
      <c r="BW21" s="1"/>
      <c r="BX21" s="1"/>
      <c r="BY21" s="1" t="s">
        <v>707</v>
      </c>
      <c r="BZ21" s="1" t="s">
        <v>61</v>
      </c>
      <c r="CA21" s="1" t="s">
        <v>258</v>
      </c>
      <c r="CB21" s="1" t="s">
        <v>613</v>
      </c>
      <c r="CC21" s="1" t="s">
        <v>708</v>
      </c>
    </row>
    <row r="22" spans="1:81" x14ac:dyDescent="0.25">
      <c r="A22" s="1">
        <v>1610612764</v>
      </c>
      <c r="B22" s="1" t="s">
        <v>48</v>
      </c>
      <c r="C22" s="1" t="s">
        <v>219</v>
      </c>
      <c r="D22" s="1" t="s">
        <v>63</v>
      </c>
      <c r="E22" s="1" t="s">
        <v>709</v>
      </c>
      <c r="F22" s="1" t="s">
        <v>267</v>
      </c>
      <c r="G22" s="1" t="s">
        <v>710</v>
      </c>
      <c r="H22" s="1">
        <v>11</v>
      </c>
      <c r="I22" s="1" t="s">
        <v>637</v>
      </c>
      <c r="J22" s="1" t="s">
        <v>565</v>
      </c>
      <c r="K22" s="1" t="s">
        <v>693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711</v>
      </c>
      <c r="R22" s="1" t="s">
        <v>429</v>
      </c>
      <c r="S22" s="1" t="s">
        <v>571</v>
      </c>
      <c r="T22" s="1" t="s">
        <v>475</v>
      </c>
      <c r="U22" s="1" t="s">
        <v>657</v>
      </c>
      <c r="V22" s="1" t="s">
        <v>657</v>
      </c>
      <c r="W22" s="1" t="s">
        <v>712</v>
      </c>
      <c r="X22" s="1" t="s">
        <v>276</v>
      </c>
      <c r="Y22" s="1" t="s">
        <v>713</v>
      </c>
      <c r="Z22" s="1">
        <v>-6</v>
      </c>
      <c r="AA22" s="1" t="s">
        <v>406</v>
      </c>
      <c r="AB22" s="1">
        <v>-8</v>
      </c>
      <c r="AC22" s="1" t="s">
        <v>714</v>
      </c>
      <c r="AD22" s="1">
        <v>3</v>
      </c>
      <c r="AE22" s="1">
        <v>5</v>
      </c>
      <c r="AF22" s="1">
        <v>-6</v>
      </c>
      <c r="AG22" s="1" t="s">
        <v>406</v>
      </c>
      <c r="AH22" s="1">
        <v>-1</v>
      </c>
      <c r="AI22" s="1" t="s">
        <v>238</v>
      </c>
      <c r="AJ22" s="1">
        <v>-4</v>
      </c>
      <c r="AK22" s="1" t="s">
        <v>545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715</v>
      </c>
      <c r="AT22" s="1" t="s">
        <v>716</v>
      </c>
      <c r="AU22" s="1" t="s">
        <v>617</v>
      </c>
      <c r="AV22" s="1" t="s">
        <v>717</v>
      </c>
      <c r="AW22" s="1" t="s">
        <v>718</v>
      </c>
      <c r="AX22" s="1" t="s">
        <v>438</v>
      </c>
      <c r="AY22" s="1" t="s">
        <v>719</v>
      </c>
      <c r="AZ22" s="1" t="s">
        <v>720</v>
      </c>
      <c r="BA22" s="1" t="s">
        <v>721</v>
      </c>
      <c r="BB22" s="1" t="s">
        <v>722</v>
      </c>
      <c r="BC22" s="1" t="s">
        <v>723</v>
      </c>
      <c r="BD22" s="1" t="s">
        <v>692</v>
      </c>
      <c r="BE22" s="1">
        <v>114</v>
      </c>
      <c r="BF22" s="1">
        <v>116.9</v>
      </c>
      <c r="BG22" s="1">
        <v>-2.9</v>
      </c>
      <c r="BH22" s="1" t="s">
        <v>710</v>
      </c>
      <c r="BI22" s="1" t="s">
        <v>724</v>
      </c>
      <c r="BJ22" s="1" t="s">
        <v>724</v>
      </c>
      <c r="BK22" s="1" t="s">
        <v>515</v>
      </c>
      <c r="BL22" s="1" t="s">
        <v>556</v>
      </c>
      <c r="BM22" s="1" t="s">
        <v>465</v>
      </c>
      <c r="BN22" s="1" t="s">
        <v>466</v>
      </c>
      <c r="BO22" s="1" t="s">
        <v>465</v>
      </c>
      <c r="BP22" s="1" t="s">
        <v>300</v>
      </c>
      <c r="BQ22" s="1" t="s">
        <v>594</v>
      </c>
      <c r="BR22" s="1" t="s">
        <v>725</v>
      </c>
      <c r="BS22" s="1" t="s">
        <v>726</v>
      </c>
      <c r="BT22" s="1"/>
      <c r="BU22" s="1"/>
      <c r="BV22" s="1"/>
      <c r="BW22" s="1"/>
      <c r="BX22" s="1"/>
      <c r="BY22" s="1" t="s">
        <v>727</v>
      </c>
      <c r="BZ22" s="1" t="s">
        <v>468</v>
      </c>
      <c r="CA22" s="1" t="s">
        <v>632</v>
      </c>
      <c r="CB22" s="1" t="s">
        <v>728</v>
      </c>
      <c r="CC22" s="1" t="s">
        <v>729</v>
      </c>
    </row>
    <row r="23" spans="1:81" x14ac:dyDescent="0.25">
      <c r="A23" s="1">
        <v>1610612750</v>
      </c>
      <c r="B23" s="1" t="s">
        <v>48</v>
      </c>
      <c r="C23" s="1" t="s">
        <v>219</v>
      </c>
      <c r="D23" s="1" t="s">
        <v>730</v>
      </c>
      <c r="E23" s="1" t="s">
        <v>731</v>
      </c>
      <c r="F23" s="1" t="s">
        <v>222</v>
      </c>
      <c r="G23" s="1" t="s">
        <v>732</v>
      </c>
      <c r="H23" s="1">
        <v>11</v>
      </c>
      <c r="I23" s="1" t="s">
        <v>637</v>
      </c>
      <c r="J23" s="1" t="s">
        <v>342</v>
      </c>
      <c r="K23" s="1" t="s">
        <v>733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734</v>
      </c>
      <c r="R23" s="1" t="s">
        <v>566</v>
      </c>
      <c r="S23" s="1" t="s">
        <v>735</v>
      </c>
      <c r="T23" s="1" t="s">
        <v>346</v>
      </c>
      <c r="U23" s="1" t="s">
        <v>346</v>
      </c>
      <c r="V23" s="1" t="s">
        <v>475</v>
      </c>
      <c r="W23" s="1" t="s">
        <v>736</v>
      </c>
      <c r="X23" s="1" t="s">
        <v>737</v>
      </c>
      <c r="Y23" s="1" t="s">
        <v>474</v>
      </c>
      <c r="Z23" s="1">
        <v>6</v>
      </c>
      <c r="AA23" s="1" t="s">
        <v>235</v>
      </c>
      <c r="AB23" s="1">
        <v>-9</v>
      </c>
      <c r="AC23" s="1" t="s">
        <v>738</v>
      </c>
      <c r="AD23" s="1">
        <v>4</v>
      </c>
      <c r="AE23" s="1">
        <v>5</v>
      </c>
      <c r="AF23" s="1">
        <v>-2</v>
      </c>
      <c r="AG23" s="1" t="s">
        <v>479</v>
      </c>
      <c r="AH23" s="1">
        <v>-1</v>
      </c>
      <c r="AI23" s="1" t="s">
        <v>238</v>
      </c>
      <c r="AJ23" s="1">
        <v>-3</v>
      </c>
      <c r="AK23" s="1" t="s">
        <v>350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739</v>
      </c>
      <c r="AT23" s="1" t="s">
        <v>740</v>
      </c>
      <c r="AU23" s="1" t="s">
        <v>736</v>
      </c>
      <c r="AV23" s="1" t="s">
        <v>741</v>
      </c>
      <c r="AW23" s="1" t="s">
        <v>742</v>
      </c>
      <c r="AX23" s="1" t="s">
        <v>409</v>
      </c>
      <c r="AY23" s="1" t="s">
        <v>743</v>
      </c>
      <c r="AZ23" s="1" t="s">
        <v>744</v>
      </c>
      <c r="BA23" s="1" t="s">
        <v>745</v>
      </c>
      <c r="BB23" s="1" t="s">
        <v>746</v>
      </c>
      <c r="BC23" s="1" t="s">
        <v>747</v>
      </c>
      <c r="BD23" s="1" t="s">
        <v>748</v>
      </c>
      <c r="BE23" s="1">
        <v>112.5</v>
      </c>
      <c r="BF23" s="1">
        <v>114</v>
      </c>
      <c r="BG23" s="1">
        <v>-1.5</v>
      </c>
      <c r="BH23" s="1" t="s">
        <v>464</v>
      </c>
      <c r="BI23" s="1" t="s">
        <v>465</v>
      </c>
      <c r="BJ23" s="1" t="s">
        <v>466</v>
      </c>
      <c r="BK23" s="1" t="s">
        <v>466</v>
      </c>
      <c r="BL23" s="1" t="s">
        <v>732</v>
      </c>
      <c r="BM23" s="1" t="s">
        <v>576</v>
      </c>
      <c r="BN23" s="1" t="s">
        <v>490</v>
      </c>
      <c r="BO23" s="1" t="s">
        <v>444</v>
      </c>
      <c r="BP23" s="1" t="s">
        <v>300</v>
      </c>
      <c r="BQ23" s="1" t="s">
        <v>650</v>
      </c>
      <c r="BR23" s="1" t="s">
        <v>61</v>
      </c>
      <c r="BS23" s="1" t="s">
        <v>390</v>
      </c>
      <c r="BT23" s="1"/>
      <c r="BU23" s="1"/>
      <c r="BV23" s="1"/>
      <c r="BW23" s="1"/>
      <c r="BX23" s="1"/>
      <c r="BY23" s="1" t="s">
        <v>391</v>
      </c>
      <c r="BZ23" s="1" t="s">
        <v>261</v>
      </c>
      <c r="CA23" s="1" t="s">
        <v>632</v>
      </c>
      <c r="CB23" s="1" t="s">
        <v>651</v>
      </c>
      <c r="CC23" s="1" t="s">
        <v>671</v>
      </c>
    </row>
    <row r="24" spans="1:81" x14ac:dyDescent="0.25">
      <c r="A24" s="1">
        <v>1610612763</v>
      </c>
      <c r="B24" s="1" t="s">
        <v>48</v>
      </c>
      <c r="C24" s="1" t="s">
        <v>219</v>
      </c>
      <c r="D24" s="1" t="s">
        <v>749</v>
      </c>
      <c r="E24" s="1" t="s">
        <v>750</v>
      </c>
      <c r="F24" s="1" t="s">
        <v>222</v>
      </c>
      <c r="G24" s="1" t="s">
        <v>751</v>
      </c>
      <c r="H24" s="1">
        <v>12</v>
      </c>
      <c r="I24" s="1" t="s">
        <v>637</v>
      </c>
      <c r="J24" s="1" t="s">
        <v>427</v>
      </c>
      <c r="K24" s="1" t="s">
        <v>372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752</v>
      </c>
      <c r="R24" s="1" t="s">
        <v>400</v>
      </c>
      <c r="S24" s="1" t="s">
        <v>753</v>
      </c>
      <c r="T24" s="1" t="s">
        <v>346</v>
      </c>
      <c r="U24" s="1" t="s">
        <v>402</v>
      </c>
      <c r="V24" s="1" t="s">
        <v>657</v>
      </c>
      <c r="W24" s="1" t="s">
        <v>712</v>
      </c>
      <c r="X24" s="1" t="s">
        <v>601</v>
      </c>
      <c r="Y24" s="1" t="s">
        <v>754</v>
      </c>
      <c r="Z24" s="1">
        <v>5</v>
      </c>
      <c r="AA24" s="1" t="s">
        <v>237</v>
      </c>
      <c r="AB24" s="1">
        <v>-9</v>
      </c>
      <c r="AC24" s="1" t="s">
        <v>738</v>
      </c>
      <c r="AD24" s="1">
        <v>5</v>
      </c>
      <c r="AE24" s="1">
        <v>8</v>
      </c>
      <c r="AF24" s="1">
        <v>1</v>
      </c>
      <c r="AG24" s="1" t="s">
        <v>317</v>
      </c>
      <c r="AH24" s="1">
        <v>-1</v>
      </c>
      <c r="AI24" s="1" t="s">
        <v>238</v>
      </c>
      <c r="AJ24" s="1">
        <v>1</v>
      </c>
      <c r="AK24" s="1" t="s">
        <v>317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755</v>
      </c>
      <c r="AT24" s="1" t="s">
        <v>756</v>
      </c>
      <c r="AU24" s="1" t="s">
        <v>640</v>
      </c>
      <c r="AV24" s="1" t="s">
        <v>757</v>
      </c>
      <c r="AW24" s="1" t="s">
        <v>758</v>
      </c>
      <c r="AX24" s="1" t="s">
        <v>584</v>
      </c>
      <c r="AY24" s="1" t="s">
        <v>461</v>
      </c>
      <c r="AZ24" s="1" t="s">
        <v>759</v>
      </c>
      <c r="BA24" s="1" t="s">
        <v>701</v>
      </c>
      <c r="BB24" s="1" t="s">
        <v>760</v>
      </c>
      <c r="BC24" s="1" t="s">
        <v>761</v>
      </c>
      <c r="BD24" s="1" t="s">
        <v>762</v>
      </c>
      <c r="BE24" s="1">
        <v>103.5</v>
      </c>
      <c r="BF24" s="1">
        <v>106.1</v>
      </c>
      <c r="BG24" s="1">
        <v>-2.6</v>
      </c>
      <c r="BH24" s="1" t="s">
        <v>763</v>
      </c>
      <c r="BI24" s="1" t="s">
        <v>594</v>
      </c>
      <c r="BJ24" s="1" t="s">
        <v>594</v>
      </c>
      <c r="BK24" s="1" t="s">
        <v>594</v>
      </c>
      <c r="BL24" s="1" t="s">
        <v>751</v>
      </c>
      <c r="BM24" s="1" t="s">
        <v>490</v>
      </c>
      <c r="BN24" s="1" t="s">
        <v>628</v>
      </c>
      <c r="BO24" s="1" t="s">
        <v>387</v>
      </c>
      <c r="BP24" s="1" t="s">
        <v>764</v>
      </c>
      <c r="BQ24" s="1" t="s">
        <v>650</v>
      </c>
      <c r="BR24" s="1" t="s">
        <v>261</v>
      </c>
      <c r="BS24" s="1" t="s">
        <v>688</v>
      </c>
      <c r="BT24" s="1"/>
      <c r="BU24" s="1"/>
      <c r="BV24" s="1"/>
      <c r="BW24" s="1"/>
      <c r="BX24" s="1"/>
      <c r="BY24" s="1" t="s">
        <v>513</v>
      </c>
      <c r="BZ24" s="1" t="s">
        <v>332</v>
      </c>
      <c r="CA24" s="1" t="s">
        <v>559</v>
      </c>
      <c r="CB24" s="1" t="s">
        <v>765</v>
      </c>
      <c r="CC24" s="1" t="s">
        <v>766</v>
      </c>
    </row>
    <row r="25" spans="1:81" x14ac:dyDescent="0.25">
      <c r="A25" s="1">
        <v>1610612737</v>
      </c>
      <c r="B25" s="1" t="s">
        <v>48</v>
      </c>
      <c r="C25" s="1" t="s">
        <v>219</v>
      </c>
      <c r="D25" s="1" t="s">
        <v>767</v>
      </c>
      <c r="E25" s="1" t="s">
        <v>768</v>
      </c>
      <c r="F25" s="1" t="s">
        <v>267</v>
      </c>
      <c r="G25" s="1" t="s">
        <v>769</v>
      </c>
      <c r="H25" s="1">
        <v>12</v>
      </c>
      <c r="I25" s="1" t="s">
        <v>637</v>
      </c>
      <c r="J25" s="1" t="s">
        <v>565</v>
      </c>
      <c r="K25" s="1" t="s">
        <v>398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770</v>
      </c>
      <c r="R25" s="1" t="s">
        <v>567</v>
      </c>
      <c r="S25" s="1" t="s">
        <v>753</v>
      </c>
      <c r="T25" s="1" t="s">
        <v>274</v>
      </c>
      <c r="U25" s="1" t="s">
        <v>402</v>
      </c>
      <c r="V25" s="1" t="s">
        <v>657</v>
      </c>
      <c r="W25" s="1" t="s">
        <v>584</v>
      </c>
      <c r="X25" s="1" t="s">
        <v>771</v>
      </c>
      <c r="Y25" s="1" t="s">
        <v>772</v>
      </c>
      <c r="Z25" s="1">
        <v>-5</v>
      </c>
      <c r="AA25" s="1" t="s">
        <v>378</v>
      </c>
      <c r="AB25" s="1">
        <v>-7</v>
      </c>
      <c r="AC25" s="1" t="s">
        <v>773</v>
      </c>
      <c r="AD25" s="1">
        <v>3</v>
      </c>
      <c r="AE25" s="1">
        <v>10</v>
      </c>
      <c r="AF25" s="1">
        <v>-1</v>
      </c>
      <c r="AG25" s="1" t="s">
        <v>238</v>
      </c>
      <c r="AH25" s="1">
        <v>-3</v>
      </c>
      <c r="AI25" s="1" t="s">
        <v>350</v>
      </c>
      <c r="AJ25" s="1">
        <v>-3</v>
      </c>
      <c r="AK25" s="1" t="s">
        <v>350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774</v>
      </c>
      <c r="AT25" s="1" t="s">
        <v>642</v>
      </c>
      <c r="AU25" s="1" t="s">
        <v>775</v>
      </c>
      <c r="AV25" s="1" t="s">
        <v>386</v>
      </c>
      <c r="AW25" s="1" t="s">
        <v>776</v>
      </c>
      <c r="AX25" s="1" t="s">
        <v>584</v>
      </c>
      <c r="AY25" s="1" t="s">
        <v>777</v>
      </c>
      <c r="AZ25" s="1" t="s">
        <v>778</v>
      </c>
      <c r="BA25" s="1" t="s">
        <v>779</v>
      </c>
      <c r="BB25" s="1" t="s">
        <v>555</v>
      </c>
      <c r="BC25" s="1" t="s">
        <v>780</v>
      </c>
      <c r="BD25" s="1" t="s">
        <v>781</v>
      </c>
      <c r="BE25" s="1">
        <v>113.3</v>
      </c>
      <c r="BF25" s="1">
        <v>119.4</v>
      </c>
      <c r="BG25" s="1">
        <v>-6</v>
      </c>
      <c r="BH25" s="1" t="s">
        <v>769</v>
      </c>
      <c r="BI25" s="1" t="s">
        <v>782</v>
      </c>
      <c r="BJ25" s="1" t="s">
        <v>724</v>
      </c>
      <c r="BK25" s="1" t="s">
        <v>71</v>
      </c>
      <c r="BL25" s="1" t="s">
        <v>556</v>
      </c>
      <c r="BM25" s="1" t="s">
        <v>466</v>
      </c>
      <c r="BN25" s="1" t="s">
        <v>465</v>
      </c>
      <c r="BO25" s="1" t="s">
        <v>465</v>
      </c>
      <c r="BP25" s="1" t="s">
        <v>61</v>
      </c>
      <c r="BQ25" s="1" t="s">
        <v>783</v>
      </c>
      <c r="BR25" s="1" t="s">
        <v>468</v>
      </c>
      <c r="BS25" s="1" t="s">
        <v>669</v>
      </c>
      <c r="BT25" s="1"/>
      <c r="BU25" s="1"/>
      <c r="BV25" s="1"/>
      <c r="BW25" s="1"/>
      <c r="BX25" s="1"/>
      <c r="BY25" s="1" t="s">
        <v>578</v>
      </c>
      <c r="BZ25" s="1" t="s">
        <v>784</v>
      </c>
      <c r="CA25" s="1" t="s">
        <v>66</v>
      </c>
      <c r="CB25" s="1" t="s">
        <v>785</v>
      </c>
      <c r="CC25" s="1" t="s">
        <v>497</v>
      </c>
    </row>
    <row r="26" spans="1:81" x14ac:dyDescent="0.25">
      <c r="A26" s="1" t="s">
        <v>1602</v>
      </c>
      <c r="B26" s="1" t="s">
        <v>48</v>
      </c>
      <c r="C26" s="1" t="s">
        <v>219</v>
      </c>
      <c r="D26" s="1" t="s">
        <v>786</v>
      </c>
      <c r="E26" s="1" t="s">
        <v>787</v>
      </c>
      <c r="F26" s="1" t="s">
        <v>222</v>
      </c>
      <c r="G26" s="1" t="s">
        <v>692</v>
      </c>
      <c r="H26" s="1">
        <v>13</v>
      </c>
      <c r="I26" s="1" t="s">
        <v>637</v>
      </c>
      <c r="J26" s="1" t="s">
        <v>427</v>
      </c>
      <c r="K26" s="1" t="s">
        <v>372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752</v>
      </c>
      <c r="R26" s="1" t="s">
        <v>474</v>
      </c>
      <c r="S26" s="1" t="s">
        <v>639</v>
      </c>
      <c r="T26" s="1" t="s">
        <v>657</v>
      </c>
      <c r="U26" s="1" t="s">
        <v>788</v>
      </c>
      <c r="V26" s="1" t="s">
        <v>274</v>
      </c>
      <c r="W26" s="1" t="s">
        <v>438</v>
      </c>
      <c r="X26" s="1" t="s">
        <v>346</v>
      </c>
      <c r="Y26" s="1" t="s">
        <v>789</v>
      </c>
      <c r="Z26" s="1">
        <v>-8</v>
      </c>
      <c r="AA26" s="1" t="s">
        <v>714</v>
      </c>
      <c r="AB26" s="1">
        <v>-6</v>
      </c>
      <c r="AC26" s="1" t="s">
        <v>406</v>
      </c>
      <c r="AD26" s="1">
        <v>4</v>
      </c>
      <c r="AE26" s="1">
        <v>6</v>
      </c>
      <c r="AF26" s="1">
        <v>-3</v>
      </c>
      <c r="AG26" s="1" t="s">
        <v>350</v>
      </c>
      <c r="AH26" s="1">
        <v>1</v>
      </c>
      <c r="AI26" s="1" t="s">
        <v>317</v>
      </c>
      <c r="AJ26" s="1">
        <v>-1</v>
      </c>
      <c r="AK26" s="1" t="s">
        <v>238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790</v>
      </c>
      <c r="AT26" s="1" t="s">
        <v>791</v>
      </c>
      <c r="AU26" s="1" t="s">
        <v>438</v>
      </c>
      <c r="AV26" s="1" t="s">
        <v>792</v>
      </c>
      <c r="AW26" s="1" t="s">
        <v>793</v>
      </c>
      <c r="AX26" s="1" t="s">
        <v>285</v>
      </c>
      <c r="AY26" s="1" t="s">
        <v>794</v>
      </c>
      <c r="AZ26" s="1" t="s">
        <v>795</v>
      </c>
      <c r="BA26" s="1" t="s">
        <v>796</v>
      </c>
      <c r="BB26" s="1" t="s">
        <v>797</v>
      </c>
      <c r="BC26" s="1" t="s">
        <v>798</v>
      </c>
      <c r="BD26" s="1" t="s">
        <v>799</v>
      </c>
      <c r="BE26" s="1">
        <v>115.4</v>
      </c>
      <c r="BF26" s="1">
        <v>116.8</v>
      </c>
      <c r="BG26" s="1">
        <v>-1.3</v>
      </c>
      <c r="BH26" s="1" t="s">
        <v>649</v>
      </c>
      <c r="BI26" s="1" t="s">
        <v>594</v>
      </c>
      <c r="BJ26" s="1" t="s">
        <v>466</v>
      </c>
      <c r="BK26" s="1" t="s">
        <v>557</v>
      </c>
      <c r="BL26" s="1" t="s">
        <v>692</v>
      </c>
      <c r="BM26" s="1" t="s">
        <v>628</v>
      </c>
      <c r="BN26" s="1" t="s">
        <v>444</v>
      </c>
      <c r="BO26" s="1" t="s">
        <v>387</v>
      </c>
      <c r="BP26" s="1" t="s">
        <v>68</v>
      </c>
      <c r="BQ26" s="1" t="s">
        <v>650</v>
      </c>
      <c r="BR26" s="1" t="s">
        <v>559</v>
      </c>
      <c r="BS26" s="1" t="s">
        <v>630</v>
      </c>
      <c r="BT26" s="1"/>
      <c r="BU26" s="1"/>
      <c r="BV26" s="1"/>
      <c r="BW26" s="1"/>
      <c r="BX26" s="1"/>
      <c r="BY26" s="1" t="s">
        <v>514</v>
      </c>
      <c r="BZ26" s="1" t="s">
        <v>515</v>
      </c>
      <c r="CA26" s="1" t="s">
        <v>632</v>
      </c>
      <c r="CB26" s="1" t="s">
        <v>800</v>
      </c>
      <c r="CC26" s="1" t="s">
        <v>801</v>
      </c>
    </row>
    <row r="27" spans="1:81" x14ac:dyDescent="0.25">
      <c r="A27" s="1">
        <v>1610612741</v>
      </c>
      <c r="B27" s="1" t="s">
        <v>48</v>
      </c>
      <c r="C27" s="1" t="s">
        <v>219</v>
      </c>
      <c r="D27" s="1" t="s">
        <v>802</v>
      </c>
      <c r="E27" s="1" t="s">
        <v>803</v>
      </c>
      <c r="F27" s="1" t="s">
        <v>267</v>
      </c>
      <c r="G27" s="1" t="s">
        <v>769</v>
      </c>
      <c r="H27" s="1">
        <v>13</v>
      </c>
      <c r="I27" s="1" t="s">
        <v>637</v>
      </c>
      <c r="J27" s="1" t="s">
        <v>270</v>
      </c>
      <c r="K27" s="1" t="s">
        <v>804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805</v>
      </c>
      <c r="R27" s="1" t="s">
        <v>642</v>
      </c>
      <c r="S27" s="1" t="s">
        <v>806</v>
      </c>
      <c r="T27" s="1" t="s">
        <v>475</v>
      </c>
      <c r="U27" s="1" t="s">
        <v>475</v>
      </c>
      <c r="V27" s="1" t="s">
        <v>657</v>
      </c>
      <c r="W27" s="1" t="s">
        <v>381</v>
      </c>
      <c r="X27" s="1" t="s">
        <v>372</v>
      </c>
      <c r="Y27" s="1" t="s">
        <v>807</v>
      </c>
      <c r="Z27" s="1">
        <v>-11</v>
      </c>
      <c r="AA27" s="1" t="s">
        <v>808</v>
      </c>
      <c r="AB27" s="1">
        <v>-9</v>
      </c>
      <c r="AC27" s="1" t="s">
        <v>738</v>
      </c>
      <c r="AD27" s="1">
        <v>3</v>
      </c>
      <c r="AE27" s="1">
        <v>10</v>
      </c>
      <c r="AF27" s="1">
        <v>-5</v>
      </c>
      <c r="AG27" s="1" t="s">
        <v>378</v>
      </c>
      <c r="AH27" s="1">
        <v>-1</v>
      </c>
      <c r="AI27" s="1" t="s">
        <v>238</v>
      </c>
      <c r="AJ27" s="1">
        <v>-3</v>
      </c>
      <c r="AK27" s="1" t="s">
        <v>350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809</v>
      </c>
      <c r="AT27" s="1" t="s">
        <v>810</v>
      </c>
      <c r="AU27" s="1" t="s">
        <v>617</v>
      </c>
      <c r="AV27" s="1" t="s">
        <v>811</v>
      </c>
      <c r="AW27" s="1" t="s">
        <v>812</v>
      </c>
      <c r="AX27" s="1" t="s">
        <v>458</v>
      </c>
      <c r="AY27" s="1" t="s">
        <v>813</v>
      </c>
      <c r="AZ27" s="1" t="s">
        <v>814</v>
      </c>
      <c r="BA27" s="1" t="s">
        <v>815</v>
      </c>
      <c r="BB27" s="1" t="s">
        <v>816</v>
      </c>
      <c r="BC27" s="1" t="s">
        <v>394</v>
      </c>
      <c r="BD27" s="1" t="s">
        <v>817</v>
      </c>
      <c r="BE27" s="1">
        <v>104.9</v>
      </c>
      <c r="BF27" s="1">
        <v>113.4</v>
      </c>
      <c r="BG27" s="1">
        <v>-8.4</v>
      </c>
      <c r="BH27" s="1" t="s">
        <v>769</v>
      </c>
      <c r="BI27" s="1" t="s">
        <v>782</v>
      </c>
      <c r="BJ27" s="1" t="s">
        <v>784</v>
      </c>
      <c r="BK27" s="1" t="s">
        <v>490</v>
      </c>
      <c r="BL27" s="1" t="s">
        <v>818</v>
      </c>
      <c r="BM27" s="1" t="s">
        <v>686</v>
      </c>
      <c r="BN27" s="1" t="s">
        <v>557</v>
      </c>
      <c r="BO27" s="1" t="s">
        <v>594</v>
      </c>
      <c r="BP27" s="1" t="s">
        <v>819</v>
      </c>
      <c r="BQ27" s="1" t="s">
        <v>466</v>
      </c>
      <c r="BR27" s="1" t="s">
        <v>612</v>
      </c>
      <c r="BS27" s="1" t="s">
        <v>669</v>
      </c>
      <c r="BT27" s="1"/>
      <c r="BU27" s="1"/>
      <c r="BV27" s="1"/>
      <c r="BW27" s="1"/>
      <c r="BX27" s="1"/>
      <c r="BY27" s="1" t="s">
        <v>820</v>
      </c>
      <c r="BZ27" s="1" t="s">
        <v>821</v>
      </c>
      <c r="CA27" s="1" t="s">
        <v>61</v>
      </c>
      <c r="CB27" s="1" t="s">
        <v>822</v>
      </c>
      <c r="CC27" s="1" t="s">
        <v>729</v>
      </c>
    </row>
    <row r="28" spans="1:81" x14ac:dyDescent="0.25">
      <c r="A28" s="1">
        <v>1610612739</v>
      </c>
      <c r="B28" s="1" t="s">
        <v>48</v>
      </c>
      <c r="C28" s="1" t="s">
        <v>219</v>
      </c>
      <c r="D28" s="1" t="s">
        <v>823</v>
      </c>
      <c r="E28" s="1" t="s">
        <v>824</v>
      </c>
      <c r="F28" s="1" t="s">
        <v>267</v>
      </c>
      <c r="G28" s="1" t="s">
        <v>825</v>
      </c>
      <c r="H28" s="1">
        <v>14</v>
      </c>
      <c r="I28" s="1" t="s">
        <v>637</v>
      </c>
      <c r="J28" s="1" t="s">
        <v>270</v>
      </c>
      <c r="K28" s="1" t="s">
        <v>655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826</v>
      </c>
      <c r="R28" s="1" t="s">
        <v>806</v>
      </c>
      <c r="S28" s="1" t="s">
        <v>827</v>
      </c>
      <c r="T28" s="1" t="s">
        <v>828</v>
      </c>
      <c r="U28" s="1" t="s">
        <v>346</v>
      </c>
      <c r="V28" s="1" t="s">
        <v>828</v>
      </c>
      <c r="W28" s="1" t="s">
        <v>244</v>
      </c>
      <c r="X28" s="1" t="s">
        <v>547</v>
      </c>
      <c r="Y28" s="1" t="s">
        <v>829</v>
      </c>
      <c r="Z28" s="1">
        <v>-9</v>
      </c>
      <c r="AA28" s="1" t="s">
        <v>738</v>
      </c>
      <c r="AB28" s="1">
        <v>-11</v>
      </c>
      <c r="AC28" s="1" t="s">
        <v>808</v>
      </c>
      <c r="AD28" s="1">
        <v>2</v>
      </c>
      <c r="AE28" s="1">
        <v>12</v>
      </c>
      <c r="AF28" s="1">
        <v>-4</v>
      </c>
      <c r="AG28" s="1" t="s">
        <v>545</v>
      </c>
      <c r="AH28" s="1">
        <v>-11</v>
      </c>
      <c r="AI28" s="1" t="s">
        <v>808</v>
      </c>
      <c r="AJ28" s="1">
        <v>-10</v>
      </c>
      <c r="AK28" s="1" t="s">
        <v>478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367</v>
      </c>
      <c r="AT28" s="1" t="s">
        <v>830</v>
      </c>
      <c r="AU28" s="1" t="s">
        <v>831</v>
      </c>
      <c r="AV28" s="1" t="s">
        <v>832</v>
      </c>
      <c r="AW28" s="1" t="s">
        <v>833</v>
      </c>
      <c r="AX28" s="1" t="s">
        <v>381</v>
      </c>
      <c r="AY28" s="1" t="s">
        <v>745</v>
      </c>
      <c r="AZ28" s="1" t="s">
        <v>834</v>
      </c>
      <c r="BA28" s="1" t="s">
        <v>835</v>
      </c>
      <c r="BB28" s="1" t="s">
        <v>836</v>
      </c>
      <c r="BC28" s="1" t="s">
        <v>694</v>
      </c>
      <c r="BD28" s="1" t="s">
        <v>837</v>
      </c>
      <c r="BE28" s="1">
        <v>104.5</v>
      </c>
      <c r="BF28" s="1">
        <v>114.1</v>
      </c>
      <c r="BG28" s="1">
        <v>-9.6</v>
      </c>
      <c r="BH28" s="1" t="s">
        <v>825</v>
      </c>
      <c r="BI28" s="1" t="s">
        <v>724</v>
      </c>
      <c r="BJ28" s="1" t="s">
        <v>668</v>
      </c>
      <c r="BK28" s="1" t="s">
        <v>838</v>
      </c>
      <c r="BL28" s="1" t="s">
        <v>839</v>
      </c>
      <c r="BM28" s="1" t="s">
        <v>840</v>
      </c>
      <c r="BN28" s="1" t="s">
        <v>557</v>
      </c>
      <c r="BO28" s="1" t="s">
        <v>557</v>
      </c>
      <c r="BP28" s="1" t="s">
        <v>821</v>
      </c>
      <c r="BQ28" s="1" t="s">
        <v>465</v>
      </c>
      <c r="BR28" s="1" t="s">
        <v>612</v>
      </c>
      <c r="BS28" s="1" t="s">
        <v>841</v>
      </c>
      <c r="BT28" s="1"/>
      <c r="BU28" s="1"/>
      <c r="BV28" s="1"/>
      <c r="BW28" s="1"/>
      <c r="BX28" s="1"/>
      <c r="BY28" s="1" t="s">
        <v>727</v>
      </c>
      <c r="BZ28" s="1" t="s">
        <v>842</v>
      </c>
      <c r="CA28" s="1" t="s">
        <v>668</v>
      </c>
      <c r="CB28" s="1" t="s">
        <v>843</v>
      </c>
      <c r="CC28" s="1" t="s">
        <v>844</v>
      </c>
    </row>
    <row r="29" spans="1:81" x14ac:dyDescent="0.25">
      <c r="A29" s="1">
        <v>1610612742</v>
      </c>
      <c r="B29" s="1" t="s">
        <v>48</v>
      </c>
      <c r="C29" s="1" t="s">
        <v>219</v>
      </c>
      <c r="D29" s="1" t="s">
        <v>845</v>
      </c>
      <c r="E29" s="1" t="s">
        <v>846</v>
      </c>
      <c r="F29" s="1" t="s">
        <v>222</v>
      </c>
      <c r="G29" s="1" t="s">
        <v>847</v>
      </c>
      <c r="H29" s="1">
        <v>14</v>
      </c>
      <c r="I29" s="1" t="s">
        <v>637</v>
      </c>
      <c r="J29" s="1" t="s">
        <v>427</v>
      </c>
      <c r="K29" s="1" t="s">
        <v>655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752</v>
      </c>
      <c r="R29" s="1" t="s">
        <v>656</v>
      </c>
      <c r="S29" s="1" t="s">
        <v>642</v>
      </c>
      <c r="T29" s="1" t="s">
        <v>274</v>
      </c>
      <c r="U29" s="1" t="s">
        <v>657</v>
      </c>
      <c r="V29" s="1" t="s">
        <v>657</v>
      </c>
      <c r="W29" s="1" t="s">
        <v>275</v>
      </c>
      <c r="X29" s="1" t="s">
        <v>233</v>
      </c>
      <c r="Y29" s="1" t="s">
        <v>848</v>
      </c>
      <c r="Z29" s="1">
        <v>11</v>
      </c>
      <c r="AA29" s="1" t="s">
        <v>236</v>
      </c>
      <c r="AB29" s="1">
        <v>-9</v>
      </c>
      <c r="AC29" s="1" t="s">
        <v>738</v>
      </c>
      <c r="AD29" s="1">
        <v>4</v>
      </c>
      <c r="AE29" s="1">
        <v>7</v>
      </c>
      <c r="AF29" s="1">
        <v>1</v>
      </c>
      <c r="AG29" s="1" t="s">
        <v>317</v>
      </c>
      <c r="AH29" s="1">
        <v>-1</v>
      </c>
      <c r="AI29" s="1" t="s">
        <v>238</v>
      </c>
      <c r="AJ29" s="1">
        <v>-1</v>
      </c>
      <c r="AK29" s="1" t="s">
        <v>238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849</v>
      </c>
      <c r="AT29" s="1" t="s">
        <v>679</v>
      </c>
      <c r="AU29" s="1" t="s">
        <v>409</v>
      </c>
      <c r="AV29" s="1" t="s">
        <v>646</v>
      </c>
      <c r="AW29" s="1" t="s">
        <v>850</v>
      </c>
      <c r="AX29" s="1" t="s">
        <v>285</v>
      </c>
      <c r="AY29" s="1" t="s">
        <v>851</v>
      </c>
      <c r="AZ29" s="1" t="s">
        <v>852</v>
      </c>
      <c r="BA29" s="1" t="s">
        <v>853</v>
      </c>
      <c r="BB29" s="1" t="s">
        <v>854</v>
      </c>
      <c r="BC29" s="1" t="s">
        <v>747</v>
      </c>
      <c r="BD29" s="1" t="s">
        <v>855</v>
      </c>
      <c r="BE29" s="1">
        <v>108.9</v>
      </c>
      <c r="BF29" s="1">
        <v>110.1</v>
      </c>
      <c r="BG29" s="1">
        <v>-1.3</v>
      </c>
      <c r="BH29" s="1" t="s">
        <v>492</v>
      </c>
      <c r="BI29" s="1" t="s">
        <v>465</v>
      </c>
      <c r="BJ29" s="1" t="s">
        <v>55</v>
      </c>
      <c r="BK29" s="1" t="s">
        <v>466</v>
      </c>
      <c r="BL29" s="1" t="s">
        <v>847</v>
      </c>
      <c r="BM29" s="1" t="s">
        <v>444</v>
      </c>
      <c r="BN29" s="1" t="s">
        <v>724</v>
      </c>
      <c r="BO29" s="1" t="s">
        <v>668</v>
      </c>
      <c r="BP29" s="1" t="s">
        <v>632</v>
      </c>
      <c r="BQ29" s="1" t="s">
        <v>465</v>
      </c>
      <c r="BR29" s="1" t="s">
        <v>821</v>
      </c>
      <c r="BS29" s="1" t="s">
        <v>363</v>
      </c>
      <c r="BT29" s="1"/>
      <c r="BU29" s="1"/>
      <c r="BV29" s="1"/>
      <c r="BW29" s="1"/>
      <c r="BX29" s="1"/>
      <c r="BY29" s="1" t="s">
        <v>820</v>
      </c>
      <c r="BZ29" s="1" t="s">
        <v>365</v>
      </c>
      <c r="CA29" s="1" t="s">
        <v>515</v>
      </c>
      <c r="CB29" s="1" t="s">
        <v>856</v>
      </c>
      <c r="CC29" s="1" t="s">
        <v>857</v>
      </c>
    </row>
    <row r="30" spans="1:81" x14ac:dyDescent="0.25">
      <c r="A30" s="1">
        <v>1610612752</v>
      </c>
      <c r="B30" s="1" t="s">
        <v>48</v>
      </c>
      <c r="C30" s="1" t="s">
        <v>219</v>
      </c>
      <c r="D30" s="1" t="s">
        <v>858</v>
      </c>
      <c r="E30" s="1" t="s">
        <v>859</v>
      </c>
      <c r="F30" s="1" t="s">
        <v>267</v>
      </c>
      <c r="G30" s="1" t="s">
        <v>860</v>
      </c>
      <c r="H30" s="1">
        <v>15</v>
      </c>
      <c r="I30" s="1" t="s">
        <v>637</v>
      </c>
      <c r="J30" s="1" t="s">
        <v>308</v>
      </c>
      <c r="K30" s="1" t="s">
        <v>861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862</v>
      </c>
      <c r="R30" s="1" t="s">
        <v>642</v>
      </c>
      <c r="S30" s="1" t="s">
        <v>863</v>
      </c>
      <c r="T30" s="1" t="s">
        <v>657</v>
      </c>
      <c r="U30" s="1" t="s">
        <v>657</v>
      </c>
      <c r="V30" s="1" t="s">
        <v>788</v>
      </c>
      <c r="W30" s="1" t="s">
        <v>409</v>
      </c>
      <c r="X30" s="1" t="s">
        <v>864</v>
      </c>
      <c r="Y30" s="1" t="s">
        <v>865</v>
      </c>
      <c r="Z30" s="1">
        <v>-18</v>
      </c>
      <c r="AA30" s="1" t="s">
        <v>866</v>
      </c>
      <c r="AB30" s="1">
        <v>-9</v>
      </c>
      <c r="AC30" s="1" t="s">
        <v>738</v>
      </c>
      <c r="AD30" s="1">
        <v>3</v>
      </c>
      <c r="AE30" s="1">
        <v>18</v>
      </c>
      <c r="AF30" s="1">
        <v>-1</v>
      </c>
      <c r="AG30" s="1" t="s">
        <v>238</v>
      </c>
      <c r="AH30" s="1">
        <v>1</v>
      </c>
      <c r="AI30" s="1" t="s">
        <v>317</v>
      </c>
      <c r="AJ30" s="1">
        <v>-1</v>
      </c>
      <c r="AK30" s="1" t="s">
        <v>238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867</v>
      </c>
      <c r="AT30" s="1" t="s">
        <v>868</v>
      </c>
      <c r="AU30" s="1" t="s">
        <v>775</v>
      </c>
      <c r="AV30" s="1" t="s">
        <v>376</v>
      </c>
      <c r="AW30" s="1" t="s">
        <v>869</v>
      </c>
      <c r="AX30" s="1" t="s">
        <v>775</v>
      </c>
      <c r="AY30" s="1" t="s">
        <v>870</v>
      </c>
      <c r="AZ30" s="1" t="s">
        <v>871</v>
      </c>
      <c r="BA30" s="1" t="s">
        <v>872</v>
      </c>
      <c r="BB30" s="1" t="s">
        <v>873</v>
      </c>
      <c r="BC30" s="1" t="s">
        <v>874</v>
      </c>
      <c r="BD30" s="1" t="s">
        <v>875</v>
      </c>
      <c r="BE30" s="1">
        <v>104.6</v>
      </c>
      <c r="BF30" s="1">
        <v>113.8</v>
      </c>
      <c r="BG30" s="1">
        <v>-9.1999999999999993</v>
      </c>
      <c r="BH30" s="1" t="s">
        <v>860</v>
      </c>
      <c r="BI30" s="1" t="s">
        <v>764</v>
      </c>
      <c r="BJ30" s="1" t="s">
        <v>876</v>
      </c>
      <c r="BK30" s="1" t="s">
        <v>724</v>
      </c>
      <c r="BL30" s="1" t="s">
        <v>818</v>
      </c>
      <c r="BM30" s="1" t="s">
        <v>840</v>
      </c>
      <c r="BN30" s="1" t="s">
        <v>557</v>
      </c>
      <c r="BO30" s="1" t="s">
        <v>465</v>
      </c>
      <c r="BP30" s="1" t="s">
        <v>877</v>
      </c>
      <c r="BQ30" s="1" t="s">
        <v>706</v>
      </c>
      <c r="BR30" s="1" t="s">
        <v>878</v>
      </c>
      <c r="BS30" s="1" t="s">
        <v>363</v>
      </c>
      <c r="BT30" s="1"/>
      <c r="BU30" s="1"/>
      <c r="BV30" s="1"/>
      <c r="BW30" s="1"/>
      <c r="BX30" s="1"/>
      <c r="BY30" s="1" t="s">
        <v>820</v>
      </c>
      <c r="BZ30" s="1" t="s">
        <v>559</v>
      </c>
      <c r="CA30" s="1" t="s">
        <v>879</v>
      </c>
      <c r="CB30" s="1" t="s">
        <v>880</v>
      </c>
      <c r="CC30" s="1" t="s">
        <v>881</v>
      </c>
    </row>
    <row r="31" spans="1:81" x14ac:dyDescent="0.25">
      <c r="A31" s="1">
        <v>1610612756</v>
      </c>
      <c r="B31" s="1" t="s">
        <v>48</v>
      </c>
      <c r="C31" s="1" t="s">
        <v>219</v>
      </c>
      <c r="D31" s="1" t="s">
        <v>882</v>
      </c>
      <c r="E31" s="1" t="s">
        <v>883</v>
      </c>
      <c r="F31" s="1" t="s">
        <v>222</v>
      </c>
      <c r="G31" s="1" t="s">
        <v>860</v>
      </c>
      <c r="H31" s="1">
        <v>15</v>
      </c>
      <c r="I31" s="1" t="s">
        <v>637</v>
      </c>
      <c r="J31" s="1" t="s">
        <v>225</v>
      </c>
      <c r="K31" s="1" t="s">
        <v>804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826</v>
      </c>
      <c r="R31" s="1" t="s">
        <v>753</v>
      </c>
      <c r="S31" s="1" t="s">
        <v>884</v>
      </c>
      <c r="T31" s="1" t="s">
        <v>475</v>
      </c>
      <c r="U31" s="1" t="s">
        <v>346</v>
      </c>
      <c r="V31" s="1" t="s">
        <v>657</v>
      </c>
      <c r="W31" s="1" t="s">
        <v>736</v>
      </c>
      <c r="X31" s="1" t="s">
        <v>274</v>
      </c>
      <c r="Y31" s="1" t="s">
        <v>850</v>
      </c>
      <c r="Z31" s="1">
        <v>-6</v>
      </c>
      <c r="AA31" s="1" t="s">
        <v>406</v>
      </c>
      <c r="AB31" s="1">
        <v>-13</v>
      </c>
      <c r="AC31" s="1" t="s">
        <v>885</v>
      </c>
      <c r="AD31" s="1">
        <v>4</v>
      </c>
      <c r="AE31" s="1">
        <v>17</v>
      </c>
      <c r="AF31" s="1">
        <v>1</v>
      </c>
      <c r="AG31" s="1" t="s">
        <v>317</v>
      </c>
      <c r="AH31" s="1">
        <v>-4</v>
      </c>
      <c r="AI31" s="1" t="s">
        <v>545</v>
      </c>
      <c r="AJ31" s="1">
        <v>-2</v>
      </c>
      <c r="AK31" s="1" t="s">
        <v>479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886</v>
      </c>
      <c r="AT31" s="1" t="s">
        <v>887</v>
      </c>
      <c r="AU31" s="1" t="s">
        <v>775</v>
      </c>
      <c r="AV31" s="1" t="s">
        <v>888</v>
      </c>
      <c r="AW31" s="1" t="s">
        <v>889</v>
      </c>
      <c r="AX31" s="1" t="s">
        <v>322</v>
      </c>
      <c r="AY31" s="1" t="s">
        <v>890</v>
      </c>
      <c r="AZ31" s="1" t="s">
        <v>891</v>
      </c>
      <c r="BA31" s="1" t="s">
        <v>892</v>
      </c>
      <c r="BB31" s="1" t="s">
        <v>893</v>
      </c>
      <c r="BC31" s="1" t="s">
        <v>894</v>
      </c>
      <c r="BD31" s="1" t="s">
        <v>895</v>
      </c>
      <c r="BE31" s="1">
        <v>107.5</v>
      </c>
      <c r="BF31" s="1">
        <v>116.8</v>
      </c>
      <c r="BG31" s="1">
        <v>-9.3000000000000007</v>
      </c>
      <c r="BH31" s="1" t="s">
        <v>896</v>
      </c>
      <c r="BI31" s="1" t="s">
        <v>594</v>
      </c>
      <c r="BJ31" s="1" t="s">
        <v>594</v>
      </c>
      <c r="BK31" s="1" t="s">
        <v>557</v>
      </c>
      <c r="BL31" s="1" t="s">
        <v>860</v>
      </c>
      <c r="BM31" s="1" t="s">
        <v>897</v>
      </c>
      <c r="BN31" s="1" t="s">
        <v>784</v>
      </c>
      <c r="BO31" s="1" t="s">
        <v>724</v>
      </c>
      <c r="BP31" s="1" t="s">
        <v>819</v>
      </c>
      <c r="BQ31" s="1" t="s">
        <v>898</v>
      </c>
      <c r="BR31" s="1" t="s">
        <v>559</v>
      </c>
      <c r="BS31" s="1" t="s">
        <v>688</v>
      </c>
      <c r="BT31" s="1"/>
      <c r="BU31" s="1"/>
      <c r="BV31" s="1"/>
      <c r="BW31" s="1"/>
      <c r="BX31" s="1"/>
      <c r="BY31" s="1" t="s">
        <v>727</v>
      </c>
      <c r="BZ31" s="1" t="s">
        <v>821</v>
      </c>
      <c r="CA31" s="1" t="s">
        <v>576</v>
      </c>
      <c r="CB31" s="1" t="s">
        <v>899</v>
      </c>
      <c r="CC31" s="1" t="s">
        <v>900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View</vt:lpstr>
      <vt:lpstr>Data_LastN</vt:lpstr>
      <vt:lpstr>Data_Teams</vt:lpstr>
      <vt:lpstr>Data_Roster</vt:lpstr>
      <vt:lpstr>Data_YoYAdv</vt:lpstr>
      <vt:lpstr>Data_Standings_2016-17</vt:lpstr>
      <vt:lpstr>Data_Standings_2017-18</vt:lpstr>
      <vt:lpstr>Data_Standings_2018-19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2019-10-20T05:02:20Z</dcterms:modified>
</cp:coreProperties>
</file>