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0A21624F-3F4D-450D-9207-94496EA621F2}" xr6:coauthVersionLast="45" xr6:coauthVersionMax="45" xr10:uidLastSave="{00000000-0000-0000-0000-000000000000}"/>
  <bookViews>
    <workbookView xWindow="2554" yWindow="1063" windowWidth="16457" windowHeight="8520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<sst xmlns="http://schemas.openxmlformats.org/spreadsheetml/2006/main" count="5940" uniqueCount="1423">
  <si>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</si>
  <si>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</si>
  <si>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</si>
  <si>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</si>
  <si>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</si>
  <si>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</si>
  <si>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</si>
  <si>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</si>
  <si>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</si>
  <si>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</si>
  <si>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</si>
  <si>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</si>
  <si>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</si>
  <si>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</si>
  <si>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</si>
  <si>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</si>
  <si>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</si>
  <si>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</si>
  <si>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</si>
  <si>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</si>
  <si>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</si>
  <si>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</si>
  <si>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</si>
  <si>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</si>
  <si>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</si>
  <si>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</si>
  <si>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</si>
  <si>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</si>
  <si>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</si>
  <si>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</si>
  <si>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</si>
  <si>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</si>
  <si>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</si>
  <si>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</si>
  <si>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</si>
  <si>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</si>
  <si>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</si>
  <si>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</si>
  <si>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</si>
  <si>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</si>
  <si>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</si>
  <si>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</si>
  <si>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</si>
  <si>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</si>
  <si>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</si>
  <si>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</si>
  <si>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</si>
  <si>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</si>
  <si>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</si>
  <si>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</si>
  <si>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</si>
  <si>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</si>
  <si>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</si>
  <si>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</si>
  <si>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</si>
  <si>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</si>
  <si>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</si>
  <si>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</si>
  <si>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</si>
  <si>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</si>
  <si>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</si>
  <si>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</si>
  <si>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</si>
  <si>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</si>
  <si>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</si>
  <si>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</si>
  <si>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</si>
  <si>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</si>
  <si>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</si>
  <si>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</si>
  <si>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</si>
  <si>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</si>
  <si>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</si>
  <si>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</si>
  <si>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</si>
  <si>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</si>
  <si>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</si>
  <si>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</si>
  <si>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</si>
  <si>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</si>
  <si>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</si>
  <si>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</si>
  <si>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</si>
  <si>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</si>
  <si>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</si>
  <si>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</si>
  <si>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</si>
  <si>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</si>
  <si>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</si>
  <si>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</si>
  <si>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</si>
  <si>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</si>
  <si>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</si>
  <si>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</si>
  <si>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</si>
  <si>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</si>
  <si>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</si>
  <si>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</si>
  <si>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</si>
  <si>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</si>
  <si>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</si>
  <si>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</si>
  <si>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</si>
  <si>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</si>
  <si>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</si>
  <si>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</si>
  <si>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</si>
  <si>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</si>
  <si>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</si>
  <si>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</si>
  <si>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</si>
  <si>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</si>
  <si>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</si>
  <si>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</si>
  <si>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</si>
  <si>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</si>
  <si>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</si>
  <si>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</si>
  <si>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</si>
  <si>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</si>
  <si>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</si>
  <si>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</si>
  <si>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</si>
  <si>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</si>
  <si>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</si>
  <si>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</si>
  <si>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</si>
  <si>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</si>
  <si>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</si>
  <si>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</si>
  <si>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</si>
  <si>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</si>
  <si>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</si>
  <si>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</si>
  <si>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</si>
  <si>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</si>
  <si>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</si>
  <si>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</si>
  <si>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</si>
  <si>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</si>
  <si>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</si>
  <si>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</si>
  <si>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</si>
  <si>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</si>
  <si>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</si>
  <si>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</si>
  <si>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</si>
  <si>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</si>
  <si>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</si>
  <si>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</si>
  <si>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</si>
  <si>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</si>
  <si>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</si>
  <si>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</si>
  <si>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</si>
  <si>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</si>
  <si>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</si>
  <si>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</si>
  <si>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</si>
  <si>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</si>
  <si>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</si>
  <si>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</si>
  <si>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</si>
  <si>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</si>
  <si>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</si>
  <si>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</si>
  <si>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</si>
  <si>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</si>
  <si>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</si>
  <si>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</si>
  <si>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</si>
  <si>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</si>
  <si>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</si>
  <si>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</si>
  <si>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</si>
  <si>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</si>
  <si>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</si>
  <si>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</si>
  <si>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</si>
  <si>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</si>
  <si>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</si>
  <si>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</si>
  <si>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</si>
  <si>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</si>
  <si>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</si>
  <si>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</si>
  <si>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</si>
  <si>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</si>
  <si>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</si>
  <si>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</si>
  <si>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</si>
  <si>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</si>
  <si>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</si>
  <si>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</si>
  <si>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</si>
  <si>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</si>
  <si>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</si>
  <si>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</si>
  <si>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</si>
  <si>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</si>
  <si>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</si>
  <si>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</si>
  <si>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</si>
  <si>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</si>
  <si>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</si>
  <si>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</si>
  <si>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</si>
  <si>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</si>
  <si>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</si>
  <si>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</si>
  <si>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</si>
  <si>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</si>
  <si>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</si>
  <si>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</si>
  <si>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</si>
  <si>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</si>
  <si>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</si>
  <si>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</si>
  <si>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</si>
  <si>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</si>
  <si>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</si>
  <si>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</si>
  <si>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</si>
  <si>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</si>
  <si>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</si>
  <si>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</si>
  <si>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</si>
  <si>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</si>
  <si>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</si>
  <si>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</si>
  <si>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</si>
  <si>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</si>
  <si>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</si>
  <si>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</si>
  <si>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</si>
  <si>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</si>
  <si>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</si>
  <si>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</si>
  <si>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</si>
  <si>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</si>
  <si>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</si>
  <si>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</si>
  <si>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</si>
  <si>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</si>
  <si>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</si>
  <si>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</si>
  <si>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</si>
  <si>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</si>
  <si>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</si>
  <si>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</si>
  <si>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</si>
  <si>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</si>
  <si>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</si>
  <si>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</si>
  <si>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</si>
  <si>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</si>
  <si>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</si>
  <si>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</si>
  <si>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</si>
  <si>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</si>
  <si>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</si>
  <si>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</si>
  <si>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</si>
  <si>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</si>
  <si>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</si>
  <si>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</si>
  <si>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</si>
  <si>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</si>
  <si>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</si>
  <si>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</si>
  <si>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</si>
  <si>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</si>
  <si>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</si>
  <si>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</si>
  <si>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</si>
  <si>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</si>
  <si>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</si>
  <si>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</si>
  <si>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</si>
  <si>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</si>
  <si>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</si>
  <si>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</si>
  <si>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</si>
  <si>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</si>
  <si>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</si>
  <si>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</si>
  <si>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</si>
  <si>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</si>
  <si>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</si>
  <si>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</si>
  <si>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</si>
  <si>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</si>
  <si>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</si>
  <si>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</si>
  <si>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</si>
  <si>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</si>
  <si>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</si>
  <si>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</si>
  <si>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</si>
  <si>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</si>
  <si>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</si>
  <si>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</si>
  <si>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</si>
  <si>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</si>
  <si>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</si>
  <si>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</si>
  <si>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</si>
  <si>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</si>
  <si>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</si>
  <si>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</si>
  <si>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</si>
  <si>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</si>
  <si>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</si>
  <si>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</si>
  <si>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</si>
  <si>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</si>
  <si>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</si>
  <si>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</si>
  <si>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</si>
  <si>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</si>
  <si>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</si>
  <si>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</si>
  <si>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</si>
  <si>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</si>
  <si>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</si>
  <si>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</si>
  <si>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</si>
  <si>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</si>
  <si>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</si>
  <si>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</si>
  <si>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</si>
  <si>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</si>
  <si>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</si>
  <si>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</si>
  <si>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</si>
  <si>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</si>
  <si>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</si>
  <si>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</si>
  <si>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</si>
  <si>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</si>
  <si>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</si>
  <si>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</si>
  <si>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</si>
  <si>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</si>
  <si>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</si>
  <si>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</si>
  <si>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</si>
  <si>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</si>
  <si>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</si>
  <si>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</si>
  <si>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</si>
  <si>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</si>
  <si>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</si>
  <si>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</si>
  <si>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</si>
  <si>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</si>
  <si>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</si>
  <si>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</si>
  <si>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</si>
  <si>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</si>
  <si>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</si>
  <si>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</si>
  <si>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</si>
  <si>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</si>
  <si>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</si>
  <si>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</si>
  <si>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</si>
  <si>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</si>
  <si>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</si>
  <si>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</si>
  <si>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</si>
  <si>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</si>
  <si>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</si>
  <si>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</si>
  <si>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</si>
  <si>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</si>
  <si>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</si>
  <si>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</si>
  <si>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</si>
  <si>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</si>
  <si>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</si>
  <si>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</si>
  <si>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</si>
  <si>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</si>
  <si>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</si>
  <si>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</si>
  <si>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</si>
  <si>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</si>
  <si>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</si>
  <si>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</si>
  <si>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</si>
  <si>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</si>
  <si>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</si>
  <si>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</si>
  <si>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</si>
  <si>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</si>
  <si>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</si>
  <si>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</si>
  <si>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</si>
  <si>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</si>
  <si>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</si>
  <si>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</si>
  <si>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</si>
  <si>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</si>
  <si>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</si>
  <si>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</si>
  <si>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</si>
  <si>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</si>
  <si>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</si>
  <si>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</si>
  <si>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</si>
  <si>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</si>
  <si>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</si>
  <si>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</si>
  <si>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</si>
  <si>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</si>
  <si>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</si>
  <si>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</si>
  <si>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</si>
  <si>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</si>
  <si>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</si>
  <si>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</si>
  <si>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</si>
  <si>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</si>
  <si>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</si>
  <si>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</si>
  <si>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</si>
  <si>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</si>
  <si>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</si>
  <si>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</si>
  <si>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</si>
  <si>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</si>
  <si>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</si>
  <si>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</si>
  <si>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</si>
  <si>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</si>
  <si>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</si>
  <si>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</si>
  <si>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</si>
  <si>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</si>
  <si>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</si>
  <si>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</si>
  <si>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</si>
  <si>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</si>
  <si>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</si>
  <si>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</si>
  <si>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</si>
  <si>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</si>
  <si>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</si>
  <si>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</si>
  <si>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</si>
  <si>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</si>
  <si>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</si>
  <si>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</si>
  <si>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</si>
  <si>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</si>
  <si>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</si>
  <si>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</si>
  <si>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</si>
  <si>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</si>
  <si>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</si>
  <si>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</si>
  <si>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</si>
  <si>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</si>
  <si>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</si>
  <si>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</si>
  <si>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</si>
  <si>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</si>
  <si>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</si>
  <si>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</si>
  <si>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</si>
  <si>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</si>
  <si>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</si>
  <si>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</si>
  <si>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</si>
  <si>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</si>
  <si>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</si>
  <si>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</si>
  <si>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</si>
  <si>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</si>
  <si>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</si>
  <si>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</si>
  <si>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</si>
  <si>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</si>
  <si>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</si>
  <si>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</si>
  <si>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</si>
  <si>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</si>
  <si>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</si>
  <si>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</si>
  <si>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</si>
  <si>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</si>
  <si>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</si>
  <si>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</si>
  <si>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</si>
  <si>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</si>
  <si>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</si>
  <si>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</si>
  <si>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</si>
  <si>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</si>
  <si>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</si>
  <si>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</si>
  <si>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</si>
  <si>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</si>
  <si>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</si>
  <si>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</si>
  <si>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</si>
  <si>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</si>
  <si>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</si>
  <si>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</si>
  <si>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</si>
  <si>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</si>
  <si>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</si>
  <si>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</si>
  <si>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</si>
  <si>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</si>
  <si>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</si>
  <si>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</si>
  <si>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</si>
  <si>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</si>
  <si>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</si>
  <si>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</si>
  <si>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</si>
  <si>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</si>
  <si>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</si>
  <si>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</si>
  <si>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</si>
  <si>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</si>
  <si>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</si>
  <si>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</si>
  <si>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</si>
  <si>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</si>
  <si>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</si>
  <si>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</si>
  <si>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</si>
  <si>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</si>
  <si>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</si>
  <si>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</si>
  <si>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</si>
  <si>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</si>
  <si>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</si>
  <si>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</si>
  <si>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</si>
  <si>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</si>
  <si>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</si>
  <si>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</si>
  <si>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</si>
  <si>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</si>
  <si>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</si>
  <si>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</si>
  <si>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</si>
  <si>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</si>
  <si>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</si>
  <si>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</si>
  <si>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</si>
  <si>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</si>
  <si>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</si>
  <si>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</si>
  <si>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</si>
  <si>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</si>
  <si>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</si>
  <si>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</si>
  <si>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</si>
  <si>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</si>
  <si>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</si>
  <si>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</si>
  <si>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</si>
  <si>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</si>
  <si>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</si>
  <si>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</si>
  <si>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</si>
  <si>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</si>
  <si>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</si>
  <si>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</si>
  <si>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</si>
  <si>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</si>
  <si>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</si>
  <si>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</si>
  <si>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</si>
  <si>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</si>
  <si>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</si>
  <si>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</si>
  <si>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</si>
  <si>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</si>
  <si>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</si>
  <si>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</si>
  <si>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</si>
  <si>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</si>
  <si>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</si>
  <si>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</si>
  <si>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</si>
  <si>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</si>
  <si>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</si>
  <si>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</si>
  <si>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</si>
  <si>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</si>
  <si>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</si>
  <si>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</si>
  <si>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</si>
  <si>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</si>
  <si>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</si>
  <si>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</si>
  <si>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</si>
  <si>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</si>
  <si>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</si>
  <si>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</si>
  <si>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</si>
  <si>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</si>
  <si>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</si>
  <si>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</si>
  <si>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</si>
  <si>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</si>
  <si>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</si>
  <si>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</si>
  <si>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</si>
  <si>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</si>
  <si>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</si>
  <si>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</si>
  <si>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</si>
  <si>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</si>
  <si>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</si>
  <si>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</si>
  <si>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</si>
  <si>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</si>
  <si>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</si>
  <si>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</si>
  <si>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</si>
  <si>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</si>
  <si>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</si>
  <si>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</si>
  <si>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</si>
  <si>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</si>
  <si>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</si>
  <si>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</si>
  <si>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</si>
  <si>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</si>
  <si>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</si>
  <si>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</si>
  <si>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</si>
  <si>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</si>
  <si>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</si>
  <si>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</si>
  <si>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</si>
  <si>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</si>
  <si>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</si>
  <si>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</si>
  <si>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</si>
  <si>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</si>
  <si>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</si>
  <si>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</si>
  <si>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</si>
  <si>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</si>
  <si>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</si>
  <si>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</si>
  <si>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</si>
  <si>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</si>
  <si>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</si>
  <si>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</si>
  <si>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</si>
  <si>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</si>
  <si>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</si>
  <si>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</si>
  <si>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</si>
  <si>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</si>
  <si>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</si>
  <si>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</si>
  <si>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</si>
  <si>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</si>
  <si>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</si>
  <si>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</si>
  <si>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</si>
  <si>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</si>
  <si>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</si>
  <si>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</si>
  <si>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</si>
  <si>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</si>
  <si>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</si>
  <si>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</si>
  <si>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</si>
  <si>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</si>
  <si>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</si>
  <si>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</si>
  <si>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</si>
  <si>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</si>
  <si>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</si>
  <si>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</si>
  <si>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</si>
  <si>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</si>
  <si>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</si>
  <si>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</si>
  <si>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</si>
  <si>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</si>
  <si>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</si>
  <si>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</si>
  <si>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</si>
  <si>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</si>
  <si>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</si>
  <si>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</si>
  <si>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</si>
  <si>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</si>
  <si>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</si>
  <si>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</si>
  <si>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</si>
  <si>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</si>
  <si>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</si>
  <si>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</si>
  <si>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</si>
  <si>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</si>
  <si>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</si>
  <si>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</si>
  <si>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</si>
  <si>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</si>
  <si>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</si>
  <si>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</si>
  <si>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</si>
  <si>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</si>
  <si>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</si>
  <si>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</si>
  <si>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</si>
  <si>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</si>
  <si>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</si>
  <si>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</si>
  <si>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</si>
  <si>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</si>
  <si>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</si>
  <si>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</si>
  <si>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</si>
  <si>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</si>
  <si>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</si>
  <si>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</si>
  <si>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</si>
  <si>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</si>
  <si>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</si>
  <si>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</si>
  <si>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</si>
  <si>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</si>
  <si>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</si>
  <si>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</si>
  <si>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</si>
  <si>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</si>
  <si>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</si>
  <si>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</si>
  <si>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</si>
  <si>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</si>
  <si>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</si>
  <si>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</si>
  <si>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</si>
  <si>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</si>
  <si>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</si>
  <si>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</si>
  <si>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</si>
  <si>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</si>
  <si>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</si>
  <si>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</si>
  <si>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</si>
  <si>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</si>
  <si>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</si>
  <si>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</si>
  <si>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</si>
  <si>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</si>
  <si>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</si>
  <si>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210</t>
  </si>
  <si>
    <t>9</t>
  </si>
  <si>
    <t>3</t>
  </si>
  <si>
    <t>4</t>
  </si>
  <si>
    <t>8</t>
  </si>
  <si>
    <t>5</t>
  </si>
  <si>
    <t>6-6</t>
  </si>
  <si>
    <t>F</t>
  </si>
  <si>
    <t>F-C</t>
  </si>
  <si>
    <t>245</t>
  </si>
  <si>
    <t>C</t>
  </si>
  <si>
    <t>11</t>
  </si>
  <si>
    <t>220</t>
  </si>
  <si>
    <t>225</t>
  </si>
  <si>
    <t>0</t>
  </si>
  <si>
    <t>Duke</t>
  </si>
  <si>
    <t>California</t>
  </si>
  <si>
    <t>12</t>
  </si>
  <si>
    <t>F-G</t>
  </si>
  <si>
    <t>20</t>
  </si>
  <si>
    <t>235</t>
  </si>
  <si>
    <t>240</t>
  </si>
  <si>
    <t>7-0</t>
  </si>
  <si>
    <t>250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</si>
  <si>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</si>
  <si>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</si>
  <si>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</si>
  <si>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</si>
  <si>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</si>
  <si>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</si>
  <si>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</si>
  <si>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</si>
  <si>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</si>
  <si>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</si>
  <si>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</si>
  <si>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</si>
  <si>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</si>
  <si>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</si>
  <si>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</si>
  <si>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</si>
  <si>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</si>
  <si>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</si>
  <si>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</si>
  <si>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</si>
  <si>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</si>
  <si>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</si>
  <si>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</si>
  <si>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</si>
  <si>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</si>
  <si>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</si>
  <si>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</si>
  <si>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</si>
  <si>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</si>
  <si>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</si>
  <si>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</si>
  <si>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</si>
  <si>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</si>
  <si>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</si>
  <si>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</si>
  <si>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</si>
  <si>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</si>
  <si>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</si>
  <si>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</si>
  <si>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</si>
  <si>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</si>
  <si>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</si>
  <si>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</si>
  <si>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</si>
  <si>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</si>
  <si>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</si>
  <si>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</si>
  <si>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</si>
  <si>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</si>
  <si>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</si>
  <si>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</si>
  <si>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</si>
  <si>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</si>
  <si>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</si>
  <si>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</si>
  <si>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</si>
  <si>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</si>
  <si>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</si>
  <si>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</si>
  <si>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</si>
  <si>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</si>
  <si>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</si>
  <si>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</si>
  <si>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</si>
  <si>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</si>
  <si>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</si>
  <si>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</si>
  <si>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</si>
  <si>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</si>
  <si>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</si>
  <si>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</si>
  <si>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</si>
  <si>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</si>
  <si>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</si>
  <si>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</si>
  <si>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</si>
  <si>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</si>
  <si>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</si>
  <si>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</si>
  <si>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</si>
  <si>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</si>
  <si>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</si>
  <si>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</si>
  <si>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</si>
  <si>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</si>
  <si>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</si>
  <si>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</si>
  <si>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</si>
  <si>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</si>
  <si>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</si>
  <si>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</si>
  <si>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</si>
  <si>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</si>
  <si>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</si>
  <si>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</si>
  <si>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</si>
  <si>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</si>
  <si>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</si>
  <si>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</si>
  <si>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</si>
  <si>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</si>
  <si>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</si>
  <si>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</si>
  <si>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</si>
  <si>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</si>
  <si>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</si>
  <si>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</si>
  <si>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</si>
  <si>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</si>
  <si>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</si>
  <si>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</si>
  <si>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</si>
  <si>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</si>
  <si>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</si>
  <si>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</si>
  <si>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</si>
  <si>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</si>
  <si>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</si>
  <si>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</si>
  <si>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</si>
  <si>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</si>
  <si>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</si>
  <si>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</si>
  <si>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</si>
  <si>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</si>
  <si>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</si>
  <si>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</si>
  <si>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</si>
  <si>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</si>
  <si>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</si>
  <si>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</si>
  <si>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</si>
  <si>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</si>
  <si>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</si>
  <si>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</si>
  <si>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</si>
  <si>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</si>
  <si>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</si>
  <si>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</si>
  <si>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</si>
  <si>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</si>
  <si>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</si>
  <si>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</si>
  <si>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</si>
  <si>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</si>
  <si>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</si>
  <si>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</si>
  <si>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</si>
  <si>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</si>
  <si>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</si>
  <si>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</si>
  <si>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</si>
  <si>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</si>
  <si>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</si>
  <si>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</si>
  <si>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</si>
  <si>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</si>
  <si>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</si>
  <si>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</si>
  <si>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</si>
  <si>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</si>
  <si>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</si>
  <si>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</si>
  <si>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</si>
  <si>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</si>
  <si>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</si>
  <si>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</si>
  <si>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</si>
  <si>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</si>
  <si>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</si>
  <si>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</si>
  <si>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</si>
  <si>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</si>
  <si>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</si>
  <si>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</si>
  <si>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</si>
  <si>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</si>
  <si>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</si>
  <si>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</si>
  <si>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</si>
  <si>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</si>
  <si>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</si>
  <si>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</si>
  <si>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</si>
  <si>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</si>
  <si>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</si>
  <si>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</si>
  <si>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</si>
  <si>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</si>
  <si>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</si>
  <si>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</si>
  <si>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</si>
  <si>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</si>
  <si>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</si>
  <si>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</si>
  <si>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</si>
  <si>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</si>
  <si>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</si>
  <si>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</si>
  <si>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</si>
  <si>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</si>
  <si>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</si>
  <si>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</si>
  <si>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</si>
  <si>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</si>
  <si>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</si>
  <si>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</si>
  <si>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</si>
  <si>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</si>
  <si>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</si>
  <si>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</si>
  <si>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</si>
  <si>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</si>
  <si>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</si>
  <si>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</si>
  <si>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</si>
  <si>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</si>
  <si>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</si>
  <si>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</si>
  <si>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</si>
  <si>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</si>
  <si>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</si>
  <si>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</si>
  <si>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</si>
  <si>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</si>
  <si>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</si>
  <si>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</si>
  <si>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</si>
  <si>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</si>
  <si>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</si>
  <si>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</si>
  <si>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</si>
  <si>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</si>
  <si>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</si>
  <si>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</si>
  <si>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</si>
  <si>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</si>
  <si>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</si>
  <si>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</si>
  <si>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</si>
  <si>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</si>
  <si>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</si>
  <si>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</si>
  <si>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</si>
  <si>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</si>
  <si>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</si>
  <si>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</si>
  <si>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</si>
  <si>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</si>
  <si>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</si>
  <si>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</si>
  <si>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</si>
  <si>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</si>
  <si>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</si>
  <si>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</si>
  <si>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</si>
  <si>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</si>
  <si>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</si>
  <si>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</si>
  <si>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</si>
  <si>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</si>
  <si>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</si>
  <si>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</si>
  <si>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</si>
  <si>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</si>
  <si>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</si>
  <si>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</si>
  <si>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</si>
  <si>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</si>
  <si>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</si>
  <si>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</si>
  <si>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</si>
  <si>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</si>
  <si>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</si>
  <si>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</si>
  <si>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</si>
  <si>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</si>
  <si>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</si>
  <si>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</si>
  <si>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</si>
  <si>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</si>
  <si>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</si>
  <si>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</si>
  <si>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</si>
  <si>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</si>
  <si>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</si>
  <si>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</si>
  <si>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</si>
  <si>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</si>
  <si>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</si>
  <si>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</si>
  <si>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</si>
  <si>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</si>
  <si>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</si>
  <si>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</si>
  <si>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</si>
  <si>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</si>
  <si>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</si>
  <si>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</si>
  <si>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</si>
  <si>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</si>
  <si>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</si>
  <si>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</si>
  <si>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</si>
  <si>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</si>
  <si>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</si>
  <si>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</si>
  <si>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</si>
  <si>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</si>
  <si>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</si>
  <si>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</si>
  <si>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</si>
  <si>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</si>
  <si>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</si>
  <si>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</si>
  <si>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</si>
  <si>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</si>
  <si>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</si>
  <si>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</si>
  <si>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</si>
  <si>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</si>
  <si>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</si>
  <si>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</si>
  <si>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</si>
  <si>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</si>
  <si>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</si>
  <si>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</si>
  <si>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</si>
  <si>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</si>
  <si>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</si>
  <si>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</si>
  <si>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</si>
  <si>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</si>
  <si>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</si>
  <si>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</si>
  <si>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</si>
  <si>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</si>
  <si>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</si>
  <si>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</si>
  <si>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</si>
  <si>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</si>
  <si>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</si>
  <si>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</si>
  <si>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</si>
  <si>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</si>
  <si>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</si>
  <si>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</si>
  <si>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</si>
  <si>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</si>
  <si>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</si>
  <si>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</si>
  <si>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</si>
  <si>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</si>
  <si>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</si>
  <si>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</si>
  <si>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</si>
  <si>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</si>
  <si>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</si>
  <si>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</si>
  <si>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</si>
  <si>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</si>
  <si>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</si>
  <si>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</si>
  <si>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</si>
  <si>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</si>
  <si>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</si>
  <si>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</si>
  <si>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</si>
  <si>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</si>
  <si>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</si>
  <si>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</si>
  <si>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</si>
  <si>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</si>
  <si>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</si>
  <si>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</si>
  <si>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</si>
  <si>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</si>
  <si>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</si>
  <si>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</si>
  <si>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</si>
  <si>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</si>
  <si>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</si>
  <si>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</si>
  <si>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</si>
  <si>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</si>
  <si>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</si>
  <si>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</si>
  <si>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</si>
  <si>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</si>
  <si>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</si>
  <si>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</si>
  <si>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</si>
  <si>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</si>
  <si>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</si>
  <si>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</si>
  <si>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</si>
  <si>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</si>
  <si>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</si>
  <si>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</si>
  <si>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</si>
  <si>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</si>
  <si>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</si>
  <si>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</si>
  <si>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</si>
  <si>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</si>
  <si>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</si>
  <si>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</si>
  <si>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</si>
  <si>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</si>
  <si>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</si>
  <si>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</si>
  <si>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</si>
  <si>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</si>
  <si>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</si>
  <si>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</si>
  <si>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</si>
  <si>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</si>
  <si>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</si>
  <si>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</si>
  <si>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</si>
  <si>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</si>
  <si>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</si>
  <si>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</si>
  <si>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</si>
  <si>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</si>
  <si>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</si>
  <si>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</si>
  <si>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</si>
  <si>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</si>
  <si>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</si>
  <si>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</si>
  <si>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</si>
  <si>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</si>
  <si>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</si>
  <si>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</si>
  <si>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</si>
  <si>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</si>
  <si>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</si>
  <si>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</si>
  <si>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</si>
  <si>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</si>
  <si>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</si>
  <si>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</si>
  <si>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</si>
  <si>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</si>
  <si>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</si>
  <si>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</si>
  <si>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</si>
  <si>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</si>
  <si>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</si>
  <si>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</si>
  <si>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</si>
  <si>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</si>
  <si>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</si>
  <si>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</si>
  <si>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</si>
  <si>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</si>
  <si>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</si>
  <si>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</si>
  <si>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</si>
  <si>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</si>
  <si>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</si>
  <si>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</si>
  <si>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</si>
  <si>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</si>
  <si>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</si>
  <si>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</si>
  <si>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</si>
  <si>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</si>
  <si>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</si>
  <si>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</si>
  <si>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</si>
  <si>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</si>
  <si>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</si>
  <si>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</si>
  <si>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</si>
  <si>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</si>
  <si>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</si>
  <si>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</si>
  <si>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</si>
  <si>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</si>
  <si>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</si>
  <si>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</si>
  <si>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</si>
  <si>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</si>
  <si>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</si>
  <si>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</si>
  <si>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</si>
  <si>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</si>
  <si>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</si>
  <si>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</si>
  <si>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</si>
  <si>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</si>
  <si>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</si>
  <si>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</si>
  <si>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</si>
  <si>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</si>
  <si>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</si>
  <si>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</si>
  <si>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</si>
  <si>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</si>
  <si>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</si>
  <si>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</si>
  <si>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</si>
  <si>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</si>
  <si>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</si>
  <si>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</si>
  <si>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</si>
  <si>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</si>
  <si>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</si>
  <si>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</si>
  <si>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</si>
  <si>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</si>
  <si>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</si>
  <si>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</si>
  <si>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</si>
  <si>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</si>
  <si>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</si>
  <si>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</si>
  <si>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</si>
  <si>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</si>
  <si>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</si>
  <si>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</si>
  <si>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</si>
  <si>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</si>
  <si>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</si>
  <si>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</si>
  <si>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</si>
  <si>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</si>
  <si>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</si>
  <si>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</si>
  <si>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</si>
  <si>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</si>
  <si>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</si>
  <si>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</si>
  <si>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</si>
  <si>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</si>
  <si>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</si>
  <si>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</si>
  <si>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</si>
  <si>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</si>
  <si>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</si>
  <si>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</si>
  <si>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</si>
  <si>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</si>
  <si>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</si>
  <si>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</si>
  <si>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</si>
  <si>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</si>
  <si>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</si>
  <si>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</si>
  <si>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</si>
  <si>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</si>
  <si>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</si>
  <si>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</si>
  <si>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</si>
  <si>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</si>
  <si>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</si>
  <si>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</si>
  <si>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</si>
  <si>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</si>
  <si>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Jayson Tatum</t>
  </si>
  <si>
    <t>MAR 03, 1998</t>
  </si>
  <si>
    <t>Carsen Edwards</t>
  </si>
  <si>
    <t>200</t>
  </si>
  <si>
    <t>MAR 12, 1998</t>
  </si>
  <si>
    <t>Purdue</t>
  </si>
  <si>
    <t>Jaylen Brown</t>
  </si>
  <si>
    <t>7</t>
  </si>
  <si>
    <t>223</t>
  </si>
  <si>
    <t>OCT 24, 1996</t>
  </si>
  <si>
    <t>Kemba Walker</t>
  </si>
  <si>
    <t>184</t>
  </si>
  <si>
    <t>MAY 08, 1990</t>
  </si>
  <si>
    <t>Connecticut</t>
  </si>
  <si>
    <t>Brad Wanamaker</t>
  </si>
  <si>
    <t>JUL 25, 1989</t>
  </si>
  <si>
    <t>Pittsburgh</t>
  </si>
  <si>
    <t>Enes Kanter</t>
  </si>
  <si>
    <t>MAY 20, 1992</t>
  </si>
  <si>
    <t xml:space="preserve"> </t>
  </si>
  <si>
    <t>Grant Williams</t>
  </si>
  <si>
    <t>236</t>
  </si>
  <si>
    <t>NOV 30, 1998</t>
  </si>
  <si>
    <t>Tennessee</t>
  </si>
  <si>
    <t>Gordon Hayward</t>
  </si>
  <si>
    <t>MAR 23, 1990</t>
  </si>
  <si>
    <t>Butler</t>
  </si>
  <si>
    <t>Daniel Theis</t>
  </si>
  <si>
    <t>27</t>
  </si>
  <si>
    <t>APR 04, 1992</t>
  </si>
  <si>
    <t>Marcus Smart</t>
  </si>
  <si>
    <t>36</t>
  </si>
  <si>
    <t>MAR 06, 1994</t>
  </si>
  <si>
    <t>Oklahoma State</t>
  </si>
  <si>
    <t>Semi Ojeleye</t>
  </si>
  <si>
    <t>37</t>
  </si>
  <si>
    <t>DEC 05, 1994</t>
  </si>
  <si>
    <t>Southern Methodist</t>
  </si>
  <si>
    <t>Javonte Green</t>
  </si>
  <si>
    <t>43</t>
  </si>
  <si>
    <t>205</t>
  </si>
  <si>
    <t>JUL 23, 1993</t>
  </si>
  <si>
    <t>Radford University</t>
  </si>
  <si>
    <t>Robert Williams III</t>
  </si>
  <si>
    <t>44</t>
  </si>
  <si>
    <t>C-F</t>
  </si>
  <si>
    <t>237</t>
  </si>
  <si>
    <t>OCT 17, 1997</t>
  </si>
  <si>
    <t>Texas A&amp;M</t>
  </si>
  <si>
    <t>Romeo Langford</t>
  </si>
  <si>
    <t>45</t>
  </si>
  <si>
    <t>216</t>
  </si>
  <si>
    <t>OCT 25, 1999</t>
  </si>
  <si>
    <t>Tremont Waters</t>
  </si>
  <si>
    <t>51</t>
  </si>
  <si>
    <t>175</t>
  </si>
  <si>
    <t>JAN 10, 1998</t>
  </si>
  <si>
    <t>Louisiana State</t>
  </si>
  <si>
    <t>Vincent Poirier</t>
  </si>
  <si>
    <t>77</t>
  </si>
  <si>
    <t>OCT 17, 1993</t>
  </si>
  <si>
    <t>Tacko Fall</t>
  </si>
  <si>
    <t>99</t>
  </si>
  <si>
    <t>311</t>
  </si>
  <si>
    <t>DEC 10, 1995</t>
  </si>
  <si>
    <t>Central Florida</t>
  </si>
  <si>
    <t>Celtics</t>
    <phoneticPr fontId="1"/>
  </si>
  <si>
    <t>11-3</t>
    <phoneticPr fontId="1"/>
  </si>
  <si>
    <t xml:space="preserve">8-2  </t>
    <phoneticPr fontId="1"/>
  </si>
  <si>
    <t xml:space="preserve">5-0  </t>
    <phoneticPr fontId="1"/>
  </si>
  <si>
    <t xml:space="preserve">6-3  </t>
    <phoneticPr fontId="1"/>
  </si>
  <si>
    <t>49-33</t>
    <phoneticPr fontId="1"/>
  </si>
  <si>
    <t xml:space="preserve">6-4  </t>
    <phoneticPr fontId="1"/>
  </si>
  <si>
    <t>28-13</t>
    <phoneticPr fontId="1"/>
  </si>
  <si>
    <t>21-20</t>
    <phoneticPr fontId="1"/>
  </si>
  <si>
    <t>37-21</t>
    <phoneticPr fontId="1"/>
  </si>
  <si>
    <t>12-12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</si>
</sst>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DF1C98-CDE8-42A6-B348-EE6C6727A6AD}" name="TableRoster" displayName="TableRoster" ref="A1:M18" totalsRowShown="0" headerRowDxfId="1074">
  <autoFilter ref="A1:M18" xr:uid="{2EF91D5A-A067-4A0E-9FDE-954A283BED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B43B2CE9-CA3B-4F24-A236-AB3AEC3F2DA9}" name="TeamID" dataDxfId="1087"/>
    <tableColumn id="2" xr3:uid="{2B1F386E-F129-4EBC-8A92-5368BDDD45B0}" name="SEASON" dataDxfId="1086"/>
    <tableColumn id="3" xr3:uid="{8297240B-037E-4F58-9EBD-FDD441412C36}" name="LeagueID" dataDxfId="1085"/>
    <tableColumn id="4" xr3:uid="{7BEA974B-5E7B-4AFD-AB3E-828B8D41E783}" name="PLAYER" dataDxfId="1084"/>
    <tableColumn id="5" xr3:uid="{06D379B4-B4BE-4DB6-B061-FDDE40EC05E9}" name="NUM" dataDxfId="1083"/>
    <tableColumn id="6" xr3:uid="{7DA75252-05DE-45B7-8ECF-529C1E304FEF}" name="POSITION" dataDxfId="1082"/>
    <tableColumn id="7" xr3:uid="{21557D8B-BF36-40CE-97D2-D207BB8C1E83}" name="HEIGHT" dataDxfId="1081"/>
    <tableColumn id="8" xr3:uid="{A8C6F1A5-1D8C-4882-B9AD-03B04C314EE7}" name="WEIGHT" dataDxfId="1080"/>
    <tableColumn id="9" xr3:uid="{2A3941AD-7094-4D73-B4CE-9F1D67B3CFF4}" name="BIRTH_DATE" dataDxfId="1079"/>
    <tableColumn id="10" xr3:uid="{1FA10CDC-16C9-450A-B078-E6601A73E4B2}" name="AGE" dataDxfId="1078"/>
    <tableColumn id="11" xr3:uid="{591B05E8-3750-44AA-A63B-460EB1DEAAE3}" name="EXP" dataDxfId="1077"/>
    <tableColumn id="12" xr3:uid="{04E3E0C4-ACA8-43C2-9A76-698D544D7682}" name="SCHOOL" dataDxfId="1076"/>
    <tableColumn id="13" xr3:uid="{B59A626E-57DD-4418-8961-D4AF8774C111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761446-70D9-4F8C-92E8-60C268FB197D}" name="TableStandingsN" displayName="TableStandingsN" ref="A1:CC31" totalsRowShown="0" headerRowDxfId="992">
  <autoFilter ref="A1:CC31" xr:uid="{D97669CD-1508-4DC3-97F8-11CA3BEEB2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383ADBD8-59EC-4581-A819-CA2BF219AF79}" name="LeagueID" dataDxfId="1073"/>
    <tableColumn id="2" xr3:uid="{C8C4A242-9328-4975-B6AA-F1170302EA5A}" name="SeasonID" dataDxfId="1072"/>
    <tableColumn id="3" xr3:uid="{292D9146-3DCB-4A4D-8A63-661D92922CD5}" name="TeamID" dataDxfId="1071"/>
    <tableColumn id="4" xr3:uid="{B0F50F0C-16EA-4C1F-AEFA-FB5F8176F8F2}" name="TeamCity" dataDxfId="1070"/>
    <tableColumn id="5" xr3:uid="{4FCB14A3-CA7E-418F-8095-E2EFA4ACAC47}" name="TeamName" dataDxfId="1069"/>
    <tableColumn id="6" xr3:uid="{75E99D4C-46C8-4369-97F0-4C4B56C81445}" name="Conference" dataDxfId="1068"/>
    <tableColumn id="7" xr3:uid="{8BA4A7C8-16C7-4ACF-9B1F-8432485CB438}" name="ConferenceRecord" dataDxfId="1067"/>
    <tableColumn id="8" xr3:uid="{13EFF4EB-A38D-4CB9-B6DA-05DF15B47C37}" name="PlayoffRank" dataDxfId="1066"/>
    <tableColumn id="9" xr3:uid="{14C071B1-D99F-4DEB-86DB-F9259E20A9DB}" name="ClinchIndicator" dataDxfId="1065"/>
    <tableColumn id="10" xr3:uid="{3C6AE26F-5E09-4562-A3FE-41BEE85C343D}" name="Division" dataDxfId="1064"/>
    <tableColumn id="11" xr3:uid="{4AD3F3C1-7EFA-421B-8A93-5C625C9C4FB5}" name="DivisionRecord" dataDxfId="1063"/>
    <tableColumn id="12" xr3:uid="{3D32ABF5-BCB5-4A09-889A-5FCB524B2F6B}" name="DivisionRank" dataDxfId="1062"/>
    <tableColumn id="13" xr3:uid="{73245FDE-5886-4AEF-8F02-0BB0CA302179}" name="WINS" dataDxfId="1061"/>
    <tableColumn id="14" xr3:uid="{82DB2E3E-C195-4DE5-9EBD-29F675AA46A9}" name="LOSSES" dataDxfId="1060"/>
    <tableColumn id="15" xr3:uid="{0D293406-9E24-4263-9E33-DB7111261683}" name="WinPCT" dataDxfId="1059"/>
    <tableColumn id="16" xr3:uid="{D33A1B39-EB00-4A38-917C-7258EB00BAD4}" name="LeagueRank" dataDxfId="1058"/>
    <tableColumn id="17" xr3:uid="{E960C23C-47AA-429B-8DE4-5B04C3DB3936}" name="Record" dataDxfId="1057"/>
    <tableColumn id="18" xr3:uid="{58B15C58-D646-4547-9540-76392AB9B8A8}" name="HOME" dataDxfId="1056"/>
    <tableColumn id="19" xr3:uid="{40ED9BC8-95E4-4DB1-9483-3256D5F30A2A}" name="ROAD" dataDxfId="1055"/>
    <tableColumn id="20" xr3:uid="{BB1FDEE6-FE57-4B82-85FA-9CCC4351C80E}" name="L10" dataDxfId="1054"/>
    <tableColumn id="21" xr3:uid="{E177225F-94D1-45E6-BB85-728EDC30537E}" name="Last10Home" dataDxfId="1053"/>
    <tableColumn id="22" xr3:uid="{76A75D61-078A-4F40-886E-3E59042874B4}" name="Last10Road" dataDxfId="1052"/>
    <tableColumn id="23" xr3:uid="{6D33E8DC-1DC9-4072-A18D-27BDA1265BF3}" name="OT" dataDxfId="1051"/>
    <tableColumn id="24" xr3:uid="{851D258D-0275-452E-A59B-C5ACBC5FE86A}" name="ThreePTSOrLess" dataDxfId="1050"/>
    <tableColumn id="25" xr3:uid="{9B14EF0A-3FF6-4E65-8A85-C4CB13A3D61C}" name="TenPTSOrMore" dataDxfId="1049"/>
    <tableColumn id="26" xr3:uid="{CC7C4F09-C0A3-4AA0-812B-5609AD3431D2}" name="LongHomeStreak" dataDxfId="1048"/>
    <tableColumn id="27" xr3:uid="{5220BF2F-FFDD-4291-9178-EC3A06204D78}" name="strLongHomeStreak" dataDxfId="1047"/>
    <tableColumn id="28" xr3:uid="{0A6E5781-D0B7-40BE-A294-B043D102F317}" name="LongRoadStreak" dataDxfId="1046"/>
    <tableColumn id="29" xr3:uid="{74B3E917-8EF3-41E1-90E6-CB9B07F44EBB}" name="strLongRoadStreak" dataDxfId="1045"/>
    <tableColumn id="30" xr3:uid="{B17B8B0B-8146-4954-B8C2-3E8E0CAE6A41}" name="LongWinStreak" dataDxfId="1044"/>
    <tableColumn id="31" xr3:uid="{EA900A2B-A5BB-4ADF-8069-3D536E253FCE}" name="LongLossStreak" dataDxfId="1043"/>
    <tableColumn id="32" xr3:uid="{6CD81474-F180-40E9-A27E-46E21DFDF530}" name="CurrentHomeStreak" dataDxfId="1042"/>
    <tableColumn id="33" xr3:uid="{5850136C-A257-489F-B7DF-572DEC9CA919}" name="strCurrentHomeStreak" dataDxfId="1041"/>
    <tableColumn id="34" xr3:uid="{DFE0FBA4-49A4-4319-88E6-F5649C7D7A07}" name="CurrentRoadStreak" dataDxfId="1040"/>
    <tableColumn id="35" xr3:uid="{B97775BB-CBEB-405D-A20A-B174384043CB}" name="strCurrentRoadStreak" dataDxfId="1039"/>
    <tableColumn id="36" xr3:uid="{89E8D8F3-C3E1-4E4A-9654-471A4A4DDEFF}" name="CurrentStreak" dataDxfId="1038"/>
    <tableColumn id="37" xr3:uid="{223F0D72-7576-4CFF-9D07-CFCEC6DF068C}" name="strCurrentStreak" dataDxfId="1037"/>
    <tableColumn id="38" xr3:uid="{82A91FDA-FB48-43B8-9142-FF36E094E7C6}" name="ConferenceGamesBack" dataDxfId="1036"/>
    <tableColumn id="39" xr3:uid="{3AEF4BC8-AD8F-4D92-960B-6522FF1DAFF7}" name="DivisionGamesBack" dataDxfId="1035"/>
    <tableColumn id="40" xr3:uid="{3985C14A-5D55-4DE4-B831-CC5F418C3FFD}" name="ClinchedConferenceTitle" dataDxfId="1034"/>
    <tableColumn id="41" xr3:uid="{B5EF6B9A-4461-4B34-BD94-259C2C1AFC60}" name="ClinchedDivisionTitle" dataDxfId="1033"/>
    <tableColumn id="42" xr3:uid="{7308BE16-A220-4BCC-AE0E-16100BD37B6A}" name="ClinchedPlayoffBirth" dataDxfId="1032"/>
    <tableColumn id="43" xr3:uid="{A98BC1C0-44C0-4BF9-969F-0E081852FB06}" name="EliminatedConference" dataDxfId="1031"/>
    <tableColumn id="44" xr3:uid="{B8F22478-8390-4BFE-B45D-B57C6638E213}" name="EliminatedDivision" dataDxfId="1030"/>
    <tableColumn id="45" xr3:uid="{E7364BEF-0B7E-4561-9AC3-76D1B1F894A2}" name="AheadAtHalf" dataDxfId="1029"/>
    <tableColumn id="46" xr3:uid="{7F61F105-10AC-4D71-B08F-BBEC3615080F}" name="BehindAtHalf" dataDxfId="1028"/>
    <tableColumn id="47" xr3:uid="{CF45EAD5-6A71-4AB1-A5A4-9831ADA1146A}" name="TiedAtHalf" dataDxfId="1027"/>
    <tableColumn id="48" xr3:uid="{6B4295C2-43D6-431F-B250-DF9ABB758F43}" name="AheadAtThird" dataDxfId="1026"/>
    <tableColumn id="49" xr3:uid="{A6073335-A0C1-40C9-916D-FE7279BA6439}" name="BehindAtThird" dataDxfId="1025"/>
    <tableColumn id="50" xr3:uid="{214EE39F-1113-4F89-A2DF-33C77B030903}" name="TiedAtThird" dataDxfId="1024"/>
    <tableColumn id="51" xr3:uid="{B2538FF8-C34F-4361-B401-48A06167C5A3}" name="Score100PTS" dataDxfId="1023"/>
    <tableColumn id="52" xr3:uid="{C2237CD8-9555-4D9B-992D-BBA2CE448698}" name="OppScore100PTS" dataDxfId="1022"/>
    <tableColumn id="53" xr3:uid="{F5BC8F0F-CCDC-41E3-9847-23D9F1D98D00}" name="OppOver500" dataDxfId="1021"/>
    <tableColumn id="54" xr3:uid="{D3EB10B0-228A-47E8-86EC-232F4F9DFEED}" name="LeadInFGPCT" dataDxfId="1020"/>
    <tableColumn id="55" xr3:uid="{644A8CEB-E305-4BE4-A9DE-38822D44FF84}" name="LeadInReb" dataDxfId="1019"/>
    <tableColumn id="56" xr3:uid="{2719BD0D-6581-46B8-A674-7992CD64C7E5}" name="FewerTurnovers" dataDxfId="1018"/>
    <tableColumn id="57" xr3:uid="{D40D274F-88DF-4922-8CE5-9DA64ACA649C}" name="PointsPG" dataDxfId="1017"/>
    <tableColumn id="58" xr3:uid="{870220FF-4C2F-4525-87B4-EE61BE3C125E}" name="OppPointsPG" dataDxfId="1016"/>
    <tableColumn id="59" xr3:uid="{2E7A07DE-BF9D-471B-BB28-8ADE9D13FD7E}" name="DiffPointsPG" dataDxfId="1015"/>
    <tableColumn id="60" xr3:uid="{D2533DF0-0DFF-4118-B4DD-42CABAF89611}" name="vsEast" dataDxfId="1014"/>
    <tableColumn id="61" xr3:uid="{B2DF436D-A4ED-4F42-B1F1-6E3CBB922E4F}" name="vsAtlantic" dataDxfId="1013"/>
    <tableColumn id="62" xr3:uid="{2222A1E1-105C-42B0-A8BC-7D495DC027EA}" name="vsCentral" dataDxfId="1012"/>
    <tableColumn id="63" xr3:uid="{04C996AC-C38C-4BF1-8FAC-AA19A6DF989E}" name="vsSoutheast" dataDxfId="1011"/>
    <tableColumn id="64" xr3:uid="{FF61410F-0AC6-4D6F-BD32-3D50841BCCD5}" name="vsWest" dataDxfId="1010"/>
    <tableColumn id="65" xr3:uid="{73CB3C0F-85E4-4D40-B95C-B705076C9D37}" name="vsNorthwest" dataDxfId="1009"/>
    <tableColumn id="66" xr3:uid="{0AA87E98-6FC5-49E4-98B3-7CB6EA578802}" name="vsPacific" dataDxfId="1008"/>
    <tableColumn id="67" xr3:uid="{53334CB8-ABB5-4D4E-932F-12B574734005}" name="vsSouthwest" dataDxfId="1007"/>
    <tableColumn id="68" xr3:uid="{5E3304DF-B1E9-4450-A02F-ADAB1FBFF406}" name="Jan" dataDxfId="1006"/>
    <tableColumn id="69" xr3:uid="{FB35F00E-9C09-4F4C-9670-C16389D592BD}" name="Feb" dataDxfId="1005"/>
    <tableColumn id="70" xr3:uid="{B3C1DE8D-5CC8-4666-A7F0-A0CC5F8E6CA5}" name="Mar" dataDxfId="1004"/>
    <tableColumn id="71" xr3:uid="{547FE3E2-D934-4A8C-AE3E-9B974F3751CE}" name="Apr" dataDxfId="1003"/>
    <tableColumn id="72" xr3:uid="{63DA9028-854C-4BD6-B42A-28A9E15976E1}" name="May" dataDxfId="1002"/>
    <tableColumn id="73" xr3:uid="{A664127B-B429-4DA9-BB08-A8A5BE93E037}" name="Jun" dataDxfId="1001"/>
    <tableColumn id="74" xr3:uid="{AD43B774-B857-4812-A36A-C921400E4E3B}" name="Jul" dataDxfId="1000"/>
    <tableColumn id="75" xr3:uid="{D742ECB4-012D-4C86-9AC1-BB4918C13268}" name="Aug" dataDxfId="999"/>
    <tableColumn id="76" xr3:uid="{B055CA0D-A344-421D-82B9-476C11B137FD}" name="Sep" dataDxfId="998"/>
    <tableColumn id="77" xr3:uid="{5F653CA1-2BA1-4522-8B70-E187C92DB26A}" name="Oct" dataDxfId="997"/>
    <tableColumn id="78" xr3:uid="{EA202DC8-7F5A-4032-AFC2-273ACDB719DB}" name="Nov" dataDxfId="996"/>
    <tableColumn id="79" xr3:uid="{3218CACD-0AD1-4ECA-A84F-5A4BB84C3A9D}" name="Dec" dataDxfId="995"/>
    <tableColumn id="80" xr3:uid="{E112CFB2-05A6-4986-91A9-2FC2A2501205}" name="PreAS" dataDxfId="994"/>
    <tableColumn id="81" xr3:uid="{4A541884-D888-464D-8D20-358199F86D4D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E0529D-DA81-4C40-82EA-0D852D9AE0B4}" name="TableBaseN" displayName="TableBaseN" ref="A1:BD31" totalsRowShown="0" headerRowDxfId="853">
  <autoFilter ref="A1:BD31" xr:uid="{BE4C10BC-679B-4B18-A90F-21BE1D1030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66600D1-29A3-44C9-900D-4991374A306D}" name="TEAM_ID" dataDxfId="909"/>
    <tableColumn id="2" xr3:uid="{58941949-9372-4B15-A0F4-2A3166FDE239}" name="TEAM_NAME" dataDxfId="908"/>
    <tableColumn id="3" xr3:uid="{B0E6CCC8-6FE0-4953-91A9-A049B13FDF57}" name="GP" dataDxfId="907"/>
    <tableColumn id="4" xr3:uid="{998A3FD7-2000-44DB-970B-A07CD2D4C64F}" name="W" dataDxfId="906"/>
    <tableColumn id="5" xr3:uid="{FA170C6D-2040-41BC-92CF-925B2527050F}" name="L" dataDxfId="905"/>
    <tableColumn id="6" xr3:uid="{DE327670-7C47-4301-BA25-B83E8D2C2A7C}" name="W_PCT" dataDxfId="904"/>
    <tableColumn id="7" xr3:uid="{70879E02-D434-46C2-BF93-495BB87E701A}" name="MIN" dataDxfId="903"/>
    <tableColumn id="8" xr3:uid="{CE260C79-813B-4B8F-892E-3872B77AA75C}" name="FGM" dataDxfId="902"/>
    <tableColumn id="9" xr3:uid="{C576A078-27F6-4CC2-8D02-9F91FB45A4AB}" name="FGA" dataDxfId="901"/>
    <tableColumn id="10" xr3:uid="{70A48DD0-0689-4CEA-BAB5-0F9B2DEDC1A8}" name="FG_PCT" dataDxfId="900"/>
    <tableColumn id="11" xr3:uid="{A66B091B-AE14-4155-BF85-22465B86AF54}" name="FG3M" dataDxfId="899"/>
    <tableColumn id="12" xr3:uid="{109D7FB0-EA55-480B-8812-DE9A9C326CFE}" name="FG3A" dataDxfId="898"/>
    <tableColumn id="13" xr3:uid="{AB7F3456-2864-4B75-90DE-E37CE1ED9375}" name="FG3_PCT" dataDxfId="897"/>
    <tableColumn id="14" xr3:uid="{E84854E7-8097-4666-AD26-B2404E23AE7D}" name="FTM" dataDxfId="896"/>
    <tableColumn id="15" xr3:uid="{10F55122-69CB-4049-9B80-AD4422F3A9DF}" name="FTA" dataDxfId="895"/>
    <tableColumn id="16" xr3:uid="{FF037ACC-C445-4603-BDF7-BEFDCD9B5F85}" name="FT_PCT" dataDxfId="894"/>
    <tableColumn id="17" xr3:uid="{EDEB1901-10C8-42D6-8D5D-F4641EA913D7}" name="OREB" dataDxfId="893"/>
    <tableColumn id="18" xr3:uid="{DFDBFA55-4B68-4D84-8641-6ABCDD5BFE51}" name="DREB" dataDxfId="892"/>
    <tableColumn id="19" xr3:uid="{D2FCE6A8-FCFE-44B9-9CED-950334837294}" name="REB" dataDxfId="891"/>
    <tableColumn id="20" xr3:uid="{9F8117A1-7E46-4CD9-BBEF-7FE66CE0240C}" name="AST" dataDxfId="890"/>
    <tableColumn id="21" xr3:uid="{FC19B190-FB29-4035-B931-725E0C04A6E0}" name="TOV" dataDxfId="889"/>
    <tableColumn id="22" xr3:uid="{FC350A88-FF8C-41C1-A3B5-7FE9D23C2493}" name="STL" dataDxfId="888"/>
    <tableColumn id="23" xr3:uid="{CE246B3D-7F4B-468B-A000-A334ECB47B40}" name="BLK" dataDxfId="887"/>
    <tableColumn id="24" xr3:uid="{49D60ED6-014D-4CF3-B320-444DB6FF52DE}" name="BLKA" dataDxfId="886"/>
    <tableColumn id="25" xr3:uid="{66D9C5B4-195B-4A7D-9D51-3FB1632B669A}" name="PF" dataDxfId="885"/>
    <tableColumn id="26" xr3:uid="{A1271110-0642-4968-BF57-E95397E5BB27}" name="PFD" dataDxfId="884"/>
    <tableColumn id="27" xr3:uid="{5F8BBF3A-D70B-4996-8635-F73FF687D941}" name="PTS" dataDxfId="883"/>
    <tableColumn id="28" xr3:uid="{0B53AD13-4731-4B09-BB2E-BC75A368CCBF}" name="PLUS_MINUS" dataDxfId="882"/>
    <tableColumn id="29" xr3:uid="{C44ABDC5-9BF4-4642-9AD0-B22762489DE8}" name="GP_RANK" dataDxfId="881"/>
    <tableColumn id="30" xr3:uid="{A3D6A954-5EC0-43DF-90BC-D19F5C3492D2}" name="W_RANK" dataDxfId="880"/>
    <tableColumn id="31" xr3:uid="{B579E1FD-85B5-49C9-98D0-63BF4AADABA3}" name="L_RANK" dataDxfId="879"/>
    <tableColumn id="32" xr3:uid="{945A2D4C-CF15-4A7A-9802-A01586CDC649}" name="W_PCT_RANK" dataDxfId="878"/>
    <tableColumn id="33" xr3:uid="{9120F63B-FAB1-4E3A-A2D8-925A7940CFFA}" name="MIN_RANK" dataDxfId="877"/>
    <tableColumn id="34" xr3:uid="{F5AEE3C1-F1E0-4862-8E60-95D672AF33B9}" name="FGM_RANK" dataDxfId="876"/>
    <tableColumn id="35" xr3:uid="{58C167B4-CAA9-440F-8B92-365BAD421BEC}" name="FGA_RANK" dataDxfId="875"/>
    <tableColumn id="36" xr3:uid="{455CFAF5-48AD-4E14-8881-ED8839710D34}" name="FG_PCT_RANK" dataDxfId="874"/>
    <tableColumn id="37" xr3:uid="{82F5B9A1-5EE3-4B5F-966A-99FA30A2D2ED}" name="FG3M_RANK" dataDxfId="873"/>
    <tableColumn id="38" xr3:uid="{EF41E94F-36D9-4DE4-AC11-0A0CD32F49B5}" name="FG3A_RANK" dataDxfId="872"/>
    <tableColumn id="39" xr3:uid="{F4B06C1C-1B6E-4B55-8EA8-28CD5DC5ED0B}" name="FG3_PCT_RANK" dataDxfId="871"/>
    <tableColumn id="40" xr3:uid="{4A51386A-BD91-44A3-8AA1-A32EBDB2B70E}" name="FTM_RANK" dataDxfId="870"/>
    <tableColumn id="41" xr3:uid="{CD5A18C0-4BE1-4B20-BB38-8E78E88ACE86}" name="FTA_RANK" dataDxfId="869"/>
    <tableColumn id="42" xr3:uid="{74406A54-06BB-444E-8612-204BFDA0194B}" name="FT_PCT_RANK" dataDxfId="868"/>
    <tableColumn id="43" xr3:uid="{94D0221C-3AC2-4FE4-B08C-42BAF42E1F0E}" name="OREB_RANK" dataDxfId="867"/>
    <tableColumn id="44" xr3:uid="{0F379DF7-E013-40EC-94F8-6018DAF2E09F}" name="DREB_RANK" dataDxfId="866"/>
    <tableColumn id="45" xr3:uid="{25CA6426-E2C4-42C0-B0B3-32468C1DD2C9}" name="REB_RANK" dataDxfId="865"/>
    <tableColumn id="46" xr3:uid="{166E1DBA-DAE4-4F4F-B971-81E320DA9D1D}" name="AST_RANK" dataDxfId="864"/>
    <tableColumn id="47" xr3:uid="{D837C3F0-8623-4FA6-B94F-954DAB8953A4}" name="TOV_RANK" dataDxfId="863"/>
    <tableColumn id="48" xr3:uid="{7FF7F2FC-05E5-46FA-92B8-5E2F224DD642}" name="STL_RANK" dataDxfId="862"/>
    <tableColumn id="49" xr3:uid="{4B8F37B1-CDC7-4439-90C2-89380B4409EB}" name="BLK_RANK" dataDxfId="861"/>
    <tableColumn id="50" xr3:uid="{611D2115-F46B-4D48-A9F1-87509FBB9264}" name="BLKA_RANK" dataDxfId="860"/>
    <tableColumn id="51" xr3:uid="{12CFE664-1EF2-4624-BA12-2399345821D2}" name="PF_RANK" dataDxfId="859"/>
    <tableColumn id="52" xr3:uid="{A2E76733-A6CD-452A-8E73-411A41DB481E}" name="PFD_RANK" dataDxfId="858"/>
    <tableColumn id="53" xr3:uid="{23B68CA7-75B9-4ACB-9071-2A7964A11665}" name="PTS_RANK" dataDxfId="857"/>
    <tableColumn id="54" xr3:uid="{02F8B0F6-2A87-405E-B1B3-0F7C92093970}" name="PLUS_MINUS_RANK" dataDxfId="856"/>
    <tableColumn id="55" xr3:uid="{588D8121-2B2C-42A6-849A-C8066662EC6B}" name="CFID" dataDxfId="855"/>
    <tableColumn id="56" xr3:uid="{64074543-B902-49F5-942B-4DE34F0C08CB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48B61B-E5B0-42C8-B0EC-A419C70CB8F7}" name="TableAdvancedN" displayName="TableAdvancedN" ref="A1:AV31" totalsRowShown="0" headerRowDxfId="747">
  <autoFilter ref="A1:AV31" xr:uid="{CC5FF46A-71C6-4A3E-9EF4-CFE3A72A15C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A316987-C18A-4D43-9FE8-1B275E546289}" name="TEAM_ID" dataDxfId="795"/>
    <tableColumn id="2" xr3:uid="{BB676D84-D80E-4299-886A-2A8EB6EB3CD0}" name="TEAM_NAME" dataDxfId="794"/>
    <tableColumn id="3" xr3:uid="{F6FC1CB0-8743-4857-B708-C9B2A5FEFC54}" name="GP" dataDxfId="793"/>
    <tableColumn id="4" xr3:uid="{D4532152-D09E-4B19-83CB-3E0780CB6DD7}" name="W" dataDxfId="792"/>
    <tableColumn id="5" xr3:uid="{C652178B-0A3B-4A24-ABB3-0930F1AB71DF}" name="L" dataDxfId="791"/>
    <tableColumn id="6" xr3:uid="{6BFD1D62-5B83-497C-B47A-8010C1DAB80D}" name="W_PCT" dataDxfId="790"/>
    <tableColumn id="7" xr3:uid="{CD3154D9-A819-4496-B62A-BF0CDDF83F7C}" name="MIN" dataDxfId="789"/>
    <tableColumn id="8" xr3:uid="{A05EF644-5240-40AE-ADE9-C7F8A08BD24B}" name="E_OFF_RATING" dataDxfId="788"/>
    <tableColumn id="9" xr3:uid="{C9AC2DD3-6212-4A4A-85B9-22C4F467B72B}" name="OFF_RATING" dataDxfId="787"/>
    <tableColumn id="10" xr3:uid="{5A3B8958-5941-4B47-A4AE-2C4FAA9F59B1}" name="E_DEF_RATING" dataDxfId="786"/>
    <tableColumn id="11" xr3:uid="{B0511BC6-4DB5-40AF-BC16-DD718698E89C}" name="DEF_RATING" dataDxfId="785"/>
    <tableColumn id="12" xr3:uid="{87A53A63-B27A-448F-82B3-7654C8A746DD}" name="E_NET_RATING" dataDxfId="784"/>
    <tableColumn id="13" xr3:uid="{402E28FD-5493-409F-AC79-EA6A9A520FD5}" name="NET_RATING" dataDxfId="783"/>
    <tableColumn id="14" xr3:uid="{C6B9B794-EA12-49BC-BD63-A33A1048F05C}" name="AST_PCT" dataDxfId="782"/>
    <tableColumn id="15" xr3:uid="{CB332DC9-44DE-4E92-87AE-A8C90213DC0A}" name="AST_TO" dataDxfId="781"/>
    <tableColumn id="16" xr3:uid="{FDEEDBF9-514A-4B81-976F-DCFEADE83811}" name="AST_RATIO" dataDxfId="780"/>
    <tableColumn id="17" xr3:uid="{9B0C5187-D2BD-4A72-BFAA-F796BBB1F3E6}" name="OREB_PCT" dataDxfId="779"/>
    <tableColumn id="18" xr3:uid="{8CA7EBF6-641E-4263-A225-1E4179970C81}" name="DREB_PCT" dataDxfId="778"/>
    <tableColumn id="19" xr3:uid="{74CF92C3-B22F-4B32-BD8D-719920D90ABC}" name="REB_PCT" dataDxfId="777"/>
    <tableColumn id="20" xr3:uid="{30DF251F-A94C-4A8D-AA31-12B99FAFA18A}" name="TM_TOV_PCT" dataDxfId="776"/>
    <tableColumn id="21" xr3:uid="{80281187-C298-4A0C-A9A3-D301A1748B1C}" name="EFG_PCT" dataDxfId="775"/>
    <tableColumn id="22" xr3:uid="{B4327C34-DA85-457B-9BE4-2FFD04D83723}" name="TS_PCT" dataDxfId="774"/>
    <tableColumn id="23" xr3:uid="{F8E8962B-3BD5-4BD7-B76F-79D2A13D1757}" name="E_PACE" dataDxfId="773"/>
    <tableColumn id="24" xr3:uid="{C9E4B8F8-27BE-4228-8405-921B4B4E5B1C}" name="PACE" dataDxfId="772"/>
    <tableColumn id="25" xr3:uid="{98C81CFE-68A6-44D7-9EB7-82A50AC97EA2}" name="PACE_PER40" dataDxfId="771"/>
    <tableColumn id="26" xr3:uid="{2574D77F-E792-4C0B-989A-ADFDB2209999}" name="POSS" dataDxfId="770"/>
    <tableColumn id="27" xr3:uid="{AC2FF062-BCD0-4717-8D49-61DB72474BA3}" name="PIE" dataDxfId="769"/>
    <tableColumn id="28" xr3:uid="{DB94AE1E-C9CE-4FBA-9200-379DB24F72AA}" name="GP_RANK" dataDxfId="768"/>
    <tableColumn id="29" xr3:uid="{F5C81E34-9353-4ADD-9874-E466FFCC7310}" name="W_RANK" dataDxfId="767"/>
    <tableColumn id="30" xr3:uid="{742A8837-9D9B-4421-8DFA-77F0037B2A6E}" name="L_RANK" dataDxfId="766"/>
    <tableColumn id="31" xr3:uid="{388C34EC-BC4F-45EB-B632-4B55FD9FDA21}" name="W_PCT_RANK" dataDxfId="765"/>
    <tableColumn id="32" xr3:uid="{A7D82651-9307-42F0-BFD7-6B76FD8BA90D}" name="MIN_RANK" dataDxfId="764"/>
    <tableColumn id="33" xr3:uid="{0CCD5DCD-B02E-48B5-AA5B-E0F6C1370900}" name="OFF_RATING_RANK" dataDxfId="763"/>
    <tableColumn id="34" xr3:uid="{3BD035F7-E7BE-43CA-8EF1-9BBB4307F3F7}" name="DEF_RATING_RANK" dataDxfId="762"/>
    <tableColumn id="35" xr3:uid="{3C00BF0D-1E87-417C-BC68-B1BA13A40691}" name="NET_RATING_RANK" dataDxfId="761"/>
    <tableColumn id="36" xr3:uid="{43E8CAD8-F86D-4966-B330-E0D154D84112}" name="AST_PCT_RANK" dataDxfId="760"/>
    <tableColumn id="37" xr3:uid="{974C0A9E-C006-4FB6-BB36-98467D189046}" name="AST_TO_RANK" dataDxfId="759"/>
    <tableColumn id="38" xr3:uid="{D7D3C284-2690-4F64-92B3-C4D1295834CB}" name="AST_RATIO_RANK" dataDxfId="758"/>
    <tableColumn id="39" xr3:uid="{5C0D5779-068B-4BDE-BA71-4D76888CD0F9}" name="OREB_PCT_RANK" dataDxfId="757"/>
    <tableColumn id="40" xr3:uid="{9531FAEF-3475-40D0-B768-DEFFF1D51B59}" name="DREB_PCT_RANK" dataDxfId="756"/>
    <tableColumn id="41" xr3:uid="{9576B9F3-7C52-4895-8CFE-7D125F72B3E5}" name="REB_PCT_RANK" dataDxfId="755"/>
    <tableColumn id="42" xr3:uid="{101155F8-4336-463C-A388-8DEF6DB487E0}" name="TM_TOV_PCT_RANK" dataDxfId="754"/>
    <tableColumn id="43" xr3:uid="{08DB050F-4A20-48BD-962B-8DA9F80BC086}" name="EFG_PCT_RANK" dataDxfId="753"/>
    <tableColumn id="44" xr3:uid="{447AE94A-8EBA-4264-B4E3-7F5B0C8213FA}" name="TS_PCT_RANK" dataDxfId="752"/>
    <tableColumn id="45" xr3:uid="{91553C6E-F74E-40EC-A07B-7990AC28DF52}" name="PACE_RANK" dataDxfId="751"/>
    <tableColumn id="46" xr3:uid="{95A2BA7F-9786-48E0-B787-D7E3B9BD327E}" name="PIE_RANK" dataDxfId="750"/>
    <tableColumn id="47" xr3:uid="{7C76F5B2-BA40-4FEF-BD8C-4933FA6EEF40}" name="CFID" dataDxfId="749"/>
    <tableColumn id="48" xr3:uid="{4109B018-F1B4-40B0-BE1C-414AAD9795A5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D70738D-5BBC-4324-843E-1394974BF7DD}" name="TableAdvancedNStarters" displayName="TableAdvancedNStarters" ref="A1:AV31" totalsRowShown="0" headerRowDxfId="649">
  <autoFilter ref="A1:AV31" xr:uid="{F44328A2-7718-4D7D-90C5-8CEE460201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E9B0C6E-95EC-4ED5-94D3-6B630732215F}" name="TEAM_ID" dataDxfId="697"/>
    <tableColumn id="2" xr3:uid="{5BE9D528-5A6F-41BA-98C8-56E068EF7712}" name="TEAM_NAME" dataDxfId="696"/>
    <tableColumn id="3" xr3:uid="{D30C3D5A-A165-402F-AC51-C469625047E3}" name="GP" dataDxfId="695"/>
    <tableColumn id="4" xr3:uid="{23916867-8C1C-4665-9FE8-19FDC3780D84}" name="W" dataDxfId="694"/>
    <tableColumn id="5" xr3:uid="{811FEFA6-0F4B-4E43-982A-F84B45A64834}" name="L" dataDxfId="693"/>
    <tableColumn id="6" xr3:uid="{7A4BCF67-86C7-4261-BD3D-5A028BFB7453}" name="W_PCT" dataDxfId="692"/>
    <tableColumn id="7" xr3:uid="{11ECE120-21A4-4F2C-A636-0B610DA1FADC}" name="MIN" dataDxfId="691"/>
    <tableColumn id="8" xr3:uid="{DAA83800-FD35-4FF1-85AF-1F8303B36A53}" name="E_OFF_RATING" dataDxfId="690"/>
    <tableColumn id="9" xr3:uid="{03C6C101-1731-4543-9D0E-BA1B55C35B84}" name="OFF_RATING" dataDxfId="689"/>
    <tableColumn id="10" xr3:uid="{9FB3548C-7D8F-44DC-A8A1-F6995B684718}" name="E_DEF_RATING" dataDxfId="688"/>
    <tableColumn id="11" xr3:uid="{3E7698E5-95ED-44BD-8458-F1BC099BDB24}" name="DEF_RATING" dataDxfId="687"/>
    <tableColumn id="12" xr3:uid="{8A2AF233-1482-4964-AEB5-FC42CFE5231E}" name="E_NET_RATING" dataDxfId="686"/>
    <tableColumn id="13" xr3:uid="{466E85FB-DDCC-409E-BB87-562BECEB42DF}" name="NET_RATING" dataDxfId="685"/>
    <tableColumn id="14" xr3:uid="{69B64B6C-6C0B-48A9-BB30-CF293C2EE36D}" name="AST_PCT" dataDxfId="684"/>
    <tableColumn id="15" xr3:uid="{E18CC1C0-516B-4C40-9724-A032481B2BBE}" name="AST_TO" dataDxfId="683"/>
    <tableColumn id="16" xr3:uid="{7A77070B-B7FB-4AA1-A458-3C1E0EC552FA}" name="AST_RATIO" dataDxfId="682"/>
    <tableColumn id="17" xr3:uid="{B048BD28-0B97-4E09-A0AA-D7C7383FCC83}" name="OREB_PCT" dataDxfId="681"/>
    <tableColumn id="18" xr3:uid="{2ABDC908-7C7A-4C3F-9667-F8283D65945C}" name="DREB_PCT" dataDxfId="680"/>
    <tableColumn id="19" xr3:uid="{D6CFCF43-4283-4E04-A72C-CD37CCB8E3EA}" name="REB_PCT" dataDxfId="679"/>
    <tableColumn id="20" xr3:uid="{CD960539-6031-4FA8-BFC2-B0DEE203AB2F}" name="TM_TOV_PCT" dataDxfId="678"/>
    <tableColumn id="21" xr3:uid="{42C9F881-F9E0-4A55-842F-46D26A88D10C}" name="EFG_PCT" dataDxfId="677"/>
    <tableColumn id="22" xr3:uid="{EB366E0C-D529-42FD-955F-5817FD38B590}" name="TS_PCT" dataDxfId="676"/>
    <tableColumn id="23" xr3:uid="{060DB84D-CE86-46D5-8C59-200911021F00}" name="E_PACE" dataDxfId="675"/>
    <tableColumn id="24" xr3:uid="{C1E96CC4-124C-4816-9224-3788FB2CF790}" name="PACE" dataDxfId="674"/>
    <tableColumn id="25" xr3:uid="{8AAFC7A1-2F6F-4E7D-B0F0-E511FD6B0971}" name="PACE_PER40" dataDxfId="673"/>
    <tableColumn id="26" xr3:uid="{F0293A14-9B12-4EB0-8F7B-9089A55BE87D}" name="POSS" dataDxfId="672"/>
    <tableColumn id="27" xr3:uid="{3E44A239-AD26-4DDB-ADAE-C28554D19656}" name="PIE" dataDxfId="671"/>
    <tableColumn id="28" xr3:uid="{8381792C-669C-4B62-977F-A3911C9798BF}" name="GP_RANK" dataDxfId="670"/>
    <tableColumn id="29" xr3:uid="{C164FCE5-7842-4456-9CD4-54B1A9417718}" name="W_RANK" dataDxfId="669"/>
    <tableColumn id="30" xr3:uid="{3707D3AE-13DB-46F8-B63F-06D0BE8AEC28}" name="L_RANK" dataDxfId="668"/>
    <tableColumn id="31" xr3:uid="{5831D008-6821-4E45-A00E-3F23686FB35D}" name="W_PCT_RANK" dataDxfId="667"/>
    <tableColumn id="32" xr3:uid="{61730641-80BE-48A1-9506-F756001487D5}" name="MIN_RANK" dataDxfId="666"/>
    <tableColumn id="33" xr3:uid="{867F943C-8C56-4D26-863D-FCC235E9854D}" name="OFF_RATING_RANK" dataDxfId="665"/>
    <tableColumn id="34" xr3:uid="{52A3979B-4B66-42FF-872C-1B48ADB13628}" name="DEF_RATING_RANK" dataDxfId="664"/>
    <tableColumn id="35" xr3:uid="{B3B8CB57-F1F3-4F84-B887-BB70D03CFBBF}" name="NET_RATING_RANK" dataDxfId="663"/>
    <tableColumn id="36" xr3:uid="{AF2C396E-2148-44E8-82B5-0507704CE7C8}" name="AST_PCT_RANK" dataDxfId="662"/>
    <tableColumn id="37" xr3:uid="{A61F4F4E-5BB6-496B-A04E-B6EB3F9AABB1}" name="AST_TO_RANK" dataDxfId="661"/>
    <tableColumn id="38" xr3:uid="{BB5F798A-7363-4DF8-A229-3031FA3F3136}" name="AST_RATIO_RANK" dataDxfId="660"/>
    <tableColumn id="39" xr3:uid="{BCA74479-A79A-4041-A2D8-4739322A7974}" name="OREB_PCT_RANK" dataDxfId="659"/>
    <tableColumn id="40" xr3:uid="{2A13C1EA-0E62-4E8D-8B60-884371039ADA}" name="DREB_PCT_RANK" dataDxfId="658"/>
    <tableColumn id="41" xr3:uid="{F963C2A1-BD73-49AE-8D91-037BA0AE5ECA}" name="REB_PCT_RANK" dataDxfId="657"/>
    <tableColumn id="42" xr3:uid="{DC8E4A68-4118-47E4-926D-E6B262D6AA6E}" name="TM_TOV_PCT_RANK" dataDxfId="656"/>
    <tableColumn id="43" xr3:uid="{F50FA537-A116-431D-BB6E-461A46C0FF7E}" name="EFG_PCT_RANK" dataDxfId="655"/>
    <tableColumn id="44" xr3:uid="{43CB6235-AC80-4AD3-9C9D-F34E9D25AEEF}" name="TS_PCT_RANK" dataDxfId="654"/>
    <tableColumn id="45" xr3:uid="{E6801459-1FEC-4276-9192-953FD118558E}" name="PACE_RANK" dataDxfId="653"/>
    <tableColumn id="46" xr3:uid="{0F23C466-D86C-4002-92D8-C5C2816555A2}" name="PIE_RANK" dataDxfId="652"/>
    <tableColumn id="47" xr3:uid="{1EF6C409-408E-421F-9F6C-768157271A24}" name="CFID" dataDxfId="651"/>
    <tableColumn id="48" xr3:uid="{0EDD7928-5E5B-4E0F-9812-734FEFF271C7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FD9D6B-0849-4FD4-8D67-7B564A75BB7C}" name="TableAdvancedNBench" displayName="TableAdvancedNBench" ref="A1:AV31" totalsRowShown="0" headerRowDxfId="551">
  <autoFilter ref="A1:AV31" xr:uid="{0339C6AB-4588-499D-95BA-1547625687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F1EFDEB-7179-41C2-B495-FA45BAAD8416}" name="TEAM_ID" dataDxfId="599"/>
    <tableColumn id="2" xr3:uid="{A9F023C5-1FE9-452D-82AC-56547BDC9C5C}" name="TEAM_NAME" dataDxfId="598"/>
    <tableColumn id="3" xr3:uid="{CE7014EA-1CDB-44C6-B996-ADE56A7285F9}" name="GP" dataDxfId="597"/>
    <tableColumn id="4" xr3:uid="{1595BF0D-B68C-4A35-A686-C22A2EEA6978}" name="W" dataDxfId="596"/>
    <tableColumn id="5" xr3:uid="{82FC5DC1-5DAC-4869-B601-4A405A22C7D1}" name="L" dataDxfId="595"/>
    <tableColumn id="6" xr3:uid="{2E19F6E2-36EC-4BC4-BB85-FFDA79CC32E1}" name="W_PCT" dataDxfId="594"/>
    <tableColumn id="7" xr3:uid="{C0FE19F2-41F0-4A24-8D39-9D0FF94EC4C4}" name="MIN" dataDxfId="593"/>
    <tableColumn id="8" xr3:uid="{6AF7D2A3-A0CE-4088-9613-43F1C71CEC2D}" name="E_OFF_RATING" dataDxfId="592"/>
    <tableColumn id="9" xr3:uid="{BE677A36-5D47-4B9F-BC33-938F4E57CEE8}" name="OFF_RATING" dataDxfId="591"/>
    <tableColumn id="10" xr3:uid="{44E7AF93-DA5B-4E11-A562-38AFDB8377B3}" name="E_DEF_RATING" dataDxfId="590"/>
    <tableColumn id="11" xr3:uid="{C2A6DC88-E25B-4067-AFBB-428D5ADAB0AC}" name="DEF_RATING" dataDxfId="589"/>
    <tableColumn id="12" xr3:uid="{24256863-A18A-4251-A54D-666991274B65}" name="E_NET_RATING" dataDxfId="588"/>
    <tableColumn id="13" xr3:uid="{AC3DD505-F9B1-4E03-AA78-2A293FC3D39E}" name="NET_RATING" dataDxfId="587"/>
    <tableColumn id="14" xr3:uid="{7CB73219-F8E2-4F30-9B19-E9A43D42A789}" name="AST_PCT" dataDxfId="586"/>
    <tableColumn id="15" xr3:uid="{0F4E01FF-9245-4C6E-A3BE-096960EF3B68}" name="AST_TO" dataDxfId="585"/>
    <tableColumn id="16" xr3:uid="{ADB03646-CCA2-4E73-B7EE-2A525E9EFF98}" name="AST_RATIO" dataDxfId="584"/>
    <tableColumn id="17" xr3:uid="{AE0C90BE-7213-4581-AB53-C6124C11F86C}" name="OREB_PCT" dataDxfId="583"/>
    <tableColumn id="18" xr3:uid="{6D709C31-6B70-4DA6-91DA-4C3A885BB846}" name="DREB_PCT" dataDxfId="582"/>
    <tableColumn id="19" xr3:uid="{8FE03AE1-CFA2-4CF8-B113-F9EE35D1A076}" name="REB_PCT" dataDxfId="581"/>
    <tableColumn id="20" xr3:uid="{D1D9AAB7-9226-42CC-9B90-047E7189EADE}" name="TM_TOV_PCT" dataDxfId="580"/>
    <tableColumn id="21" xr3:uid="{CA526AFD-A51B-44D1-81FA-C9D94B8B0AC2}" name="EFG_PCT" dataDxfId="579"/>
    <tableColumn id="22" xr3:uid="{A325D3F2-8598-4AF0-8EF2-982789C8CD54}" name="TS_PCT" dataDxfId="578"/>
    <tableColumn id="23" xr3:uid="{3A30E46D-EECC-4BA2-9459-0981C3263F77}" name="E_PACE" dataDxfId="577"/>
    <tableColumn id="24" xr3:uid="{67D41ECF-79B9-4233-8898-D94F8E5CF535}" name="PACE" dataDxfId="576"/>
    <tableColumn id="25" xr3:uid="{839DB057-B68C-4B8A-9C45-4DA1371F984F}" name="PACE_PER40" dataDxfId="575"/>
    <tableColumn id="26" xr3:uid="{08E0437F-8375-4419-A7FB-2A59E4B43BE2}" name="POSS" dataDxfId="574"/>
    <tableColumn id="27" xr3:uid="{182AB00C-08F9-45D4-9958-1EF04C1D7572}" name="PIE" dataDxfId="573"/>
    <tableColumn id="28" xr3:uid="{42412707-E73B-4370-888F-DFF6AAB2C5D0}" name="GP_RANK" dataDxfId="572"/>
    <tableColumn id="29" xr3:uid="{9E42E3BA-77BB-4929-A5F6-A0DE2E73B20D}" name="W_RANK" dataDxfId="571"/>
    <tableColumn id="30" xr3:uid="{48DE1EB2-D8F7-4CA3-B4E9-41D4779FEC8B}" name="L_RANK" dataDxfId="570"/>
    <tableColumn id="31" xr3:uid="{6B17FC48-3BA5-49D8-867A-F751FC1CEDEC}" name="W_PCT_RANK" dataDxfId="569"/>
    <tableColumn id="32" xr3:uid="{CC9100B0-06D5-426F-94E8-0195E6297085}" name="MIN_RANK" dataDxfId="568"/>
    <tableColumn id="33" xr3:uid="{AF5A0436-CF1A-45C8-B449-4EC18B3909DB}" name="OFF_RATING_RANK" dataDxfId="567"/>
    <tableColumn id="34" xr3:uid="{870F4F7B-154A-464D-8610-0C5E7C08629E}" name="DEF_RATING_RANK" dataDxfId="566"/>
    <tableColumn id="35" xr3:uid="{B060FAB2-7475-415B-99D7-CB63F77DC604}" name="NET_RATING_RANK" dataDxfId="565"/>
    <tableColumn id="36" xr3:uid="{F3A2B5BF-53BD-4E9B-898F-75470AA9FEFB}" name="AST_PCT_RANK" dataDxfId="564"/>
    <tableColumn id="37" xr3:uid="{B2C58F9C-B6E6-414A-8DDB-8C277615629C}" name="AST_TO_RANK" dataDxfId="563"/>
    <tableColumn id="38" xr3:uid="{F63A4B18-CBC5-4FCE-B8CC-708EBF767287}" name="AST_RATIO_RANK" dataDxfId="562"/>
    <tableColumn id="39" xr3:uid="{41B095E5-7D6D-41E4-A5F3-5D1B849FDCA5}" name="OREB_PCT_RANK" dataDxfId="561"/>
    <tableColumn id="40" xr3:uid="{49FEC996-8E20-40A0-A594-A27DD9B55C3A}" name="DREB_PCT_RANK" dataDxfId="560"/>
    <tableColumn id="41" xr3:uid="{58AF0585-789A-43A9-9578-00B2073DFBCC}" name="REB_PCT_RANK" dataDxfId="559"/>
    <tableColumn id="42" xr3:uid="{6985ED57-E10F-4BB0-B6CF-6FE7DCCFDABB}" name="TM_TOV_PCT_RANK" dataDxfId="558"/>
    <tableColumn id="43" xr3:uid="{A9D29922-AB77-4D68-866E-DD7A825495F6}" name="EFG_PCT_RANK" dataDxfId="557"/>
    <tableColumn id="44" xr3:uid="{488E6A98-6213-46EC-AFB0-17905E6BF66B}" name="TS_PCT_RANK" dataDxfId="556"/>
    <tableColumn id="45" xr3:uid="{92B8579A-ADC6-4889-977B-CB894EADD329}" name="PACE_RANK" dataDxfId="555"/>
    <tableColumn id="46" xr3:uid="{D32446E7-3F51-425B-907E-1A5230916BFD}" name="PIE_RANK" dataDxfId="554"/>
    <tableColumn id="47" xr3:uid="{240590DB-25B9-4F85-99BD-0A0B963B37C9}" name="CFID" dataDxfId="553"/>
    <tableColumn id="48" xr3:uid="{46B31E21-0F4F-4039-BD70-40AA9F164C9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1061131-5A8D-4E92-8CD4-371876BDB22E}" name="TableMiscN" displayName="TableMiscN" ref="A1:AD31" totalsRowShown="0" headerRowDxfId="471">
  <autoFilter ref="A1:AD31" xr:uid="{2AE5161E-1402-4042-8381-5A595662F5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1FA1E0C-DD3D-4BF3-873D-F018B44F9E36}" name="TEAM_ID" dataDxfId="501"/>
    <tableColumn id="2" xr3:uid="{A5D0E387-E6F1-488A-AB9A-10F889CBC57F}" name="TEAM_NAME" dataDxfId="500"/>
    <tableColumn id="3" xr3:uid="{4ADAEF0C-E7BA-4965-9228-AF532797E24A}" name="GP" dataDxfId="499"/>
    <tableColumn id="4" xr3:uid="{35C72020-18C2-4F3A-AD82-6671809E4E45}" name="W" dataDxfId="498"/>
    <tableColumn id="5" xr3:uid="{E242DA35-A022-4B19-81E0-18CF5634EAFD}" name="L" dataDxfId="497"/>
    <tableColumn id="6" xr3:uid="{C2EAC44F-048D-49F8-85DB-95142393EF7B}" name="W_PCT" dataDxfId="496"/>
    <tableColumn id="7" xr3:uid="{EA6A4F3F-30E1-4A4C-BBAD-6E4BA10240E9}" name="MIN" dataDxfId="495"/>
    <tableColumn id="8" xr3:uid="{864CF813-1C6E-4577-83E3-F38865347397}" name="PTS_OFF_TOV" dataDxfId="494"/>
    <tableColumn id="9" xr3:uid="{A089705A-0B9A-4504-BF14-5D8BED5AAC11}" name="PTS_2ND_CHANCE" dataDxfId="493"/>
    <tableColumn id="10" xr3:uid="{1C4167FF-5BB2-4693-AAD0-D7BEA7DF48D8}" name="PTS_FB" dataDxfId="492"/>
    <tableColumn id="11" xr3:uid="{AD2F89EC-E313-4EC3-9C2F-BB3D4511920B}" name="PTS_PAINT" dataDxfId="491"/>
    <tableColumn id="12" xr3:uid="{0C2ACE47-1EAD-4D42-8CC9-0C9E2F47D08C}" name="OPP_PTS_OFF_TOV" dataDxfId="490"/>
    <tableColumn id="13" xr3:uid="{DF2FB666-8E04-4230-B9C7-8E85DF7E2917}" name="OPP_PTS_2ND_CHANCE" dataDxfId="489"/>
    <tableColumn id="14" xr3:uid="{2763A19F-BE85-4B81-96BC-082D8BCBBE02}" name="OPP_PTS_FB" dataDxfId="488"/>
    <tableColumn id="15" xr3:uid="{C4C3D050-81C4-4F6B-9F85-0D8E159D58DA}" name="OPP_PTS_PAINT" dataDxfId="487"/>
    <tableColumn id="16" xr3:uid="{A527FC7A-5567-4A54-95FD-A92D137F41EE}" name="GP_RANK" dataDxfId="486"/>
    <tableColumn id="17" xr3:uid="{BF8E5074-70E8-45BB-B526-EB8DBAF52D87}" name="W_RANK" dataDxfId="485"/>
    <tableColumn id="18" xr3:uid="{6D31B3CB-8DEC-43F4-B88F-0B4615E2D74D}" name="L_RANK" dataDxfId="484"/>
    <tableColumn id="19" xr3:uid="{77260652-E945-4F01-96BC-A82DC442CD08}" name="W_PCT_RANK" dataDxfId="483"/>
    <tableColumn id="20" xr3:uid="{C2B3F3BE-CFA6-463D-8140-9D650A6E85AF}" name="MIN_RANK" dataDxfId="482"/>
    <tableColumn id="21" xr3:uid="{5BD895DA-808F-421D-B50A-731C6590ECCB}" name="PTS_OFF_TOV_RANK" dataDxfId="481"/>
    <tableColumn id="22" xr3:uid="{86E57F1D-1DB6-4CB6-8778-C0EE6B8347C1}" name="PTS_2ND_CHANCE_RANK" dataDxfId="480"/>
    <tableColumn id="23" xr3:uid="{A4AB6D66-9EA0-4C53-A84D-1811177B4331}" name="PTS_FB_RANK" dataDxfId="479"/>
    <tableColumn id="24" xr3:uid="{3EBB0C00-6013-4BC4-85EF-B3390EC8695C}" name="PTS_PAINT_RANK" dataDxfId="478"/>
    <tableColumn id="25" xr3:uid="{8FC4E2C5-6D3B-455E-A52A-8E6A623FD1C7}" name="OPP_PTS_OFF_TOV_RANK" dataDxfId="477"/>
    <tableColumn id="26" xr3:uid="{2736EBCD-3AF8-4353-8BA3-AF6DEF8CCC34}" name="OPP_PTS_2ND_CHANCE_RANK" dataDxfId="476"/>
    <tableColumn id="27" xr3:uid="{A27252F1-273D-4888-A27C-F55D5A6281A1}" name="OPP_PTS_FB_RANK" dataDxfId="475"/>
    <tableColumn id="28" xr3:uid="{724EE5E4-1930-421D-A044-FE03A3A23369}" name="OPP_PTS_PAINT_RANK" dataDxfId="474"/>
    <tableColumn id="29" xr3:uid="{6C563E3A-E30D-47E7-8105-D01F07D0F937}" name="CFID" dataDxfId="473"/>
    <tableColumn id="30" xr3:uid="{451E0B64-F66B-4D51-A45C-EBF538EF0900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B809370-5DE5-4521-B8B9-B27DE0985876}" name="TableOppBaseN" displayName="TableOppBaseN" ref="A1:BD31" totalsRowShown="0" headerRowDxfId="383">
  <autoFilter ref="A1:BD31" xr:uid="{50FF8333-CDC9-43C2-A55A-9C31003DA5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F7D620C-C89E-4F65-B78C-57FEB0EA312E}" name="TEAM_ID" dataDxfId="439"/>
    <tableColumn id="2" xr3:uid="{55CAE252-EC81-46C6-99F0-15708710EB3B}" name="TEAM_NAME" dataDxfId="438"/>
    <tableColumn id="3" xr3:uid="{12A97FAE-0215-40F7-9A88-E65DB6EDBD24}" name="GP" dataDxfId="437"/>
    <tableColumn id="4" xr3:uid="{7C74835B-267A-4F98-9591-BC1D3757AA01}" name="W" dataDxfId="436"/>
    <tableColumn id="5" xr3:uid="{3D2BEE92-0C65-4D8E-8A1E-ADC34126DEF2}" name="L" dataDxfId="435"/>
    <tableColumn id="6" xr3:uid="{704DBBEA-6169-4FC9-8735-3A0B39A1B0DE}" name="W_PCT" dataDxfId="434"/>
    <tableColumn id="7" xr3:uid="{41D31738-0EE3-4261-87D7-6354134394C0}" name="MIN" dataDxfId="433"/>
    <tableColumn id="8" xr3:uid="{7F55A8EA-3DC9-4E7D-ABFB-C82E0A616B56}" name="OPP_FGM" dataDxfId="432"/>
    <tableColumn id="9" xr3:uid="{60EE9DB6-7024-4768-8580-AB48F96B0F79}" name="OPP_FGA" dataDxfId="431"/>
    <tableColumn id="10" xr3:uid="{70AEF8BA-5162-402C-A703-691897F98424}" name="OPP_FG_PCT" dataDxfId="430"/>
    <tableColumn id="11" xr3:uid="{AC5BE80D-D8C7-442E-8B14-B94AC52BCC26}" name="OPP_FG3M" dataDxfId="429"/>
    <tableColumn id="12" xr3:uid="{DF4CFA8F-C8F8-4F44-BD3E-DA5A7A915B91}" name="OPP_FG3A" dataDxfId="428"/>
    <tableColumn id="13" xr3:uid="{8DAD82B4-6411-4B6C-A8D8-E4B3C67EDDF9}" name="OPP_FG3_PCT" dataDxfId="427"/>
    <tableColumn id="14" xr3:uid="{2C4FC7A0-1A23-4F09-943C-97CDAD7A60F2}" name="OPP_FTM" dataDxfId="426"/>
    <tableColumn id="15" xr3:uid="{2AB6689B-9A90-43F5-A0B9-767C7682B795}" name="OPP_FTA" dataDxfId="425"/>
    <tableColumn id="16" xr3:uid="{AADE61BB-CE1B-4B02-B075-15410CEC0C22}" name="OPP_FT_PCT" dataDxfId="424"/>
    <tableColumn id="17" xr3:uid="{C47BFA8B-69A4-4729-83A7-DCDC3CD4C6F8}" name="OPP_OREB" dataDxfId="423"/>
    <tableColumn id="18" xr3:uid="{4DB85EA6-E876-4144-A94B-AB2A25F1BF60}" name="OPP_DREB" dataDxfId="422"/>
    <tableColumn id="19" xr3:uid="{5F7ADAAC-A469-42CD-8012-F2EA9D9711E5}" name="OPP_REB" dataDxfId="421"/>
    <tableColumn id="20" xr3:uid="{A779605F-A55B-488E-8482-8DD3A2CBA375}" name="OPP_AST" dataDxfId="420"/>
    <tableColumn id="21" xr3:uid="{C059D9D9-F26A-46A9-9EFC-18DC5FF61D38}" name="OPP_TOV" dataDxfId="419"/>
    <tableColumn id="22" xr3:uid="{DC04FF06-74A0-4EC0-95EA-7B6B20A74825}" name="OPP_STL" dataDxfId="418"/>
    <tableColumn id="23" xr3:uid="{F75C38E3-150F-49C8-BB62-6BBFACC37A65}" name="OPP_BLK" dataDxfId="417"/>
    <tableColumn id="24" xr3:uid="{635C0297-83EF-4487-A607-2F1ADC4A4A20}" name="OPP_BLKA" dataDxfId="416"/>
    <tableColumn id="25" xr3:uid="{F0D8FC53-B186-453F-A240-80F159CEFE5D}" name="OPP_PF" dataDxfId="415"/>
    <tableColumn id="26" xr3:uid="{E110CA1C-54B0-4936-9952-39F6011E536F}" name="OPP_PFD" dataDxfId="414"/>
    <tableColumn id="27" xr3:uid="{DB99C5FB-0188-4C17-A172-3A396F631CB5}" name="OPP_PTS" dataDxfId="413"/>
    <tableColumn id="28" xr3:uid="{03B43EA8-5213-4756-BC9F-25B7F5380C6B}" name="PLUS_MINUS" dataDxfId="412"/>
    <tableColumn id="29" xr3:uid="{946E5D90-1265-4461-83C7-374ECE90BD1B}" name="GP_RANK" dataDxfId="411"/>
    <tableColumn id="30" xr3:uid="{886C3690-E770-46DA-92A8-632E038D67E9}" name="W_RANK" dataDxfId="410"/>
    <tableColumn id="31" xr3:uid="{9E4AB845-32F2-4029-8174-2103F64E83B8}" name="L_RANK" dataDxfId="409"/>
    <tableColumn id="32" xr3:uid="{8736D135-68A2-4B12-B700-C28DE29F5158}" name="W_PCT_RANK" dataDxfId="408"/>
    <tableColumn id="33" xr3:uid="{73212DDB-76F6-4317-8CAD-08DD151EE23B}" name="MIN_RANK" dataDxfId="407"/>
    <tableColumn id="34" xr3:uid="{D317E65C-DEC9-4069-BD50-3F88C735ED2C}" name="OPP_FGM_RANK" dataDxfId="406"/>
    <tableColumn id="35" xr3:uid="{EB1AECD5-B8BA-4A8E-8653-2DB6CB60A39E}" name="OPP_FGA_RANK" dataDxfId="405"/>
    <tableColumn id="36" xr3:uid="{A2627D82-7345-4E00-A0F5-ECB02E005D00}" name="OPP_FG_PCT_RANK" dataDxfId="404"/>
    <tableColumn id="37" xr3:uid="{1E42D11D-7304-4825-96ED-8B97908D072F}" name="OPP_FG3M_RANK" dataDxfId="403"/>
    <tableColumn id="38" xr3:uid="{3B8B6972-2142-41C5-9F42-06254241DD46}" name="OPP_FG3A_RANK" dataDxfId="402"/>
    <tableColumn id="39" xr3:uid="{43B60453-20A0-4B5E-A8DA-51696D68E51F}" name="OPP_FG3_PCT_RANK" dataDxfId="401"/>
    <tableColumn id="40" xr3:uid="{1547452A-88D7-4A05-907A-B1F0AD7E4E00}" name="OPP_FTM_RANK" dataDxfId="400"/>
    <tableColumn id="41" xr3:uid="{7BB7F543-6EC8-44B1-8694-BF410EC09CE1}" name="OPP_FTA_RANK" dataDxfId="399"/>
    <tableColumn id="42" xr3:uid="{10B248E1-B45C-4C1C-BCB6-992C5B7F5010}" name="OPP_FT_PCT_RANK" dataDxfId="398"/>
    <tableColumn id="43" xr3:uid="{6487FE52-586E-4EF4-A193-E546D31D2BDC}" name="OPP_OREB_RANK" dataDxfId="397"/>
    <tableColumn id="44" xr3:uid="{63CDB638-A811-4AB8-BFD6-A5413F126620}" name="OPP_DREB_RANK" dataDxfId="396"/>
    <tableColumn id="45" xr3:uid="{C0E35DC2-4C0B-4F64-B9FA-A5EF0CCB6940}" name="OPP_REB_RANK" dataDxfId="395"/>
    <tableColumn id="46" xr3:uid="{7F1528DF-BA6D-4D64-920C-361B01FE0381}" name="OPP_AST_RANK" dataDxfId="394"/>
    <tableColumn id="47" xr3:uid="{8C165E36-06E5-4BDA-BAA4-F8F6EC7F2A70}" name="OPP_TOV_RANK" dataDxfId="393"/>
    <tableColumn id="48" xr3:uid="{A5A49AE4-B191-4761-9A58-4FCF9D8F889D}" name="OPP_STL_RANK" dataDxfId="392"/>
    <tableColumn id="49" xr3:uid="{0B628FFD-F541-4C7E-B5C8-3D3627A447D8}" name="OPP_BLK_RANK" dataDxfId="391"/>
    <tableColumn id="50" xr3:uid="{565C3BC9-8D86-4DCB-87AB-44A8B3C2DAEB}" name="OPP_BLKA_RANK" dataDxfId="390"/>
    <tableColumn id="51" xr3:uid="{C378080E-65A0-4045-BF61-0568213A6638}" name="OPP_PF_RANK" dataDxfId="389"/>
    <tableColumn id="52" xr3:uid="{4D9FE161-17E8-4762-A89B-B21B6C03218A}" name="OPP_PFD_RANK" dataDxfId="388"/>
    <tableColumn id="53" xr3:uid="{13F6E1F9-0EEA-4E01-BE12-1B30D420D35C}" name="OPP_PTS_RANK" dataDxfId="387"/>
    <tableColumn id="54" xr3:uid="{C851DFBD-CE4A-4223-AEF1-696E0B71045C}" name="PLUS_MINUS_RANK" dataDxfId="386"/>
    <tableColumn id="55" xr3:uid="{C3F3D837-944A-48CC-835F-1176571E480D}" name="CFID" dataDxfId="385"/>
    <tableColumn id="56" xr3:uid="{4998CB4B-55C9-42EC-BD8F-4114E0E8850F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B678915-AB97-4AC8-9BE7-08549727AECD}" name="TableClutchBaseN" displayName="TableClutchBaseN" ref="A1:BD31" totalsRowShown="0" headerRowDxfId="269">
  <autoFilter ref="A1:BD31" xr:uid="{D5EB24F0-ABA0-4622-9D6D-24DBD822DF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A69821B-56B5-407D-B9E3-C11718213AB1}" name="TEAM_ID" dataDxfId="325"/>
    <tableColumn id="2" xr3:uid="{D3DD7E39-57AB-401B-AE01-5642663915E4}" name="TEAM_NAME" dataDxfId="324"/>
    <tableColumn id="3" xr3:uid="{19467A06-5DE3-42D4-AD8B-56F6D52671D2}" name="GP" dataDxfId="323"/>
    <tableColumn id="4" xr3:uid="{BF907228-FE8F-429A-8C5C-C6B523B98792}" name="W" dataDxfId="322"/>
    <tableColumn id="5" xr3:uid="{9AA632D4-4238-49DD-9A5F-160757EC7E12}" name="L" dataDxfId="321"/>
    <tableColumn id="6" xr3:uid="{1C8D8CC2-CD92-45F1-8F03-B379EF4D8A91}" name="W_PCT" dataDxfId="320"/>
    <tableColumn id="7" xr3:uid="{56E57CFC-3273-4EFB-B8AB-B7246AC530C2}" name="MIN" dataDxfId="319"/>
    <tableColumn id="8" xr3:uid="{BAB12B7C-D0F2-432C-AE23-63B46AC84B58}" name="FGM" dataDxfId="318"/>
    <tableColumn id="9" xr3:uid="{57F47FBC-F41C-4DCF-82F8-501B808278A0}" name="FGA" dataDxfId="317"/>
    <tableColumn id="10" xr3:uid="{C1D98B9F-DFFE-4EF8-B2FA-737AF62B53CC}" name="FG_PCT" dataDxfId="316"/>
    <tableColumn id="11" xr3:uid="{399C2794-718D-4D0A-93BA-BF3EA53C8FB9}" name="FG3M" dataDxfId="315"/>
    <tableColumn id="12" xr3:uid="{ADBF7051-2003-4EEB-8C38-5134B89DD60C}" name="FG3A" dataDxfId="314"/>
    <tableColumn id="13" xr3:uid="{4D904631-EEEB-4499-9684-CDF2079EDAE1}" name="FG3_PCT" dataDxfId="313"/>
    <tableColumn id="14" xr3:uid="{7FA00AF4-AC72-49CE-89F2-530AED7F79FC}" name="FTM" dataDxfId="312"/>
    <tableColumn id="15" xr3:uid="{5694EC04-FEBC-49EA-998B-22ACB1DD563D}" name="FTA" dataDxfId="311"/>
    <tableColumn id="16" xr3:uid="{9FDAD668-4E63-493C-9C8D-5D9808AD1C65}" name="FT_PCT" dataDxfId="310"/>
    <tableColumn id="17" xr3:uid="{07520B57-CFA7-42CB-A3CD-DED843B927F4}" name="OREB" dataDxfId="309"/>
    <tableColumn id="18" xr3:uid="{28414087-5D34-463D-8EF3-A91E84861D30}" name="DREB" dataDxfId="308"/>
    <tableColumn id="19" xr3:uid="{531A13B9-322F-4CE1-BE9E-674B13670B9E}" name="REB" dataDxfId="307"/>
    <tableColumn id="20" xr3:uid="{9F09A228-D825-41D1-BC5E-23AA0B9B9782}" name="AST" dataDxfId="306"/>
    <tableColumn id="21" xr3:uid="{F1AB588B-4B75-41B8-86F6-DF9EF86705D9}" name="TOV" dataDxfId="305"/>
    <tableColumn id="22" xr3:uid="{E2B089EC-39D0-4B83-919E-EFCD2E2C65AB}" name="STL" dataDxfId="304"/>
    <tableColumn id="23" xr3:uid="{3515296B-A128-47F7-8F06-A74398065786}" name="BLK" dataDxfId="303"/>
    <tableColumn id="24" xr3:uid="{6F16F566-DFD5-4E78-AC31-B3178906E20F}" name="BLKA" dataDxfId="302"/>
    <tableColumn id="25" xr3:uid="{72BA3E11-AFE1-4358-856E-3298832BD0C2}" name="PF" dataDxfId="301"/>
    <tableColumn id="26" xr3:uid="{C57A964E-27AF-4842-9E1C-4A6D03BD3A25}" name="PFD" dataDxfId="300"/>
    <tableColumn id="27" xr3:uid="{8CCC5FB3-85A4-48DB-BD51-5ADE82F70CFB}" name="PTS" dataDxfId="299"/>
    <tableColumn id="28" xr3:uid="{021C1722-D04E-41A4-9450-5551E25B2007}" name="PLUS_MINUS" dataDxfId="298"/>
    <tableColumn id="29" xr3:uid="{C661A506-DD2E-4927-82B9-026B3A759448}" name="GP_RANK" dataDxfId="297"/>
    <tableColumn id="30" xr3:uid="{03E031DE-A4BC-42C3-9065-41215F08BED6}" name="W_RANK" dataDxfId="296"/>
    <tableColumn id="31" xr3:uid="{C41EAAC6-33A6-487E-AF61-BB749CDAE4A3}" name="L_RANK" dataDxfId="295"/>
    <tableColumn id="32" xr3:uid="{40BBFAFB-4B88-4A76-A9C5-05AAF2336FA4}" name="W_PCT_RANK" dataDxfId="294"/>
    <tableColumn id="33" xr3:uid="{ADDC2420-9CB9-47F3-8FBC-08A3BAA2986A}" name="MIN_RANK" dataDxfId="293"/>
    <tableColumn id="34" xr3:uid="{D075E698-975D-4F1C-960C-AACB1B6A218C}" name="FGM_RANK" dataDxfId="292"/>
    <tableColumn id="35" xr3:uid="{5B41A622-42DF-40CC-9C4F-4FD3D551FBA9}" name="FGA_RANK" dataDxfId="291"/>
    <tableColumn id="36" xr3:uid="{2DD956DD-5A94-4073-84B0-D407EA73C082}" name="FG_PCT_RANK" dataDxfId="290"/>
    <tableColumn id="37" xr3:uid="{C6301E7C-D6F2-4687-96CB-B53BCAEE69E8}" name="FG3M_RANK" dataDxfId="289"/>
    <tableColumn id="38" xr3:uid="{A400C2EE-ED8E-4F0F-A273-7B4030CBC06D}" name="FG3A_RANK" dataDxfId="288"/>
    <tableColumn id="39" xr3:uid="{77BECD01-4535-4DA0-8C45-8AE53E4BE6BA}" name="FG3_PCT_RANK" dataDxfId="287"/>
    <tableColumn id="40" xr3:uid="{957210D6-7735-4D71-8E13-4146B8FB6069}" name="FTM_RANK" dataDxfId="286"/>
    <tableColumn id="41" xr3:uid="{904D8EEF-DE4C-4632-99DE-419E282D323E}" name="FTA_RANK" dataDxfId="285"/>
    <tableColumn id="42" xr3:uid="{82E64F36-CE89-4C2C-B21B-87472E34E4E8}" name="FT_PCT_RANK" dataDxfId="284"/>
    <tableColumn id="43" xr3:uid="{0B28E769-E23C-4A95-9FA6-F88417D904FC}" name="OREB_RANK" dataDxfId="283"/>
    <tableColumn id="44" xr3:uid="{CB80424D-4547-4257-876F-8A2CD9E49564}" name="DREB_RANK" dataDxfId="282"/>
    <tableColumn id="45" xr3:uid="{8FF81430-9423-4297-8D53-D40C07F52C28}" name="REB_RANK" dataDxfId="281"/>
    <tableColumn id="46" xr3:uid="{3BC00C00-3392-4C6F-8BE6-0DE345BD0E00}" name="AST_RANK" dataDxfId="280"/>
    <tableColumn id="47" xr3:uid="{4175969C-C5F5-424B-AA4C-C557D8D20D68}" name="TOV_RANK" dataDxfId="279"/>
    <tableColumn id="48" xr3:uid="{180936C2-3CC5-4B07-8149-5C446F159A59}" name="STL_RANK" dataDxfId="278"/>
    <tableColumn id="49" xr3:uid="{B063420C-DA4E-4A87-AEC3-24108980F126}" name="BLK_RANK" dataDxfId="277"/>
    <tableColumn id="50" xr3:uid="{2FB13E71-A708-4B07-997F-56E1E7E76FCF}" name="BLKA_RANK" dataDxfId="276"/>
    <tableColumn id="51" xr3:uid="{75AFE445-F3DE-44F1-A2F7-7A7E7F1397C0}" name="PF_RANK" dataDxfId="275"/>
    <tableColumn id="52" xr3:uid="{4553AAFF-2DED-4883-92EE-300E98E7B2EC}" name="PFD_RANK" dataDxfId="274"/>
    <tableColumn id="53" xr3:uid="{A9C6383A-8FEE-4D41-AC32-444C590141DF}" name="PTS_RANK" dataDxfId="273"/>
    <tableColumn id="54" xr3:uid="{FE77EECB-03FE-4A1A-96AC-7E72A831AB0B}" name="PLUS_MINUS_RANK" dataDxfId="272"/>
    <tableColumn id="55" xr3:uid="{833B3F18-9D85-4609-8BFD-8A96EC18FA97}" name="CFID" dataDxfId="271"/>
    <tableColumn id="56" xr3:uid="{82212D12-5F4E-4757-BADF-0949742F9EDF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923C47D-1C00-4870-8E81-80606FDDA101}" name="TableClutchOpponentN" displayName="TableClutchOpponentN" ref="A1:BD31" totalsRowShown="0" headerRowDxfId="155">
  <autoFilter ref="A1:BD31" xr:uid="{391B34A2-21DB-4FF6-B8B6-CAA6FD7794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292CD7B-7D99-4991-82DF-6200C426A6EC}" name="TEAM_ID" dataDxfId="211"/>
    <tableColumn id="2" xr3:uid="{3DF8E347-0138-49BC-B182-9F1A5341888E}" name="TEAM_NAME" dataDxfId="210"/>
    <tableColumn id="3" xr3:uid="{41263D69-BA39-4927-A56B-D6C43883EDE3}" name="GP" dataDxfId="209"/>
    <tableColumn id="4" xr3:uid="{7FFFFB0A-FA9B-4035-82A3-C897FCA48E1D}" name="W" dataDxfId="208"/>
    <tableColumn id="5" xr3:uid="{95CF2C77-65C8-4C1B-B175-AC8AC8C7B75D}" name="L" dataDxfId="207"/>
    <tableColumn id="6" xr3:uid="{55B01579-D17F-4CE6-921C-207D58073D2D}" name="W_PCT" dataDxfId="206"/>
    <tableColumn id="7" xr3:uid="{E61D1515-1E01-4C78-AA45-89436596DE8F}" name="MIN" dataDxfId="205"/>
    <tableColumn id="8" xr3:uid="{49878502-7411-44EB-AA4D-17700A506698}" name="OPP_FGM" dataDxfId="204"/>
    <tableColumn id="9" xr3:uid="{4AB398FF-6D30-4395-B27F-150077F703B2}" name="OPP_FGA" dataDxfId="203"/>
    <tableColumn id="10" xr3:uid="{A634DEBA-90B7-4E53-85FE-CB9278046ED1}" name="OPP_FG_PCT" dataDxfId="202"/>
    <tableColumn id="11" xr3:uid="{B635A5EA-5BFA-4EC9-9C19-2C8FFE9E3FEE}" name="OPP_FG3M" dataDxfId="201"/>
    <tableColumn id="12" xr3:uid="{2C6800C8-4DCB-46B9-B543-8EDC483ADED6}" name="OPP_FG3A" dataDxfId="200"/>
    <tableColumn id="13" xr3:uid="{4E0DDD1D-AEF8-4D59-8336-38E461E5F9E6}" name="OPP_FG3_PCT" dataDxfId="199"/>
    <tableColumn id="14" xr3:uid="{580C1C95-5E4E-456A-8D47-F4295B18DB6D}" name="OPP_FTM" dataDxfId="198"/>
    <tableColumn id="15" xr3:uid="{01145C68-9FE9-49E1-8043-F80B611B4D3E}" name="OPP_FTA" dataDxfId="197"/>
    <tableColumn id="16" xr3:uid="{60AC0C00-BD5E-4185-B17A-26D34290E1F4}" name="OPP_FT_PCT" dataDxfId="196"/>
    <tableColumn id="17" xr3:uid="{B6B58467-D7E4-4326-BEE3-434A34B3E99F}" name="OPP_OREB" dataDxfId="195"/>
    <tableColumn id="18" xr3:uid="{E0D6DCA8-1B3F-45A4-93EC-7DB89E173C03}" name="OPP_DREB" dataDxfId="194"/>
    <tableColumn id="19" xr3:uid="{CF48178E-1D1A-4EAA-A96A-66AD52C8E3E0}" name="OPP_REB" dataDxfId="193"/>
    <tableColumn id="20" xr3:uid="{466A9323-9338-47DA-AF9D-656B5D648FD5}" name="OPP_AST" dataDxfId="192"/>
    <tableColumn id="21" xr3:uid="{D09F4491-5F83-4FB1-A4DC-1A461BBB4D4D}" name="OPP_TOV" dataDxfId="191"/>
    <tableColumn id="22" xr3:uid="{2D3340F9-F597-4FA1-9B53-3C7BC10C8B12}" name="OPP_STL" dataDxfId="190"/>
    <tableColumn id="23" xr3:uid="{D3D13EED-E96C-4C99-94FB-10FB052E7804}" name="OPP_BLK" dataDxfId="189"/>
    <tableColumn id="24" xr3:uid="{8C073E0E-3578-4B6D-A605-AD701DA03E18}" name="OPP_BLKA" dataDxfId="188"/>
    <tableColumn id="25" xr3:uid="{2D9BAB03-7FF0-4FC5-9AC8-DC5EFBF28906}" name="OPP_PF" dataDxfId="187"/>
    <tableColumn id="26" xr3:uid="{9383D427-559C-40F6-927F-D285B2434424}" name="OPP_PFD" dataDxfId="186"/>
    <tableColumn id="27" xr3:uid="{3E6B60C7-021F-43BA-82EB-173B2B51E55C}" name="OPP_PTS" dataDxfId="185"/>
    <tableColumn id="28" xr3:uid="{400C2F05-C1C6-4E72-9343-2AD77FA6514B}" name="PLUS_MINUS" dataDxfId="184"/>
    <tableColumn id="29" xr3:uid="{445546C3-5156-4F3E-8783-77D0C3A34DD6}" name="GP_RANK" dataDxfId="183"/>
    <tableColumn id="30" xr3:uid="{039D12A1-35D7-4906-857B-AEE16B204B3C}" name="W_RANK" dataDxfId="182"/>
    <tableColumn id="31" xr3:uid="{6CF5EED3-F70A-452B-ACA2-E74B1C194F15}" name="L_RANK" dataDxfId="181"/>
    <tableColumn id="32" xr3:uid="{32F4BA26-2782-4971-AF3C-14DB09B31A30}" name="W_PCT_RANK" dataDxfId="180"/>
    <tableColumn id="33" xr3:uid="{5EF598AD-014F-416C-8D02-E77FBB53028C}" name="MIN_RANK" dataDxfId="179"/>
    <tableColumn id="34" xr3:uid="{02C3044E-D20C-41EB-BD10-D8991B20E0C8}" name="OPP_FGM_RANK" dataDxfId="178"/>
    <tableColumn id="35" xr3:uid="{22072845-AF61-4C14-A0D1-D45FF39BCBFE}" name="OPP_FGA_RANK" dataDxfId="177"/>
    <tableColumn id="36" xr3:uid="{99C33423-165E-40BC-941F-1CA0490AFD55}" name="OPP_FG_PCT_RANK" dataDxfId="176"/>
    <tableColumn id="37" xr3:uid="{59E228AB-564C-4C01-B3BE-20515F7371BA}" name="OPP_FG3M_RANK" dataDxfId="175"/>
    <tableColumn id="38" xr3:uid="{1CF661B4-50BD-4CFF-A2EF-FDE5F7A0096A}" name="OPP_FG3A_RANK" dataDxfId="174"/>
    <tableColumn id="39" xr3:uid="{69DFE747-047B-4847-9E3E-FF6DC7A6A8E8}" name="OPP_FG3_PCT_RANK" dataDxfId="173"/>
    <tableColumn id="40" xr3:uid="{AFB70D3E-D67A-4B37-9E8D-A80BB9462708}" name="OPP_FTM_RANK" dataDxfId="172"/>
    <tableColumn id="41" xr3:uid="{97E4EAB5-7248-4DAE-A61A-BD8EA854AE9E}" name="OPP_FTA_RANK" dataDxfId="171"/>
    <tableColumn id="42" xr3:uid="{3CF20251-1B76-472D-9EA1-C9DB8EBC82C8}" name="OPP_FT_PCT_RANK" dataDxfId="170"/>
    <tableColumn id="43" xr3:uid="{1439155B-25C4-484A-B028-960090D92713}" name="OPP_OREB_RANK" dataDxfId="169"/>
    <tableColumn id="44" xr3:uid="{4887275D-32A4-434E-BA60-F0C6FBE8F2ED}" name="OPP_DREB_RANK" dataDxfId="168"/>
    <tableColumn id="45" xr3:uid="{CAD50724-955C-410A-91E7-A0DA2896EF35}" name="OPP_REB_RANK" dataDxfId="167"/>
    <tableColumn id="46" xr3:uid="{25509E1F-30AF-41BA-AD41-92B8B5E7AD78}" name="OPP_AST_RANK" dataDxfId="166"/>
    <tableColumn id="47" xr3:uid="{50BA60EB-02CC-4572-B2EF-FB3EB5E45F22}" name="OPP_TOV_RANK" dataDxfId="165"/>
    <tableColumn id="48" xr3:uid="{294769CA-686D-4EFB-830A-B0DB503A7FE3}" name="OPP_STL_RANK" dataDxfId="164"/>
    <tableColumn id="49" xr3:uid="{9A527AB0-AA2E-4A21-99F4-D9352D9B2AD3}" name="OPP_BLK_RANK" dataDxfId="163"/>
    <tableColumn id="50" xr3:uid="{F2593704-B5AB-40F5-A4C0-13EDB0F547C8}" name="OPP_BLKA_RANK" dataDxfId="162"/>
    <tableColumn id="51" xr3:uid="{C15CFD71-1FD6-4A84-9991-65CACB1C4631}" name="OPP_PF_RANK" dataDxfId="161"/>
    <tableColumn id="52" xr3:uid="{C03E59DF-2B23-463B-B494-CE79CBA9D0A4}" name="OPP_PFD_RANK" dataDxfId="160"/>
    <tableColumn id="53" xr3:uid="{16A98282-1A4A-4F8C-9A56-DB6D1CD587C5}" name="OPP_PTS_RANK" dataDxfId="159"/>
    <tableColumn id="54" xr3:uid="{16BCD64F-3D41-4C59-8858-A76ABE844205}" name="PLUS_MINUS_RANK" dataDxfId="158"/>
    <tableColumn id="55" xr3:uid="{166EFABA-6D00-401E-8057-D8B6E1BC571D}" name="CFID" dataDxfId="157"/>
    <tableColumn id="56" xr3:uid="{A4E6666B-4072-47FD-87A6-91638EBDC6D2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794F39A-0EF4-45F7-B3A1-B498FAE891A6}" name="TableClutchAdvancedN" displayName="TableClutchAdvancedN" ref="A1:AV31" totalsRowShown="0" headerRowDxfId="49">
  <autoFilter ref="A1:AV31" xr:uid="{2670BBDA-7875-4CC8-8D48-91BE7A4E11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D4007DC-3D27-4D55-AB07-1AADB048B77D}" name="TEAM_ID" dataDxfId="97"/>
    <tableColumn id="2" xr3:uid="{8E7FC5B2-A0CC-4AD4-88F6-CBAE39D9FF9C}" name="TEAM_NAME" dataDxfId="96"/>
    <tableColumn id="3" xr3:uid="{9E64F4E7-01C6-4DEF-9F82-3503B58441A8}" name="GP" dataDxfId="95"/>
    <tableColumn id="4" xr3:uid="{12ECD663-5BFA-4948-898F-58C8CCC3A593}" name="W" dataDxfId="94"/>
    <tableColumn id="5" xr3:uid="{345C48AB-5A91-4081-9A86-FAFE9322B3B3}" name="L" dataDxfId="93"/>
    <tableColumn id="6" xr3:uid="{454A2BF9-0409-439E-BF82-3FD7D08DE052}" name="W_PCT" dataDxfId="92"/>
    <tableColumn id="7" xr3:uid="{9312D1E9-FAA7-453B-97D1-40A1CBEC6EAC}" name="MIN" dataDxfId="91"/>
    <tableColumn id="8" xr3:uid="{48587F43-6405-4C77-8ED2-7A0698859C70}" name="E_OFF_RATING" dataDxfId="90"/>
    <tableColumn id="9" xr3:uid="{AC1F00C7-9FEE-4C43-A0A3-E5D6DC069229}" name="OFF_RATING" dataDxfId="89"/>
    <tableColumn id="10" xr3:uid="{C017FC27-E5C1-482C-8093-8040127FB53D}" name="E_DEF_RATING" dataDxfId="88"/>
    <tableColumn id="11" xr3:uid="{4F3FADF7-4E50-46AA-9ED4-C1F9C03C835B}" name="DEF_RATING" dataDxfId="87"/>
    <tableColumn id="12" xr3:uid="{B4BCD3C5-19F3-49A8-907F-90319FE1D502}" name="E_NET_RATING" dataDxfId="86"/>
    <tableColumn id="13" xr3:uid="{95B59CFD-9ABC-4198-9C7F-227A8A33561F}" name="NET_RATING" dataDxfId="85"/>
    <tableColumn id="14" xr3:uid="{7732F479-37DC-409D-B768-0DFC76EB40FC}" name="AST_PCT" dataDxfId="84"/>
    <tableColumn id="15" xr3:uid="{1CC88A7B-3AF4-4757-9A49-CCF486CACD61}" name="AST_TO" dataDxfId="83"/>
    <tableColumn id="16" xr3:uid="{2AF5EA1C-6FF1-4469-B85A-BC184093FFAC}" name="AST_RATIO" dataDxfId="82"/>
    <tableColumn id="17" xr3:uid="{37F59094-D9AE-4BB1-8149-3445395C832D}" name="OREB_PCT" dataDxfId="81"/>
    <tableColumn id="18" xr3:uid="{E8043C2B-8ED8-43EE-8B1E-F6DEAB367EAD}" name="DREB_PCT" dataDxfId="80"/>
    <tableColumn id="19" xr3:uid="{F5001AE8-6D0D-41A4-B9C1-F01FD45CB1E3}" name="REB_PCT" dataDxfId="79"/>
    <tableColumn id="20" xr3:uid="{6BD795CD-82AE-417B-8992-922ABF5DCDB8}" name="TM_TOV_PCT" dataDxfId="78"/>
    <tableColumn id="21" xr3:uid="{9D70CB0C-66F6-42DD-B447-BD43C8327589}" name="EFG_PCT" dataDxfId="77"/>
    <tableColumn id="22" xr3:uid="{8BD033F9-7045-4BC4-9F78-0EDFFAE599D0}" name="TS_PCT" dataDxfId="76"/>
    <tableColumn id="23" xr3:uid="{4EF7F3D4-96FA-4156-A28E-E8E7ED6FBBD9}" name="E_PACE" dataDxfId="75"/>
    <tableColumn id="24" xr3:uid="{B367E6C3-A8D1-4BC5-9DDA-205DF8D32AAD}" name="PACE" dataDxfId="74"/>
    <tableColumn id="25" xr3:uid="{6CB1CEAD-2332-43B4-9EBB-A21BBF9752E5}" name="PACE_PER40" dataDxfId="73"/>
    <tableColumn id="26" xr3:uid="{F1C6D537-1EFB-462F-9C56-0121398485D9}" name="POSS" dataDxfId="72"/>
    <tableColumn id="27" xr3:uid="{2FC4A2AE-C41C-4794-85B0-C37AB3D11023}" name="PIE" dataDxfId="71"/>
    <tableColumn id="28" xr3:uid="{C29ADEAB-F903-4E23-A381-5A4D3047F229}" name="GP_RANK" dataDxfId="70"/>
    <tableColumn id="29" xr3:uid="{64D8BDD5-FCD5-48B0-B0BE-B2107BE02428}" name="W_RANK" dataDxfId="69"/>
    <tableColumn id="30" xr3:uid="{4734AD68-4648-4DB7-84B4-08B0A8B6231F}" name="L_RANK" dataDxfId="68"/>
    <tableColumn id="31" xr3:uid="{3346538C-068B-4B1D-8C38-F1279F5453F4}" name="W_PCT_RANK" dataDxfId="67"/>
    <tableColumn id="32" xr3:uid="{EDA615C1-CE23-4CB4-A785-EBE66214B112}" name="MIN_RANK" dataDxfId="66"/>
    <tableColumn id="33" xr3:uid="{7DB77579-2EBD-42ED-97B0-1A9822A46683}" name="OFF_RATING_RANK" dataDxfId="65"/>
    <tableColumn id="34" xr3:uid="{DC8A214D-9112-40BC-9E1D-2A264D9A53DB}" name="DEF_RATING_RANK" dataDxfId="64"/>
    <tableColumn id="35" xr3:uid="{ABAAFF47-662D-41DF-B6FE-539FBD7B3B8C}" name="NET_RATING_RANK" dataDxfId="63"/>
    <tableColumn id="36" xr3:uid="{A6BBA970-F991-4D01-9854-A938BF8C0DFA}" name="AST_PCT_RANK" dataDxfId="62"/>
    <tableColumn id="37" xr3:uid="{A5DCB714-77F9-47B2-BB6B-EB71097E8E3A}" name="AST_TO_RANK" dataDxfId="61"/>
    <tableColumn id="38" xr3:uid="{D28C810C-F0EB-4CD0-8C65-87BCFC4F9E74}" name="AST_RATIO_RANK" dataDxfId="60"/>
    <tableColumn id="39" xr3:uid="{76316F4B-76A6-49D4-9143-AFCD4E87A7B4}" name="OREB_PCT_RANK" dataDxfId="59"/>
    <tableColumn id="40" xr3:uid="{05D13775-B546-428F-8C1A-13A0CD8CC0FF}" name="DREB_PCT_RANK" dataDxfId="58"/>
    <tableColumn id="41" xr3:uid="{AB4D0B4C-8975-43A4-89AC-58488F814215}" name="REB_PCT_RANK" dataDxfId="57"/>
    <tableColumn id="42" xr3:uid="{E89B03C3-B345-4F61-8D4C-7DBCAF2EBF82}" name="TM_TOV_PCT_RANK" dataDxfId="56"/>
    <tableColumn id="43" xr3:uid="{663C511B-7E4F-47D5-924F-9A266DB8344A}" name="EFG_PCT_RANK" dataDxfId="55"/>
    <tableColumn id="44" xr3:uid="{21E84537-9B8B-4F5B-B7E9-537A6502BB51}" name="TS_PCT_RANK" dataDxfId="54"/>
    <tableColumn id="45" xr3:uid="{EBFABE2B-AF6D-47B2-991F-CEF255D74E4B}" name="PACE_RANK" dataDxfId="53"/>
    <tableColumn id="46" xr3:uid="{07285DE5-B790-45F3-B008-526414F2BD82}" name="PIE_RANK" dataDxfId="52"/>
    <tableColumn id="47" xr3:uid="{F5769B63-FECB-4A2F-94E8-9AE41DFB3438}" name="CFID" dataDxfId="51"/>
    <tableColumn id="48" xr3:uid="{AEE99F79-A457-4F65-8D44-B229950CF89A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7C0E67-1EF9-4C2A-B6CC-334319FB8A0F}" name="TableStandingsN1" displayName="TableStandingsN1" ref="A1:CC31" totalsRowShown="0" headerRowDxfId="910">
  <autoFilter ref="A1:CC31" xr:uid="{2905A5F2-B938-4827-B5F9-3BD11E00D8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FC9AA35-3647-40EB-8432-E46A3A74B48E}" name="LeagueID" dataDxfId="991"/>
    <tableColumn id="2" xr3:uid="{C4C7394B-A444-4E32-AC15-5392DA473D07}" name="SeasonID" dataDxfId="990"/>
    <tableColumn id="3" xr3:uid="{EA893B36-857E-4096-A24F-2E66B9D1D6E0}" name="TeamID" dataDxfId="989"/>
    <tableColumn id="4" xr3:uid="{17DB0ECA-DAD0-40DB-A4D4-E4146F72FD23}" name="TeamCity" dataDxfId="988"/>
    <tableColumn id="5" xr3:uid="{B168B269-3159-4801-8AC8-1551E92BFFBC}" name="TeamName" dataDxfId="987"/>
    <tableColumn id="6" xr3:uid="{5F49E892-8B7B-48B7-A748-05CD06BC009D}" name="Conference" dataDxfId="986"/>
    <tableColumn id="7" xr3:uid="{33333994-185B-4F7A-88B2-100D9FA55EA0}" name="ConferenceRecord" dataDxfId="985"/>
    <tableColumn id="8" xr3:uid="{D4F4E237-1B61-4A5D-B335-AD80E706B118}" name="PlayoffRank" dataDxfId="984"/>
    <tableColumn id="9" xr3:uid="{7A96304C-D1E2-4BF6-AE73-A936B9D45493}" name="ClinchIndicator" dataDxfId="983"/>
    <tableColumn id="10" xr3:uid="{CD43CDD0-7D63-4ABB-9DE3-79EF2478E351}" name="Division" dataDxfId="982"/>
    <tableColumn id="11" xr3:uid="{1E284CD3-0ACD-4BA7-9DCE-B44FBB6D5C7C}" name="DivisionRecord" dataDxfId="981"/>
    <tableColumn id="12" xr3:uid="{29AE9FAE-38ED-49AA-92F0-3E96C5451585}" name="DivisionRank" dataDxfId="980"/>
    <tableColumn id="13" xr3:uid="{DDFBD738-2139-4CC5-8646-6B783B928D3E}" name="WINS" dataDxfId="979"/>
    <tableColumn id="14" xr3:uid="{A56E3E76-61EB-4A96-A8E6-A1B21C463B9B}" name="LOSSES" dataDxfId="978"/>
    <tableColumn id="15" xr3:uid="{7E981713-1CF4-458B-88BF-266152DF41B3}" name="WinPCT" dataDxfId="977"/>
    <tableColumn id="16" xr3:uid="{472FF88A-85AC-48AB-A237-1D22AB561113}" name="LeagueRank" dataDxfId="976"/>
    <tableColumn id="17" xr3:uid="{8DB0DA65-F2EA-49A3-A940-DFB9CB5FDE46}" name="Record" dataDxfId="975"/>
    <tableColumn id="18" xr3:uid="{93FC7C00-CA5C-47BE-A258-8CC9F10DA985}" name="HOME" dataDxfId="974"/>
    <tableColumn id="19" xr3:uid="{B1D0E7E8-6663-45D5-AF2A-455ACF1752EB}" name="ROAD" dataDxfId="973"/>
    <tableColumn id="20" xr3:uid="{F0085FC5-898B-45D9-89E8-97193AF60AE9}" name="L10" dataDxfId="972"/>
    <tableColumn id="21" xr3:uid="{4AF36AEE-A7DE-40E9-9B90-30DD023A735F}" name="Last10Home" dataDxfId="971"/>
    <tableColumn id="22" xr3:uid="{05C22E72-B944-43B2-93D3-21BA36DF6427}" name="Last10Road" dataDxfId="970"/>
    <tableColumn id="23" xr3:uid="{7F8F31AE-FA6E-4F44-9097-EB5C72415C16}" name="OT" dataDxfId="969"/>
    <tableColumn id="24" xr3:uid="{9AB129D4-D9DF-427D-809C-90022C82E891}" name="ThreePTSOrLess" dataDxfId="968"/>
    <tableColumn id="25" xr3:uid="{2244066C-02D2-4B68-955A-F4FF51E4D6CC}" name="TenPTSOrMore" dataDxfId="967"/>
    <tableColumn id="26" xr3:uid="{F7E58F43-CD6F-4D8B-9788-C11A2A7349A8}" name="LongHomeStreak" dataDxfId="966"/>
    <tableColumn id="27" xr3:uid="{32433FF0-5715-4740-B8B5-9919D57A80A4}" name="strLongHomeStreak" dataDxfId="965"/>
    <tableColumn id="28" xr3:uid="{CDAD44DD-00EB-4B92-BF29-330F2430389B}" name="LongRoadStreak" dataDxfId="964"/>
    <tableColumn id="29" xr3:uid="{7D6230FD-8904-4A2B-81CA-BE22C69B1FB5}" name="strLongRoadStreak" dataDxfId="963"/>
    <tableColumn id="30" xr3:uid="{60E3AED9-A2F7-47A4-ACED-46C4EBC09F1C}" name="LongWinStreak" dataDxfId="962"/>
    <tableColumn id="31" xr3:uid="{C0F6F488-43F0-4461-AB52-5C4D98B1BB34}" name="LongLossStreak" dataDxfId="961"/>
    <tableColumn id="32" xr3:uid="{38452505-06B6-4406-B94F-3B8CA5065BCD}" name="CurrentHomeStreak" dataDxfId="960"/>
    <tableColumn id="33" xr3:uid="{CBAF4F0A-86A3-4A6B-8817-3A3D84CCA5AD}" name="strCurrentHomeStreak" dataDxfId="959"/>
    <tableColumn id="34" xr3:uid="{AF68371B-926B-4990-8E51-C50984679C36}" name="CurrentRoadStreak" dataDxfId="958"/>
    <tableColumn id="35" xr3:uid="{2CF80E76-AD86-437C-9077-750BB7BAA728}" name="strCurrentRoadStreak" dataDxfId="957"/>
    <tableColumn id="36" xr3:uid="{9435AE64-7467-4A49-B073-C9BD65FDA714}" name="CurrentStreak" dataDxfId="956"/>
    <tableColumn id="37" xr3:uid="{969765B0-495A-41E6-B158-94A98F15AABE}" name="strCurrentStreak" dataDxfId="955"/>
    <tableColumn id="38" xr3:uid="{35247A45-0CE7-419B-9F24-8360AB621729}" name="ConferenceGamesBack" dataDxfId="954"/>
    <tableColumn id="39" xr3:uid="{FB6D0C3F-6905-4E4C-AFC4-E384552FD89E}" name="DivisionGamesBack" dataDxfId="953"/>
    <tableColumn id="40" xr3:uid="{101A241F-240C-47D0-AA41-CC6FE587755A}" name="ClinchedConferenceTitle" dataDxfId="952"/>
    <tableColumn id="41" xr3:uid="{1912EC5B-8395-44BC-836B-6B2F18A88F98}" name="ClinchedDivisionTitle" dataDxfId="951"/>
    <tableColumn id="42" xr3:uid="{1001B438-ED25-4275-9C0B-E3E426FD1A0B}" name="ClinchedPlayoffBirth" dataDxfId="950"/>
    <tableColumn id="43" xr3:uid="{E56AD567-A174-41EF-96EE-5C6895623876}" name="EliminatedConference" dataDxfId="949"/>
    <tableColumn id="44" xr3:uid="{7D5F2748-C6AD-430B-AD2D-657982A545C1}" name="EliminatedDivision" dataDxfId="948"/>
    <tableColumn id="45" xr3:uid="{D8BFA973-0C23-4262-9D1A-F7A2239B86D3}" name="AheadAtHalf" dataDxfId="947"/>
    <tableColumn id="46" xr3:uid="{1C1E2F78-08A5-48D5-97A0-663C58598B14}" name="BehindAtHalf" dataDxfId="946"/>
    <tableColumn id="47" xr3:uid="{38073350-DBB2-45A8-A500-17A26F51FCC9}" name="TiedAtHalf" dataDxfId="945"/>
    <tableColumn id="48" xr3:uid="{0BF637E4-A579-4E66-97E9-236E3B370743}" name="AheadAtThird" dataDxfId="944"/>
    <tableColumn id="49" xr3:uid="{298039E1-115F-4167-B6C8-5BEDA8AE0C5F}" name="BehindAtThird" dataDxfId="943"/>
    <tableColumn id="50" xr3:uid="{73D4C03E-1452-4577-8FD2-CC3125063F33}" name="TiedAtThird" dataDxfId="942"/>
    <tableColumn id="51" xr3:uid="{9A29B893-9D75-4970-A78C-C78734D5A05A}" name="Score100PTS" dataDxfId="941"/>
    <tableColumn id="52" xr3:uid="{6CC9B9BE-E39B-47E8-98C4-B8402BEFF82D}" name="OppScore100PTS" dataDxfId="940"/>
    <tableColumn id="53" xr3:uid="{CD4B0AF8-B777-4758-BF39-C127375324DE}" name="OppOver500" dataDxfId="939"/>
    <tableColumn id="54" xr3:uid="{6E0C6269-FC46-4CB0-9792-CD8EA3A8B061}" name="LeadInFGPCT" dataDxfId="938"/>
    <tableColumn id="55" xr3:uid="{7E7F564A-C019-4F85-B553-5990F2A96CB5}" name="LeadInReb" dataDxfId="937"/>
    <tableColumn id="56" xr3:uid="{9082E1B4-516C-4C1A-A464-1A51D693F9CB}" name="FewerTurnovers" dataDxfId="936"/>
    <tableColumn id="57" xr3:uid="{4591B0AC-1B94-41A8-AB7F-477FA1593C82}" name="PointsPG" dataDxfId="935"/>
    <tableColumn id="58" xr3:uid="{6DF92EA7-C609-4F59-9B67-492D129DE4EB}" name="OppPointsPG" dataDxfId="934"/>
    <tableColumn id="59" xr3:uid="{544BCEE8-80ED-40E0-A0D2-5CB4ADCEE910}" name="DiffPointsPG" dataDxfId="933"/>
    <tableColumn id="60" xr3:uid="{01CF113E-743F-4CF3-A11C-DF65DD096EFD}" name="vsEast" dataDxfId="932"/>
    <tableColumn id="61" xr3:uid="{878425BB-2658-45FF-A8BF-F6F74BF8FAE9}" name="vsAtlantic" dataDxfId="931"/>
    <tableColumn id="62" xr3:uid="{CAC583A9-AA56-4668-A04B-AF058536AF2B}" name="vsCentral" dataDxfId="930"/>
    <tableColumn id="63" xr3:uid="{5B415F56-052E-4A94-94B2-20D982119E74}" name="vsSoutheast" dataDxfId="929"/>
    <tableColumn id="64" xr3:uid="{D47EFCDC-06BA-4976-A4AE-3DC1B05A8942}" name="vsWest" dataDxfId="928"/>
    <tableColumn id="65" xr3:uid="{A863CC93-75F5-4D21-9A4E-6E35EBF0BC25}" name="vsNorthwest" dataDxfId="927"/>
    <tableColumn id="66" xr3:uid="{F58BB45E-F5F1-4C1D-83DD-A1D233E0F8C2}" name="vsPacific" dataDxfId="926"/>
    <tableColumn id="67" xr3:uid="{95BDC072-55C5-4E06-B534-1B459B90C6DA}" name="vsSouthwest" dataDxfId="925"/>
    <tableColumn id="68" xr3:uid="{4E8AC6A9-C2AC-43FA-ABEC-C4EF9C271B63}" name="Jan" dataDxfId="924"/>
    <tableColumn id="69" xr3:uid="{8E484A6B-8D5B-498C-938B-716AD74A9D96}" name="Feb" dataDxfId="923"/>
    <tableColumn id="70" xr3:uid="{A460908C-7B69-46DD-8A1D-B412CF6D7A84}" name="Mar" dataDxfId="922"/>
    <tableColumn id="71" xr3:uid="{3EE9ED8D-3B25-4414-A522-BAE19AB8909F}" name="Apr" dataDxfId="921"/>
    <tableColumn id="72" xr3:uid="{CCF712EF-22B9-452E-8726-1CA92B5437A5}" name="May" dataDxfId="920"/>
    <tableColumn id="73" xr3:uid="{BD8B97AF-2B37-4B55-A7EB-038CA26E9D99}" name="Jun" dataDxfId="919"/>
    <tableColumn id="74" xr3:uid="{52669F41-624B-44D2-A7F2-77CAC7996408}" name="Jul" dataDxfId="918"/>
    <tableColumn id="75" xr3:uid="{25445808-BFF5-4432-981D-9A00B73C8643}" name="Aug" dataDxfId="917"/>
    <tableColumn id="76" xr3:uid="{10F5E22F-E5A8-4873-8808-5C496612F449}" name="Sep" dataDxfId="916"/>
    <tableColumn id="77" xr3:uid="{16245D54-C3BD-4AF3-B1D2-67EB9BD00551}" name="Oct" dataDxfId="915"/>
    <tableColumn id="78" xr3:uid="{AB8A08C1-8EBD-4E89-940A-BD913A765440}" name="Nov" dataDxfId="914"/>
    <tableColumn id="79" xr3:uid="{5C957489-F847-4C1C-BDF6-4F1E19270793}" name="Dec" dataDxfId="913"/>
    <tableColumn id="80" xr3:uid="{19517727-9F48-42EF-9B04-0DE3257D4583}" name="PreAS" dataDxfId="912"/>
    <tableColumn id="81" xr3:uid="{E2D29312-C704-4CC5-A620-A48B9BDEFBC6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280A84-FF00-4F0F-A96B-65E1D3AD74EF}" name="TableBaseN1" displayName="TableBaseN1" ref="A1:BD31" totalsRowShown="0" headerRowDxfId="796">
  <autoFilter ref="A1:BD31" xr:uid="{F491A2DF-4080-4AB4-9D12-0EFEBAC9D0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C5B56A9-C821-44D5-9A21-20698A809C2D}" name="TEAM_ID" dataDxfId="852"/>
    <tableColumn id="2" xr3:uid="{DB29E54E-19FA-4637-993B-76A84711E324}" name="TEAM_NAME" dataDxfId="851"/>
    <tableColumn id="3" xr3:uid="{2C52ABA1-72C9-4BAF-A45D-4AD3695F50D3}" name="GP" dataDxfId="850"/>
    <tableColumn id="4" xr3:uid="{4BE6980C-1C19-44FF-861B-9A2D701F62C9}" name="W" dataDxfId="849"/>
    <tableColumn id="5" xr3:uid="{94778970-1AA5-4687-B4C4-70CC9090AEF4}" name="L" dataDxfId="848"/>
    <tableColumn id="6" xr3:uid="{2856D556-C042-43EB-996B-B97F83AD9C7B}" name="W_PCT" dataDxfId="847"/>
    <tableColumn id="7" xr3:uid="{A357394F-7EF9-4CCF-95D6-003F09B5DB50}" name="MIN" dataDxfId="846"/>
    <tableColumn id="8" xr3:uid="{BBB5DB05-559B-487B-A475-257CBED94148}" name="FGM" dataDxfId="845"/>
    <tableColumn id="9" xr3:uid="{F11D29AA-42F1-46E3-BCF1-FEEA631ED8E0}" name="FGA" dataDxfId="844"/>
    <tableColumn id="10" xr3:uid="{B3A7E94E-6C5D-4761-8128-9454296C9363}" name="FG_PCT" dataDxfId="843"/>
    <tableColumn id="11" xr3:uid="{F3550F9D-9544-4FF3-A6AE-4B9A75656557}" name="FG3M" dataDxfId="842"/>
    <tableColumn id="12" xr3:uid="{F3CF1D5E-82C3-442F-A0B6-19C432E8197D}" name="FG3A" dataDxfId="841"/>
    <tableColumn id="13" xr3:uid="{92666ACF-CA9D-4EE7-AE71-EF1AE47BF544}" name="FG3_PCT" dataDxfId="840"/>
    <tableColumn id="14" xr3:uid="{5DE05F66-1866-4AE8-A273-C34E78C0CDA5}" name="FTM" dataDxfId="839"/>
    <tableColumn id="15" xr3:uid="{561B9B91-55A9-4E86-B6CE-FE2C82D54D8E}" name="FTA" dataDxfId="838"/>
    <tableColumn id="16" xr3:uid="{22132E76-0718-4675-86B1-4DEB3C7083DC}" name="FT_PCT" dataDxfId="837"/>
    <tableColumn id="17" xr3:uid="{E4701532-163C-46C6-932D-90DE9B5C611D}" name="OREB" dataDxfId="836"/>
    <tableColumn id="18" xr3:uid="{1E5A0A86-F9A1-4777-BE34-D8BF81D5268E}" name="DREB" dataDxfId="835"/>
    <tableColumn id="19" xr3:uid="{0D81AEFA-87CA-4ED5-B65E-6F76F91C6387}" name="REB" dataDxfId="834"/>
    <tableColumn id="20" xr3:uid="{C73A27E7-332B-4C72-86C8-876BAEAD840E}" name="AST" dataDxfId="833"/>
    <tableColumn id="21" xr3:uid="{C38E4EB0-6EDF-468C-AB3A-F2842D7E5F1D}" name="TOV" dataDxfId="832"/>
    <tableColumn id="22" xr3:uid="{A826D4B2-76A8-47E0-8C6B-3B16ED2BB2E1}" name="STL" dataDxfId="831"/>
    <tableColumn id="23" xr3:uid="{85CE4E67-1892-4A05-8831-56C42AD62783}" name="BLK" dataDxfId="830"/>
    <tableColumn id="24" xr3:uid="{717AE006-F132-4647-9BA2-7D654CDBCC4C}" name="BLKA" dataDxfId="829"/>
    <tableColumn id="25" xr3:uid="{99623D59-B7F2-4A27-BD62-76D819BE0A13}" name="PF" dataDxfId="828"/>
    <tableColumn id="26" xr3:uid="{B8C32185-34C5-44DC-A9D5-6FC82229D3D3}" name="PFD" dataDxfId="827"/>
    <tableColumn id="27" xr3:uid="{0DEE30B8-3097-4AEE-B641-DE488B7E83CE}" name="PTS" dataDxfId="826"/>
    <tableColumn id="28" xr3:uid="{237248B6-C664-4F33-A5F2-9B54CE9B7EC4}" name="PLUS_MINUS" dataDxfId="825"/>
    <tableColumn id="29" xr3:uid="{FB57C063-1FEE-4EEA-914C-4223C8FD2954}" name="GP_RANK" dataDxfId="824"/>
    <tableColumn id="30" xr3:uid="{B1EEEF77-43AA-4F22-82A8-4D059EF4387D}" name="W_RANK" dataDxfId="823"/>
    <tableColumn id="31" xr3:uid="{2962518F-8819-4E8A-8E64-922C5061C0F6}" name="L_RANK" dataDxfId="822"/>
    <tableColumn id="32" xr3:uid="{5C9F3F59-8901-40DD-95A9-71454CDDC326}" name="W_PCT_RANK" dataDxfId="821"/>
    <tableColumn id="33" xr3:uid="{7E56DF73-0DFB-4898-8D73-4EA93E79C2AD}" name="MIN_RANK" dataDxfId="820"/>
    <tableColumn id="34" xr3:uid="{36586F0A-7B95-4E37-A3EF-0B67BC910A98}" name="FGM_RANK" dataDxfId="819"/>
    <tableColumn id="35" xr3:uid="{6ADD5DE9-D3F8-4AA5-B331-1EF17BA36791}" name="FGA_RANK" dataDxfId="818"/>
    <tableColumn id="36" xr3:uid="{9212877D-B3FB-4B27-BAD9-AAF15F15F33B}" name="FG_PCT_RANK" dataDxfId="817"/>
    <tableColumn id="37" xr3:uid="{8859952D-24DC-4EFD-AD90-136159D3F7E4}" name="FG3M_RANK" dataDxfId="816"/>
    <tableColumn id="38" xr3:uid="{278C2E93-C2F7-4C90-9899-198959AA35C0}" name="FG3A_RANK" dataDxfId="815"/>
    <tableColumn id="39" xr3:uid="{E23F3741-67EF-43B6-9A9A-E216EFF88F5C}" name="FG3_PCT_RANK" dataDxfId="814"/>
    <tableColumn id="40" xr3:uid="{FD1207D3-84B5-47D7-A90B-E60B1F1F20A4}" name="FTM_RANK" dataDxfId="813"/>
    <tableColumn id="41" xr3:uid="{7101F590-1A50-4122-8296-1E5983655393}" name="FTA_RANK" dataDxfId="812"/>
    <tableColumn id="42" xr3:uid="{45978F99-D0F1-4E75-AE09-540109C96D51}" name="FT_PCT_RANK" dataDxfId="811"/>
    <tableColumn id="43" xr3:uid="{FDADEED9-C77F-4A0B-918A-D6E8F97530D5}" name="OREB_RANK" dataDxfId="810"/>
    <tableColumn id="44" xr3:uid="{E6ADBEB8-FE61-40B6-BF4E-CB79C10495E7}" name="DREB_RANK" dataDxfId="809"/>
    <tableColumn id="45" xr3:uid="{699A1618-9801-4605-8740-89322A70B61E}" name="REB_RANK" dataDxfId="808"/>
    <tableColumn id="46" xr3:uid="{34E436CD-3A55-4535-B11A-5331524ED079}" name="AST_RANK" dataDxfId="807"/>
    <tableColumn id="47" xr3:uid="{D9B5EF9D-8140-4F98-8229-8BCEC792CF1F}" name="TOV_RANK" dataDxfId="806"/>
    <tableColumn id="48" xr3:uid="{CFB4B53C-20B0-498D-A8D9-1EC5715903C8}" name="STL_RANK" dataDxfId="805"/>
    <tableColumn id="49" xr3:uid="{667351AA-B8AF-46AC-BF64-7C2B4122191C}" name="BLK_RANK" dataDxfId="804"/>
    <tableColumn id="50" xr3:uid="{62E4F853-60DA-48BB-A418-7CCB429BCE99}" name="BLKA_RANK" dataDxfId="803"/>
    <tableColumn id="51" xr3:uid="{853F60AB-3F5A-4C08-A215-B9CD1F8A4DE2}" name="PF_RANK" dataDxfId="802"/>
    <tableColumn id="52" xr3:uid="{DAD9E7C5-163D-48A3-B7DF-16F583681ACF}" name="PFD_RANK" dataDxfId="801"/>
    <tableColumn id="53" xr3:uid="{BB5F36EE-F942-4D2F-8DB6-00AEA88A012F}" name="PTS_RANK" dataDxfId="800"/>
    <tableColumn id="54" xr3:uid="{C95A6918-FA2A-4BE1-A2B5-5F49C8748B17}" name="PLUS_MINUS_RANK" dataDxfId="799"/>
    <tableColumn id="55" xr3:uid="{1D7E5621-27D2-409E-92FA-3E3D73B841E9}" name="CFID" dataDxfId="798"/>
    <tableColumn id="56" xr3:uid="{68CAFE17-97C8-493B-AF5F-A5B84E9CDB4F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652E7C-6A5B-47A9-89EF-C73354F5A780}" name="TableAdvancedN1" displayName="TableAdvancedN1" ref="A1:AV31" totalsRowShown="0" headerRowDxfId="698">
  <autoFilter ref="A1:AV31" xr:uid="{8C40BE0C-1AF4-4898-BF9F-26493E0842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CFC6E40-25F2-4FF2-99AF-574F18334829}" name="TEAM_ID" dataDxfId="746"/>
    <tableColumn id="2" xr3:uid="{2E1F728C-4D17-428C-B664-26DAD760254C}" name="TEAM_NAME" dataDxfId="745"/>
    <tableColumn id="3" xr3:uid="{72721476-5CF8-4F86-87E8-97212C2E2D76}" name="GP" dataDxfId="744"/>
    <tableColumn id="4" xr3:uid="{0D8DA69C-4242-48E9-96CF-61AE92EDA181}" name="W" dataDxfId="743"/>
    <tableColumn id="5" xr3:uid="{387F5C3B-773D-4EB9-BC1B-F82EAAD70A3A}" name="L" dataDxfId="742"/>
    <tableColumn id="6" xr3:uid="{6E93AE34-96AB-4775-8804-06CDFCAF4D17}" name="W_PCT" dataDxfId="741"/>
    <tableColumn id="7" xr3:uid="{96721E30-3541-4B14-A831-501AA96DAD42}" name="MIN" dataDxfId="740"/>
    <tableColumn id="8" xr3:uid="{4413999B-EC26-46CA-8AE5-29E332941FE8}" name="E_OFF_RATING" dataDxfId="739"/>
    <tableColumn id="9" xr3:uid="{1191033A-AF79-4202-BE13-A992B7D323DA}" name="OFF_RATING" dataDxfId="738"/>
    <tableColumn id="10" xr3:uid="{A32F6F23-7A78-43BA-A0F9-978BCCD7ED81}" name="E_DEF_RATING" dataDxfId="737"/>
    <tableColumn id="11" xr3:uid="{4E52CEF4-274C-4DB7-96EC-598A84FC1873}" name="DEF_RATING" dataDxfId="736"/>
    <tableColumn id="12" xr3:uid="{825905CB-AD14-4380-8FB4-1CA03765C1D0}" name="E_NET_RATING" dataDxfId="735"/>
    <tableColumn id="13" xr3:uid="{7291FB46-6162-419E-9485-66398562F402}" name="NET_RATING" dataDxfId="734"/>
    <tableColumn id="14" xr3:uid="{EFF60993-279E-4F0B-B03F-8CE386696992}" name="AST_PCT" dataDxfId="733"/>
    <tableColumn id="15" xr3:uid="{DCF761C7-4855-4C89-AF7A-DFAC00B934E9}" name="AST_TO" dataDxfId="732"/>
    <tableColumn id="16" xr3:uid="{EBA2079F-9B90-46B6-B9C0-06F96639B9B4}" name="AST_RATIO" dataDxfId="731"/>
    <tableColumn id="17" xr3:uid="{37BE411B-0060-40D5-B9CF-CA4807798403}" name="OREB_PCT" dataDxfId="730"/>
    <tableColumn id="18" xr3:uid="{B657F746-6FEC-426D-BAF4-1B178EDDF018}" name="DREB_PCT" dataDxfId="729"/>
    <tableColumn id="19" xr3:uid="{B995900E-8048-4CF3-8D93-F5F0CC1886BF}" name="REB_PCT" dataDxfId="728"/>
    <tableColumn id="20" xr3:uid="{043DEFA3-21B5-46FA-B0DC-C511B287F2FD}" name="TM_TOV_PCT" dataDxfId="727"/>
    <tableColumn id="21" xr3:uid="{38EA5762-B7D5-4239-A93B-DC2730CE8998}" name="EFG_PCT" dataDxfId="726"/>
    <tableColumn id="22" xr3:uid="{88DA4E90-F524-4E60-91C3-28DA1BEFF99E}" name="TS_PCT" dataDxfId="725"/>
    <tableColumn id="23" xr3:uid="{7C0CDFAD-9CA8-4BCB-8B2C-68E0A87A0F90}" name="E_PACE" dataDxfId="724"/>
    <tableColumn id="24" xr3:uid="{C6BEFE41-164A-4E5C-B178-9196B155C5CC}" name="PACE" dataDxfId="723"/>
    <tableColumn id="25" xr3:uid="{6AF2A3F9-F9B9-4D18-A148-65C9C8756287}" name="PACE_PER40" dataDxfId="722"/>
    <tableColumn id="26" xr3:uid="{323EFE13-6A91-45C0-A03D-A17C64B11A94}" name="POSS" dataDxfId="721"/>
    <tableColumn id="27" xr3:uid="{1ED09398-AA86-464F-A014-94394D05305D}" name="PIE" dataDxfId="720"/>
    <tableColumn id="28" xr3:uid="{7AD7EFE5-D8CD-45A5-AD02-1B3B5608C6A0}" name="GP_RANK" dataDxfId="719"/>
    <tableColumn id="29" xr3:uid="{885B26C1-68D8-4D50-BEB9-37F09D4B5DD9}" name="W_RANK" dataDxfId="718"/>
    <tableColumn id="30" xr3:uid="{65A0287B-579A-430C-89C2-F1903FE7F504}" name="L_RANK" dataDxfId="717"/>
    <tableColumn id="31" xr3:uid="{69E8F2D1-4D50-4856-826C-52AFAE61E4B3}" name="W_PCT_RANK" dataDxfId="716"/>
    <tableColumn id="32" xr3:uid="{BFDFB6E6-EBAE-4B70-8D61-FD9C2FDED423}" name="MIN_RANK" dataDxfId="715"/>
    <tableColumn id="33" xr3:uid="{6D5E70D7-D272-44B2-A831-30526D90B09F}" name="OFF_RATING_RANK" dataDxfId="714"/>
    <tableColumn id="34" xr3:uid="{6244B544-91E3-434B-B720-340DF0DD8E74}" name="DEF_RATING_RANK" dataDxfId="713"/>
    <tableColumn id="35" xr3:uid="{A1A7BA2A-BB06-4C12-96F5-DD425BC2FEF7}" name="NET_RATING_RANK" dataDxfId="712"/>
    <tableColumn id="36" xr3:uid="{545827E9-BA2F-4C03-9876-314F2012C1D4}" name="AST_PCT_RANK" dataDxfId="711"/>
    <tableColumn id="37" xr3:uid="{07703F4D-EAAB-465F-92B3-F993D31835EF}" name="AST_TO_RANK" dataDxfId="710"/>
    <tableColumn id="38" xr3:uid="{E4F18548-2552-4A35-B3EC-8F98AF5C6D33}" name="AST_RATIO_RANK" dataDxfId="709"/>
    <tableColumn id="39" xr3:uid="{46D6DDD2-6F1A-4355-BCF5-0D5D250B62D8}" name="OREB_PCT_RANK" dataDxfId="708"/>
    <tableColumn id="40" xr3:uid="{7CA918B7-3D43-4886-B5E1-9D914223BC26}" name="DREB_PCT_RANK" dataDxfId="707"/>
    <tableColumn id="41" xr3:uid="{47B2EF62-D653-44EF-B2D8-DA7D45166578}" name="REB_PCT_RANK" dataDxfId="706"/>
    <tableColumn id="42" xr3:uid="{4A3D0901-6868-4D8C-A946-EF3EEEB67C80}" name="TM_TOV_PCT_RANK" dataDxfId="705"/>
    <tableColumn id="43" xr3:uid="{1532E701-C0B9-41BF-AB7E-587A1D185324}" name="EFG_PCT_RANK" dataDxfId="704"/>
    <tableColumn id="44" xr3:uid="{09198AA6-1C02-48A9-BA70-32827152AC68}" name="TS_PCT_RANK" dataDxfId="703"/>
    <tableColumn id="45" xr3:uid="{840C85DC-E3D0-46AC-84B0-1D71923A0245}" name="PACE_RANK" dataDxfId="702"/>
    <tableColumn id="46" xr3:uid="{7E4E37F9-D1AA-4880-9078-57D170051064}" name="PIE_RANK" dataDxfId="701"/>
    <tableColumn id="47" xr3:uid="{B00B07EA-7DF7-4BB9-B051-3A7EA1A1931B}" name="CFID" dataDxfId="700"/>
    <tableColumn id="48" xr3:uid="{8D24AC93-4689-47F7-9459-C471BD251C8D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A6F3E9-B08E-4A12-9B80-7AFF44021573}" name="TableAdvancedN1Starters" displayName="TableAdvancedN1Starters" ref="A1:AV31" totalsRowShown="0" headerRowDxfId="600">
  <autoFilter ref="A1:AV31" xr:uid="{4B383AFC-0E01-48E6-AF05-BA64639536C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90E0720-B561-4814-B6B6-6D729A43219D}" name="TEAM_ID" dataDxfId="648"/>
    <tableColumn id="2" xr3:uid="{31801F63-E238-4F4D-ACF6-975E26E65B36}" name="TEAM_NAME" dataDxfId="647"/>
    <tableColumn id="3" xr3:uid="{08623CD5-B9E1-4569-99FD-5D02FB16183D}" name="GP" dataDxfId="646"/>
    <tableColumn id="4" xr3:uid="{1D4B0664-B0C1-4102-83C8-A766B1B6211B}" name="W" dataDxfId="645"/>
    <tableColumn id="5" xr3:uid="{2EE7ABB1-90C7-4112-AD75-8260A9D104C0}" name="L" dataDxfId="644"/>
    <tableColumn id="6" xr3:uid="{9AC97BC1-D1A7-4178-8DF2-4C04C3574385}" name="W_PCT" dataDxfId="643"/>
    <tableColumn id="7" xr3:uid="{223A2A19-F160-4CEF-ADFD-432BBADB5A17}" name="MIN" dataDxfId="642"/>
    <tableColumn id="8" xr3:uid="{D552052A-73DD-4D29-88DB-07B536AA7E16}" name="E_OFF_RATING" dataDxfId="641"/>
    <tableColumn id="9" xr3:uid="{87DD6ADC-3E09-47AB-8AA5-0F42F1BCA609}" name="OFF_RATING" dataDxfId="640"/>
    <tableColumn id="10" xr3:uid="{AD09BC8E-7F73-4950-AFD4-A53664847C93}" name="E_DEF_RATING" dataDxfId="639"/>
    <tableColumn id="11" xr3:uid="{AAB077ED-B547-45F4-9F8A-F8B256AAD18A}" name="DEF_RATING" dataDxfId="638"/>
    <tableColumn id="12" xr3:uid="{BB7BA05E-3416-423B-97E8-4BA1E9210DDE}" name="E_NET_RATING" dataDxfId="637"/>
    <tableColumn id="13" xr3:uid="{1B5FBAD4-21F1-4074-8F5A-772639269DF7}" name="NET_RATING" dataDxfId="636"/>
    <tableColumn id="14" xr3:uid="{CD0B9F4E-59B8-4388-9B44-AC3FA1F248C7}" name="AST_PCT" dataDxfId="635"/>
    <tableColumn id="15" xr3:uid="{54151E3C-EEC7-4ECC-BE8A-D81D989E6114}" name="AST_TO" dataDxfId="634"/>
    <tableColumn id="16" xr3:uid="{645365C1-1E14-41F5-B264-0A02861EA6BD}" name="AST_RATIO" dataDxfId="633"/>
    <tableColumn id="17" xr3:uid="{36EBE0D2-4472-4B32-A27A-8E4226D155D9}" name="OREB_PCT" dataDxfId="632"/>
    <tableColumn id="18" xr3:uid="{E04D80E8-ADB3-43BD-9153-6D31383320D2}" name="DREB_PCT" dataDxfId="631"/>
    <tableColumn id="19" xr3:uid="{814B539F-7AF9-403B-B999-94247492FE2C}" name="REB_PCT" dataDxfId="630"/>
    <tableColumn id="20" xr3:uid="{B743A3F6-4C89-4CDA-8493-4DF1B8FC13FB}" name="TM_TOV_PCT" dataDxfId="629"/>
    <tableColumn id="21" xr3:uid="{E2138935-7B08-475C-9444-C37F099A97AE}" name="EFG_PCT" dataDxfId="628"/>
    <tableColumn id="22" xr3:uid="{5A48A0DE-AAA9-4E42-9656-E97A18AA2413}" name="TS_PCT" dataDxfId="627"/>
    <tableColumn id="23" xr3:uid="{C5CD2F2D-EF58-4E49-8695-F54EDD2A657A}" name="E_PACE" dataDxfId="626"/>
    <tableColumn id="24" xr3:uid="{DC2723F7-C8F0-4035-BD2D-EDCD8D06324D}" name="PACE" dataDxfId="625"/>
    <tableColumn id="25" xr3:uid="{1AF5EB6C-E7B5-400B-B090-F0DAE62CE21E}" name="PACE_PER40" dataDxfId="624"/>
    <tableColumn id="26" xr3:uid="{F6DBE732-2C4C-47A3-A66F-B75DB3C09952}" name="POSS" dataDxfId="623"/>
    <tableColumn id="27" xr3:uid="{01204946-769A-42EF-9C74-F541D7F62FF6}" name="PIE" dataDxfId="622"/>
    <tableColumn id="28" xr3:uid="{17A9904F-411F-4BB5-8FCF-5E1C8E8EEDAB}" name="GP_RANK" dataDxfId="621"/>
    <tableColumn id="29" xr3:uid="{F890518B-70AA-4BAF-9E74-2E9A27B3DC8B}" name="W_RANK" dataDxfId="620"/>
    <tableColumn id="30" xr3:uid="{B6D488D3-4159-4AC1-BDF0-ABEF2EC0BF86}" name="L_RANK" dataDxfId="619"/>
    <tableColumn id="31" xr3:uid="{E702EF63-EE1F-447C-9D68-4D48CD15544A}" name="W_PCT_RANK" dataDxfId="618"/>
    <tableColumn id="32" xr3:uid="{F01F7FBB-4B14-4168-B255-5CF69CACC15D}" name="MIN_RANK" dataDxfId="617"/>
    <tableColumn id="33" xr3:uid="{A7ABF255-25CE-4E4D-8D05-8548DCE00CF1}" name="OFF_RATING_RANK" dataDxfId="616"/>
    <tableColumn id="34" xr3:uid="{0670978E-3D3B-4574-9D98-0A53FD5F1D8E}" name="DEF_RATING_RANK" dataDxfId="615"/>
    <tableColumn id="35" xr3:uid="{A60D87FF-28B2-4A63-B121-B4269A2B97B6}" name="NET_RATING_RANK" dataDxfId="614"/>
    <tableColumn id="36" xr3:uid="{77E0BFED-68F3-4D59-9FA7-187A14ABFF2C}" name="AST_PCT_RANK" dataDxfId="613"/>
    <tableColumn id="37" xr3:uid="{40D06D1C-C568-4517-AC52-DEFAE92078C0}" name="AST_TO_RANK" dataDxfId="612"/>
    <tableColumn id="38" xr3:uid="{3F40DDAF-AD62-4062-8F1C-C3E269EAC8F4}" name="AST_RATIO_RANK" dataDxfId="611"/>
    <tableColumn id="39" xr3:uid="{87A7C7C2-5E8A-40AE-8EAC-61BA381DD832}" name="OREB_PCT_RANK" dataDxfId="610"/>
    <tableColumn id="40" xr3:uid="{0B331D80-FEA1-48D4-909E-1A8B90584E1E}" name="DREB_PCT_RANK" dataDxfId="609"/>
    <tableColumn id="41" xr3:uid="{C78D4DCF-09CE-4FEF-9EA4-6EDBCE880058}" name="REB_PCT_RANK" dataDxfId="608"/>
    <tableColumn id="42" xr3:uid="{3D0F02E3-C51A-4504-9A25-DDEF2E21B40E}" name="TM_TOV_PCT_RANK" dataDxfId="607"/>
    <tableColumn id="43" xr3:uid="{F546FAEA-3856-445C-8A23-A1E4A85A4E69}" name="EFG_PCT_RANK" dataDxfId="606"/>
    <tableColumn id="44" xr3:uid="{DDF731A8-F546-4F2F-8139-4E13431EB00A}" name="TS_PCT_RANK" dataDxfId="605"/>
    <tableColumn id="45" xr3:uid="{C5D70472-0857-4ADD-AB33-249B5FA7ABA4}" name="PACE_RANK" dataDxfId="604"/>
    <tableColumn id="46" xr3:uid="{9B93FCC5-C567-4052-9AC5-4915620FA15F}" name="PIE_RANK" dataDxfId="603"/>
    <tableColumn id="47" xr3:uid="{2E2CA0F6-F546-4F18-AF02-0D7D18F77382}" name="CFID" dataDxfId="602"/>
    <tableColumn id="48" xr3:uid="{D81E5157-6ADC-4F4B-8158-94A80FD7C1E4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27CDB8A-CD1F-4E3B-89D1-19480A700826}" name="TableAdvancedN1Bench" displayName="TableAdvancedN1Bench" ref="A1:AV31" totalsRowShown="0" headerRowDxfId="502">
  <autoFilter ref="A1:AV31" xr:uid="{8C28E671-6B8B-4C76-B8E7-0C70137422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234FCAE-DFCF-401F-9EAC-BE93B2E8CBA6}" name="TEAM_ID" dataDxfId="550"/>
    <tableColumn id="2" xr3:uid="{7EE33FCB-9004-4C7A-8DC8-EC4FA89CA7BD}" name="TEAM_NAME" dataDxfId="549"/>
    <tableColumn id="3" xr3:uid="{45DCA597-BE19-4106-A288-D7C15476B854}" name="GP" dataDxfId="548"/>
    <tableColumn id="4" xr3:uid="{1FDBEE12-D0A3-4628-BA5E-19DFF0D3C730}" name="W" dataDxfId="547"/>
    <tableColumn id="5" xr3:uid="{F4ADE5C9-341D-45D6-AB3C-C6E6122F4BD9}" name="L" dataDxfId="546"/>
    <tableColumn id="6" xr3:uid="{5799EA56-6FFD-468D-856D-C0B433DB9026}" name="W_PCT" dataDxfId="545"/>
    <tableColumn id="7" xr3:uid="{DC9473A0-530A-4EEB-85F5-EEB2A8812C37}" name="MIN" dataDxfId="544"/>
    <tableColumn id="8" xr3:uid="{2678AF66-0CB0-4DC4-9999-25B4F99E0F07}" name="E_OFF_RATING" dataDxfId="543"/>
    <tableColumn id="9" xr3:uid="{7B5DF1A3-1AD5-4C9F-AE29-255E9340C855}" name="OFF_RATING" dataDxfId="542"/>
    <tableColumn id="10" xr3:uid="{BA469532-0064-433D-8760-3134E09DB25A}" name="E_DEF_RATING" dataDxfId="541"/>
    <tableColumn id="11" xr3:uid="{54AEA470-163E-44F6-AB31-4CF4138A8F98}" name="DEF_RATING" dataDxfId="540"/>
    <tableColumn id="12" xr3:uid="{B6CB6D0B-CBC1-4AA0-B5CD-B1C394BB3203}" name="E_NET_RATING" dataDxfId="539"/>
    <tableColumn id="13" xr3:uid="{1198D365-58C8-4E7B-BD03-24BE573891B7}" name="NET_RATING" dataDxfId="538"/>
    <tableColumn id="14" xr3:uid="{81F4B2A5-A2C2-461A-A4A3-1AC64A86BE1C}" name="AST_PCT" dataDxfId="537"/>
    <tableColumn id="15" xr3:uid="{4FBD0C50-A067-4E2B-B0D2-53E924577E31}" name="AST_TO" dataDxfId="536"/>
    <tableColumn id="16" xr3:uid="{CC930422-95E3-48EA-ACBC-CB8C7703471A}" name="AST_RATIO" dataDxfId="535"/>
    <tableColumn id="17" xr3:uid="{84FEBEB7-10A8-422B-9309-DD1579B47527}" name="OREB_PCT" dataDxfId="534"/>
    <tableColumn id="18" xr3:uid="{5CE8CFD8-7272-4B09-AA0D-86151BC9CC40}" name="DREB_PCT" dataDxfId="533"/>
    <tableColumn id="19" xr3:uid="{9CD52B37-8B84-4992-9CB2-AB5CBE1D693A}" name="REB_PCT" dataDxfId="532"/>
    <tableColumn id="20" xr3:uid="{20AA7C7F-EB17-4A7A-9306-53F9233E9737}" name="TM_TOV_PCT" dataDxfId="531"/>
    <tableColumn id="21" xr3:uid="{9E0FE15D-6A96-4382-B63A-E23F21DA257A}" name="EFG_PCT" dataDxfId="530"/>
    <tableColumn id="22" xr3:uid="{08E1748C-8531-406E-83F7-FF8942872088}" name="TS_PCT" dataDxfId="529"/>
    <tableColumn id="23" xr3:uid="{F36CEA83-3FA0-4ACB-9F7C-1654DC3DE4F0}" name="E_PACE" dataDxfId="528"/>
    <tableColumn id="24" xr3:uid="{75B7E8C1-D0B4-40D4-90EB-EAA42CEC6404}" name="PACE" dataDxfId="527"/>
    <tableColumn id="25" xr3:uid="{0A369D0D-CDCA-42C7-8FC3-54ABB73B364C}" name="PACE_PER40" dataDxfId="526"/>
    <tableColumn id="26" xr3:uid="{E63420CC-8DAA-4C6C-B6A4-976AD4AE11A1}" name="POSS" dataDxfId="525"/>
    <tableColumn id="27" xr3:uid="{B8DF8160-A0F3-463F-9BFF-CBF870102739}" name="PIE" dataDxfId="524"/>
    <tableColumn id="28" xr3:uid="{AFDB2B57-6F09-46A9-B517-322B76EF8F09}" name="GP_RANK" dataDxfId="523"/>
    <tableColumn id="29" xr3:uid="{324F38E0-B321-436A-9D8A-4D6326D9FE45}" name="W_RANK" dataDxfId="522"/>
    <tableColumn id="30" xr3:uid="{38C2904B-1B5C-414F-BCCD-12DABA69EEE6}" name="L_RANK" dataDxfId="521"/>
    <tableColumn id="31" xr3:uid="{874119C1-2871-4F80-8C2B-69F54E451642}" name="W_PCT_RANK" dataDxfId="520"/>
    <tableColumn id="32" xr3:uid="{3EBDD6A2-7917-4813-8F76-E751C18694BF}" name="MIN_RANK" dataDxfId="519"/>
    <tableColumn id="33" xr3:uid="{AB90BAFF-634C-4D7F-A196-395E42000982}" name="OFF_RATING_RANK" dataDxfId="518"/>
    <tableColumn id="34" xr3:uid="{8C4C1D34-4906-4C79-BB42-491AD302AB79}" name="DEF_RATING_RANK" dataDxfId="517"/>
    <tableColumn id="35" xr3:uid="{E7CD6D71-3F65-420A-89AC-150BB3219FC7}" name="NET_RATING_RANK" dataDxfId="516"/>
    <tableColumn id="36" xr3:uid="{B580F3C4-EE93-4A0A-8B60-C7480F8C1015}" name="AST_PCT_RANK" dataDxfId="515"/>
    <tableColumn id="37" xr3:uid="{7257CF76-D28D-4DDC-AA93-9CBABE9436A5}" name="AST_TO_RANK" dataDxfId="514"/>
    <tableColumn id="38" xr3:uid="{2ABCB16A-1014-4167-86AA-03E245ACA3D0}" name="AST_RATIO_RANK" dataDxfId="513"/>
    <tableColumn id="39" xr3:uid="{AEE143C8-32C7-4CC5-A2B3-A7331F0AFBE9}" name="OREB_PCT_RANK" dataDxfId="512"/>
    <tableColumn id="40" xr3:uid="{F378800C-565F-4C8D-8635-0B86C13E9F17}" name="DREB_PCT_RANK" dataDxfId="511"/>
    <tableColumn id="41" xr3:uid="{44E8DEF8-209E-463E-8E91-CD6F9070423F}" name="REB_PCT_RANK" dataDxfId="510"/>
    <tableColumn id="42" xr3:uid="{27DBAF5A-E8D2-4860-80F3-C205BF21A974}" name="TM_TOV_PCT_RANK" dataDxfId="509"/>
    <tableColumn id="43" xr3:uid="{2EF08458-2B55-473A-B407-388F97D24842}" name="EFG_PCT_RANK" dataDxfId="508"/>
    <tableColumn id="44" xr3:uid="{0BD15E6C-4BEA-4124-A388-53AE936B41A2}" name="TS_PCT_RANK" dataDxfId="507"/>
    <tableColumn id="45" xr3:uid="{18005D21-7880-4FFE-9289-9F6FAAC15513}" name="PACE_RANK" dataDxfId="506"/>
    <tableColumn id="46" xr3:uid="{D3501934-40C9-412B-8919-61B6CC5692DE}" name="PIE_RANK" dataDxfId="505"/>
    <tableColumn id="47" xr3:uid="{B6E60DC4-E088-4100-8DC5-5AE698CE2DCB}" name="CFID" dataDxfId="504"/>
    <tableColumn id="48" xr3:uid="{CC283C70-67D8-4122-ABAC-0945A54292B1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6300B2-0D3D-4163-B23E-D2C5F158024D}" name="TableMiscN1" displayName="TableMiscN1" ref="A1:AD31" totalsRowShown="0" headerRowDxfId="440">
  <autoFilter ref="A1:AD31" xr:uid="{0164EFE9-F0F9-4E25-8DB0-E6CB00E276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D74ED144-D707-41AE-9883-DADE52C837B0}" name="TEAM_ID" dataDxfId="470"/>
    <tableColumn id="2" xr3:uid="{E37F32DF-029E-4120-AAAC-02490D7D4F50}" name="TEAM_NAME" dataDxfId="469"/>
    <tableColumn id="3" xr3:uid="{87399A85-842F-4D7D-BA8C-929F9AE87946}" name="GP" dataDxfId="468"/>
    <tableColumn id="4" xr3:uid="{8992F5E4-25F1-4563-A3B5-8907C8DDA0D2}" name="W" dataDxfId="467"/>
    <tableColumn id="5" xr3:uid="{53EE0C67-A538-42AB-9A1D-E0CF9ADDFFE8}" name="L" dataDxfId="466"/>
    <tableColumn id="6" xr3:uid="{5CB99647-2F37-40DA-A5A1-D715F90EDA04}" name="W_PCT" dataDxfId="465"/>
    <tableColumn id="7" xr3:uid="{17D81381-67A2-4174-A29B-9239117C2C24}" name="MIN" dataDxfId="464"/>
    <tableColumn id="8" xr3:uid="{F8D3D657-F3A4-40D6-A0ED-3F40670C9254}" name="PTS_OFF_TOV" dataDxfId="463"/>
    <tableColumn id="9" xr3:uid="{00C13FEE-DF20-4E8B-9B78-366EF9C65179}" name="PTS_2ND_CHANCE" dataDxfId="462"/>
    <tableColumn id="10" xr3:uid="{F4C37241-223D-4934-8E13-C3B51D98FE67}" name="PTS_FB" dataDxfId="461"/>
    <tableColumn id="11" xr3:uid="{EED339A0-B115-4725-8CBC-FBF4A777B517}" name="PTS_PAINT" dataDxfId="460"/>
    <tableColumn id="12" xr3:uid="{BC38E442-849C-475E-87E6-407115F4F417}" name="OPP_PTS_OFF_TOV" dataDxfId="459"/>
    <tableColumn id="13" xr3:uid="{558049BC-C373-4F24-947D-16C1C0FFAC98}" name="OPP_PTS_2ND_CHANCE" dataDxfId="458"/>
    <tableColumn id="14" xr3:uid="{6A000BAC-1C8C-43FC-BB5A-58301C459FDD}" name="OPP_PTS_FB" dataDxfId="457"/>
    <tableColumn id="15" xr3:uid="{D6F2BB1A-CA95-4299-A78A-FDBB0219EFD7}" name="OPP_PTS_PAINT" dataDxfId="456"/>
    <tableColumn id="16" xr3:uid="{F01D0A80-CD39-4D41-B547-39527E0A3CA1}" name="GP_RANK" dataDxfId="455"/>
    <tableColumn id="17" xr3:uid="{0C1582ED-9D28-40FF-A3F2-2465A6E19063}" name="W_RANK" dataDxfId="454"/>
    <tableColumn id="18" xr3:uid="{E7C414C3-CAC2-452A-B5EB-242BD08F1D46}" name="L_RANK" dataDxfId="453"/>
    <tableColumn id="19" xr3:uid="{FAFB6B83-3090-469C-B645-163553E8B15C}" name="W_PCT_RANK" dataDxfId="452"/>
    <tableColumn id="20" xr3:uid="{8345511C-DC68-4506-9E57-4559000DC180}" name="MIN_RANK" dataDxfId="451"/>
    <tableColumn id="21" xr3:uid="{5D345890-F837-43B2-82C9-541AA47B7220}" name="PTS_OFF_TOV_RANK" dataDxfId="450"/>
    <tableColumn id="22" xr3:uid="{266AF032-E805-4CA1-971A-47D760CD3131}" name="PTS_2ND_CHANCE_RANK" dataDxfId="449"/>
    <tableColumn id="23" xr3:uid="{09AEBC3F-5DF6-44B7-AE22-916B36C8BF4C}" name="PTS_FB_RANK" dataDxfId="448"/>
    <tableColumn id="24" xr3:uid="{D2E99588-29B0-4BBC-A04E-A2A8BDD9549C}" name="PTS_PAINT_RANK" dataDxfId="447"/>
    <tableColumn id="25" xr3:uid="{97B6FCB2-161F-49B4-B068-6C92395A0051}" name="OPP_PTS_OFF_TOV_RANK" dataDxfId="446"/>
    <tableColumn id="26" xr3:uid="{AF6A002A-BB29-459D-916A-E5EF5D6F1BC1}" name="OPP_PTS_2ND_CHANCE_RANK" dataDxfId="445"/>
    <tableColumn id="27" xr3:uid="{E33A5B30-3A81-4DFE-B218-AF5B56E7636D}" name="OPP_PTS_FB_RANK" dataDxfId="444"/>
    <tableColumn id="28" xr3:uid="{122A69A1-301B-4D19-94B0-6703AEDFEB11}" name="OPP_PTS_PAINT_RANK" dataDxfId="443"/>
    <tableColumn id="29" xr3:uid="{9BC1DA6C-971A-464A-9102-739B2FA5A40C}" name="CFID" dataDxfId="442"/>
    <tableColumn id="30" xr3:uid="{A0F1B736-4425-496C-BF17-C395DEF144FA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12CE283-52B8-497E-8022-992247557888}" name="TableOppBaseN1" displayName="TableOppBaseN1" ref="A1:BD31" totalsRowShown="0" headerRowDxfId="326">
  <autoFilter ref="A1:BD31" xr:uid="{2BC9A884-D116-454E-ACF7-890779779A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8876DB4-5DBC-4312-B3F3-5D2094498794}" name="TEAM_ID" dataDxfId="382"/>
    <tableColumn id="2" xr3:uid="{81FE021B-50A3-446E-A1EE-F8C7760613B9}" name="TEAM_NAME" dataDxfId="381"/>
    <tableColumn id="3" xr3:uid="{4F07DD8E-B2B0-4D48-975A-CCACD31B49EE}" name="GP" dataDxfId="380"/>
    <tableColumn id="4" xr3:uid="{F95C8CFC-0E73-4696-8894-70181ECDA19E}" name="W" dataDxfId="379"/>
    <tableColumn id="5" xr3:uid="{D6F468D6-A393-4CEB-ADED-08B7A50DE15B}" name="L" dataDxfId="378"/>
    <tableColumn id="6" xr3:uid="{22BF018C-BA94-4B67-883A-D2812DB71512}" name="W_PCT" dataDxfId="377"/>
    <tableColumn id="7" xr3:uid="{D3F4A95B-0CDE-4013-A87A-D5906880BDF3}" name="MIN" dataDxfId="376"/>
    <tableColumn id="8" xr3:uid="{46BD7547-3CE3-4FDC-A8C2-37E5F5A2CEAE}" name="OPP_FGM" dataDxfId="375"/>
    <tableColumn id="9" xr3:uid="{C06BDC06-9243-4885-9D63-127F9486ECC4}" name="OPP_FGA" dataDxfId="374"/>
    <tableColumn id="10" xr3:uid="{D7211092-4850-4D65-B5DB-7A18AC745A09}" name="OPP_FG_PCT" dataDxfId="373"/>
    <tableColumn id="11" xr3:uid="{6447E1B2-D5A9-45B1-BA34-1DEA987BDA66}" name="OPP_FG3M" dataDxfId="372"/>
    <tableColumn id="12" xr3:uid="{B758236D-79E6-4D11-9980-E7B958132100}" name="OPP_FG3A" dataDxfId="371"/>
    <tableColumn id="13" xr3:uid="{A1F07D12-9C1D-4300-8711-C28EB1AE4319}" name="OPP_FG3_PCT" dataDxfId="370"/>
    <tableColumn id="14" xr3:uid="{C976672D-6A09-4CA6-96E4-FDF47600886E}" name="OPP_FTM" dataDxfId="369"/>
    <tableColumn id="15" xr3:uid="{DC0D04CC-77FD-41B5-9324-20CF4C142529}" name="OPP_FTA" dataDxfId="368"/>
    <tableColumn id="16" xr3:uid="{C36AF867-5EF2-490F-91B9-4ABC7D17DA27}" name="OPP_FT_PCT" dataDxfId="367"/>
    <tableColumn id="17" xr3:uid="{71107D48-7825-45B2-99E3-7D1AA979E572}" name="OPP_OREB" dataDxfId="366"/>
    <tableColumn id="18" xr3:uid="{6D46ED13-9D8F-41C5-913C-B0BD298203B1}" name="OPP_DREB" dataDxfId="365"/>
    <tableColumn id="19" xr3:uid="{F0102A9B-13DD-4BAB-9233-666638DC15B5}" name="OPP_REB" dataDxfId="364"/>
    <tableColumn id="20" xr3:uid="{AD98A019-C4E2-47EB-BCBA-B59738E07EE7}" name="OPP_AST" dataDxfId="363"/>
    <tableColumn id="21" xr3:uid="{015B6AF6-F56E-4367-856B-34DD1414D17D}" name="OPP_TOV" dataDxfId="362"/>
    <tableColumn id="22" xr3:uid="{E46942FE-8480-4979-84D7-BBD7C57CC2E9}" name="OPP_STL" dataDxfId="361"/>
    <tableColumn id="23" xr3:uid="{003F1A3E-3749-4248-B4C2-57389728ABBB}" name="OPP_BLK" dataDxfId="360"/>
    <tableColumn id="24" xr3:uid="{7A8E5F0B-4D89-4FCE-BB96-C4EE5F4BED43}" name="OPP_BLKA" dataDxfId="359"/>
    <tableColumn id="25" xr3:uid="{8F062632-213D-49E9-99D6-7E4C8A7B6F51}" name="OPP_PF" dataDxfId="358"/>
    <tableColumn id="26" xr3:uid="{A7705E8D-77F1-4E8C-AF32-6C1DDCB39198}" name="OPP_PFD" dataDxfId="357"/>
    <tableColumn id="27" xr3:uid="{783B01EA-49F4-4AB7-8D57-3FB05DF441BD}" name="OPP_PTS" dataDxfId="356"/>
    <tableColumn id="28" xr3:uid="{19BDD412-13FE-4E74-8C85-E1D92AE52638}" name="PLUS_MINUS" dataDxfId="355"/>
    <tableColumn id="29" xr3:uid="{81698284-0770-4EEC-B87A-3A9862183564}" name="GP_RANK" dataDxfId="354"/>
    <tableColumn id="30" xr3:uid="{468BA8D0-15F0-482F-869A-E1CB575AEEFE}" name="W_RANK" dataDxfId="353"/>
    <tableColumn id="31" xr3:uid="{538A77DD-1515-4E46-9EBD-F04642C3075F}" name="L_RANK" dataDxfId="352"/>
    <tableColumn id="32" xr3:uid="{9FE89363-F51C-44BA-A5C4-E32C4EF1B589}" name="W_PCT_RANK" dataDxfId="351"/>
    <tableColumn id="33" xr3:uid="{A8A9FAA3-6B21-4A06-AA5B-91A4378A7DB5}" name="MIN_RANK" dataDxfId="350"/>
    <tableColumn id="34" xr3:uid="{C18A0FC7-9856-43C5-B60C-8D96C18D09C8}" name="OPP_FGM_RANK" dataDxfId="349"/>
    <tableColumn id="35" xr3:uid="{8F2A6BDA-3ECD-497D-AD81-CF2CB9D9EAB2}" name="OPP_FGA_RANK" dataDxfId="348"/>
    <tableColumn id="36" xr3:uid="{9D607988-C9D1-496C-9D3D-3ACB4C39C002}" name="OPP_FG_PCT_RANK" dataDxfId="347"/>
    <tableColumn id="37" xr3:uid="{4B48342E-2202-4FCB-8E91-67366E253350}" name="OPP_FG3M_RANK" dataDxfId="346"/>
    <tableColumn id="38" xr3:uid="{6CE2D406-C531-452F-8B60-42CB152BCD89}" name="OPP_FG3A_RANK" dataDxfId="345"/>
    <tableColumn id="39" xr3:uid="{CE91103B-2065-40FE-B874-E3177EE9C7DD}" name="OPP_FG3_PCT_RANK" dataDxfId="344"/>
    <tableColumn id="40" xr3:uid="{09798725-2380-4CB6-851E-FC0635665E84}" name="OPP_FTM_RANK" dataDxfId="343"/>
    <tableColumn id="41" xr3:uid="{6A518AF5-BE17-433B-96CF-148CAA4C4A05}" name="OPP_FTA_RANK" dataDxfId="342"/>
    <tableColumn id="42" xr3:uid="{6674EA97-D7CC-4176-93DE-DAE32384D845}" name="OPP_FT_PCT_RANK" dataDxfId="341"/>
    <tableColumn id="43" xr3:uid="{382CA5C3-745B-43D9-908B-5DBC9C6A61F9}" name="OPP_OREB_RANK" dataDxfId="340"/>
    <tableColumn id="44" xr3:uid="{D76BEBEC-20E7-4916-B75D-FB5129CA8594}" name="OPP_DREB_RANK" dataDxfId="339"/>
    <tableColumn id="45" xr3:uid="{81FF775E-4173-4222-95A5-2849B2D34715}" name="OPP_REB_RANK" dataDxfId="338"/>
    <tableColumn id="46" xr3:uid="{691DA2CE-9DE3-4C0B-B3AC-02FACCB78A7F}" name="OPP_AST_RANK" dataDxfId="337"/>
    <tableColumn id="47" xr3:uid="{2320A582-6BC5-4D79-9581-88B529A70774}" name="OPP_TOV_RANK" dataDxfId="336"/>
    <tableColumn id="48" xr3:uid="{7C118261-B63D-4639-8309-DF3279AB532E}" name="OPP_STL_RANK" dataDxfId="335"/>
    <tableColumn id="49" xr3:uid="{4172863C-75F4-413E-97DC-661632E569FD}" name="OPP_BLK_RANK" dataDxfId="334"/>
    <tableColumn id="50" xr3:uid="{C827D897-9CC2-4EF9-A085-21C5FC343BFA}" name="OPP_BLKA_RANK" dataDxfId="333"/>
    <tableColumn id="51" xr3:uid="{B49816F5-7FDB-4E50-9412-3560A86F511C}" name="OPP_PF_RANK" dataDxfId="332"/>
    <tableColumn id="52" xr3:uid="{BF27E115-179E-4EA1-A777-A8688BC3AFDA}" name="OPP_PFD_RANK" dataDxfId="331"/>
    <tableColumn id="53" xr3:uid="{FCB71A98-BED7-45A3-9CBA-1CFD677EFF01}" name="OPP_PTS_RANK" dataDxfId="330"/>
    <tableColumn id="54" xr3:uid="{2D8EFCBA-9CFD-4188-8E85-82423D0AF04E}" name="PLUS_MINUS_RANK" dataDxfId="329"/>
    <tableColumn id="55" xr3:uid="{41744B74-20CB-49A0-974C-FE32BBAC0FDD}" name="CFID" dataDxfId="328"/>
    <tableColumn id="56" xr3:uid="{81AF8A77-0D53-438D-8ABD-AE58E4C3A1E9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81A0023-2DF1-4ED9-A437-5A8299BEC2B9}" name="TableClutchBaseN1" displayName="TableClutchBaseN1" ref="A1:BD31" totalsRowShown="0" headerRowDxfId="212">
  <autoFilter ref="A1:BD31" xr:uid="{1862D060-2B44-4227-A532-83B56F2E8D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8827D40-86E4-4F83-A765-1FBD79B8D6FD}" name="TEAM_ID" dataDxfId="268"/>
    <tableColumn id="2" xr3:uid="{35FC60A0-8CAC-456F-869E-6B6CA496C4BA}" name="TEAM_NAME" dataDxfId="267"/>
    <tableColumn id="3" xr3:uid="{749F0B1D-7D8C-42D9-A556-4DE9494C7442}" name="GP" dataDxfId="266"/>
    <tableColumn id="4" xr3:uid="{9A3428FB-78D8-43B9-BB68-8F4C1D8B5863}" name="W" dataDxfId="265"/>
    <tableColumn id="5" xr3:uid="{15D66C9D-E9F1-484F-9AEE-3713452A4085}" name="L" dataDxfId="264"/>
    <tableColumn id="6" xr3:uid="{165C9FAF-0A2D-464C-937D-2EBB5B8B7169}" name="W_PCT" dataDxfId="263"/>
    <tableColumn id="7" xr3:uid="{B7E173A6-A65F-4B96-96ED-339818CA695D}" name="MIN" dataDxfId="262"/>
    <tableColumn id="8" xr3:uid="{C2F50FE6-C146-42BD-B810-69CE1C405C91}" name="FGM" dataDxfId="261"/>
    <tableColumn id="9" xr3:uid="{DFD5BEA5-8ABB-474B-88C3-8EB1A1719783}" name="FGA" dataDxfId="260"/>
    <tableColumn id="10" xr3:uid="{6FF727E4-8D3E-43CC-8067-D9FE135815C8}" name="FG_PCT" dataDxfId="259"/>
    <tableColumn id="11" xr3:uid="{481E1A21-A709-4FAC-B51A-6AF2A86291A3}" name="FG3M" dataDxfId="258"/>
    <tableColumn id="12" xr3:uid="{7F0740FB-2765-4454-BC91-71347E1C0271}" name="FG3A" dataDxfId="257"/>
    <tableColumn id="13" xr3:uid="{0E3110B6-89BD-45F2-B0EB-410E511CDF9B}" name="FG3_PCT" dataDxfId="256"/>
    <tableColumn id="14" xr3:uid="{EFDF80A5-81C9-4744-B221-6C980238D629}" name="FTM" dataDxfId="255"/>
    <tableColumn id="15" xr3:uid="{3DD341B2-6D42-46A4-A5FB-A50B53EB17FF}" name="FTA" dataDxfId="254"/>
    <tableColumn id="16" xr3:uid="{C0248EE2-5D74-44E2-AD79-FCF05280DBAA}" name="FT_PCT" dataDxfId="253"/>
    <tableColumn id="17" xr3:uid="{89C5C53B-0C60-4596-8560-35F504E43F63}" name="OREB" dataDxfId="252"/>
    <tableColumn id="18" xr3:uid="{CCAF5F1C-BA5F-4038-A2DB-57D530B1F0A9}" name="DREB" dataDxfId="251"/>
    <tableColumn id="19" xr3:uid="{E434B8CA-3F67-4EBF-B3C2-EC2B15A3ED20}" name="REB" dataDxfId="250"/>
    <tableColumn id="20" xr3:uid="{879E0145-E122-4055-8CEC-026600814E00}" name="AST" dataDxfId="249"/>
    <tableColumn id="21" xr3:uid="{F6FD527A-FD41-45A9-854B-2D6FE9F7F759}" name="TOV" dataDxfId="248"/>
    <tableColumn id="22" xr3:uid="{E3C8EED2-7999-42BA-9019-106807579AFF}" name="STL" dataDxfId="247"/>
    <tableColumn id="23" xr3:uid="{F53D234E-C645-4329-ABBA-4338752D78B8}" name="BLK" dataDxfId="246"/>
    <tableColumn id="24" xr3:uid="{F31215A3-2A82-4A56-8800-3448F173DBE7}" name="BLKA" dataDxfId="245"/>
    <tableColumn id="25" xr3:uid="{C989DDAF-131F-453C-98CC-E90B8E698A7F}" name="PF" dataDxfId="244"/>
    <tableColumn id="26" xr3:uid="{D736B740-1470-4AEF-A33F-3474E7CED48B}" name="PFD" dataDxfId="243"/>
    <tableColumn id="27" xr3:uid="{0B23BCAB-3EFA-4E61-A52E-A5B4C9D33C9D}" name="PTS" dataDxfId="242"/>
    <tableColumn id="28" xr3:uid="{EDDF3E6B-9E4F-4DB2-AF59-F4246327B2F8}" name="PLUS_MINUS" dataDxfId="241"/>
    <tableColumn id="29" xr3:uid="{B9F1EA2E-118E-4E88-894C-73CC6AC76844}" name="GP_RANK" dataDxfId="240"/>
    <tableColumn id="30" xr3:uid="{4C43458E-0B7E-4CE0-AC1F-2A92D5239091}" name="W_RANK" dataDxfId="239"/>
    <tableColumn id="31" xr3:uid="{3B9DB8BD-3ABE-451B-9F81-B24569FF625A}" name="L_RANK" dataDxfId="238"/>
    <tableColumn id="32" xr3:uid="{1B48B010-9C95-4DA7-A804-1B3C27450EDE}" name="W_PCT_RANK" dataDxfId="237"/>
    <tableColumn id="33" xr3:uid="{B21D75F7-A0BA-4A70-B35F-A1A3825787F7}" name="MIN_RANK" dataDxfId="236"/>
    <tableColumn id="34" xr3:uid="{24E94733-2BFA-4C1F-9E84-8C99670CC073}" name="FGM_RANK" dataDxfId="235"/>
    <tableColumn id="35" xr3:uid="{245770DA-E850-4832-9890-AEE6A1D4B5A0}" name="FGA_RANK" dataDxfId="234"/>
    <tableColumn id="36" xr3:uid="{110AE04E-C8A8-4199-B27D-109743F5ECA1}" name="FG_PCT_RANK" dataDxfId="233"/>
    <tableColumn id="37" xr3:uid="{672D4DF2-C5A2-4BF2-BFD3-94A61D0DAD51}" name="FG3M_RANK" dataDxfId="232"/>
    <tableColumn id="38" xr3:uid="{F5E462AC-42B0-40F2-89C8-7FBEFBFF0DB6}" name="FG3A_RANK" dataDxfId="231"/>
    <tableColumn id="39" xr3:uid="{6BDD340D-D3DE-4A7C-96A6-DCBAA99991C2}" name="FG3_PCT_RANK" dataDxfId="230"/>
    <tableColumn id="40" xr3:uid="{96CA33E0-F5C8-4331-8204-EFCCD033BE6F}" name="FTM_RANK" dataDxfId="229"/>
    <tableColumn id="41" xr3:uid="{3BCC58E1-A8A4-45A7-A0A5-CD02B1276505}" name="FTA_RANK" dataDxfId="228"/>
    <tableColumn id="42" xr3:uid="{0224691A-71BD-400C-95F3-5AB03AD6B5BD}" name="FT_PCT_RANK" dataDxfId="227"/>
    <tableColumn id="43" xr3:uid="{F9668E3A-4AF3-4208-BE57-0510156CC9CF}" name="OREB_RANK" dataDxfId="226"/>
    <tableColumn id="44" xr3:uid="{72F709C1-A8CC-46AC-BAA9-D33A4CF7E643}" name="DREB_RANK" dataDxfId="225"/>
    <tableColumn id="45" xr3:uid="{8A8151D5-3F28-4DA4-B755-20E062AF0855}" name="REB_RANK" dataDxfId="224"/>
    <tableColumn id="46" xr3:uid="{AEA4A54B-5794-4762-9074-A430F9B9FAD8}" name="AST_RANK" dataDxfId="223"/>
    <tableColumn id="47" xr3:uid="{28A929D6-94C0-4453-8945-DA9AEDD370EE}" name="TOV_RANK" dataDxfId="222"/>
    <tableColumn id="48" xr3:uid="{4B54A323-207F-428E-89AF-88BB12810EE9}" name="STL_RANK" dataDxfId="221"/>
    <tableColumn id="49" xr3:uid="{D7F903DB-18E2-48B7-AC5B-D2132DF27A4A}" name="BLK_RANK" dataDxfId="220"/>
    <tableColumn id="50" xr3:uid="{BA5A66AC-8889-41D3-9B0E-A182C7A2120C}" name="BLKA_RANK" dataDxfId="219"/>
    <tableColumn id="51" xr3:uid="{F5407DED-1796-45AD-B93A-D9DFB47C5E9E}" name="PF_RANK" dataDxfId="218"/>
    <tableColumn id="52" xr3:uid="{91F2834A-2D69-4BEB-8FA9-EFBE932E3D3B}" name="PFD_RANK" dataDxfId="217"/>
    <tableColumn id="53" xr3:uid="{F3C0FDB2-CA94-4ACE-B960-3458B69CD3C8}" name="PTS_RANK" dataDxfId="216"/>
    <tableColumn id="54" xr3:uid="{FE9B566B-DCD0-47EC-8E3A-91855F760BC7}" name="PLUS_MINUS_RANK" dataDxfId="215"/>
    <tableColumn id="55" xr3:uid="{55D2395C-D8AF-4246-B8AD-4537FFECAF32}" name="CFID" dataDxfId="214"/>
    <tableColumn id="56" xr3:uid="{C4145B69-33C8-436D-8CB7-901467567545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5CA4104-EF31-412C-A294-72D7403278FB}" name="TableClutchOpponentN1" displayName="TableClutchOpponentN1" ref="A1:BD31" totalsRowShown="0" headerRowDxfId="98">
  <autoFilter ref="A1:BD31" xr:uid="{C2BCE5E6-1F13-487A-A19E-110D0E4C2C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9018FDF-AA35-4AD9-8418-5C7CD585C08F}" name="TEAM_ID" dataDxfId="154"/>
    <tableColumn id="2" xr3:uid="{ACCC2145-243D-47D6-94D6-CB5D5EAB80A0}" name="TEAM_NAME" dataDxfId="153"/>
    <tableColumn id="3" xr3:uid="{3BDE5377-CB5D-4548-9E4E-B1FC4D9F7ED8}" name="GP" dataDxfId="152"/>
    <tableColumn id="4" xr3:uid="{BB2A57C4-180E-4266-B644-F719EFD4CAC5}" name="W" dataDxfId="151"/>
    <tableColumn id="5" xr3:uid="{C214F9F8-DA50-4990-9A46-552BD144E828}" name="L" dataDxfId="150"/>
    <tableColumn id="6" xr3:uid="{7A23E829-33CC-4AAA-ACA8-A7F52CCC0857}" name="W_PCT" dataDxfId="149"/>
    <tableColumn id="7" xr3:uid="{2A32ED0C-A0EB-4E61-97F2-CC925178E0C7}" name="MIN" dataDxfId="148"/>
    <tableColumn id="8" xr3:uid="{2F02BD9B-F92E-4975-8B85-9655970BFD29}" name="OPP_FGM" dataDxfId="147"/>
    <tableColumn id="9" xr3:uid="{82FEDA0F-1415-46F9-9C9B-64B9C10FB892}" name="OPP_FGA" dataDxfId="146"/>
    <tableColumn id="10" xr3:uid="{4775B88B-E1E9-4819-B2D5-B85351D4F812}" name="OPP_FG_PCT" dataDxfId="145"/>
    <tableColumn id="11" xr3:uid="{48EC299C-162E-42CE-A402-3422507C45DD}" name="OPP_FG3M" dataDxfId="144"/>
    <tableColumn id="12" xr3:uid="{F7E9D1D1-5235-4E28-93BE-0EE05BC493AD}" name="OPP_FG3A" dataDxfId="143"/>
    <tableColumn id="13" xr3:uid="{3C4E6170-F5BD-4892-8E3F-DB8C93B65A4A}" name="OPP_FG3_PCT" dataDxfId="142"/>
    <tableColumn id="14" xr3:uid="{7567F35A-0A2E-47D8-A775-6D4228FD4DFA}" name="OPP_FTM" dataDxfId="141"/>
    <tableColumn id="15" xr3:uid="{346C5A8F-21AA-4269-BC74-C1D5DA75F7E9}" name="OPP_FTA" dataDxfId="140"/>
    <tableColumn id="16" xr3:uid="{E26CBC6A-BF59-4DB6-9027-8A723D4E1A8B}" name="OPP_FT_PCT" dataDxfId="139"/>
    <tableColumn id="17" xr3:uid="{5C44774C-6922-4B8B-8DB7-7AC848C57F5A}" name="OPP_OREB" dataDxfId="138"/>
    <tableColumn id="18" xr3:uid="{3DB270BF-41C3-46D1-BD60-E82F8ECDEF68}" name="OPP_DREB" dataDxfId="137"/>
    <tableColumn id="19" xr3:uid="{C48093D4-9A93-4B3F-AED3-87A7A57DBD2F}" name="OPP_REB" dataDxfId="136"/>
    <tableColumn id="20" xr3:uid="{B563A9DC-B502-40DB-BADB-56231A963F87}" name="OPP_AST" dataDxfId="135"/>
    <tableColumn id="21" xr3:uid="{BF7A6FAB-4E70-4809-AB3F-6CC86D43BBB9}" name="OPP_TOV" dataDxfId="134"/>
    <tableColumn id="22" xr3:uid="{8A3EB39B-7732-4F37-93D9-DF7A39797E32}" name="OPP_STL" dataDxfId="133"/>
    <tableColumn id="23" xr3:uid="{6C97FA92-842D-4F6E-9419-ECD17AF29CD3}" name="OPP_BLK" dataDxfId="132"/>
    <tableColumn id="24" xr3:uid="{6803DE29-6086-408D-9650-082B69F72D09}" name="OPP_BLKA" dataDxfId="131"/>
    <tableColumn id="25" xr3:uid="{40016724-123A-4A6F-AE32-BBF1012B21C0}" name="OPP_PF" dataDxfId="130"/>
    <tableColumn id="26" xr3:uid="{072D94C5-8EE6-4C0D-B92F-99FEA31DB237}" name="OPP_PFD" dataDxfId="129"/>
    <tableColumn id="27" xr3:uid="{D8F90EAA-F6C7-4F95-B8D2-410AE603725D}" name="OPP_PTS" dataDxfId="128"/>
    <tableColumn id="28" xr3:uid="{78F66475-0691-40E6-A835-4D8DDFB5AB7D}" name="PLUS_MINUS" dataDxfId="127"/>
    <tableColumn id="29" xr3:uid="{A72EBE57-0D63-41E8-B02D-CC21345DF51D}" name="GP_RANK" dataDxfId="126"/>
    <tableColumn id="30" xr3:uid="{3E424094-04D3-4293-936F-1694B6607840}" name="W_RANK" dataDxfId="125"/>
    <tableColumn id="31" xr3:uid="{838F5676-4868-4AAA-B186-247A09A48D50}" name="L_RANK" dataDxfId="124"/>
    <tableColumn id="32" xr3:uid="{1086B877-54B7-48F1-94ED-CD6400E8DB07}" name="W_PCT_RANK" dataDxfId="123"/>
    <tableColumn id="33" xr3:uid="{EC920C96-45D9-4C3C-8BAC-C9F8DBF96AB9}" name="MIN_RANK" dataDxfId="122"/>
    <tableColumn id="34" xr3:uid="{050D0CFE-548B-461D-BD88-D2FDBDEB58A6}" name="OPP_FGM_RANK" dataDxfId="121"/>
    <tableColumn id="35" xr3:uid="{155AF297-6BF6-4642-BB48-C58B56B6BF45}" name="OPP_FGA_RANK" dataDxfId="120"/>
    <tableColumn id="36" xr3:uid="{73A6CED4-2A21-4412-A948-87667E9518E3}" name="OPP_FG_PCT_RANK" dataDxfId="119"/>
    <tableColumn id="37" xr3:uid="{DE380635-5405-482F-BD6D-4493C14FA0BE}" name="OPP_FG3M_RANK" dataDxfId="118"/>
    <tableColumn id="38" xr3:uid="{5919A128-948C-4A30-B007-A2ABA161F72C}" name="OPP_FG3A_RANK" dataDxfId="117"/>
    <tableColumn id="39" xr3:uid="{2216A70F-8691-44A2-AF15-BA1645EF662B}" name="OPP_FG3_PCT_RANK" dataDxfId="116"/>
    <tableColumn id="40" xr3:uid="{9EF5B2DD-6004-4ABA-B2A4-770C578994C8}" name="OPP_FTM_RANK" dataDxfId="115"/>
    <tableColumn id="41" xr3:uid="{6C19A58D-D034-4CBB-9108-4027D9CE86AA}" name="OPP_FTA_RANK" dataDxfId="114"/>
    <tableColumn id="42" xr3:uid="{52F7C41B-94E2-4284-9617-AD6A6BEF00AA}" name="OPP_FT_PCT_RANK" dataDxfId="113"/>
    <tableColumn id="43" xr3:uid="{79D9DACE-5760-4E68-A1F6-DB7220561154}" name="OPP_OREB_RANK" dataDxfId="112"/>
    <tableColumn id="44" xr3:uid="{ABB7388D-7D04-46D1-AD97-1216DDACC3FD}" name="OPP_DREB_RANK" dataDxfId="111"/>
    <tableColumn id="45" xr3:uid="{957CA584-CACE-461A-9B49-1FA7F1389EB1}" name="OPP_REB_RANK" dataDxfId="110"/>
    <tableColumn id="46" xr3:uid="{66DF22B7-6A1D-4C2C-8647-036E8E07B9A0}" name="OPP_AST_RANK" dataDxfId="109"/>
    <tableColumn id="47" xr3:uid="{1FFFA846-FD89-41DF-B7AB-2A71CC6CF660}" name="OPP_TOV_RANK" dataDxfId="108"/>
    <tableColumn id="48" xr3:uid="{6EBEC64F-D915-4802-8F2F-73CFA4C70E9B}" name="OPP_STL_RANK" dataDxfId="107"/>
    <tableColumn id="49" xr3:uid="{3A03822A-C0AE-4363-8229-E91B764D8036}" name="OPP_BLK_RANK" dataDxfId="106"/>
    <tableColumn id="50" xr3:uid="{07D3B75C-C3B2-4482-850D-EA6EFA70908A}" name="OPP_BLKA_RANK" dataDxfId="105"/>
    <tableColumn id="51" xr3:uid="{4CCA7ADD-0ABB-4063-8528-7C2DEEC76706}" name="OPP_PF_RANK" dataDxfId="104"/>
    <tableColumn id="52" xr3:uid="{418D16EB-04A8-43BF-8526-801E19744970}" name="OPP_PFD_RANK" dataDxfId="103"/>
    <tableColumn id="53" xr3:uid="{2B8558A7-822C-4118-9351-257082175B83}" name="OPP_PTS_RANK" dataDxfId="102"/>
    <tableColumn id="54" xr3:uid="{C2819B4A-EF84-4B29-891A-B831BADE41CE}" name="PLUS_MINUS_RANK" dataDxfId="101"/>
    <tableColumn id="55" xr3:uid="{95DDA37C-77A8-4C12-A00D-9F742EDD5F25}" name="CFID" dataDxfId="100"/>
    <tableColumn id="56" xr3:uid="{4B3EFB06-FE36-432C-B7DF-E71F41AFE7A7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9E5E11B-AD7E-4498-93F2-F0C56F4D0FDD}" name="TableClutchAdvancedN1" displayName="TableClutchAdvancedN1" ref="A1:AV31" totalsRowShown="0" headerRowDxfId="0">
  <autoFilter ref="A1:AV31" xr:uid="{A120A18F-7C4D-41BA-9534-EF23A720E2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D9BDA17-5A87-45F5-9F54-192F951312B4}" name="TEAM_ID" dataDxfId="48"/>
    <tableColumn id="2" xr3:uid="{2EA5CC23-FFE9-4333-A4DB-F36549E8012A}" name="TEAM_NAME" dataDxfId="47"/>
    <tableColumn id="3" xr3:uid="{2BFB8107-4267-4216-89AE-3FFA4CB7F80C}" name="GP" dataDxfId="46"/>
    <tableColumn id="4" xr3:uid="{8D2617C6-1B2C-4791-9A32-2D628A2F703E}" name="W" dataDxfId="45"/>
    <tableColumn id="5" xr3:uid="{D76EC5DA-BE13-4A7D-B83C-866EB39A218F}" name="L" dataDxfId="44"/>
    <tableColumn id="6" xr3:uid="{F9A0DAC3-85E1-4492-9617-CDB0922E156F}" name="W_PCT" dataDxfId="43"/>
    <tableColumn id="7" xr3:uid="{AB79F171-2F03-4CED-8DE5-E3F401822212}" name="MIN" dataDxfId="42"/>
    <tableColumn id="8" xr3:uid="{5BCF951C-8D2F-4D2E-8393-61702C6B763D}" name="E_OFF_RATING" dataDxfId="41"/>
    <tableColumn id="9" xr3:uid="{B955A6EC-8911-403D-829D-C52B898EF7F5}" name="OFF_RATING" dataDxfId="40"/>
    <tableColumn id="10" xr3:uid="{C01DA3B7-1DDB-430C-9BBC-E8D2EEE6D090}" name="E_DEF_RATING" dataDxfId="39"/>
    <tableColumn id="11" xr3:uid="{75AC20BF-FFE9-4200-B453-D36FDA7CAD3A}" name="DEF_RATING" dataDxfId="38"/>
    <tableColumn id="12" xr3:uid="{F0DCC851-20C9-4AFA-8576-BE98D3132B61}" name="E_NET_RATING" dataDxfId="37"/>
    <tableColumn id="13" xr3:uid="{789A5A03-3649-478F-AB13-A2603CB074DB}" name="NET_RATING" dataDxfId="36"/>
    <tableColumn id="14" xr3:uid="{623716B2-B20F-4E8A-8F40-56376F3E0802}" name="AST_PCT" dataDxfId="35"/>
    <tableColumn id="15" xr3:uid="{267311C5-C280-4208-97BD-1315BD8DF7A7}" name="AST_TO" dataDxfId="34"/>
    <tableColumn id="16" xr3:uid="{E63D2242-A287-4DF6-A0F4-569EED82C6A4}" name="AST_RATIO" dataDxfId="33"/>
    <tableColumn id="17" xr3:uid="{8E11BDBD-818E-45ED-87AC-89602B046BE6}" name="OREB_PCT" dataDxfId="32"/>
    <tableColumn id="18" xr3:uid="{4933CA56-2E1D-41AC-94D1-524FD2A5AA29}" name="DREB_PCT" dataDxfId="31"/>
    <tableColumn id="19" xr3:uid="{1BB5FCAE-9CCF-4306-A417-7C601804BC74}" name="REB_PCT" dataDxfId="30"/>
    <tableColumn id="20" xr3:uid="{6CEFF8F3-F96E-49B5-8312-A4600D517C5D}" name="TM_TOV_PCT" dataDxfId="29"/>
    <tableColumn id="21" xr3:uid="{C9A601AA-042E-434A-9B8B-8FFDB6AAA399}" name="EFG_PCT" dataDxfId="28"/>
    <tableColumn id="22" xr3:uid="{B45E0474-2FB2-4A3E-A126-57AD30D50A5F}" name="TS_PCT" dataDxfId="27"/>
    <tableColumn id="23" xr3:uid="{8C9CB60E-0E92-4326-9C40-13AF03D6FC23}" name="E_PACE" dataDxfId="26"/>
    <tableColumn id="24" xr3:uid="{5B802B9D-72DE-4D72-93E4-6864807AF54E}" name="PACE" dataDxfId="25"/>
    <tableColumn id="25" xr3:uid="{AFA7B304-FBB9-4491-A6BE-852FB5DB7A57}" name="PACE_PER40" dataDxfId="24"/>
    <tableColumn id="26" xr3:uid="{0542B133-C9C5-4DE3-BF30-CD8FE0C3C978}" name="POSS" dataDxfId="23"/>
    <tableColumn id="27" xr3:uid="{B5F28642-39BB-4E5C-9436-02DFCE4E9F9F}" name="PIE" dataDxfId="22"/>
    <tableColumn id="28" xr3:uid="{B92DA428-4851-4ECC-BC66-03052192927B}" name="GP_RANK" dataDxfId="21"/>
    <tableColumn id="29" xr3:uid="{0D45CD1E-AE4A-4F1D-8A6E-C603EF113555}" name="W_RANK" dataDxfId="20"/>
    <tableColumn id="30" xr3:uid="{34F7DE7C-C46B-4D89-ABA8-579C293D5A0F}" name="L_RANK" dataDxfId="19"/>
    <tableColumn id="31" xr3:uid="{B7DB71FE-4098-44A0-8FB5-4D4F74216722}" name="W_PCT_RANK" dataDxfId="18"/>
    <tableColumn id="32" xr3:uid="{647077B1-9A1A-4CEA-971D-D73480FCDA8A}" name="MIN_RANK" dataDxfId="17"/>
    <tableColumn id="33" xr3:uid="{A41C6604-B453-4D8B-A566-44DB204BD71E}" name="OFF_RATING_RANK" dataDxfId="16"/>
    <tableColumn id="34" xr3:uid="{B5748BC3-A1CC-47A4-9EE2-9E6362D991B7}" name="DEF_RATING_RANK" dataDxfId="15"/>
    <tableColumn id="35" xr3:uid="{C85365EC-1CC9-43C5-ADBA-2DC59FF1B91E}" name="NET_RATING_RANK" dataDxfId="14"/>
    <tableColumn id="36" xr3:uid="{64089C0C-0E14-4101-8471-57FC6992DD6D}" name="AST_PCT_RANK" dataDxfId="13"/>
    <tableColumn id="37" xr3:uid="{EAF3F176-4FBE-4DDB-BA5E-5E646119248C}" name="AST_TO_RANK" dataDxfId="12"/>
    <tableColumn id="38" xr3:uid="{94D4BCCA-4F6A-481C-A532-9870233D4A56}" name="AST_RATIO_RANK" dataDxfId="11"/>
    <tableColumn id="39" xr3:uid="{A35B8096-CFF2-4F41-8AEE-E4E22D64F4CC}" name="OREB_PCT_RANK" dataDxfId="10"/>
    <tableColumn id="40" xr3:uid="{10920AE7-6028-444D-B74A-F8835702A9A7}" name="DREB_PCT_RANK" dataDxfId="9"/>
    <tableColumn id="41" xr3:uid="{D18E5171-FF35-4CB4-BD0E-0F362FA66C38}" name="REB_PCT_RANK" dataDxfId="8"/>
    <tableColumn id="42" xr3:uid="{941A7D54-E636-4A42-944B-BD3B0A361F9C}" name="TM_TOV_PCT_RANK" dataDxfId="7"/>
    <tableColumn id="43" xr3:uid="{042C606C-6188-47F5-B44B-BB4127BB1075}" name="EFG_PCT_RANK" dataDxfId="6"/>
    <tableColumn id="44" xr3:uid="{A61174AD-B800-42CA-A4BC-AC23D9AF6E07}" name="TS_PCT_RANK" dataDxfId="5"/>
    <tableColumn id="45" xr3:uid="{83E48F28-EBAB-45E5-A6AD-107D12235A2E}" name="PACE_RANK" dataDxfId="4"/>
    <tableColumn id="46" xr3:uid="{5EF6DD18-49CC-4304-8B16-1A43A24D9543}" name="PIE_RANK" dataDxfId="3"/>
    <tableColumn id="47" xr3:uid="{01320B97-293A-4B12-98DF-8F542D8E6571}" name="CFID" dataDxfId="2"/>
    <tableColumn id="48" xr3:uid="{39D878BF-6CE7-48DC-A2AD-B0F333A54BC4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tabSelected="1"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1412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1417</v>
      </c>
      <c r="D3" s="2">
        <v>4</v>
      </c>
      <c r="F3" s="1" t="s">
        <v>1413</v>
      </c>
      <c r="G3" s="2">
        <v>2</v>
      </c>
    </row>
    <row r="4" spans="1:7" x14ac:dyDescent="0.25">
      <c r="A4" s="23"/>
      <c r="B4" s="5" t="s">
        <v>6</v>
      </c>
      <c r="C4" s="11">
        <v>0.59799999999999998</v>
      </c>
      <c r="F4" s="11">
        <v>0.78600000000000003</v>
      </c>
    </row>
    <row r="5" spans="1:7" x14ac:dyDescent="0.25">
      <c r="A5" s="23"/>
      <c r="B5" s="5" t="s">
        <v>7</v>
      </c>
      <c r="C5" s="1" t="s">
        <v>1418</v>
      </c>
      <c r="F5" s="1" t="s">
        <v>1414</v>
      </c>
    </row>
    <row r="6" spans="1:7" x14ac:dyDescent="0.25">
      <c r="A6" s="23"/>
      <c r="B6" s="5" t="s">
        <v>2</v>
      </c>
      <c r="C6" s="1" t="s">
        <v>1419</v>
      </c>
      <c r="F6" s="1" t="s">
        <v>1415</v>
      </c>
    </row>
    <row r="7" spans="1:7" x14ac:dyDescent="0.25">
      <c r="A7" s="23"/>
      <c r="B7" s="5" t="s">
        <v>3</v>
      </c>
      <c r="C7" s="1" t="s">
        <v>1420</v>
      </c>
      <c r="F7" s="1" t="s">
        <v>1416</v>
      </c>
    </row>
    <row r="8" spans="1:7" x14ac:dyDescent="0.25">
      <c r="A8" s="23"/>
      <c r="B8" s="5" t="s">
        <v>0</v>
      </c>
      <c r="C8" s="1" t="s">
        <v>1421</v>
      </c>
      <c r="F8" s="1" t="s">
        <v>1413</v>
      </c>
    </row>
    <row r="9" spans="1:7" x14ac:dyDescent="0.25">
      <c r="A9" s="23"/>
      <c r="B9" s="5" t="s">
        <v>1</v>
      </c>
      <c r="C9" s="1" t="s">
        <v>1422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0.46500000000000002</v>
      </c>
      <c r="D11" s="3">
        <v>14</v>
      </c>
      <c r="F11" s="9">
        <v>0.443</v>
      </c>
      <c r="G11" s="3">
        <v>21</v>
      </c>
    </row>
    <row r="12" spans="1:7" x14ac:dyDescent="0.25">
      <c r="A12" s="23"/>
      <c r="B12" s="14" t="s">
        <v>36</v>
      </c>
      <c r="C12" s="8">
        <v>42.1</v>
      </c>
      <c r="D12" s="3">
        <v>11</v>
      </c>
      <c r="F12" s="8">
        <v>40.4</v>
      </c>
      <c r="G12" s="3">
        <v>16</v>
      </c>
    </row>
    <row r="13" spans="1:7" x14ac:dyDescent="0.25">
      <c r="A13" s="23"/>
      <c r="B13" s="14" t="s">
        <v>37</v>
      </c>
      <c r="C13" s="8">
        <v>90.5</v>
      </c>
      <c r="D13" s="3">
        <v>9</v>
      </c>
      <c r="F13" s="8">
        <v>91.3</v>
      </c>
      <c r="G13" s="3">
        <v>8</v>
      </c>
    </row>
    <row r="14" spans="1:7" x14ac:dyDescent="0.25">
      <c r="A14" s="23"/>
      <c r="B14" s="14" t="s">
        <v>27</v>
      </c>
      <c r="C14" s="9">
        <v>0.36499999999999999</v>
      </c>
      <c r="D14" s="3">
        <v>7</v>
      </c>
      <c r="F14" s="9">
        <v>0.35399999999999998</v>
      </c>
      <c r="G14" s="3">
        <v>14</v>
      </c>
    </row>
    <row r="15" spans="1:7" x14ac:dyDescent="0.25">
      <c r="A15" s="23"/>
      <c r="B15" s="14" t="s">
        <v>38</v>
      </c>
      <c r="C15" s="8">
        <v>12.6</v>
      </c>
      <c r="D15" s="3">
        <v>6</v>
      </c>
      <c r="F15" s="8">
        <v>12.6</v>
      </c>
      <c r="G15" s="3">
        <v>11</v>
      </c>
    </row>
    <row r="16" spans="1:7" x14ac:dyDescent="0.25">
      <c r="A16" s="23"/>
      <c r="B16" s="14" t="s">
        <v>39</v>
      </c>
      <c r="C16" s="8">
        <v>34.5</v>
      </c>
      <c r="D16" s="3">
        <v>7</v>
      </c>
      <c r="F16" s="8">
        <v>35.700000000000003</v>
      </c>
      <c r="G16" s="3">
        <v>8</v>
      </c>
    </row>
    <row r="17" spans="1:7" x14ac:dyDescent="0.25">
      <c r="A17" s="23"/>
      <c r="B17" s="14" t="s">
        <v>28</v>
      </c>
      <c r="C17" s="9">
        <v>0.80200000000000005</v>
      </c>
      <c r="D17" s="3">
        <v>4</v>
      </c>
      <c r="F17" s="9">
        <v>0.79200000000000004</v>
      </c>
      <c r="G17" s="3">
        <v>7</v>
      </c>
    </row>
    <row r="18" spans="1:7" x14ac:dyDescent="0.25">
      <c r="A18" s="23"/>
      <c r="B18" s="14" t="s">
        <v>41</v>
      </c>
      <c r="C18" s="8">
        <v>15.6</v>
      </c>
      <c r="D18" s="3">
        <v>28</v>
      </c>
      <c r="F18" s="8">
        <v>18.5</v>
      </c>
      <c r="G18" s="3">
        <v>16</v>
      </c>
    </row>
    <row r="19" spans="1:7" x14ac:dyDescent="0.25">
      <c r="A19" s="23"/>
      <c r="B19" s="14" t="s">
        <v>40</v>
      </c>
      <c r="C19" s="8">
        <v>19.5</v>
      </c>
      <c r="D19" s="3">
        <v>29</v>
      </c>
      <c r="F19" s="8">
        <v>23.4</v>
      </c>
      <c r="G19" s="3">
        <v>17</v>
      </c>
    </row>
    <row r="20" spans="1:7" x14ac:dyDescent="0.25">
      <c r="A20" s="23"/>
      <c r="B20" s="14" t="s">
        <v>29</v>
      </c>
      <c r="C20" s="8">
        <v>26.3</v>
      </c>
      <c r="D20" s="3">
        <v>5</v>
      </c>
      <c r="F20" s="8">
        <v>24.6</v>
      </c>
      <c r="G20" s="3">
        <v>12</v>
      </c>
    </row>
    <row r="21" spans="1:7" x14ac:dyDescent="0.25">
      <c r="A21" s="23"/>
      <c r="B21" s="14" t="s">
        <v>30</v>
      </c>
      <c r="C21" s="8">
        <v>12.8</v>
      </c>
      <c r="D21" s="3">
        <v>3</v>
      </c>
      <c r="F21" s="8">
        <v>12.8</v>
      </c>
      <c r="G21" s="3">
        <v>1</v>
      </c>
    </row>
    <row r="22" spans="1:7" x14ac:dyDescent="0.25">
      <c r="A22" s="23"/>
      <c r="B22" s="14" t="s">
        <v>32</v>
      </c>
      <c r="C22" s="8">
        <v>44.5</v>
      </c>
      <c r="D22" s="3">
        <v>22</v>
      </c>
      <c r="F22" s="8">
        <v>47.1</v>
      </c>
      <c r="G22" s="3">
        <v>6</v>
      </c>
    </row>
    <row r="23" spans="1:7" x14ac:dyDescent="0.25">
      <c r="A23" s="23"/>
      <c r="B23" s="14" t="s">
        <v>31</v>
      </c>
      <c r="C23" s="8">
        <v>9.8000000000000007</v>
      </c>
      <c r="D23" s="3">
        <v>20</v>
      </c>
      <c r="F23" s="8">
        <v>10.3</v>
      </c>
      <c r="G23" s="3">
        <v>17</v>
      </c>
    </row>
    <row r="24" spans="1:7" x14ac:dyDescent="0.25">
      <c r="A24" s="23"/>
      <c r="B24" s="14" t="s">
        <v>33</v>
      </c>
      <c r="C24" s="8">
        <v>34.700000000000003</v>
      </c>
      <c r="D24" s="3">
        <v>16</v>
      </c>
      <c r="F24" s="8">
        <v>36.9</v>
      </c>
      <c r="G24" s="3">
        <v>6</v>
      </c>
    </row>
    <row r="25" spans="1:7" x14ac:dyDescent="0.25">
      <c r="A25" s="23"/>
      <c r="B25" s="14" t="s">
        <v>34</v>
      </c>
      <c r="C25" s="8">
        <v>8.6</v>
      </c>
      <c r="D25" s="3">
        <v>4</v>
      </c>
      <c r="F25" s="8">
        <v>8.6</v>
      </c>
      <c r="G25" s="3">
        <v>7</v>
      </c>
    </row>
    <row r="26" spans="1:7" x14ac:dyDescent="0.25">
      <c r="A26" s="23"/>
      <c r="B26" s="14" t="s">
        <v>35</v>
      </c>
      <c r="C26" s="8">
        <v>5.3</v>
      </c>
      <c r="D26" s="3">
        <v>10</v>
      </c>
      <c r="F26" s="8">
        <v>5.7</v>
      </c>
      <c r="G26" s="3">
        <v>8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0.44800000000000001</v>
      </c>
      <c r="D28" s="3">
        <v>4</v>
      </c>
      <c r="F28" s="9">
        <v>0.42499999999999999</v>
      </c>
      <c r="G28" s="3">
        <v>5</v>
      </c>
    </row>
    <row r="29" spans="1:7" x14ac:dyDescent="0.25">
      <c r="A29" s="23"/>
      <c r="B29" s="18" t="s">
        <v>43</v>
      </c>
      <c r="C29" s="9">
        <v>0.34399999999999997</v>
      </c>
      <c r="D29" s="3">
        <v>6</v>
      </c>
      <c r="F29" s="9">
        <v>0.33300000000000002</v>
      </c>
      <c r="G29" s="3">
        <v>8</v>
      </c>
    </row>
    <row r="30" spans="1:7" x14ac:dyDescent="0.25">
      <c r="A30" s="23"/>
      <c r="B30" s="18" t="s">
        <v>44</v>
      </c>
      <c r="C30" s="8">
        <v>11.5</v>
      </c>
      <c r="D30" s="3">
        <v>15</v>
      </c>
      <c r="F30" s="8">
        <v>11.5</v>
      </c>
      <c r="G30" s="3">
        <v>14</v>
      </c>
    </row>
    <row r="31" spans="1:7" x14ac:dyDescent="0.25">
      <c r="A31" s="23"/>
      <c r="B31" s="17" t="s">
        <v>45</v>
      </c>
      <c r="C31" s="8">
        <v>33.5</v>
      </c>
      <c r="D31" s="3">
        <v>22</v>
      </c>
      <c r="F31" s="8">
        <v>34.6</v>
      </c>
      <c r="G31" s="3">
        <v>21</v>
      </c>
    </row>
    <row r="32" spans="1:7" x14ac:dyDescent="0.25">
      <c r="A32" s="23"/>
      <c r="B32" s="17" t="s">
        <v>46</v>
      </c>
      <c r="C32" s="8">
        <v>15.1</v>
      </c>
      <c r="D32" s="3">
        <v>7</v>
      </c>
      <c r="F32" s="8">
        <v>16.3</v>
      </c>
      <c r="G32" s="3">
        <v>9</v>
      </c>
    </row>
    <row r="33" spans="1:7" x14ac:dyDescent="0.25">
      <c r="A33" s="23"/>
      <c r="B33" s="17" t="s">
        <v>47</v>
      </c>
      <c r="C33" s="8">
        <v>10.4</v>
      </c>
      <c r="D33" s="3">
        <v>16</v>
      </c>
      <c r="F33" s="8">
        <v>11.5</v>
      </c>
      <c r="G33" s="3">
        <v>27</v>
      </c>
    </row>
    <row r="35" spans="1:7" x14ac:dyDescent="0.25">
      <c r="A35" s="23" t="s">
        <v>60</v>
      </c>
      <c r="B35" s="4" t="s">
        <v>8</v>
      </c>
      <c r="C35" s="8">
        <v>111.3</v>
      </c>
      <c r="D35" s="3">
        <v>10</v>
      </c>
      <c r="F35" s="8">
        <v>109.9</v>
      </c>
      <c r="G35" s="3">
        <v>8</v>
      </c>
    </row>
    <row r="36" spans="1:7" x14ac:dyDescent="0.25">
      <c r="A36" s="23"/>
      <c r="B36" s="4" t="s">
        <v>9</v>
      </c>
      <c r="C36" s="8">
        <v>107</v>
      </c>
      <c r="D36" s="3">
        <v>6</v>
      </c>
      <c r="F36" s="8">
        <v>102.4</v>
      </c>
      <c r="G36" s="3">
        <v>6</v>
      </c>
    </row>
    <row r="37" spans="1:7" x14ac:dyDescent="0.25">
      <c r="A37" s="23"/>
      <c r="B37" s="4" t="s">
        <v>10</v>
      </c>
      <c r="C37" s="8">
        <v>4.3</v>
      </c>
      <c r="D37" s="3">
        <v>6</v>
      </c>
      <c r="F37" s="8">
        <v>7.5</v>
      </c>
      <c r="G37" s="3">
        <v>5</v>
      </c>
    </row>
    <row r="38" spans="1:7" x14ac:dyDescent="0.25">
      <c r="A38" s="23"/>
      <c r="B38" s="4" t="s">
        <v>11</v>
      </c>
      <c r="C38" s="13">
        <v>100.43</v>
      </c>
      <c r="D38" s="3">
        <v>16</v>
      </c>
      <c r="F38" s="13">
        <v>101.18</v>
      </c>
      <c r="G38" s="3">
        <v>18</v>
      </c>
    </row>
    <row r="39" spans="1:7" x14ac:dyDescent="0.25">
      <c r="A39" s="23"/>
      <c r="B39" s="4" t="s">
        <v>12</v>
      </c>
      <c r="C39" s="10">
        <v>0.53400000000000003</v>
      </c>
      <c r="D39" s="3">
        <v>7</v>
      </c>
      <c r="F39" s="9">
        <v>0.51200000000000001</v>
      </c>
      <c r="G39" s="3">
        <v>19</v>
      </c>
    </row>
    <row r="40" spans="1:7" x14ac:dyDescent="0.25">
      <c r="A40" s="23"/>
      <c r="B40" s="4" t="s">
        <v>13</v>
      </c>
      <c r="C40" s="10">
        <v>0.624</v>
      </c>
      <c r="D40" s="3">
        <v>8</v>
      </c>
      <c r="F40" s="9">
        <v>0.61</v>
      </c>
      <c r="G40" s="3">
        <v>14</v>
      </c>
    </row>
    <row r="41" spans="1:7" x14ac:dyDescent="0.25">
      <c r="A41" s="23"/>
      <c r="B41" s="4" t="s">
        <v>14</v>
      </c>
      <c r="C41" s="10">
        <v>0.495</v>
      </c>
      <c r="D41" s="3">
        <v>23</v>
      </c>
      <c r="F41" s="9">
        <v>0.49099999999999999</v>
      </c>
      <c r="G41" s="3">
        <v>22</v>
      </c>
    </row>
    <row r="42" spans="1:7" x14ac:dyDescent="0.25">
      <c r="A42" s="23"/>
      <c r="B42" s="4" t="s">
        <v>15</v>
      </c>
      <c r="C42" s="10">
        <v>0.25700000000000001</v>
      </c>
      <c r="D42" s="3">
        <v>24</v>
      </c>
      <c r="F42" s="9">
        <v>0.255</v>
      </c>
      <c r="G42" s="3">
        <v>24</v>
      </c>
    </row>
    <row r="43" spans="1:7" x14ac:dyDescent="0.25">
      <c r="A43" s="23"/>
      <c r="B43" s="4" t="s">
        <v>16</v>
      </c>
      <c r="C43" s="10">
        <v>0.72799999999999998</v>
      </c>
      <c r="D43" s="3">
        <v>15</v>
      </c>
      <c r="F43" s="9">
        <v>0.72799999999999998</v>
      </c>
      <c r="G43" s="3">
        <v>13</v>
      </c>
    </row>
    <row r="44" spans="1:7" x14ac:dyDescent="0.25">
      <c r="A44" s="23"/>
      <c r="B44" s="4" t="s">
        <v>17</v>
      </c>
      <c r="C44" s="10">
        <v>0.127</v>
      </c>
      <c r="D44" s="3">
        <v>3</v>
      </c>
      <c r="F44" s="9">
        <v>0.125</v>
      </c>
      <c r="G44" s="3">
        <v>1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71.3</v>
      </c>
      <c r="D46" s="3">
        <v>22</v>
      </c>
      <c r="F46" s="8">
        <v>74.900000000000006</v>
      </c>
      <c r="G46" s="3">
        <v>7</v>
      </c>
    </row>
    <row r="47" spans="1:7" x14ac:dyDescent="0.25">
      <c r="A47" s="23"/>
      <c r="B47" s="20" t="s">
        <v>49</v>
      </c>
      <c r="C47" s="8">
        <v>68.099999999999994</v>
      </c>
      <c r="D47" s="3">
        <v>4</v>
      </c>
      <c r="F47" s="8">
        <v>67.8</v>
      </c>
      <c r="G47" s="3">
        <v>5</v>
      </c>
    </row>
    <row r="48" spans="1:7" x14ac:dyDescent="0.25">
      <c r="A48" s="23"/>
      <c r="B48" s="20" t="s">
        <v>50</v>
      </c>
      <c r="C48" s="8">
        <v>3.2</v>
      </c>
      <c r="D48" s="3">
        <v>9</v>
      </c>
      <c r="F48" s="8">
        <v>7.1</v>
      </c>
      <c r="G48" s="3">
        <v>3</v>
      </c>
    </row>
    <row r="49" spans="1:7" x14ac:dyDescent="0.25">
      <c r="A49" s="23"/>
      <c r="B49" s="20" t="s">
        <v>51</v>
      </c>
      <c r="C49" s="8">
        <v>56.8</v>
      </c>
      <c r="D49" s="3">
        <v>18</v>
      </c>
      <c r="F49" s="8">
        <v>49.8</v>
      </c>
      <c r="G49" s="3">
        <v>27</v>
      </c>
    </row>
    <row r="50" spans="1:7" x14ac:dyDescent="0.25">
      <c r="A50" s="23"/>
      <c r="B50" s="20" t="s">
        <v>52</v>
      </c>
      <c r="C50" s="8">
        <v>55</v>
      </c>
      <c r="D50" s="3">
        <v>10</v>
      </c>
      <c r="F50" s="8">
        <v>49.3</v>
      </c>
      <c r="G50" s="3">
        <v>5</v>
      </c>
    </row>
    <row r="51" spans="1:7" x14ac:dyDescent="0.25">
      <c r="A51" s="23"/>
      <c r="B51" s="20" t="s">
        <v>53</v>
      </c>
      <c r="C51" s="8">
        <v>1.7</v>
      </c>
      <c r="D51" s="3">
        <v>4</v>
      </c>
      <c r="F51" s="8">
        <v>0.5</v>
      </c>
      <c r="G51" s="3">
        <v>12</v>
      </c>
    </row>
    <row r="53" spans="1:7" x14ac:dyDescent="0.25">
      <c r="A53" s="23" t="s">
        <v>57</v>
      </c>
      <c r="B53" s="6" t="s">
        <v>18</v>
      </c>
      <c r="C53" s="7">
        <v>18.100000000000001</v>
      </c>
      <c r="D53" s="3">
        <v>5</v>
      </c>
      <c r="F53" s="7">
        <v>17.399999999999999</v>
      </c>
      <c r="G53" s="3">
        <v>16</v>
      </c>
    </row>
    <row r="54" spans="1:7" x14ac:dyDescent="0.25">
      <c r="A54" s="23"/>
      <c r="B54" s="6" t="s">
        <v>19</v>
      </c>
      <c r="C54" s="7">
        <v>14.8</v>
      </c>
      <c r="D54" s="3">
        <v>4</v>
      </c>
      <c r="F54" s="7">
        <v>13.4</v>
      </c>
      <c r="G54" s="3">
        <v>1</v>
      </c>
    </row>
    <row r="55" spans="1:7" x14ac:dyDescent="0.25">
      <c r="A55" s="23"/>
      <c r="B55" s="6" t="s">
        <v>20</v>
      </c>
      <c r="C55" s="7">
        <v>12.5</v>
      </c>
      <c r="D55" s="3">
        <v>23</v>
      </c>
      <c r="F55" s="7">
        <v>11.6</v>
      </c>
      <c r="G55" s="3">
        <v>26</v>
      </c>
    </row>
    <row r="56" spans="1:7" x14ac:dyDescent="0.25">
      <c r="A56" s="23"/>
      <c r="B56" s="6" t="s">
        <v>21</v>
      </c>
      <c r="C56" s="7">
        <v>13.5</v>
      </c>
      <c r="D56" s="3">
        <v>16</v>
      </c>
      <c r="F56" s="7">
        <v>12.8</v>
      </c>
      <c r="G56" s="3">
        <v>12</v>
      </c>
    </row>
    <row r="57" spans="1:7" x14ac:dyDescent="0.25">
      <c r="A57" s="23"/>
      <c r="B57" s="6" t="s">
        <v>22</v>
      </c>
      <c r="C57" s="7">
        <v>16.2</v>
      </c>
      <c r="D57" s="3">
        <v>16.2</v>
      </c>
      <c r="F57" s="7">
        <v>13.6</v>
      </c>
      <c r="G57" s="3">
        <v>13.6</v>
      </c>
    </row>
    <row r="58" spans="1:7" x14ac:dyDescent="0.25">
      <c r="A58" s="23"/>
      <c r="B58" s="6" t="s">
        <v>23</v>
      </c>
      <c r="C58" s="7">
        <v>13.2</v>
      </c>
      <c r="D58" s="3">
        <v>13.2</v>
      </c>
      <c r="F58" s="7">
        <v>12.6</v>
      </c>
      <c r="G58" s="3">
        <v>12.6</v>
      </c>
    </row>
    <row r="59" spans="1:7" x14ac:dyDescent="0.25">
      <c r="A59" s="23"/>
      <c r="B59" s="6" t="s">
        <v>24</v>
      </c>
      <c r="C59" s="7">
        <v>44.8</v>
      </c>
      <c r="D59" s="3">
        <v>23</v>
      </c>
      <c r="F59" s="7">
        <v>47.9</v>
      </c>
      <c r="G59" s="3">
        <v>14</v>
      </c>
    </row>
    <row r="60" spans="1:7" x14ac:dyDescent="0.25">
      <c r="A60" s="23"/>
      <c r="B60" s="6" t="s">
        <v>25</v>
      </c>
      <c r="C60" s="7">
        <v>45.9</v>
      </c>
      <c r="D60" s="3">
        <v>5</v>
      </c>
      <c r="F60" s="7">
        <v>42.1</v>
      </c>
      <c r="G60" s="3">
        <v>3</v>
      </c>
    </row>
    <row r="62" spans="1:7" x14ac:dyDescent="0.25">
      <c r="A62" s="23" t="s">
        <v>58</v>
      </c>
      <c r="B62" s="21" t="s">
        <v>54</v>
      </c>
      <c r="C62" s="22">
        <v>3.5</v>
      </c>
      <c r="D62" s="3">
        <v>20</v>
      </c>
      <c r="F62" s="22">
        <v>4.0999999999999996</v>
      </c>
      <c r="G62" s="3">
        <v>10</v>
      </c>
    </row>
    <row r="63" spans="1:7" x14ac:dyDescent="0.25">
      <c r="A63" s="23"/>
      <c r="B63" s="21" t="s">
        <v>55</v>
      </c>
      <c r="C63" s="3">
        <v>23</v>
      </c>
      <c r="D63" s="3">
        <v>9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19</v>
      </c>
      <c r="D64" s="3">
        <v>12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0.5</v>
      </c>
      <c r="D65" s="3">
        <v>1</v>
      </c>
      <c r="F65" s="9">
        <v>0.435</v>
      </c>
      <c r="G65" s="3">
        <v>11</v>
      </c>
    </row>
    <row r="66" spans="1:7" x14ac:dyDescent="0.25">
      <c r="A66" s="23"/>
      <c r="B66" s="21" t="s">
        <v>42</v>
      </c>
      <c r="C66" s="9">
        <v>0.47099999999999997</v>
      </c>
      <c r="D66" s="3">
        <v>30</v>
      </c>
      <c r="F66" s="9">
        <v>0.38800000000000001</v>
      </c>
      <c r="G66" s="3">
        <v>9</v>
      </c>
    </row>
    <row r="67" spans="1:7" x14ac:dyDescent="0.25">
      <c r="A67" s="23"/>
      <c r="B67" s="21" t="s">
        <v>8</v>
      </c>
      <c r="C67" s="8">
        <v>125.7</v>
      </c>
      <c r="D67" s="3">
        <v>1</v>
      </c>
      <c r="F67" s="8">
        <v>130</v>
      </c>
      <c r="G67" s="3">
        <v>2</v>
      </c>
    </row>
    <row r="68" spans="1:7" x14ac:dyDescent="0.25">
      <c r="A68" s="23"/>
      <c r="B68" s="21" t="s">
        <v>9</v>
      </c>
      <c r="C68" s="8">
        <v>114.8</v>
      </c>
      <c r="D68" s="3">
        <v>29</v>
      </c>
      <c r="F68" s="8">
        <v>106.6</v>
      </c>
      <c r="G68" s="3">
        <v>15</v>
      </c>
    </row>
    <row r="69" spans="1:7" x14ac:dyDescent="0.25">
      <c r="A69" s="23"/>
      <c r="B69" s="21" t="s">
        <v>10</v>
      </c>
      <c r="C69" s="8">
        <v>10.9</v>
      </c>
      <c r="D69" s="3">
        <v>4</v>
      </c>
      <c r="F69" s="8">
        <v>23.4</v>
      </c>
      <c r="G69" s="3">
        <v>3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1610612738</v>
      </c>
      <c r="B2" s="1" t="s">
        <v>755</v>
      </c>
      <c r="C2" s="1" t="s">
        <v>145</v>
      </c>
      <c r="D2" s="1" t="s">
        <v>1346</v>
      </c>
      <c r="E2" s="1" t="s">
        <v>775</v>
      </c>
      <c r="F2" s="1" t="s">
        <v>779</v>
      </c>
      <c r="G2" s="1" t="s">
        <v>299</v>
      </c>
      <c r="H2" s="1" t="s">
        <v>761</v>
      </c>
      <c r="I2" s="1" t="s">
        <v>1347</v>
      </c>
      <c r="J2" s="1">
        <v>21</v>
      </c>
      <c r="K2" s="1" t="s">
        <v>759</v>
      </c>
      <c r="L2" s="1" t="s">
        <v>776</v>
      </c>
      <c r="M2" s="1">
        <v>1628369</v>
      </c>
    </row>
    <row r="3" spans="1:13" x14ac:dyDescent="0.25">
      <c r="A3" s="1">
        <v>1610612738</v>
      </c>
      <c r="B3" s="1" t="s">
        <v>755</v>
      </c>
      <c r="C3" s="1" t="s">
        <v>145</v>
      </c>
      <c r="D3" s="1" t="s">
        <v>1348</v>
      </c>
      <c r="E3" s="1" t="s">
        <v>764</v>
      </c>
      <c r="F3" s="1" t="s">
        <v>760</v>
      </c>
      <c r="G3" s="1" t="s">
        <v>386</v>
      </c>
      <c r="H3" s="1" t="s">
        <v>1349</v>
      </c>
      <c r="I3" s="1" t="s">
        <v>1350</v>
      </c>
      <c r="J3" s="1">
        <v>21</v>
      </c>
      <c r="K3" s="1" t="s">
        <v>758</v>
      </c>
      <c r="L3" s="1" t="s">
        <v>1351</v>
      </c>
      <c r="M3" s="1">
        <v>1629035</v>
      </c>
    </row>
    <row r="4" spans="1:13" x14ac:dyDescent="0.25">
      <c r="A4" s="1">
        <v>1610612738</v>
      </c>
      <c r="B4" s="1" t="s">
        <v>755</v>
      </c>
      <c r="C4" s="1" t="s">
        <v>145</v>
      </c>
      <c r="D4" s="1" t="s">
        <v>1352</v>
      </c>
      <c r="E4" s="1" t="s">
        <v>1353</v>
      </c>
      <c r="F4" s="1" t="s">
        <v>757</v>
      </c>
      <c r="G4" s="1" t="s">
        <v>767</v>
      </c>
      <c r="H4" s="1" t="s">
        <v>1354</v>
      </c>
      <c r="I4" s="1" t="s">
        <v>1355</v>
      </c>
      <c r="J4" s="1">
        <v>23</v>
      </c>
      <c r="K4" s="1" t="s">
        <v>763</v>
      </c>
      <c r="L4" s="1" t="s">
        <v>777</v>
      </c>
      <c r="M4" s="1">
        <v>1627759</v>
      </c>
    </row>
    <row r="5" spans="1:13" x14ac:dyDescent="0.25">
      <c r="A5" s="1">
        <v>1610612738</v>
      </c>
      <c r="B5" s="1" t="s">
        <v>755</v>
      </c>
      <c r="C5" s="1" t="s">
        <v>145</v>
      </c>
      <c r="D5" s="1" t="s">
        <v>1356</v>
      </c>
      <c r="E5" s="1" t="s">
        <v>765</v>
      </c>
      <c r="F5" s="1" t="s">
        <v>760</v>
      </c>
      <c r="G5" s="1" t="s">
        <v>248</v>
      </c>
      <c r="H5" s="1" t="s">
        <v>1357</v>
      </c>
      <c r="I5" s="1" t="s">
        <v>1358</v>
      </c>
      <c r="J5" s="1">
        <v>29</v>
      </c>
      <c r="K5" s="1" t="s">
        <v>765</v>
      </c>
      <c r="L5" s="1" t="s">
        <v>1359</v>
      </c>
      <c r="M5" s="1">
        <v>202689</v>
      </c>
    </row>
    <row r="6" spans="1:13" x14ac:dyDescent="0.25">
      <c r="A6" s="1">
        <v>1610612738</v>
      </c>
      <c r="B6" s="1" t="s">
        <v>755</v>
      </c>
      <c r="C6" s="1" t="s">
        <v>145</v>
      </c>
      <c r="D6" s="1" t="s">
        <v>1360</v>
      </c>
      <c r="E6" s="1" t="s">
        <v>762</v>
      </c>
      <c r="F6" s="1" t="s">
        <v>760</v>
      </c>
      <c r="G6" s="1" t="s">
        <v>256</v>
      </c>
      <c r="H6" s="1" t="s">
        <v>761</v>
      </c>
      <c r="I6" s="1" t="s">
        <v>1361</v>
      </c>
      <c r="J6" s="1">
        <v>30</v>
      </c>
      <c r="K6" s="1" t="s">
        <v>756</v>
      </c>
      <c r="L6" s="1" t="s">
        <v>1362</v>
      </c>
      <c r="M6" s="1">
        <v>202954</v>
      </c>
    </row>
    <row r="7" spans="1:13" x14ac:dyDescent="0.25">
      <c r="A7" s="1">
        <v>1610612738</v>
      </c>
      <c r="B7" s="1" t="s">
        <v>755</v>
      </c>
      <c r="C7" s="1" t="s">
        <v>145</v>
      </c>
      <c r="D7" s="1" t="s">
        <v>1363</v>
      </c>
      <c r="E7" s="1" t="s">
        <v>772</v>
      </c>
      <c r="F7" s="1" t="s">
        <v>771</v>
      </c>
      <c r="G7" s="1" t="s">
        <v>410</v>
      </c>
      <c r="H7" s="1" t="s">
        <v>784</v>
      </c>
      <c r="I7" s="1" t="s">
        <v>1364</v>
      </c>
      <c r="J7" s="1">
        <v>27</v>
      </c>
      <c r="K7" s="1" t="s">
        <v>765</v>
      </c>
      <c r="L7" s="1" t="s">
        <v>1365</v>
      </c>
      <c r="M7" s="1">
        <v>202683</v>
      </c>
    </row>
    <row r="8" spans="1:13" x14ac:dyDescent="0.25">
      <c r="A8" s="1">
        <v>1610612738</v>
      </c>
      <c r="B8" s="1" t="s">
        <v>755</v>
      </c>
      <c r="C8" s="1" t="s">
        <v>145</v>
      </c>
      <c r="D8" s="1" t="s">
        <v>1366</v>
      </c>
      <c r="E8" s="1" t="s">
        <v>778</v>
      </c>
      <c r="F8" s="1" t="s">
        <v>768</v>
      </c>
      <c r="G8" s="1" t="s">
        <v>767</v>
      </c>
      <c r="H8" s="1" t="s">
        <v>1367</v>
      </c>
      <c r="I8" s="1" t="s">
        <v>1368</v>
      </c>
      <c r="J8" s="1">
        <v>20</v>
      </c>
      <c r="K8" s="1" t="s">
        <v>758</v>
      </c>
      <c r="L8" s="1" t="s">
        <v>1369</v>
      </c>
      <c r="M8" s="1">
        <v>1629684</v>
      </c>
    </row>
    <row r="9" spans="1:13" x14ac:dyDescent="0.25">
      <c r="A9" s="1">
        <v>1610612738</v>
      </c>
      <c r="B9" s="1" t="s">
        <v>755</v>
      </c>
      <c r="C9" s="1" t="s">
        <v>145</v>
      </c>
      <c r="D9" s="1" t="s">
        <v>1370</v>
      </c>
      <c r="E9" s="1" t="s">
        <v>780</v>
      </c>
      <c r="F9" s="1" t="s">
        <v>768</v>
      </c>
      <c r="G9" s="1" t="s">
        <v>331</v>
      </c>
      <c r="H9" s="1" t="s">
        <v>774</v>
      </c>
      <c r="I9" s="1" t="s">
        <v>1371</v>
      </c>
      <c r="J9" s="1">
        <v>29</v>
      </c>
      <c r="K9" s="1" t="s">
        <v>762</v>
      </c>
      <c r="L9" s="1" t="s">
        <v>1372</v>
      </c>
      <c r="M9" s="1">
        <v>202330</v>
      </c>
    </row>
    <row r="10" spans="1:13" x14ac:dyDescent="0.25">
      <c r="A10" s="1">
        <v>1610612738</v>
      </c>
      <c r="B10" s="1" t="s">
        <v>755</v>
      </c>
      <c r="C10" s="1" t="s">
        <v>145</v>
      </c>
      <c r="D10" s="1" t="s">
        <v>1373</v>
      </c>
      <c r="E10" s="1" t="s">
        <v>1374</v>
      </c>
      <c r="F10" s="1" t="s">
        <v>769</v>
      </c>
      <c r="G10" s="1" t="s">
        <v>299</v>
      </c>
      <c r="H10" s="1" t="s">
        <v>770</v>
      </c>
      <c r="I10" s="1" t="s">
        <v>1375</v>
      </c>
      <c r="J10" s="1">
        <v>27</v>
      </c>
      <c r="K10" s="1" t="s">
        <v>759</v>
      </c>
      <c r="L10" s="1" t="s">
        <v>1365</v>
      </c>
      <c r="M10" s="1">
        <v>1628464</v>
      </c>
    </row>
    <row r="11" spans="1:13" x14ac:dyDescent="0.25">
      <c r="A11" s="1">
        <v>1610612738</v>
      </c>
      <c r="B11" s="1" t="s">
        <v>755</v>
      </c>
      <c r="C11" s="1" t="s">
        <v>145</v>
      </c>
      <c r="D11" s="1" t="s">
        <v>1376</v>
      </c>
      <c r="E11" s="1" t="s">
        <v>1377</v>
      </c>
      <c r="F11" s="1" t="s">
        <v>760</v>
      </c>
      <c r="G11" s="1" t="s">
        <v>256</v>
      </c>
      <c r="H11" s="1" t="s">
        <v>773</v>
      </c>
      <c r="I11" s="1" t="s">
        <v>1378</v>
      </c>
      <c r="J11" s="1">
        <v>25</v>
      </c>
      <c r="K11" s="1" t="s">
        <v>766</v>
      </c>
      <c r="L11" s="1" t="s">
        <v>1379</v>
      </c>
      <c r="M11" s="1">
        <v>203935</v>
      </c>
    </row>
    <row r="12" spans="1:13" x14ac:dyDescent="0.25">
      <c r="A12" s="1">
        <v>1610612738</v>
      </c>
      <c r="B12" s="1" t="s">
        <v>755</v>
      </c>
      <c r="C12" s="1" t="s">
        <v>145</v>
      </c>
      <c r="D12" s="1" t="s">
        <v>1380</v>
      </c>
      <c r="E12" s="1" t="s">
        <v>1381</v>
      </c>
      <c r="F12" s="1" t="s">
        <v>768</v>
      </c>
      <c r="G12" s="1" t="s">
        <v>767</v>
      </c>
      <c r="H12" s="1" t="s">
        <v>782</v>
      </c>
      <c r="I12" s="1" t="s">
        <v>1382</v>
      </c>
      <c r="J12" s="1">
        <v>24</v>
      </c>
      <c r="K12" s="1" t="s">
        <v>759</v>
      </c>
      <c r="L12" s="1" t="s">
        <v>1383</v>
      </c>
      <c r="M12" s="1">
        <v>1628400</v>
      </c>
    </row>
    <row r="13" spans="1:13" x14ac:dyDescent="0.25">
      <c r="A13" s="1">
        <v>1610612738</v>
      </c>
      <c r="B13" s="1" t="s">
        <v>755</v>
      </c>
      <c r="C13" s="1" t="s">
        <v>145</v>
      </c>
      <c r="D13" s="1" t="s">
        <v>1384</v>
      </c>
      <c r="E13" s="1" t="s">
        <v>1385</v>
      </c>
      <c r="F13" s="1" t="s">
        <v>757</v>
      </c>
      <c r="G13" s="1" t="s">
        <v>266</v>
      </c>
      <c r="H13" s="1" t="s">
        <v>1386</v>
      </c>
      <c r="I13" s="1" t="s">
        <v>1387</v>
      </c>
      <c r="J13" s="1">
        <v>26</v>
      </c>
      <c r="K13" s="1" t="s">
        <v>758</v>
      </c>
      <c r="L13" s="1" t="s">
        <v>1388</v>
      </c>
      <c r="M13" s="1">
        <v>1629750</v>
      </c>
    </row>
    <row r="14" spans="1:13" x14ac:dyDescent="0.25">
      <c r="A14" s="1">
        <v>1610612738</v>
      </c>
      <c r="B14" s="1" t="s">
        <v>755</v>
      </c>
      <c r="C14" s="1" t="s">
        <v>145</v>
      </c>
      <c r="D14" s="1" t="s">
        <v>1389</v>
      </c>
      <c r="E14" s="1" t="s">
        <v>1390</v>
      </c>
      <c r="F14" s="1" t="s">
        <v>1391</v>
      </c>
      <c r="G14" s="1" t="s">
        <v>299</v>
      </c>
      <c r="H14" s="1" t="s">
        <v>1392</v>
      </c>
      <c r="I14" s="1" t="s">
        <v>1393</v>
      </c>
      <c r="J14" s="1">
        <v>22</v>
      </c>
      <c r="K14" s="1" t="s">
        <v>756</v>
      </c>
      <c r="L14" s="1" t="s">
        <v>1394</v>
      </c>
      <c r="M14" s="1">
        <v>1629057</v>
      </c>
    </row>
    <row r="15" spans="1:13" x14ac:dyDescent="0.25">
      <c r="A15" s="1">
        <v>1610612738</v>
      </c>
      <c r="B15" s="1" t="s">
        <v>755</v>
      </c>
      <c r="C15" s="1" t="s">
        <v>145</v>
      </c>
      <c r="D15" s="1" t="s">
        <v>1395</v>
      </c>
      <c r="E15" s="1" t="s">
        <v>1396</v>
      </c>
      <c r="F15" s="1" t="s">
        <v>757</v>
      </c>
      <c r="G15" s="1" t="s">
        <v>266</v>
      </c>
      <c r="H15" s="1" t="s">
        <v>1397</v>
      </c>
      <c r="I15" s="1" t="s">
        <v>1398</v>
      </c>
      <c r="J15" s="1">
        <v>20</v>
      </c>
      <c r="K15" s="1" t="s">
        <v>758</v>
      </c>
      <c r="L15" s="1" t="s">
        <v>288</v>
      </c>
      <c r="M15" s="1">
        <v>1629641</v>
      </c>
    </row>
    <row r="16" spans="1:13" x14ac:dyDescent="0.25">
      <c r="A16" s="1">
        <v>1610612738</v>
      </c>
      <c r="B16" s="1" t="s">
        <v>755</v>
      </c>
      <c r="C16" s="1" t="s">
        <v>145</v>
      </c>
      <c r="D16" s="1" t="s">
        <v>1399</v>
      </c>
      <c r="E16" s="1" t="s">
        <v>1400</v>
      </c>
      <c r="F16" s="1" t="s">
        <v>760</v>
      </c>
      <c r="G16" s="1" t="s">
        <v>349</v>
      </c>
      <c r="H16" s="1" t="s">
        <v>1401</v>
      </c>
      <c r="I16" s="1" t="s">
        <v>1402</v>
      </c>
      <c r="J16" s="1">
        <v>21</v>
      </c>
      <c r="K16" s="1" t="s">
        <v>758</v>
      </c>
      <c r="L16" s="1" t="s">
        <v>1403</v>
      </c>
      <c r="M16" s="1">
        <v>1629682</v>
      </c>
    </row>
    <row r="17" spans="1:13" x14ac:dyDescent="0.25">
      <c r="A17" s="1">
        <v>1610612738</v>
      </c>
      <c r="B17" s="1" t="s">
        <v>755</v>
      </c>
      <c r="C17" s="1" t="s">
        <v>145</v>
      </c>
      <c r="D17" s="1" t="s">
        <v>1404</v>
      </c>
      <c r="E17" s="1" t="s">
        <v>1405</v>
      </c>
      <c r="F17" s="1" t="s">
        <v>1391</v>
      </c>
      <c r="G17" s="1" t="s">
        <v>783</v>
      </c>
      <c r="H17" s="1" t="s">
        <v>781</v>
      </c>
      <c r="I17" s="1" t="s">
        <v>1406</v>
      </c>
      <c r="J17" s="1">
        <v>26</v>
      </c>
      <c r="K17" s="1" t="s">
        <v>758</v>
      </c>
      <c r="L17" s="1" t="s">
        <v>1365</v>
      </c>
      <c r="M17" s="1">
        <v>1629738</v>
      </c>
    </row>
    <row r="18" spans="1:13" x14ac:dyDescent="0.25">
      <c r="A18" s="1">
        <v>1610612738</v>
      </c>
      <c r="B18" s="1" t="s">
        <v>755</v>
      </c>
      <c r="C18" s="1" t="s">
        <v>145</v>
      </c>
      <c r="D18" s="1" t="s">
        <v>1407</v>
      </c>
      <c r="E18" s="1" t="s">
        <v>1408</v>
      </c>
      <c r="F18" s="1" t="s">
        <v>771</v>
      </c>
      <c r="G18" s="1" t="s">
        <v>294</v>
      </c>
      <c r="H18" s="1" t="s">
        <v>1409</v>
      </c>
      <c r="I18" s="1" t="s">
        <v>1410</v>
      </c>
      <c r="J18" s="1">
        <v>23</v>
      </c>
      <c r="K18" s="1" t="s">
        <v>758</v>
      </c>
      <c r="L18" s="1" t="s">
        <v>1411</v>
      </c>
      <c r="M18" s="1">
        <v>1629605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785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786</v>
      </c>
      <c r="H2" s="1">
        <v>1</v>
      </c>
      <c r="I2" s="1" t="s">
        <v>787</v>
      </c>
      <c r="J2" s="1" t="s">
        <v>152</v>
      </c>
      <c r="K2" s="1" t="s">
        <v>788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789</v>
      </c>
      <c r="R2" s="1" t="s">
        <v>790</v>
      </c>
      <c r="S2" s="1" t="s">
        <v>791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792</v>
      </c>
      <c r="Z2" s="1">
        <v>6</v>
      </c>
      <c r="AA2" s="1" t="s">
        <v>188</v>
      </c>
      <c r="AB2" s="1">
        <v>11</v>
      </c>
      <c r="AC2" s="1" t="s">
        <v>793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794</v>
      </c>
      <c r="AT2" s="1" t="s">
        <v>795</v>
      </c>
      <c r="AU2" s="1" t="s">
        <v>232</v>
      </c>
      <c r="AV2" s="1" t="s">
        <v>796</v>
      </c>
      <c r="AW2" s="1" t="s">
        <v>797</v>
      </c>
      <c r="AX2" s="1" t="s">
        <v>185</v>
      </c>
      <c r="AY2" s="1" t="s">
        <v>798</v>
      </c>
      <c r="AZ2" s="1" t="s">
        <v>799</v>
      </c>
      <c r="BA2" s="1" t="s">
        <v>800</v>
      </c>
      <c r="BB2" s="1" t="s">
        <v>801</v>
      </c>
      <c r="BC2" s="1" t="s">
        <v>802</v>
      </c>
      <c r="BD2" s="1" t="s">
        <v>803</v>
      </c>
      <c r="BE2" s="1">
        <v>117.7</v>
      </c>
      <c r="BF2" s="1">
        <v>111.2</v>
      </c>
      <c r="BG2" s="1">
        <v>6.5</v>
      </c>
      <c r="BH2" s="1" t="s">
        <v>804</v>
      </c>
      <c r="BI2" s="1" t="s">
        <v>266</v>
      </c>
      <c r="BJ2" s="1" t="s">
        <v>216</v>
      </c>
      <c r="BK2" s="1" t="s">
        <v>216</v>
      </c>
      <c r="BL2" s="1" t="s">
        <v>786</v>
      </c>
      <c r="BM2" s="1" t="s">
        <v>805</v>
      </c>
      <c r="BN2" s="1" t="s">
        <v>806</v>
      </c>
      <c r="BO2" s="1" t="s">
        <v>807</v>
      </c>
      <c r="BP2" s="1" t="s">
        <v>808</v>
      </c>
      <c r="BQ2" s="1" t="s">
        <v>809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810</v>
      </c>
      <c r="CC2" s="1" t="s">
        <v>811</v>
      </c>
    </row>
    <row r="3" spans="1:81" x14ac:dyDescent="0.25">
      <c r="A3" s="1" t="s">
        <v>145</v>
      </c>
      <c r="B3" s="1" t="s">
        <v>785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812</v>
      </c>
      <c r="H3" s="1">
        <v>1</v>
      </c>
      <c r="I3" s="1" t="s">
        <v>813</v>
      </c>
      <c r="J3" s="1" t="s">
        <v>181</v>
      </c>
      <c r="K3" s="1" t="s">
        <v>814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815</v>
      </c>
      <c r="R3" s="1" t="s">
        <v>816</v>
      </c>
      <c r="S3" s="1" t="s">
        <v>791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817</v>
      </c>
      <c r="Z3" s="1">
        <v>6</v>
      </c>
      <c r="AA3" s="1" t="s">
        <v>188</v>
      </c>
      <c r="AB3" s="1">
        <v>10</v>
      </c>
      <c r="AC3" s="1" t="s">
        <v>818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819</v>
      </c>
      <c r="AT3" s="1" t="s">
        <v>820</v>
      </c>
      <c r="AU3" s="1" t="s">
        <v>161</v>
      </c>
      <c r="AV3" s="1" t="s">
        <v>821</v>
      </c>
      <c r="AW3" s="1" t="s">
        <v>822</v>
      </c>
      <c r="AX3" s="1" t="s">
        <v>186</v>
      </c>
      <c r="AY3" s="1" t="s">
        <v>823</v>
      </c>
      <c r="AZ3" s="1" t="s">
        <v>824</v>
      </c>
      <c r="BA3" s="1" t="s">
        <v>825</v>
      </c>
      <c r="BB3" s="1" t="s">
        <v>826</v>
      </c>
      <c r="BC3" s="1" t="s">
        <v>827</v>
      </c>
      <c r="BD3" s="1" t="s">
        <v>828</v>
      </c>
      <c r="BE3" s="1">
        <v>118.1</v>
      </c>
      <c r="BF3" s="1">
        <v>109.3</v>
      </c>
      <c r="BG3" s="1">
        <v>8.9</v>
      </c>
      <c r="BH3" s="1" t="s">
        <v>812</v>
      </c>
      <c r="BI3" s="1" t="s">
        <v>829</v>
      </c>
      <c r="BJ3" s="1" t="s">
        <v>830</v>
      </c>
      <c r="BK3" s="1" t="s">
        <v>829</v>
      </c>
      <c r="BL3" s="1" t="s">
        <v>831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832</v>
      </c>
      <c r="BS3" s="1" t="s">
        <v>228</v>
      </c>
      <c r="BT3" s="1"/>
      <c r="BU3" s="1"/>
      <c r="BV3" s="1"/>
      <c r="BW3" s="1"/>
      <c r="BX3" s="1"/>
      <c r="BY3" s="1" t="s">
        <v>783</v>
      </c>
      <c r="BZ3" s="1" t="s">
        <v>291</v>
      </c>
      <c r="CA3" s="1" t="s">
        <v>253</v>
      </c>
      <c r="CB3" s="1" t="s">
        <v>833</v>
      </c>
      <c r="CC3" s="1" t="s">
        <v>834</v>
      </c>
    </row>
    <row r="4" spans="1:81" x14ac:dyDescent="0.25">
      <c r="A4" s="1" t="s">
        <v>145</v>
      </c>
      <c r="B4" s="1" t="s">
        <v>785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835</v>
      </c>
      <c r="H4" s="1">
        <v>2</v>
      </c>
      <c r="I4" s="1" t="s">
        <v>836</v>
      </c>
      <c r="J4" s="1" t="s">
        <v>203</v>
      </c>
      <c r="K4" s="1" t="s">
        <v>837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838</v>
      </c>
      <c r="R4" s="1" t="s">
        <v>839</v>
      </c>
      <c r="S4" s="1" t="s">
        <v>840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841</v>
      </c>
      <c r="Y4" s="1" t="s">
        <v>842</v>
      </c>
      <c r="Z4" s="1">
        <v>10</v>
      </c>
      <c r="AA4" s="1" t="s">
        <v>818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843</v>
      </c>
      <c r="AT4" s="1" t="s">
        <v>844</v>
      </c>
      <c r="AU4" s="1" t="s">
        <v>185</v>
      </c>
      <c r="AV4" s="1" t="s">
        <v>845</v>
      </c>
      <c r="AW4" s="1" t="s">
        <v>846</v>
      </c>
      <c r="AX4" s="1" t="s">
        <v>157</v>
      </c>
      <c r="AY4" s="1" t="s">
        <v>847</v>
      </c>
      <c r="AZ4" s="1" t="s">
        <v>848</v>
      </c>
      <c r="BA4" s="1" t="s">
        <v>849</v>
      </c>
      <c r="BB4" s="1" t="s">
        <v>850</v>
      </c>
      <c r="BC4" s="1" t="s">
        <v>851</v>
      </c>
      <c r="BD4" s="1" t="s">
        <v>852</v>
      </c>
      <c r="BE4" s="1">
        <v>114.4</v>
      </c>
      <c r="BF4" s="1">
        <v>108.4</v>
      </c>
      <c r="BG4" s="1">
        <v>6.1</v>
      </c>
      <c r="BH4" s="1" t="s">
        <v>835</v>
      </c>
      <c r="BI4" s="1" t="s">
        <v>853</v>
      </c>
      <c r="BJ4" s="1" t="s">
        <v>807</v>
      </c>
      <c r="BK4" s="1" t="s">
        <v>854</v>
      </c>
      <c r="BL4" s="1" t="s">
        <v>804</v>
      </c>
      <c r="BM4" s="1" t="s">
        <v>266</v>
      </c>
      <c r="BN4" s="1" t="s">
        <v>855</v>
      </c>
      <c r="BO4" s="1" t="s">
        <v>266</v>
      </c>
      <c r="BP4" s="1" t="s">
        <v>261</v>
      </c>
      <c r="BQ4" s="1" t="s">
        <v>173</v>
      </c>
      <c r="BR4" s="1" t="s">
        <v>856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857</v>
      </c>
      <c r="CC4" s="1" t="s">
        <v>858</v>
      </c>
    </row>
    <row r="5" spans="1:81" x14ac:dyDescent="0.25">
      <c r="A5" s="1" t="s">
        <v>145</v>
      </c>
      <c r="B5" s="1" t="s">
        <v>785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859</v>
      </c>
      <c r="H5" s="1">
        <v>2</v>
      </c>
      <c r="I5" s="1" t="s">
        <v>860</v>
      </c>
      <c r="J5" s="1" t="s">
        <v>219</v>
      </c>
      <c r="K5" s="1" t="s">
        <v>837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861</v>
      </c>
      <c r="R5" s="1" t="s">
        <v>862</v>
      </c>
      <c r="S5" s="1" t="s">
        <v>863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788</v>
      </c>
      <c r="Y5" s="1" t="s">
        <v>864</v>
      </c>
      <c r="Z5" s="1">
        <v>12</v>
      </c>
      <c r="AA5" s="1" t="s">
        <v>865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866</v>
      </c>
      <c r="AT5" s="1" t="s">
        <v>867</v>
      </c>
      <c r="AU5" s="1" t="s">
        <v>185</v>
      </c>
      <c r="AV5" s="1" t="s">
        <v>868</v>
      </c>
      <c r="AW5" s="1" t="s">
        <v>869</v>
      </c>
      <c r="AX5" s="1" t="s">
        <v>155</v>
      </c>
      <c r="AY5" s="1" t="s">
        <v>870</v>
      </c>
      <c r="AZ5" s="1" t="s">
        <v>871</v>
      </c>
      <c r="BA5" s="1" t="s">
        <v>872</v>
      </c>
      <c r="BB5" s="1" t="s">
        <v>873</v>
      </c>
      <c r="BC5" s="1" t="s">
        <v>874</v>
      </c>
      <c r="BD5" s="1" t="s">
        <v>875</v>
      </c>
      <c r="BE5" s="1">
        <v>110.7</v>
      </c>
      <c r="BF5" s="1">
        <v>106.7</v>
      </c>
      <c r="BG5" s="1">
        <v>4</v>
      </c>
      <c r="BH5" s="1" t="s">
        <v>831</v>
      </c>
      <c r="BI5" s="1" t="s">
        <v>296</v>
      </c>
      <c r="BJ5" s="1" t="s">
        <v>266</v>
      </c>
      <c r="BK5" s="1" t="s">
        <v>296</v>
      </c>
      <c r="BL5" s="1" t="s">
        <v>859</v>
      </c>
      <c r="BM5" s="1" t="s">
        <v>853</v>
      </c>
      <c r="BN5" s="1" t="s">
        <v>805</v>
      </c>
      <c r="BO5" s="1" t="s">
        <v>807</v>
      </c>
      <c r="BP5" s="1" t="s">
        <v>853</v>
      </c>
      <c r="BQ5" s="1" t="s">
        <v>809</v>
      </c>
      <c r="BR5" s="1" t="s">
        <v>856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856</v>
      </c>
      <c r="CA5" s="1" t="s">
        <v>876</v>
      </c>
      <c r="CB5" s="1" t="s">
        <v>877</v>
      </c>
      <c r="CC5" s="1" t="s">
        <v>878</v>
      </c>
    </row>
    <row r="6" spans="1:81" x14ac:dyDescent="0.25">
      <c r="A6" s="1" t="s">
        <v>145</v>
      </c>
      <c r="B6" s="1" t="s">
        <v>785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879</v>
      </c>
      <c r="H6" s="1">
        <v>3</v>
      </c>
      <c r="I6" s="1" t="s">
        <v>880</v>
      </c>
      <c r="J6" s="1" t="s">
        <v>203</v>
      </c>
      <c r="K6" s="1" t="s">
        <v>881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882</v>
      </c>
      <c r="R6" s="1" t="s">
        <v>883</v>
      </c>
      <c r="S6" s="1" t="s">
        <v>863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884</v>
      </c>
      <c r="Y6" s="1" t="s">
        <v>885</v>
      </c>
      <c r="Z6" s="1">
        <v>10</v>
      </c>
      <c r="AA6" s="1" t="s">
        <v>818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886</v>
      </c>
      <c r="AT6" s="1" t="s">
        <v>887</v>
      </c>
      <c r="AU6" s="1" t="s">
        <v>208</v>
      </c>
      <c r="AV6" s="1" t="s">
        <v>794</v>
      </c>
      <c r="AW6" s="1" t="s">
        <v>888</v>
      </c>
      <c r="AX6" s="1" t="s">
        <v>186</v>
      </c>
      <c r="AY6" s="1" t="s">
        <v>889</v>
      </c>
      <c r="AZ6" s="1" t="s">
        <v>890</v>
      </c>
      <c r="BA6" s="1" t="s">
        <v>891</v>
      </c>
      <c r="BB6" s="1" t="s">
        <v>874</v>
      </c>
      <c r="BC6" s="1" t="s">
        <v>810</v>
      </c>
      <c r="BD6" s="1" t="s">
        <v>892</v>
      </c>
      <c r="BE6" s="1">
        <v>115.2</v>
      </c>
      <c r="BF6" s="1">
        <v>112.5</v>
      </c>
      <c r="BG6" s="1">
        <v>2.7</v>
      </c>
      <c r="BH6" s="1" t="s">
        <v>879</v>
      </c>
      <c r="BI6" s="1" t="s">
        <v>893</v>
      </c>
      <c r="BJ6" s="1" t="s">
        <v>805</v>
      </c>
      <c r="BK6" s="1" t="s">
        <v>894</v>
      </c>
      <c r="BL6" s="1" t="s">
        <v>831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853</v>
      </c>
      <c r="CA6" s="1" t="s">
        <v>895</v>
      </c>
      <c r="CB6" s="1" t="s">
        <v>896</v>
      </c>
      <c r="CC6" s="1" t="s">
        <v>897</v>
      </c>
    </row>
    <row r="7" spans="1:81" x14ac:dyDescent="0.25">
      <c r="A7" s="1" t="s">
        <v>145</v>
      </c>
      <c r="B7" s="1" t="s">
        <v>785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898</v>
      </c>
      <c r="H7" s="1">
        <v>3</v>
      </c>
      <c r="I7" s="1" t="s">
        <v>880</v>
      </c>
      <c r="J7" s="1" t="s">
        <v>219</v>
      </c>
      <c r="K7" s="1" t="s">
        <v>899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900</v>
      </c>
      <c r="R7" s="1" t="s">
        <v>839</v>
      </c>
      <c r="S7" s="1" t="s">
        <v>901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902</v>
      </c>
      <c r="Z7" s="1">
        <v>8</v>
      </c>
      <c r="AA7" s="1" t="s">
        <v>903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903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904</v>
      </c>
      <c r="AT7" s="1" t="s">
        <v>905</v>
      </c>
      <c r="AU7" s="1" t="s">
        <v>260</v>
      </c>
      <c r="AV7" s="1" t="s">
        <v>906</v>
      </c>
      <c r="AW7" s="1" t="s">
        <v>907</v>
      </c>
      <c r="AX7" s="1" t="s">
        <v>161</v>
      </c>
      <c r="AY7" s="1" t="s">
        <v>908</v>
      </c>
      <c r="AZ7" s="1" t="s">
        <v>909</v>
      </c>
      <c r="BA7" s="1" t="s">
        <v>910</v>
      </c>
      <c r="BB7" s="1" t="s">
        <v>911</v>
      </c>
      <c r="BC7" s="1" t="s">
        <v>912</v>
      </c>
      <c r="BD7" s="1" t="s">
        <v>913</v>
      </c>
      <c r="BE7" s="1">
        <v>114.7</v>
      </c>
      <c r="BF7" s="1">
        <v>110.5</v>
      </c>
      <c r="BG7" s="1">
        <v>4.2</v>
      </c>
      <c r="BH7" s="1" t="s">
        <v>914</v>
      </c>
      <c r="BI7" s="1" t="s">
        <v>176</v>
      </c>
      <c r="BJ7" s="1" t="s">
        <v>216</v>
      </c>
      <c r="BK7" s="1" t="s">
        <v>296</v>
      </c>
      <c r="BL7" s="1" t="s">
        <v>898</v>
      </c>
      <c r="BM7" s="1" t="s">
        <v>410</v>
      </c>
      <c r="BN7" s="1" t="s">
        <v>805</v>
      </c>
      <c r="BO7" s="1" t="s">
        <v>894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915</v>
      </c>
      <c r="CC7" s="1" t="s">
        <v>916</v>
      </c>
    </row>
    <row r="8" spans="1:81" x14ac:dyDescent="0.25">
      <c r="A8" s="1" t="s">
        <v>145</v>
      </c>
      <c r="B8" s="1" t="s">
        <v>785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917</v>
      </c>
      <c r="H8" s="1">
        <v>4</v>
      </c>
      <c r="I8" s="1" t="s">
        <v>918</v>
      </c>
      <c r="J8" s="1" t="s">
        <v>231</v>
      </c>
      <c r="K8" s="1" t="s">
        <v>919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900</v>
      </c>
      <c r="R8" s="1" t="s">
        <v>883</v>
      </c>
      <c r="S8" s="1" t="s">
        <v>920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921</v>
      </c>
      <c r="Y8" s="1" t="s">
        <v>922</v>
      </c>
      <c r="Z8" s="1">
        <v>10</v>
      </c>
      <c r="AA8" s="1" t="s">
        <v>818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923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924</v>
      </c>
      <c r="AT8" s="1" t="s">
        <v>925</v>
      </c>
      <c r="AU8" s="1" t="s">
        <v>157</v>
      </c>
      <c r="AV8" s="1" t="s">
        <v>926</v>
      </c>
      <c r="AW8" s="1" t="s">
        <v>927</v>
      </c>
      <c r="AX8" s="1" t="s">
        <v>190</v>
      </c>
      <c r="AY8" s="1" t="s">
        <v>870</v>
      </c>
      <c r="AZ8" s="1" t="s">
        <v>928</v>
      </c>
      <c r="BA8" s="1" t="s">
        <v>849</v>
      </c>
      <c r="BB8" s="1" t="s">
        <v>929</v>
      </c>
      <c r="BC8" s="1" t="s">
        <v>930</v>
      </c>
      <c r="BD8" s="1" t="s">
        <v>931</v>
      </c>
      <c r="BE8" s="1">
        <v>113.9</v>
      </c>
      <c r="BF8" s="1">
        <v>109.1</v>
      </c>
      <c r="BG8" s="1">
        <v>4.8</v>
      </c>
      <c r="BH8" s="1" t="s">
        <v>932</v>
      </c>
      <c r="BI8" s="1" t="s">
        <v>216</v>
      </c>
      <c r="BJ8" s="1" t="s">
        <v>266</v>
      </c>
      <c r="BK8" s="1" t="s">
        <v>296</v>
      </c>
      <c r="BL8" s="1" t="s">
        <v>917</v>
      </c>
      <c r="BM8" s="1" t="s">
        <v>933</v>
      </c>
      <c r="BN8" s="1" t="s">
        <v>854</v>
      </c>
      <c r="BO8" s="1" t="s">
        <v>832</v>
      </c>
      <c r="BP8" s="1" t="s">
        <v>291</v>
      </c>
      <c r="BQ8" s="1" t="s">
        <v>876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934</v>
      </c>
      <c r="BZ8" s="1" t="s">
        <v>856</v>
      </c>
      <c r="CA8" s="1" t="s">
        <v>233</v>
      </c>
      <c r="CB8" s="1" t="s">
        <v>935</v>
      </c>
      <c r="CC8" s="1" t="s">
        <v>936</v>
      </c>
    </row>
    <row r="9" spans="1:81" x14ac:dyDescent="0.25">
      <c r="A9" s="1" t="s">
        <v>145</v>
      </c>
      <c r="B9" s="1" t="s">
        <v>785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786</v>
      </c>
      <c r="H9" s="1">
        <v>4</v>
      </c>
      <c r="I9" s="1" t="s">
        <v>880</v>
      </c>
      <c r="J9" s="1" t="s">
        <v>203</v>
      </c>
      <c r="K9" s="1" t="s">
        <v>919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937</v>
      </c>
      <c r="R9" s="1" t="s">
        <v>938</v>
      </c>
      <c r="S9" s="1" t="s">
        <v>901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939</v>
      </c>
      <c r="Z9" s="1">
        <v>10</v>
      </c>
      <c r="AA9" s="1" t="s">
        <v>818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940</v>
      </c>
      <c r="AT9" s="1" t="s">
        <v>941</v>
      </c>
      <c r="AU9" s="1" t="s">
        <v>260</v>
      </c>
      <c r="AV9" s="1" t="s">
        <v>942</v>
      </c>
      <c r="AW9" s="1" t="s">
        <v>869</v>
      </c>
      <c r="AX9" s="1" t="s">
        <v>164</v>
      </c>
      <c r="AY9" s="1" t="s">
        <v>943</v>
      </c>
      <c r="AZ9" s="1" t="s">
        <v>944</v>
      </c>
      <c r="BA9" s="1" t="s">
        <v>945</v>
      </c>
      <c r="BB9" s="1" t="s">
        <v>946</v>
      </c>
      <c r="BC9" s="1" t="s">
        <v>828</v>
      </c>
      <c r="BD9" s="1" t="s">
        <v>947</v>
      </c>
      <c r="BE9" s="1">
        <v>112.4</v>
      </c>
      <c r="BF9" s="1">
        <v>108</v>
      </c>
      <c r="BG9" s="1">
        <v>4.4000000000000004</v>
      </c>
      <c r="BH9" s="1" t="s">
        <v>786</v>
      </c>
      <c r="BI9" s="1" t="s">
        <v>832</v>
      </c>
      <c r="BJ9" s="1" t="s">
        <v>829</v>
      </c>
      <c r="BK9" s="1" t="s">
        <v>805</v>
      </c>
      <c r="BL9" s="1" t="s">
        <v>948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949</v>
      </c>
      <c r="CA9" s="1" t="s">
        <v>270</v>
      </c>
      <c r="CB9" s="1" t="s">
        <v>896</v>
      </c>
      <c r="CC9" s="1" t="s">
        <v>950</v>
      </c>
    </row>
    <row r="10" spans="1:81" x14ac:dyDescent="0.25">
      <c r="A10" s="1" t="s">
        <v>145</v>
      </c>
      <c r="B10" s="1" t="s">
        <v>785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951</v>
      </c>
      <c r="H10" s="1">
        <v>5</v>
      </c>
      <c r="I10" s="1" t="s">
        <v>880</v>
      </c>
      <c r="J10" s="1" t="s">
        <v>181</v>
      </c>
      <c r="K10" s="1" t="s">
        <v>952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953</v>
      </c>
      <c r="R10" s="1" t="s">
        <v>922</v>
      </c>
      <c r="S10" s="1" t="s">
        <v>954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955</v>
      </c>
      <c r="Z10" s="1">
        <v>5</v>
      </c>
      <c r="AA10" s="1" t="s">
        <v>160</v>
      </c>
      <c r="AB10" s="1">
        <v>-10</v>
      </c>
      <c r="AC10" s="1" t="s">
        <v>956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957</v>
      </c>
      <c r="AT10" s="1" t="s">
        <v>958</v>
      </c>
      <c r="AU10" s="1" t="s">
        <v>190</v>
      </c>
      <c r="AV10" s="1" t="s">
        <v>959</v>
      </c>
      <c r="AW10" s="1" t="s">
        <v>960</v>
      </c>
      <c r="AX10" s="1" t="s">
        <v>157</v>
      </c>
      <c r="AY10" s="1" t="s">
        <v>961</v>
      </c>
      <c r="AZ10" s="1" t="s">
        <v>962</v>
      </c>
      <c r="BA10" s="1" t="s">
        <v>963</v>
      </c>
      <c r="BB10" s="1" t="s">
        <v>964</v>
      </c>
      <c r="BC10" s="1" t="s">
        <v>965</v>
      </c>
      <c r="BD10" s="1" t="s">
        <v>966</v>
      </c>
      <c r="BE10" s="1">
        <v>108</v>
      </c>
      <c r="BF10" s="1">
        <v>104.7</v>
      </c>
      <c r="BG10" s="1">
        <v>3.3</v>
      </c>
      <c r="BH10" s="1" t="s">
        <v>951</v>
      </c>
      <c r="BI10" s="1" t="s">
        <v>967</v>
      </c>
      <c r="BJ10" s="1" t="s">
        <v>968</v>
      </c>
      <c r="BK10" s="1" t="s">
        <v>829</v>
      </c>
      <c r="BL10" s="1" t="s">
        <v>969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970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971</v>
      </c>
      <c r="CC10" s="1" t="s">
        <v>972</v>
      </c>
    </row>
    <row r="11" spans="1:81" x14ac:dyDescent="0.25">
      <c r="A11" s="1" t="s">
        <v>145</v>
      </c>
      <c r="B11" s="1" t="s">
        <v>785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973</v>
      </c>
      <c r="H11" s="1">
        <v>5</v>
      </c>
      <c r="I11" s="1" t="s">
        <v>880</v>
      </c>
      <c r="J11" s="1" t="s">
        <v>219</v>
      </c>
      <c r="K11" s="1" t="s">
        <v>881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974</v>
      </c>
      <c r="R11" s="1" t="s">
        <v>922</v>
      </c>
      <c r="S11" s="1" t="s">
        <v>901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975</v>
      </c>
      <c r="Z11" s="1">
        <v>8</v>
      </c>
      <c r="AA11" s="1" t="s">
        <v>903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903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976</v>
      </c>
      <c r="AT11" s="1" t="s">
        <v>977</v>
      </c>
      <c r="AU11" s="1" t="s">
        <v>185</v>
      </c>
      <c r="AV11" s="1" t="s">
        <v>978</v>
      </c>
      <c r="AW11" s="1" t="s">
        <v>979</v>
      </c>
      <c r="AX11" s="1" t="s">
        <v>157</v>
      </c>
      <c r="AY11" s="1" t="s">
        <v>980</v>
      </c>
      <c r="AZ11" s="1" t="s">
        <v>981</v>
      </c>
      <c r="BA11" s="1" t="s">
        <v>982</v>
      </c>
      <c r="BB11" s="1" t="s">
        <v>983</v>
      </c>
      <c r="BC11" s="1" t="s">
        <v>940</v>
      </c>
      <c r="BD11" s="1" t="s">
        <v>984</v>
      </c>
      <c r="BE11" s="1">
        <v>111.7</v>
      </c>
      <c r="BF11" s="1">
        <v>106.5</v>
      </c>
      <c r="BG11" s="1">
        <v>5.3</v>
      </c>
      <c r="BH11" s="1" t="s">
        <v>831</v>
      </c>
      <c r="BI11" s="1" t="s">
        <v>266</v>
      </c>
      <c r="BJ11" s="1" t="s">
        <v>296</v>
      </c>
      <c r="BK11" s="1" t="s">
        <v>296</v>
      </c>
      <c r="BL11" s="1" t="s">
        <v>973</v>
      </c>
      <c r="BM11" s="1" t="s">
        <v>893</v>
      </c>
      <c r="BN11" s="1" t="s">
        <v>805</v>
      </c>
      <c r="BO11" s="1" t="s">
        <v>807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985</v>
      </c>
      <c r="CA11" s="1" t="s">
        <v>326</v>
      </c>
      <c r="CB11" s="1" t="s">
        <v>986</v>
      </c>
      <c r="CC11" s="1" t="s">
        <v>987</v>
      </c>
    </row>
    <row r="12" spans="1:81" x14ac:dyDescent="0.25">
      <c r="A12" s="1" t="s">
        <v>145</v>
      </c>
      <c r="B12" s="1" t="s">
        <v>785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988</v>
      </c>
      <c r="H12" s="1">
        <v>6</v>
      </c>
      <c r="I12" s="1" t="s">
        <v>880</v>
      </c>
      <c r="J12" s="1" t="s">
        <v>219</v>
      </c>
      <c r="K12" s="1" t="s">
        <v>989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937</v>
      </c>
      <c r="R12" s="1" t="s">
        <v>791</v>
      </c>
      <c r="S12" s="1" t="s">
        <v>920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990</v>
      </c>
      <c r="Y12" s="1" t="s">
        <v>991</v>
      </c>
      <c r="Z12" s="1">
        <v>7</v>
      </c>
      <c r="AA12" s="1" t="s">
        <v>923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992</v>
      </c>
      <c r="AT12" s="1" t="s">
        <v>993</v>
      </c>
      <c r="AU12" s="1" t="s">
        <v>186</v>
      </c>
      <c r="AV12" s="1" t="s">
        <v>994</v>
      </c>
      <c r="AW12" s="1" t="s">
        <v>995</v>
      </c>
      <c r="AX12" s="1" t="s">
        <v>157</v>
      </c>
      <c r="AY12" s="1" t="s">
        <v>996</v>
      </c>
      <c r="AZ12" s="1" t="s">
        <v>997</v>
      </c>
      <c r="BA12" s="1" t="s">
        <v>998</v>
      </c>
      <c r="BB12" s="1" t="s">
        <v>999</v>
      </c>
      <c r="BC12" s="1" t="s">
        <v>922</v>
      </c>
      <c r="BD12" s="1" t="s">
        <v>1000</v>
      </c>
      <c r="BE12" s="1">
        <v>114.5</v>
      </c>
      <c r="BF12" s="1">
        <v>111.1</v>
      </c>
      <c r="BG12" s="1">
        <v>3.4</v>
      </c>
      <c r="BH12" s="1" t="s">
        <v>932</v>
      </c>
      <c r="BI12" s="1" t="s">
        <v>266</v>
      </c>
      <c r="BJ12" s="1" t="s">
        <v>216</v>
      </c>
      <c r="BK12" s="1" t="s">
        <v>296</v>
      </c>
      <c r="BL12" s="1" t="s">
        <v>988</v>
      </c>
      <c r="BM12" s="1" t="s">
        <v>1001</v>
      </c>
      <c r="BN12" s="1" t="s">
        <v>807</v>
      </c>
      <c r="BO12" s="1" t="s">
        <v>967</v>
      </c>
      <c r="BP12" s="1" t="s">
        <v>270</v>
      </c>
      <c r="BQ12" s="1" t="s">
        <v>286</v>
      </c>
      <c r="BR12" s="1" t="s">
        <v>410</v>
      </c>
      <c r="BS12" s="1" t="s">
        <v>1002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856</v>
      </c>
      <c r="CB12" s="1" t="s">
        <v>1003</v>
      </c>
      <c r="CC12" s="1" t="s">
        <v>1004</v>
      </c>
    </row>
    <row r="13" spans="1:81" x14ac:dyDescent="0.25">
      <c r="A13" s="1" t="s">
        <v>145</v>
      </c>
      <c r="B13" s="1" t="s">
        <v>785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898</v>
      </c>
      <c r="H13" s="1">
        <v>6</v>
      </c>
      <c r="I13" s="1" t="s">
        <v>880</v>
      </c>
      <c r="J13" s="1" t="s">
        <v>203</v>
      </c>
      <c r="K13" s="1" t="s">
        <v>881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1005</v>
      </c>
      <c r="R13" s="1" t="s">
        <v>1006</v>
      </c>
      <c r="S13" s="1" t="s">
        <v>954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1007</v>
      </c>
      <c r="Y13" s="1" t="s">
        <v>1008</v>
      </c>
      <c r="Z13" s="1">
        <v>9</v>
      </c>
      <c r="AA13" s="1" t="s">
        <v>1009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902</v>
      </c>
      <c r="AT13" s="1" t="s">
        <v>1010</v>
      </c>
      <c r="AU13" s="1" t="s">
        <v>273</v>
      </c>
      <c r="AV13" s="1" t="s">
        <v>1011</v>
      </c>
      <c r="AW13" s="1" t="s">
        <v>1012</v>
      </c>
      <c r="AX13" s="1" t="s">
        <v>224</v>
      </c>
      <c r="AY13" s="1" t="s">
        <v>1013</v>
      </c>
      <c r="AZ13" s="1" t="s">
        <v>1014</v>
      </c>
      <c r="BA13" s="1" t="s">
        <v>1015</v>
      </c>
      <c r="BB13" s="1" t="s">
        <v>1016</v>
      </c>
      <c r="BC13" s="1" t="s">
        <v>875</v>
      </c>
      <c r="BD13" s="1" t="s">
        <v>1017</v>
      </c>
      <c r="BE13" s="1">
        <v>112.2</v>
      </c>
      <c r="BF13" s="1">
        <v>112.3</v>
      </c>
      <c r="BG13" s="1">
        <v>-0.1</v>
      </c>
      <c r="BH13" s="1" t="s">
        <v>898</v>
      </c>
      <c r="BI13" s="1" t="s">
        <v>893</v>
      </c>
      <c r="BJ13" s="1" t="s">
        <v>807</v>
      </c>
      <c r="BK13" s="1" t="s">
        <v>894</v>
      </c>
      <c r="BL13" s="1" t="s">
        <v>1018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856</v>
      </c>
      <c r="CB13" s="1" t="s">
        <v>1019</v>
      </c>
      <c r="CC13" s="1" t="s">
        <v>1020</v>
      </c>
    </row>
    <row r="14" spans="1:81" x14ac:dyDescent="0.25">
      <c r="A14" s="1" t="s">
        <v>145</v>
      </c>
      <c r="B14" s="1" t="s">
        <v>785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973</v>
      </c>
      <c r="H14" s="1">
        <v>7</v>
      </c>
      <c r="I14" s="1" t="s">
        <v>1021</v>
      </c>
      <c r="J14" s="1" t="s">
        <v>244</v>
      </c>
      <c r="K14" s="1" t="s">
        <v>919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1005</v>
      </c>
      <c r="R14" s="1" t="s">
        <v>1022</v>
      </c>
      <c r="S14" s="1" t="s">
        <v>1023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1024</v>
      </c>
      <c r="Z14" s="1">
        <v>9</v>
      </c>
      <c r="AA14" s="1" t="s">
        <v>1009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1009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790</v>
      </c>
      <c r="AT14" s="1" t="s">
        <v>1025</v>
      </c>
      <c r="AU14" s="1" t="s">
        <v>164</v>
      </c>
      <c r="AV14" s="1" t="s">
        <v>1026</v>
      </c>
      <c r="AW14" s="1" t="s">
        <v>1027</v>
      </c>
      <c r="AX14" s="1" t="s">
        <v>185</v>
      </c>
      <c r="AY14" s="1" t="s">
        <v>1028</v>
      </c>
      <c r="AZ14" s="1" t="s">
        <v>1029</v>
      </c>
      <c r="BA14" s="1" t="s">
        <v>1030</v>
      </c>
      <c r="BB14" s="1" t="s">
        <v>1026</v>
      </c>
      <c r="BC14" s="1" t="s">
        <v>938</v>
      </c>
      <c r="BD14" s="1" t="s">
        <v>939</v>
      </c>
      <c r="BE14" s="1">
        <v>107.3</v>
      </c>
      <c r="BF14" s="1">
        <v>106.6</v>
      </c>
      <c r="BG14" s="1">
        <v>0.7</v>
      </c>
      <c r="BH14" s="1" t="s">
        <v>973</v>
      </c>
      <c r="BI14" s="1" t="s">
        <v>894</v>
      </c>
      <c r="BJ14" s="1" t="s">
        <v>967</v>
      </c>
      <c r="BK14" s="1" t="s">
        <v>832</v>
      </c>
      <c r="BL14" s="1" t="s">
        <v>1031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1001</v>
      </c>
      <c r="CA14" s="1" t="s">
        <v>1032</v>
      </c>
      <c r="CB14" s="1" t="s">
        <v>1033</v>
      </c>
      <c r="CC14" s="1" t="s">
        <v>858</v>
      </c>
    </row>
    <row r="15" spans="1:81" x14ac:dyDescent="0.25">
      <c r="A15" s="1" t="s">
        <v>145</v>
      </c>
      <c r="B15" s="1" t="s">
        <v>785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973</v>
      </c>
      <c r="H15" s="1">
        <v>7</v>
      </c>
      <c r="I15" s="1" t="s">
        <v>880</v>
      </c>
      <c r="J15" s="1" t="s">
        <v>231</v>
      </c>
      <c r="K15" s="1" t="s">
        <v>919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953</v>
      </c>
      <c r="R15" s="1" t="s">
        <v>839</v>
      </c>
      <c r="S15" s="1" t="s">
        <v>1034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1035</v>
      </c>
      <c r="Y15" s="1" t="s">
        <v>1022</v>
      </c>
      <c r="Z15" s="1">
        <v>11</v>
      </c>
      <c r="AA15" s="1" t="s">
        <v>793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1036</v>
      </c>
      <c r="AT15" s="1" t="s">
        <v>1037</v>
      </c>
      <c r="AU15" s="1" t="s">
        <v>163</v>
      </c>
      <c r="AV15" s="1" t="s">
        <v>1038</v>
      </c>
      <c r="AW15" s="1" t="s">
        <v>1037</v>
      </c>
      <c r="AX15" s="1" t="s">
        <v>164</v>
      </c>
      <c r="AY15" s="1" t="s">
        <v>1039</v>
      </c>
      <c r="AZ15" s="1" t="s">
        <v>1040</v>
      </c>
      <c r="BA15" s="1" t="s">
        <v>1024</v>
      </c>
      <c r="BB15" s="1" t="s">
        <v>794</v>
      </c>
      <c r="BC15" s="1" t="s">
        <v>1041</v>
      </c>
      <c r="BD15" s="1" t="s">
        <v>1042</v>
      </c>
      <c r="BE15" s="1">
        <v>111.7</v>
      </c>
      <c r="BF15" s="1">
        <v>110</v>
      </c>
      <c r="BG15" s="1">
        <v>1.7</v>
      </c>
      <c r="BH15" s="1" t="s">
        <v>1043</v>
      </c>
      <c r="BI15" s="1" t="s">
        <v>266</v>
      </c>
      <c r="BJ15" s="1" t="s">
        <v>296</v>
      </c>
      <c r="BK15" s="1" t="s">
        <v>276</v>
      </c>
      <c r="BL15" s="1" t="s">
        <v>973</v>
      </c>
      <c r="BM15" s="1" t="s">
        <v>807</v>
      </c>
      <c r="BN15" s="1" t="s">
        <v>807</v>
      </c>
      <c r="BO15" s="1" t="s">
        <v>832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968</v>
      </c>
      <c r="CB15" s="1" t="s">
        <v>1044</v>
      </c>
      <c r="CC15" s="1" t="s">
        <v>858</v>
      </c>
    </row>
    <row r="16" spans="1:81" x14ac:dyDescent="0.25">
      <c r="A16" s="1" t="s">
        <v>145</v>
      </c>
      <c r="B16" s="1" t="s">
        <v>785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1045</v>
      </c>
      <c r="H16" s="1">
        <v>8</v>
      </c>
      <c r="I16" s="1" t="s">
        <v>880</v>
      </c>
      <c r="J16" s="1" t="s">
        <v>181</v>
      </c>
      <c r="K16" s="1" t="s">
        <v>881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1046</v>
      </c>
      <c r="R16" s="1" t="s">
        <v>840</v>
      </c>
      <c r="S16" s="1" t="s">
        <v>1047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1048</v>
      </c>
      <c r="Z16" s="1">
        <v>11</v>
      </c>
      <c r="AA16" s="1" t="s">
        <v>793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1049</v>
      </c>
      <c r="AT16" s="1" t="s">
        <v>1050</v>
      </c>
      <c r="AU16" s="1" t="s">
        <v>186</v>
      </c>
      <c r="AV16" s="1" t="s">
        <v>902</v>
      </c>
      <c r="AW16" s="1" t="s">
        <v>1051</v>
      </c>
      <c r="AX16" s="1" t="s">
        <v>161</v>
      </c>
      <c r="AY16" s="1" t="s">
        <v>1052</v>
      </c>
      <c r="AZ16" s="1" t="s">
        <v>1053</v>
      </c>
      <c r="BA16" s="1" t="s">
        <v>1054</v>
      </c>
      <c r="BB16" s="1" t="s">
        <v>1055</v>
      </c>
      <c r="BC16" s="1" t="s">
        <v>1056</v>
      </c>
      <c r="BD16" s="1" t="s">
        <v>1057</v>
      </c>
      <c r="BE16" s="1">
        <v>107</v>
      </c>
      <c r="BF16" s="1">
        <v>107.3</v>
      </c>
      <c r="BG16" s="1">
        <v>-0.2</v>
      </c>
      <c r="BH16" s="1" t="s">
        <v>1045</v>
      </c>
      <c r="BI16" s="1" t="s">
        <v>807</v>
      </c>
      <c r="BJ16" s="1" t="s">
        <v>893</v>
      </c>
      <c r="BK16" s="1" t="s">
        <v>967</v>
      </c>
      <c r="BL16" s="1" t="s">
        <v>948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832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876</v>
      </c>
      <c r="CA16" s="1" t="s">
        <v>397</v>
      </c>
      <c r="CB16" s="1" t="s">
        <v>1058</v>
      </c>
      <c r="CC16" s="1" t="s">
        <v>1059</v>
      </c>
    </row>
    <row r="17" spans="1:81" x14ac:dyDescent="0.25">
      <c r="A17" s="1" t="s">
        <v>145</v>
      </c>
      <c r="B17" s="1" t="s">
        <v>785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988</v>
      </c>
      <c r="H17" s="1">
        <v>8</v>
      </c>
      <c r="I17" s="1" t="s">
        <v>880</v>
      </c>
      <c r="J17" s="1" t="s">
        <v>152</v>
      </c>
      <c r="K17" s="1" t="s">
        <v>952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953</v>
      </c>
      <c r="R17" s="1" t="s">
        <v>840</v>
      </c>
      <c r="S17" s="1" t="s">
        <v>920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1006</v>
      </c>
      <c r="Z17" s="1">
        <v>9</v>
      </c>
      <c r="AA17" s="1" t="s">
        <v>1009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1026</v>
      </c>
      <c r="AT17" s="1" t="s">
        <v>1060</v>
      </c>
      <c r="AU17" s="1" t="s">
        <v>260</v>
      </c>
      <c r="AV17" s="1" t="s">
        <v>1061</v>
      </c>
      <c r="AW17" s="1" t="s">
        <v>1062</v>
      </c>
      <c r="AX17" s="1" t="s">
        <v>190</v>
      </c>
      <c r="AY17" s="1" t="s">
        <v>1063</v>
      </c>
      <c r="AZ17" s="1" t="s">
        <v>1064</v>
      </c>
      <c r="BA17" s="1" t="s">
        <v>1065</v>
      </c>
      <c r="BB17" s="1" t="s">
        <v>1066</v>
      </c>
      <c r="BC17" s="1" t="s">
        <v>1067</v>
      </c>
      <c r="BD17" s="1" t="s">
        <v>1068</v>
      </c>
      <c r="BE17" s="1">
        <v>115.1</v>
      </c>
      <c r="BF17" s="1">
        <v>114.3</v>
      </c>
      <c r="BG17" s="1">
        <v>0.9</v>
      </c>
      <c r="BH17" s="1" t="s">
        <v>831</v>
      </c>
      <c r="BI17" s="1" t="s">
        <v>266</v>
      </c>
      <c r="BJ17" s="1" t="s">
        <v>296</v>
      </c>
      <c r="BK17" s="1" t="s">
        <v>296</v>
      </c>
      <c r="BL17" s="1" t="s">
        <v>988</v>
      </c>
      <c r="BM17" s="1" t="s">
        <v>1069</v>
      </c>
      <c r="BN17" s="1" t="s">
        <v>968</v>
      </c>
      <c r="BO17" s="1" t="s">
        <v>807</v>
      </c>
      <c r="BP17" s="1" t="s">
        <v>985</v>
      </c>
      <c r="BQ17" s="1" t="s">
        <v>286</v>
      </c>
      <c r="BR17" s="1" t="s">
        <v>1070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1071</v>
      </c>
      <c r="CC17" s="1" t="s">
        <v>1072</v>
      </c>
    </row>
    <row r="18" spans="1:81" x14ac:dyDescent="0.25">
      <c r="A18" s="1" t="s">
        <v>145</v>
      </c>
      <c r="B18" s="1" t="s">
        <v>785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898</v>
      </c>
      <c r="H18" s="1">
        <v>9</v>
      </c>
      <c r="I18" s="1" t="s">
        <v>1073</v>
      </c>
      <c r="J18" s="1" t="s">
        <v>244</v>
      </c>
      <c r="K18" s="1" t="s">
        <v>919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1074</v>
      </c>
      <c r="R18" s="1" t="s">
        <v>1022</v>
      </c>
      <c r="S18" s="1" t="s">
        <v>1075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899</v>
      </c>
      <c r="Y18" s="1" t="s">
        <v>901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1076</v>
      </c>
      <c r="AT18" s="1" t="s">
        <v>1077</v>
      </c>
      <c r="AU18" s="1" t="s">
        <v>190</v>
      </c>
      <c r="AV18" s="1" t="s">
        <v>816</v>
      </c>
      <c r="AW18" s="1" t="s">
        <v>1078</v>
      </c>
      <c r="AX18" s="1" t="s">
        <v>186</v>
      </c>
      <c r="AY18" s="1" t="s">
        <v>1079</v>
      </c>
      <c r="AZ18" s="1" t="s">
        <v>1080</v>
      </c>
      <c r="BA18" s="1" t="s">
        <v>993</v>
      </c>
      <c r="BB18" s="1" t="s">
        <v>1081</v>
      </c>
      <c r="BC18" s="1" t="s">
        <v>1082</v>
      </c>
      <c r="BD18" s="1" t="s">
        <v>1083</v>
      </c>
      <c r="BE18" s="1">
        <v>110.7</v>
      </c>
      <c r="BF18" s="1">
        <v>111.8</v>
      </c>
      <c r="BG18" s="1">
        <v>-1.1000000000000001</v>
      </c>
      <c r="BH18" s="1" t="s">
        <v>898</v>
      </c>
      <c r="BI18" s="1" t="s">
        <v>933</v>
      </c>
      <c r="BJ18" s="1" t="s">
        <v>894</v>
      </c>
      <c r="BK18" s="1" t="s">
        <v>832</v>
      </c>
      <c r="BL18" s="1" t="s">
        <v>1084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949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1085</v>
      </c>
      <c r="CC18" s="1" t="s">
        <v>1004</v>
      </c>
    </row>
    <row r="19" spans="1:81" x14ac:dyDescent="0.25">
      <c r="A19" s="1" t="s">
        <v>145</v>
      </c>
      <c r="B19" s="1" t="s">
        <v>785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1086</v>
      </c>
      <c r="H19" s="1">
        <v>9</v>
      </c>
      <c r="I19" s="1" t="s">
        <v>1073</v>
      </c>
      <c r="J19" s="1" t="s">
        <v>152</v>
      </c>
      <c r="K19" s="1" t="s">
        <v>1087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1074</v>
      </c>
      <c r="R19" s="1" t="s">
        <v>1088</v>
      </c>
      <c r="S19" s="1" t="s">
        <v>1047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990</v>
      </c>
      <c r="Y19" s="1" t="s">
        <v>1089</v>
      </c>
      <c r="Z19" s="1">
        <v>7</v>
      </c>
      <c r="AA19" s="1" t="s">
        <v>923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1090</v>
      </c>
      <c r="AT19" s="1" t="s">
        <v>1091</v>
      </c>
      <c r="AU19" s="1" t="s">
        <v>260</v>
      </c>
      <c r="AV19" s="1" t="s">
        <v>1092</v>
      </c>
      <c r="AW19" s="1" t="s">
        <v>1093</v>
      </c>
      <c r="AX19" s="1" t="s">
        <v>339</v>
      </c>
      <c r="AY19" s="1" t="s">
        <v>1094</v>
      </c>
      <c r="AZ19" s="1" t="s">
        <v>1095</v>
      </c>
      <c r="BA19" s="1" t="s">
        <v>1096</v>
      </c>
      <c r="BB19" s="1" t="s">
        <v>1097</v>
      </c>
      <c r="BC19" s="1" t="s">
        <v>1068</v>
      </c>
      <c r="BD19" s="1" t="s">
        <v>1098</v>
      </c>
      <c r="BE19" s="1">
        <v>114.2</v>
      </c>
      <c r="BF19" s="1">
        <v>115.3</v>
      </c>
      <c r="BG19" s="1">
        <v>-1.1000000000000001</v>
      </c>
      <c r="BH19" s="1" t="s">
        <v>1043</v>
      </c>
      <c r="BI19" s="1" t="s">
        <v>398</v>
      </c>
      <c r="BJ19" s="1" t="s">
        <v>296</v>
      </c>
      <c r="BK19" s="1" t="s">
        <v>216</v>
      </c>
      <c r="BL19" s="1" t="s">
        <v>1086</v>
      </c>
      <c r="BM19" s="1" t="s">
        <v>1069</v>
      </c>
      <c r="BN19" s="1" t="s">
        <v>1099</v>
      </c>
      <c r="BO19" s="1" t="s">
        <v>807</v>
      </c>
      <c r="BP19" s="1" t="s">
        <v>949</v>
      </c>
      <c r="BQ19" s="1" t="s">
        <v>276</v>
      </c>
      <c r="BR19" s="1" t="s">
        <v>985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1032</v>
      </c>
      <c r="CA19" s="1" t="s">
        <v>856</v>
      </c>
      <c r="CB19" s="1" t="s">
        <v>1100</v>
      </c>
      <c r="CC19" s="1" t="s">
        <v>1101</v>
      </c>
    </row>
    <row r="20" spans="1:81" x14ac:dyDescent="0.25">
      <c r="A20" s="1" t="s">
        <v>145</v>
      </c>
      <c r="B20" s="1" t="s">
        <v>785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1102</v>
      </c>
      <c r="H20" s="1">
        <v>10</v>
      </c>
      <c r="I20" s="1" t="s">
        <v>1073</v>
      </c>
      <c r="J20" s="1" t="s">
        <v>152</v>
      </c>
      <c r="K20" s="1" t="s">
        <v>989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1103</v>
      </c>
      <c r="R20" s="1" t="s">
        <v>920</v>
      </c>
      <c r="S20" s="1" t="s">
        <v>1047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1034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1104</v>
      </c>
      <c r="AT20" s="1" t="s">
        <v>1105</v>
      </c>
      <c r="AU20" s="1" t="s">
        <v>157</v>
      </c>
      <c r="AV20" s="1" t="s">
        <v>1106</v>
      </c>
      <c r="AW20" s="1" t="s">
        <v>1107</v>
      </c>
      <c r="AX20" s="1" t="s">
        <v>157</v>
      </c>
      <c r="AY20" s="1" t="s">
        <v>1108</v>
      </c>
      <c r="AZ20" s="1" t="s">
        <v>1109</v>
      </c>
      <c r="BA20" s="1" t="s">
        <v>1110</v>
      </c>
      <c r="BB20" s="1" t="s">
        <v>1111</v>
      </c>
      <c r="BC20" s="1" t="s">
        <v>1112</v>
      </c>
      <c r="BD20" s="1" t="s">
        <v>1113</v>
      </c>
      <c r="BE20" s="1">
        <v>111.8</v>
      </c>
      <c r="BF20" s="1">
        <v>113.5</v>
      </c>
      <c r="BG20" s="1">
        <v>-1.7</v>
      </c>
      <c r="BH20" s="1" t="s">
        <v>1031</v>
      </c>
      <c r="BI20" s="1" t="s">
        <v>1114</v>
      </c>
      <c r="BJ20" s="1" t="s">
        <v>276</v>
      </c>
      <c r="BK20" s="1" t="s">
        <v>266</v>
      </c>
      <c r="BL20" s="1" t="s">
        <v>1102</v>
      </c>
      <c r="BM20" s="1" t="s">
        <v>1069</v>
      </c>
      <c r="BN20" s="1" t="s">
        <v>1001</v>
      </c>
      <c r="BO20" s="1" t="s">
        <v>967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1115</v>
      </c>
      <c r="CC20" s="1" t="s">
        <v>1101</v>
      </c>
    </row>
    <row r="21" spans="1:81" x14ac:dyDescent="0.25">
      <c r="A21" s="1" t="s">
        <v>145</v>
      </c>
      <c r="B21" s="1" t="s">
        <v>785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1116</v>
      </c>
      <c r="H21" s="1">
        <v>10</v>
      </c>
      <c r="I21" s="1" t="s">
        <v>1073</v>
      </c>
      <c r="J21" s="1" t="s">
        <v>244</v>
      </c>
      <c r="K21" s="1" t="s">
        <v>1117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1074</v>
      </c>
      <c r="R21" s="1" t="s">
        <v>954</v>
      </c>
      <c r="S21" s="1" t="s">
        <v>863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1118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955</v>
      </c>
      <c r="AT21" s="1" t="s">
        <v>1119</v>
      </c>
      <c r="AU21" s="1" t="s">
        <v>234</v>
      </c>
      <c r="AV21" s="1" t="s">
        <v>1120</v>
      </c>
      <c r="AW21" s="1" t="s">
        <v>1121</v>
      </c>
      <c r="AX21" s="1" t="s">
        <v>260</v>
      </c>
      <c r="AY21" s="1" t="s">
        <v>1122</v>
      </c>
      <c r="AZ21" s="1" t="s">
        <v>1123</v>
      </c>
      <c r="BA21" s="1" t="s">
        <v>1124</v>
      </c>
      <c r="BB21" s="1" t="s">
        <v>1125</v>
      </c>
      <c r="BC21" s="1" t="s">
        <v>1126</v>
      </c>
      <c r="BD21" s="1" t="s">
        <v>1127</v>
      </c>
      <c r="BE21" s="1">
        <v>105.7</v>
      </c>
      <c r="BF21" s="1">
        <v>105.9</v>
      </c>
      <c r="BG21" s="1">
        <v>-0.2</v>
      </c>
      <c r="BH21" s="1" t="s">
        <v>1116</v>
      </c>
      <c r="BI21" s="1" t="s">
        <v>1069</v>
      </c>
      <c r="BJ21" s="1" t="s">
        <v>967</v>
      </c>
      <c r="BK21" s="1" t="s">
        <v>985</v>
      </c>
      <c r="BL21" s="1" t="s">
        <v>1128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1129</v>
      </c>
      <c r="BR21" s="1" t="s">
        <v>233</v>
      </c>
      <c r="BS21" s="1" t="s">
        <v>934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1058</v>
      </c>
      <c r="CC21" s="1" t="s">
        <v>1130</v>
      </c>
    </row>
    <row r="22" spans="1:81" x14ac:dyDescent="0.25">
      <c r="A22" s="1" t="s">
        <v>145</v>
      </c>
      <c r="B22" s="1" t="s">
        <v>785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1131</v>
      </c>
      <c r="H22" s="1">
        <v>11</v>
      </c>
      <c r="I22" s="1" t="s">
        <v>1073</v>
      </c>
      <c r="J22" s="1" t="s">
        <v>244</v>
      </c>
      <c r="K22" s="1" t="s">
        <v>1117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1132</v>
      </c>
      <c r="R22" s="1" t="s">
        <v>920</v>
      </c>
      <c r="S22" s="1" t="s">
        <v>1027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1133</v>
      </c>
      <c r="Z22" s="1">
        <v>-6</v>
      </c>
      <c r="AA22" s="1" t="s">
        <v>367</v>
      </c>
      <c r="AB22" s="1">
        <v>-8</v>
      </c>
      <c r="AC22" s="1" t="s">
        <v>1134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1135</v>
      </c>
      <c r="AT22" s="1" t="s">
        <v>1136</v>
      </c>
      <c r="AU22" s="1" t="s">
        <v>158</v>
      </c>
      <c r="AV22" s="1" t="s">
        <v>1137</v>
      </c>
      <c r="AW22" s="1" t="s">
        <v>1138</v>
      </c>
      <c r="AX22" s="1" t="s">
        <v>190</v>
      </c>
      <c r="AY22" s="1" t="s">
        <v>1139</v>
      </c>
      <c r="AZ22" s="1" t="s">
        <v>1140</v>
      </c>
      <c r="BA22" s="1" t="s">
        <v>1141</v>
      </c>
      <c r="BB22" s="1" t="s">
        <v>1142</v>
      </c>
      <c r="BC22" s="1" t="s">
        <v>1143</v>
      </c>
      <c r="BD22" s="1" t="s">
        <v>1116</v>
      </c>
      <c r="BE22" s="1">
        <v>114</v>
      </c>
      <c r="BF22" s="1">
        <v>116.9</v>
      </c>
      <c r="BG22" s="1">
        <v>-2.9</v>
      </c>
      <c r="BH22" s="1" t="s">
        <v>1131</v>
      </c>
      <c r="BI22" s="1" t="s">
        <v>1144</v>
      </c>
      <c r="BJ22" s="1" t="s">
        <v>1144</v>
      </c>
      <c r="BK22" s="1" t="s">
        <v>985</v>
      </c>
      <c r="BL22" s="1" t="s">
        <v>1018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1145</v>
      </c>
      <c r="BS22" s="1" t="s">
        <v>372</v>
      </c>
      <c r="BT22" s="1"/>
      <c r="BU22" s="1"/>
      <c r="BV22" s="1"/>
      <c r="BW22" s="1"/>
      <c r="BX22" s="1"/>
      <c r="BY22" s="1" t="s">
        <v>1146</v>
      </c>
      <c r="BZ22" s="1" t="s">
        <v>949</v>
      </c>
      <c r="CA22" s="1" t="s">
        <v>337</v>
      </c>
      <c r="CB22" s="1" t="s">
        <v>1147</v>
      </c>
      <c r="CC22" s="1" t="s">
        <v>1148</v>
      </c>
    </row>
    <row r="23" spans="1:81" x14ac:dyDescent="0.25">
      <c r="A23" s="1" t="s">
        <v>145</v>
      </c>
      <c r="B23" s="1" t="s">
        <v>785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1149</v>
      </c>
      <c r="H23" s="1">
        <v>11</v>
      </c>
      <c r="I23" s="1" t="s">
        <v>1073</v>
      </c>
      <c r="J23" s="1" t="s">
        <v>219</v>
      </c>
      <c r="K23" s="1" t="s">
        <v>1150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1151</v>
      </c>
      <c r="R23" s="1" t="s">
        <v>1022</v>
      </c>
      <c r="S23" s="1" t="s">
        <v>1152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954</v>
      </c>
      <c r="Z23" s="1">
        <v>6</v>
      </c>
      <c r="AA23" s="1" t="s">
        <v>188</v>
      </c>
      <c r="AB23" s="1">
        <v>-9</v>
      </c>
      <c r="AC23" s="1" t="s">
        <v>1153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1154</v>
      </c>
      <c r="AT23" s="1" t="s">
        <v>1155</v>
      </c>
      <c r="AU23" s="1" t="s">
        <v>226</v>
      </c>
      <c r="AV23" s="1" t="s">
        <v>1156</v>
      </c>
      <c r="AW23" s="1" t="s">
        <v>1157</v>
      </c>
      <c r="AX23" s="1" t="s">
        <v>260</v>
      </c>
      <c r="AY23" s="1" t="s">
        <v>1158</v>
      </c>
      <c r="AZ23" s="1" t="s">
        <v>1159</v>
      </c>
      <c r="BA23" s="1" t="s">
        <v>1160</v>
      </c>
      <c r="BB23" s="1" t="s">
        <v>1161</v>
      </c>
      <c r="BC23" s="1" t="s">
        <v>1162</v>
      </c>
      <c r="BD23" s="1" t="s">
        <v>1163</v>
      </c>
      <c r="BE23" s="1">
        <v>112.5</v>
      </c>
      <c r="BF23" s="1">
        <v>114</v>
      </c>
      <c r="BG23" s="1">
        <v>-1.5</v>
      </c>
      <c r="BH23" s="1" t="s">
        <v>948</v>
      </c>
      <c r="BI23" s="1" t="s">
        <v>323</v>
      </c>
      <c r="BJ23" s="1" t="s">
        <v>276</v>
      </c>
      <c r="BK23" s="1" t="s">
        <v>276</v>
      </c>
      <c r="BL23" s="1" t="s">
        <v>1149</v>
      </c>
      <c r="BM23" s="1" t="s">
        <v>386</v>
      </c>
      <c r="BN23" s="1" t="s">
        <v>967</v>
      </c>
      <c r="BO23" s="1" t="s">
        <v>933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1085</v>
      </c>
      <c r="CC23" s="1" t="s">
        <v>1101</v>
      </c>
    </row>
    <row r="24" spans="1:81" x14ac:dyDescent="0.25">
      <c r="A24" s="1" t="s">
        <v>145</v>
      </c>
      <c r="B24" s="1" t="s">
        <v>785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1164</v>
      </c>
      <c r="H24" s="1">
        <v>12</v>
      </c>
      <c r="I24" s="1" t="s">
        <v>1073</v>
      </c>
      <c r="J24" s="1" t="s">
        <v>231</v>
      </c>
      <c r="K24" s="1" t="s">
        <v>881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1165</v>
      </c>
      <c r="R24" s="1" t="s">
        <v>901</v>
      </c>
      <c r="S24" s="1" t="s">
        <v>1166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1167</v>
      </c>
      <c r="Z24" s="1">
        <v>5</v>
      </c>
      <c r="AA24" s="1" t="s">
        <v>160</v>
      </c>
      <c r="AB24" s="1">
        <v>-9</v>
      </c>
      <c r="AC24" s="1" t="s">
        <v>1153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1168</v>
      </c>
      <c r="AT24" s="1" t="s">
        <v>1169</v>
      </c>
      <c r="AU24" s="1" t="s">
        <v>262</v>
      </c>
      <c r="AV24" s="1" t="s">
        <v>1170</v>
      </c>
      <c r="AW24" s="1" t="s">
        <v>1171</v>
      </c>
      <c r="AX24" s="1" t="s">
        <v>153</v>
      </c>
      <c r="AY24" s="1" t="s">
        <v>945</v>
      </c>
      <c r="AZ24" s="1" t="s">
        <v>1172</v>
      </c>
      <c r="BA24" s="1" t="s">
        <v>1124</v>
      </c>
      <c r="BB24" s="1" t="s">
        <v>1173</v>
      </c>
      <c r="BC24" s="1" t="s">
        <v>1174</v>
      </c>
      <c r="BD24" s="1" t="s">
        <v>1175</v>
      </c>
      <c r="BE24" s="1">
        <v>103.5</v>
      </c>
      <c r="BF24" s="1">
        <v>106.1</v>
      </c>
      <c r="BG24" s="1">
        <v>-2.6</v>
      </c>
      <c r="BH24" s="1" t="s">
        <v>1176</v>
      </c>
      <c r="BI24" s="1" t="s">
        <v>398</v>
      </c>
      <c r="BJ24" s="1" t="s">
        <v>398</v>
      </c>
      <c r="BK24" s="1" t="s">
        <v>398</v>
      </c>
      <c r="BL24" s="1" t="s">
        <v>1164</v>
      </c>
      <c r="BM24" s="1" t="s">
        <v>967</v>
      </c>
      <c r="BN24" s="1" t="s">
        <v>1069</v>
      </c>
      <c r="BO24" s="1" t="s">
        <v>893</v>
      </c>
      <c r="BP24" s="1" t="s">
        <v>1177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856</v>
      </c>
      <c r="CA24" s="1" t="s">
        <v>349</v>
      </c>
      <c r="CB24" s="1" t="s">
        <v>1178</v>
      </c>
      <c r="CC24" s="1" t="s">
        <v>1179</v>
      </c>
    </row>
    <row r="25" spans="1:81" x14ac:dyDescent="0.25">
      <c r="A25" s="1" t="s">
        <v>145</v>
      </c>
      <c r="B25" s="1" t="s">
        <v>785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1180</v>
      </c>
      <c r="H25" s="1">
        <v>12</v>
      </c>
      <c r="I25" s="1" t="s">
        <v>1073</v>
      </c>
      <c r="J25" s="1" t="s">
        <v>244</v>
      </c>
      <c r="K25" s="1" t="s">
        <v>899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1181</v>
      </c>
      <c r="R25" s="1" t="s">
        <v>1023</v>
      </c>
      <c r="S25" s="1" t="s">
        <v>1166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1182</v>
      </c>
      <c r="Y25" s="1" t="s">
        <v>1183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1184</v>
      </c>
      <c r="AT25" s="1" t="s">
        <v>1077</v>
      </c>
      <c r="AU25" s="1" t="s">
        <v>327</v>
      </c>
      <c r="AV25" s="1" t="s">
        <v>892</v>
      </c>
      <c r="AW25" s="1" t="s">
        <v>1185</v>
      </c>
      <c r="AX25" s="1" t="s">
        <v>153</v>
      </c>
      <c r="AY25" s="1" t="s">
        <v>1186</v>
      </c>
      <c r="AZ25" s="1" t="s">
        <v>1187</v>
      </c>
      <c r="BA25" s="1" t="s">
        <v>1188</v>
      </c>
      <c r="BB25" s="1" t="s">
        <v>1017</v>
      </c>
      <c r="BC25" s="1" t="s">
        <v>1189</v>
      </c>
      <c r="BD25" s="1" t="s">
        <v>1190</v>
      </c>
      <c r="BE25" s="1">
        <v>113.3</v>
      </c>
      <c r="BF25" s="1">
        <v>119.4</v>
      </c>
      <c r="BG25" s="1">
        <v>-6</v>
      </c>
      <c r="BH25" s="1" t="s">
        <v>1180</v>
      </c>
      <c r="BI25" s="1" t="s">
        <v>1191</v>
      </c>
      <c r="BJ25" s="1" t="s">
        <v>1144</v>
      </c>
      <c r="BK25" s="1" t="s">
        <v>410</v>
      </c>
      <c r="BL25" s="1" t="s">
        <v>1018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1192</v>
      </c>
      <c r="BR25" s="1" t="s">
        <v>949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1193</v>
      </c>
      <c r="CC25" s="1" t="s">
        <v>972</v>
      </c>
    </row>
    <row r="26" spans="1:81" x14ac:dyDescent="0.25">
      <c r="A26" s="1" t="s">
        <v>145</v>
      </c>
      <c r="B26" s="1" t="s">
        <v>785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1116</v>
      </c>
      <c r="H26" s="1">
        <v>13</v>
      </c>
      <c r="I26" s="1" t="s">
        <v>1073</v>
      </c>
      <c r="J26" s="1" t="s">
        <v>231</v>
      </c>
      <c r="K26" s="1" t="s">
        <v>881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1165</v>
      </c>
      <c r="R26" s="1" t="s">
        <v>954</v>
      </c>
      <c r="S26" s="1" t="s">
        <v>1075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1194</v>
      </c>
      <c r="Z26" s="1">
        <v>-8</v>
      </c>
      <c r="AA26" s="1" t="s">
        <v>1134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1195</v>
      </c>
      <c r="AT26" s="1" t="s">
        <v>1196</v>
      </c>
      <c r="AU26" s="1" t="s">
        <v>190</v>
      </c>
      <c r="AV26" s="1" t="s">
        <v>1197</v>
      </c>
      <c r="AW26" s="1" t="s">
        <v>1198</v>
      </c>
      <c r="AX26" s="1" t="s">
        <v>186</v>
      </c>
      <c r="AY26" s="1" t="s">
        <v>1199</v>
      </c>
      <c r="AZ26" s="1" t="s">
        <v>1200</v>
      </c>
      <c r="BA26" s="1" t="s">
        <v>1201</v>
      </c>
      <c r="BB26" s="1" t="s">
        <v>1202</v>
      </c>
      <c r="BC26" s="1" t="s">
        <v>1203</v>
      </c>
      <c r="BD26" s="1" t="s">
        <v>1204</v>
      </c>
      <c r="BE26" s="1">
        <v>115.4</v>
      </c>
      <c r="BF26" s="1">
        <v>116.8</v>
      </c>
      <c r="BG26" s="1">
        <v>-1.3</v>
      </c>
      <c r="BH26" s="1" t="s">
        <v>1084</v>
      </c>
      <c r="BI26" s="1" t="s">
        <v>398</v>
      </c>
      <c r="BJ26" s="1" t="s">
        <v>276</v>
      </c>
      <c r="BK26" s="1" t="s">
        <v>393</v>
      </c>
      <c r="BL26" s="1" t="s">
        <v>1116</v>
      </c>
      <c r="BM26" s="1" t="s">
        <v>1069</v>
      </c>
      <c r="BN26" s="1" t="s">
        <v>933</v>
      </c>
      <c r="BO26" s="1" t="s">
        <v>893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985</v>
      </c>
      <c r="CA26" s="1" t="s">
        <v>337</v>
      </c>
      <c r="CB26" s="1" t="s">
        <v>1205</v>
      </c>
      <c r="CC26" s="1" t="s">
        <v>1206</v>
      </c>
    </row>
    <row r="27" spans="1:81" x14ac:dyDescent="0.25">
      <c r="A27" s="1" t="s">
        <v>145</v>
      </c>
      <c r="B27" s="1" t="s">
        <v>785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1180</v>
      </c>
      <c r="H27" s="1">
        <v>13</v>
      </c>
      <c r="I27" s="1" t="s">
        <v>1073</v>
      </c>
      <c r="J27" s="1" t="s">
        <v>181</v>
      </c>
      <c r="K27" s="1" t="s">
        <v>1207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1208</v>
      </c>
      <c r="R27" s="1" t="s">
        <v>1077</v>
      </c>
      <c r="S27" s="1" t="s">
        <v>1209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881</v>
      </c>
      <c r="Y27" s="1" t="s">
        <v>1210</v>
      </c>
      <c r="Z27" s="1">
        <v>-11</v>
      </c>
      <c r="AA27" s="1" t="s">
        <v>1211</v>
      </c>
      <c r="AB27" s="1">
        <v>-9</v>
      </c>
      <c r="AC27" s="1" t="s">
        <v>1153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1212</v>
      </c>
      <c r="AT27" s="1" t="s">
        <v>1213</v>
      </c>
      <c r="AU27" s="1" t="s">
        <v>158</v>
      </c>
      <c r="AV27" s="1" t="s">
        <v>1214</v>
      </c>
      <c r="AW27" s="1" t="s">
        <v>1215</v>
      </c>
      <c r="AX27" s="1" t="s">
        <v>164</v>
      </c>
      <c r="AY27" s="1" t="s">
        <v>1216</v>
      </c>
      <c r="AZ27" s="1" t="s">
        <v>1217</v>
      </c>
      <c r="BA27" s="1" t="s">
        <v>1218</v>
      </c>
      <c r="BB27" s="1" t="s">
        <v>1219</v>
      </c>
      <c r="BC27" s="1" t="s">
        <v>897</v>
      </c>
      <c r="BD27" s="1" t="s">
        <v>1220</v>
      </c>
      <c r="BE27" s="1">
        <v>104.9</v>
      </c>
      <c r="BF27" s="1">
        <v>113.4</v>
      </c>
      <c r="BG27" s="1">
        <v>-8.4</v>
      </c>
      <c r="BH27" s="1" t="s">
        <v>1180</v>
      </c>
      <c r="BI27" s="1" t="s">
        <v>1191</v>
      </c>
      <c r="BJ27" s="1" t="s">
        <v>402</v>
      </c>
      <c r="BK27" s="1" t="s">
        <v>967</v>
      </c>
      <c r="BL27" s="1" t="s">
        <v>1221</v>
      </c>
      <c r="BM27" s="1" t="s">
        <v>1114</v>
      </c>
      <c r="BN27" s="1" t="s">
        <v>393</v>
      </c>
      <c r="BO27" s="1" t="s">
        <v>398</v>
      </c>
      <c r="BP27" s="1" t="s">
        <v>1222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1223</v>
      </c>
      <c r="BZ27" s="1" t="s">
        <v>1224</v>
      </c>
      <c r="CA27" s="1" t="s">
        <v>363</v>
      </c>
      <c r="CB27" s="1" t="s">
        <v>1225</v>
      </c>
      <c r="CC27" s="1" t="s">
        <v>1148</v>
      </c>
    </row>
    <row r="28" spans="1:81" x14ac:dyDescent="0.25">
      <c r="A28" s="1" t="s">
        <v>145</v>
      </c>
      <c r="B28" s="1" t="s">
        <v>785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1226</v>
      </c>
      <c r="H28" s="1">
        <v>14</v>
      </c>
      <c r="I28" s="1" t="s">
        <v>1073</v>
      </c>
      <c r="J28" s="1" t="s">
        <v>181</v>
      </c>
      <c r="K28" s="1" t="s">
        <v>1087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1227</v>
      </c>
      <c r="R28" s="1" t="s">
        <v>1209</v>
      </c>
      <c r="S28" s="1" t="s">
        <v>1228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1229</v>
      </c>
      <c r="Z28" s="1">
        <v>-9</v>
      </c>
      <c r="AA28" s="1" t="s">
        <v>1153</v>
      </c>
      <c r="AB28" s="1">
        <v>-11</v>
      </c>
      <c r="AC28" s="1" t="s">
        <v>1211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1211</v>
      </c>
      <c r="AJ28" s="1">
        <v>-10</v>
      </c>
      <c r="AK28" s="1" t="s">
        <v>956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878</v>
      </c>
      <c r="AT28" s="1" t="s">
        <v>1230</v>
      </c>
      <c r="AU28" s="1" t="s">
        <v>304</v>
      </c>
      <c r="AV28" s="1" t="s">
        <v>1231</v>
      </c>
      <c r="AW28" s="1" t="s">
        <v>1232</v>
      </c>
      <c r="AX28" s="1" t="s">
        <v>208</v>
      </c>
      <c r="AY28" s="1" t="s">
        <v>1160</v>
      </c>
      <c r="AZ28" s="1" t="s">
        <v>1233</v>
      </c>
      <c r="BA28" s="1" t="s">
        <v>1234</v>
      </c>
      <c r="BB28" s="1" t="s">
        <v>1235</v>
      </c>
      <c r="BC28" s="1" t="s">
        <v>1118</v>
      </c>
      <c r="BD28" s="1" t="s">
        <v>1236</v>
      </c>
      <c r="BE28" s="1">
        <v>104.5</v>
      </c>
      <c r="BF28" s="1">
        <v>114.1</v>
      </c>
      <c r="BG28" s="1">
        <v>-9.6</v>
      </c>
      <c r="BH28" s="1" t="s">
        <v>1226</v>
      </c>
      <c r="BI28" s="1" t="s">
        <v>1144</v>
      </c>
      <c r="BJ28" s="1" t="s">
        <v>1099</v>
      </c>
      <c r="BK28" s="1" t="s">
        <v>1237</v>
      </c>
      <c r="BL28" s="1" t="s">
        <v>1238</v>
      </c>
      <c r="BM28" s="1" t="s">
        <v>1239</v>
      </c>
      <c r="BN28" s="1" t="s">
        <v>393</v>
      </c>
      <c r="BO28" s="1" t="s">
        <v>393</v>
      </c>
      <c r="BP28" s="1" t="s">
        <v>1224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1146</v>
      </c>
      <c r="BZ28" s="1" t="s">
        <v>407</v>
      </c>
      <c r="CA28" s="1" t="s">
        <v>1099</v>
      </c>
      <c r="CB28" s="1" t="s">
        <v>1240</v>
      </c>
      <c r="CC28" s="1" t="s">
        <v>1241</v>
      </c>
    </row>
    <row r="29" spans="1:81" x14ac:dyDescent="0.25">
      <c r="A29" s="1" t="s">
        <v>145</v>
      </c>
      <c r="B29" s="1" t="s">
        <v>785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1242</v>
      </c>
      <c r="H29" s="1">
        <v>14</v>
      </c>
      <c r="I29" s="1" t="s">
        <v>1073</v>
      </c>
      <c r="J29" s="1" t="s">
        <v>231</v>
      </c>
      <c r="K29" s="1" t="s">
        <v>1087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1165</v>
      </c>
      <c r="R29" s="1" t="s">
        <v>1088</v>
      </c>
      <c r="S29" s="1" t="s">
        <v>1077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1243</v>
      </c>
      <c r="Z29" s="1">
        <v>11</v>
      </c>
      <c r="AA29" s="1" t="s">
        <v>793</v>
      </c>
      <c r="AB29" s="1">
        <v>-9</v>
      </c>
      <c r="AC29" s="1" t="s">
        <v>1153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1244</v>
      </c>
      <c r="AT29" s="1" t="s">
        <v>1107</v>
      </c>
      <c r="AU29" s="1" t="s">
        <v>260</v>
      </c>
      <c r="AV29" s="1" t="s">
        <v>1081</v>
      </c>
      <c r="AW29" s="1" t="s">
        <v>1245</v>
      </c>
      <c r="AX29" s="1" t="s">
        <v>186</v>
      </c>
      <c r="AY29" s="1" t="s">
        <v>1246</v>
      </c>
      <c r="AZ29" s="1" t="s">
        <v>1247</v>
      </c>
      <c r="BA29" s="1" t="s">
        <v>1248</v>
      </c>
      <c r="BB29" s="1" t="s">
        <v>1249</v>
      </c>
      <c r="BC29" s="1" t="s">
        <v>1162</v>
      </c>
      <c r="BD29" s="1" t="s">
        <v>1250</v>
      </c>
      <c r="BE29" s="1">
        <v>108.9</v>
      </c>
      <c r="BF29" s="1">
        <v>110.1</v>
      </c>
      <c r="BG29" s="1">
        <v>-1.3</v>
      </c>
      <c r="BH29" s="1" t="s">
        <v>969</v>
      </c>
      <c r="BI29" s="1" t="s">
        <v>323</v>
      </c>
      <c r="BJ29" s="1" t="s">
        <v>266</v>
      </c>
      <c r="BK29" s="1" t="s">
        <v>276</v>
      </c>
      <c r="BL29" s="1" t="s">
        <v>1242</v>
      </c>
      <c r="BM29" s="1" t="s">
        <v>933</v>
      </c>
      <c r="BN29" s="1" t="s">
        <v>1144</v>
      </c>
      <c r="BO29" s="1" t="s">
        <v>1099</v>
      </c>
      <c r="BP29" s="1" t="s">
        <v>337</v>
      </c>
      <c r="BQ29" s="1" t="s">
        <v>323</v>
      </c>
      <c r="BR29" s="1" t="s">
        <v>1224</v>
      </c>
      <c r="BS29" s="1" t="s">
        <v>239</v>
      </c>
      <c r="BT29" s="1"/>
      <c r="BU29" s="1"/>
      <c r="BV29" s="1"/>
      <c r="BW29" s="1"/>
      <c r="BX29" s="1"/>
      <c r="BY29" s="1" t="s">
        <v>1223</v>
      </c>
      <c r="BZ29" s="1" t="s">
        <v>876</v>
      </c>
      <c r="CA29" s="1" t="s">
        <v>985</v>
      </c>
      <c r="CB29" s="1" t="s">
        <v>1251</v>
      </c>
      <c r="CC29" s="1" t="s">
        <v>1252</v>
      </c>
    </row>
    <row r="30" spans="1:81" x14ac:dyDescent="0.25">
      <c r="A30" s="1" t="s">
        <v>145</v>
      </c>
      <c r="B30" s="1" t="s">
        <v>785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1253</v>
      </c>
      <c r="H30" s="1">
        <v>15</v>
      </c>
      <c r="I30" s="1" t="s">
        <v>1073</v>
      </c>
      <c r="J30" s="1" t="s">
        <v>203</v>
      </c>
      <c r="K30" s="1" t="s">
        <v>1254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1255</v>
      </c>
      <c r="R30" s="1" t="s">
        <v>1077</v>
      </c>
      <c r="S30" s="1" t="s">
        <v>1256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1257</v>
      </c>
      <c r="Z30" s="1">
        <v>-18</v>
      </c>
      <c r="AA30" s="1" t="s">
        <v>1258</v>
      </c>
      <c r="AB30" s="1">
        <v>-9</v>
      </c>
      <c r="AC30" s="1" t="s">
        <v>1153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1259</v>
      </c>
      <c r="AT30" s="1" t="s">
        <v>1260</v>
      </c>
      <c r="AU30" s="1" t="s">
        <v>327</v>
      </c>
      <c r="AV30" s="1" t="s">
        <v>884</v>
      </c>
      <c r="AW30" s="1" t="s">
        <v>1261</v>
      </c>
      <c r="AX30" s="1" t="s">
        <v>327</v>
      </c>
      <c r="AY30" s="1" t="s">
        <v>1262</v>
      </c>
      <c r="AZ30" s="1" t="s">
        <v>1263</v>
      </c>
      <c r="BA30" s="1" t="s">
        <v>1264</v>
      </c>
      <c r="BB30" s="1" t="s">
        <v>1265</v>
      </c>
      <c r="BC30" s="1" t="s">
        <v>1266</v>
      </c>
      <c r="BD30" s="1" t="s">
        <v>1267</v>
      </c>
      <c r="BE30" s="1">
        <v>104.6</v>
      </c>
      <c r="BF30" s="1">
        <v>113.8</v>
      </c>
      <c r="BG30" s="1">
        <v>-9.1999999999999993</v>
      </c>
      <c r="BH30" s="1" t="s">
        <v>1253</v>
      </c>
      <c r="BI30" s="1" t="s">
        <v>1177</v>
      </c>
      <c r="BJ30" s="1" t="s">
        <v>1268</v>
      </c>
      <c r="BK30" s="1" t="s">
        <v>1144</v>
      </c>
      <c r="BL30" s="1" t="s">
        <v>1221</v>
      </c>
      <c r="BM30" s="1" t="s">
        <v>1239</v>
      </c>
      <c r="BN30" s="1" t="s">
        <v>393</v>
      </c>
      <c r="BO30" s="1" t="s">
        <v>323</v>
      </c>
      <c r="BP30" s="1" t="s">
        <v>1269</v>
      </c>
      <c r="BQ30" s="1" t="s">
        <v>1129</v>
      </c>
      <c r="BR30" s="1" t="s">
        <v>1270</v>
      </c>
      <c r="BS30" s="1" t="s">
        <v>239</v>
      </c>
      <c r="BT30" s="1"/>
      <c r="BU30" s="1"/>
      <c r="BV30" s="1"/>
      <c r="BW30" s="1"/>
      <c r="BX30" s="1"/>
      <c r="BY30" s="1" t="s">
        <v>1223</v>
      </c>
      <c r="BZ30" s="1" t="s">
        <v>349</v>
      </c>
      <c r="CA30" s="1" t="s">
        <v>1271</v>
      </c>
      <c r="CB30" s="1" t="s">
        <v>1272</v>
      </c>
      <c r="CC30" s="1" t="s">
        <v>1273</v>
      </c>
    </row>
    <row r="31" spans="1:81" x14ac:dyDescent="0.25">
      <c r="A31" s="1" t="s">
        <v>145</v>
      </c>
      <c r="B31" s="1" t="s">
        <v>785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1253</v>
      </c>
      <c r="H31" s="1">
        <v>15</v>
      </c>
      <c r="I31" s="1" t="s">
        <v>1073</v>
      </c>
      <c r="J31" s="1" t="s">
        <v>152</v>
      </c>
      <c r="K31" s="1" t="s">
        <v>1207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1227</v>
      </c>
      <c r="R31" s="1" t="s">
        <v>1166</v>
      </c>
      <c r="S31" s="1" t="s">
        <v>1274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1245</v>
      </c>
      <c r="Z31" s="1">
        <v>-6</v>
      </c>
      <c r="AA31" s="1" t="s">
        <v>367</v>
      </c>
      <c r="AB31" s="1">
        <v>-13</v>
      </c>
      <c r="AC31" s="1" t="s">
        <v>1275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1276</v>
      </c>
      <c r="AT31" s="1" t="s">
        <v>1277</v>
      </c>
      <c r="AU31" s="1" t="s">
        <v>327</v>
      </c>
      <c r="AV31" s="1" t="s">
        <v>1278</v>
      </c>
      <c r="AW31" s="1" t="s">
        <v>1279</v>
      </c>
      <c r="AX31" s="1" t="s">
        <v>157</v>
      </c>
      <c r="AY31" s="1" t="s">
        <v>1280</v>
      </c>
      <c r="AZ31" s="1" t="s">
        <v>1281</v>
      </c>
      <c r="BA31" s="1" t="s">
        <v>1282</v>
      </c>
      <c r="BB31" s="1" t="s">
        <v>1283</v>
      </c>
      <c r="BC31" s="1" t="s">
        <v>1284</v>
      </c>
      <c r="BD31" s="1" t="s">
        <v>1285</v>
      </c>
      <c r="BE31" s="1">
        <v>107.5</v>
      </c>
      <c r="BF31" s="1">
        <v>116.8</v>
      </c>
      <c r="BG31" s="1">
        <v>-9.3000000000000007</v>
      </c>
      <c r="BH31" s="1" t="s">
        <v>1286</v>
      </c>
      <c r="BI31" s="1" t="s">
        <v>398</v>
      </c>
      <c r="BJ31" s="1" t="s">
        <v>398</v>
      </c>
      <c r="BK31" s="1" t="s">
        <v>393</v>
      </c>
      <c r="BL31" s="1" t="s">
        <v>1253</v>
      </c>
      <c r="BM31" s="1" t="s">
        <v>1287</v>
      </c>
      <c r="BN31" s="1" t="s">
        <v>402</v>
      </c>
      <c r="BO31" s="1" t="s">
        <v>1144</v>
      </c>
      <c r="BP31" s="1" t="s">
        <v>1222</v>
      </c>
      <c r="BQ31" s="1" t="s">
        <v>1288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1146</v>
      </c>
      <c r="BZ31" s="1" t="s">
        <v>1224</v>
      </c>
      <c r="CA31" s="1" t="s">
        <v>386</v>
      </c>
      <c r="CB31" s="1" t="s">
        <v>1289</v>
      </c>
      <c r="CC31" s="1" t="s">
        <v>1290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1292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1293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1294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1295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1296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1297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1298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1299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1300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1301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1302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1303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1304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1301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1305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1304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1306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1304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1307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1300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1299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1293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1308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1304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1309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1310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1294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1311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1312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1313</v>
      </c>
      <c r="T4" s="1">
        <v>23.7</v>
      </c>
      <c r="U4" s="1" t="s">
        <v>1296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1314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1315</v>
      </c>
      <c r="T5" s="1">
        <v>26</v>
      </c>
      <c r="U5" s="1" t="s">
        <v>1296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1316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1317</v>
      </c>
      <c r="T7" s="1">
        <v>25.7</v>
      </c>
      <c r="U7" s="1" t="s">
        <v>1318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1319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1320</v>
      </c>
      <c r="T8" s="1">
        <v>24.5</v>
      </c>
      <c r="U8" s="1" t="s">
        <v>1321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1322</v>
      </c>
      <c r="T9" s="1">
        <v>24.6</v>
      </c>
      <c r="U9" s="1" t="s">
        <v>1296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1294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1323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1296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1324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1325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1326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1327</v>
      </c>
      <c r="T14" s="1">
        <v>24.1</v>
      </c>
      <c r="U14" s="1" t="s">
        <v>1307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1328</v>
      </c>
      <c r="T15" s="1">
        <v>25</v>
      </c>
      <c r="U15" s="1" t="s">
        <v>1298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1329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1294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1323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1299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1330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1315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1331</v>
      </c>
      <c r="T21" s="1">
        <v>25.6</v>
      </c>
      <c r="U21" s="1" t="s">
        <v>1307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1332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1327</v>
      </c>
      <c r="T22" s="1">
        <v>24.9</v>
      </c>
      <c r="U22" s="1" t="s">
        <v>1333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1321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1334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1335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1336</v>
      </c>
      <c r="T26" s="1">
        <v>23.2</v>
      </c>
      <c r="U26" s="1" t="s">
        <v>1337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1338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1339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1340</v>
      </c>
      <c r="T28" s="1">
        <v>24.7</v>
      </c>
      <c r="U28" s="1" t="s">
        <v>1292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1320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1341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1342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1343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1344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1293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1344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1323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1323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1293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1293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1314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1314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1344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1314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1345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1344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1301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1301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1293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1302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2019-11-22T13:05:34Z</dcterms:modified>
</cp:coreProperties>
</file>