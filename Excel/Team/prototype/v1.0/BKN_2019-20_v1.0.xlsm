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B7450481-600E-48A5-A7CB-D9E9019276CD}" xr6:coauthVersionLast="45" xr6:coauthVersionMax="45" xr10:uidLastSave="{00000000-0000-0000-0000-000000000000}"/>
  <bookViews>
    <workbookView xWindow="5606" yWindow="1157" windowWidth="16457" windowHeight="8520" activeTab="2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19" l="1"/>
  <c r="F2" i="119"/>
</calcChain>
</file>

<file path=xl/sharedStrings.xml><?xml version="1.0" encoding="utf-8"?>
<sst xmlns="http://schemas.openxmlformats.org/spreadsheetml/2006/main" count="5950" uniqueCount="1421">
  <si>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</si>
  <si>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</si>
  <si>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</si>
  <si>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</si>
  <si>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</si>
  <si>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</si>
  <si>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</si>
  <si>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</si>
  <si>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</si>
  <si>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</si>
  <si>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</si>
  <si>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</si>
  <si>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</si>
  <si>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</si>
  <si>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</si>
  <si>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</si>
  <si>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</si>
  <si>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</si>
  <si>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</si>
  <si>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</si>
  <si>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</si>
  <si>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</si>
  <si>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</si>
  <si>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</si>
  <si>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</si>
  <si>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</si>
  <si>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</si>
  <si>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</si>
  <si>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</si>
  <si>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</si>
  <si>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</si>
  <si>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</si>
  <si>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</si>
  <si>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</si>
  <si>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</si>
  <si>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</si>
  <si>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</si>
  <si>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</si>
  <si>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</si>
  <si>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</si>
  <si>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</si>
  <si>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</si>
  <si>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</si>
  <si>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</si>
  <si>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</si>
  <si>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</si>
  <si>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</si>
  <si>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</si>
  <si>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</si>
  <si>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</si>
  <si>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</si>
  <si>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</si>
  <si>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</si>
  <si>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</si>
  <si>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</si>
  <si>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</si>
  <si>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</si>
  <si>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</si>
  <si>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</si>
  <si>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</si>
  <si>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</si>
  <si>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</si>
  <si>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</si>
  <si>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</si>
  <si>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</si>
  <si>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</si>
  <si>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</si>
  <si>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</si>
  <si>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</si>
  <si>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</si>
  <si>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</si>
  <si>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</si>
  <si>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</si>
  <si>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</si>
  <si>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</si>
  <si>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</si>
  <si>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</si>
  <si>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</si>
  <si>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</si>
  <si>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</si>
  <si>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</si>
  <si>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</si>
  <si>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</si>
  <si>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</si>
  <si>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</si>
  <si>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</si>
  <si>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</si>
  <si>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</si>
  <si>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</si>
  <si>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</si>
  <si>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</si>
  <si>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</si>
  <si>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</si>
  <si>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</si>
  <si>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</si>
  <si>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</si>
  <si>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</si>
  <si>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</si>
  <si>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</si>
  <si>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</si>
  <si>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</si>
  <si>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</si>
  <si>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</si>
  <si>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</si>
  <si>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</si>
  <si>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</si>
  <si>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</si>
  <si>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</si>
  <si>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</si>
  <si>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</si>
  <si>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</si>
  <si>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</si>
  <si>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</si>
  <si>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</si>
  <si>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</si>
  <si>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</si>
  <si>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</si>
  <si>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</si>
  <si>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</si>
  <si>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</si>
  <si>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</si>
  <si>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</si>
  <si>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</si>
  <si>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</si>
  <si>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</si>
  <si>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</si>
  <si>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</si>
  <si>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</si>
  <si>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</si>
  <si>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</si>
  <si>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</si>
  <si>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</si>
  <si>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</si>
  <si>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</si>
  <si>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</si>
  <si>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</si>
  <si>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</si>
  <si>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</si>
  <si>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</si>
  <si>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</si>
  <si>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</si>
  <si>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</si>
  <si>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</si>
  <si>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</si>
  <si>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</si>
  <si>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</si>
  <si>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</si>
  <si>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</si>
  <si>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</si>
  <si>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</si>
  <si>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</si>
  <si>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</si>
  <si>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</si>
  <si>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</si>
  <si>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</si>
  <si>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</si>
  <si>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</si>
  <si>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</si>
  <si>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</si>
  <si>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</si>
  <si>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</si>
  <si>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</si>
  <si>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</si>
  <si>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</si>
  <si>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</si>
  <si>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</si>
  <si>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</si>
  <si>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</si>
  <si>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</si>
  <si>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</si>
  <si>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</si>
  <si>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</si>
  <si>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</si>
  <si>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</si>
  <si>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</si>
  <si>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</si>
  <si>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</si>
  <si>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</si>
  <si>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</si>
  <si>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</si>
  <si>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</si>
  <si>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</si>
  <si>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</si>
  <si>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</si>
  <si>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</si>
  <si>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</si>
  <si>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</si>
  <si>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</si>
  <si>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</si>
  <si>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</si>
  <si>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</si>
  <si>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</si>
  <si>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</si>
  <si>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</si>
  <si>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</si>
  <si>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</si>
  <si>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</si>
  <si>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</si>
  <si>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</si>
  <si>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</si>
  <si>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</si>
  <si>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</si>
  <si>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</si>
  <si>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</si>
  <si>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</si>
  <si>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</si>
  <si>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</si>
  <si>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</si>
  <si>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</si>
  <si>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</si>
  <si>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</si>
  <si>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</si>
  <si>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</si>
  <si>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</si>
  <si>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</si>
  <si>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</si>
  <si>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</si>
  <si>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</si>
  <si>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</si>
  <si>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</si>
  <si>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</si>
  <si>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</si>
  <si>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</si>
  <si>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</si>
  <si>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</si>
  <si>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</si>
  <si>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</si>
  <si>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</si>
  <si>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</si>
  <si>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</si>
  <si>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</si>
  <si>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</si>
  <si>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</si>
  <si>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</si>
  <si>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</si>
  <si>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</si>
  <si>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</si>
  <si>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</si>
  <si>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</si>
  <si>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</si>
  <si>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</si>
  <si>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</si>
  <si>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</si>
  <si>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</si>
  <si>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</si>
  <si>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</si>
  <si>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</si>
  <si>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</si>
  <si>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</si>
  <si>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</si>
  <si>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</si>
  <si>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</si>
  <si>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</si>
  <si>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</si>
  <si>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</si>
  <si>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</si>
  <si>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</si>
  <si>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</si>
  <si>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</si>
  <si>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</si>
  <si>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</si>
  <si>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</si>
  <si>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</si>
  <si>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</si>
  <si>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</si>
  <si>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</si>
  <si>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</si>
  <si>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</si>
  <si>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</si>
  <si>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</si>
  <si>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</si>
  <si>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</si>
  <si>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</si>
  <si>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</si>
  <si>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</si>
  <si>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</si>
  <si>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</si>
  <si>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</si>
  <si>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</si>
  <si>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</si>
  <si>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</si>
  <si>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</si>
  <si>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</si>
  <si>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</si>
  <si>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</si>
  <si>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</si>
  <si>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</si>
  <si>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</si>
  <si>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</si>
  <si>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</si>
  <si>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</si>
  <si>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</si>
  <si>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</si>
  <si>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</si>
  <si>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</si>
  <si>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</si>
  <si>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</si>
  <si>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</si>
  <si>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</si>
  <si>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</si>
  <si>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</si>
  <si>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</si>
  <si>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</si>
  <si>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</si>
  <si>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</si>
  <si>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</si>
  <si>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</si>
  <si>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</si>
  <si>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</si>
  <si>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</si>
  <si>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</si>
  <si>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</si>
  <si>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</si>
  <si>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</si>
  <si>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</si>
  <si>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</si>
  <si>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</si>
  <si>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</si>
  <si>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</si>
  <si>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</si>
  <si>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</si>
  <si>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</si>
  <si>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</si>
  <si>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</si>
  <si>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</si>
  <si>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</si>
  <si>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</si>
  <si>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</si>
  <si>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</si>
  <si>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</si>
  <si>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</si>
  <si>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</si>
  <si>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</si>
  <si>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</si>
  <si>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</si>
  <si>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</si>
  <si>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</si>
  <si>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</si>
  <si>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</si>
  <si>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</si>
  <si>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</si>
  <si>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</si>
  <si>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</si>
  <si>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</si>
  <si>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</si>
  <si>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</si>
  <si>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</si>
  <si>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</si>
  <si>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</si>
  <si>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</si>
  <si>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</si>
  <si>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</si>
  <si>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</si>
  <si>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</si>
  <si>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</si>
  <si>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</si>
  <si>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</si>
  <si>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</si>
  <si>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</si>
  <si>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</si>
  <si>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</si>
  <si>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</si>
  <si>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</si>
  <si>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</si>
  <si>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</si>
  <si>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</si>
  <si>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</si>
  <si>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</si>
  <si>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</si>
  <si>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</si>
  <si>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</si>
  <si>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</si>
  <si>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</si>
  <si>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</si>
  <si>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</si>
  <si>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</si>
  <si>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</si>
  <si>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</si>
  <si>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</si>
  <si>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</si>
  <si>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</si>
  <si>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</si>
  <si>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</si>
  <si>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</si>
  <si>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</si>
  <si>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</si>
  <si>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</si>
  <si>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</si>
  <si>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</si>
  <si>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</si>
  <si>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</si>
  <si>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</si>
  <si>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</si>
  <si>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</si>
  <si>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</si>
  <si>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</si>
  <si>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</si>
  <si>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</si>
  <si>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</si>
  <si>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</si>
  <si>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</si>
  <si>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</si>
  <si>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</si>
  <si>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</si>
  <si>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</si>
  <si>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</si>
  <si>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</si>
  <si>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</si>
  <si>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</si>
  <si>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</si>
  <si>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</si>
  <si>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</si>
  <si>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</si>
  <si>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</si>
  <si>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</si>
  <si>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</si>
  <si>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</si>
  <si>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</si>
  <si>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</si>
  <si>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</si>
  <si>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</si>
  <si>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</si>
  <si>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</si>
  <si>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</si>
  <si>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</si>
  <si>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</si>
  <si>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</si>
  <si>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</si>
  <si>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</si>
  <si>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</si>
  <si>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</si>
  <si>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</si>
  <si>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</si>
  <si>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</si>
  <si>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</si>
  <si>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</si>
  <si>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</si>
  <si>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</si>
  <si>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</si>
  <si>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</si>
  <si>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</si>
  <si>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</si>
  <si>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</si>
  <si>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</si>
  <si>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</si>
  <si>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</si>
  <si>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</si>
  <si>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</si>
  <si>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</si>
  <si>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</si>
  <si>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</si>
  <si>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</si>
  <si>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</si>
  <si>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</si>
  <si>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</si>
  <si>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</si>
  <si>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</si>
  <si>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</si>
  <si>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</si>
  <si>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</si>
  <si>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</si>
  <si>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</si>
  <si>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</si>
  <si>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</si>
  <si>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</si>
  <si>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</si>
  <si>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</si>
  <si>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</si>
  <si>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</si>
  <si>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</si>
  <si>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</si>
  <si>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</si>
  <si>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</si>
  <si>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</si>
  <si>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</si>
  <si>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</si>
  <si>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</si>
  <si>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</si>
  <si>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</si>
  <si>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</si>
  <si>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</si>
  <si>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</si>
  <si>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</si>
  <si>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</si>
  <si>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</si>
  <si>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</si>
  <si>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</si>
  <si>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</si>
  <si>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</si>
  <si>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</si>
  <si>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</si>
  <si>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</si>
  <si>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</si>
  <si>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</si>
  <si>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</si>
  <si>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</si>
  <si>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</si>
  <si>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</si>
  <si>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</si>
  <si>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</si>
  <si>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</si>
  <si>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</si>
  <si>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</si>
  <si>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</si>
  <si>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</si>
  <si>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</si>
  <si>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</si>
  <si>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</si>
  <si>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</si>
  <si>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</si>
  <si>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</si>
  <si>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</si>
  <si>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</si>
  <si>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</si>
  <si>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</si>
  <si>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</si>
  <si>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</si>
  <si>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</si>
  <si>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</si>
  <si>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</si>
  <si>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</si>
  <si>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</si>
  <si>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</si>
  <si>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</si>
  <si>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</si>
  <si>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</si>
  <si>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</si>
  <si>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</si>
  <si>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</si>
  <si>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</si>
  <si>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</si>
  <si>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</si>
  <si>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</si>
  <si>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</si>
  <si>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</si>
  <si>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</si>
  <si>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</si>
  <si>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</si>
  <si>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</si>
  <si>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</si>
  <si>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</si>
  <si>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</si>
  <si>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</si>
  <si>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</si>
  <si>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</si>
  <si>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</si>
  <si>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</si>
  <si>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</si>
  <si>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</si>
  <si>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</si>
  <si>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</si>
  <si>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</si>
  <si>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</si>
  <si>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</si>
  <si>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</si>
  <si>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</si>
  <si>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</si>
  <si>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</si>
  <si>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</si>
  <si>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</si>
  <si>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</si>
  <si>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</si>
  <si>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</si>
  <si>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</si>
  <si>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</si>
  <si>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</si>
  <si>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</si>
  <si>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</si>
  <si>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</si>
  <si>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</si>
  <si>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</si>
  <si>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</si>
  <si>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</si>
  <si>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</si>
  <si>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</si>
  <si>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</si>
  <si>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</si>
  <si>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</si>
  <si>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</si>
  <si>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</si>
  <si>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</si>
  <si>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</si>
  <si>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</si>
  <si>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</si>
  <si>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</si>
  <si>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</si>
  <si>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</si>
  <si>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</si>
  <si>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</si>
  <si>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</si>
  <si>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</si>
  <si>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</si>
  <si>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</si>
  <si>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</si>
  <si>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</si>
  <si>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</si>
  <si>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</si>
  <si>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</si>
  <si>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</si>
  <si>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</si>
  <si>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</si>
  <si>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</si>
  <si>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</si>
  <si>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</si>
  <si>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</si>
  <si>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</si>
  <si>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</si>
  <si>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</si>
  <si>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</si>
  <si>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</si>
  <si>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</si>
  <si>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</si>
  <si>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</si>
  <si>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</si>
  <si>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</si>
  <si>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</si>
  <si>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</si>
  <si>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</si>
  <si>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</si>
  <si>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</si>
  <si>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</si>
  <si>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</si>
  <si>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</si>
  <si>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</si>
  <si>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</si>
  <si>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</si>
  <si>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</si>
  <si>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</si>
  <si>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</si>
  <si>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</si>
  <si>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</si>
  <si>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</si>
  <si>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</si>
  <si>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</si>
  <si>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</si>
  <si>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</si>
  <si>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</si>
  <si>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</si>
  <si>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</si>
  <si>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</si>
  <si>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</si>
  <si>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</si>
  <si>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</si>
  <si>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</si>
  <si>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</si>
  <si>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</si>
  <si>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</si>
  <si>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</si>
  <si>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</si>
  <si>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</si>
  <si>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</si>
  <si>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</si>
  <si>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</si>
  <si>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</si>
  <si>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</si>
  <si>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</si>
  <si>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</si>
  <si>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</si>
  <si>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</si>
  <si>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</si>
  <si>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</si>
  <si>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</si>
  <si>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</si>
  <si>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</si>
  <si>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</si>
  <si>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</si>
  <si>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</si>
  <si>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</si>
  <si>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</si>
  <si>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</si>
  <si>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</si>
  <si>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</si>
  <si>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</si>
  <si>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</si>
  <si>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</si>
  <si>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</si>
  <si>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</si>
  <si>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</si>
  <si>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</si>
  <si>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</si>
  <si>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</si>
  <si>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</si>
  <si>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</si>
  <si>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</si>
  <si>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</si>
  <si>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</si>
  <si>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</si>
  <si>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</si>
  <si>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</si>
  <si>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</si>
  <si>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</si>
  <si>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</si>
  <si>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</si>
  <si>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</si>
  <si>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</si>
  <si>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</si>
  <si>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</si>
  <si>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</si>
  <si>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</si>
  <si>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</si>
  <si>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</si>
  <si>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</si>
  <si>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</si>
  <si>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</si>
  <si>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</si>
  <si>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</si>
  <si>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</si>
  <si>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</si>
  <si>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</si>
  <si>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</si>
  <si>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</si>
  <si>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</si>
  <si>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</si>
  <si>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</si>
  <si>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</si>
  <si>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</si>
  <si>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</si>
  <si>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</si>
  <si>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</si>
  <si>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</si>
  <si>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</si>
  <si>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</si>
  <si>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</si>
  <si>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</si>
  <si>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</si>
  <si>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</si>
  <si>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</si>
  <si>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</si>
  <si>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</si>
  <si>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</si>
  <si>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</si>
  <si>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</si>
  <si>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</si>
  <si>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</si>
  <si>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</si>
  <si>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</si>
  <si>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</si>
  <si>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</si>
  <si>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</si>
  <si>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</si>
  <si>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</si>
  <si>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</si>
  <si>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</si>
  <si>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</si>
  <si>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</si>
  <si>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</si>
  <si>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</si>
  <si>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</si>
  <si>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</si>
  <si>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</si>
  <si>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</si>
  <si>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</si>
  <si>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</si>
  <si>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</si>
  <si>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</si>
  <si>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</si>
  <si>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</si>
  <si>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</t>
  </si>
  <si>
    <t>3</t>
  </si>
  <si>
    <t>4</t>
  </si>
  <si>
    <t>5</t>
  </si>
  <si>
    <t>F</t>
  </si>
  <si>
    <t>7-0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</si>
  <si>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</si>
  <si>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</si>
  <si>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</si>
  <si>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</si>
  <si>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</si>
  <si>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</si>
  <si>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</si>
  <si>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</si>
  <si>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</si>
  <si>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</si>
  <si>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</si>
  <si>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</si>
  <si>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</si>
  <si>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</si>
  <si>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</si>
  <si>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</si>
  <si>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</si>
  <si>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</si>
  <si>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</si>
  <si>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</si>
  <si>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</si>
  <si>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</si>
  <si>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</si>
  <si>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</si>
  <si>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</si>
  <si>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</si>
  <si>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</si>
  <si>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</si>
  <si>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</si>
  <si>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</si>
  <si>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</si>
  <si>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</si>
  <si>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</si>
  <si>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</si>
  <si>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</si>
  <si>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</si>
  <si>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</si>
  <si>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</si>
  <si>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</si>
  <si>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</si>
  <si>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</si>
  <si>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</si>
  <si>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</si>
  <si>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</si>
  <si>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</si>
  <si>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</si>
  <si>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</si>
  <si>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</si>
  <si>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</si>
  <si>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</si>
  <si>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</si>
  <si>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</si>
  <si>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</si>
  <si>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</si>
  <si>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</si>
  <si>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</si>
  <si>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</si>
  <si>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</si>
  <si>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</si>
  <si>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</si>
  <si>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</si>
  <si>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</si>
  <si>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</si>
  <si>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</si>
  <si>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</si>
  <si>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</si>
  <si>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</si>
  <si>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</si>
  <si>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</si>
  <si>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</si>
  <si>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</si>
  <si>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</si>
  <si>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</si>
  <si>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</si>
  <si>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</si>
  <si>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</si>
  <si>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</si>
  <si>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</si>
  <si>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</si>
  <si>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</si>
  <si>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</si>
  <si>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</si>
  <si>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</si>
  <si>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</si>
  <si>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</si>
  <si>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</si>
  <si>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</si>
  <si>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</si>
  <si>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</si>
  <si>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</si>
  <si>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</si>
  <si>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</si>
  <si>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</si>
  <si>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</si>
  <si>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</si>
  <si>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</si>
  <si>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</si>
  <si>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</si>
  <si>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</si>
  <si>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</si>
  <si>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</si>
  <si>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</si>
  <si>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</si>
  <si>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</si>
  <si>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</si>
  <si>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</si>
  <si>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</si>
  <si>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</si>
  <si>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</si>
  <si>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</si>
  <si>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</si>
  <si>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</si>
  <si>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</si>
  <si>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</si>
  <si>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</si>
  <si>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</si>
  <si>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</si>
  <si>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</si>
  <si>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</si>
  <si>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</si>
  <si>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</si>
  <si>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</si>
  <si>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</si>
  <si>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</si>
  <si>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</si>
  <si>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</si>
  <si>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</si>
  <si>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</si>
  <si>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</si>
  <si>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</si>
  <si>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</si>
  <si>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</si>
  <si>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</si>
  <si>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</si>
  <si>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</si>
  <si>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</si>
  <si>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</si>
  <si>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</si>
  <si>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</si>
  <si>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</si>
  <si>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</si>
  <si>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</si>
  <si>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</si>
  <si>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</si>
  <si>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</si>
  <si>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</si>
  <si>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</si>
  <si>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</si>
  <si>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</si>
  <si>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</si>
  <si>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</si>
  <si>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</si>
  <si>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</si>
  <si>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</si>
  <si>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</si>
  <si>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</si>
  <si>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</si>
  <si>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</si>
  <si>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</si>
  <si>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</si>
  <si>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</si>
  <si>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</si>
  <si>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</si>
  <si>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</si>
  <si>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</si>
  <si>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</si>
  <si>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</si>
  <si>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</si>
  <si>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</si>
  <si>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</si>
  <si>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</si>
  <si>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</si>
  <si>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</si>
  <si>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</si>
  <si>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</si>
  <si>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</si>
  <si>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</si>
  <si>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</si>
  <si>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</si>
  <si>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</si>
  <si>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</si>
  <si>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</si>
  <si>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</si>
  <si>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</si>
  <si>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</si>
  <si>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</si>
  <si>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</si>
  <si>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</si>
  <si>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</si>
  <si>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</si>
  <si>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</si>
  <si>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</si>
  <si>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</si>
  <si>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</si>
  <si>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</si>
  <si>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</si>
  <si>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</si>
  <si>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</si>
  <si>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</si>
  <si>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</si>
  <si>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</si>
  <si>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</si>
  <si>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</si>
  <si>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</si>
  <si>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</si>
  <si>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</si>
  <si>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</si>
  <si>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</si>
  <si>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</si>
  <si>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</si>
  <si>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</si>
  <si>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</si>
  <si>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</si>
  <si>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</si>
  <si>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</si>
  <si>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</si>
  <si>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</si>
  <si>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</si>
  <si>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</si>
  <si>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</si>
  <si>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</si>
  <si>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</si>
  <si>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</si>
  <si>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</si>
  <si>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</si>
  <si>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</si>
  <si>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</si>
  <si>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</si>
  <si>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</si>
  <si>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</si>
  <si>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</si>
  <si>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</si>
  <si>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</si>
  <si>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</si>
  <si>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</si>
  <si>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</si>
  <si>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</si>
  <si>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</si>
  <si>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</si>
  <si>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</si>
  <si>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</si>
  <si>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</si>
  <si>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</si>
  <si>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</si>
  <si>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</si>
  <si>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</si>
  <si>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</si>
  <si>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</si>
  <si>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</si>
  <si>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</si>
  <si>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</si>
  <si>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</si>
  <si>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</si>
  <si>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</si>
  <si>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</si>
  <si>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</si>
  <si>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</si>
  <si>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</si>
  <si>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</si>
  <si>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</si>
  <si>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</si>
  <si>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</si>
  <si>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</si>
  <si>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</si>
  <si>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</si>
  <si>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</si>
  <si>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</si>
  <si>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</si>
  <si>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</si>
  <si>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</si>
  <si>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</si>
  <si>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</si>
  <si>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</si>
  <si>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</si>
  <si>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</si>
  <si>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</si>
  <si>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</si>
  <si>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</si>
  <si>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</si>
  <si>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</si>
  <si>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</si>
  <si>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</si>
  <si>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</si>
  <si>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</si>
  <si>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</si>
  <si>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</si>
  <si>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</si>
  <si>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</si>
  <si>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</si>
  <si>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</si>
  <si>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</si>
  <si>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</si>
  <si>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</si>
  <si>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</si>
  <si>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</si>
  <si>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</si>
  <si>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</si>
  <si>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</si>
  <si>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</si>
  <si>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</si>
  <si>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</si>
  <si>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</si>
  <si>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</si>
  <si>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</si>
  <si>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</si>
  <si>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</si>
  <si>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</si>
  <si>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</si>
  <si>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</si>
  <si>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</si>
  <si>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</si>
  <si>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</si>
  <si>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</si>
  <si>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</si>
  <si>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</si>
  <si>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</si>
  <si>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</si>
  <si>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</si>
  <si>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</si>
  <si>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</si>
  <si>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</si>
  <si>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</si>
  <si>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</si>
  <si>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</si>
  <si>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</si>
  <si>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</si>
  <si>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</si>
  <si>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</si>
  <si>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</si>
  <si>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</si>
  <si>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</si>
  <si>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</si>
  <si>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</si>
  <si>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</si>
  <si>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</si>
  <si>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</si>
  <si>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</si>
  <si>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</si>
  <si>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</si>
  <si>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</si>
  <si>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</si>
  <si>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</si>
  <si>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</si>
  <si>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</si>
  <si>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</si>
  <si>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</si>
  <si>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</si>
  <si>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</si>
  <si>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</si>
  <si>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</si>
  <si>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</si>
  <si>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</si>
  <si>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</si>
  <si>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</si>
  <si>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</si>
  <si>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</si>
  <si>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</si>
  <si>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</si>
  <si>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</si>
  <si>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</si>
  <si>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</si>
  <si>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</si>
  <si>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</si>
  <si>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</si>
  <si>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</si>
  <si>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</si>
  <si>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</si>
  <si>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</si>
  <si>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</si>
  <si>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</si>
  <si>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</si>
  <si>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</si>
  <si>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</si>
  <si>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</si>
  <si>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</si>
  <si>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</si>
  <si>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</si>
  <si>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</si>
  <si>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</si>
  <si>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</si>
  <si>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</si>
  <si>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</si>
  <si>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</si>
  <si>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</si>
  <si>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</si>
  <si>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</si>
  <si>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</si>
  <si>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</si>
  <si>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</si>
  <si>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</si>
  <si>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</si>
  <si>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</si>
  <si>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</si>
  <si>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</si>
  <si>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</si>
  <si>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</si>
  <si>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</si>
  <si>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</si>
  <si>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</si>
  <si>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</si>
  <si>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</si>
  <si>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</si>
  <si>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</si>
  <si>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</si>
  <si>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</si>
  <si>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</si>
  <si>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</si>
  <si>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</si>
  <si>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</si>
  <si>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</si>
  <si>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</si>
  <si>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</si>
  <si>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</si>
  <si>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</si>
  <si>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</si>
  <si>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</si>
  <si>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</si>
  <si>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</si>
  <si>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</si>
  <si>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</si>
  <si>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</si>
  <si>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</si>
  <si>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</si>
  <si>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</si>
  <si>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</si>
  <si>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</si>
  <si>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</si>
  <si>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</si>
  <si>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</si>
  <si>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</si>
  <si>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</si>
  <si>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</si>
  <si>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</si>
  <si>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</si>
  <si>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</si>
  <si>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</si>
  <si>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</si>
  <si>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</si>
  <si>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</si>
  <si>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</si>
  <si>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</si>
  <si>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</si>
  <si>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</si>
  <si>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</si>
  <si>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</si>
  <si>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</si>
  <si>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</si>
  <si>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</si>
  <si>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</si>
  <si>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</si>
  <si>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</si>
  <si>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</si>
  <si>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</si>
  <si>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</si>
  <si>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</si>
  <si>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</si>
  <si>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</si>
  <si>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</si>
  <si>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</si>
  <si>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</si>
  <si>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</si>
  <si>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</si>
  <si>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</si>
  <si>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</si>
  <si>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</si>
  <si>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</si>
  <si>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</si>
  <si>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</si>
  <si>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</si>
  <si>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</si>
  <si>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</si>
  <si>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</si>
  <si>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</si>
  <si>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</si>
  <si>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</si>
  <si>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</si>
  <si>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</si>
  <si>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</si>
  <si>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</si>
  <si>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</si>
  <si>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</si>
  <si>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</si>
  <si>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</si>
  <si>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</si>
  <si>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</si>
  <si>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</si>
  <si>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</si>
  <si>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</si>
  <si>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</si>
  <si>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</si>
  <si>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</si>
  <si>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</si>
  <si>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</si>
  <si>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</si>
  <si>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</si>
  <si>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</si>
  <si>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</si>
  <si>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</si>
  <si>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</si>
  <si>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</si>
  <si>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</si>
  <si>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</si>
  <si>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</si>
  <si>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</si>
  <si>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</si>
  <si>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</si>
  <si>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</si>
  <si>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</si>
  <si>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</si>
  <si>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</si>
  <si>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</si>
  <si>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</si>
  <si>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</si>
  <si>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</si>
  <si>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</si>
  <si>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</si>
  <si>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</si>
  <si>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</si>
  <si>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</si>
  <si>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</si>
  <si>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</si>
  <si>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</si>
  <si>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</si>
  <si>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</si>
  <si>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</si>
  <si>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</si>
  <si>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</si>
  <si>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</si>
  <si>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</si>
  <si>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</si>
  <si>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</si>
  <si>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</si>
  <si>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</si>
  <si>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</si>
  <si>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</si>
  <si>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</si>
  <si>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</si>
  <si>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</si>
  <si>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</si>
  <si>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</si>
  <si>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</si>
  <si>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</si>
  <si>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</si>
  <si>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</si>
  <si>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</si>
  <si>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</si>
  <si>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</si>
  <si>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</si>
  <si>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</si>
  <si>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</si>
  <si>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</si>
  <si>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</si>
  <si>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</si>
  <si>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</si>
  <si>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</si>
  <si>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</si>
  <si>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</si>
  <si>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</si>
  <si>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</si>
  <si>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</si>
  <si>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</si>
  <si>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13</t>
  </si>
  <si>
    <t>7</t>
  </si>
  <si>
    <t>10</t>
  </si>
  <si>
    <t>2</t>
  </si>
  <si>
    <t>0</t>
  </si>
  <si>
    <t>6</t>
  </si>
  <si>
    <t>11</t>
  </si>
  <si>
    <t>6-6</t>
  </si>
  <si>
    <t>6-11</t>
  </si>
  <si>
    <t>22</t>
  </si>
  <si>
    <t>C</t>
  </si>
  <si>
    <t>G-F</t>
  </si>
  <si>
    <t>219</t>
  </si>
  <si>
    <t>195</t>
  </si>
  <si>
    <t>R</t>
  </si>
  <si>
    <t>Louisiana State</t>
  </si>
  <si>
    <t>12</t>
  </si>
  <si>
    <t>31</t>
  </si>
  <si>
    <t>33</t>
  </si>
  <si>
    <t>Rodions Kurucs</t>
  </si>
  <si>
    <t>228</t>
  </si>
  <si>
    <t>FEB 05, 1998</t>
  </si>
  <si>
    <t xml:space="preserve"> </t>
  </si>
  <si>
    <t>David Nwaba</t>
  </si>
  <si>
    <t>JAN 14, 1993</t>
  </si>
  <si>
    <t>Cal Poly-Obispo</t>
  </si>
  <si>
    <t>Theo Pinson</t>
  </si>
  <si>
    <t>212</t>
  </si>
  <si>
    <t>NOV 05, 1995</t>
  </si>
  <si>
    <t>North Carolina</t>
  </si>
  <si>
    <t>Taurean Prince</t>
  </si>
  <si>
    <t>218</t>
  </si>
  <si>
    <t>MAR 22, 1994</t>
  </si>
  <si>
    <t>Baylor</t>
  </si>
  <si>
    <t>Henry Ellenson</t>
  </si>
  <si>
    <t>F-C</t>
  </si>
  <si>
    <t>240</t>
  </si>
  <si>
    <t>JAN 13, 1997</t>
  </si>
  <si>
    <t>Marquette</t>
  </si>
  <si>
    <t>DeAndre Jordan</t>
  </si>
  <si>
    <t>265</t>
  </si>
  <si>
    <t>JUL 21, 1988</t>
  </si>
  <si>
    <t>Texas A&amp;M</t>
  </si>
  <si>
    <t>Kevin Durant</t>
  </si>
  <si>
    <t>SEP 29, 1988</t>
  </si>
  <si>
    <t>Texas</t>
  </si>
  <si>
    <t>Spencer Dinwiddie</t>
  </si>
  <si>
    <t>8</t>
  </si>
  <si>
    <t>215</t>
  </si>
  <si>
    <t>APR 06, 1993</t>
  </si>
  <si>
    <t>Colorado</t>
  </si>
  <si>
    <t>Iman Shumpert</t>
  </si>
  <si>
    <t>JUN 26, 1990</t>
  </si>
  <si>
    <t>Georgia Tech</t>
  </si>
  <si>
    <t>Kyrie Irving</t>
  </si>
  <si>
    <t>MAR 23, 1992</t>
  </si>
  <si>
    <t>Duke</t>
  </si>
  <si>
    <t>Joe Harris</t>
  </si>
  <si>
    <t>220</t>
  </si>
  <si>
    <t>SEP 06, 1991</t>
  </si>
  <si>
    <t>Virginia</t>
  </si>
  <si>
    <t>Dzanan Musa</t>
  </si>
  <si>
    <t>217</t>
  </si>
  <si>
    <t>MAY 08, 1999</t>
  </si>
  <si>
    <t>Timothe Luwawu-Cabarrot</t>
  </si>
  <si>
    <t>15</t>
  </si>
  <si>
    <t>MAY 09, 1995</t>
  </si>
  <si>
    <t>Garrett Temple</t>
  </si>
  <si>
    <t>17</t>
  </si>
  <si>
    <t>MAY 08, 1986</t>
  </si>
  <si>
    <t>9</t>
  </si>
  <si>
    <t>Wilson Chandler</t>
  </si>
  <si>
    <t>21</t>
  </si>
  <si>
    <t>235</t>
  </si>
  <si>
    <t>MAY 10, 1987</t>
  </si>
  <si>
    <t>DePaul</t>
  </si>
  <si>
    <t>Caris LeVert</t>
  </si>
  <si>
    <t>205</t>
  </si>
  <si>
    <t>AUG 25, 1994</t>
  </si>
  <si>
    <t>Michigan</t>
  </si>
  <si>
    <t>Jarrett Allen</t>
  </si>
  <si>
    <t>243</t>
  </si>
  <si>
    <t>APR 21, 1998</t>
  </si>
  <si>
    <t>Nicolas Claxton</t>
  </si>
  <si>
    <t>APR 17, 1999</t>
  </si>
  <si>
    <t>Georgia</t>
  </si>
  <si>
    <t>Nets</t>
    <phoneticPr fontId="1"/>
  </si>
  <si>
    <t>6-8</t>
    <phoneticPr fontId="1"/>
  </si>
  <si>
    <t xml:space="preserve">5-5  </t>
    <phoneticPr fontId="1"/>
  </si>
  <si>
    <t xml:space="preserve">4-3  </t>
    <phoneticPr fontId="1"/>
  </si>
  <si>
    <t xml:space="preserve">2-5  </t>
    <phoneticPr fontId="1"/>
  </si>
  <si>
    <t>42-40</t>
    <phoneticPr fontId="1"/>
  </si>
  <si>
    <t xml:space="preserve">6-4  </t>
    <phoneticPr fontId="1"/>
  </si>
  <si>
    <t>23-18</t>
    <phoneticPr fontId="1"/>
  </si>
  <si>
    <t>19-22</t>
    <phoneticPr fontId="1"/>
  </si>
  <si>
    <t>30-29</t>
    <phoneticPr fontId="1"/>
  </si>
  <si>
    <t>12-11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</si>
</sst>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5A0BDE-9651-4C47-B860-DE8B680D5739}" name="TableRoster" displayName="TableRoster" ref="A1:M19" totalsRowShown="0" headerRowDxfId="1074">
  <autoFilter ref="A1:M19" xr:uid="{5D0178D7-E979-4043-A416-AB2EE3A7414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39B2FCD1-0DDB-4A6D-BD3D-D0818B4191C4}" name="TeamID" dataDxfId="1087"/>
    <tableColumn id="2" xr3:uid="{3D3DF1EF-CB05-49F5-9F69-FF6CEE4A62D8}" name="SEASON" dataDxfId="1086"/>
    <tableColumn id="3" xr3:uid="{CE2D7DEB-BD22-4F58-8E50-B5737F6F2AEF}" name="LeagueID" dataDxfId="1085"/>
    <tableColumn id="4" xr3:uid="{C3FFAEED-FD26-4B55-8967-BD8449F228A1}" name="PLAYER" dataDxfId="1084"/>
    <tableColumn id="5" xr3:uid="{0C31DC14-4EC8-40C6-807C-E4A036E48D24}" name="NUM" dataDxfId="1083"/>
    <tableColumn id="6" xr3:uid="{A87DE1B4-FCE0-4A53-8809-2AF018D6E850}" name="POSITION" dataDxfId="1082"/>
    <tableColumn id="7" xr3:uid="{A7296FF8-1876-4F44-996C-F80DA7A95E03}" name="HEIGHT" dataDxfId="1081"/>
    <tableColumn id="8" xr3:uid="{1A90A75D-0560-40DE-89E1-EDDDF3B35718}" name="WEIGHT" dataDxfId="1080"/>
    <tableColumn id="9" xr3:uid="{4B3CE01D-2A66-4407-84F9-D4349720B830}" name="BIRTH_DATE" dataDxfId="1079"/>
    <tableColumn id="10" xr3:uid="{4B4D86F9-7E68-4774-88EB-024B7BDD06CF}" name="AGE" dataDxfId="1078"/>
    <tableColumn id="11" xr3:uid="{72B4707D-9E13-453E-88AA-8F4333D42970}" name="EXP" dataDxfId="1077"/>
    <tableColumn id="12" xr3:uid="{3CE1685B-9B7B-4FF8-A88C-68DA1F03F562}" name="SCHOOL" dataDxfId="1076"/>
    <tableColumn id="13" xr3:uid="{4AF139D3-0A5F-4B2A-ACE9-1FDF341A42B6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254342-6932-41DF-9A21-ACA3285CEF65}" name="TableStandingsN" displayName="TableStandingsN" ref="A1:CC31" totalsRowShown="0" headerRowDxfId="992">
  <autoFilter ref="A1:CC31" xr:uid="{EFBF0D11-587A-400F-9253-61223337FEB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2A4F9160-3D9B-418F-A8E9-D898E09C265E}" name="LeagueID" dataDxfId="1073"/>
    <tableColumn id="2" xr3:uid="{855A1172-6020-4CF7-9BA3-7269336B7046}" name="SeasonID" dataDxfId="1072"/>
    <tableColumn id="3" xr3:uid="{D884AF6B-D424-4F7B-8E97-4F682B3C0635}" name="TeamID" dataDxfId="1071"/>
    <tableColumn id="4" xr3:uid="{D16DA54B-CF97-42F1-9BC9-A058CB2A6BDB}" name="TeamCity" dataDxfId="1070"/>
    <tableColumn id="5" xr3:uid="{A4C8F114-5330-476E-915D-780CA48E2091}" name="TeamName" dataDxfId="1069"/>
    <tableColumn id="6" xr3:uid="{F886ED0B-A12A-4F52-9380-F9EF686C75D6}" name="Conference" dataDxfId="1068"/>
    <tableColumn id="7" xr3:uid="{C97314AF-EC6B-4725-9879-7FF77897B915}" name="ConferenceRecord" dataDxfId="1067"/>
    <tableColumn id="8" xr3:uid="{865D79B5-74C1-4804-8DEA-31930A213FC8}" name="PlayoffRank" dataDxfId="1066"/>
    <tableColumn id="9" xr3:uid="{C413A1CA-A373-4FEA-8E68-FE1152C04815}" name="ClinchIndicator" dataDxfId="1065"/>
    <tableColumn id="10" xr3:uid="{A610DD14-2E9A-4103-8234-3DDFD7B69294}" name="Division" dataDxfId="1064"/>
    <tableColumn id="11" xr3:uid="{F2A811F3-B5F5-4699-8B42-2FD35CE46F20}" name="DivisionRecord" dataDxfId="1063"/>
    <tableColumn id="12" xr3:uid="{E7412A95-3B1D-4C7C-984A-6C070FCDFA06}" name="DivisionRank" dataDxfId="1062"/>
    <tableColumn id="13" xr3:uid="{5C96BEA0-5500-4CDE-B4C2-096C22F764B1}" name="WINS" dataDxfId="1061"/>
    <tableColumn id="14" xr3:uid="{D8525A21-7B3D-44D3-BC16-A4C3D46D1401}" name="LOSSES" dataDxfId="1060"/>
    <tableColumn id="15" xr3:uid="{CF2708B6-094E-47FC-B6EB-115E42085B5F}" name="WinPCT" dataDxfId="1059"/>
    <tableColumn id="16" xr3:uid="{8B7162F7-81BA-4104-8A0E-4195925263B4}" name="LeagueRank" dataDxfId="1058"/>
    <tableColumn id="17" xr3:uid="{77AD6B86-FF63-4E88-8582-D14FE201B01D}" name="Record" dataDxfId="1057"/>
    <tableColumn id="18" xr3:uid="{9CB025CA-0D65-457F-8910-5AE0ABF1079A}" name="HOME" dataDxfId="1056"/>
    <tableColumn id="19" xr3:uid="{D2BDF3EF-1E9B-4074-973E-FBC21DA43A4B}" name="ROAD" dataDxfId="1055"/>
    <tableColumn id="20" xr3:uid="{6B095B1D-86AA-4719-8099-C70B9B0F09D6}" name="L10" dataDxfId="1054"/>
    <tableColumn id="21" xr3:uid="{40CF7A04-4BC1-4D3D-BE78-D9D6FA37497D}" name="Last10Home" dataDxfId="1053"/>
    <tableColumn id="22" xr3:uid="{9C6D1452-A67F-43FC-9E6E-F5AC456787E6}" name="Last10Road" dataDxfId="1052"/>
    <tableColumn id="23" xr3:uid="{68260949-DC05-4836-91D2-95D5DF365FB7}" name="OT" dataDxfId="1051"/>
    <tableColumn id="24" xr3:uid="{CE11E8FA-3CD2-445F-B898-458CE211CB13}" name="ThreePTSOrLess" dataDxfId="1050"/>
    <tableColumn id="25" xr3:uid="{D3250B76-5DD8-43FC-9F11-12E2E2B243B1}" name="TenPTSOrMore" dataDxfId="1049"/>
    <tableColumn id="26" xr3:uid="{2FE08A5B-FEDD-4CE4-AB83-1EDEF809A976}" name="LongHomeStreak" dataDxfId="1048"/>
    <tableColumn id="27" xr3:uid="{A53DC949-1AB4-4CEB-9C28-6C2DB5D8AD67}" name="strLongHomeStreak" dataDxfId="1047"/>
    <tableColumn id="28" xr3:uid="{9E1BE91E-F16D-4FC8-B925-6949F8967EDD}" name="LongRoadStreak" dataDxfId="1046"/>
    <tableColumn id="29" xr3:uid="{873F398B-E8EE-4727-9C0F-D54B8E82F0FC}" name="strLongRoadStreak" dataDxfId="1045"/>
    <tableColumn id="30" xr3:uid="{63446E46-5831-4775-B61E-519F1D6580C7}" name="LongWinStreak" dataDxfId="1044"/>
    <tableColumn id="31" xr3:uid="{A83D00EB-3EF2-402D-8BE4-7951F925AFA9}" name="LongLossStreak" dataDxfId="1043"/>
    <tableColumn id="32" xr3:uid="{5B58DEBD-72C9-4972-8933-15113FB0776B}" name="CurrentHomeStreak" dataDxfId="1042"/>
    <tableColumn id="33" xr3:uid="{3DCE09E4-CC70-4AA6-9126-DED269BCD921}" name="strCurrentHomeStreak" dataDxfId="1041"/>
    <tableColumn id="34" xr3:uid="{54DC2C89-7C13-4B30-85B9-26BF0C3BEF25}" name="CurrentRoadStreak" dataDxfId="1040"/>
    <tableColumn id="35" xr3:uid="{81B8BD09-3554-4C7F-9146-99EFF473DCCE}" name="strCurrentRoadStreak" dataDxfId="1039"/>
    <tableColumn id="36" xr3:uid="{918B7C10-EA57-46DB-84AB-5E4732B58325}" name="CurrentStreak" dataDxfId="1038"/>
    <tableColumn id="37" xr3:uid="{092139B2-E8D6-46AC-8F69-0EA6ED99FB02}" name="strCurrentStreak" dataDxfId="1037"/>
    <tableColumn id="38" xr3:uid="{B538803E-91A2-4487-A5EA-FB8C35C24FA6}" name="ConferenceGamesBack" dataDxfId="1036"/>
    <tableColumn id="39" xr3:uid="{4A48C15B-6683-41D6-95E4-1A8FC7EDF953}" name="DivisionGamesBack" dataDxfId="1035"/>
    <tableColumn id="40" xr3:uid="{3BFC12FF-8103-4471-9F45-5626187B4064}" name="ClinchedConferenceTitle" dataDxfId="1034"/>
    <tableColumn id="41" xr3:uid="{23E5E3C1-1A27-4C09-8A12-B1D371D6982F}" name="ClinchedDivisionTitle" dataDxfId="1033"/>
    <tableColumn id="42" xr3:uid="{CF131EF0-7555-4238-83DF-641BF64F5191}" name="ClinchedPlayoffBirth" dataDxfId="1032"/>
    <tableColumn id="43" xr3:uid="{0517E720-E704-421E-A7A4-A9CD879FF861}" name="EliminatedConference" dataDxfId="1031"/>
    <tableColumn id="44" xr3:uid="{4ACFA085-5DC0-47AE-BCD7-60E2BFF94AB1}" name="EliminatedDivision" dataDxfId="1030"/>
    <tableColumn id="45" xr3:uid="{94773893-C31C-47ED-91B9-A65EFE07B6EE}" name="AheadAtHalf" dataDxfId="1029"/>
    <tableColumn id="46" xr3:uid="{989A2910-E65E-4FF0-9EA7-C086DFE9B07D}" name="BehindAtHalf" dataDxfId="1028"/>
    <tableColumn id="47" xr3:uid="{ADCBA72F-AACC-4E87-B320-2B0601011704}" name="TiedAtHalf" dataDxfId="1027"/>
    <tableColumn id="48" xr3:uid="{BC90E5FC-42BD-417E-97A2-38B0E3A3FA1A}" name="AheadAtThird" dataDxfId="1026"/>
    <tableColumn id="49" xr3:uid="{49D3706E-490E-40A9-AD4A-17C3D8612FB0}" name="BehindAtThird" dataDxfId="1025"/>
    <tableColumn id="50" xr3:uid="{1F899399-7EEA-4E74-8A15-A5CDED95F0E3}" name="TiedAtThird" dataDxfId="1024"/>
    <tableColumn id="51" xr3:uid="{31AE783E-06D0-49F8-91AE-ACE43FBDC2F8}" name="Score100PTS" dataDxfId="1023"/>
    <tableColumn id="52" xr3:uid="{96405004-DCB6-4C1F-A2D6-A1774BE57743}" name="OppScore100PTS" dataDxfId="1022"/>
    <tableColumn id="53" xr3:uid="{9B8BB6F2-2F52-4C4A-A941-608220A21BCB}" name="OppOver500" dataDxfId="1021"/>
    <tableColumn id="54" xr3:uid="{7F626A42-1800-446A-9805-6733FADB2000}" name="LeadInFGPCT" dataDxfId="1020"/>
    <tableColumn id="55" xr3:uid="{D6812C3E-3D41-4C41-BE8E-CFC7FF95FC24}" name="LeadInReb" dataDxfId="1019"/>
    <tableColumn id="56" xr3:uid="{F43EB136-3B9B-4F3D-B4B9-A78FF354E551}" name="FewerTurnovers" dataDxfId="1018"/>
    <tableColumn id="57" xr3:uid="{DBE402FA-F9F5-4194-A555-DB1B638C298C}" name="PointsPG" dataDxfId="1017"/>
    <tableColumn id="58" xr3:uid="{AE90E631-3724-462C-AE65-BB4B101D4125}" name="OppPointsPG" dataDxfId="1016"/>
    <tableColumn id="59" xr3:uid="{03A1BD3C-495D-4CD3-AF02-371E867E51D4}" name="DiffPointsPG" dataDxfId="1015"/>
    <tableColumn id="60" xr3:uid="{D5AA0537-AD9D-475A-83FF-A50FAA76DAE9}" name="vsEast" dataDxfId="1014"/>
    <tableColumn id="61" xr3:uid="{15C04330-1116-4947-BA13-62402431A329}" name="vsAtlantic" dataDxfId="1013"/>
    <tableColumn id="62" xr3:uid="{B1DEF31D-4F89-4BC9-B817-92F5F52DB09D}" name="vsCentral" dataDxfId="1012"/>
    <tableColumn id="63" xr3:uid="{F79EEF23-355B-4D21-96D9-E7A630B2DC3E}" name="vsSoutheast" dataDxfId="1011"/>
    <tableColumn id="64" xr3:uid="{1E5E8C38-AF3A-4CE5-8943-5F05B2A93E8D}" name="vsWest" dataDxfId="1010"/>
    <tableColumn id="65" xr3:uid="{2CF65D6F-1E9A-46B5-AEBF-F183D0A52639}" name="vsNorthwest" dataDxfId="1009"/>
    <tableColumn id="66" xr3:uid="{9A8B8785-5E4A-4F17-BE5C-0B35B981E7CF}" name="vsPacific" dataDxfId="1008"/>
    <tableColumn id="67" xr3:uid="{BF4F7DAD-FE43-4924-9097-2550D039E85E}" name="vsSouthwest" dataDxfId="1007"/>
    <tableColumn id="68" xr3:uid="{5D82921C-0D78-4BBD-A104-67D9403EDB43}" name="Jan" dataDxfId="1006"/>
    <tableColumn id="69" xr3:uid="{7CE1FA92-7D96-46EF-BEE5-3EEBDD9776AB}" name="Feb" dataDxfId="1005"/>
    <tableColumn id="70" xr3:uid="{B60C81CB-3ED5-4427-B42A-CC693679A7CA}" name="Mar" dataDxfId="1004"/>
    <tableColumn id="71" xr3:uid="{9AD6667A-9876-4398-BD6B-4DF1802178D8}" name="Apr" dataDxfId="1003"/>
    <tableColumn id="72" xr3:uid="{72B602A0-C145-48F4-ACB8-B7A0826ACF22}" name="May" dataDxfId="1002"/>
    <tableColumn id="73" xr3:uid="{BA0ED792-DDA0-4EC6-8790-11644AA91333}" name="Jun" dataDxfId="1001"/>
    <tableColumn id="74" xr3:uid="{F5A30C16-1465-4B4A-989D-2F8AF34C4D2D}" name="Jul" dataDxfId="1000"/>
    <tableColumn id="75" xr3:uid="{758805A6-913C-4BD8-8F66-F6028908EB40}" name="Aug" dataDxfId="999"/>
    <tableColumn id="76" xr3:uid="{22D3EC79-259D-4BC1-9210-4372BD0B08C8}" name="Sep" dataDxfId="998"/>
    <tableColumn id="77" xr3:uid="{A87D3E93-5289-4468-AD04-4F4C18F57903}" name="Oct" dataDxfId="997"/>
    <tableColumn id="78" xr3:uid="{2980552F-EB8A-4C80-88AC-76DE1144C8DF}" name="Nov" dataDxfId="996"/>
    <tableColumn id="79" xr3:uid="{1D3E78DA-7BBD-42FC-93C5-A80568B56957}" name="Dec" dataDxfId="995"/>
    <tableColumn id="80" xr3:uid="{4EA8BB93-C3B2-4350-B4FB-C1970B88E8FD}" name="PreAS" dataDxfId="994"/>
    <tableColumn id="81" xr3:uid="{E4E44327-D2D1-490D-8E78-9CAC41D3E89C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AFD629B-48AF-4643-9023-DAE68358FA63}" name="TableBaseN" displayName="TableBaseN" ref="A1:BD31" totalsRowShown="0" headerRowDxfId="853">
  <autoFilter ref="A1:BD31" xr:uid="{FD4AB404-E0BA-4570-A718-6F5270770E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D6A57FF4-8EE1-4E5D-8852-1A9437D86C5E}" name="TEAM_ID" dataDxfId="909"/>
    <tableColumn id="2" xr3:uid="{06D0FC9A-676A-4A0E-8898-EE0180D21723}" name="TEAM_NAME" dataDxfId="908"/>
    <tableColumn id="3" xr3:uid="{5BA975B6-8618-4744-872C-1243BA240A62}" name="GP" dataDxfId="907"/>
    <tableColumn id="4" xr3:uid="{0547E946-80E4-4DC4-BD1D-2559A43491E1}" name="W" dataDxfId="906"/>
    <tableColumn id="5" xr3:uid="{F5C5FB36-3E4A-451A-BDCE-A1A248E4D129}" name="L" dataDxfId="905"/>
    <tableColumn id="6" xr3:uid="{8E11E1F4-E05F-4BCA-93AF-D1F6516A14CF}" name="W_PCT" dataDxfId="904"/>
    <tableColumn id="7" xr3:uid="{96A4F10F-A588-4FAF-851D-140482919EAF}" name="MIN" dataDxfId="903"/>
    <tableColumn id="8" xr3:uid="{325FBB4A-A980-4F13-88B5-4BD110B39FEC}" name="FGM" dataDxfId="902"/>
    <tableColumn id="9" xr3:uid="{82DDDB6A-691D-4B23-8091-11456EE68045}" name="FGA" dataDxfId="901"/>
    <tableColumn id="10" xr3:uid="{CE9DE8EC-DD68-4F95-9523-8B07771E2E5E}" name="FG_PCT" dataDxfId="900"/>
    <tableColumn id="11" xr3:uid="{19C68FEC-F095-469D-8468-3356545878F9}" name="FG3M" dataDxfId="899"/>
    <tableColumn id="12" xr3:uid="{F3F857B6-4A7A-4750-AFC8-9BA313FFE1F7}" name="FG3A" dataDxfId="898"/>
    <tableColumn id="13" xr3:uid="{9C393D5F-1CAB-4E10-A4A0-4A95AE822D08}" name="FG3_PCT" dataDxfId="897"/>
    <tableColumn id="14" xr3:uid="{34B5142B-5EA1-4D8A-9879-720948E93425}" name="FTM" dataDxfId="896"/>
    <tableColumn id="15" xr3:uid="{A6EA6B84-D94B-40DC-8651-92FAB0F77CFE}" name="FTA" dataDxfId="895"/>
    <tableColumn id="16" xr3:uid="{F33C286E-D6D2-4161-B5B4-8CCCF8285C41}" name="FT_PCT" dataDxfId="894"/>
    <tableColumn id="17" xr3:uid="{EFAAB9F6-5989-418D-8BAA-3A74070BEFD3}" name="OREB" dataDxfId="893"/>
    <tableColumn id="18" xr3:uid="{CDA173C2-601A-4114-8CCA-436B3C8F9426}" name="DREB" dataDxfId="892"/>
    <tableColumn id="19" xr3:uid="{26D1BA56-C6DF-483F-BF82-03F8D570F6B0}" name="REB" dataDxfId="891"/>
    <tableColumn id="20" xr3:uid="{AF9EA9ED-8490-4933-9C9A-448B169CE369}" name="AST" dataDxfId="890"/>
    <tableColumn id="21" xr3:uid="{964CBABA-46E0-4C9D-A734-05880B2E66AC}" name="TOV" dataDxfId="889"/>
    <tableColumn id="22" xr3:uid="{B2DAD0D4-3C5B-40B6-AB71-3A8CF8ED1098}" name="STL" dataDxfId="888"/>
    <tableColumn id="23" xr3:uid="{E370536A-37F7-4D54-ADED-DFE99072D023}" name="BLK" dataDxfId="887"/>
    <tableColumn id="24" xr3:uid="{CFD52A8A-B1FA-4A0B-8306-D7C67D93B2A6}" name="BLKA" dataDxfId="886"/>
    <tableColumn id="25" xr3:uid="{6978E92B-2770-4721-A781-C9D0315CB53A}" name="PF" dataDxfId="885"/>
    <tableColumn id="26" xr3:uid="{387C5153-CDDF-4E29-BAAE-CADE6DD6F346}" name="PFD" dataDxfId="884"/>
    <tableColumn id="27" xr3:uid="{22D822AA-4FBA-4EBD-8DB7-CF1E329FF097}" name="PTS" dataDxfId="883"/>
    <tableColumn id="28" xr3:uid="{ED91BA70-53B4-414F-87FD-FA15DA988300}" name="PLUS_MINUS" dataDxfId="882"/>
    <tableColumn id="29" xr3:uid="{6E0862A4-D4AE-4A3B-87CF-0EA3421B8AD1}" name="GP_RANK" dataDxfId="881"/>
    <tableColumn id="30" xr3:uid="{51AB1EA3-0299-4B4B-8AA7-EDD6195F37FE}" name="W_RANK" dataDxfId="880"/>
    <tableColumn id="31" xr3:uid="{8CD98659-9470-4DBC-9880-AEB6A1895D2E}" name="L_RANK" dataDxfId="879"/>
    <tableColumn id="32" xr3:uid="{A3EA73CC-C77C-487C-8EE3-3549C0D1C290}" name="W_PCT_RANK" dataDxfId="878"/>
    <tableColumn id="33" xr3:uid="{1971212C-8CB7-4BEE-9254-9253C5B707A4}" name="MIN_RANK" dataDxfId="877"/>
    <tableColumn id="34" xr3:uid="{35579A3C-6C73-42C3-A9D2-C1AD7FA48F74}" name="FGM_RANK" dataDxfId="876"/>
    <tableColumn id="35" xr3:uid="{2C030930-CF2A-4ACC-A4CC-86E74076FFFF}" name="FGA_RANK" dataDxfId="875"/>
    <tableColumn id="36" xr3:uid="{09D25457-B19D-4BC6-A4E3-9A39B48F69CE}" name="FG_PCT_RANK" dataDxfId="874"/>
    <tableColumn id="37" xr3:uid="{58AD5234-0FB4-4611-9ECD-F4D45A351892}" name="FG3M_RANK" dataDxfId="873"/>
    <tableColumn id="38" xr3:uid="{F6380146-EB7C-45FE-AAAA-6871560CD02E}" name="FG3A_RANK" dataDxfId="872"/>
    <tableColumn id="39" xr3:uid="{36E09489-E01B-4713-9174-9920126800D7}" name="FG3_PCT_RANK" dataDxfId="871"/>
    <tableColumn id="40" xr3:uid="{B58F2DA6-4742-435F-9DB0-23FFA96A2D1D}" name="FTM_RANK" dataDxfId="870"/>
    <tableColumn id="41" xr3:uid="{47F829DF-7836-49C0-B315-05F7A22A57A0}" name="FTA_RANK" dataDxfId="869"/>
    <tableColumn id="42" xr3:uid="{3B6FC9B0-E98A-4B7B-B4FD-D47741BF1D43}" name="FT_PCT_RANK" dataDxfId="868"/>
    <tableColumn id="43" xr3:uid="{76DCB266-8361-4B7A-899B-3ECA96F10417}" name="OREB_RANK" dataDxfId="867"/>
    <tableColumn id="44" xr3:uid="{44101560-7374-4C4E-9964-AFF304A955B7}" name="DREB_RANK" dataDxfId="866"/>
    <tableColumn id="45" xr3:uid="{3A7B9620-B1DA-43DF-B5CC-645009DB2BF6}" name="REB_RANK" dataDxfId="865"/>
    <tableColumn id="46" xr3:uid="{A8E17699-70FB-4600-B17A-1BFDDA8F4D10}" name="AST_RANK" dataDxfId="864"/>
    <tableColumn id="47" xr3:uid="{BD8C2518-2672-4CAF-AB6A-342551EB1A9F}" name="TOV_RANK" dataDxfId="863"/>
    <tableColumn id="48" xr3:uid="{17195B0C-CCA7-4BD3-9383-FA4F7F28C906}" name="STL_RANK" dataDxfId="862"/>
    <tableColumn id="49" xr3:uid="{E096B4E9-9408-4B67-BD71-B8B577C49FE5}" name="BLK_RANK" dataDxfId="861"/>
    <tableColumn id="50" xr3:uid="{4222CE06-5F8F-46F7-99EF-B0BC05B0869B}" name="BLKA_RANK" dataDxfId="860"/>
    <tableColumn id="51" xr3:uid="{50F5EC7C-9CD9-4C11-9B9A-3D8F071F8C05}" name="PF_RANK" dataDxfId="859"/>
    <tableColumn id="52" xr3:uid="{AA30FD11-80C3-4EC1-9FAE-E7D6DAFFFE5F}" name="PFD_RANK" dataDxfId="858"/>
    <tableColumn id="53" xr3:uid="{033ED436-A2DF-4975-B5A7-FDD6FAED4C5E}" name="PTS_RANK" dataDxfId="857"/>
    <tableColumn id="54" xr3:uid="{CBE6C484-7810-4B88-89FE-BEBD0A53A4DC}" name="PLUS_MINUS_RANK" dataDxfId="856"/>
    <tableColumn id="55" xr3:uid="{BCCD5A67-57F9-4FE8-8CA1-D45035E84315}" name="CFID" dataDxfId="855"/>
    <tableColumn id="56" xr3:uid="{80CD235B-4CD6-4AF5-A4A3-A12D7D8E2629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C56C1F-9321-40F8-872A-847BD44BB8DB}" name="TableAdvancedN" displayName="TableAdvancedN" ref="A1:AV31" totalsRowShown="0" headerRowDxfId="747">
  <autoFilter ref="A1:AV31" xr:uid="{D7481AC0-8F5A-43CC-830C-96C6EF4726E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410194C7-C64C-419C-8AB4-858D5219469A}" name="TEAM_ID" dataDxfId="795"/>
    <tableColumn id="2" xr3:uid="{06632627-F623-46D2-93C1-88974E2E9D05}" name="TEAM_NAME" dataDxfId="794"/>
    <tableColumn id="3" xr3:uid="{DB0F1681-D432-4A3B-B9C2-FFA71142054E}" name="GP" dataDxfId="793"/>
    <tableColumn id="4" xr3:uid="{20DE9632-F6B4-4E1C-9BA2-254F12854F1E}" name="W" dataDxfId="792"/>
    <tableColumn id="5" xr3:uid="{EDA6C505-568E-4C53-BC2B-16255BC283E1}" name="L" dataDxfId="791"/>
    <tableColumn id="6" xr3:uid="{3F2AA9DC-28FA-4DFD-AEB0-277FC4E5FA71}" name="W_PCT" dataDxfId="790"/>
    <tableColumn id="7" xr3:uid="{36B82190-E473-46F6-BA58-9A4357B1C3E0}" name="MIN" dataDxfId="789"/>
    <tableColumn id="8" xr3:uid="{550BDDD5-86F5-432B-BA42-FC694F2180ED}" name="E_OFF_RATING" dataDxfId="788"/>
    <tableColumn id="9" xr3:uid="{3C46A28D-976C-47EB-849D-F4C1DFBCC61C}" name="OFF_RATING" dataDxfId="787"/>
    <tableColumn id="10" xr3:uid="{9BCACBBF-6F71-4DAA-957B-9EC9E360C531}" name="E_DEF_RATING" dataDxfId="786"/>
    <tableColumn id="11" xr3:uid="{AB936F7D-B983-4240-9F78-D8CF6FA016AB}" name="DEF_RATING" dataDxfId="785"/>
    <tableColumn id="12" xr3:uid="{83F699E1-F7B3-4A4E-A76B-1E676ACC5DCB}" name="E_NET_RATING" dataDxfId="784"/>
    <tableColumn id="13" xr3:uid="{3A7CD74B-DBBC-4631-80D7-7F2378C36B3C}" name="NET_RATING" dataDxfId="783"/>
    <tableColumn id="14" xr3:uid="{5EDD7249-9263-4E61-8E94-E8370611E6B7}" name="AST_PCT" dataDxfId="782"/>
    <tableColumn id="15" xr3:uid="{99C9E37C-3638-436D-8ED8-F8206AC12BDC}" name="AST_TO" dataDxfId="781"/>
    <tableColumn id="16" xr3:uid="{1F78B7CB-4529-4148-8E3D-39653AAC6AE0}" name="AST_RATIO" dataDxfId="780"/>
    <tableColumn id="17" xr3:uid="{724D08B7-E88A-41EE-BED1-F65F14730270}" name="OREB_PCT" dataDxfId="779"/>
    <tableColumn id="18" xr3:uid="{43BEFC83-4A22-4A7C-9C00-B23E0DEB322A}" name="DREB_PCT" dataDxfId="778"/>
    <tableColumn id="19" xr3:uid="{2AF8DABA-4867-49B5-BCC5-04D49CEB65AD}" name="REB_PCT" dataDxfId="777"/>
    <tableColumn id="20" xr3:uid="{343A2D13-DB4E-49E3-8B88-47ADAF9001F0}" name="TM_TOV_PCT" dataDxfId="776"/>
    <tableColumn id="21" xr3:uid="{70DF667E-C438-4497-986D-0C773098FFBE}" name="EFG_PCT" dataDxfId="775"/>
    <tableColumn id="22" xr3:uid="{189AA601-494A-4D81-8E60-D8C0C1C7A613}" name="TS_PCT" dataDxfId="774"/>
    <tableColumn id="23" xr3:uid="{A475FD09-DBAA-4432-B101-37CF2123C6A4}" name="E_PACE" dataDxfId="773"/>
    <tableColumn id="24" xr3:uid="{514C98D4-900D-4DFF-9668-C910BE6B42AA}" name="PACE" dataDxfId="772"/>
    <tableColumn id="25" xr3:uid="{6274888F-CC64-4F35-8F71-ED92F8C51DD8}" name="PACE_PER40" dataDxfId="771"/>
    <tableColumn id="26" xr3:uid="{0D8D261F-D8EC-407D-AA2F-2C839288DCBF}" name="POSS" dataDxfId="770"/>
    <tableColumn id="27" xr3:uid="{5E4DEAEC-8549-48F5-A23B-4A3B7661F1C0}" name="PIE" dataDxfId="769"/>
    <tableColumn id="28" xr3:uid="{72F4058B-AA2C-4BB1-8C28-6DBA9DB7BAED}" name="GP_RANK" dataDxfId="768"/>
    <tableColumn id="29" xr3:uid="{9310EFBF-74AF-45EF-96D1-4F6A22ABD96C}" name="W_RANK" dataDxfId="767"/>
    <tableColumn id="30" xr3:uid="{335E7EE3-6CC7-45CD-A6A3-59A8C1E32702}" name="L_RANK" dataDxfId="766"/>
    <tableColumn id="31" xr3:uid="{AACAAEB2-2183-4A37-A1B9-2E3A6D16196A}" name="W_PCT_RANK" dataDxfId="765"/>
    <tableColumn id="32" xr3:uid="{C245EEB2-223B-4799-8F02-AF194A809A6C}" name="MIN_RANK" dataDxfId="764"/>
    <tableColumn id="33" xr3:uid="{2F54D424-B5CC-4A64-9BC7-C61655A8EE63}" name="OFF_RATING_RANK" dataDxfId="763"/>
    <tableColumn id="34" xr3:uid="{217C3D5A-3149-4088-AC66-79F19CEDA1F2}" name="DEF_RATING_RANK" dataDxfId="762"/>
    <tableColumn id="35" xr3:uid="{4E5E75C6-8790-4FE0-9233-964D6D18DA67}" name="NET_RATING_RANK" dataDxfId="761"/>
    <tableColumn id="36" xr3:uid="{6A0FE6DD-F0DF-41E4-9E87-AEB3F5F9AB8F}" name="AST_PCT_RANK" dataDxfId="760"/>
    <tableColumn id="37" xr3:uid="{283E7ABA-CC79-44F6-8542-A0C2C90FFBC7}" name="AST_TO_RANK" dataDxfId="759"/>
    <tableColumn id="38" xr3:uid="{B67A313A-5292-40F4-A5C9-454345639F30}" name="AST_RATIO_RANK" dataDxfId="758"/>
    <tableColumn id="39" xr3:uid="{601310E0-3C7C-420D-85AD-A91FE196D8C8}" name="OREB_PCT_RANK" dataDxfId="757"/>
    <tableColumn id="40" xr3:uid="{65F32ACD-5F21-42A5-B344-8CE81FA61168}" name="DREB_PCT_RANK" dataDxfId="756"/>
    <tableColumn id="41" xr3:uid="{F8C7854C-AD32-4C9A-A44A-7871B1E6A051}" name="REB_PCT_RANK" dataDxfId="755"/>
    <tableColumn id="42" xr3:uid="{8B086128-217C-4E5C-87B5-2AE380A95F9C}" name="TM_TOV_PCT_RANK" dataDxfId="754"/>
    <tableColumn id="43" xr3:uid="{61F8B65A-0EF8-419D-B95D-9BB33888CDDD}" name="EFG_PCT_RANK" dataDxfId="753"/>
    <tableColumn id="44" xr3:uid="{73B748EB-2DD2-4BE9-97AD-154F457B36DD}" name="TS_PCT_RANK" dataDxfId="752"/>
    <tableColumn id="45" xr3:uid="{141979E3-2204-4649-8B2C-D3944E688E93}" name="PACE_RANK" dataDxfId="751"/>
    <tableColumn id="46" xr3:uid="{2E29366A-333E-47E7-8D71-E68B466015D6}" name="PIE_RANK" dataDxfId="750"/>
    <tableColumn id="47" xr3:uid="{A7F3DCD3-1F76-4537-A191-F65CC75415EB}" name="CFID" dataDxfId="749"/>
    <tableColumn id="48" xr3:uid="{9996246A-91C6-48DD-BCB3-50D7C2D15796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78DB528-133E-49BB-AD4A-83B78A0364E6}" name="TableAdvancedNStarters" displayName="TableAdvancedNStarters" ref="A1:AV31" totalsRowShown="0" headerRowDxfId="649">
  <autoFilter ref="A1:AV31" xr:uid="{59D61859-F397-40AB-B732-C32DE83855F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CC088D30-AEC4-47A7-B844-BA53006FD6EF}" name="TEAM_ID" dataDxfId="697"/>
    <tableColumn id="2" xr3:uid="{B279D728-394F-463B-AD3B-FC3B0135D66A}" name="TEAM_NAME" dataDxfId="696"/>
    <tableColumn id="3" xr3:uid="{AB7EC72B-8111-42B9-8E47-80AC346A0A45}" name="GP" dataDxfId="695"/>
    <tableColumn id="4" xr3:uid="{A17B896B-DBD7-4566-81FF-5C1C0D4718C5}" name="W" dataDxfId="694"/>
    <tableColumn id="5" xr3:uid="{4DD57BC0-288C-4044-9F5C-D6AEAEE9420D}" name="L" dataDxfId="693"/>
    <tableColumn id="6" xr3:uid="{E97464EA-A3A2-4873-8E32-29D30BA1DF37}" name="W_PCT" dataDxfId="692"/>
    <tableColumn id="7" xr3:uid="{F11F5981-6697-4833-889A-EE9BD6A8B18D}" name="MIN" dataDxfId="691"/>
    <tableColumn id="8" xr3:uid="{66E85577-B6D4-4F51-A7C6-015BF325B903}" name="E_OFF_RATING" dataDxfId="690"/>
    <tableColumn id="9" xr3:uid="{21563E3B-1FEE-4178-B482-BFAB1AC2B540}" name="OFF_RATING" dataDxfId="689"/>
    <tableColumn id="10" xr3:uid="{3CCF5643-0B81-4C7D-A449-3F330361CF1E}" name="E_DEF_RATING" dataDxfId="688"/>
    <tableColumn id="11" xr3:uid="{D59CD1EB-811D-463B-AF57-BAF9D692CE13}" name="DEF_RATING" dataDxfId="687"/>
    <tableColumn id="12" xr3:uid="{86B68BE1-9AB4-4C88-AA68-298E744E8373}" name="E_NET_RATING" dataDxfId="686"/>
    <tableColumn id="13" xr3:uid="{844A9417-0F3A-435C-8A7B-48FB7ABD2E29}" name="NET_RATING" dataDxfId="685"/>
    <tableColumn id="14" xr3:uid="{3D2BAD8E-466B-4A31-8BDE-7205FC7355EC}" name="AST_PCT" dataDxfId="684"/>
    <tableColumn id="15" xr3:uid="{AD065838-2F5E-42F3-BF57-76770CE02318}" name="AST_TO" dataDxfId="683"/>
    <tableColumn id="16" xr3:uid="{F865298A-7AF4-43E0-AD54-2D4DC7512547}" name="AST_RATIO" dataDxfId="682"/>
    <tableColumn id="17" xr3:uid="{BF3B4A83-3858-4152-A5AC-3D26FD2AF9A5}" name="OREB_PCT" dataDxfId="681"/>
    <tableColumn id="18" xr3:uid="{A561ED9D-3413-4A70-88D1-BD8DD85EB53E}" name="DREB_PCT" dataDxfId="680"/>
    <tableColumn id="19" xr3:uid="{58D97A48-FC54-4F2E-BD79-635A04060EBC}" name="REB_PCT" dataDxfId="679"/>
    <tableColumn id="20" xr3:uid="{350D03DD-A5E7-4F8E-AC63-7049C1C8DE5B}" name="TM_TOV_PCT" dataDxfId="678"/>
    <tableColumn id="21" xr3:uid="{E6FF0D08-BFE5-4C71-A6C9-0AE430EE2B06}" name="EFG_PCT" dataDxfId="677"/>
    <tableColumn id="22" xr3:uid="{7B6FB234-96AC-49AA-A53C-0A77F0EA4E4D}" name="TS_PCT" dataDxfId="676"/>
    <tableColumn id="23" xr3:uid="{A3CC9BA3-C1E1-46FD-8705-4EDE61763522}" name="E_PACE" dataDxfId="675"/>
    <tableColumn id="24" xr3:uid="{93D6B1AA-4395-4DE9-874E-CD894B2A04B3}" name="PACE" dataDxfId="674"/>
    <tableColumn id="25" xr3:uid="{FB829CD0-5479-47AE-90C1-B21788C57A9F}" name="PACE_PER40" dataDxfId="673"/>
    <tableColumn id="26" xr3:uid="{69737119-B9AB-4A6E-9B3C-A8D216BA2D1D}" name="POSS" dataDxfId="672"/>
    <tableColumn id="27" xr3:uid="{70B354EB-96F1-40C6-A13B-782F1DDF533D}" name="PIE" dataDxfId="671"/>
    <tableColumn id="28" xr3:uid="{588916A2-E18D-4344-8BF3-E76C3CA89464}" name="GP_RANK" dataDxfId="670"/>
    <tableColumn id="29" xr3:uid="{832894E0-C069-4ED5-99F1-365254B027D3}" name="W_RANK" dataDxfId="669"/>
    <tableColumn id="30" xr3:uid="{9B227EA6-3C68-41B7-AE48-75B8270792A9}" name="L_RANK" dataDxfId="668"/>
    <tableColumn id="31" xr3:uid="{6C57295D-FB3D-4454-A063-E8D48615CB16}" name="W_PCT_RANK" dataDxfId="667"/>
    <tableColumn id="32" xr3:uid="{D5466CEA-22C0-4867-98EF-10D912BFD594}" name="MIN_RANK" dataDxfId="666"/>
    <tableColumn id="33" xr3:uid="{0E3F184E-DCA2-4AC6-BFC3-5D81C974DB90}" name="OFF_RATING_RANK" dataDxfId="665"/>
    <tableColumn id="34" xr3:uid="{FEB442DA-E62C-40ED-9494-81A5AA0CFE61}" name="DEF_RATING_RANK" dataDxfId="664"/>
    <tableColumn id="35" xr3:uid="{08E21085-B941-4281-9649-D846AD5B7E82}" name="NET_RATING_RANK" dataDxfId="663"/>
    <tableColumn id="36" xr3:uid="{5B0C0A2C-4E56-4973-9B21-F3A4B76F189C}" name="AST_PCT_RANK" dataDxfId="662"/>
    <tableColumn id="37" xr3:uid="{85D311B2-61BE-432F-9ACC-E863CE975AC3}" name="AST_TO_RANK" dataDxfId="661"/>
    <tableColumn id="38" xr3:uid="{E33BC6CF-457C-41FA-9845-013CDD5A90BD}" name="AST_RATIO_RANK" dataDxfId="660"/>
    <tableColumn id="39" xr3:uid="{1319ACD3-496B-4C2C-B9E4-84015B1ECF69}" name="OREB_PCT_RANK" dataDxfId="659"/>
    <tableColumn id="40" xr3:uid="{0238D097-783F-4F63-A475-9F3869F65F18}" name="DREB_PCT_RANK" dataDxfId="658"/>
    <tableColumn id="41" xr3:uid="{1E3F87E1-9D2C-421D-94D0-6CB8D5AB2E0E}" name="REB_PCT_RANK" dataDxfId="657"/>
    <tableColumn id="42" xr3:uid="{B1F7174B-C48C-49C3-B7C9-94136BAE0736}" name="TM_TOV_PCT_RANK" dataDxfId="656"/>
    <tableColumn id="43" xr3:uid="{79BA0798-DEE5-457C-B849-F6CB666F0A2C}" name="EFG_PCT_RANK" dataDxfId="655"/>
    <tableColumn id="44" xr3:uid="{4ECAB09C-7BF8-4E44-8ECF-9A978F88D901}" name="TS_PCT_RANK" dataDxfId="654"/>
    <tableColumn id="45" xr3:uid="{6D6AE242-4324-4A7E-8210-27F170796494}" name="PACE_RANK" dataDxfId="653"/>
    <tableColumn id="46" xr3:uid="{658F3CB5-DCCF-4B70-8988-3F5BC0043B96}" name="PIE_RANK" dataDxfId="652"/>
    <tableColumn id="47" xr3:uid="{A106783C-283C-4347-9FDC-B981824BE4C6}" name="CFID" dataDxfId="651"/>
    <tableColumn id="48" xr3:uid="{91993793-0882-478D-BDE9-08F6D1C416FA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0D2839-C8C6-46EF-BDF5-BDC2427B977B}" name="TableAdvancedNBench" displayName="TableAdvancedNBench" ref="A1:AV31" totalsRowShown="0" headerRowDxfId="551">
  <autoFilter ref="A1:AV31" xr:uid="{F83CA403-66C4-44D0-B184-BAE772C718C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64939C6-D6FF-4709-9578-9830CA2E0618}" name="TEAM_ID" dataDxfId="599"/>
    <tableColumn id="2" xr3:uid="{BD0B0150-D818-4873-A256-554ED14F444E}" name="TEAM_NAME" dataDxfId="598"/>
    <tableColumn id="3" xr3:uid="{D91AF97B-3035-497E-82FE-BCB0B7F88061}" name="GP" dataDxfId="597"/>
    <tableColumn id="4" xr3:uid="{BAF6CEE4-A006-45EE-9679-057C9E1CAAD7}" name="W" dataDxfId="596"/>
    <tableColumn id="5" xr3:uid="{9D7E624E-23A2-4F4D-B4A2-FCAE80DDE3B0}" name="L" dataDxfId="595"/>
    <tableColumn id="6" xr3:uid="{C09298A7-2D46-432E-AD8B-980BC748A76F}" name="W_PCT" dataDxfId="594"/>
    <tableColumn id="7" xr3:uid="{CC964BA8-BDB0-4365-B286-85E953F98032}" name="MIN" dataDxfId="593"/>
    <tableColumn id="8" xr3:uid="{0A5827C3-82E1-4959-80FB-091FB4A32D10}" name="E_OFF_RATING" dataDxfId="592"/>
    <tableColumn id="9" xr3:uid="{E0CBBD9F-306B-4139-927A-CF5B463A36FC}" name="OFF_RATING" dataDxfId="591"/>
    <tableColumn id="10" xr3:uid="{37C8705E-2F42-43E2-A048-C6C6EA492F10}" name="E_DEF_RATING" dataDxfId="590"/>
    <tableColumn id="11" xr3:uid="{FC57A642-B479-474B-8EEB-FD476A98D94B}" name="DEF_RATING" dataDxfId="589"/>
    <tableColumn id="12" xr3:uid="{1B2CB779-7DB0-4C1D-AF51-F171F378F3C4}" name="E_NET_RATING" dataDxfId="588"/>
    <tableColumn id="13" xr3:uid="{05234373-1EE5-4915-8C32-0D22D21B25F7}" name="NET_RATING" dataDxfId="587"/>
    <tableColumn id="14" xr3:uid="{C2A4DA5D-E753-450E-A20E-5FDBF4B19542}" name="AST_PCT" dataDxfId="586"/>
    <tableColumn id="15" xr3:uid="{476FB9FA-F7BD-439F-B81C-FF52ED966AFF}" name="AST_TO" dataDxfId="585"/>
    <tableColumn id="16" xr3:uid="{8948164E-8390-4618-8A64-168FAC630674}" name="AST_RATIO" dataDxfId="584"/>
    <tableColumn id="17" xr3:uid="{315BB17D-7E6A-4225-8122-6964A6AEFF17}" name="OREB_PCT" dataDxfId="583"/>
    <tableColumn id="18" xr3:uid="{26120CCC-411A-42A9-8A45-66F70CE614B9}" name="DREB_PCT" dataDxfId="582"/>
    <tableColumn id="19" xr3:uid="{E16CDA60-4C54-4956-A201-9910CE171B00}" name="REB_PCT" dataDxfId="581"/>
    <tableColumn id="20" xr3:uid="{B2ECE1E4-489F-4704-A44F-E0AF9D602110}" name="TM_TOV_PCT" dataDxfId="580"/>
    <tableColumn id="21" xr3:uid="{45086D4A-69D9-4EFB-BB0E-CDE7F35AE3C7}" name="EFG_PCT" dataDxfId="579"/>
    <tableColumn id="22" xr3:uid="{4874BDF6-20BB-47D3-832D-00DC09A85B59}" name="TS_PCT" dataDxfId="578"/>
    <tableColumn id="23" xr3:uid="{4BEF7509-B6C6-4952-96CC-6CA6DE53AD4C}" name="E_PACE" dataDxfId="577"/>
    <tableColumn id="24" xr3:uid="{FD61BE42-AC92-4064-907D-176E896120D8}" name="PACE" dataDxfId="576"/>
    <tableColumn id="25" xr3:uid="{A6264819-ABB1-4089-AC3F-B48F280027B5}" name="PACE_PER40" dataDxfId="575"/>
    <tableColumn id="26" xr3:uid="{B8DF31D4-8714-4760-8A45-78E7AC2655B1}" name="POSS" dataDxfId="574"/>
    <tableColumn id="27" xr3:uid="{9B664CA3-51EA-4CE3-BE5B-C8026EA9A30D}" name="PIE" dataDxfId="573"/>
    <tableColumn id="28" xr3:uid="{A9021E56-61B8-4655-AB2C-CAF832D0EAAF}" name="GP_RANK" dataDxfId="572"/>
    <tableColumn id="29" xr3:uid="{0B044913-388B-4198-8A04-8771766FF8E2}" name="W_RANK" dataDxfId="571"/>
    <tableColumn id="30" xr3:uid="{0C340DB3-03C5-4DE4-92D2-D06351831A0B}" name="L_RANK" dataDxfId="570"/>
    <tableColumn id="31" xr3:uid="{228FC098-81C2-4ABB-B031-AD82D82F9C17}" name="W_PCT_RANK" dataDxfId="569"/>
    <tableColumn id="32" xr3:uid="{C4A245B5-307D-40A2-AD23-B51692F6BE54}" name="MIN_RANK" dataDxfId="568"/>
    <tableColumn id="33" xr3:uid="{46BF439D-7656-433F-B7EA-2BB095EE4541}" name="OFF_RATING_RANK" dataDxfId="567"/>
    <tableColumn id="34" xr3:uid="{5D7A6F63-234E-45D9-BE7D-BC8B933AAAF2}" name="DEF_RATING_RANK" dataDxfId="566"/>
    <tableColumn id="35" xr3:uid="{2E66FEC8-767E-40DB-A4C1-F1CA4EA72F86}" name="NET_RATING_RANK" dataDxfId="565"/>
    <tableColumn id="36" xr3:uid="{D4034E18-F338-40CF-A5B2-EB27006EAF6A}" name="AST_PCT_RANK" dataDxfId="564"/>
    <tableColumn id="37" xr3:uid="{3A4CA9EA-3CF6-4E83-8F68-2D8574C0D628}" name="AST_TO_RANK" dataDxfId="563"/>
    <tableColumn id="38" xr3:uid="{917B6100-3615-483B-BD0B-6444DF6A6E6E}" name="AST_RATIO_RANK" dataDxfId="562"/>
    <tableColumn id="39" xr3:uid="{C2A239B4-B4EC-4270-85C8-B5BF70F5A50E}" name="OREB_PCT_RANK" dataDxfId="561"/>
    <tableColumn id="40" xr3:uid="{A9FC4E7C-55CB-404B-A8DA-1BA822F7463D}" name="DREB_PCT_RANK" dataDxfId="560"/>
    <tableColumn id="41" xr3:uid="{B09A07DE-8976-4C26-9212-A70802C4515A}" name="REB_PCT_RANK" dataDxfId="559"/>
    <tableColumn id="42" xr3:uid="{7EBB4783-15FE-4AAB-A740-AA92C2186FC4}" name="TM_TOV_PCT_RANK" dataDxfId="558"/>
    <tableColumn id="43" xr3:uid="{41A415F2-9CA2-4F97-B831-BD53C8C6F47C}" name="EFG_PCT_RANK" dataDxfId="557"/>
    <tableColumn id="44" xr3:uid="{30D248EE-6E68-473D-AD17-C9014C938A41}" name="TS_PCT_RANK" dataDxfId="556"/>
    <tableColumn id="45" xr3:uid="{33CD05A4-34D8-4845-BF3B-3B10BDB90EC1}" name="PACE_RANK" dataDxfId="555"/>
    <tableColumn id="46" xr3:uid="{DE3A9F9F-EE63-452C-BBC2-EC16D44BDCC3}" name="PIE_RANK" dataDxfId="554"/>
    <tableColumn id="47" xr3:uid="{5149C1BF-3C1B-48B0-A677-B6A1EE208EB4}" name="CFID" dataDxfId="553"/>
    <tableColumn id="48" xr3:uid="{B67EAE1B-239B-4C84-BED4-C70C0A790C5B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A12423B-BC3E-48D4-BDF0-D5CE41EB5D32}" name="TableMiscN" displayName="TableMiscN" ref="A1:AD31" totalsRowShown="0" headerRowDxfId="471">
  <autoFilter ref="A1:AD31" xr:uid="{0A1BA125-30F1-469C-995A-842BC1DD26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1D7CB12A-0EC4-450D-BD2A-757CF96D1B86}" name="TEAM_ID" dataDxfId="501"/>
    <tableColumn id="2" xr3:uid="{0EED1CAB-F4FC-4B47-B6EB-CBF336156CA4}" name="TEAM_NAME" dataDxfId="500"/>
    <tableColumn id="3" xr3:uid="{C2149684-8702-43B4-88FA-DEE7C0BD098C}" name="GP" dataDxfId="499"/>
    <tableColumn id="4" xr3:uid="{4B178B66-AC8A-42A7-AEB6-777905E3AC28}" name="W" dataDxfId="498"/>
    <tableColumn id="5" xr3:uid="{55115101-A7AA-48B8-AE05-7443C6B110D6}" name="L" dataDxfId="497"/>
    <tableColumn id="6" xr3:uid="{23776E5D-19DC-4708-9B28-3C88D60A2B01}" name="W_PCT" dataDxfId="496"/>
    <tableColumn id="7" xr3:uid="{499FCFBB-D757-493B-ABAF-EF7104C0318F}" name="MIN" dataDxfId="495"/>
    <tableColumn id="8" xr3:uid="{2BE8B071-F651-41A7-A5F4-1AA9D5D500B0}" name="PTS_OFF_TOV" dataDxfId="494"/>
    <tableColumn id="9" xr3:uid="{111FBD79-8901-48D3-9ED8-FDE9289DF81C}" name="PTS_2ND_CHANCE" dataDxfId="493"/>
    <tableColumn id="10" xr3:uid="{A8CD6884-01D1-43DB-881A-950499E672D8}" name="PTS_FB" dataDxfId="492"/>
    <tableColumn id="11" xr3:uid="{0FCC4EDE-1512-4C63-B66D-8C359941B812}" name="PTS_PAINT" dataDxfId="491"/>
    <tableColumn id="12" xr3:uid="{521FA535-7941-413D-903E-C799E7EEC029}" name="OPP_PTS_OFF_TOV" dataDxfId="490"/>
    <tableColumn id="13" xr3:uid="{C1FFBB55-C580-4F9C-81B1-AFF56E725D26}" name="OPP_PTS_2ND_CHANCE" dataDxfId="489"/>
    <tableColumn id="14" xr3:uid="{FFD31AAA-7540-4396-A41E-CC0D665E405F}" name="OPP_PTS_FB" dataDxfId="488"/>
    <tableColumn id="15" xr3:uid="{5A624229-52F0-4BC8-8D81-8814087679EC}" name="OPP_PTS_PAINT" dataDxfId="487"/>
    <tableColumn id="16" xr3:uid="{06DA6B6C-86CF-416E-8BB8-2890AF4757C6}" name="GP_RANK" dataDxfId="486"/>
    <tableColumn id="17" xr3:uid="{D4806895-DDAD-46E5-8260-CB79BE521D41}" name="W_RANK" dataDxfId="485"/>
    <tableColumn id="18" xr3:uid="{FDDFE4AA-8E07-4D1C-82A4-76167D820599}" name="L_RANK" dataDxfId="484"/>
    <tableColumn id="19" xr3:uid="{F83C6E2F-CFBD-4320-843A-19C04B177D5C}" name="W_PCT_RANK" dataDxfId="483"/>
    <tableColumn id="20" xr3:uid="{93025950-8C7F-4A9D-9540-BDDB77EB7373}" name="MIN_RANK" dataDxfId="482"/>
    <tableColumn id="21" xr3:uid="{376A8FEA-FB17-41CB-B0BB-F6B023F82992}" name="PTS_OFF_TOV_RANK" dataDxfId="481"/>
    <tableColumn id="22" xr3:uid="{8E274444-9BB8-4E5A-BBA6-787848102E5F}" name="PTS_2ND_CHANCE_RANK" dataDxfId="480"/>
    <tableColumn id="23" xr3:uid="{1789142F-FB19-4E11-9924-E02351B41850}" name="PTS_FB_RANK" dataDxfId="479"/>
    <tableColumn id="24" xr3:uid="{9BC33523-24B4-4549-9220-2883B6B86B67}" name="PTS_PAINT_RANK" dataDxfId="478"/>
    <tableColumn id="25" xr3:uid="{E119AF05-E603-4E0E-B651-240699EC51CF}" name="OPP_PTS_OFF_TOV_RANK" dataDxfId="477"/>
    <tableColumn id="26" xr3:uid="{CF4F4A29-8F64-443D-BA09-E402364BA789}" name="OPP_PTS_2ND_CHANCE_RANK" dataDxfId="476"/>
    <tableColumn id="27" xr3:uid="{A672AECC-198A-4739-AB14-486477C6831B}" name="OPP_PTS_FB_RANK" dataDxfId="475"/>
    <tableColumn id="28" xr3:uid="{C70C121E-C7D8-4074-B36B-8DCE57AFBF0D}" name="OPP_PTS_PAINT_RANK" dataDxfId="474"/>
    <tableColumn id="29" xr3:uid="{6EA316F0-3CF5-4490-80CA-7B52020FB83B}" name="CFID" dataDxfId="473"/>
    <tableColumn id="30" xr3:uid="{94F7F7AF-156E-43C6-A08F-1B57B495B9C4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80ED3DD-5C6D-463A-B3F2-AF3C92E470F3}" name="TableOppBaseN" displayName="TableOppBaseN" ref="A1:BD31" totalsRowShown="0" headerRowDxfId="383">
  <autoFilter ref="A1:BD31" xr:uid="{12BFDDBB-0A7F-49AB-A65B-ED01AA33C86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99B0A469-6413-4C2B-BF53-37188FFB5E79}" name="TEAM_ID" dataDxfId="439"/>
    <tableColumn id="2" xr3:uid="{B0232024-7FBD-4E4A-AA62-2A9B3D876B99}" name="TEAM_NAME" dataDxfId="438"/>
    <tableColumn id="3" xr3:uid="{D92CAC00-91C8-4197-8D04-32BBE25A1793}" name="GP" dataDxfId="437"/>
    <tableColumn id="4" xr3:uid="{DBE0B6B9-8D69-4950-818D-6E71A1C15AAA}" name="W" dataDxfId="436"/>
    <tableColumn id="5" xr3:uid="{66DDA536-A8F9-490C-9187-4B3B05548722}" name="L" dataDxfId="435"/>
    <tableColumn id="6" xr3:uid="{FCBFA749-1EA7-4DA3-A2AE-99DF3BCCFC0D}" name="W_PCT" dataDxfId="434"/>
    <tableColumn id="7" xr3:uid="{61632B4B-46FE-4B76-97E1-B7CAF7C83632}" name="MIN" dataDxfId="433"/>
    <tableColumn id="8" xr3:uid="{10619108-DA7B-4F0B-BFAC-2489A9A7726A}" name="OPP_FGM" dataDxfId="432"/>
    <tableColumn id="9" xr3:uid="{8010A374-0189-48C7-8826-6586E5CC45F8}" name="OPP_FGA" dataDxfId="431"/>
    <tableColumn id="10" xr3:uid="{8A5B9508-1A8D-4CAD-AEB0-09CA113829E3}" name="OPP_FG_PCT" dataDxfId="430"/>
    <tableColumn id="11" xr3:uid="{AA084DE8-5BA6-4431-98B2-2CDC2668E6A8}" name="OPP_FG3M" dataDxfId="429"/>
    <tableColumn id="12" xr3:uid="{80DF943A-0826-4D91-892D-9A8B16AECE95}" name="OPP_FG3A" dataDxfId="428"/>
    <tableColumn id="13" xr3:uid="{0BB03FF1-2784-4C41-855C-134EFF4C8379}" name="OPP_FG3_PCT" dataDxfId="427"/>
    <tableColumn id="14" xr3:uid="{E073D751-E8FA-4A31-AE09-1D639B4FEC25}" name="OPP_FTM" dataDxfId="426"/>
    <tableColumn id="15" xr3:uid="{656C13A2-296E-4F76-BD3D-7E792EAFAC85}" name="OPP_FTA" dataDxfId="425"/>
    <tableColumn id="16" xr3:uid="{CE96D195-9458-4F11-BFCD-085A8B8B5C2F}" name="OPP_FT_PCT" dataDxfId="424"/>
    <tableColumn id="17" xr3:uid="{88D7E905-30E5-4896-8EC1-A7D9D753D1BE}" name="OPP_OREB" dataDxfId="423"/>
    <tableColumn id="18" xr3:uid="{A3AD72FC-4CFB-4D6A-9DB1-A2175DF49F06}" name="OPP_DREB" dataDxfId="422"/>
    <tableColumn id="19" xr3:uid="{9A963CC8-A341-4C5E-8A13-179D1E4B54AB}" name="OPP_REB" dataDxfId="421"/>
    <tableColumn id="20" xr3:uid="{5B402C90-F412-4623-9203-DC168A8F3691}" name="OPP_AST" dataDxfId="420"/>
    <tableColumn id="21" xr3:uid="{DD1D2F8B-B706-4645-9434-26439F0D3296}" name="OPP_TOV" dataDxfId="419"/>
    <tableColumn id="22" xr3:uid="{A7F8F8CF-C6E6-45D3-8E3E-81911D7BC92F}" name="OPP_STL" dataDxfId="418"/>
    <tableColumn id="23" xr3:uid="{E2F595E5-C8FD-43EE-9558-128D94A6E418}" name="OPP_BLK" dataDxfId="417"/>
    <tableColumn id="24" xr3:uid="{EF72A74C-EA0A-4A21-956A-0C51C3CD8FEF}" name="OPP_BLKA" dataDxfId="416"/>
    <tableColumn id="25" xr3:uid="{0A2600DC-C12C-4F0E-AD18-003040844BCA}" name="OPP_PF" dataDxfId="415"/>
    <tableColumn id="26" xr3:uid="{A794C0FC-3569-4BF4-B04A-DF4697DD502D}" name="OPP_PFD" dataDxfId="414"/>
    <tableColumn id="27" xr3:uid="{08CA98FD-8964-4D2B-A506-631767E73172}" name="OPP_PTS" dataDxfId="413"/>
    <tableColumn id="28" xr3:uid="{AFD85EE5-7A9B-4F89-8F72-2927C025E08C}" name="PLUS_MINUS" dataDxfId="412"/>
    <tableColumn id="29" xr3:uid="{1275E4D4-2A49-4B28-8711-B99207F07408}" name="GP_RANK" dataDxfId="411"/>
    <tableColumn id="30" xr3:uid="{4025E191-3D05-4719-AE56-FF521B68A4BA}" name="W_RANK" dataDxfId="410"/>
    <tableColumn id="31" xr3:uid="{4CA981A3-FA85-4610-A4D8-249106C5B452}" name="L_RANK" dataDxfId="409"/>
    <tableColumn id="32" xr3:uid="{2AC1E0EA-E9D8-482F-B933-938C7535D15D}" name="W_PCT_RANK" dataDxfId="408"/>
    <tableColumn id="33" xr3:uid="{FF08B077-2B1B-4872-BD1F-4FC4EE1BFC1C}" name="MIN_RANK" dataDxfId="407"/>
    <tableColumn id="34" xr3:uid="{6D96B32C-783E-4C27-A136-E1F7DF0F8AEF}" name="OPP_FGM_RANK" dataDxfId="406"/>
    <tableColumn id="35" xr3:uid="{5418475C-CBA1-4D94-9D97-D60BF915AEB1}" name="OPP_FGA_RANK" dataDxfId="405"/>
    <tableColumn id="36" xr3:uid="{54AE7DBC-B106-4ED3-B8DE-E7AFD3467689}" name="OPP_FG_PCT_RANK" dataDxfId="404"/>
    <tableColumn id="37" xr3:uid="{A9A09B92-696B-4EE3-8929-D9EBE69860CE}" name="OPP_FG3M_RANK" dataDxfId="403"/>
    <tableColumn id="38" xr3:uid="{D6CB21ED-12D9-41A9-B3F5-3BE5A4768AEA}" name="OPP_FG3A_RANK" dataDxfId="402"/>
    <tableColumn id="39" xr3:uid="{21EE3BD8-9B5E-4ACE-AEDD-C77A5DAA0131}" name="OPP_FG3_PCT_RANK" dataDxfId="401"/>
    <tableColumn id="40" xr3:uid="{6B0EC9F7-0B70-41C8-BE89-F63958B4F6C5}" name="OPP_FTM_RANK" dataDxfId="400"/>
    <tableColumn id="41" xr3:uid="{DCFC996B-112E-4F3A-A9EC-71FE788CBC64}" name="OPP_FTA_RANK" dataDxfId="399"/>
    <tableColumn id="42" xr3:uid="{A3B88F57-47FD-4ACB-ACCA-EAF99FB3C9A9}" name="OPP_FT_PCT_RANK" dataDxfId="398"/>
    <tableColumn id="43" xr3:uid="{27CD0321-5DB7-4CFD-B45E-946AFFA3B746}" name="OPP_OREB_RANK" dataDxfId="397"/>
    <tableColumn id="44" xr3:uid="{CF5E3B71-90DC-48CD-9BD7-E86A727E9B15}" name="OPP_DREB_RANK" dataDxfId="396"/>
    <tableColumn id="45" xr3:uid="{7AADC11A-FC4C-46D3-9F17-2D9FD9D16BF2}" name="OPP_REB_RANK" dataDxfId="395"/>
    <tableColumn id="46" xr3:uid="{CBE48EF8-3D2E-4CF4-A53F-85A4C81D7101}" name="OPP_AST_RANK" dataDxfId="394"/>
    <tableColumn id="47" xr3:uid="{5707B9C1-E07A-46EC-A8D4-89FBD46778F6}" name="OPP_TOV_RANK" dataDxfId="393"/>
    <tableColumn id="48" xr3:uid="{93E76F90-81A4-45FA-917F-DF328CF7FFAB}" name="OPP_STL_RANK" dataDxfId="392"/>
    <tableColumn id="49" xr3:uid="{7ABE9964-E040-40E8-B1F2-632E97659CBD}" name="OPP_BLK_RANK" dataDxfId="391"/>
    <tableColumn id="50" xr3:uid="{1514B925-A50D-4CC6-9BC0-05920BAB562B}" name="OPP_BLKA_RANK" dataDxfId="390"/>
    <tableColumn id="51" xr3:uid="{EA530BAF-AD5D-4B63-881A-73DD5F01759F}" name="OPP_PF_RANK" dataDxfId="389"/>
    <tableColumn id="52" xr3:uid="{F3CBF772-1E5F-45EF-87F0-4DC6EB2770AD}" name="OPP_PFD_RANK" dataDxfId="388"/>
    <tableColumn id="53" xr3:uid="{E0126834-23DF-4572-9EF2-83D0E5926172}" name="OPP_PTS_RANK" dataDxfId="387"/>
    <tableColumn id="54" xr3:uid="{71BC1A0F-0F56-407F-8359-91EEDCC1CDDE}" name="PLUS_MINUS_RANK" dataDxfId="386"/>
    <tableColumn id="55" xr3:uid="{DE444309-6AEE-40AD-AC33-EC4CC5B1331C}" name="CFID" dataDxfId="385"/>
    <tableColumn id="56" xr3:uid="{877B18AD-29FF-42C2-AE15-FC1049E0FE9F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3B0EF4-54A7-453A-AAA1-1378E1068EB7}" name="TableClutchBaseN" displayName="TableClutchBaseN" ref="A1:BD31" totalsRowShown="0" headerRowDxfId="269">
  <autoFilter ref="A1:BD31" xr:uid="{42C5CFC6-7C96-4C82-B159-416414EEBDE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8146D390-3476-402A-A956-8957A166EDFD}" name="TEAM_ID" dataDxfId="325"/>
    <tableColumn id="2" xr3:uid="{487D8C8E-FF9F-4583-ACFA-FE2EF9DF61BE}" name="TEAM_NAME" dataDxfId="324"/>
    <tableColumn id="3" xr3:uid="{E6346576-8548-4D72-BA8D-6FDD668C2FDC}" name="GP" dataDxfId="323"/>
    <tableColumn id="4" xr3:uid="{0C606CE4-B771-4C9F-9FB3-50E61715C322}" name="W" dataDxfId="322"/>
    <tableColumn id="5" xr3:uid="{05E16CD2-4061-47F9-B71A-E8037892872F}" name="L" dataDxfId="321"/>
    <tableColumn id="6" xr3:uid="{6BEF65DB-ADD6-46C4-B72E-794AD3356ACA}" name="W_PCT" dataDxfId="320"/>
    <tableColumn id="7" xr3:uid="{48EF0A92-6AD5-4011-970E-4D2DDC3BC8D5}" name="MIN" dataDxfId="319"/>
    <tableColumn id="8" xr3:uid="{C74BCC26-4C07-4137-9D57-546FFCBCE9EA}" name="FGM" dataDxfId="318"/>
    <tableColumn id="9" xr3:uid="{1F8C85B9-B76E-4311-AB3C-A31BD7FE3143}" name="FGA" dataDxfId="317"/>
    <tableColumn id="10" xr3:uid="{80B01E48-6DA4-4823-A517-5A4D59F5CDED}" name="FG_PCT" dataDxfId="316"/>
    <tableColumn id="11" xr3:uid="{4FC317C9-26B7-485B-8162-8A63AA277EB5}" name="FG3M" dataDxfId="315"/>
    <tableColumn id="12" xr3:uid="{D4B86D44-42FE-4406-94B1-8363155E68BB}" name="FG3A" dataDxfId="314"/>
    <tableColumn id="13" xr3:uid="{B524B842-8719-4B5B-B145-4A858B7B9A54}" name="FG3_PCT" dataDxfId="313"/>
    <tableColumn id="14" xr3:uid="{41C99E1E-E2E1-435E-8D3F-400FCD3B8DC9}" name="FTM" dataDxfId="312"/>
    <tableColumn id="15" xr3:uid="{1A6CA4F9-9CDA-4940-889C-FA11D1037358}" name="FTA" dataDxfId="311"/>
    <tableColumn id="16" xr3:uid="{DA8BCB28-F88C-4189-9B16-859808451B16}" name="FT_PCT" dataDxfId="310"/>
    <tableColumn id="17" xr3:uid="{008C9B71-C61C-4BC6-A337-DF5A7A80B8D6}" name="OREB" dataDxfId="309"/>
    <tableColumn id="18" xr3:uid="{CA482CEF-C0CC-4415-A977-5B7B46E6FA98}" name="DREB" dataDxfId="308"/>
    <tableColumn id="19" xr3:uid="{12DDDCBA-0556-431D-A8EF-4A6AE22481E1}" name="REB" dataDxfId="307"/>
    <tableColumn id="20" xr3:uid="{EC6E43D0-8F1D-4F3B-8918-6FDBFBDE6C44}" name="AST" dataDxfId="306"/>
    <tableColumn id="21" xr3:uid="{08148F5A-13E8-4E8F-ACA1-82B19548D845}" name="TOV" dataDxfId="305"/>
    <tableColumn id="22" xr3:uid="{E10990DC-6D2B-4C96-B7F5-E85AD4818E23}" name="STL" dataDxfId="304"/>
    <tableColumn id="23" xr3:uid="{C37DC038-1C2A-410F-A27D-F7FE87EEB5E9}" name="BLK" dataDxfId="303"/>
    <tableColumn id="24" xr3:uid="{7816CC19-74FA-441B-915D-521914A1C236}" name="BLKA" dataDxfId="302"/>
    <tableColumn id="25" xr3:uid="{EAA77D88-33C4-4A0F-9B32-5AB93C1ECBC2}" name="PF" dataDxfId="301"/>
    <tableColumn id="26" xr3:uid="{4B28C6A9-4B82-4FC7-A0B5-265BC41379A7}" name="PFD" dataDxfId="300"/>
    <tableColumn id="27" xr3:uid="{2327C743-F31C-4551-8F3C-2BABCAFE8EE3}" name="PTS" dataDxfId="299"/>
    <tableColumn id="28" xr3:uid="{AF345B2C-9503-44DE-9BDC-BAD374DD3DE8}" name="PLUS_MINUS" dataDxfId="298"/>
    <tableColumn id="29" xr3:uid="{E022B06A-168E-4349-BD4F-DA286FDB724A}" name="GP_RANK" dataDxfId="297"/>
    <tableColumn id="30" xr3:uid="{588611A5-DD24-4BA1-B938-EF09B63157DC}" name="W_RANK" dataDxfId="296"/>
    <tableColumn id="31" xr3:uid="{EFA709BB-8C5E-4484-9155-83EE2F0FB1D9}" name="L_RANK" dataDxfId="295"/>
    <tableColumn id="32" xr3:uid="{5A13E448-D7F2-451A-8112-D734D54CBCCD}" name="W_PCT_RANK" dataDxfId="294"/>
    <tableColumn id="33" xr3:uid="{979E2600-92F5-43D7-AAF6-A7561797BB33}" name="MIN_RANK" dataDxfId="293"/>
    <tableColumn id="34" xr3:uid="{DFAB6DC8-DC35-4485-9DF7-2C12F87A33E1}" name="FGM_RANK" dataDxfId="292"/>
    <tableColumn id="35" xr3:uid="{C07B53D2-29CB-4944-ADE8-873708A4A6DD}" name="FGA_RANK" dataDxfId="291"/>
    <tableColumn id="36" xr3:uid="{1FE475BD-2751-44B9-826D-CCBB3FC3B64C}" name="FG_PCT_RANK" dataDxfId="290"/>
    <tableColumn id="37" xr3:uid="{7FAD757C-6B3E-4D57-8255-B1E8C8F25A0C}" name="FG3M_RANK" dataDxfId="289"/>
    <tableColumn id="38" xr3:uid="{ED801B54-8C31-464B-83FD-7A71599B12A2}" name="FG3A_RANK" dataDxfId="288"/>
    <tableColumn id="39" xr3:uid="{7893D0D6-644C-4E7A-9DB5-4A91EF0EB0F2}" name="FG3_PCT_RANK" dataDxfId="287"/>
    <tableColumn id="40" xr3:uid="{6538E7D6-F6E9-467A-AC69-4984A9FD7694}" name="FTM_RANK" dataDxfId="286"/>
    <tableColumn id="41" xr3:uid="{C1AE8DA0-439E-4382-9B08-B8505D6E79AC}" name="FTA_RANK" dataDxfId="285"/>
    <tableColumn id="42" xr3:uid="{18D830B1-5E28-4129-8106-9D4345D6B421}" name="FT_PCT_RANK" dataDxfId="284"/>
    <tableColumn id="43" xr3:uid="{F0DC0A4A-7441-4CA6-9FF9-031EDB47F4A9}" name="OREB_RANK" dataDxfId="283"/>
    <tableColumn id="44" xr3:uid="{70E869B1-298A-4A13-A42E-ABCF03C5E2AD}" name="DREB_RANK" dataDxfId="282"/>
    <tableColumn id="45" xr3:uid="{630EBD3A-36D6-4D5F-BDC5-93C30D8854A5}" name="REB_RANK" dataDxfId="281"/>
    <tableColumn id="46" xr3:uid="{BB3C2C70-B5AB-47EC-96D7-31B00EFF34E3}" name="AST_RANK" dataDxfId="280"/>
    <tableColumn id="47" xr3:uid="{6741A4E2-60D6-486C-A0B4-E30F0340C728}" name="TOV_RANK" dataDxfId="279"/>
    <tableColumn id="48" xr3:uid="{89C5F8C8-F585-4996-88C4-39CEC934BDB6}" name="STL_RANK" dataDxfId="278"/>
    <tableColumn id="49" xr3:uid="{3EB30481-35D5-4463-86C8-981B15E00BAD}" name="BLK_RANK" dataDxfId="277"/>
    <tableColumn id="50" xr3:uid="{D113FB5D-7F3F-483F-91E7-DB931AC1530F}" name="BLKA_RANK" dataDxfId="276"/>
    <tableColumn id="51" xr3:uid="{43775C4C-7FCF-48D0-B588-81FFD98627C8}" name="PF_RANK" dataDxfId="275"/>
    <tableColumn id="52" xr3:uid="{A661E3C4-5690-4D01-82C4-09EA83BE6F85}" name="PFD_RANK" dataDxfId="274"/>
    <tableColumn id="53" xr3:uid="{A455F168-1F98-4087-B271-F8DFA7C62D72}" name="PTS_RANK" dataDxfId="273"/>
    <tableColumn id="54" xr3:uid="{262C5A15-42C9-4875-A753-DD4CF26482B4}" name="PLUS_MINUS_RANK" dataDxfId="272"/>
    <tableColumn id="55" xr3:uid="{C87DA207-213C-498F-9EBE-10AD63AF5458}" name="CFID" dataDxfId="271"/>
    <tableColumn id="56" xr3:uid="{3F23E87D-96E3-42FE-B92A-B27287006E09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3572CFF-51E0-4DF6-8497-BF78083F26BA}" name="TableClutchOpponentN" displayName="TableClutchOpponentN" ref="A1:BD31" totalsRowShown="0" headerRowDxfId="155">
  <autoFilter ref="A1:BD31" xr:uid="{36754ED0-2175-4C09-AC52-E9F0CAC1251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00121E14-234E-4AF1-87D9-2B48CDC88E68}" name="TEAM_ID" dataDxfId="211"/>
    <tableColumn id="2" xr3:uid="{16CC65E1-8ABB-464D-8379-66886AEF30BD}" name="TEAM_NAME" dataDxfId="210"/>
    <tableColumn id="3" xr3:uid="{B5C0028E-8D29-4C14-8E54-1803DF5E1FB9}" name="GP" dataDxfId="209"/>
    <tableColumn id="4" xr3:uid="{FFD9D7ED-9E9D-43B5-A3B5-CB1C677D0BC0}" name="W" dataDxfId="208"/>
    <tableColumn id="5" xr3:uid="{FDEFEBA9-3825-4E03-9036-B32DC4DB13D2}" name="L" dataDxfId="207"/>
    <tableColumn id="6" xr3:uid="{3544EFB7-9850-495A-A8A4-7CE74830F4D7}" name="W_PCT" dataDxfId="206"/>
    <tableColumn id="7" xr3:uid="{9D1F1953-FB0E-4DE5-B825-FFFFE4A1D293}" name="MIN" dataDxfId="205"/>
    <tableColumn id="8" xr3:uid="{0CAA9E2F-2862-4B09-90A1-4760DE5769CA}" name="OPP_FGM" dataDxfId="204"/>
    <tableColumn id="9" xr3:uid="{AEAC9428-21B6-467F-BCFA-CBFE3DD0C34F}" name="OPP_FGA" dataDxfId="203"/>
    <tableColumn id="10" xr3:uid="{A04AB49A-34E6-4A13-91E4-514F21FDCC74}" name="OPP_FG_PCT" dataDxfId="202"/>
    <tableColumn id="11" xr3:uid="{86678DC4-7AD0-437D-8E71-ACF8D30BB592}" name="OPP_FG3M" dataDxfId="201"/>
    <tableColumn id="12" xr3:uid="{89DBCC37-F08C-46B8-8ABB-8BD41E190E38}" name="OPP_FG3A" dataDxfId="200"/>
    <tableColumn id="13" xr3:uid="{A0AF14FF-6E98-426A-A406-FE38715AA0B5}" name="OPP_FG3_PCT" dataDxfId="199"/>
    <tableColumn id="14" xr3:uid="{EC0CB2E2-436A-4470-838D-491CE0FF55A7}" name="OPP_FTM" dataDxfId="198"/>
    <tableColumn id="15" xr3:uid="{AFF48B24-E488-41A3-AD50-65065F5B025C}" name="OPP_FTA" dataDxfId="197"/>
    <tableColumn id="16" xr3:uid="{D4D47139-6260-4F01-90B9-07E529439143}" name="OPP_FT_PCT" dataDxfId="196"/>
    <tableColumn id="17" xr3:uid="{08CD25B1-3982-4A72-80F6-1CC0A7B2DF25}" name="OPP_OREB" dataDxfId="195"/>
    <tableColumn id="18" xr3:uid="{86D6F293-56BA-4B87-A951-ADF64253654A}" name="OPP_DREB" dataDxfId="194"/>
    <tableColumn id="19" xr3:uid="{6DD16455-67B1-4251-A10A-D49B667F501C}" name="OPP_REB" dataDxfId="193"/>
    <tableColumn id="20" xr3:uid="{43A8FE44-0EA6-4EDB-B892-CDFCC8027F8E}" name="OPP_AST" dataDxfId="192"/>
    <tableColumn id="21" xr3:uid="{B491EAB4-5E81-451F-A864-6E42C3707333}" name="OPP_TOV" dataDxfId="191"/>
    <tableColumn id="22" xr3:uid="{2338197C-D8AD-42F3-B80A-A06B157651C6}" name="OPP_STL" dataDxfId="190"/>
    <tableColumn id="23" xr3:uid="{FE7BFC97-A203-4736-B1DD-47EE71E5314C}" name="OPP_BLK" dataDxfId="189"/>
    <tableColumn id="24" xr3:uid="{9C08589D-8D54-44A2-B914-C3E99CD09E1D}" name="OPP_BLKA" dataDxfId="188"/>
    <tableColumn id="25" xr3:uid="{31AE46D9-7A5C-427F-9972-6498F3D4BCBF}" name="OPP_PF" dataDxfId="187"/>
    <tableColumn id="26" xr3:uid="{3B3A8B3F-4487-4642-9633-0A7386EC1F91}" name="OPP_PFD" dataDxfId="186"/>
    <tableColumn id="27" xr3:uid="{71501752-8BDA-4785-8064-C98D258BF8DB}" name="OPP_PTS" dataDxfId="185"/>
    <tableColumn id="28" xr3:uid="{5AD42937-5EC0-410E-85C4-A93F657AF054}" name="PLUS_MINUS" dataDxfId="184"/>
    <tableColumn id="29" xr3:uid="{9632C595-C7A0-409B-BA3C-33A1928348D2}" name="GP_RANK" dataDxfId="183"/>
    <tableColumn id="30" xr3:uid="{BF200A62-2B63-4828-81B0-07A8D6C27D44}" name="W_RANK" dataDxfId="182"/>
    <tableColumn id="31" xr3:uid="{1FA19BC6-827D-446D-AFD8-02424D4DB8F1}" name="L_RANK" dataDxfId="181"/>
    <tableColumn id="32" xr3:uid="{C1F9F9FB-ACA5-41DB-B998-A293F68FE2A2}" name="W_PCT_RANK" dataDxfId="180"/>
    <tableColumn id="33" xr3:uid="{AADB2109-1F97-45ED-979E-6E947D397BD8}" name="MIN_RANK" dataDxfId="179"/>
    <tableColumn id="34" xr3:uid="{1041E77A-4DF4-469E-B48E-3B0A29B1BAB4}" name="OPP_FGM_RANK" dataDxfId="178"/>
    <tableColumn id="35" xr3:uid="{54791C4B-E426-40FB-8D94-D1AF257E3197}" name="OPP_FGA_RANK" dataDxfId="177"/>
    <tableColumn id="36" xr3:uid="{D8EA18D1-549C-4732-A59C-75D453C7AEE2}" name="OPP_FG_PCT_RANK" dataDxfId="176"/>
    <tableColumn id="37" xr3:uid="{B5CF4337-8544-4207-83D9-8339B73B016A}" name="OPP_FG3M_RANK" dataDxfId="175"/>
    <tableColumn id="38" xr3:uid="{4D1F7315-4C39-48F0-9E82-D1E17469AF99}" name="OPP_FG3A_RANK" dataDxfId="174"/>
    <tableColumn id="39" xr3:uid="{4B7FD0A4-1471-471C-AC9E-5C067AE297C9}" name="OPP_FG3_PCT_RANK" dataDxfId="173"/>
    <tableColumn id="40" xr3:uid="{D6895054-969E-4710-9217-1BC65E4415E3}" name="OPP_FTM_RANK" dataDxfId="172"/>
    <tableColumn id="41" xr3:uid="{DFFCFF9E-61F2-45F1-9E67-C418C445DBDA}" name="OPP_FTA_RANK" dataDxfId="171"/>
    <tableColumn id="42" xr3:uid="{766746BE-2E6A-4512-8C21-D3085712B2ED}" name="OPP_FT_PCT_RANK" dataDxfId="170"/>
    <tableColumn id="43" xr3:uid="{20712432-4A3C-4E78-8DE3-E1A8198AD5B3}" name="OPP_OREB_RANK" dataDxfId="169"/>
    <tableColumn id="44" xr3:uid="{21DEE853-CE9D-4624-B64A-695ACAB79515}" name="OPP_DREB_RANK" dataDxfId="168"/>
    <tableColumn id="45" xr3:uid="{CE4678CB-DC4F-4392-96C1-9FACFFDAE622}" name="OPP_REB_RANK" dataDxfId="167"/>
    <tableColumn id="46" xr3:uid="{DDC80F9D-A281-4261-9511-897DB227BCDA}" name="OPP_AST_RANK" dataDxfId="166"/>
    <tableColumn id="47" xr3:uid="{07E5B442-FA91-495E-81B9-1B207FA01CCF}" name="OPP_TOV_RANK" dataDxfId="165"/>
    <tableColumn id="48" xr3:uid="{FD67C42F-4949-47BF-8EA3-B663090F688E}" name="OPP_STL_RANK" dataDxfId="164"/>
    <tableColumn id="49" xr3:uid="{1C632897-D9DC-410E-A158-FFD0C907D451}" name="OPP_BLK_RANK" dataDxfId="163"/>
    <tableColumn id="50" xr3:uid="{94BFB1AA-3EB8-40BC-A56D-34D4871C9484}" name="OPP_BLKA_RANK" dataDxfId="162"/>
    <tableColumn id="51" xr3:uid="{1D0B6F2F-87C5-4733-A28B-B2B844EC3C8C}" name="OPP_PF_RANK" dataDxfId="161"/>
    <tableColumn id="52" xr3:uid="{223A08F0-8252-48BD-A146-535F01D08B68}" name="OPP_PFD_RANK" dataDxfId="160"/>
    <tableColumn id="53" xr3:uid="{88E21C7A-071E-4CED-A113-9A1C919B2B78}" name="OPP_PTS_RANK" dataDxfId="159"/>
    <tableColumn id="54" xr3:uid="{C7C94BEB-151A-42B3-B382-97CB8CC3FA2E}" name="PLUS_MINUS_RANK" dataDxfId="158"/>
    <tableColumn id="55" xr3:uid="{4B29DE58-ED9A-4A86-A03A-EDD90330A8E6}" name="CFID" dataDxfId="157"/>
    <tableColumn id="56" xr3:uid="{05C9C7B5-7F64-4807-9245-A96FAC6D9233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037C31B-3E7C-41BB-8735-D2015FD88C23}" name="TableClutchAdvancedN" displayName="TableClutchAdvancedN" ref="A1:AV31" totalsRowShown="0" headerRowDxfId="49">
  <autoFilter ref="A1:AV31" xr:uid="{5FAA4B7E-D979-4879-819D-E8664071DD4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A0FB8685-67E0-406C-8378-A600D866DA9F}" name="TEAM_ID" dataDxfId="97"/>
    <tableColumn id="2" xr3:uid="{1FDF2833-4F60-438F-BB13-41DAD9E4A78A}" name="TEAM_NAME" dataDxfId="96"/>
    <tableColumn id="3" xr3:uid="{3F778587-1796-47DF-B7FC-18600C933826}" name="GP" dataDxfId="95"/>
    <tableColumn id="4" xr3:uid="{B32351EB-CB3E-4A8E-9C2B-EF3774B0083F}" name="W" dataDxfId="94"/>
    <tableColumn id="5" xr3:uid="{49CF18C4-0E60-41EF-923E-FB866DA87ACC}" name="L" dataDxfId="93"/>
    <tableColumn id="6" xr3:uid="{C52A9D98-C881-49C4-AA8D-76CAECE04E92}" name="W_PCT" dataDxfId="92"/>
    <tableColumn id="7" xr3:uid="{316A99F1-F605-43CC-A370-2E87955FA75F}" name="MIN" dataDxfId="91"/>
    <tableColumn id="8" xr3:uid="{5E187D48-145D-4747-80D9-E30183C8E8F9}" name="E_OFF_RATING" dataDxfId="90"/>
    <tableColumn id="9" xr3:uid="{C8FAA7E1-E997-46A4-A575-207CE26D6345}" name="OFF_RATING" dataDxfId="89"/>
    <tableColumn id="10" xr3:uid="{104E48FC-A9B2-438D-8BDF-13BA1D7521EE}" name="E_DEF_RATING" dataDxfId="88"/>
    <tableColumn id="11" xr3:uid="{498DEA5E-B4DB-4E97-B7BF-BFAE79C5A4F4}" name="DEF_RATING" dataDxfId="87"/>
    <tableColumn id="12" xr3:uid="{A36639EE-F6CF-459E-B0B4-993F843EA011}" name="E_NET_RATING" dataDxfId="86"/>
    <tableColumn id="13" xr3:uid="{630AF7EE-07B3-407D-BDC5-58298B21FA14}" name="NET_RATING" dataDxfId="85"/>
    <tableColumn id="14" xr3:uid="{3DB9D45A-3428-4996-A065-A1E127DCD8B1}" name="AST_PCT" dataDxfId="84"/>
    <tableColumn id="15" xr3:uid="{C4CC5CC2-61DE-4226-8BEB-129E119E98DE}" name="AST_TO" dataDxfId="83"/>
    <tableColumn id="16" xr3:uid="{7040ADAE-BE36-42D8-9348-333432F3CBA1}" name="AST_RATIO" dataDxfId="82"/>
    <tableColumn id="17" xr3:uid="{C6C5E202-51C4-45AB-9D82-975055F852FA}" name="OREB_PCT" dataDxfId="81"/>
    <tableColumn id="18" xr3:uid="{75FC96FC-4B41-4173-8103-282BCC8FE64B}" name="DREB_PCT" dataDxfId="80"/>
    <tableColumn id="19" xr3:uid="{91027639-C8E1-49C1-B7DC-D2C2D3445248}" name="REB_PCT" dataDxfId="79"/>
    <tableColumn id="20" xr3:uid="{D855543D-F049-4AF3-925A-5D20AC4A26F3}" name="TM_TOV_PCT" dataDxfId="78"/>
    <tableColumn id="21" xr3:uid="{27FB78E0-8DAE-4625-BC91-C8C090059F65}" name="EFG_PCT" dataDxfId="77"/>
    <tableColumn id="22" xr3:uid="{51EB1AF8-67E7-4739-B2E9-D4542ADA6626}" name="TS_PCT" dataDxfId="76"/>
    <tableColumn id="23" xr3:uid="{C05878F4-5478-4FBF-A053-C9A78CA56E96}" name="E_PACE" dataDxfId="75"/>
    <tableColumn id="24" xr3:uid="{974358AA-14F7-47DA-9E37-6E2A57B6C261}" name="PACE" dataDxfId="74"/>
    <tableColumn id="25" xr3:uid="{FD89E1DC-734D-470F-98BD-B680CE01BA53}" name="PACE_PER40" dataDxfId="73"/>
    <tableColumn id="26" xr3:uid="{7DD9B3C0-DD94-4AAB-91A0-A2DB80EDD59D}" name="POSS" dataDxfId="72"/>
    <tableColumn id="27" xr3:uid="{3410AA56-F444-445A-A0E6-611F607D834C}" name="PIE" dataDxfId="71"/>
    <tableColumn id="28" xr3:uid="{6D0DDA32-6D6B-4818-9A4E-AEF648678586}" name="GP_RANK" dataDxfId="70"/>
    <tableColumn id="29" xr3:uid="{760CF7B1-D92B-42B1-8DC6-B891B7DD8D4C}" name="W_RANK" dataDxfId="69"/>
    <tableColumn id="30" xr3:uid="{9756CA5C-C467-4787-B03A-B91007EDC23E}" name="L_RANK" dataDxfId="68"/>
    <tableColumn id="31" xr3:uid="{B8EF5BEB-3318-49A0-817E-91804C9909A3}" name="W_PCT_RANK" dataDxfId="67"/>
    <tableColumn id="32" xr3:uid="{AFB69459-1532-41E5-B1FB-D479E19567D7}" name="MIN_RANK" dataDxfId="66"/>
    <tableColumn id="33" xr3:uid="{9CED436C-8560-4AC1-9BA4-9247D09663FD}" name="OFF_RATING_RANK" dataDxfId="65"/>
    <tableColumn id="34" xr3:uid="{77B2BFB9-721D-48C7-83BF-35F8F9579FE5}" name="DEF_RATING_RANK" dataDxfId="64"/>
    <tableColumn id="35" xr3:uid="{31654F35-E90A-4E6F-B5CE-FED1031E7961}" name="NET_RATING_RANK" dataDxfId="63"/>
    <tableColumn id="36" xr3:uid="{8CCFC068-19C3-4886-9EFC-666A50513547}" name="AST_PCT_RANK" dataDxfId="62"/>
    <tableColumn id="37" xr3:uid="{E5FC0A5D-8B20-4174-BA4E-EE2F951925B9}" name="AST_TO_RANK" dataDxfId="61"/>
    <tableColumn id="38" xr3:uid="{F44A74E9-E97A-473B-AEF4-612E5CA156BE}" name="AST_RATIO_RANK" dataDxfId="60"/>
    <tableColumn id="39" xr3:uid="{2BCB658C-DA59-4CA5-AA17-50C473D9FCC2}" name="OREB_PCT_RANK" dataDxfId="59"/>
    <tableColumn id="40" xr3:uid="{50375970-C41D-4A85-9C8D-A40FC4CDE1F2}" name="DREB_PCT_RANK" dataDxfId="58"/>
    <tableColumn id="41" xr3:uid="{6C4DD21D-034D-487A-9E0F-7B0102E4F4F7}" name="REB_PCT_RANK" dataDxfId="57"/>
    <tableColumn id="42" xr3:uid="{190D0639-27F8-4329-9A3F-969E9A197CD9}" name="TM_TOV_PCT_RANK" dataDxfId="56"/>
    <tableColumn id="43" xr3:uid="{9DBF7F8C-29CC-4804-9DD3-99094487395D}" name="EFG_PCT_RANK" dataDxfId="55"/>
    <tableColumn id="44" xr3:uid="{38BCE1B1-CB31-4051-9A91-B86301CC605E}" name="TS_PCT_RANK" dataDxfId="54"/>
    <tableColumn id="45" xr3:uid="{CDDF1737-2D01-4D3E-88CD-557D745BCB95}" name="PACE_RANK" dataDxfId="53"/>
    <tableColumn id="46" xr3:uid="{127A46CD-93CF-4DAE-9D90-8382BB198420}" name="PIE_RANK" dataDxfId="52"/>
    <tableColumn id="47" xr3:uid="{E61D8581-DBD1-409A-86D9-5F311610AFB1}" name="CFID" dataDxfId="51"/>
    <tableColumn id="48" xr3:uid="{56505AB7-5A57-46B1-A645-C9CBF634293B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396E77F-F916-4524-A153-14FA9B1C03D3}" name="TableStandingsN1" displayName="TableStandingsN1" ref="A1:CC31" totalsRowShown="0" headerRowDxfId="910">
  <autoFilter ref="A1:CC31" xr:uid="{C4B2C008-F651-4DF5-A273-93AA426ED0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810BACDA-8B5A-4694-B0AF-C5C459D07643}" name="LeagueID" dataDxfId="991"/>
    <tableColumn id="2" xr3:uid="{6FD641D7-5B28-4950-820D-D7DEB5265BB2}" name="SeasonID" dataDxfId="990"/>
    <tableColumn id="3" xr3:uid="{4B50167B-7474-4475-B807-12120361F7C7}" name="TeamID" dataDxfId="989"/>
    <tableColumn id="4" xr3:uid="{AA569AB4-EE65-40D2-AB77-755DBF6FDADE}" name="TeamCity" dataDxfId="988"/>
    <tableColumn id="5" xr3:uid="{018FBC14-3AF4-48B2-81A5-C92A5C2EA3F0}" name="TeamName" dataDxfId="987"/>
    <tableColumn id="6" xr3:uid="{C2069066-4557-43ED-BB33-E4AB8E09910E}" name="Conference" dataDxfId="986"/>
    <tableColumn id="7" xr3:uid="{7E2388C1-989E-4E74-BD1C-ABE1FEE9ED5D}" name="ConferenceRecord" dataDxfId="985"/>
    <tableColumn id="8" xr3:uid="{31CDBC72-F04D-45F6-A369-E39A40F50C97}" name="PlayoffRank" dataDxfId="984"/>
    <tableColumn id="9" xr3:uid="{A2371DFB-D9DB-411A-BD71-995A25E4FB36}" name="ClinchIndicator" dataDxfId="983"/>
    <tableColumn id="10" xr3:uid="{77573D1F-7F8B-4E44-8444-FA1695CD4889}" name="Division" dataDxfId="982"/>
    <tableColumn id="11" xr3:uid="{2CD5BB57-4D13-4917-A841-33DD92196AD5}" name="DivisionRecord" dataDxfId="981"/>
    <tableColumn id="12" xr3:uid="{33499D08-FDE7-4B2A-8A9F-4B9E72395888}" name="DivisionRank" dataDxfId="980"/>
    <tableColumn id="13" xr3:uid="{CAD6663E-B6E4-4263-82A5-FC8CB0283CEC}" name="WINS" dataDxfId="979"/>
    <tableColumn id="14" xr3:uid="{B41ED3AC-7B63-4C1A-A0C4-1906F9B1BE81}" name="LOSSES" dataDxfId="978"/>
    <tableColumn id="15" xr3:uid="{C87B0778-D2D1-45B0-86A0-CBDD33786CCC}" name="WinPCT" dataDxfId="977"/>
    <tableColumn id="16" xr3:uid="{A61C52A1-6480-4628-AE43-4011184D084E}" name="LeagueRank" dataDxfId="976"/>
    <tableColumn id="17" xr3:uid="{0A72FBCE-BD19-4208-8386-6742E52E6B5A}" name="Record" dataDxfId="975"/>
    <tableColumn id="18" xr3:uid="{6FDC2731-B864-44C5-BC7F-F9EAAC2DC029}" name="HOME" dataDxfId="974"/>
    <tableColumn id="19" xr3:uid="{F53D2C79-2BBC-45C6-BCB1-2F7F9DBEE0A7}" name="ROAD" dataDxfId="973"/>
    <tableColumn id="20" xr3:uid="{9601F564-002F-48BC-9111-7D7069D5261D}" name="L10" dataDxfId="972"/>
    <tableColumn id="21" xr3:uid="{9880F47C-EADF-4938-BA62-52101D255760}" name="Last10Home" dataDxfId="971"/>
    <tableColumn id="22" xr3:uid="{D22DC114-21A8-4C83-A29B-A40F732C5361}" name="Last10Road" dataDxfId="970"/>
    <tableColumn id="23" xr3:uid="{27A99E27-FC11-4AAF-A653-1222A34C5750}" name="OT" dataDxfId="969"/>
    <tableColumn id="24" xr3:uid="{890C2B87-7DEB-481C-802B-9714D7DE798B}" name="ThreePTSOrLess" dataDxfId="968"/>
    <tableColumn id="25" xr3:uid="{545810C7-7924-4A73-A72A-EED95EE83D87}" name="TenPTSOrMore" dataDxfId="967"/>
    <tableColumn id="26" xr3:uid="{545737B9-A245-407F-978F-0C671696C6B8}" name="LongHomeStreak" dataDxfId="966"/>
    <tableColumn id="27" xr3:uid="{D03CEF42-5016-44D7-998D-C1284F82214B}" name="strLongHomeStreak" dataDxfId="965"/>
    <tableColumn id="28" xr3:uid="{96892B5B-C081-4BA8-BAA5-5AD401A4DF9C}" name="LongRoadStreak" dataDxfId="964"/>
    <tableColumn id="29" xr3:uid="{5824162B-35AD-4B30-AFEE-5F3354DC0DC4}" name="strLongRoadStreak" dataDxfId="963"/>
    <tableColumn id="30" xr3:uid="{C3784D20-A886-47EC-930B-40E885B77DA3}" name="LongWinStreak" dataDxfId="962"/>
    <tableColumn id="31" xr3:uid="{A34094FC-1951-4119-BE36-63D4DA6926F0}" name="LongLossStreak" dataDxfId="961"/>
    <tableColumn id="32" xr3:uid="{16DF7DBB-3447-4D81-82DF-8B681338B394}" name="CurrentHomeStreak" dataDxfId="960"/>
    <tableColumn id="33" xr3:uid="{9A6AB1FC-63FC-48C1-AFB6-3EB6E07801D1}" name="strCurrentHomeStreak" dataDxfId="959"/>
    <tableColumn id="34" xr3:uid="{A219F49D-4C15-4FD3-83AF-83C7E2B2AE38}" name="CurrentRoadStreak" dataDxfId="958"/>
    <tableColumn id="35" xr3:uid="{33A64935-D75B-4729-951B-C62172C7DC3C}" name="strCurrentRoadStreak" dataDxfId="957"/>
    <tableColumn id="36" xr3:uid="{653D83B6-E26A-483E-BF11-D09CB0FFD609}" name="CurrentStreak" dataDxfId="956"/>
    <tableColumn id="37" xr3:uid="{3AD614D1-1F47-4733-B342-DFD5D6C1DC6E}" name="strCurrentStreak" dataDxfId="955"/>
    <tableColumn id="38" xr3:uid="{F59AC93D-7841-4DB2-A7F4-E916FCAEC2F2}" name="ConferenceGamesBack" dataDxfId="954"/>
    <tableColumn id="39" xr3:uid="{33771C68-6D34-4048-84E6-3CB3EB9600EE}" name="DivisionGamesBack" dataDxfId="953"/>
    <tableColumn id="40" xr3:uid="{B5AC09FF-FB65-4131-B585-23B009A728AE}" name="ClinchedConferenceTitle" dataDxfId="952"/>
    <tableColumn id="41" xr3:uid="{DCE2ED69-731B-4651-9E77-E4A1F83A89A9}" name="ClinchedDivisionTitle" dataDxfId="951"/>
    <tableColumn id="42" xr3:uid="{C6690B76-1909-472F-88A5-49B1AF44E7EF}" name="ClinchedPlayoffBirth" dataDxfId="950"/>
    <tableColumn id="43" xr3:uid="{58822ABA-C61F-40AC-B610-373949B9342E}" name="EliminatedConference" dataDxfId="949"/>
    <tableColumn id="44" xr3:uid="{8B46989E-270B-4F85-837D-B925094D10E8}" name="EliminatedDivision" dataDxfId="948"/>
    <tableColumn id="45" xr3:uid="{8C06C40B-2BA4-43D4-9E9F-EEECF05AFD5F}" name="AheadAtHalf" dataDxfId="947"/>
    <tableColumn id="46" xr3:uid="{0A658EC2-40E7-44BF-B199-7D5E7DCB6480}" name="BehindAtHalf" dataDxfId="946"/>
    <tableColumn id="47" xr3:uid="{281E300F-E37D-44A1-A13E-F619EBF0962F}" name="TiedAtHalf" dataDxfId="945"/>
    <tableColumn id="48" xr3:uid="{CFC7FEE1-0349-44B5-B75F-ACCB949DF503}" name="AheadAtThird" dataDxfId="944"/>
    <tableColumn id="49" xr3:uid="{3700D16A-B52C-4740-9E1A-DBFC71C69847}" name="BehindAtThird" dataDxfId="943"/>
    <tableColumn id="50" xr3:uid="{8A401632-4376-4D92-93B8-F57EA1D0F121}" name="TiedAtThird" dataDxfId="942"/>
    <tableColumn id="51" xr3:uid="{9688DA48-07C8-4370-8C3E-DBCF9154E8F3}" name="Score100PTS" dataDxfId="941"/>
    <tableColumn id="52" xr3:uid="{AD0AA2F8-7005-489F-8F9C-3E3E015E40BA}" name="OppScore100PTS" dataDxfId="940"/>
    <tableColumn id="53" xr3:uid="{E17637BB-1AFA-43DB-A125-0BCFD95A2D2A}" name="OppOver500" dataDxfId="939"/>
    <tableColumn id="54" xr3:uid="{EDFB0040-0A09-4A2F-A43E-DEF9AC671B6D}" name="LeadInFGPCT" dataDxfId="938"/>
    <tableColumn id="55" xr3:uid="{54027A96-B05B-4F44-B7D0-A18841FC10A3}" name="LeadInReb" dataDxfId="937"/>
    <tableColumn id="56" xr3:uid="{83AEC5AE-EE33-487D-A895-C50A049A4167}" name="FewerTurnovers" dataDxfId="936"/>
    <tableColumn id="57" xr3:uid="{B5535569-B0F2-4EC0-AA52-92C598A661CB}" name="PointsPG" dataDxfId="935"/>
    <tableColumn id="58" xr3:uid="{D6E917ED-90BE-4B73-A102-E60F9FCC72BB}" name="OppPointsPG" dataDxfId="934"/>
    <tableColumn id="59" xr3:uid="{DD2C54A1-5DFF-43DC-9E38-D3C3027B9BC0}" name="DiffPointsPG" dataDxfId="933"/>
    <tableColumn id="60" xr3:uid="{80E26299-AE4D-4090-975E-16AC8E183690}" name="vsEast" dataDxfId="932"/>
    <tableColumn id="61" xr3:uid="{1F690C78-3E2F-4362-8280-D7867726313C}" name="vsAtlantic" dataDxfId="931"/>
    <tableColumn id="62" xr3:uid="{97A648F1-4215-49C4-8556-9E7AAEF66816}" name="vsCentral" dataDxfId="930"/>
    <tableColumn id="63" xr3:uid="{F83F1AB2-E0BD-45F0-8B21-E7D5E8B2C47E}" name="vsSoutheast" dataDxfId="929"/>
    <tableColumn id="64" xr3:uid="{EB958E8E-1EB1-4B2F-A40B-AC29D03F9A68}" name="vsWest" dataDxfId="928"/>
    <tableColumn id="65" xr3:uid="{82FE0388-1A63-418C-A338-666C37999A95}" name="vsNorthwest" dataDxfId="927"/>
    <tableColumn id="66" xr3:uid="{69F26E91-2157-4D50-AE3A-C4B88BAABFCE}" name="vsPacific" dataDxfId="926"/>
    <tableColumn id="67" xr3:uid="{285EEB31-B92F-4809-A012-5FB1801DDBE7}" name="vsSouthwest" dataDxfId="925"/>
    <tableColumn id="68" xr3:uid="{15697416-1944-4940-9F60-5467AB6424ED}" name="Jan" dataDxfId="924"/>
    <tableColumn id="69" xr3:uid="{2BC4FE6C-3243-480C-97DA-7AE71D854A17}" name="Feb" dataDxfId="923"/>
    <tableColumn id="70" xr3:uid="{1599D2C7-410A-478D-A77B-49F4DD4B4905}" name="Mar" dataDxfId="922"/>
    <tableColumn id="71" xr3:uid="{0168304E-2A5D-48E5-8F95-63E4EADD6722}" name="Apr" dataDxfId="921"/>
    <tableColumn id="72" xr3:uid="{E05EE542-C0BA-4529-991F-BA9BD01F1B07}" name="May" dataDxfId="920"/>
    <tableColumn id="73" xr3:uid="{AB56A6E4-28B1-4CFF-9B1B-38F57AF1210D}" name="Jun" dataDxfId="919"/>
    <tableColumn id="74" xr3:uid="{893C9B3C-5A0F-4BF7-8D46-8F30C11E0F4F}" name="Jul" dataDxfId="918"/>
    <tableColumn id="75" xr3:uid="{B3007E0C-2F23-4B74-B96E-5F369497B20E}" name="Aug" dataDxfId="917"/>
    <tableColumn id="76" xr3:uid="{6D912CDD-130D-41C1-9397-2BA1777DE86F}" name="Sep" dataDxfId="916"/>
    <tableColumn id="77" xr3:uid="{0056B6C7-C96A-423D-B14F-F1EF89A07CE3}" name="Oct" dataDxfId="915"/>
    <tableColumn id="78" xr3:uid="{958920FB-DD51-4708-B9EE-3C402B1D52A8}" name="Nov" dataDxfId="914"/>
    <tableColumn id="79" xr3:uid="{2EB8E8CF-C53F-4C6F-B68D-E2814B7020F0}" name="Dec" dataDxfId="913"/>
    <tableColumn id="80" xr3:uid="{C08F03C8-4F62-4694-8498-5C06D32FFE55}" name="PreAS" dataDxfId="912"/>
    <tableColumn id="81" xr3:uid="{E6329FAD-1DF7-422E-8085-08712FB9C66A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2BBDCFE-12F5-4263-80F3-4843968BD0B7}" name="TableBaseN1" displayName="TableBaseN1" ref="A1:BD31" totalsRowShown="0" headerRowDxfId="796">
  <autoFilter ref="A1:BD31" xr:uid="{453C704A-2AD8-479C-863B-3B099FD6387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690C0B52-1936-4F10-A6E5-714E24D6DD97}" name="TEAM_ID" dataDxfId="852"/>
    <tableColumn id="2" xr3:uid="{84C7662A-F52F-48D2-BFC5-488E8C96B9C8}" name="TEAM_NAME" dataDxfId="851"/>
    <tableColumn id="3" xr3:uid="{5B8D7A17-5B00-49CB-9D8B-36CD15F30915}" name="GP" dataDxfId="850"/>
    <tableColumn id="4" xr3:uid="{E648BF63-4248-4A58-8699-63E1088CEC76}" name="W" dataDxfId="849"/>
    <tableColumn id="5" xr3:uid="{BF475520-64EF-475A-B1A8-57892977CDB2}" name="L" dataDxfId="848"/>
    <tableColumn id="6" xr3:uid="{61D59713-E2A9-46B1-9FD0-4BC1C82EC344}" name="W_PCT" dataDxfId="847"/>
    <tableColumn id="7" xr3:uid="{51DF56BE-2DEB-4638-82D9-60DC3CDFB796}" name="MIN" dataDxfId="846"/>
    <tableColumn id="8" xr3:uid="{2353AB02-6346-48B0-8DDB-DD16F5F000A2}" name="FGM" dataDxfId="845"/>
    <tableColumn id="9" xr3:uid="{E3BF42A3-4E95-4173-983D-5CA508F086F4}" name="FGA" dataDxfId="844"/>
    <tableColumn id="10" xr3:uid="{2FFA0C1C-5B22-4094-80CF-6677DC217A5B}" name="FG_PCT" dataDxfId="843"/>
    <tableColumn id="11" xr3:uid="{DAF402B9-BCA8-48BE-BC3D-5EB50A165260}" name="FG3M" dataDxfId="842"/>
    <tableColumn id="12" xr3:uid="{8E54BF2C-2DEE-4ECE-AC9D-B1EC795099B5}" name="FG3A" dataDxfId="841"/>
    <tableColumn id="13" xr3:uid="{5E283719-8D15-4452-9C81-D9673DA8BABE}" name="FG3_PCT" dataDxfId="840"/>
    <tableColumn id="14" xr3:uid="{F52E2D67-9D56-4EF0-8BE3-80FEFD5B69E8}" name="FTM" dataDxfId="839"/>
    <tableColumn id="15" xr3:uid="{2211DC57-2728-4DDF-82D7-C412EE7EC40B}" name="FTA" dataDxfId="838"/>
    <tableColumn id="16" xr3:uid="{4F9255C3-ACAC-450E-B7BC-77DA98801467}" name="FT_PCT" dataDxfId="837"/>
    <tableColumn id="17" xr3:uid="{0403885D-5B8B-479B-BCBD-68919259C616}" name="OREB" dataDxfId="836"/>
    <tableColumn id="18" xr3:uid="{223DD9BD-8959-46BE-AC2C-04BC9188C07A}" name="DREB" dataDxfId="835"/>
    <tableColumn id="19" xr3:uid="{611AEC8C-C1C5-4F42-B216-01F26B2E95E8}" name="REB" dataDxfId="834"/>
    <tableColumn id="20" xr3:uid="{A28C6D85-66AF-414E-8C1D-D48E92723313}" name="AST" dataDxfId="833"/>
    <tableColumn id="21" xr3:uid="{F6C77234-0C18-4C3E-8DA3-0A691F207F32}" name="TOV" dataDxfId="832"/>
    <tableColumn id="22" xr3:uid="{4C2F628E-C2D8-46DB-9425-B656FAC5775C}" name="STL" dataDxfId="831"/>
    <tableColumn id="23" xr3:uid="{8C0417C9-B381-4986-B26C-80EAF9FB90BD}" name="BLK" dataDxfId="830"/>
    <tableColumn id="24" xr3:uid="{D0B234B3-DA4B-4504-A909-5CB2D82F49DE}" name="BLKA" dataDxfId="829"/>
    <tableColumn id="25" xr3:uid="{796C181A-D3C1-4FE0-80D0-AEF13F4F89CE}" name="PF" dataDxfId="828"/>
    <tableColumn id="26" xr3:uid="{F8D1303B-3B9A-45BB-A89E-545B5059AF4A}" name="PFD" dataDxfId="827"/>
    <tableColumn id="27" xr3:uid="{20B7999F-BAE5-4571-B4C2-B05214775238}" name="PTS" dataDxfId="826"/>
    <tableColumn id="28" xr3:uid="{FEB8782D-F891-4DB9-9AB9-118A747B69D1}" name="PLUS_MINUS" dataDxfId="825"/>
    <tableColumn id="29" xr3:uid="{B8202A86-AA63-4A18-B7B0-2452317BFC1E}" name="GP_RANK" dataDxfId="824"/>
    <tableColumn id="30" xr3:uid="{888FBD95-4D03-415A-A7FD-3F9DB210D002}" name="W_RANK" dataDxfId="823"/>
    <tableColumn id="31" xr3:uid="{2B4F2625-92DE-455E-917B-8E9304BCE326}" name="L_RANK" dataDxfId="822"/>
    <tableColumn id="32" xr3:uid="{2F391664-001A-4FB9-A009-348EAA66AB4F}" name="W_PCT_RANK" dataDxfId="821"/>
    <tableColumn id="33" xr3:uid="{54ADA11F-0D65-4BBB-88DD-1CBFD5F65628}" name="MIN_RANK" dataDxfId="820"/>
    <tableColumn id="34" xr3:uid="{B0B2BB0F-5BA1-4601-9ACD-10DB1D892ED9}" name="FGM_RANK" dataDxfId="819"/>
    <tableColumn id="35" xr3:uid="{B8DFF4A5-0520-4A81-A933-B44684CE71CF}" name="FGA_RANK" dataDxfId="818"/>
    <tableColumn id="36" xr3:uid="{601D45D4-9CDE-4977-B4A6-ECF3AD19F8BF}" name="FG_PCT_RANK" dataDxfId="817"/>
    <tableColumn id="37" xr3:uid="{B11F2481-A412-4CB1-A3EE-151E7EB224D6}" name="FG3M_RANK" dataDxfId="816"/>
    <tableColumn id="38" xr3:uid="{7D8C7A9C-D44D-4B06-AB9D-06613381C488}" name="FG3A_RANK" dataDxfId="815"/>
    <tableColumn id="39" xr3:uid="{9A7E3393-8509-4EAF-B7E1-0AE0F80E13DC}" name="FG3_PCT_RANK" dataDxfId="814"/>
    <tableColumn id="40" xr3:uid="{317BE406-7B9D-4E0C-AD07-FB09A46E2292}" name="FTM_RANK" dataDxfId="813"/>
    <tableColumn id="41" xr3:uid="{E3D36AF9-CF7F-46A8-B79B-4D1D40A6055A}" name="FTA_RANK" dataDxfId="812"/>
    <tableColumn id="42" xr3:uid="{D9CF983C-3195-4C6C-A584-33A2FAA16ECD}" name="FT_PCT_RANK" dataDxfId="811"/>
    <tableColumn id="43" xr3:uid="{9D6A415A-3FE4-4C72-A26F-D1A7226586CD}" name="OREB_RANK" dataDxfId="810"/>
    <tableColumn id="44" xr3:uid="{01E4421A-03B7-4639-8D41-1A80ECF8CADF}" name="DREB_RANK" dataDxfId="809"/>
    <tableColumn id="45" xr3:uid="{D49765A4-0D75-4B0C-8AE3-218DFB5DD3D4}" name="REB_RANK" dataDxfId="808"/>
    <tableColumn id="46" xr3:uid="{3C3152F6-66E5-4E33-9741-79C103159060}" name="AST_RANK" dataDxfId="807"/>
    <tableColumn id="47" xr3:uid="{A6988326-4591-4E2E-933C-1D2B70D9BDB2}" name="TOV_RANK" dataDxfId="806"/>
    <tableColumn id="48" xr3:uid="{A29ED28C-D796-4393-B12B-BD99CE1A2B74}" name="STL_RANK" dataDxfId="805"/>
    <tableColumn id="49" xr3:uid="{7777E2BD-7E8B-443B-BD18-C104ECB6578F}" name="BLK_RANK" dataDxfId="804"/>
    <tableColumn id="50" xr3:uid="{F5026A4B-318A-45E6-AC54-049FDB1E2C1F}" name="BLKA_RANK" dataDxfId="803"/>
    <tableColumn id="51" xr3:uid="{CF40DB37-B744-41CC-A8BC-D73BC0245581}" name="PF_RANK" dataDxfId="802"/>
    <tableColumn id="52" xr3:uid="{A9C160A1-47CE-40B7-80B6-2946B89347C9}" name="PFD_RANK" dataDxfId="801"/>
    <tableColumn id="53" xr3:uid="{D388F582-5054-44F4-80B1-8EDFE10319C8}" name="PTS_RANK" dataDxfId="800"/>
    <tableColumn id="54" xr3:uid="{7B64D9A2-8520-4B82-ACE4-136E8A1C30E3}" name="PLUS_MINUS_RANK" dataDxfId="799"/>
    <tableColumn id="55" xr3:uid="{673B92C3-A128-43F0-9636-22E897287DAD}" name="CFID" dataDxfId="798"/>
    <tableColumn id="56" xr3:uid="{FE5A1409-4D1C-4CB0-B10F-E6CE0EC470AC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4E2093-8D4F-48BF-8430-DA18F48FB2D3}" name="TableAdvancedN1" displayName="TableAdvancedN1" ref="A1:AV31" totalsRowShown="0" headerRowDxfId="698">
  <autoFilter ref="A1:AV31" xr:uid="{2DBF383A-F1F2-4511-8AB7-01151F6F8CB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8134EC58-28E6-4AE9-9020-A3E2D8B12850}" name="TEAM_ID" dataDxfId="746"/>
    <tableColumn id="2" xr3:uid="{C1AC2C53-11C5-48EB-9900-D80301F72061}" name="TEAM_NAME" dataDxfId="745"/>
    <tableColumn id="3" xr3:uid="{73C9D63E-574F-476D-8967-1ADD31CD4E8E}" name="GP" dataDxfId="744"/>
    <tableColumn id="4" xr3:uid="{ED7566AA-BB54-4DB4-B6B0-410B36913266}" name="W" dataDxfId="743"/>
    <tableColumn id="5" xr3:uid="{4FB13497-2ACB-4D3B-8F91-735BFC6B1B15}" name="L" dataDxfId="742"/>
    <tableColumn id="6" xr3:uid="{99DF4E3D-5122-4902-9B83-FDA780AFA0AA}" name="W_PCT" dataDxfId="741"/>
    <tableColumn id="7" xr3:uid="{E9011D8E-CD2F-434A-93F3-709A9F2655DD}" name="MIN" dataDxfId="740"/>
    <tableColumn id="8" xr3:uid="{1B506B94-3CB8-4CD5-94E4-053BE3BA9A3F}" name="E_OFF_RATING" dataDxfId="739"/>
    <tableColumn id="9" xr3:uid="{DD5499FB-D781-4635-8D7E-B0924EDD3027}" name="OFF_RATING" dataDxfId="738"/>
    <tableColumn id="10" xr3:uid="{2EFC84FD-006A-4DA7-BE66-F7B143F33543}" name="E_DEF_RATING" dataDxfId="737"/>
    <tableColumn id="11" xr3:uid="{E23AD813-BE20-48DD-8566-9F2E31C41BEB}" name="DEF_RATING" dataDxfId="736"/>
    <tableColumn id="12" xr3:uid="{A256AF1E-642C-4BC9-ABCA-389354753B83}" name="E_NET_RATING" dataDxfId="735"/>
    <tableColumn id="13" xr3:uid="{D5C73676-3181-478A-AD44-CF3CE8E9D72E}" name="NET_RATING" dataDxfId="734"/>
    <tableColumn id="14" xr3:uid="{4CE7296A-1681-4621-9A19-E5680CEB8770}" name="AST_PCT" dataDxfId="733"/>
    <tableColumn id="15" xr3:uid="{A74017B3-2715-4BF4-87A0-49B42C51C745}" name="AST_TO" dataDxfId="732"/>
    <tableColumn id="16" xr3:uid="{45BAEFCF-5850-443F-9788-80EF5E909BF9}" name="AST_RATIO" dataDxfId="731"/>
    <tableColumn id="17" xr3:uid="{3E9D3654-35BA-460B-8076-290EB6C92186}" name="OREB_PCT" dataDxfId="730"/>
    <tableColumn id="18" xr3:uid="{77ACBD83-8DF5-41EA-8584-C5C1170A60A8}" name="DREB_PCT" dataDxfId="729"/>
    <tableColumn id="19" xr3:uid="{B5B4CE13-6B37-4CB4-A50C-74D88AAA64F4}" name="REB_PCT" dataDxfId="728"/>
    <tableColumn id="20" xr3:uid="{99784187-CE32-464A-8E82-869C4307AE64}" name="TM_TOV_PCT" dataDxfId="727"/>
    <tableColumn id="21" xr3:uid="{46B0E3E6-E81B-4477-8E4F-92D2985D4169}" name="EFG_PCT" dataDxfId="726"/>
    <tableColumn id="22" xr3:uid="{00163632-39BB-4B7E-8932-DD2FEF555F86}" name="TS_PCT" dataDxfId="725"/>
    <tableColumn id="23" xr3:uid="{1EA7BCB0-419E-4BF7-8088-73C2D8449479}" name="E_PACE" dataDxfId="724"/>
    <tableColumn id="24" xr3:uid="{E8C09ACA-6E49-43A2-861E-FF0CA84A62F1}" name="PACE" dataDxfId="723"/>
    <tableColumn id="25" xr3:uid="{5BD43060-BE6A-463D-A617-E7141C4DA3AD}" name="PACE_PER40" dataDxfId="722"/>
    <tableColumn id="26" xr3:uid="{2067DEF1-CE2A-4A93-AF25-7D5DBAC61357}" name="POSS" dataDxfId="721"/>
    <tableColumn id="27" xr3:uid="{DC1DEBCD-3E0C-49F2-B123-3F678737A056}" name="PIE" dataDxfId="720"/>
    <tableColumn id="28" xr3:uid="{201BC334-AC26-4D12-82FE-77CD07EE2988}" name="GP_RANK" dataDxfId="719"/>
    <tableColumn id="29" xr3:uid="{84359B64-4545-4A45-8DEA-78AC8ADF0F71}" name="W_RANK" dataDxfId="718"/>
    <tableColumn id="30" xr3:uid="{8276D10D-3E0C-47A8-A49A-2F2A9D4DA595}" name="L_RANK" dataDxfId="717"/>
    <tableColumn id="31" xr3:uid="{5916BBF5-F554-4511-AE91-719DC339D517}" name="W_PCT_RANK" dataDxfId="716"/>
    <tableColumn id="32" xr3:uid="{A0C1B622-24C6-4B22-B24A-7D49354DBAEC}" name="MIN_RANK" dataDxfId="715"/>
    <tableColumn id="33" xr3:uid="{D1B8E107-7C6F-48A4-9BA6-9A097C3631F2}" name="OFF_RATING_RANK" dataDxfId="714"/>
    <tableColumn id="34" xr3:uid="{9608B18A-9C43-4C77-BBFA-4B032064C8B2}" name="DEF_RATING_RANK" dataDxfId="713"/>
    <tableColumn id="35" xr3:uid="{D0B3C830-87C9-43B0-9CD3-2FC873B7429D}" name="NET_RATING_RANK" dataDxfId="712"/>
    <tableColumn id="36" xr3:uid="{14CD894F-971F-47EB-AACE-5314EB541D54}" name="AST_PCT_RANK" dataDxfId="711"/>
    <tableColumn id="37" xr3:uid="{98B1057C-E1C1-4CFB-B117-9F5DBCFCBCE1}" name="AST_TO_RANK" dataDxfId="710"/>
    <tableColumn id="38" xr3:uid="{897BB72B-FFDB-4535-9BF1-F37A09A9636A}" name="AST_RATIO_RANK" dataDxfId="709"/>
    <tableColumn id="39" xr3:uid="{FA00E57E-3F46-4477-A87B-C949230A39DA}" name="OREB_PCT_RANK" dataDxfId="708"/>
    <tableColumn id="40" xr3:uid="{2483358E-C117-46F8-A6D1-571BA76365CC}" name="DREB_PCT_RANK" dataDxfId="707"/>
    <tableColumn id="41" xr3:uid="{CC7BED82-8143-483D-AF91-6351E7C1C0F5}" name="REB_PCT_RANK" dataDxfId="706"/>
    <tableColumn id="42" xr3:uid="{F83AD408-ECB5-4C2B-A696-A73B01B9A71C}" name="TM_TOV_PCT_RANK" dataDxfId="705"/>
    <tableColumn id="43" xr3:uid="{E1C8D84D-BD82-4336-8063-840144AD5461}" name="EFG_PCT_RANK" dataDxfId="704"/>
    <tableColumn id="44" xr3:uid="{8445ED54-B15B-4567-A9AA-57F40E0E8B32}" name="TS_PCT_RANK" dataDxfId="703"/>
    <tableColumn id="45" xr3:uid="{70773CDE-5CCA-48F3-BD43-6147A30F77E4}" name="PACE_RANK" dataDxfId="702"/>
    <tableColumn id="46" xr3:uid="{8C129C1C-E4A0-4164-A81C-31CD1DEA8091}" name="PIE_RANK" dataDxfId="701"/>
    <tableColumn id="47" xr3:uid="{AC348C93-8F86-469D-8C4B-8091106DDB8D}" name="CFID" dataDxfId="700"/>
    <tableColumn id="48" xr3:uid="{607082DC-C5F5-456E-942E-AE7BBA15F7CB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5F1B7B3-6169-497A-B005-1D46B40A6212}" name="TableAdvancedN1Starters" displayName="TableAdvancedN1Starters" ref="A1:AV31" totalsRowShown="0" headerRowDxfId="600">
  <autoFilter ref="A1:AV31" xr:uid="{F59836E1-AD70-4AA1-8314-1C7B4EB9FD8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98E61C2-7C1A-41E6-B845-23196E15063A}" name="TEAM_ID" dataDxfId="648"/>
    <tableColumn id="2" xr3:uid="{9C089E98-E148-4ABF-83E2-CA65D1D0E66B}" name="TEAM_NAME" dataDxfId="647"/>
    <tableColumn id="3" xr3:uid="{69DB5505-2F2E-4487-A604-77CAAFF388C7}" name="GP" dataDxfId="646"/>
    <tableColumn id="4" xr3:uid="{3945202B-EEE9-43F7-9F76-2B2BCBB5F0A4}" name="W" dataDxfId="645"/>
    <tableColumn id="5" xr3:uid="{3B00BD73-2081-4A60-BC79-F4BAEDDE5C8B}" name="L" dataDxfId="644"/>
    <tableColumn id="6" xr3:uid="{8CCB4BE4-C81C-4D44-9C83-9C1D06D124ED}" name="W_PCT" dataDxfId="643"/>
    <tableColumn id="7" xr3:uid="{CBFCB946-C288-4EF2-BF0C-97BE81EC26D6}" name="MIN" dataDxfId="642"/>
    <tableColumn id="8" xr3:uid="{CD987170-6F2E-49E1-8C05-F1E47FE01237}" name="E_OFF_RATING" dataDxfId="641"/>
    <tableColumn id="9" xr3:uid="{5C551D0F-85A8-48EA-8D5A-6AF06000BFBE}" name="OFF_RATING" dataDxfId="640"/>
    <tableColumn id="10" xr3:uid="{A563BD97-E317-49B9-A2AB-0992FC38B453}" name="E_DEF_RATING" dataDxfId="639"/>
    <tableColumn id="11" xr3:uid="{B88A4FBC-E4EB-4323-B9BE-DC0205EE7BF3}" name="DEF_RATING" dataDxfId="638"/>
    <tableColumn id="12" xr3:uid="{C8A0CDDF-A788-41B6-A536-7B6E76C100B0}" name="E_NET_RATING" dataDxfId="637"/>
    <tableColumn id="13" xr3:uid="{B04981B3-E130-4AD1-9C8C-841D0DF2A285}" name="NET_RATING" dataDxfId="636"/>
    <tableColumn id="14" xr3:uid="{713DC62E-82F5-428F-A5B5-AF951E472BE4}" name="AST_PCT" dataDxfId="635"/>
    <tableColumn id="15" xr3:uid="{D6F2EBBC-EA71-484A-9E22-7D7478522588}" name="AST_TO" dataDxfId="634"/>
    <tableColumn id="16" xr3:uid="{EBECF5BA-1C6E-4B2A-8154-CA3456F4B7AD}" name="AST_RATIO" dataDxfId="633"/>
    <tableColumn id="17" xr3:uid="{B1CC5054-A088-411F-8A0C-DFBAA47B78BF}" name="OREB_PCT" dataDxfId="632"/>
    <tableColumn id="18" xr3:uid="{C8F06BEA-317C-4995-A1EB-C93875959DC1}" name="DREB_PCT" dataDxfId="631"/>
    <tableColumn id="19" xr3:uid="{F145A118-70EA-4522-ACC7-E02722195648}" name="REB_PCT" dataDxfId="630"/>
    <tableColumn id="20" xr3:uid="{17CBCDA5-1F8F-4F4B-AA03-BC9F8A87ACFB}" name="TM_TOV_PCT" dataDxfId="629"/>
    <tableColumn id="21" xr3:uid="{DEC16048-AC93-45D1-8DF0-48D5E39A3E13}" name="EFG_PCT" dataDxfId="628"/>
    <tableColumn id="22" xr3:uid="{D103492F-2753-4731-ADDD-134299FB6292}" name="TS_PCT" dataDxfId="627"/>
    <tableColumn id="23" xr3:uid="{EB9A20F1-8EE0-4D03-A233-25B6D376D3A0}" name="E_PACE" dataDxfId="626"/>
    <tableColumn id="24" xr3:uid="{0BD95E65-C0C3-4CE1-AAE8-C092931983F7}" name="PACE" dataDxfId="625"/>
    <tableColumn id="25" xr3:uid="{E7454E80-E629-49DD-A947-5ED27D5F3EB1}" name="PACE_PER40" dataDxfId="624"/>
    <tableColumn id="26" xr3:uid="{5426CB64-EA7A-424E-ABA0-9CC114732436}" name="POSS" dataDxfId="623"/>
    <tableColumn id="27" xr3:uid="{203C1081-B2D1-4A60-8D31-8CE6EAC8598D}" name="PIE" dataDxfId="622"/>
    <tableColumn id="28" xr3:uid="{B62DB5BA-F7F4-4841-9AC0-D713AF343148}" name="GP_RANK" dataDxfId="621"/>
    <tableColumn id="29" xr3:uid="{F1E0962D-AF30-4C36-8167-0843C75B22EB}" name="W_RANK" dataDxfId="620"/>
    <tableColumn id="30" xr3:uid="{4191DC62-A9E9-4E51-9002-7DEBFBEA4187}" name="L_RANK" dataDxfId="619"/>
    <tableColumn id="31" xr3:uid="{853FC5F4-666A-49F0-9841-E7BE0E9F9A10}" name="W_PCT_RANK" dataDxfId="618"/>
    <tableColumn id="32" xr3:uid="{69398327-3F9F-4E2B-A546-DB1248E38580}" name="MIN_RANK" dataDxfId="617"/>
    <tableColumn id="33" xr3:uid="{6A1D9EFE-6274-4BDE-A6DF-44D9E2006C8E}" name="OFF_RATING_RANK" dataDxfId="616"/>
    <tableColumn id="34" xr3:uid="{D8B2C18C-B6FC-4E38-A259-347FC726C4AA}" name="DEF_RATING_RANK" dataDxfId="615"/>
    <tableColumn id="35" xr3:uid="{E71B7B8C-3122-44CD-A2EC-F716BC44E81A}" name="NET_RATING_RANK" dataDxfId="614"/>
    <tableColumn id="36" xr3:uid="{5B4749A6-D64F-49E1-A321-B9B6F717851B}" name="AST_PCT_RANK" dataDxfId="613"/>
    <tableColumn id="37" xr3:uid="{082DB3DB-9FBC-415C-A09A-43E6DEEC02A7}" name="AST_TO_RANK" dataDxfId="612"/>
    <tableColumn id="38" xr3:uid="{3489E906-E4BF-429E-A11B-0F76B4F90303}" name="AST_RATIO_RANK" dataDxfId="611"/>
    <tableColumn id="39" xr3:uid="{C3CECB73-42BE-41FF-BD4A-2A46CC78C7A8}" name="OREB_PCT_RANK" dataDxfId="610"/>
    <tableColumn id="40" xr3:uid="{90B9D912-6A7D-4BE6-B610-49CC172BA968}" name="DREB_PCT_RANK" dataDxfId="609"/>
    <tableColumn id="41" xr3:uid="{E71A61C0-7F1A-4F83-B580-8559D1F148CD}" name="REB_PCT_RANK" dataDxfId="608"/>
    <tableColumn id="42" xr3:uid="{890EBA54-B747-4C59-8B91-74312D400A97}" name="TM_TOV_PCT_RANK" dataDxfId="607"/>
    <tableColumn id="43" xr3:uid="{9F373663-8076-4ACA-9421-CEE02EC2B70F}" name="EFG_PCT_RANK" dataDxfId="606"/>
    <tableColumn id="44" xr3:uid="{99A96D8B-84F6-44FA-BA5A-729C076C4431}" name="TS_PCT_RANK" dataDxfId="605"/>
    <tableColumn id="45" xr3:uid="{E3BEB236-0F61-4917-BFD3-71BE33EEA1E8}" name="PACE_RANK" dataDxfId="604"/>
    <tableColumn id="46" xr3:uid="{5748B3E3-4ACB-45F8-A75C-9DDD85194A2F}" name="PIE_RANK" dataDxfId="603"/>
    <tableColumn id="47" xr3:uid="{7F988EA5-1CFD-45AF-A743-D5A9E5310C3C}" name="CFID" dataDxfId="602"/>
    <tableColumn id="48" xr3:uid="{12A74DCB-F02B-407F-A3A4-D55C6A272BAD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F1C35D1-5530-45CA-B6D3-946A4171E570}" name="TableAdvancedN1Bench" displayName="TableAdvancedN1Bench" ref="A1:AV31" totalsRowShown="0" headerRowDxfId="502">
  <autoFilter ref="A1:AV31" xr:uid="{CB3D2AC3-1699-4AD6-8964-0D98BB94D56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3738CB75-DDEE-4DC3-85A5-A19B09C1A1BF}" name="TEAM_ID" dataDxfId="550"/>
    <tableColumn id="2" xr3:uid="{3899964F-7D4B-4A22-91A7-6A76B8CF8557}" name="TEAM_NAME" dataDxfId="549"/>
    <tableColumn id="3" xr3:uid="{7713F7F1-C2A8-4175-ABFD-A3D6B948C2C3}" name="GP" dataDxfId="548"/>
    <tableColumn id="4" xr3:uid="{DF8360FB-F92C-40E1-9443-A4A4225B8C6E}" name="W" dataDxfId="547"/>
    <tableColumn id="5" xr3:uid="{50F40600-831B-4AEA-B188-F1F0F3F9E2BE}" name="L" dataDxfId="546"/>
    <tableColumn id="6" xr3:uid="{B5EA022F-94A5-4649-8975-5E7D4365697A}" name="W_PCT" dataDxfId="545"/>
    <tableColumn id="7" xr3:uid="{2EFB13F8-ADCE-4F9A-8D40-FD2FFF2D7E12}" name="MIN" dataDxfId="544"/>
    <tableColumn id="8" xr3:uid="{6F01D508-ABE4-421A-85C0-C58AD154AB49}" name="E_OFF_RATING" dataDxfId="543"/>
    <tableColumn id="9" xr3:uid="{459CC94E-2A0B-4988-9287-1ABA26F168F9}" name="OFF_RATING" dataDxfId="542"/>
    <tableColumn id="10" xr3:uid="{D9C28C27-32FB-4A47-9FEA-FB527C5AD7C2}" name="E_DEF_RATING" dataDxfId="541"/>
    <tableColumn id="11" xr3:uid="{7083FBE2-2D13-4AD3-BD57-DAF7C4C8FED8}" name="DEF_RATING" dataDxfId="540"/>
    <tableColumn id="12" xr3:uid="{4ED41C05-799C-4B99-8EBB-A466446586C8}" name="E_NET_RATING" dataDxfId="539"/>
    <tableColumn id="13" xr3:uid="{B123530D-3638-4DA6-89B0-53D3960C64FD}" name="NET_RATING" dataDxfId="538"/>
    <tableColumn id="14" xr3:uid="{175273A1-3D3E-4100-9073-A27B621C8D81}" name="AST_PCT" dataDxfId="537"/>
    <tableColumn id="15" xr3:uid="{76BAE9CC-A731-49B0-B460-D9B71F376DBA}" name="AST_TO" dataDxfId="536"/>
    <tableColumn id="16" xr3:uid="{984A9085-9460-4099-BC49-71BBB5A4F7BB}" name="AST_RATIO" dataDxfId="535"/>
    <tableColumn id="17" xr3:uid="{30155E56-85F6-4B5A-BB21-E1EF387E90D7}" name="OREB_PCT" dataDxfId="534"/>
    <tableColumn id="18" xr3:uid="{57AC5501-4D0A-4682-95AE-A5D7B6CE71C4}" name="DREB_PCT" dataDxfId="533"/>
    <tableColumn id="19" xr3:uid="{E3A009F7-31AD-421B-8711-BBB46763E751}" name="REB_PCT" dataDxfId="532"/>
    <tableColumn id="20" xr3:uid="{E1B3B0CB-4350-4B50-A80A-CF044BA0FFA0}" name="TM_TOV_PCT" dataDxfId="531"/>
    <tableColumn id="21" xr3:uid="{8D634430-9AB2-4F9B-8C97-9C1EB8006DE1}" name="EFG_PCT" dataDxfId="530"/>
    <tableColumn id="22" xr3:uid="{7E32FBB9-2EE4-48FD-A173-3F62715FC558}" name="TS_PCT" dataDxfId="529"/>
    <tableColumn id="23" xr3:uid="{17F3AA88-AC83-402C-9CCA-03AB5134411A}" name="E_PACE" dataDxfId="528"/>
    <tableColumn id="24" xr3:uid="{5B7D17BE-81CC-4C43-B397-519A6A0D4255}" name="PACE" dataDxfId="527"/>
    <tableColumn id="25" xr3:uid="{2927C483-49CA-40CD-A27B-5466F8BE4F73}" name="PACE_PER40" dataDxfId="526"/>
    <tableColumn id="26" xr3:uid="{A28DE508-8273-4654-B295-FFDB03BC0AC5}" name="POSS" dataDxfId="525"/>
    <tableColumn id="27" xr3:uid="{61CDCCE3-AC40-4FA5-801D-AA38FF7BBBC7}" name="PIE" dataDxfId="524"/>
    <tableColumn id="28" xr3:uid="{5C8FB465-D68D-4E6D-80EC-B3ED28FC935A}" name="GP_RANK" dataDxfId="523"/>
    <tableColumn id="29" xr3:uid="{70444DA2-9A10-41FA-BCA2-65AB97BBB532}" name="W_RANK" dataDxfId="522"/>
    <tableColumn id="30" xr3:uid="{2FEC0C5F-A7AF-491C-9279-6B2A976E2D55}" name="L_RANK" dataDxfId="521"/>
    <tableColumn id="31" xr3:uid="{8DCD7936-3308-4234-AE28-E7475F8C0063}" name="W_PCT_RANK" dataDxfId="520"/>
    <tableColumn id="32" xr3:uid="{AAB6C244-B00D-49AA-A51C-E7BFDB4AE8A8}" name="MIN_RANK" dataDxfId="519"/>
    <tableColumn id="33" xr3:uid="{161AEAA3-33E7-44FC-AB52-382E19F9F529}" name="OFF_RATING_RANK" dataDxfId="518"/>
    <tableColumn id="34" xr3:uid="{B4BDE593-8DAF-4D36-AFFE-43FE8C8D45B5}" name="DEF_RATING_RANK" dataDxfId="517"/>
    <tableColumn id="35" xr3:uid="{1593B605-B8FF-4CFA-A05D-A6AEF5B7E7BA}" name="NET_RATING_RANK" dataDxfId="516"/>
    <tableColumn id="36" xr3:uid="{ABC05711-ECB2-4E88-9FE7-90BF57C823B2}" name="AST_PCT_RANK" dataDxfId="515"/>
    <tableColumn id="37" xr3:uid="{764EDD78-F784-4374-A0C8-EDB80A2FF6E4}" name="AST_TO_RANK" dataDxfId="514"/>
    <tableColumn id="38" xr3:uid="{5120D002-2264-4BAD-AF84-FA7BD2A3A373}" name="AST_RATIO_RANK" dataDxfId="513"/>
    <tableColumn id="39" xr3:uid="{C2F3CE32-1811-4DBE-AF52-1BCE2995CBCB}" name="OREB_PCT_RANK" dataDxfId="512"/>
    <tableColumn id="40" xr3:uid="{25C07657-982A-456F-908E-3594CEB9BC63}" name="DREB_PCT_RANK" dataDxfId="511"/>
    <tableColumn id="41" xr3:uid="{7F7F3119-8932-4986-B956-9B91F33EF0E7}" name="REB_PCT_RANK" dataDxfId="510"/>
    <tableColumn id="42" xr3:uid="{0E1EDED4-E913-4369-ABCD-0894771A7E62}" name="TM_TOV_PCT_RANK" dataDxfId="509"/>
    <tableColumn id="43" xr3:uid="{3A591690-5623-47BD-B0BC-B1EC152A9620}" name="EFG_PCT_RANK" dataDxfId="508"/>
    <tableColumn id="44" xr3:uid="{D3DA36D8-03C6-4A83-970B-3F8B4B06CB80}" name="TS_PCT_RANK" dataDxfId="507"/>
    <tableColumn id="45" xr3:uid="{339E1045-F441-4F51-A394-8CC0E96670EC}" name="PACE_RANK" dataDxfId="506"/>
    <tableColumn id="46" xr3:uid="{0BF0C810-3C44-41C4-9348-A9682955E023}" name="PIE_RANK" dataDxfId="505"/>
    <tableColumn id="47" xr3:uid="{4B041F4F-C111-4FA4-87A6-5179CCE8AC26}" name="CFID" dataDxfId="504"/>
    <tableColumn id="48" xr3:uid="{47D0D314-A266-4944-8A9F-CF10F726C6FC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5CF0CA7-1393-4785-8A85-08FF3728BB1B}" name="TableMiscN1" displayName="TableMiscN1" ref="A1:AD31" totalsRowShown="0" headerRowDxfId="440">
  <autoFilter ref="A1:AD31" xr:uid="{E2BA41E0-58C7-4E48-A609-7B0A03AA382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D2853F74-1ECB-4B0D-90D4-99F071254EBF}" name="TEAM_ID" dataDxfId="470"/>
    <tableColumn id="2" xr3:uid="{06B0A1FA-B290-4F61-AEEB-91B3D9C06199}" name="TEAM_NAME" dataDxfId="469"/>
    <tableColumn id="3" xr3:uid="{659267D3-E5AB-4873-BC3F-A58BE5655C13}" name="GP" dataDxfId="468"/>
    <tableColumn id="4" xr3:uid="{19D2C360-4F52-4ED3-B49B-535889148C59}" name="W" dataDxfId="467"/>
    <tableColumn id="5" xr3:uid="{48365579-AAE1-41C3-9493-D37124761B14}" name="L" dataDxfId="466"/>
    <tableColumn id="6" xr3:uid="{359F7779-99CD-4DBB-84B1-B6605FBF219F}" name="W_PCT" dataDxfId="465"/>
    <tableColumn id="7" xr3:uid="{9218A892-F1D6-4448-9A76-E1B1F643635B}" name="MIN" dataDxfId="464"/>
    <tableColumn id="8" xr3:uid="{A5F998CC-2FBC-4D3C-8C91-E86E6922BBBA}" name="PTS_OFF_TOV" dataDxfId="463"/>
    <tableColumn id="9" xr3:uid="{F29C4F26-657E-45CE-9FB5-A9099FF89C5C}" name="PTS_2ND_CHANCE" dataDxfId="462"/>
    <tableColumn id="10" xr3:uid="{A30E3103-2DCF-4A69-BA65-AB3C6914BE80}" name="PTS_FB" dataDxfId="461"/>
    <tableColumn id="11" xr3:uid="{B3841C81-6347-4736-B60A-A354B517B302}" name="PTS_PAINT" dataDxfId="460"/>
    <tableColumn id="12" xr3:uid="{12FFEC13-B3D5-45FD-B5EA-BBF2F4047FAD}" name="OPP_PTS_OFF_TOV" dataDxfId="459"/>
    <tableColumn id="13" xr3:uid="{95BD7586-F0E5-439A-BB08-0C1F4E48A8A1}" name="OPP_PTS_2ND_CHANCE" dataDxfId="458"/>
    <tableColumn id="14" xr3:uid="{36AB0F80-0061-4D17-9768-AD5B71C0BF2B}" name="OPP_PTS_FB" dataDxfId="457"/>
    <tableColumn id="15" xr3:uid="{9468211D-B2E9-4702-BBE4-9D12F146A0B4}" name="OPP_PTS_PAINT" dataDxfId="456"/>
    <tableColumn id="16" xr3:uid="{FF68E725-511F-4417-9EFC-B929E6CD1B06}" name="GP_RANK" dataDxfId="455"/>
    <tableColumn id="17" xr3:uid="{5F186B68-C863-47F6-9123-03CDA0DA3156}" name="W_RANK" dataDxfId="454"/>
    <tableColumn id="18" xr3:uid="{72EB4125-D2B2-4A94-834E-41B6B7D3588F}" name="L_RANK" dataDxfId="453"/>
    <tableColumn id="19" xr3:uid="{9BB4EBBA-8EE6-421F-8EBF-6DEDF45563BF}" name="W_PCT_RANK" dataDxfId="452"/>
    <tableColumn id="20" xr3:uid="{E5C5AA3D-12F9-4A02-BF65-832E87535C49}" name="MIN_RANK" dataDxfId="451"/>
    <tableColumn id="21" xr3:uid="{47592EE3-DDB7-4531-9FBB-6F7267CA2571}" name="PTS_OFF_TOV_RANK" dataDxfId="450"/>
    <tableColumn id="22" xr3:uid="{8B3A31CC-DEC1-482B-AA88-885AD5A754C1}" name="PTS_2ND_CHANCE_RANK" dataDxfId="449"/>
    <tableColumn id="23" xr3:uid="{809C7F2A-64C0-4735-B86A-39C17E22E47E}" name="PTS_FB_RANK" dataDxfId="448"/>
    <tableColumn id="24" xr3:uid="{1EA9084D-A2C8-4512-8823-2F4167B0A055}" name="PTS_PAINT_RANK" dataDxfId="447"/>
    <tableColumn id="25" xr3:uid="{59D25AB7-077A-4681-AC8D-3BDE25C82B8B}" name="OPP_PTS_OFF_TOV_RANK" dataDxfId="446"/>
    <tableColumn id="26" xr3:uid="{477C5072-12A3-4239-B958-34ED146E2A8D}" name="OPP_PTS_2ND_CHANCE_RANK" dataDxfId="445"/>
    <tableColumn id="27" xr3:uid="{0DE6BB9D-9460-40F5-A4CC-39AD7878E609}" name="OPP_PTS_FB_RANK" dataDxfId="444"/>
    <tableColumn id="28" xr3:uid="{182CF987-57ED-4AA8-AEA7-54A6CA8AC84C}" name="OPP_PTS_PAINT_RANK" dataDxfId="443"/>
    <tableColumn id="29" xr3:uid="{9A9E3DE9-3C1F-4A39-8CCE-EFD4ED69B999}" name="CFID" dataDxfId="442"/>
    <tableColumn id="30" xr3:uid="{9DDF57C8-C20A-443D-9796-CAAD6849C70D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7EC8548-DF6D-4873-B10E-97F4D1FE4FB2}" name="TableOppBaseN1" displayName="TableOppBaseN1" ref="A1:BD31" totalsRowShown="0" headerRowDxfId="326">
  <autoFilter ref="A1:BD31" xr:uid="{89813A96-61DC-4E41-80E0-24E8798E87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555715AD-63A4-4401-9A23-30784ABB14F1}" name="TEAM_ID" dataDxfId="382"/>
    <tableColumn id="2" xr3:uid="{F9BE929D-D9AB-447A-A6BC-F5F9EEE33E75}" name="TEAM_NAME" dataDxfId="381"/>
    <tableColumn id="3" xr3:uid="{815F2A69-118A-4813-8BB6-17DEFAF4DAC6}" name="GP" dataDxfId="380"/>
    <tableColumn id="4" xr3:uid="{51D143C0-A62E-4730-9037-92FF78ABB3C0}" name="W" dataDxfId="379"/>
    <tableColumn id="5" xr3:uid="{E07F9EE2-98B9-4370-BCC5-D494FE4AE9AE}" name="L" dataDxfId="378"/>
    <tableColumn id="6" xr3:uid="{6616E87D-60CC-4A30-9602-3D7FCD7F0383}" name="W_PCT" dataDxfId="377"/>
    <tableColumn id="7" xr3:uid="{6BE32B5A-0547-46DC-833A-D9DEB8388DDA}" name="MIN" dataDxfId="376"/>
    <tableColumn id="8" xr3:uid="{CCE38814-C227-4546-9F33-3F903423879B}" name="OPP_FGM" dataDxfId="375"/>
    <tableColumn id="9" xr3:uid="{D214A0B0-6B1A-48F9-9FAD-A79029ABA613}" name="OPP_FGA" dataDxfId="374"/>
    <tableColumn id="10" xr3:uid="{38E207CB-27B1-475B-95BC-379C6229266C}" name="OPP_FG_PCT" dataDxfId="373"/>
    <tableColumn id="11" xr3:uid="{B2531148-EF8A-4466-BC25-F4EAE5033791}" name="OPP_FG3M" dataDxfId="372"/>
    <tableColumn id="12" xr3:uid="{AA1B3F00-DD7A-4F76-BA6D-0B2E3A29A6A2}" name="OPP_FG3A" dataDxfId="371"/>
    <tableColumn id="13" xr3:uid="{6EE54C0C-F436-40A8-94E7-8FBC48D3E704}" name="OPP_FG3_PCT" dataDxfId="370"/>
    <tableColumn id="14" xr3:uid="{31ECDAD4-A892-4F12-A6A5-7CCD9F66E1FD}" name="OPP_FTM" dataDxfId="369"/>
    <tableColumn id="15" xr3:uid="{9B3E85E3-6946-4240-B291-20B3FAB59EFA}" name="OPP_FTA" dataDxfId="368"/>
    <tableColumn id="16" xr3:uid="{E9E47D9F-9224-4373-ABD0-0E6FE72761A3}" name="OPP_FT_PCT" dataDxfId="367"/>
    <tableColumn id="17" xr3:uid="{DDE1BE2C-8BB4-4870-BA72-1E1BDE2F3E75}" name="OPP_OREB" dataDxfId="366"/>
    <tableColumn id="18" xr3:uid="{BB067B07-EB81-4267-9446-1B6FEB29F81B}" name="OPP_DREB" dataDxfId="365"/>
    <tableColumn id="19" xr3:uid="{A18229DE-6706-4896-8BE5-A6E157CE4D2D}" name="OPP_REB" dataDxfId="364"/>
    <tableColumn id="20" xr3:uid="{36E18A97-2249-4422-8555-5B348665F230}" name="OPP_AST" dataDxfId="363"/>
    <tableColumn id="21" xr3:uid="{66D2DC3C-537F-466B-8995-17B0077820D4}" name="OPP_TOV" dataDxfId="362"/>
    <tableColumn id="22" xr3:uid="{5C557F14-EE27-4DA5-8F5F-5ED23F821F55}" name="OPP_STL" dataDxfId="361"/>
    <tableColumn id="23" xr3:uid="{788B22CC-E42E-42F2-9F4B-695AA1BCB731}" name="OPP_BLK" dataDxfId="360"/>
    <tableColumn id="24" xr3:uid="{969E13E4-0FEF-426A-86F1-2E80D85F355D}" name="OPP_BLKA" dataDxfId="359"/>
    <tableColumn id="25" xr3:uid="{6F2E28AA-195E-44FA-B707-80DD57F3CB00}" name="OPP_PF" dataDxfId="358"/>
    <tableColumn id="26" xr3:uid="{E4F4DA9E-E6B6-47D7-8888-90F622CDA384}" name="OPP_PFD" dataDxfId="357"/>
    <tableColumn id="27" xr3:uid="{40344CFB-9961-442E-BF93-DB31EDE3928E}" name="OPP_PTS" dataDxfId="356"/>
    <tableColumn id="28" xr3:uid="{8F5D2C70-D82D-420D-A436-F561A3B52A25}" name="PLUS_MINUS" dataDxfId="355"/>
    <tableColumn id="29" xr3:uid="{665B052E-8063-4061-AC1C-3787DACE5407}" name="GP_RANK" dataDxfId="354"/>
    <tableColumn id="30" xr3:uid="{64BC5B62-8AC7-45A1-BCE6-23848C040A24}" name="W_RANK" dataDxfId="353"/>
    <tableColumn id="31" xr3:uid="{34FBA5F7-E954-4889-A654-EEEF18BF2F35}" name="L_RANK" dataDxfId="352"/>
    <tableColumn id="32" xr3:uid="{2756A306-E256-45C6-991D-1371341BC974}" name="W_PCT_RANK" dataDxfId="351"/>
    <tableColumn id="33" xr3:uid="{4ACFC094-BFF3-4760-9DF2-6578E2C6A242}" name="MIN_RANK" dataDxfId="350"/>
    <tableColumn id="34" xr3:uid="{23E3E604-3F5B-4108-98E2-78DD0E2AE5E2}" name="OPP_FGM_RANK" dataDxfId="349"/>
    <tableColumn id="35" xr3:uid="{47584C20-B216-4739-B8AE-3547D3FEAC31}" name="OPP_FGA_RANK" dataDxfId="348"/>
    <tableColumn id="36" xr3:uid="{EBAEF146-1C06-436C-855C-BBFBFED0AAAE}" name="OPP_FG_PCT_RANK" dataDxfId="347"/>
    <tableColumn id="37" xr3:uid="{6140AF64-5A63-4AD6-BA47-E292894D0EEA}" name="OPP_FG3M_RANK" dataDxfId="346"/>
    <tableColumn id="38" xr3:uid="{2D0A3BED-449F-4961-961E-9F899015AD90}" name="OPP_FG3A_RANK" dataDxfId="345"/>
    <tableColumn id="39" xr3:uid="{E1CD8CE3-3563-4919-9AEA-AADA620AA52C}" name="OPP_FG3_PCT_RANK" dataDxfId="344"/>
    <tableColumn id="40" xr3:uid="{ACAF863B-164F-48E1-90E4-E905DFD8236C}" name="OPP_FTM_RANK" dataDxfId="343"/>
    <tableColumn id="41" xr3:uid="{04F31DA9-FF46-4627-BDE7-BA423EA10EF4}" name="OPP_FTA_RANK" dataDxfId="342"/>
    <tableColumn id="42" xr3:uid="{BFDA6711-3D26-49F6-9A5E-187342304716}" name="OPP_FT_PCT_RANK" dataDxfId="341"/>
    <tableColumn id="43" xr3:uid="{553E51D2-6A4F-4A07-878F-A78EE217324B}" name="OPP_OREB_RANK" dataDxfId="340"/>
    <tableColumn id="44" xr3:uid="{2D9E79EA-696A-4A1B-B614-6D60372933F1}" name="OPP_DREB_RANK" dataDxfId="339"/>
    <tableColumn id="45" xr3:uid="{29027491-110A-4130-8DFB-0AE98A2B4DE1}" name="OPP_REB_RANK" dataDxfId="338"/>
    <tableColumn id="46" xr3:uid="{787C107F-EFBA-4266-BA29-492BCC866190}" name="OPP_AST_RANK" dataDxfId="337"/>
    <tableColumn id="47" xr3:uid="{81E92BE6-863C-4C54-B821-9FFCEE59C4F0}" name="OPP_TOV_RANK" dataDxfId="336"/>
    <tableColumn id="48" xr3:uid="{EF47090B-53C8-4D15-A347-F5F263692AE6}" name="OPP_STL_RANK" dataDxfId="335"/>
    <tableColumn id="49" xr3:uid="{327D2500-61B9-4956-A54E-5E79DCD443BD}" name="OPP_BLK_RANK" dataDxfId="334"/>
    <tableColumn id="50" xr3:uid="{9D44517E-5F06-46CE-B7D0-3586A2ECEDFE}" name="OPP_BLKA_RANK" dataDxfId="333"/>
    <tableColumn id="51" xr3:uid="{E71D09E8-5CF7-423E-861C-11F6F439CF91}" name="OPP_PF_RANK" dataDxfId="332"/>
    <tableColumn id="52" xr3:uid="{AFC15E56-E494-41A5-B3BD-952A4D4F3E12}" name="OPP_PFD_RANK" dataDxfId="331"/>
    <tableColumn id="53" xr3:uid="{AE0CEE26-AAC6-461B-9DE6-C9C7D3A38853}" name="OPP_PTS_RANK" dataDxfId="330"/>
    <tableColumn id="54" xr3:uid="{851C186F-E1A7-4C68-8E71-359A506C68C5}" name="PLUS_MINUS_RANK" dataDxfId="329"/>
    <tableColumn id="55" xr3:uid="{7ACA053E-7FAC-4F12-88B4-296CA9255DB9}" name="CFID" dataDxfId="328"/>
    <tableColumn id="56" xr3:uid="{9648B48A-FC34-4A35-9429-767DDE2F5FE4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C13BEBA-26AC-42B0-B2BD-4D5C3FD79E17}" name="TableClutchBaseN1" displayName="TableClutchBaseN1" ref="A1:BD31" totalsRowShown="0" headerRowDxfId="212">
  <autoFilter ref="A1:BD31" xr:uid="{224C678C-18D5-4091-8E77-8E8FA1DC14F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994989A6-A824-41A2-8CA4-2E346E33DBFC}" name="TEAM_ID" dataDxfId="268"/>
    <tableColumn id="2" xr3:uid="{4692FB77-1A73-41E4-8E9E-E4E9F9413CCB}" name="TEAM_NAME" dataDxfId="267"/>
    <tableColumn id="3" xr3:uid="{4B96A7D7-3AAD-4E6A-BC36-C7C958003A6C}" name="GP" dataDxfId="266"/>
    <tableColumn id="4" xr3:uid="{383B55ED-13CE-4BF7-88BC-B787BA329745}" name="W" dataDxfId="265"/>
    <tableColumn id="5" xr3:uid="{7E36CF26-C5D5-4AAF-8097-CFF30D0014B0}" name="L" dataDxfId="264"/>
    <tableColumn id="6" xr3:uid="{709A7057-AA64-4DF5-BB9E-AA081A214C68}" name="W_PCT" dataDxfId="263"/>
    <tableColumn id="7" xr3:uid="{D49A4005-5CFF-4CAD-BD37-6DF204FF8068}" name="MIN" dataDxfId="262"/>
    <tableColumn id="8" xr3:uid="{2919FE8E-47BE-48E1-B8F3-824F4BFECBC9}" name="FGM" dataDxfId="261"/>
    <tableColumn id="9" xr3:uid="{D35E12B0-9835-4FD2-BB04-2501842E2AB9}" name="FGA" dataDxfId="260"/>
    <tableColumn id="10" xr3:uid="{C453AEE3-8A11-4270-A942-8987A911E98C}" name="FG_PCT" dataDxfId="259"/>
    <tableColumn id="11" xr3:uid="{DC47B609-B6D7-4B43-812D-42454C9A9E0E}" name="FG3M" dataDxfId="258"/>
    <tableColumn id="12" xr3:uid="{A35C22C9-2354-4E3A-86E0-12759CF4F7D1}" name="FG3A" dataDxfId="257"/>
    <tableColumn id="13" xr3:uid="{AD4DC59E-7FAB-4855-8591-3BA0676067ED}" name="FG3_PCT" dataDxfId="256"/>
    <tableColumn id="14" xr3:uid="{66AB9EAC-6B3C-4827-964C-14B852DE719F}" name="FTM" dataDxfId="255"/>
    <tableColumn id="15" xr3:uid="{207CE3CF-7CF6-45D8-AC6B-E4526BCF8216}" name="FTA" dataDxfId="254"/>
    <tableColumn id="16" xr3:uid="{6D7C9CB2-170C-4886-882C-1006BBFE76D4}" name="FT_PCT" dataDxfId="253"/>
    <tableColumn id="17" xr3:uid="{349F0013-ED66-4339-9FFB-FC81C21F80D2}" name="OREB" dataDxfId="252"/>
    <tableColumn id="18" xr3:uid="{795F59F4-A04B-42BA-9F6B-35CAD90A31D3}" name="DREB" dataDxfId="251"/>
    <tableColumn id="19" xr3:uid="{7A71F797-72FB-46A8-A795-954D72A75F30}" name="REB" dataDxfId="250"/>
    <tableColumn id="20" xr3:uid="{94918C97-8735-43A5-9EA9-48F656C664CA}" name="AST" dataDxfId="249"/>
    <tableColumn id="21" xr3:uid="{FC5D490E-B25D-4467-8260-FF8D1554F5C2}" name="TOV" dataDxfId="248"/>
    <tableColumn id="22" xr3:uid="{BCF8F6DB-C0ED-499B-8CDE-85627A3B2FDE}" name="STL" dataDxfId="247"/>
    <tableColumn id="23" xr3:uid="{1F2988AB-68FE-4A23-BFE5-FDF1831F8367}" name="BLK" dataDxfId="246"/>
    <tableColumn id="24" xr3:uid="{7B49D631-57E2-41D7-B8C0-E492B685D2A9}" name="BLKA" dataDxfId="245"/>
    <tableColumn id="25" xr3:uid="{DACD1D4F-B4A6-4412-A488-076C13A63199}" name="PF" dataDxfId="244"/>
    <tableColumn id="26" xr3:uid="{413276B1-2859-45AC-B5B7-D8EF570A6290}" name="PFD" dataDxfId="243"/>
    <tableColumn id="27" xr3:uid="{ECE4DD12-A99F-4CB6-957E-1B4FB6259DD0}" name="PTS" dataDxfId="242"/>
    <tableColumn id="28" xr3:uid="{1CB275B2-9D8E-48DF-9791-C82D4D578414}" name="PLUS_MINUS" dataDxfId="241"/>
    <tableColumn id="29" xr3:uid="{8A71C658-8EF9-41F5-8E52-15BC3A8D216F}" name="GP_RANK" dataDxfId="240"/>
    <tableColumn id="30" xr3:uid="{845B8217-CDCC-4797-B843-133585350A32}" name="W_RANK" dataDxfId="239"/>
    <tableColumn id="31" xr3:uid="{90C5A42D-4111-476F-A8F3-F14562F4949F}" name="L_RANK" dataDxfId="238"/>
    <tableColumn id="32" xr3:uid="{2C0E8E17-7273-4126-82DB-44CF9ECC9C9C}" name="W_PCT_RANK" dataDxfId="237"/>
    <tableColumn id="33" xr3:uid="{8FCADA4D-AE4B-43FD-95E3-6C517DC92994}" name="MIN_RANK" dataDxfId="236"/>
    <tableColumn id="34" xr3:uid="{8438CD6E-5B07-48F5-BBE6-3D698B9849CB}" name="FGM_RANK" dataDxfId="235"/>
    <tableColumn id="35" xr3:uid="{5AC1E0F6-41B7-41D6-A716-0EE6E53DE93E}" name="FGA_RANK" dataDxfId="234"/>
    <tableColumn id="36" xr3:uid="{CCAFE8C8-E782-4385-9959-27AD93C0B887}" name="FG_PCT_RANK" dataDxfId="233"/>
    <tableColumn id="37" xr3:uid="{E6AE7151-1864-44E5-A9D4-EE783176A315}" name="FG3M_RANK" dataDxfId="232"/>
    <tableColumn id="38" xr3:uid="{F73EBF0B-8019-4BEA-83B6-9E137011128E}" name="FG3A_RANK" dataDxfId="231"/>
    <tableColumn id="39" xr3:uid="{AEF1ED44-1D1A-4D9A-9363-ACA41C061557}" name="FG3_PCT_RANK" dataDxfId="230"/>
    <tableColumn id="40" xr3:uid="{42B08073-9710-4CE2-9F7A-B37382C75D39}" name="FTM_RANK" dataDxfId="229"/>
    <tableColumn id="41" xr3:uid="{11FBC329-B186-43E3-B2E4-340FF316E768}" name="FTA_RANK" dataDxfId="228"/>
    <tableColumn id="42" xr3:uid="{83366D20-E23E-4811-B056-60BBEFB35522}" name="FT_PCT_RANK" dataDxfId="227"/>
    <tableColumn id="43" xr3:uid="{14E62D11-3628-4607-B658-4D566A80B723}" name="OREB_RANK" dataDxfId="226"/>
    <tableColumn id="44" xr3:uid="{7029A0EC-34B9-4782-B8FC-AFED09A93B1F}" name="DREB_RANK" dataDxfId="225"/>
    <tableColumn id="45" xr3:uid="{5A1BBB1E-0D5C-4580-8F5A-9C8A8D9EFB28}" name="REB_RANK" dataDxfId="224"/>
    <tableColumn id="46" xr3:uid="{109B1651-B5EA-46E8-BC49-B3908686199A}" name="AST_RANK" dataDxfId="223"/>
    <tableColumn id="47" xr3:uid="{6FA816A2-CFA2-46F1-B185-56D7F1FA89D6}" name="TOV_RANK" dataDxfId="222"/>
    <tableColumn id="48" xr3:uid="{99367A07-4BEB-44DF-9DE2-ECD6FD30D17C}" name="STL_RANK" dataDxfId="221"/>
    <tableColumn id="49" xr3:uid="{04E6CBF5-546A-4AF0-A556-86F52E6AF202}" name="BLK_RANK" dataDxfId="220"/>
    <tableColumn id="50" xr3:uid="{9FC85D15-C40B-45F2-9107-92322463D3F9}" name="BLKA_RANK" dataDxfId="219"/>
    <tableColumn id="51" xr3:uid="{D68C0E43-554C-434C-9D2A-FA7FC4AB31EA}" name="PF_RANK" dataDxfId="218"/>
    <tableColumn id="52" xr3:uid="{7B0ADE66-98BD-439C-9EF4-FD81C1CC4981}" name="PFD_RANK" dataDxfId="217"/>
    <tableColumn id="53" xr3:uid="{37CE5C8A-DDAF-41DF-895A-4D6A4B19784A}" name="PTS_RANK" dataDxfId="216"/>
    <tableColumn id="54" xr3:uid="{9E10FD6C-7E26-4A08-8E8B-EE175CE320E4}" name="PLUS_MINUS_RANK" dataDxfId="215"/>
    <tableColumn id="55" xr3:uid="{DCBBB814-2A17-4C90-8421-9DC68431E6E6}" name="CFID" dataDxfId="214"/>
    <tableColumn id="56" xr3:uid="{99D7F7CF-96DF-461A-AE9E-6380624D61E4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703FADA-5832-47E5-9442-7153D86D1168}" name="TableClutchOpponentN1" displayName="TableClutchOpponentN1" ref="A1:BD31" totalsRowShown="0" headerRowDxfId="98">
  <autoFilter ref="A1:BD31" xr:uid="{070D5D89-368E-463F-8285-49A2CF36357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8F48FD5D-1B57-4E61-B1BF-F224969B46FE}" name="TEAM_ID" dataDxfId="154"/>
    <tableColumn id="2" xr3:uid="{89365C9F-15EA-426D-95BB-0C7B93FDDC53}" name="TEAM_NAME" dataDxfId="153"/>
    <tableColumn id="3" xr3:uid="{26345896-F0DC-49E2-85D2-43973116CADE}" name="GP" dataDxfId="152"/>
    <tableColumn id="4" xr3:uid="{825E91CA-8EDD-4442-9680-00ADE7590E67}" name="W" dataDxfId="151"/>
    <tableColumn id="5" xr3:uid="{4972F557-5239-4550-BD8D-3FB322678298}" name="L" dataDxfId="150"/>
    <tableColumn id="6" xr3:uid="{02C0B384-57E6-4ADC-9BBC-39F1BAC08D94}" name="W_PCT" dataDxfId="149"/>
    <tableColumn id="7" xr3:uid="{44A3C892-B25E-43DB-AA19-B420F50F3CB7}" name="MIN" dataDxfId="148"/>
    <tableColumn id="8" xr3:uid="{A75445FA-54E4-4DC8-A275-BC07D9C23AD1}" name="OPP_FGM" dataDxfId="147"/>
    <tableColumn id="9" xr3:uid="{8B72E2C7-1436-4C9F-9BCC-95BB560F070F}" name="OPP_FGA" dataDxfId="146"/>
    <tableColumn id="10" xr3:uid="{1E61EA9B-7894-4EFE-9727-03DB0CAF115A}" name="OPP_FG_PCT" dataDxfId="145"/>
    <tableColumn id="11" xr3:uid="{E6460F81-9E20-4BA0-91B9-AACBE859704E}" name="OPP_FG3M" dataDxfId="144"/>
    <tableColumn id="12" xr3:uid="{5F3BD043-31F5-4204-8C94-A9EA6DC33671}" name="OPP_FG3A" dataDxfId="143"/>
    <tableColumn id="13" xr3:uid="{0571F21A-3A03-461A-9C3A-B739C70347F0}" name="OPP_FG3_PCT" dataDxfId="142"/>
    <tableColumn id="14" xr3:uid="{32AE6F32-91E5-431C-B73A-6EA36EE9B069}" name="OPP_FTM" dataDxfId="141"/>
    <tableColumn id="15" xr3:uid="{9DE236D1-E102-4E0A-957A-144B534CB759}" name="OPP_FTA" dataDxfId="140"/>
    <tableColumn id="16" xr3:uid="{9573A655-4553-4191-A36E-609C79FA23A4}" name="OPP_FT_PCT" dataDxfId="139"/>
    <tableColumn id="17" xr3:uid="{3B3667EF-A2A1-4093-A8DB-B9529FE0D5D5}" name="OPP_OREB" dataDxfId="138"/>
    <tableColumn id="18" xr3:uid="{91661F5B-D8F1-493C-99F2-4BE574E55703}" name="OPP_DREB" dataDxfId="137"/>
    <tableColumn id="19" xr3:uid="{DFA40A77-40B7-4581-A9C8-C2B540D6D78B}" name="OPP_REB" dataDxfId="136"/>
    <tableColumn id="20" xr3:uid="{F5CBD893-DA37-4C42-BEBD-A6EFB967640C}" name="OPP_AST" dataDxfId="135"/>
    <tableColumn id="21" xr3:uid="{98DCBBB8-38DD-4073-B5A4-E85B41570418}" name="OPP_TOV" dataDxfId="134"/>
    <tableColumn id="22" xr3:uid="{FDB89C09-103E-495B-8ED6-F699D60562BF}" name="OPP_STL" dataDxfId="133"/>
    <tableColumn id="23" xr3:uid="{AEC4D169-B0C1-491F-9BCB-D144E7C5AE75}" name="OPP_BLK" dataDxfId="132"/>
    <tableColumn id="24" xr3:uid="{B679CA94-025B-4FFA-B21F-5B4F88143178}" name="OPP_BLKA" dataDxfId="131"/>
    <tableColumn id="25" xr3:uid="{03B7966A-D31E-45B9-B441-C12D9B20E22E}" name="OPP_PF" dataDxfId="130"/>
    <tableColumn id="26" xr3:uid="{9D7D16E7-E627-4BED-964D-E8E83CB8533B}" name="OPP_PFD" dataDxfId="129"/>
    <tableColumn id="27" xr3:uid="{5CEE4B54-12E7-4A13-A01C-155A575883A3}" name="OPP_PTS" dataDxfId="128"/>
    <tableColumn id="28" xr3:uid="{9197CE7A-CAEE-48C5-A65D-68D5849A8425}" name="PLUS_MINUS" dataDxfId="127"/>
    <tableColumn id="29" xr3:uid="{A0E61456-3CB7-4CB4-944B-0AA42DE61012}" name="GP_RANK" dataDxfId="126"/>
    <tableColumn id="30" xr3:uid="{EFBF18DE-E11D-49A8-81D6-4D30BD47CE2D}" name="W_RANK" dataDxfId="125"/>
    <tableColumn id="31" xr3:uid="{D6A6B00C-8B5F-4493-B49B-371279F5ABFF}" name="L_RANK" dataDxfId="124"/>
    <tableColumn id="32" xr3:uid="{FB61367C-2263-4808-8D2B-C8896BF2E232}" name="W_PCT_RANK" dataDxfId="123"/>
    <tableColumn id="33" xr3:uid="{CECD20F2-9B02-49DA-B54B-1B9579B21283}" name="MIN_RANK" dataDxfId="122"/>
    <tableColumn id="34" xr3:uid="{37A99F90-D141-4C30-BD8C-356BE6A738EC}" name="OPP_FGM_RANK" dataDxfId="121"/>
    <tableColumn id="35" xr3:uid="{A82CF176-ABD9-4CFF-8BE4-D3B9DA5B6B37}" name="OPP_FGA_RANK" dataDxfId="120"/>
    <tableColumn id="36" xr3:uid="{4F553004-59DA-4008-A4B4-2F1DFD07E245}" name="OPP_FG_PCT_RANK" dataDxfId="119"/>
    <tableColumn id="37" xr3:uid="{87C61F5F-C990-473A-BE28-C66D81B79CCE}" name="OPP_FG3M_RANK" dataDxfId="118"/>
    <tableColumn id="38" xr3:uid="{424468CB-3881-451B-B645-16BB1079C8C3}" name="OPP_FG3A_RANK" dataDxfId="117"/>
    <tableColumn id="39" xr3:uid="{1A57DED1-A4E8-43F9-96A3-3D111BB12C34}" name="OPP_FG3_PCT_RANK" dataDxfId="116"/>
    <tableColumn id="40" xr3:uid="{E92C1583-F43F-4769-A761-794131367428}" name="OPP_FTM_RANK" dataDxfId="115"/>
    <tableColumn id="41" xr3:uid="{5440010F-DEA2-473F-B594-7C381022AC54}" name="OPP_FTA_RANK" dataDxfId="114"/>
    <tableColumn id="42" xr3:uid="{AD07AD54-A97A-4E0E-B47E-E911A748DA68}" name="OPP_FT_PCT_RANK" dataDxfId="113"/>
    <tableColumn id="43" xr3:uid="{36A4FFA3-8F0A-492A-AA81-FF65D98505AD}" name="OPP_OREB_RANK" dataDxfId="112"/>
    <tableColumn id="44" xr3:uid="{BA439645-A0C7-48D7-83B2-0A1CFC1209E6}" name="OPP_DREB_RANK" dataDxfId="111"/>
    <tableColumn id="45" xr3:uid="{FF94439A-04C1-44C4-92A0-0E53F2B18F72}" name="OPP_REB_RANK" dataDxfId="110"/>
    <tableColumn id="46" xr3:uid="{15262459-35C8-46ED-807D-E5A451EFA84E}" name="OPP_AST_RANK" dataDxfId="109"/>
    <tableColumn id="47" xr3:uid="{E6BB0D17-7EB7-4223-83A0-94BBF6A6CC67}" name="OPP_TOV_RANK" dataDxfId="108"/>
    <tableColumn id="48" xr3:uid="{631F90F5-A2A4-43BF-A920-21886979CAE9}" name="OPP_STL_RANK" dataDxfId="107"/>
    <tableColumn id="49" xr3:uid="{CF33AA1F-D831-4CB2-BB4A-864D21525FC7}" name="OPP_BLK_RANK" dataDxfId="106"/>
    <tableColumn id="50" xr3:uid="{6152019E-3FEC-436F-A5D2-1536C360BB18}" name="OPP_BLKA_RANK" dataDxfId="105"/>
    <tableColumn id="51" xr3:uid="{A1F31049-2936-4644-92A8-CE437E0B5072}" name="OPP_PF_RANK" dataDxfId="104"/>
    <tableColumn id="52" xr3:uid="{4FD29840-6DA7-4720-AD6E-228FCF18C00A}" name="OPP_PFD_RANK" dataDxfId="103"/>
    <tableColumn id="53" xr3:uid="{C3C21D34-EA15-4538-84F6-70EFBB3DFE0D}" name="OPP_PTS_RANK" dataDxfId="102"/>
    <tableColumn id="54" xr3:uid="{90049FEF-EDA1-4761-BC58-B8CC2EB9D858}" name="PLUS_MINUS_RANK" dataDxfId="101"/>
    <tableColumn id="55" xr3:uid="{912AC9D3-1B3B-4D65-87F7-64DE30420C17}" name="CFID" dataDxfId="100"/>
    <tableColumn id="56" xr3:uid="{ED85E8DD-87BC-47E8-B535-E54B5B187F27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970137F-782F-45D8-AAC6-BF5672990B9F}" name="TableClutchAdvancedN1" displayName="TableClutchAdvancedN1" ref="A1:AV31" totalsRowShown="0" headerRowDxfId="0">
  <autoFilter ref="A1:AV31" xr:uid="{96D58811-F1B8-4708-9EC7-576181944A3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BFB8F019-699A-428D-B4D5-F44727F8E60B}" name="TEAM_ID" dataDxfId="48"/>
    <tableColumn id="2" xr3:uid="{31BC6FF3-75DF-46B1-8DC2-51E7F7090744}" name="TEAM_NAME" dataDxfId="47"/>
    <tableColumn id="3" xr3:uid="{53A12308-A6A0-4728-A29B-E7861058C7D4}" name="GP" dataDxfId="46"/>
    <tableColumn id="4" xr3:uid="{7A30AB33-E024-4798-B79C-8FB2DC14189C}" name="W" dataDxfId="45"/>
    <tableColumn id="5" xr3:uid="{E95AA246-BD17-48D5-986C-1862FEC0A15E}" name="L" dataDxfId="44"/>
    <tableColumn id="6" xr3:uid="{988358EC-DA96-43ED-92AB-342DC28AC74A}" name="W_PCT" dataDxfId="43"/>
    <tableColumn id="7" xr3:uid="{E94B1561-14ED-4F02-A863-E8B7880626D2}" name="MIN" dataDxfId="42"/>
    <tableColumn id="8" xr3:uid="{E7765298-34F0-4D50-B626-A03339E12FB8}" name="E_OFF_RATING" dataDxfId="41"/>
    <tableColumn id="9" xr3:uid="{13DF1BE1-05E7-418F-A7C0-D8A7F85C319E}" name="OFF_RATING" dataDxfId="40"/>
    <tableColumn id="10" xr3:uid="{BD32CEBC-060F-429A-9015-B5B64859CB7A}" name="E_DEF_RATING" dataDxfId="39"/>
    <tableColumn id="11" xr3:uid="{E710A6E4-0E79-4A96-9454-8E592A99013B}" name="DEF_RATING" dataDxfId="38"/>
    <tableColumn id="12" xr3:uid="{3D3C52E7-EE22-4E11-87B1-E0DA737F8E5E}" name="E_NET_RATING" dataDxfId="37"/>
    <tableColumn id="13" xr3:uid="{2DC3B96B-A92E-41CA-9781-2704AFDC3BA7}" name="NET_RATING" dataDxfId="36"/>
    <tableColumn id="14" xr3:uid="{BF8DCB5E-FDA8-4A3E-BD06-DD03B29A2BAF}" name="AST_PCT" dataDxfId="35"/>
    <tableColumn id="15" xr3:uid="{C6CEDDB1-A33C-486F-A2BE-D549E4FC656D}" name="AST_TO" dataDxfId="34"/>
    <tableColumn id="16" xr3:uid="{94F0997D-EE56-4A28-ABD0-5C2DAB1B79D4}" name="AST_RATIO" dataDxfId="33"/>
    <tableColumn id="17" xr3:uid="{24CF34E4-ED92-40D5-8B04-4B9DF8FCD327}" name="OREB_PCT" dataDxfId="32"/>
    <tableColumn id="18" xr3:uid="{E797898A-A177-4801-82C0-BFD1CDB833FA}" name="DREB_PCT" dataDxfId="31"/>
    <tableColumn id="19" xr3:uid="{420068F4-CFA7-4B60-8EC0-7DFBBCDBDD3E}" name="REB_PCT" dataDxfId="30"/>
    <tableColumn id="20" xr3:uid="{3FED9BDD-64A4-4BD7-867D-4DCA3BCDFE25}" name="TM_TOV_PCT" dataDxfId="29"/>
    <tableColumn id="21" xr3:uid="{654E4A06-DC02-4115-BD59-3C715EB95255}" name="EFG_PCT" dataDxfId="28"/>
    <tableColumn id="22" xr3:uid="{4F0BBAB8-787B-4E14-87CD-D82BDAF70384}" name="TS_PCT" dataDxfId="27"/>
    <tableColumn id="23" xr3:uid="{0C7130D1-7121-4216-BB26-22EBB1AA1227}" name="E_PACE" dataDxfId="26"/>
    <tableColumn id="24" xr3:uid="{CA7242C4-BF90-4CAB-BB6B-BA1F6A3C8739}" name="PACE" dataDxfId="25"/>
    <tableColumn id="25" xr3:uid="{D811AACF-B48F-4E34-B6E7-024AA6C14025}" name="PACE_PER40" dataDxfId="24"/>
    <tableColumn id="26" xr3:uid="{CFD85DF2-EB56-4C91-BB28-1AED6CAC1D5D}" name="POSS" dataDxfId="23"/>
    <tableColumn id="27" xr3:uid="{05FFB853-6B04-4A62-9AB5-69BA713AE406}" name="PIE" dataDxfId="22"/>
    <tableColumn id="28" xr3:uid="{48BB4CFD-A571-4515-BB7E-1D79DD8D4BE0}" name="GP_RANK" dataDxfId="21"/>
    <tableColumn id="29" xr3:uid="{C6FF9791-1F4B-4EB1-AD34-B20D36D4C558}" name="W_RANK" dataDxfId="20"/>
    <tableColumn id="30" xr3:uid="{505C5481-5588-4046-A939-A09ABB70884F}" name="L_RANK" dataDxfId="19"/>
    <tableColumn id="31" xr3:uid="{EA812650-083C-4E22-A3FC-59FC341CB92E}" name="W_PCT_RANK" dataDxfId="18"/>
    <tableColumn id="32" xr3:uid="{501A46DB-F3E6-4CBD-B0AA-ECF70D46E2AB}" name="MIN_RANK" dataDxfId="17"/>
    <tableColumn id="33" xr3:uid="{050DA7B1-9639-411B-BC57-53D37D2205A9}" name="OFF_RATING_RANK" dataDxfId="16"/>
    <tableColumn id="34" xr3:uid="{722D40EE-2188-48B3-9383-CD7D0A83A09D}" name="DEF_RATING_RANK" dataDxfId="15"/>
    <tableColumn id="35" xr3:uid="{CE4F98F9-7C29-4D45-A321-75BAE5AD1CDC}" name="NET_RATING_RANK" dataDxfId="14"/>
    <tableColumn id="36" xr3:uid="{E6F127BE-DA3F-459D-99DE-6642A25FCAC8}" name="AST_PCT_RANK" dataDxfId="13"/>
    <tableColumn id="37" xr3:uid="{C16CD097-24FF-4B7F-B305-6676A5D37795}" name="AST_TO_RANK" dataDxfId="12"/>
    <tableColumn id="38" xr3:uid="{3783CE4D-5473-49EE-AADA-77775908B493}" name="AST_RATIO_RANK" dataDxfId="11"/>
    <tableColumn id="39" xr3:uid="{872B58C6-2CBC-4122-816F-C791EE23DD95}" name="OREB_PCT_RANK" dataDxfId="10"/>
    <tableColumn id="40" xr3:uid="{9EF0556B-A891-44A4-81A0-EA81D312A978}" name="DREB_PCT_RANK" dataDxfId="9"/>
    <tableColumn id="41" xr3:uid="{562D9E7D-419C-41FB-91F3-D137312CA1ED}" name="REB_PCT_RANK" dataDxfId="8"/>
    <tableColumn id="42" xr3:uid="{D0FF4B04-BD7B-469A-A5CB-43408410D03A}" name="TM_TOV_PCT_RANK" dataDxfId="7"/>
    <tableColumn id="43" xr3:uid="{DAC5E7E0-FCFD-4DDC-8EF6-5B5A8E3FD1FE}" name="EFG_PCT_RANK" dataDxfId="6"/>
    <tableColumn id="44" xr3:uid="{7B19E199-483F-4039-A35B-A7D5736D05A0}" name="TS_PCT_RANK" dataDxfId="5"/>
    <tableColumn id="45" xr3:uid="{48690CFE-1B0D-4DEA-8A4F-F74E4FB4E6F1}" name="PACE_RANK" dataDxfId="4"/>
    <tableColumn id="46" xr3:uid="{6183BC40-D483-4661-A4D7-C12ADF7E221F}" name="PIE_RANK" dataDxfId="3"/>
    <tableColumn id="47" xr3:uid="{6611D5F9-B08C-4F98-A834-E364F4F7041B}" name="CFID" dataDxfId="2"/>
    <tableColumn id="48" xr3:uid="{5C5ABCB4-B52A-4E15-BB42-DBB4EE40750B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workbookViewId="0">
      <selection activeCell="I63" sqref="I63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1410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1415</v>
      </c>
      <c r="D3" s="2">
        <v>6</v>
      </c>
      <c r="F3" s="1" t="s">
        <v>1411</v>
      </c>
      <c r="G3" s="2">
        <v>7</v>
      </c>
    </row>
    <row r="4" spans="1:7" x14ac:dyDescent="0.25">
      <c r="A4" s="23"/>
      <c r="B4" s="5" t="s">
        <v>6</v>
      </c>
      <c r="C4" s="11">
        <v>0.51200000000000001</v>
      </c>
      <c r="F4" s="11">
        <v>0.42899999999999999</v>
      </c>
    </row>
    <row r="5" spans="1:7" x14ac:dyDescent="0.25">
      <c r="A5" s="23"/>
      <c r="B5" s="5" t="s">
        <v>7</v>
      </c>
      <c r="C5" s="1" t="s">
        <v>1416</v>
      </c>
      <c r="F5" s="1" t="s">
        <v>1412</v>
      </c>
    </row>
    <row r="6" spans="1:7" x14ac:dyDescent="0.25">
      <c r="A6" s="23"/>
      <c r="B6" s="5" t="s">
        <v>2</v>
      </c>
      <c r="C6" s="1" t="s">
        <v>1417</v>
      </c>
      <c r="F6" s="1" t="s">
        <v>1413</v>
      </c>
    </row>
    <row r="7" spans="1:7" x14ac:dyDescent="0.25">
      <c r="A7" s="23"/>
      <c r="B7" s="5" t="s">
        <v>3</v>
      </c>
      <c r="C7" s="1" t="s">
        <v>1418</v>
      </c>
      <c r="F7" s="1" t="s">
        <v>1414</v>
      </c>
    </row>
    <row r="8" spans="1:7" x14ac:dyDescent="0.25">
      <c r="A8" s="23"/>
      <c r="B8" s="5" t="s">
        <v>0</v>
      </c>
      <c r="C8" s="1" t="s">
        <v>1419</v>
      </c>
      <c r="F8" s="1" t="s">
        <v>1411</v>
      </c>
    </row>
    <row r="9" spans="1:7" x14ac:dyDescent="0.25">
      <c r="A9" s="23"/>
      <c r="B9" s="5" t="s">
        <v>1</v>
      </c>
      <c r="C9" s="1" t="s">
        <v>1420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0.44900000000000001</v>
      </c>
      <c r="D11" s="3">
        <v>25</v>
      </c>
      <c r="F11" s="9">
        <v>0.44700000000000001</v>
      </c>
      <c r="G11" s="3">
        <v>18</v>
      </c>
    </row>
    <row r="12" spans="1:7" x14ac:dyDescent="0.25">
      <c r="A12" s="23"/>
      <c r="B12" s="14" t="s">
        <v>36</v>
      </c>
      <c r="C12" s="8">
        <v>40.299999999999997</v>
      </c>
      <c r="D12" s="3">
        <v>20</v>
      </c>
      <c r="F12" s="8">
        <v>40.9</v>
      </c>
      <c r="G12" s="3">
        <v>12</v>
      </c>
    </row>
    <row r="13" spans="1:7" x14ac:dyDescent="0.25">
      <c r="A13" s="23"/>
      <c r="B13" s="14" t="s">
        <v>37</v>
      </c>
      <c r="C13" s="8">
        <v>89.7</v>
      </c>
      <c r="D13" s="3">
        <v>14</v>
      </c>
      <c r="F13" s="8">
        <v>91.4</v>
      </c>
      <c r="G13" s="3">
        <v>7</v>
      </c>
    </row>
    <row r="14" spans="1:7" x14ac:dyDescent="0.25">
      <c r="A14" s="23"/>
      <c r="B14" s="14" t="s">
        <v>27</v>
      </c>
      <c r="C14" s="9">
        <v>0.35299999999999998</v>
      </c>
      <c r="D14" s="3">
        <v>14</v>
      </c>
      <c r="F14" s="9">
        <v>0.34</v>
      </c>
      <c r="G14" s="3">
        <v>23</v>
      </c>
    </row>
    <row r="15" spans="1:7" x14ac:dyDescent="0.25">
      <c r="A15" s="23"/>
      <c r="B15" s="14" t="s">
        <v>38</v>
      </c>
      <c r="C15" s="8">
        <v>12.8</v>
      </c>
      <c r="D15" s="3">
        <v>5</v>
      </c>
      <c r="F15" s="8">
        <v>12.5</v>
      </c>
      <c r="G15" s="3">
        <v>13</v>
      </c>
    </row>
    <row r="16" spans="1:7" x14ac:dyDescent="0.25">
      <c r="A16" s="23"/>
      <c r="B16" s="14" t="s">
        <v>39</v>
      </c>
      <c r="C16" s="8">
        <v>36.200000000000003</v>
      </c>
      <c r="D16" s="3">
        <v>5</v>
      </c>
      <c r="F16" s="8">
        <v>36.700000000000003</v>
      </c>
      <c r="G16" s="3">
        <v>6</v>
      </c>
    </row>
    <row r="17" spans="1:7" x14ac:dyDescent="0.25">
      <c r="A17" s="23"/>
      <c r="B17" s="14" t="s">
        <v>28</v>
      </c>
      <c r="C17" s="9">
        <v>0.745</v>
      </c>
      <c r="D17" s="3">
        <v>24</v>
      </c>
      <c r="F17" s="9">
        <v>0.746</v>
      </c>
      <c r="G17" s="3">
        <v>23</v>
      </c>
    </row>
    <row r="18" spans="1:7" x14ac:dyDescent="0.25">
      <c r="A18" s="23"/>
      <c r="B18" s="14" t="s">
        <v>41</v>
      </c>
      <c r="C18" s="8">
        <v>19</v>
      </c>
      <c r="D18" s="3">
        <v>6</v>
      </c>
      <c r="F18" s="8">
        <v>19.3</v>
      </c>
      <c r="G18" s="3">
        <v>11</v>
      </c>
    </row>
    <row r="19" spans="1:7" x14ac:dyDescent="0.25">
      <c r="A19" s="23"/>
      <c r="B19" s="14" t="s">
        <v>40</v>
      </c>
      <c r="C19" s="8">
        <v>25.5</v>
      </c>
      <c r="D19" s="3">
        <v>4</v>
      </c>
      <c r="F19" s="8">
        <v>25.9</v>
      </c>
      <c r="G19" s="3">
        <v>8</v>
      </c>
    </row>
    <row r="20" spans="1:7" x14ac:dyDescent="0.25">
      <c r="A20" s="23"/>
      <c r="B20" s="14" t="s">
        <v>29</v>
      </c>
      <c r="C20" s="8">
        <v>23.8</v>
      </c>
      <c r="D20" s="3">
        <v>21</v>
      </c>
      <c r="F20" s="8">
        <v>22.9</v>
      </c>
      <c r="G20" s="3">
        <v>19</v>
      </c>
    </row>
    <row r="21" spans="1:7" x14ac:dyDescent="0.25">
      <c r="A21" s="23"/>
      <c r="B21" s="14" t="s">
        <v>30</v>
      </c>
      <c r="C21" s="8">
        <v>15.1</v>
      </c>
      <c r="D21" s="3">
        <v>26</v>
      </c>
      <c r="F21" s="8">
        <v>16.5</v>
      </c>
      <c r="G21" s="3">
        <v>22</v>
      </c>
    </row>
    <row r="22" spans="1:7" x14ac:dyDescent="0.25">
      <c r="A22" s="23"/>
      <c r="B22" s="14" t="s">
        <v>32</v>
      </c>
      <c r="C22" s="8">
        <v>46.6</v>
      </c>
      <c r="D22" s="3">
        <v>7</v>
      </c>
      <c r="F22" s="8">
        <v>47.9</v>
      </c>
      <c r="G22" s="3">
        <v>3</v>
      </c>
    </row>
    <row r="23" spans="1:7" x14ac:dyDescent="0.25">
      <c r="A23" s="23"/>
      <c r="B23" s="14" t="s">
        <v>31</v>
      </c>
      <c r="C23" s="8">
        <v>11</v>
      </c>
      <c r="D23" s="3">
        <v>10</v>
      </c>
      <c r="F23" s="8">
        <v>10.1</v>
      </c>
      <c r="G23" s="3">
        <v>21</v>
      </c>
    </row>
    <row r="24" spans="1:7" x14ac:dyDescent="0.25">
      <c r="A24" s="23"/>
      <c r="B24" s="14" t="s">
        <v>33</v>
      </c>
      <c r="C24" s="8">
        <v>35.6</v>
      </c>
      <c r="D24" s="3">
        <v>10</v>
      </c>
      <c r="F24" s="8">
        <v>37.700000000000003</v>
      </c>
      <c r="G24" s="3">
        <v>3</v>
      </c>
    </row>
    <row r="25" spans="1:7" x14ac:dyDescent="0.25">
      <c r="A25" s="23"/>
      <c r="B25" s="14" t="s">
        <v>34</v>
      </c>
      <c r="C25" s="8">
        <v>6.6</v>
      </c>
      <c r="D25" s="3">
        <v>27</v>
      </c>
      <c r="F25" s="8">
        <v>6.9</v>
      </c>
      <c r="G25" s="3">
        <v>22</v>
      </c>
    </row>
    <row r="26" spans="1:7" x14ac:dyDescent="0.25">
      <c r="A26" s="23"/>
      <c r="B26" s="14" t="s">
        <v>35</v>
      </c>
      <c r="C26" s="8">
        <v>4.0999999999999996</v>
      </c>
      <c r="D26" s="3">
        <v>28</v>
      </c>
      <c r="F26" s="8">
        <v>5.2</v>
      </c>
      <c r="G26" s="3">
        <v>16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0.45600000000000002</v>
      </c>
      <c r="D28" s="3">
        <v>12</v>
      </c>
      <c r="F28" s="9">
        <v>0.44400000000000001</v>
      </c>
      <c r="G28" s="3">
        <v>10</v>
      </c>
    </row>
    <row r="29" spans="1:7" x14ac:dyDescent="0.25">
      <c r="A29" s="23"/>
      <c r="B29" s="18" t="s">
        <v>43</v>
      </c>
      <c r="C29" s="9">
        <v>0.34100000000000003</v>
      </c>
      <c r="D29" s="3">
        <v>3</v>
      </c>
      <c r="F29" s="9">
        <v>0.35699999999999998</v>
      </c>
      <c r="G29" s="3">
        <v>18</v>
      </c>
    </row>
    <row r="30" spans="1:7" x14ac:dyDescent="0.25">
      <c r="A30" s="23"/>
      <c r="B30" s="18" t="s">
        <v>44</v>
      </c>
      <c r="C30" s="8">
        <v>10.3</v>
      </c>
      <c r="D30" s="3">
        <v>5</v>
      </c>
      <c r="F30" s="8">
        <v>12</v>
      </c>
      <c r="G30" s="3">
        <v>18</v>
      </c>
    </row>
    <row r="31" spans="1:7" x14ac:dyDescent="0.25">
      <c r="A31" s="23"/>
      <c r="B31" s="17" t="s">
        <v>45</v>
      </c>
      <c r="C31" s="8">
        <v>30.3</v>
      </c>
      <c r="D31" s="3">
        <v>9</v>
      </c>
      <c r="F31" s="8">
        <v>33.6</v>
      </c>
      <c r="G31" s="3">
        <v>16</v>
      </c>
    </row>
    <row r="32" spans="1:7" x14ac:dyDescent="0.25">
      <c r="A32" s="23"/>
      <c r="B32" s="17" t="s">
        <v>46</v>
      </c>
      <c r="C32" s="8">
        <v>13.5</v>
      </c>
      <c r="D32" s="3">
        <v>20</v>
      </c>
      <c r="F32" s="8">
        <v>13.1</v>
      </c>
      <c r="G32" s="3">
        <v>28</v>
      </c>
    </row>
    <row r="33" spans="1:7" x14ac:dyDescent="0.25">
      <c r="A33" s="23"/>
      <c r="B33" s="17" t="s">
        <v>47</v>
      </c>
      <c r="C33" s="8">
        <v>11</v>
      </c>
      <c r="D33" s="3">
        <v>24</v>
      </c>
      <c r="F33" s="8">
        <v>10.5</v>
      </c>
      <c r="G33" s="3">
        <v>17</v>
      </c>
    </row>
    <row r="35" spans="1:7" x14ac:dyDescent="0.25">
      <c r="A35" s="23" t="s">
        <v>60</v>
      </c>
      <c r="B35" s="4" t="s">
        <v>8</v>
      </c>
      <c r="C35" s="8">
        <v>108.9</v>
      </c>
      <c r="D35" s="3">
        <v>19</v>
      </c>
      <c r="F35" s="8">
        <v>106.5</v>
      </c>
      <c r="G35" s="3">
        <v>19</v>
      </c>
    </row>
    <row r="36" spans="1:7" x14ac:dyDescent="0.25">
      <c r="A36" s="23"/>
      <c r="B36" s="4" t="s">
        <v>9</v>
      </c>
      <c r="C36" s="8">
        <v>109</v>
      </c>
      <c r="D36" s="3">
        <v>15</v>
      </c>
      <c r="F36" s="8">
        <v>109.4</v>
      </c>
      <c r="G36" s="3">
        <v>18</v>
      </c>
    </row>
    <row r="37" spans="1:7" x14ac:dyDescent="0.25">
      <c r="A37" s="23"/>
      <c r="B37" s="4" t="s">
        <v>10</v>
      </c>
      <c r="C37" s="8">
        <v>-0.1</v>
      </c>
      <c r="D37" s="3">
        <v>15</v>
      </c>
      <c r="F37" s="8">
        <v>-2.9</v>
      </c>
      <c r="G37" s="3">
        <v>21</v>
      </c>
    </row>
    <row r="38" spans="1:7" x14ac:dyDescent="0.25">
      <c r="A38" s="23"/>
      <c r="B38" s="4" t="s">
        <v>11</v>
      </c>
      <c r="C38" s="13">
        <v>101.51</v>
      </c>
      <c r="D38" s="3">
        <v>11</v>
      </c>
      <c r="F38" s="13">
        <v>105.01</v>
      </c>
      <c r="G38" s="3">
        <v>6</v>
      </c>
    </row>
    <row r="39" spans="1:7" x14ac:dyDescent="0.25">
      <c r="A39" s="23"/>
      <c r="B39" s="4" t="s">
        <v>12</v>
      </c>
      <c r="C39" s="10">
        <v>0.52</v>
      </c>
      <c r="D39" s="3">
        <v>18</v>
      </c>
      <c r="F39" s="9">
        <v>0.51500000000000001</v>
      </c>
      <c r="G39" s="3">
        <v>17</v>
      </c>
    </row>
    <row r="40" spans="1:7" x14ac:dyDescent="0.25">
      <c r="A40" s="23"/>
      <c r="B40" s="4" t="s">
        <v>13</v>
      </c>
      <c r="C40" s="10">
        <v>0.59199999999999997</v>
      </c>
      <c r="D40" s="3">
        <v>18</v>
      </c>
      <c r="F40" s="9">
        <v>0.56100000000000005</v>
      </c>
      <c r="G40" s="3">
        <v>23</v>
      </c>
    </row>
    <row r="41" spans="1:7" x14ac:dyDescent="0.25">
      <c r="A41" s="23"/>
      <c r="B41" s="4" t="s">
        <v>14</v>
      </c>
      <c r="C41" s="10">
        <v>0.501</v>
      </c>
      <c r="D41" s="3">
        <v>15</v>
      </c>
      <c r="F41" s="9">
        <v>0.50600000000000001</v>
      </c>
      <c r="G41" s="3">
        <v>11</v>
      </c>
    </row>
    <row r="42" spans="1:7" x14ac:dyDescent="0.25">
      <c r="A42" s="23"/>
      <c r="B42" s="4" t="s">
        <v>15</v>
      </c>
      <c r="C42" s="10">
        <v>0.28199999999999997</v>
      </c>
      <c r="D42" s="3">
        <v>9</v>
      </c>
      <c r="F42" s="9">
        <v>0.27800000000000002</v>
      </c>
      <c r="G42" s="3">
        <v>11</v>
      </c>
    </row>
    <row r="43" spans="1:7" x14ac:dyDescent="0.25">
      <c r="A43" s="23"/>
      <c r="B43" s="4" t="s">
        <v>16</v>
      </c>
      <c r="C43" s="10">
        <v>0.72</v>
      </c>
      <c r="D43" s="3">
        <v>23</v>
      </c>
      <c r="F43" s="9">
        <v>0.72799999999999998</v>
      </c>
      <c r="G43" s="3">
        <v>15</v>
      </c>
    </row>
    <row r="44" spans="1:7" x14ac:dyDescent="0.25">
      <c r="A44" s="23"/>
      <c r="B44" s="4" t="s">
        <v>17</v>
      </c>
      <c r="C44" s="10">
        <v>0.14599999999999999</v>
      </c>
      <c r="D44" s="3">
        <v>25</v>
      </c>
      <c r="F44" s="9">
        <v>0.155</v>
      </c>
      <c r="G44" s="3">
        <v>17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67.2</v>
      </c>
      <c r="D46" s="3">
        <v>29</v>
      </c>
      <c r="F46" s="8">
        <v>72.400000000000006</v>
      </c>
      <c r="G46" s="3">
        <v>15</v>
      </c>
    </row>
    <row r="47" spans="1:7" x14ac:dyDescent="0.25">
      <c r="A47" s="23"/>
      <c r="B47" s="20" t="s">
        <v>49</v>
      </c>
      <c r="C47" s="8">
        <v>68.5</v>
      </c>
      <c r="D47" s="3">
        <v>5</v>
      </c>
      <c r="F47" s="8">
        <v>72.599999999999994</v>
      </c>
      <c r="G47" s="3">
        <v>21</v>
      </c>
    </row>
    <row r="48" spans="1:7" x14ac:dyDescent="0.25">
      <c r="A48" s="23"/>
      <c r="B48" s="20" t="s">
        <v>50</v>
      </c>
      <c r="C48" s="8">
        <v>-1.3</v>
      </c>
      <c r="D48" s="3">
        <v>21</v>
      </c>
      <c r="F48" s="8">
        <v>-0.2</v>
      </c>
      <c r="G48" s="3">
        <v>17</v>
      </c>
    </row>
    <row r="49" spans="1:7" x14ac:dyDescent="0.25">
      <c r="A49" s="23"/>
      <c r="B49" s="20" t="s">
        <v>51</v>
      </c>
      <c r="C49" s="8">
        <v>61.5</v>
      </c>
      <c r="D49" s="3">
        <v>6</v>
      </c>
      <c r="F49" s="8">
        <v>51.6</v>
      </c>
      <c r="G49" s="3">
        <v>23</v>
      </c>
    </row>
    <row r="50" spans="1:7" x14ac:dyDescent="0.25">
      <c r="A50" s="23"/>
      <c r="B50" s="20" t="s">
        <v>52</v>
      </c>
      <c r="C50" s="8">
        <v>60.2</v>
      </c>
      <c r="D50" s="3">
        <v>19</v>
      </c>
      <c r="F50" s="8">
        <v>55.2</v>
      </c>
      <c r="G50" s="3">
        <v>12</v>
      </c>
    </row>
    <row r="51" spans="1:7" x14ac:dyDescent="0.25">
      <c r="A51" s="23"/>
      <c r="B51" s="20" t="s">
        <v>53</v>
      </c>
      <c r="C51" s="8">
        <v>1.3</v>
      </c>
      <c r="D51" s="3">
        <v>8</v>
      </c>
      <c r="F51" s="8">
        <v>-3.5</v>
      </c>
      <c r="G51" s="3">
        <v>25</v>
      </c>
    </row>
    <row r="53" spans="1:7" x14ac:dyDescent="0.25">
      <c r="A53" s="23" t="s">
        <v>57</v>
      </c>
      <c r="B53" s="6" t="s">
        <v>18</v>
      </c>
      <c r="C53" s="7">
        <v>15.4</v>
      </c>
      <c r="D53" s="3">
        <v>22</v>
      </c>
      <c r="F53" s="7">
        <v>16.399999999999999</v>
      </c>
      <c r="G53" s="3">
        <v>22</v>
      </c>
    </row>
    <row r="54" spans="1:7" x14ac:dyDescent="0.25">
      <c r="A54" s="23"/>
      <c r="B54" s="6" t="s">
        <v>19</v>
      </c>
      <c r="C54" s="7">
        <v>17.3</v>
      </c>
      <c r="D54" s="3">
        <v>24</v>
      </c>
      <c r="F54" s="7">
        <v>19.100000000000001</v>
      </c>
      <c r="G54" s="3">
        <v>23</v>
      </c>
    </row>
    <row r="55" spans="1:7" x14ac:dyDescent="0.25">
      <c r="A55" s="23"/>
      <c r="B55" s="6" t="s">
        <v>20</v>
      </c>
      <c r="C55" s="7">
        <v>13.8</v>
      </c>
      <c r="D55" s="3">
        <v>9</v>
      </c>
      <c r="F55" s="7">
        <v>14</v>
      </c>
      <c r="G55" s="3">
        <v>9</v>
      </c>
    </row>
    <row r="56" spans="1:7" x14ac:dyDescent="0.25">
      <c r="A56" s="23"/>
      <c r="B56" s="6" t="s">
        <v>21</v>
      </c>
      <c r="C56" s="7">
        <v>14.4</v>
      </c>
      <c r="D56" s="3">
        <v>27</v>
      </c>
      <c r="F56" s="7">
        <v>13</v>
      </c>
      <c r="G56" s="3">
        <v>14</v>
      </c>
    </row>
    <row r="57" spans="1:7" x14ac:dyDescent="0.25">
      <c r="A57" s="23"/>
      <c r="B57" s="6" t="s">
        <v>22</v>
      </c>
      <c r="C57" s="7">
        <v>11.6</v>
      </c>
      <c r="D57" s="3">
        <v>11.6</v>
      </c>
      <c r="F57" s="7">
        <v>14</v>
      </c>
      <c r="G57" s="3">
        <v>14</v>
      </c>
    </row>
    <row r="58" spans="1:7" x14ac:dyDescent="0.25">
      <c r="A58" s="23"/>
      <c r="B58" s="6" t="s">
        <v>23</v>
      </c>
      <c r="C58" s="7">
        <v>11.8</v>
      </c>
      <c r="D58" s="3">
        <v>11.8</v>
      </c>
      <c r="F58" s="7">
        <v>12.2</v>
      </c>
      <c r="G58" s="3">
        <v>12.2</v>
      </c>
    </row>
    <row r="59" spans="1:7" x14ac:dyDescent="0.25">
      <c r="A59" s="23"/>
      <c r="B59" s="6" t="s">
        <v>24</v>
      </c>
      <c r="C59" s="7">
        <v>48.8</v>
      </c>
      <c r="D59" s="3">
        <v>18</v>
      </c>
      <c r="F59" s="7">
        <v>51.7</v>
      </c>
      <c r="G59" s="3">
        <v>5</v>
      </c>
    </row>
    <row r="60" spans="1:7" x14ac:dyDescent="0.25">
      <c r="A60" s="23"/>
      <c r="B60" s="6" t="s">
        <v>25</v>
      </c>
      <c r="C60" s="7">
        <v>51.2</v>
      </c>
      <c r="D60" s="3">
        <v>25</v>
      </c>
      <c r="F60" s="7">
        <v>48.1</v>
      </c>
      <c r="G60" s="3">
        <v>16</v>
      </c>
    </row>
    <row r="62" spans="1:7" x14ac:dyDescent="0.25">
      <c r="A62" s="23" t="s">
        <v>58</v>
      </c>
      <c r="B62" s="21" t="s">
        <v>54</v>
      </c>
      <c r="C62" s="22">
        <v>4.2</v>
      </c>
      <c r="D62" s="3">
        <v>5</v>
      </c>
      <c r="F62" s="22">
        <v>4.4000000000000004</v>
      </c>
      <c r="G62" s="3">
        <v>5</v>
      </c>
    </row>
    <row r="63" spans="1:7" x14ac:dyDescent="0.25">
      <c r="A63" s="23"/>
      <c r="B63" s="21" t="s">
        <v>55</v>
      </c>
      <c r="C63" s="3">
        <v>24</v>
      </c>
      <c r="D63" s="3">
        <v>5</v>
      </c>
      <c r="F63" s="3">
        <v>6</v>
      </c>
      <c r="G63" s="3">
        <v>2</v>
      </c>
    </row>
    <row r="64" spans="1:7" x14ac:dyDescent="0.25">
      <c r="A64" s="23"/>
      <c r="B64" s="21" t="s">
        <v>56</v>
      </c>
      <c r="C64" s="3">
        <v>20</v>
      </c>
      <c r="D64" s="3">
        <v>13</v>
      </c>
      <c r="F64" s="3">
        <v>5</v>
      </c>
      <c r="G64" s="3">
        <v>20</v>
      </c>
    </row>
    <row r="65" spans="1:7" x14ac:dyDescent="0.25">
      <c r="A65" s="23"/>
      <c r="B65" s="21" t="s">
        <v>26</v>
      </c>
      <c r="C65" s="9">
        <v>0.443</v>
      </c>
      <c r="D65" s="3">
        <v>12</v>
      </c>
      <c r="F65" s="9">
        <v>0.42199999999999999</v>
      </c>
      <c r="G65" s="3">
        <v>17</v>
      </c>
    </row>
    <row r="66" spans="1:7" x14ac:dyDescent="0.25">
      <c r="A66" s="23"/>
      <c r="B66" s="21" t="s">
        <v>42</v>
      </c>
      <c r="C66" s="9">
        <v>0.41299999999999998</v>
      </c>
      <c r="D66" s="3">
        <v>10</v>
      </c>
      <c r="F66" s="9">
        <v>0.39300000000000002</v>
      </c>
      <c r="G66" s="3">
        <v>11</v>
      </c>
    </row>
    <row r="67" spans="1:7" x14ac:dyDescent="0.25">
      <c r="A67" s="23"/>
      <c r="B67" s="21" t="s">
        <v>8</v>
      </c>
      <c r="C67" s="8">
        <v>111</v>
      </c>
      <c r="D67" s="3">
        <v>10</v>
      </c>
      <c r="F67" s="8">
        <v>121.7</v>
      </c>
      <c r="G67" s="3">
        <v>5</v>
      </c>
    </row>
    <row r="68" spans="1:7" x14ac:dyDescent="0.25">
      <c r="A68" s="23"/>
      <c r="B68" s="21" t="s">
        <v>9</v>
      </c>
      <c r="C68" s="8">
        <v>109.9</v>
      </c>
      <c r="D68" s="3">
        <v>19</v>
      </c>
      <c r="F68" s="8">
        <v>99</v>
      </c>
      <c r="G68" s="3">
        <v>7</v>
      </c>
    </row>
    <row r="69" spans="1:7" x14ac:dyDescent="0.25">
      <c r="A69" s="23"/>
      <c r="B69" s="21" t="s">
        <v>10</v>
      </c>
      <c r="C69" s="8">
        <v>1.1000000000000001</v>
      </c>
      <c r="D69" s="3">
        <v>15</v>
      </c>
      <c r="F69" s="8">
        <v>22.7</v>
      </c>
      <c r="G69" s="3">
        <v>4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9"/>
  <sheetViews>
    <sheetView tabSelected="1" workbookViewId="0">
      <selection activeCell="D16" sqref="D16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1610612751</v>
      </c>
      <c r="B2" s="1" t="s">
        <v>755</v>
      </c>
      <c r="C2" s="1" t="s">
        <v>145</v>
      </c>
      <c r="D2" s="1" t="s">
        <v>1343</v>
      </c>
      <c r="E2" s="1" t="s">
        <v>145</v>
      </c>
      <c r="F2" s="1" t="s">
        <v>761</v>
      </c>
      <c r="G2" s="1" t="s">
        <v>337</v>
      </c>
      <c r="H2" s="1" t="s">
        <v>1344</v>
      </c>
      <c r="I2" s="1" t="s">
        <v>1345</v>
      </c>
      <c r="J2" s="1">
        <v>21</v>
      </c>
      <c r="K2" s="1" t="s">
        <v>756</v>
      </c>
      <c r="L2" s="1" t="s">
        <v>1346</v>
      </c>
      <c r="M2" s="1">
        <v>1629066</v>
      </c>
    </row>
    <row r="3" spans="1:13" x14ac:dyDescent="0.25">
      <c r="A3" s="1">
        <v>1610612751</v>
      </c>
      <c r="B3" s="1" t="s">
        <v>755</v>
      </c>
      <c r="C3" s="1" t="s">
        <v>145</v>
      </c>
      <c r="D3" s="1" t="s">
        <v>1347</v>
      </c>
      <c r="E3" s="1" t="s">
        <v>1328</v>
      </c>
      <c r="F3" s="1" t="s">
        <v>1335</v>
      </c>
      <c r="G3" s="1" t="s">
        <v>286</v>
      </c>
      <c r="H3" s="1" t="s">
        <v>1336</v>
      </c>
      <c r="I3" s="1" t="s">
        <v>1348</v>
      </c>
      <c r="J3" s="1">
        <v>26</v>
      </c>
      <c r="K3" s="1" t="s">
        <v>758</v>
      </c>
      <c r="L3" s="1" t="s">
        <v>1349</v>
      </c>
      <c r="M3" s="1">
        <v>1628021</v>
      </c>
    </row>
    <row r="4" spans="1:13" x14ac:dyDescent="0.25">
      <c r="A4" s="1">
        <v>1610612751</v>
      </c>
      <c r="B4" s="1" t="s">
        <v>755</v>
      </c>
      <c r="C4" s="1" t="s">
        <v>145</v>
      </c>
      <c r="D4" s="1" t="s">
        <v>1350</v>
      </c>
      <c r="E4" s="1" t="s">
        <v>756</v>
      </c>
      <c r="F4" s="1" t="s">
        <v>1335</v>
      </c>
      <c r="G4" s="1" t="s">
        <v>286</v>
      </c>
      <c r="H4" s="1" t="s">
        <v>1351</v>
      </c>
      <c r="I4" s="1" t="s">
        <v>1352</v>
      </c>
      <c r="J4" s="1">
        <v>24</v>
      </c>
      <c r="K4" s="1" t="s">
        <v>756</v>
      </c>
      <c r="L4" s="1" t="s">
        <v>1353</v>
      </c>
      <c r="M4" s="1">
        <v>1629033</v>
      </c>
    </row>
    <row r="5" spans="1:13" x14ac:dyDescent="0.25">
      <c r="A5" s="1">
        <v>1610612751</v>
      </c>
      <c r="B5" s="1" t="s">
        <v>755</v>
      </c>
      <c r="C5" s="1" t="s">
        <v>145</v>
      </c>
      <c r="D5" s="1" t="s">
        <v>1354</v>
      </c>
      <c r="E5" s="1" t="s">
        <v>1327</v>
      </c>
      <c r="F5" s="1" t="s">
        <v>761</v>
      </c>
      <c r="G5" s="1" t="s">
        <v>331</v>
      </c>
      <c r="H5" s="1" t="s">
        <v>1355</v>
      </c>
      <c r="I5" s="1" t="s">
        <v>1356</v>
      </c>
      <c r="J5" s="1">
        <v>25</v>
      </c>
      <c r="K5" s="1" t="s">
        <v>758</v>
      </c>
      <c r="L5" s="1" t="s">
        <v>1357</v>
      </c>
      <c r="M5" s="1">
        <v>1627752</v>
      </c>
    </row>
    <row r="6" spans="1:13" x14ac:dyDescent="0.25">
      <c r="A6" s="1">
        <v>1610612751</v>
      </c>
      <c r="B6" s="1" t="s">
        <v>755</v>
      </c>
      <c r="C6" s="1" t="s">
        <v>145</v>
      </c>
      <c r="D6" s="1" t="s">
        <v>1358</v>
      </c>
      <c r="E6" s="1" t="s">
        <v>759</v>
      </c>
      <c r="F6" s="1" t="s">
        <v>1359</v>
      </c>
      <c r="G6" s="1" t="s">
        <v>410</v>
      </c>
      <c r="H6" s="1" t="s">
        <v>1360</v>
      </c>
      <c r="I6" s="1" t="s">
        <v>1361</v>
      </c>
      <c r="J6" s="1">
        <v>22</v>
      </c>
      <c r="K6" s="1" t="s">
        <v>758</v>
      </c>
      <c r="L6" s="1" t="s">
        <v>1362</v>
      </c>
      <c r="M6" s="1">
        <v>1627740</v>
      </c>
    </row>
    <row r="7" spans="1:13" x14ac:dyDescent="0.25">
      <c r="A7" s="1">
        <v>1610612751</v>
      </c>
      <c r="B7" s="1" t="s">
        <v>755</v>
      </c>
      <c r="C7" s="1" t="s">
        <v>145</v>
      </c>
      <c r="D7" s="1" t="s">
        <v>1363</v>
      </c>
      <c r="E7" s="1" t="s">
        <v>1329</v>
      </c>
      <c r="F7" s="1" t="s">
        <v>1334</v>
      </c>
      <c r="G7" s="1" t="s">
        <v>1332</v>
      </c>
      <c r="H7" s="1" t="s">
        <v>1364</v>
      </c>
      <c r="I7" s="1" t="s">
        <v>1365</v>
      </c>
      <c r="J7" s="1">
        <v>31</v>
      </c>
      <c r="K7" s="1" t="s">
        <v>1330</v>
      </c>
      <c r="L7" s="1" t="s">
        <v>1366</v>
      </c>
      <c r="M7" s="1">
        <v>201599</v>
      </c>
    </row>
    <row r="8" spans="1:13" x14ac:dyDescent="0.25">
      <c r="A8" s="1">
        <v>1610612751</v>
      </c>
      <c r="B8" s="1" t="s">
        <v>755</v>
      </c>
      <c r="C8" s="1" t="s">
        <v>145</v>
      </c>
      <c r="D8" s="1" t="s">
        <v>1367</v>
      </c>
      <c r="E8" s="1" t="s">
        <v>1325</v>
      </c>
      <c r="F8" s="1" t="s">
        <v>761</v>
      </c>
      <c r="G8" s="1" t="s">
        <v>410</v>
      </c>
      <c r="H8" s="1" t="s">
        <v>1360</v>
      </c>
      <c r="I8" s="1" t="s">
        <v>1368</v>
      </c>
      <c r="J8" s="1">
        <v>31</v>
      </c>
      <c r="K8" s="1" t="s">
        <v>1340</v>
      </c>
      <c r="L8" s="1" t="s">
        <v>1369</v>
      </c>
      <c r="M8" s="1">
        <v>201142</v>
      </c>
    </row>
    <row r="9" spans="1:13" x14ac:dyDescent="0.25">
      <c r="A9" s="1">
        <v>1610612751</v>
      </c>
      <c r="B9" s="1" t="s">
        <v>755</v>
      </c>
      <c r="C9" s="1" t="s">
        <v>145</v>
      </c>
      <c r="D9" s="1" t="s">
        <v>1370</v>
      </c>
      <c r="E9" s="1" t="s">
        <v>1371</v>
      </c>
      <c r="F9" s="1" t="s">
        <v>757</v>
      </c>
      <c r="G9" s="1" t="s">
        <v>286</v>
      </c>
      <c r="H9" s="1" t="s">
        <v>1372</v>
      </c>
      <c r="I9" s="1" t="s">
        <v>1373</v>
      </c>
      <c r="J9" s="1">
        <v>26</v>
      </c>
      <c r="K9" s="1" t="s">
        <v>760</v>
      </c>
      <c r="L9" s="1" t="s">
        <v>1374</v>
      </c>
      <c r="M9" s="1">
        <v>203915</v>
      </c>
    </row>
    <row r="10" spans="1:13" x14ac:dyDescent="0.25">
      <c r="A10" s="1">
        <v>1610612751</v>
      </c>
      <c r="B10" s="1" t="s">
        <v>755</v>
      </c>
      <c r="C10" s="1" t="s">
        <v>145</v>
      </c>
      <c r="D10" s="1" t="s">
        <v>1375</v>
      </c>
      <c r="E10" s="1" t="s">
        <v>1326</v>
      </c>
      <c r="F10" s="1" t="s">
        <v>757</v>
      </c>
      <c r="G10" s="1" t="s">
        <v>286</v>
      </c>
      <c r="H10" s="1" t="s">
        <v>1351</v>
      </c>
      <c r="I10" s="1" t="s">
        <v>1376</v>
      </c>
      <c r="J10" s="1">
        <v>29</v>
      </c>
      <c r="K10" s="1" t="s">
        <v>1371</v>
      </c>
      <c r="L10" s="1" t="s">
        <v>1377</v>
      </c>
      <c r="M10" s="1">
        <v>202697</v>
      </c>
    </row>
    <row r="11" spans="1:13" x14ac:dyDescent="0.25">
      <c r="A11" s="1">
        <v>1610612751</v>
      </c>
      <c r="B11" s="1" t="s">
        <v>755</v>
      </c>
      <c r="C11" s="1" t="s">
        <v>145</v>
      </c>
      <c r="D11" s="1" t="s">
        <v>1378</v>
      </c>
      <c r="E11" s="1" t="s">
        <v>1330</v>
      </c>
      <c r="F11" s="1" t="s">
        <v>757</v>
      </c>
      <c r="G11" s="1" t="s">
        <v>227</v>
      </c>
      <c r="H11" s="1" t="s">
        <v>1337</v>
      </c>
      <c r="I11" s="1" t="s">
        <v>1379</v>
      </c>
      <c r="J11" s="1">
        <v>27</v>
      </c>
      <c r="K11" s="1" t="s">
        <v>1371</v>
      </c>
      <c r="L11" s="1" t="s">
        <v>1380</v>
      </c>
      <c r="M11" s="1">
        <v>202681</v>
      </c>
    </row>
    <row r="12" spans="1:13" x14ac:dyDescent="0.25">
      <c r="A12" s="1">
        <v>1610612751</v>
      </c>
      <c r="B12" s="1" t="s">
        <v>755</v>
      </c>
      <c r="C12" s="1" t="s">
        <v>145</v>
      </c>
      <c r="D12" s="1" t="s">
        <v>1381</v>
      </c>
      <c r="E12" s="1" t="s">
        <v>1340</v>
      </c>
      <c r="F12" s="1" t="s">
        <v>1335</v>
      </c>
      <c r="G12" s="1" t="s">
        <v>1331</v>
      </c>
      <c r="H12" s="1" t="s">
        <v>1382</v>
      </c>
      <c r="I12" s="1" t="s">
        <v>1383</v>
      </c>
      <c r="J12" s="1">
        <v>28</v>
      </c>
      <c r="K12" s="1" t="s">
        <v>760</v>
      </c>
      <c r="L12" s="1" t="s">
        <v>1384</v>
      </c>
      <c r="M12" s="1">
        <v>203925</v>
      </c>
    </row>
    <row r="13" spans="1:13" x14ac:dyDescent="0.25">
      <c r="A13" s="1">
        <v>1610612751</v>
      </c>
      <c r="B13" s="1" t="s">
        <v>755</v>
      </c>
      <c r="C13" s="1" t="s">
        <v>145</v>
      </c>
      <c r="D13" s="1" t="s">
        <v>1385</v>
      </c>
      <c r="E13" s="1" t="s">
        <v>1324</v>
      </c>
      <c r="F13" s="1" t="s">
        <v>1335</v>
      </c>
      <c r="G13" s="1" t="s">
        <v>337</v>
      </c>
      <c r="H13" s="1" t="s">
        <v>1386</v>
      </c>
      <c r="I13" s="1" t="s">
        <v>1387</v>
      </c>
      <c r="J13" s="1">
        <v>20</v>
      </c>
      <c r="K13" s="1" t="s">
        <v>756</v>
      </c>
      <c r="L13" s="1" t="s">
        <v>1346</v>
      </c>
      <c r="M13" s="1">
        <v>1629058</v>
      </c>
    </row>
    <row r="14" spans="1:13" x14ac:dyDescent="0.25">
      <c r="A14" s="1">
        <v>1610612751</v>
      </c>
      <c r="B14" s="1" t="s">
        <v>755</v>
      </c>
      <c r="C14" s="1" t="s">
        <v>145</v>
      </c>
      <c r="D14" s="1" t="s">
        <v>1388</v>
      </c>
      <c r="E14" s="1" t="s">
        <v>1389</v>
      </c>
      <c r="F14" s="1" t="s">
        <v>1335</v>
      </c>
      <c r="G14" s="1" t="s">
        <v>331</v>
      </c>
      <c r="H14" s="1" t="s">
        <v>1382</v>
      </c>
      <c r="I14" s="1" t="s">
        <v>1390</v>
      </c>
      <c r="J14" s="1">
        <v>24</v>
      </c>
      <c r="K14" s="1" t="s">
        <v>758</v>
      </c>
      <c r="L14" s="1" t="s">
        <v>1346</v>
      </c>
      <c r="M14" s="1">
        <v>1627789</v>
      </c>
    </row>
    <row r="15" spans="1:13" x14ac:dyDescent="0.25">
      <c r="A15" s="1">
        <v>1610612751</v>
      </c>
      <c r="B15" s="1" t="s">
        <v>755</v>
      </c>
      <c r="C15" s="1" t="s">
        <v>145</v>
      </c>
      <c r="D15" s="1" t="s">
        <v>1391</v>
      </c>
      <c r="E15" s="1" t="s">
        <v>1392</v>
      </c>
      <c r="F15" s="1" t="s">
        <v>1335</v>
      </c>
      <c r="G15" s="1" t="s">
        <v>286</v>
      </c>
      <c r="H15" s="1" t="s">
        <v>1337</v>
      </c>
      <c r="I15" s="1" t="s">
        <v>1393</v>
      </c>
      <c r="J15" s="1">
        <v>33</v>
      </c>
      <c r="K15" s="1" t="s">
        <v>1394</v>
      </c>
      <c r="L15" s="1" t="s">
        <v>1339</v>
      </c>
      <c r="M15" s="1">
        <v>202066</v>
      </c>
    </row>
    <row r="16" spans="1:13" x14ac:dyDescent="0.25">
      <c r="A16" s="1">
        <v>1610612751</v>
      </c>
      <c r="B16" s="1" t="s">
        <v>755</v>
      </c>
      <c r="C16" s="1" t="s">
        <v>145</v>
      </c>
      <c r="D16" s="1" t="s">
        <v>1395</v>
      </c>
      <c r="E16" s="1" t="s">
        <v>1396</v>
      </c>
      <c r="F16" s="1" t="s">
        <v>761</v>
      </c>
      <c r="G16" s="1" t="s">
        <v>299</v>
      </c>
      <c r="H16" s="1" t="s">
        <v>1397</v>
      </c>
      <c r="I16" s="1" t="s">
        <v>1398</v>
      </c>
      <c r="J16" s="1">
        <v>32</v>
      </c>
      <c r="K16" s="1" t="s">
        <v>1330</v>
      </c>
      <c r="L16" s="1" t="s">
        <v>1399</v>
      </c>
      <c r="M16" s="1">
        <v>201163</v>
      </c>
    </row>
    <row r="17" spans="1:13" x14ac:dyDescent="0.25">
      <c r="A17" s="1">
        <v>1610612751</v>
      </c>
      <c r="B17" s="1" t="s">
        <v>755</v>
      </c>
      <c r="C17" s="1" t="s">
        <v>145</v>
      </c>
      <c r="D17" s="1" t="s">
        <v>1400</v>
      </c>
      <c r="E17" s="1" t="s">
        <v>1333</v>
      </c>
      <c r="F17" s="1" t="s">
        <v>757</v>
      </c>
      <c r="G17" s="1" t="s">
        <v>1331</v>
      </c>
      <c r="H17" s="1" t="s">
        <v>1401</v>
      </c>
      <c r="I17" s="1" t="s">
        <v>1402</v>
      </c>
      <c r="J17" s="1">
        <v>25</v>
      </c>
      <c r="K17" s="1" t="s">
        <v>758</v>
      </c>
      <c r="L17" s="1" t="s">
        <v>1403</v>
      </c>
      <c r="M17" s="1">
        <v>1627747</v>
      </c>
    </row>
    <row r="18" spans="1:13" x14ac:dyDescent="0.25">
      <c r="A18" s="1">
        <v>1610612751</v>
      </c>
      <c r="B18" s="1" t="s">
        <v>755</v>
      </c>
      <c r="C18" s="1" t="s">
        <v>145</v>
      </c>
      <c r="D18" s="1" t="s">
        <v>1404</v>
      </c>
      <c r="E18" s="1" t="s">
        <v>1341</v>
      </c>
      <c r="F18" s="1" t="s">
        <v>1334</v>
      </c>
      <c r="G18" s="1" t="s">
        <v>1332</v>
      </c>
      <c r="H18" s="1" t="s">
        <v>1405</v>
      </c>
      <c r="I18" s="1" t="s">
        <v>1406</v>
      </c>
      <c r="J18" s="1">
        <v>21</v>
      </c>
      <c r="K18" s="1" t="s">
        <v>1327</v>
      </c>
      <c r="L18" s="1" t="s">
        <v>1369</v>
      </c>
      <c r="M18" s="1">
        <v>1628386</v>
      </c>
    </row>
    <row r="19" spans="1:13" x14ac:dyDescent="0.25">
      <c r="A19" s="1">
        <v>1610612751</v>
      </c>
      <c r="B19" s="1" t="s">
        <v>755</v>
      </c>
      <c r="C19" s="1" t="s">
        <v>145</v>
      </c>
      <c r="D19" s="1" t="s">
        <v>1407</v>
      </c>
      <c r="E19" s="1" t="s">
        <v>1342</v>
      </c>
      <c r="F19" s="1" t="s">
        <v>1359</v>
      </c>
      <c r="G19" s="1" t="s">
        <v>1332</v>
      </c>
      <c r="H19" s="1" t="s">
        <v>1372</v>
      </c>
      <c r="I19" s="1" t="s">
        <v>1408</v>
      </c>
      <c r="J19" s="1">
        <v>20</v>
      </c>
      <c r="K19" s="1" t="s">
        <v>1338</v>
      </c>
      <c r="L19" s="1" t="s">
        <v>1409</v>
      </c>
      <c r="M19" s="1">
        <v>1629651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1610612749</v>
      </c>
      <c r="D2" s="1" t="s">
        <v>177</v>
      </c>
      <c r="E2" s="1" t="s">
        <v>178</v>
      </c>
      <c r="F2" s="1" t="s">
        <v>179</v>
      </c>
      <c r="G2" s="1" t="s">
        <v>180</v>
      </c>
      <c r="H2" s="1">
        <v>1</v>
      </c>
      <c r="I2" s="1" t="s">
        <v>151</v>
      </c>
      <c r="J2" s="1" t="s">
        <v>181</v>
      </c>
      <c r="K2" s="1" t="s">
        <v>182</v>
      </c>
      <c r="L2" s="1">
        <v>1</v>
      </c>
      <c r="M2" s="1">
        <v>12</v>
      </c>
      <c r="N2" s="1">
        <v>3</v>
      </c>
      <c r="O2" s="1">
        <v>0.8</v>
      </c>
      <c r="P2" s="1">
        <v>0</v>
      </c>
      <c r="Q2" s="1" t="s">
        <v>183</v>
      </c>
      <c r="R2" s="1" t="s">
        <v>155</v>
      </c>
      <c r="S2" s="1" t="s">
        <v>184</v>
      </c>
      <c r="T2" s="1" t="s">
        <v>156</v>
      </c>
      <c r="U2" s="1" t="s">
        <v>155</v>
      </c>
      <c r="V2" s="1" t="s">
        <v>184</v>
      </c>
      <c r="W2" s="1" t="s">
        <v>185</v>
      </c>
      <c r="X2" s="1" t="s">
        <v>186</v>
      </c>
      <c r="Y2" s="1" t="s">
        <v>187</v>
      </c>
      <c r="Z2" s="1">
        <v>4</v>
      </c>
      <c r="AA2" s="1" t="s">
        <v>159</v>
      </c>
      <c r="AB2" s="1">
        <v>4</v>
      </c>
      <c r="AC2" s="1" t="s">
        <v>159</v>
      </c>
      <c r="AD2" s="1">
        <v>6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6</v>
      </c>
      <c r="AK2" s="1" t="s">
        <v>188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184</v>
      </c>
      <c r="AT2" s="1" t="s">
        <v>155</v>
      </c>
      <c r="AU2" s="1" t="s">
        <v>161</v>
      </c>
      <c r="AV2" s="1" t="s">
        <v>189</v>
      </c>
      <c r="AW2" s="1" t="s">
        <v>190</v>
      </c>
      <c r="AX2" s="1" t="s">
        <v>161</v>
      </c>
      <c r="AY2" s="1" t="s">
        <v>191</v>
      </c>
      <c r="AZ2" s="1" t="s">
        <v>192</v>
      </c>
      <c r="BA2" s="1" t="s">
        <v>193</v>
      </c>
      <c r="BB2" s="1" t="s">
        <v>189</v>
      </c>
      <c r="BC2" s="1" t="s">
        <v>167</v>
      </c>
      <c r="BD2" s="1" t="s">
        <v>155</v>
      </c>
      <c r="BE2" s="1">
        <v>120.8</v>
      </c>
      <c r="BF2" s="1">
        <v>111.5</v>
      </c>
      <c r="BG2" s="1">
        <v>9.3000000000000007</v>
      </c>
      <c r="BH2" s="1" t="s">
        <v>194</v>
      </c>
      <c r="BI2" s="1" t="s">
        <v>195</v>
      </c>
      <c r="BJ2" s="1" t="s">
        <v>196</v>
      </c>
      <c r="BK2" s="1" t="s">
        <v>197</v>
      </c>
      <c r="BL2" s="1" t="s">
        <v>198</v>
      </c>
      <c r="BM2" s="1" t="s">
        <v>175</v>
      </c>
      <c r="BN2" s="1" t="s">
        <v>171</v>
      </c>
      <c r="BO2" s="1" t="s">
        <v>171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199</v>
      </c>
      <c r="BZ2" s="1" t="s">
        <v>200</v>
      </c>
      <c r="CA2" s="1"/>
      <c r="CB2" s="1" t="s">
        <v>183</v>
      </c>
      <c r="CC2" s="1"/>
    </row>
    <row r="3" spans="1:81" x14ac:dyDescent="0.25">
      <c r="A3" s="1" t="s">
        <v>145</v>
      </c>
      <c r="B3" s="1" t="s">
        <v>146</v>
      </c>
      <c r="C3" s="1">
        <v>1610612747</v>
      </c>
      <c r="D3" s="1" t="s">
        <v>147</v>
      </c>
      <c r="E3" s="1" t="s">
        <v>148</v>
      </c>
      <c r="F3" s="1" t="s">
        <v>149</v>
      </c>
      <c r="G3" s="1" t="s">
        <v>150</v>
      </c>
      <c r="H3" s="1">
        <v>1</v>
      </c>
      <c r="I3" s="1" t="s">
        <v>151</v>
      </c>
      <c r="J3" s="1" t="s">
        <v>152</v>
      </c>
      <c r="K3" s="1" t="s">
        <v>153</v>
      </c>
      <c r="L3" s="1">
        <v>1</v>
      </c>
      <c r="M3" s="1">
        <v>12</v>
      </c>
      <c r="N3" s="1">
        <v>2</v>
      </c>
      <c r="O3" s="1">
        <v>0.85699999999999998</v>
      </c>
      <c r="P3" s="1">
        <v>0</v>
      </c>
      <c r="Q3" s="1" t="s">
        <v>154</v>
      </c>
      <c r="R3" s="1" t="s">
        <v>150</v>
      </c>
      <c r="S3" s="1" t="s">
        <v>155</v>
      </c>
      <c r="T3" s="1" t="s">
        <v>156</v>
      </c>
      <c r="U3" s="1" t="s">
        <v>150</v>
      </c>
      <c r="V3" s="1" t="s">
        <v>155</v>
      </c>
      <c r="W3" s="1" t="s">
        <v>157</v>
      </c>
      <c r="X3" s="1" t="s">
        <v>157</v>
      </c>
      <c r="Y3" s="1" t="s">
        <v>158</v>
      </c>
      <c r="Z3" s="1">
        <v>4</v>
      </c>
      <c r="AA3" s="1" t="s">
        <v>159</v>
      </c>
      <c r="AB3" s="1">
        <v>4</v>
      </c>
      <c r="AC3" s="1" t="s">
        <v>159</v>
      </c>
      <c r="AD3" s="1">
        <v>7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5</v>
      </c>
      <c r="AK3" s="1" t="s">
        <v>160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156</v>
      </c>
      <c r="AT3" s="1" t="s">
        <v>153</v>
      </c>
      <c r="AU3" s="1" t="s">
        <v>161</v>
      </c>
      <c r="AV3" s="1" t="s">
        <v>162</v>
      </c>
      <c r="AW3" s="1" t="s">
        <v>163</v>
      </c>
      <c r="AX3" s="1" t="s">
        <v>164</v>
      </c>
      <c r="AY3" s="1" t="s">
        <v>165</v>
      </c>
      <c r="AZ3" s="1" t="s">
        <v>166</v>
      </c>
      <c r="BA3" s="1" t="s">
        <v>166</v>
      </c>
      <c r="BB3" s="1" t="s">
        <v>167</v>
      </c>
      <c r="BC3" s="1" t="s">
        <v>156</v>
      </c>
      <c r="BD3" s="1" t="s">
        <v>168</v>
      </c>
      <c r="BE3" s="1">
        <v>110.9</v>
      </c>
      <c r="BF3" s="1">
        <v>101.1</v>
      </c>
      <c r="BG3" s="1">
        <v>9.8000000000000007</v>
      </c>
      <c r="BH3" s="1" t="s">
        <v>169</v>
      </c>
      <c r="BI3" s="1" t="s">
        <v>170</v>
      </c>
      <c r="BJ3" s="1" t="s">
        <v>171</v>
      </c>
      <c r="BK3" s="1" t="s">
        <v>172</v>
      </c>
      <c r="BL3" s="1" t="s">
        <v>173</v>
      </c>
      <c r="BM3" s="1" t="s">
        <v>174</v>
      </c>
      <c r="BN3" s="1" t="s">
        <v>175</v>
      </c>
      <c r="BO3" s="1" t="s">
        <v>172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175</v>
      </c>
      <c r="BZ3" s="1" t="s">
        <v>176</v>
      </c>
      <c r="CA3" s="1"/>
      <c r="CB3" s="1" t="s">
        <v>154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1610612748</v>
      </c>
      <c r="D6" s="1" t="s">
        <v>241</v>
      </c>
      <c r="E6" s="1" t="s">
        <v>242</v>
      </c>
      <c r="F6" s="1" t="s">
        <v>179</v>
      </c>
      <c r="G6" s="1" t="s">
        <v>243</v>
      </c>
      <c r="H6" s="1">
        <v>3</v>
      </c>
      <c r="I6" s="1" t="s">
        <v>151</v>
      </c>
      <c r="J6" s="1" t="s">
        <v>244</v>
      </c>
      <c r="K6" s="1" t="s">
        <v>163</v>
      </c>
      <c r="L6" s="1">
        <v>1</v>
      </c>
      <c r="M6" s="1">
        <v>10</v>
      </c>
      <c r="N6" s="1">
        <v>3</v>
      </c>
      <c r="O6" s="1">
        <v>0.76900000000000002</v>
      </c>
      <c r="P6" s="1">
        <v>0</v>
      </c>
      <c r="Q6" s="1" t="s">
        <v>220</v>
      </c>
      <c r="R6" s="1" t="s">
        <v>243</v>
      </c>
      <c r="S6" s="1" t="s">
        <v>245</v>
      </c>
      <c r="T6" s="1" t="s">
        <v>184</v>
      </c>
      <c r="U6" s="1" t="s">
        <v>243</v>
      </c>
      <c r="V6" s="1" t="s">
        <v>245</v>
      </c>
      <c r="W6" s="1" t="s">
        <v>157</v>
      </c>
      <c r="X6" s="1" t="s">
        <v>161</v>
      </c>
      <c r="Y6" s="1" t="s">
        <v>180</v>
      </c>
      <c r="Z6" s="1">
        <v>6</v>
      </c>
      <c r="AA6" s="1" t="s">
        <v>188</v>
      </c>
      <c r="AB6" s="1">
        <v>1</v>
      </c>
      <c r="AC6" s="1" t="s">
        <v>246</v>
      </c>
      <c r="AD6" s="1">
        <v>4</v>
      </c>
      <c r="AE6" s="1">
        <v>1</v>
      </c>
      <c r="AF6" s="1">
        <v>6</v>
      </c>
      <c r="AG6" s="1" t="s">
        <v>188</v>
      </c>
      <c r="AH6" s="1">
        <v>1</v>
      </c>
      <c r="AI6" s="1" t="s">
        <v>246</v>
      </c>
      <c r="AJ6" s="1">
        <v>4</v>
      </c>
      <c r="AK6" s="1" t="s">
        <v>159</v>
      </c>
      <c r="AL6" s="1">
        <v>1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224</v>
      </c>
      <c r="AU6" s="1" t="s">
        <v>161</v>
      </c>
      <c r="AV6" s="1" t="s">
        <v>150</v>
      </c>
      <c r="AW6" s="1" t="s">
        <v>224</v>
      </c>
      <c r="AX6" s="1" t="s">
        <v>161</v>
      </c>
      <c r="AY6" s="1" t="s">
        <v>210</v>
      </c>
      <c r="AZ6" s="1" t="s">
        <v>166</v>
      </c>
      <c r="BA6" s="1" t="s">
        <v>206</v>
      </c>
      <c r="BB6" s="1" t="s">
        <v>210</v>
      </c>
      <c r="BC6" s="1" t="s">
        <v>247</v>
      </c>
      <c r="BD6" s="1" t="s">
        <v>208</v>
      </c>
      <c r="BE6" s="1">
        <v>112.2</v>
      </c>
      <c r="BF6" s="1">
        <v>103.7</v>
      </c>
      <c r="BG6" s="1">
        <v>8.5</v>
      </c>
      <c r="BH6" s="1" t="s">
        <v>248</v>
      </c>
      <c r="BI6" s="1" t="s">
        <v>215</v>
      </c>
      <c r="BJ6" s="1" t="s">
        <v>196</v>
      </c>
      <c r="BK6" s="1" t="s">
        <v>174</v>
      </c>
      <c r="BL6" s="1" t="s">
        <v>249</v>
      </c>
      <c r="BM6" s="1" t="s">
        <v>250</v>
      </c>
      <c r="BN6" s="1" t="s">
        <v>195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169</v>
      </c>
      <c r="BZ6" s="1" t="s">
        <v>227</v>
      </c>
      <c r="CA6" s="1"/>
      <c r="CB6" s="1" t="s">
        <v>220</v>
      </c>
      <c r="CC6" s="1"/>
    </row>
    <row r="7" spans="1:81" x14ac:dyDescent="0.25">
      <c r="A7" s="1" t="s">
        <v>145</v>
      </c>
      <c r="B7" s="1" t="s">
        <v>146</v>
      </c>
      <c r="C7" s="1">
        <v>1610612745</v>
      </c>
      <c r="D7" s="1" t="s">
        <v>229</v>
      </c>
      <c r="E7" s="1" t="s">
        <v>230</v>
      </c>
      <c r="F7" s="1" t="s">
        <v>149</v>
      </c>
      <c r="G7" s="1" t="s">
        <v>150</v>
      </c>
      <c r="H7" s="1">
        <v>3</v>
      </c>
      <c r="I7" s="1" t="s">
        <v>151</v>
      </c>
      <c r="J7" s="1" t="s">
        <v>231</v>
      </c>
      <c r="K7" s="1" t="s">
        <v>232</v>
      </c>
      <c r="L7" s="1">
        <v>1</v>
      </c>
      <c r="M7" s="1">
        <v>11</v>
      </c>
      <c r="N7" s="1">
        <v>4</v>
      </c>
      <c r="O7" s="1">
        <v>0.73299999999999998</v>
      </c>
      <c r="P7" s="1">
        <v>0</v>
      </c>
      <c r="Q7" s="1" t="s">
        <v>233</v>
      </c>
      <c r="R7" s="1" t="s">
        <v>187</v>
      </c>
      <c r="S7" s="1" t="s">
        <v>234</v>
      </c>
      <c r="T7" s="1" t="s">
        <v>184</v>
      </c>
      <c r="U7" s="1" t="s">
        <v>187</v>
      </c>
      <c r="V7" s="1" t="s">
        <v>234</v>
      </c>
      <c r="W7" s="1" t="s">
        <v>161</v>
      </c>
      <c r="X7" s="1" t="s">
        <v>163</v>
      </c>
      <c r="Y7" s="1" t="s">
        <v>235</v>
      </c>
      <c r="Z7" s="1">
        <v>6</v>
      </c>
      <c r="AA7" s="1" t="s">
        <v>188</v>
      </c>
      <c r="AB7" s="1">
        <v>4</v>
      </c>
      <c r="AC7" s="1" t="s">
        <v>159</v>
      </c>
      <c r="AD7" s="1">
        <v>8</v>
      </c>
      <c r="AE7" s="1">
        <v>2</v>
      </c>
      <c r="AF7" s="1">
        <v>6</v>
      </c>
      <c r="AG7" s="1" t="s">
        <v>188</v>
      </c>
      <c r="AH7" s="1">
        <v>-1</v>
      </c>
      <c r="AI7" s="1" t="s">
        <v>207</v>
      </c>
      <c r="AJ7" s="1">
        <v>-1</v>
      </c>
      <c r="AK7" s="1" t="s">
        <v>207</v>
      </c>
      <c r="AL7" s="1">
        <v>1.5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236</v>
      </c>
      <c r="AU7" s="1" t="s">
        <v>157</v>
      </c>
      <c r="AV7" s="1" t="s">
        <v>156</v>
      </c>
      <c r="AW7" s="1" t="s">
        <v>236</v>
      </c>
      <c r="AX7" s="1" t="s">
        <v>161</v>
      </c>
      <c r="AY7" s="1" t="s">
        <v>237</v>
      </c>
      <c r="AZ7" s="1" t="s">
        <v>238</v>
      </c>
      <c r="BA7" s="1" t="s">
        <v>226</v>
      </c>
      <c r="BB7" s="1" t="s">
        <v>205</v>
      </c>
      <c r="BC7" s="1" t="s">
        <v>187</v>
      </c>
      <c r="BD7" s="1" t="s">
        <v>187</v>
      </c>
      <c r="BE7" s="1">
        <v>117.9</v>
      </c>
      <c r="BF7" s="1">
        <v>113.1</v>
      </c>
      <c r="BG7" s="1">
        <v>4.7</v>
      </c>
      <c r="BH7" s="1" t="s">
        <v>239</v>
      </c>
      <c r="BI7" s="1" t="s">
        <v>170</v>
      </c>
      <c r="BJ7" s="1" t="s">
        <v>197</v>
      </c>
      <c r="BK7" s="1" t="s">
        <v>195</v>
      </c>
      <c r="BL7" s="1" t="s">
        <v>173</v>
      </c>
      <c r="BM7" s="1" t="s">
        <v>175</v>
      </c>
      <c r="BN7" s="1" t="s">
        <v>174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175</v>
      </c>
      <c r="BZ7" s="1" t="s">
        <v>240</v>
      </c>
      <c r="CA7" s="1"/>
      <c r="CB7" s="1" t="s">
        <v>233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1610612763</v>
      </c>
      <c r="D22" s="1" t="s">
        <v>361</v>
      </c>
      <c r="E22" s="1" t="s">
        <v>362</v>
      </c>
      <c r="F22" s="1" t="s">
        <v>149</v>
      </c>
      <c r="G22" s="1" t="s">
        <v>333</v>
      </c>
      <c r="H22" s="1">
        <v>11</v>
      </c>
      <c r="I22" s="1" t="s">
        <v>151</v>
      </c>
      <c r="J22" s="1" t="s">
        <v>231</v>
      </c>
      <c r="K22" s="1" t="s">
        <v>190</v>
      </c>
      <c r="L22" s="1">
        <v>4</v>
      </c>
      <c r="M22" s="1">
        <v>5</v>
      </c>
      <c r="N22" s="1">
        <v>9</v>
      </c>
      <c r="O22" s="1">
        <v>0.35699999999999998</v>
      </c>
      <c r="P22" s="1">
        <v>0</v>
      </c>
      <c r="Q22" s="1" t="s">
        <v>363</v>
      </c>
      <c r="R22" s="1" t="s">
        <v>333</v>
      </c>
      <c r="S22" s="1" t="s">
        <v>236</v>
      </c>
      <c r="T22" s="1" t="s">
        <v>310</v>
      </c>
      <c r="U22" s="1" t="s">
        <v>333</v>
      </c>
      <c r="V22" s="1" t="s">
        <v>236</v>
      </c>
      <c r="W22" s="1" t="s">
        <v>157</v>
      </c>
      <c r="X22" s="1" t="s">
        <v>232</v>
      </c>
      <c r="Y22" s="1" t="s">
        <v>328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3</v>
      </c>
      <c r="AE22" s="1">
        <v>3</v>
      </c>
      <c r="AF22" s="1">
        <v>-2</v>
      </c>
      <c r="AG22" s="1" t="s">
        <v>279</v>
      </c>
      <c r="AH22" s="1">
        <v>2</v>
      </c>
      <c r="AI22" s="1" t="s">
        <v>222</v>
      </c>
      <c r="AJ22" s="1">
        <v>-2</v>
      </c>
      <c r="AK22" s="1" t="s">
        <v>279</v>
      </c>
      <c r="AL22" s="1">
        <v>7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245</v>
      </c>
      <c r="AT22" s="1" t="s">
        <v>328</v>
      </c>
      <c r="AU22" s="1" t="s">
        <v>161</v>
      </c>
      <c r="AV22" s="1" t="s">
        <v>224</v>
      </c>
      <c r="AW22" s="1" t="s">
        <v>341</v>
      </c>
      <c r="AX22" s="1" t="s">
        <v>161</v>
      </c>
      <c r="AY22" s="1" t="s">
        <v>340</v>
      </c>
      <c r="AZ22" s="1" t="s">
        <v>342</v>
      </c>
      <c r="BA22" s="1" t="s">
        <v>310</v>
      </c>
      <c r="BB22" s="1" t="s">
        <v>158</v>
      </c>
      <c r="BC22" s="1" t="s">
        <v>245</v>
      </c>
      <c r="BD22" s="1" t="s">
        <v>208</v>
      </c>
      <c r="BE22" s="1">
        <v>109</v>
      </c>
      <c r="BF22" s="1">
        <v>118.4</v>
      </c>
      <c r="BG22" s="1">
        <v>-9.4</v>
      </c>
      <c r="BH22" s="1" t="s">
        <v>275</v>
      </c>
      <c r="BI22" s="1" t="s">
        <v>171</v>
      </c>
      <c r="BJ22" s="1" t="s">
        <v>170</v>
      </c>
      <c r="BK22" s="1" t="s">
        <v>267</v>
      </c>
      <c r="BL22" s="1" t="s">
        <v>364</v>
      </c>
      <c r="BM22" s="1" t="s">
        <v>197</v>
      </c>
      <c r="BN22" s="1" t="s">
        <v>356</v>
      </c>
      <c r="BO22" s="1" t="s">
        <v>267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323</v>
      </c>
      <c r="CA22" s="1"/>
      <c r="CB22" s="1" t="s">
        <v>363</v>
      </c>
      <c r="CC22" s="1"/>
    </row>
    <row r="23" spans="1:81" x14ac:dyDescent="0.25">
      <c r="A23" s="1" t="s">
        <v>145</v>
      </c>
      <c r="B23" s="1" t="s">
        <v>146</v>
      </c>
      <c r="C23" s="1">
        <v>1610612764</v>
      </c>
      <c r="D23" s="1" t="s">
        <v>357</v>
      </c>
      <c r="E23" s="1" t="s">
        <v>358</v>
      </c>
      <c r="F23" s="1" t="s">
        <v>179</v>
      </c>
      <c r="G23" s="1" t="s">
        <v>262</v>
      </c>
      <c r="H23" s="1">
        <v>11</v>
      </c>
      <c r="I23" s="1" t="s">
        <v>151</v>
      </c>
      <c r="J23" s="1" t="s">
        <v>244</v>
      </c>
      <c r="K23" s="1" t="s">
        <v>185</v>
      </c>
      <c r="L23" s="1">
        <v>4</v>
      </c>
      <c r="M23" s="1">
        <v>4</v>
      </c>
      <c r="N23" s="1">
        <v>8</v>
      </c>
      <c r="O23" s="1">
        <v>0.33300000000000002</v>
      </c>
      <c r="P23" s="1">
        <v>0</v>
      </c>
      <c r="Q23" s="1" t="s">
        <v>351</v>
      </c>
      <c r="R23" s="1" t="s">
        <v>236</v>
      </c>
      <c r="S23" s="1" t="s">
        <v>300</v>
      </c>
      <c r="T23" s="1" t="s">
        <v>341</v>
      </c>
      <c r="U23" s="1" t="s">
        <v>236</v>
      </c>
      <c r="V23" s="1" t="s">
        <v>300</v>
      </c>
      <c r="W23" s="1" t="s">
        <v>161</v>
      </c>
      <c r="X23" s="1" t="s">
        <v>164</v>
      </c>
      <c r="Y23" s="1" t="s">
        <v>226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1</v>
      </c>
      <c r="AE23" s="1">
        <v>3</v>
      </c>
      <c r="AF23" s="1">
        <v>1</v>
      </c>
      <c r="AG23" s="1" t="s">
        <v>246</v>
      </c>
      <c r="AH23" s="1">
        <v>-1</v>
      </c>
      <c r="AI23" s="1" t="s">
        <v>207</v>
      </c>
      <c r="AJ23" s="1">
        <v>1</v>
      </c>
      <c r="AK23" s="1" t="s">
        <v>246</v>
      </c>
      <c r="AL23" s="1">
        <v>6.5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153</v>
      </c>
      <c r="AT23" s="1" t="s">
        <v>328</v>
      </c>
      <c r="AU23" s="1" t="s">
        <v>185</v>
      </c>
      <c r="AV23" s="1" t="s">
        <v>155</v>
      </c>
      <c r="AW23" s="1" t="s">
        <v>359</v>
      </c>
      <c r="AX23" s="1" t="s">
        <v>161</v>
      </c>
      <c r="AY23" s="1" t="s">
        <v>360</v>
      </c>
      <c r="AZ23" s="1" t="s">
        <v>320</v>
      </c>
      <c r="BA23" s="1" t="s">
        <v>304</v>
      </c>
      <c r="BB23" s="1" t="s">
        <v>254</v>
      </c>
      <c r="BC23" s="1" t="s">
        <v>186</v>
      </c>
      <c r="BD23" s="1" t="s">
        <v>264</v>
      </c>
      <c r="BE23" s="1">
        <v>119.7</v>
      </c>
      <c r="BF23" s="1">
        <v>121.1</v>
      </c>
      <c r="BG23" s="1">
        <v>-1.4</v>
      </c>
      <c r="BH23" s="1" t="s">
        <v>344</v>
      </c>
      <c r="BI23" s="1" t="s">
        <v>170</v>
      </c>
      <c r="BJ23" s="1" t="s">
        <v>267</v>
      </c>
      <c r="BK23" s="1" t="s">
        <v>170</v>
      </c>
      <c r="BL23" s="1" t="s">
        <v>295</v>
      </c>
      <c r="BM23" s="1" t="s">
        <v>197</v>
      </c>
      <c r="BN23" s="1" t="s">
        <v>215</v>
      </c>
      <c r="BO23" s="1" t="s">
        <v>282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305</v>
      </c>
      <c r="CA23" s="1"/>
      <c r="CB23" s="1" t="s">
        <v>351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1610612765</v>
      </c>
      <c r="D26" s="1" t="s">
        <v>380</v>
      </c>
      <c r="E26" s="1" t="s">
        <v>381</v>
      </c>
      <c r="F26" s="1" t="s">
        <v>179</v>
      </c>
      <c r="G26" s="1" t="s">
        <v>382</v>
      </c>
      <c r="H26" s="1">
        <v>13</v>
      </c>
      <c r="I26" s="1" t="s">
        <v>151</v>
      </c>
      <c r="J26" s="1" t="s">
        <v>181</v>
      </c>
      <c r="K26" s="1" t="s">
        <v>236</v>
      </c>
      <c r="L26" s="1">
        <v>5</v>
      </c>
      <c r="M26" s="1">
        <v>4</v>
      </c>
      <c r="N26" s="1">
        <v>10</v>
      </c>
      <c r="O26" s="1">
        <v>0.28599999999999998</v>
      </c>
      <c r="P26" s="1">
        <v>0</v>
      </c>
      <c r="Q26" s="1" t="s">
        <v>371</v>
      </c>
      <c r="R26" s="1" t="s">
        <v>226</v>
      </c>
      <c r="S26" s="1" t="s">
        <v>332</v>
      </c>
      <c r="T26" s="1" t="s">
        <v>320</v>
      </c>
      <c r="U26" s="1" t="s">
        <v>226</v>
      </c>
      <c r="V26" s="1" t="s">
        <v>332</v>
      </c>
      <c r="W26" s="1" t="s">
        <v>161</v>
      </c>
      <c r="X26" s="1" t="s">
        <v>186</v>
      </c>
      <c r="Y26" s="1" t="s">
        <v>262</v>
      </c>
      <c r="Z26" s="1">
        <v>3</v>
      </c>
      <c r="AA26" s="1" t="s">
        <v>223</v>
      </c>
      <c r="AB26" s="1">
        <v>-7</v>
      </c>
      <c r="AC26" s="1" t="s">
        <v>377</v>
      </c>
      <c r="AD26" s="1">
        <v>1</v>
      </c>
      <c r="AE26" s="1">
        <v>5</v>
      </c>
      <c r="AF26" s="1">
        <v>-1</v>
      </c>
      <c r="AG26" s="1" t="s">
        <v>207</v>
      </c>
      <c r="AH26" s="1">
        <v>-7</v>
      </c>
      <c r="AI26" s="1" t="s">
        <v>377</v>
      </c>
      <c r="AJ26" s="1">
        <v>-5</v>
      </c>
      <c r="AK26" s="1" t="s">
        <v>272</v>
      </c>
      <c r="AL26" s="1">
        <v>7.5</v>
      </c>
      <c r="AM26" s="1">
        <v>7.5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161</v>
      </c>
      <c r="AV26" s="1" t="s">
        <v>232</v>
      </c>
      <c r="AW26" s="1" t="s">
        <v>368</v>
      </c>
      <c r="AX26" s="1" t="s">
        <v>164</v>
      </c>
      <c r="AY26" s="1" t="s">
        <v>360</v>
      </c>
      <c r="AZ26" s="1" t="s">
        <v>350</v>
      </c>
      <c r="BA26" s="1" t="s">
        <v>328</v>
      </c>
      <c r="BB26" s="1" t="s">
        <v>226</v>
      </c>
      <c r="BC26" s="1" t="s">
        <v>264</v>
      </c>
      <c r="BD26" s="1" t="s">
        <v>190</v>
      </c>
      <c r="BE26" s="1">
        <v>107.3</v>
      </c>
      <c r="BF26" s="1">
        <v>112</v>
      </c>
      <c r="BG26" s="1">
        <v>-4.7</v>
      </c>
      <c r="BH26" s="1" t="s">
        <v>383</v>
      </c>
      <c r="BI26" s="1" t="s">
        <v>199</v>
      </c>
      <c r="BJ26" s="1" t="s">
        <v>275</v>
      </c>
      <c r="BK26" s="1" t="s">
        <v>372</v>
      </c>
      <c r="BL26" s="1" t="s">
        <v>170</v>
      </c>
      <c r="BM26" s="1" t="s">
        <v>170</v>
      </c>
      <c r="BN26" s="1" t="s">
        <v>215</v>
      </c>
      <c r="BO26" s="1" t="s">
        <v>215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275</v>
      </c>
      <c r="BZ26" s="1" t="s">
        <v>373</v>
      </c>
      <c r="CA26" s="1"/>
      <c r="CB26" s="1" t="s">
        <v>371</v>
      </c>
      <c r="CC26" s="1"/>
    </row>
    <row r="27" spans="1:81" x14ac:dyDescent="0.25">
      <c r="A27" s="1" t="s">
        <v>145</v>
      </c>
      <c r="B27" s="1" t="s">
        <v>146</v>
      </c>
      <c r="C27" s="1">
        <v>1610612759</v>
      </c>
      <c r="D27" s="1" t="s">
        <v>374</v>
      </c>
      <c r="E27" s="1" t="s">
        <v>375</v>
      </c>
      <c r="F27" s="1" t="s">
        <v>149</v>
      </c>
      <c r="G27" s="1" t="s">
        <v>333</v>
      </c>
      <c r="H27" s="1">
        <v>13</v>
      </c>
      <c r="I27" s="1" t="s">
        <v>151</v>
      </c>
      <c r="J27" s="1" t="s">
        <v>231</v>
      </c>
      <c r="K27" s="1" t="s">
        <v>164</v>
      </c>
      <c r="L27" s="1">
        <v>5</v>
      </c>
      <c r="M27" s="1">
        <v>5</v>
      </c>
      <c r="N27" s="1">
        <v>10</v>
      </c>
      <c r="O27" s="1">
        <v>0.33300000000000002</v>
      </c>
      <c r="P27" s="1">
        <v>0</v>
      </c>
      <c r="Q27" s="1" t="s">
        <v>349</v>
      </c>
      <c r="R27" s="1" t="s">
        <v>254</v>
      </c>
      <c r="S27" s="1" t="s">
        <v>328</v>
      </c>
      <c r="T27" s="1" t="s">
        <v>376</v>
      </c>
      <c r="U27" s="1" t="s">
        <v>254</v>
      </c>
      <c r="V27" s="1" t="s">
        <v>328</v>
      </c>
      <c r="W27" s="1" t="s">
        <v>161</v>
      </c>
      <c r="X27" s="1" t="s">
        <v>260</v>
      </c>
      <c r="Y27" s="1" t="s">
        <v>190</v>
      </c>
      <c r="Z27" s="1">
        <v>3</v>
      </c>
      <c r="AA27" s="1" t="s">
        <v>223</v>
      </c>
      <c r="AB27" s="1">
        <v>-5</v>
      </c>
      <c r="AC27" s="1" t="s">
        <v>272</v>
      </c>
      <c r="AD27" s="1">
        <v>3</v>
      </c>
      <c r="AE27" s="1">
        <v>7</v>
      </c>
      <c r="AF27" s="1">
        <v>-3</v>
      </c>
      <c r="AG27" s="1" t="s">
        <v>301</v>
      </c>
      <c r="AH27" s="1">
        <v>-5</v>
      </c>
      <c r="AI27" s="1" t="s">
        <v>272</v>
      </c>
      <c r="AJ27" s="1">
        <v>-7</v>
      </c>
      <c r="AK27" s="1" t="s">
        <v>377</v>
      </c>
      <c r="AL27" s="1">
        <v>7.5</v>
      </c>
      <c r="AM27" s="1">
        <v>6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157</v>
      </c>
      <c r="AV27" s="1" t="s">
        <v>245</v>
      </c>
      <c r="AW27" s="1" t="s">
        <v>332</v>
      </c>
      <c r="AX27" s="1" t="s">
        <v>161</v>
      </c>
      <c r="AY27" s="1" t="s">
        <v>303</v>
      </c>
      <c r="AZ27" s="1" t="s">
        <v>378</v>
      </c>
      <c r="BA27" s="1" t="s">
        <v>309</v>
      </c>
      <c r="BB27" s="1" t="s">
        <v>245</v>
      </c>
      <c r="BC27" s="1" t="s">
        <v>265</v>
      </c>
      <c r="BD27" s="1" t="s">
        <v>262</v>
      </c>
      <c r="BE27" s="1">
        <v>113.5</v>
      </c>
      <c r="BF27" s="1">
        <v>116.2</v>
      </c>
      <c r="BG27" s="1">
        <v>-2.7</v>
      </c>
      <c r="BH27" s="1" t="s">
        <v>274</v>
      </c>
      <c r="BI27" s="1" t="s">
        <v>195</v>
      </c>
      <c r="BJ27" s="1" t="s">
        <v>215</v>
      </c>
      <c r="BK27" s="1" t="s">
        <v>282</v>
      </c>
      <c r="BL27" s="1" t="s">
        <v>364</v>
      </c>
      <c r="BM27" s="1" t="s">
        <v>199</v>
      </c>
      <c r="BN27" s="1" t="s">
        <v>267</v>
      </c>
      <c r="BO27" s="1" t="s">
        <v>250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175</v>
      </c>
      <c r="BZ27" s="1" t="s">
        <v>379</v>
      </c>
      <c r="CA27" s="1"/>
      <c r="CB27" s="1" t="s">
        <v>349</v>
      </c>
      <c r="CC27" s="1"/>
    </row>
    <row r="28" spans="1:81" x14ac:dyDescent="0.25">
      <c r="A28" s="1" t="s">
        <v>145</v>
      </c>
      <c r="B28" s="1" t="s">
        <v>146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382</v>
      </c>
      <c r="H28" s="1">
        <v>14</v>
      </c>
      <c r="I28" s="1" t="s">
        <v>151</v>
      </c>
      <c r="J28" s="1" t="s">
        <v>181</v>
      </c>
      <c r="K28" s="1" t="s">
        <v>224</v>
      </c>
      <c r="L28" s="1">
        <v>4</v>
      </c>
      <c r="M28" s="1">
        <v>4</v>
      </c>
      <c r="N28" s="1">
        <v>10</v>
      </c>
      <c r="O28" s="1">
        <v>0.28599999999999998</v>
      </c>
      <c r="P28" s="1">
        <v>0</v>
      </c>
      <c r="Q28" s="1" t="s">
        <v>371</v>
      </c>
      <c r="R28" s="1" t="s">
        <v>292</v>
      </c>
      <c r="S28" s="1" t="s">
        <v>311</v>
      </c>
      <c r="T28" s="1" t="s">
        <v>320</v>
      </c>
      <c r="U28" s="1" t="s">
        <v>292</v>
      </c>
      <c r="V28" s="1" t="s">
        <v>311</v>
      </c>
      <c r="W28" s="1" t="s">
        <v>161</v>
      </c>
      <c r="X28" s="1" t="s">
        <v>185</v>
      </c>
      <c r="Y28" s="1" t="s">
        <v>333</v>
      </c>
      <c r="Z28" s="1">
        <v>-4</v>
      </c>
      <c r="AA28" s="1" t="s">
        <v>263</v>
      </c>
      <c r="AB28" s="1">
        <v>-3</v>
      </c>
      <c r="AC28" s="1" t="s">
        <v>301</v>
      </c>
      <c r="AD28" s="1">
        <v>2</v>
      </c>
      <c r="AE28" s="1">
        <v>5</v>
      </c>
      <c r="AF28" s="1">
        <v>-4</v>
      </c>
      <c r="AG28" s="1" t="s">
        <v>263</v>
      </c>
      <c r="AH28" s="1">
        <v>-3</v>
      </c>
      <c r="AI28" s="1" t="s">
        <v>301</v>
      </c>
      <c r="AJ28" s="1">
        <v>-5</v>
      </c>
      <c r="AK28" s="1" t="s">
        <v>272</v>
      </c>
      <c r="AL28" s="1">
        <v>7.5</v>
      </c>
      <c r="AM28" s="1">
        <v>7.5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232</v>
      </c>
      <c r="AT28" s="1" t="s">
        <v>391</v>
      </c>
      <c r="AU28" s="1" t="s">
        <v>161</v>
      </c>
      <c r="AV28" s="1" t="s">
        <v>232</v>
      </c>
      <c r="AW28" s="1" t="s">
        <v>391</v>
      </c>
      <c r="AX28" s="1" t="s">
        <v>161</v>
      </c>
      <c r="AY28" s="1" t="s">
        <v>271</v>
      </c>
      <c r="AZ28" s="1" t="s">
        <v>320</v>
      </c>
      <c r="BA28" s="1" t="s">
        <v>392</v>
      </c>
      <c r="BB28" s="1" t="s">
        <v>153</v>
      </c>
      <c r="BC28" s="1" t="s">
        <v>153</v>
      </c>
      <c r="BD28" s="1" t="s">
        <v>292</v>
      </c>
      <c r="BE28" s="1">
        <v>104.1</v>
      </c>
      <c r="BF28" s="1">
        <v>109.9</v>
      </c>
      <c r="BG28" s="1">
        <v>-5.8</v>
      </c>
      <c r="BH28" s="1" t="s">
        <v>383</v>
      </c>
      <c r="BI28" s="1" t="s">
        <v>344</v>
      </c>
      <c r="BJ28" s="1" t="s">
        <v>199</v>
      </c>
      <c r="BK28" s="1" t="s">
        <v>282</v>
      </c>
      <c r="BL28" s="1" t="s">
        <v>170</v>
      </c>
      <c r="BM28" s="1" t="s">
        <v>215</v>
      </c>
      <c r="BN28" s="1" t="s">
        <v>215</v>
      </c>
      <c r="BO28" s="1" t="s">
        <v>170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199</v>
      </c>
      <c r="BZ28" s="1" t="s">
        <v>393</v>
      </c>
      <c r="CA28" s="1"/>
      <c r="CB28" s="1" t="s">
        <v>371</v>
      </c>
      <c r="CC28" s="1"/>
    </row>
    <row r="29" spans="1:81" x14ac:dyDescent="0.25">
      <c r="A29" s="1" t="s">
        <v>145</v>
      </c>
      <c r="B29" s="1" t="s">
        <v>146</v>
      </c>
      <c r="C29" s="1">
        <v>1610612757</v>
      </c>
      <c r="D29" s="1" t="s">
        <v>384</v>
      </c>
      <c r="E29" s="1" t="s">
        <v>385</v>
      </c>
      <c r="F29" s="1" t="s">
        <v>149</v>
      </c>
      <c r="G29" s="1" t="s">
        <v>312</v>
      </c>
      <c r="H29" s="1">
        <v>14</v>
      </c>
      <c r="I29" s="1" t="s">
        <v>151</v>
      </c>
      <c r="J29" s="1" t="s">
        <v>219</v>
      </c>
      <c r="K29" s="1" t="s">
        <v>186</v>
      </c>
      <c r="L29" s="1">
        <v>5</v>
      </c>
      <c r="M29" s="1">
        <v>5</v>
      </c>
      <c r="N29" s="1">
        <v>11</v>
      </c>
      <c r="O29" s="1">
        <v>0.313</v>
      </c>
      <c r="P29" s="1">
        <v>0</v>
      </c>
      <c r="Q29" s="1" t="s">
        <v>386</v>
      </c>
      <c r="R29" s="1" t="s">
        <v>262</v>
      </c>
      <c r="S29" s="1" t="s">
        <v>312</v>
      </c>
      <c r="T29" s="1" t="s">
        <v>320</v>
      </c>
      <c r="U29" s="1" t="s">
        <v>262</v>
      </c>
      <c r="V29" s="1" t="s">
        <v>341</v>
      </c>
      <c r="W29" s="1" t="s">
        <v>157</v>
      </c>
      <c r="X29" s="1" t="s">
        <v>224</v>
      </c>
      <c r="Y29" s="1" t="s">
        <v>224</v>
      </c>
      <c r="Z29" s="1">
        <v>-3</v>
      </c>
      <c r="AA29" s="1" t="s">
        <v>301</v>
      </c>
      <c r="AB29" s="1">
        <v>-3</v>
      </c>
      <c r="AC29" s="1" t="s">
        <v>301</v>
      </c>
      <c r="AD29" s="1">
        <v>2</v>
      </c>
      <c r="AE29" s="1">
        <v>4</v>
      </c>
      <c r="AF29" s="1">
        <v>-1</v>
      </c>
      <c r="AG29" s="1" t="s">
        <v>207</v>
      </c>
      <c r="AH29" s="1">
        <v>-3</v>
      </c>
      <c r="AI29" s="1" t="s">
        <v>301</v>
      </c>
      <c r="AJ29" s="1">
        <v>-3</v>
      </c>
      <c r="AK29" s="1" t="s">
        <v>301</v>
      </c>
      <c r="AL29" s="1">
        <v>8</v>
      </c>
      <c r="AM29" s="1">
        <v>6.5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309</v>
      </c>
      <c r="AT29" s="1" t="s">
        <v>328</v>
      </c>
      <c r="AU29" s="1" t="s">
        <v>157</v>
      </c>
      <c r="AV29" s="1" t="s">
        <v>339</v>
      </c>
      <c r="AW29" s="1" t="s">
        <v>320</v>
      </c>
      <c r="AX29" s="1" t="s">
        <v>163</v>
      </c>
      <c r="AY29" s="1" t="s">
        <v>378</v>
      </c>
      <c r="AZ29" s="1" t="s">
        <v>387</v>
      </c>
      <c r="BA29" s="1" t="s">
        <v>332</v>
      </c>
      <c r="BB29" s="1" t="s">
        <v>235</v>
      </c>
      <c r="BC29" s="1" t="s">
        <v>153</v>
      </c>
      <c r="BD29" s="1" t="s">
        <v>304</v>
      </c>
      <c r="BE29" s="1">
        <v>113</v>
      </c>
      <c r="BF29" s="1">
        <v>116.7</v>
      </c>
      <c r="BG29" s="1">
        <v>-3.7</v>
      </c>
      <c r="BH29" s="1" t="s">
        <v>344</v>
      </c>
      <c r="BI29" s="1" t="s">
        <v>356</v>
      </c>
      <c r="BJ29" s="1" t="s">
        <v>170</v>
      </c>
      <c r="BK29" s="1" t="s">
        <v>171</v>
      </c>
      <c r="BL29" s="1" t="s">
        <v>388</v>
      </c>
      <c r="BM29" s="1" t="s">
        <v>195</v>
      </c>
      <c r="BN29" s="1" t="s">
        <v>282</v>
      </c>
      <c r="BO29" s="1" t="s">
        <v>275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228</v>
      </c>
      <c r="BZ29" s="1" t="s">
        <v>379</v>
      </c>
      <c r="CA29" s="1"/>
      <c r="CB29" s="1" t="s">
        <v>386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763</v>
      </c>
      <c r="C2" s="1">
        <v>1610612744</v>
      </c>
      <c r="D2" s="1" t="s">
        <v>399</v>
      </c>
      <c r="E2" s="1" t="s">
        <v>400</v>
      </c>
      <c r="F2" s="1" t="s">
        <v>149</v>
      </c>
      <c r="G2" s="1" t="s">
        <v>764</v>
      </c>
      <c r="H2" s="1">
        <v>1</v>
      </c>
      <c r="I2" s="1" t="s">
        <v>765</v>
      </c>
      <c r="J2" s="1" t="s">
        <v>152</v>
      </c>
      <c r="K2" s="1" t="s">
        <v>766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767</v>
      </c>
      <c r="R2" s="1" t="s">
        <v>768</v>
      </c>
      <c r="S2" s="1" t="s">
        <v>769</v>
      </c>
      <c r="T2" s="1" t="s">
        <v>184</v>
      </c>
      <c r="U2" s="1" t="s">
        <v>193</v>
      </c>
      <c r="V2" s="1" t="s">
        <v>193</v>
      </c>
      <c r="W2" s="1" t="s">
        <v>319</v>
      </c>
      <c r="X2" s="1" t="s">
        <v>314</v>
      </c>
      <c r="Y2" s="1" t="s">
        <v>770</v>
      </c>
      <c r="Z2" s="1">
        <v>6</v>
      </c>
      <c r="AA2" s="1" t="s">
        <v>188</v>
      </c>
      <c r="AB2" s="1">
        <v>11</v>
      </c>
      <c r="AC2" s="1" t="s">
        <v>771</v>
      </c>
      <c r="AD2" s="1">
        <v>11</v>
      </c>
      <c r="AE2" s="1">
        <v>4</v>
      </c>
      <c r="AF2" s="1">
        <v>5</v>
      </c>
      <c r="AG2" s="1" t="s">
        <v>160</v>
      </c>
      <c r="AH2" s="1">
        <v>-1</v>
      </c>
      <c r="AI2" s="1" t="s">
        <v>207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772</v>
      </c>
      <c r="AT2" s="1" t="s">
        <v>773</v>
      </c>
      <c r="AU2" s="1" t="s">
        <v>232</v>
      </c>
      <c r="AV2" s="1" t="s">
        <v>774</v>
      </c>
      <c r="AW2" s="1" t="s">
        <v>775</v>
      </c>
      <c r="AX2" s="1" t="s">
        <v>185</v>
      </c>
      <c r="AY2" s="1" t="s">
        <v>776</v>
      </c>
      <c r="AZ2" s="1" t="s">
        <v>777</v>
      </c>
      <c r="BA2" s="1" t="s">
        <v>778</v>
      </c>
      <c r="BB2" s="1" t="s">
        <v>779</v>
      </c>
      <c r="BC2" s="1" t="s">
        <v>780</v>
      </c>
      <c r="BD2" s="1" t="s">
        <v>781</v>
      </c>
      <c r="BE2" s="1">
        <v>117.7</v>
      </c>
      <c r="BF2" s="1">
        <v>111.2</v>
      </c>
      <c r="BG2" s="1">
        <v>6.5</v>
      </c>
      <c r="BH2" s="1" t="s">
        <v>782</v>
      </c>
      <c r="BI2" s="1" t="s">
        <v>266</v>
      </c>
      <c r="BJ2" s="1" t="s">
        <v>216</v>
      </c>
      <c r="BK2" s="1" t="s">
        <v>216</v>
      </c>
      <c r="BL2" s="1" t="s">
        <v>764</v>
      </c>
      <c r="BM2" s="1" t="s">
        <v>783</v>
      </c>
      <c r="BN2" s="1" t="s">
        <v>784</v>
      </c>
      <c r="BO2" s="1" t="s">
        <v>785</v>
      </c>
      <c r="BP2" s="1" t="s">
        <v>786</v>
      </c>
      <c r="BQ2" s="1" t="s">
        <v>787</v>
      </c>
      <c r="BR2" s="1" t="s">
        <v>270</v>
      </c>
      <c r="BS2" s="1" t="s">
        <v>198</v>
      </c>
      <c r="BT2" s="1"/>
      <c r="BU2" s="1"/>
      <c r="BV2" s="1"/>
      <c r="BW2" s="1"/>
      <c r="BX2" s="1"/>
      <c r="BY2" s="1" t="s">
        <v>173</v>
      </c>
      <c r="BZ2" s="1" t="s">
        <v>326</v>
      </c>
      <c r="CA2" s="1" t="s">
        <v>261</v>
      </c>
      <c r="CB2" s="1" t="s">
        <v>788</v>
      </c>
      <c r="CC2" s="1" t="s">
        <v>789</v>
      </c>
    </row>
    <row r="3" spans="1:81" x14ac:dyDescent="0.25">
      <c r="A3" s="1" t="s">
        <v>145</v>
      </c>
      <c r="B3" s="1" t="s">
        <v>763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790</v>
      </c>
      <c r="H3" s="1">
        <v>1</v>
      </c>
      <c r="I3" s="1" t="s">
        <v>791</v>
      </c>
      <c r="J3" s="1" t="s">
        <v>181</v>
      </c>
      <c r="K3" s="1" t="s">
        <v>792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793</v>
      </c>
      <c r="R3" s="1" t="s">
        <v>794</v>
      </c>
      <c r="S3" s="1" t="s">
        <v>769</v>
      </c>
      <c r="T3" s="1" t="s">
        <v>193</v>
      </c>
      <c r="U3" s="1" t="s">
        <v>193</v>
      </c>
      <c r="V3" s="1" t="s">
        <v>265</v>
      </c>
      <c r="W3" s="1" t="s">
        <v>339</v>
      </c>
      <c r="X3" s="1" t="s">
        <v>340</v>
      </c>
      <c r="Y3" s="1" t="s">
        <v>795</v>
      </c>
      <c r="Z3" s="1">
        <v>6</v>
      </c>
      <c r="AA3" s="1" t="s">
        <v>188</v>
      </c>
      <c r="AB3" s="1">
        <v>10</v>
      </c>
      <c r="AC3" s="1" t="s">
        <v>796</v>
      </c>
      <c r="AD3" s="1">
        <v>7</v>
      </c>
      <c r="AE3" s="1">
        <v>2</v>
      </c>
      <c r="AF3" s="1">
        <v>-1</v>
      </c>
      <c r="AG3" s="1" t="s">
        <v>207</v>
      </c>
      <c r="AH3" s="1">
        <v>2</v>
      </c>
      <c r="AI3" s="1" t="s">
        <v>222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797</v>
      </c>
      <c r="AT3" s="1" t="s">
        <v>798</v>
      </c>
      <c r="AU3" s="1" t="s">
        <v>161</v>
      </c>
      <c r="AV3" s="1" t="s">
        <v>799</v>
      </c>
      <c r="AW3" s="1" t="s">
        <v>800</v>
      </c>
      <c r="AX3" s="1" t="s">
        <v>186</v>
      </c>
      <c r="AY3" s="1" t="s">
        <v>801</v>
      </c>
      <c r="AZ3" s="1" t="s">
        <v>802</v>
      </c>
      <c r="BA3" s="1" t="s">
        <v>803</v>
      </c>
      <c r="BB3" s="1" t="s">
        <v>804</v>
      </c>
      <c r="BC3" s="1" t="s">
        <v>805</v>
      </c>
      <c r="BD3" s="1" t="s">
        <v>806</v>
      </c>
      <c r="BE3" s="1">
        <v>118.1</v>
      </c>
      <c r="BF3" s="1">
        <v>109.3</v>
      </c>
      <c r="BG3" s="1">
        <v>8.9</v>
      </c>
      <c r="BH3" s="1" t="s">
        <v>790</v>
      </c>
      <c r="BI3" s="1" t="s">
        <v>807</v>
      </c>
      <c r="BJ3" s="1" t="s">
        <v>808</v>
      </c>
      <c r="BK3" s="1" t="s">
        <v>807</v>
      </c>
      <c r="BL3" s="1" t="s">
        <v>809</v>
      </c>
      <c r="BM3" s="1" t="s">
        <v>266</v>
      </c>
      <c r="BN3" s="1" t="s">
        <v>266</v>
      </c>
      <c r="BO3" s="1" t="s">
        <v>216</v>
      </c>
      <c r="BP3" s="1" t="s">
        <v>183</v>
      </c>
      <c r="BQ3" s="1" t="s">
        <v>200</v>
      </c>
      <c r="BR3" s="1" t="s">
        <v>810</v>
      </c>
      <c r="BS3" s="1" t="s">
        <v>228</v>
      </c>
      <c r="BT3" s="1"/>
      <c r="BU3" s="1"/>
      <c r="BV3" s="1"/>
      <c r="BW3" s="1"/>
      <c r="BX3" s="1"/>
      <c r="BY3" s="1" t="s">
        <v>762</v>
      </c>
      <c r="BZ3" s="1" t="s">
        <v>291</v>
      </c>
      <c r="CA3" s="1" t="s">
        <v>253</v>
      </c>
      <c r="CB3" s="1" t="s">
        <v>811</v>
      </c>
      <c r="CC3" s="1" t="s">
        <v>812</v>
      </c>
    </row>
    <row r="4" spans="1:81" x14ac:dyDescent="0.25">
      <c r="A4" s="1" t="s">
        <v>145</v>
      </c>
      <c r="B4" s="1" t="s">
        <v>763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813</v>
      </c>
      <c r="H4" s="1">
        <v>2</v>
      </c>
      <c r="I4" s="1" t="s">
        <v>814</v>
      </c>
      <c r="J4" s="1" t="s">
        <v>203</v>
      </c>
      <c r="K4" s="1" t="s">
        <v>815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816</v>
      </c>
      <c r="R4" s="1" t="s">
        <v>817</v>
      </c>
      <c r="S4" s="1" t="s">
        <v>818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819</v>
      </c>
      <c r="Y4" s="1" t="s">
        <v>820</v>
      </c>
      <c r="Z4" s="1">
        <v>10</v>
      </c>
      <c r="AA4" s="1" t="s">
        <v>796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821</v>
      </c>
      <c r="AT4" s="1" t="s">
        <v>822</v>
      </c>
      <c r="AU4" s="1" t="s">
        <v>185</v>
      </c>
      <c r="AV4" s="1" t="s">
        <v>823</v>
      </c>
      <c r="AW4" s="1" t="s">
        <v>824</v>
      </c>
      <c r="AX4" s="1" t="s">
        <v>157</v>
      </c>
      <c r="AY4" s="1" t="s">
        <v>825</v>
      </c>
      <c r="AZ4" s="1" t="s">
        <v>826</v>
      </c>
      <c r="BA4" s="1" t="s">
        <v>827</v>
      </c>
      <c r="BB4" s="1" t="s">
        <v>828</v>
      </c>
      <c r="BC4" s="1" t="s">
        <v>829</v>
      </c>
      <c r="BD4" s="1" t="s">
        <v>830</v>
      </c>
      <c r="BE4" s="1">
        <v>114.4</v>
      </c>
      <c r="BF4" s="1">
        <v>108.4</v>
      </c>
      <c r="BG4" s="1">
        <v>6.1</v>
      </c>
      <c r="BH4" s="1" t="s">
        <v>813</v>
      </c>
      <c r="BI4" s="1" t="s">
        <v>831</v>
      </c>
      <c r="BJ4" s="1" t="s">
        <v>785</v>
      </c>
      <c r="BK4" s="1" t="s">
        <v>832</v>
      </c>
      <c r="BL4" s="1" t="s">
        <v>782</v>
      </c>
      <c r="BM4" s="1" t="s">
        <v>266</v>
      </c>
      <c r="BN4" s="1" t="s">
        <v>833</v>
      </c>
      <c r="BO4" s="1" t="s">
        <v>266</v>
      </c>
      <c r="BP4" s="1" t="s">
        <v>261</v>
      </c>
      <c r="BQ4" s="1" t="s">
        <v>173</v>
      </c>
      <c r="BR4" s="1" t="s">
        <v>834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835</v>
      </c>
      <c r="CC4" s="1" t="s">
        <v>836</v>
      </c>
    </row>
    <row r="5" spans="1:81" x14ac:dyDescent="0.25">
      <c r="A5" s="1" t="s">
        <v>145</v>
      </c>
      <c r="B5" s="1" t="s">
        <v>763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837</v>
      </c>
      <c r="H5" s="1">
        <v>2</v>
      </c>
      <c r="I5" s="1" t="s">
        <v>838</v>
      </c>
      <c r="J5" s="1" t="s">
        <v>219</v>
      </c>
      <c r="K5" s="1" t="s">
        <v>815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839</v>
      </c>
      <c r="R5" s="1" t="s">
        <v>840</v>
      </c>
      <c r="S5" s="1" t="s">
        <v>841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766</v>
      </c>
      <c r="Y5" s="1" t="s">
        <v>842</v>
      </c>
      <c r="Z5" s="1">
        <v>12</v>
      </c>
      <c r="AA5" s="1" t="s">
        <v>843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844</v>
      </c>
      <c r="AT5" s="1" t="s">
        <v>845</v>
      </c>
      <c r="AU5" s="1" t="s">
        <v>185</v>
      </c>
      <c r="AV5" s="1" t="s">
        <v>846</v>
      </c>
      <c r="AW5" s="1" t="s">
        <v>847</v>
      </c>
      <c r="AX5" s="1" t="s">
        <v>155</v>
      </c>
      <c r="AY5" s="1" t="s">
        <v>848</v>
      </c>
      <c r="AZ5" s="1" t="s">
        <v>849</v>
      </c>
      <c r="BA5" s="1" t="s">
        <v>850</v>
      </c>
      <c r="BB5" s="1" t="s">
        <v>851</v>
      </c>
      <c r="BC5" s="1" t="s">
        <v>852</v>
      </c>
      <c r="BD5" s="1" t="s">
        <v>853</v>
      </c>
      <c r="BE5" s="1">
        <v>110.7</v>
      </c>
      <c r="BF5" s="1">
        <v>106.7</v>
      </c>
      <c r="BG5" s="1">
        <v>4</v>
      </c>
      <c r="BH5" s="1" t="s">
        <v>809</v>
      </c>
      <c r="BI5" s="1" t="s">
        <v>296</v>
      </c>
      <c r="BJ5" s="1" t="s">
        <v>266</v>
      </c>
      <c r="BK5" s="1" t="s">
        <v>296</v>
      </c>
      <c r="BL5" s="1" t="s">
        <v>837</v>
      </c>
      <c r="BM5" s="1" t="s">
        <v>831</v>
      </c>
      <c r="BN5" s="1" t="s">
        <v>783</v>
      </c>
      <c r="BO5" s="1" t="s">
        <v>785</v>
      </c>
      <c r="BP5" s="1" t="s">
        <v>831</v>
      </c>
      <c r="BQ5" s="1" t="s">
        <v>787</v>
      </c>
      <c r="BR5" s="1" t="s">
        <v>834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834</v>
      </c>
      <c r="CA5" s="1" t="s">
        <v>854</v>
      </c>
      <c r="CB5" s="1" t="s">
        <v>855</v>
      </c>
      <c r="CC5" s="1" t="s">
        <v>856</v>
      </c>
    </row>
    <row r="6" spans="1:81" x14ac:dyDescent="0.25">
      <c r="A6" s="1" t="s">
        <v>145</v>
      </c>
      <c r="B6" s="1" t="s">
        <v>763</v>
      </c>
      <c r="C6" s="1">
        <v>1610612755</v>
      </c>
      <c r="D6" s="1" t="s">
        <v>268</v>
      </c>
      <c r="E6" s="1" t="s">
        <v>269</v>
      </c>
      <c r="F6" s="1" t="s">
        <v>179</v>
      </c>
      <c r="G6" s="1" t="s">
        <v>857</v>
      </c>
      <c r="H6" s="1">
        <v>3</v>
      </c>
      <c r="I6" s="1" t="s">
        <v>858</v>
      </c>
      <c r="J6" s="1" t="s">
        <v>203</v>
      </c>
      <c r="K6" s="1" t="s">
        <v>859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860</v>
      </c>
      <c r="R6" s="1" t="s">
        <v>861</v>
      </c>
      <c r="S6" s="1" t="s">
        <v>841</v>
      </c>
      <c r="T6" s="1" t="s">
        <v>310</v>
      </c>
      <c r="U6" s="1" t="s">
        <v>193</v>
      </c>
      <c r="V6" s="1" t="s">
        <v>310</v>
      </c>
      <c r="W6" s="1" t="s">
        <v>236</v>
      </c>
      <c r="X6" s="1" t="s">
        <v>862</v>
      </c>
      <c r="Y6" s="1" t="s">
        <v>863</v>
      </c>
      <c r="Z6" s="1">
        <v>10</v>
      </c>
      <c r="AA6" s="1" t="s">
        <v>796</v>
      </c>
      <c r="AB6" s="1">
        <v>-5</v>
      </c>
      <c r="AC6" s="1" t="s">
        <v>272</v>
      </c>
      <c r="AD6" s="1">
        <v>6</v>
      </c>
      <c r="AE6" s="1">
        <v>3</v>
      </c>
      <c r="AF6" s="1">
        <v>1</v>
      </c>
      <c r="AG6" s="1" t="s">
        <v>246</v>
      </c>
      <c r="AH6" s="1">
        <v>-1</v>
      </c>
      <c r="AI6" s="1" t="s">
        <v>207</v>
      </c>
      <c r="AJ6" s="1">
        <v>1</v>
      </c>
      <c r="AK6" s="1" t="s">
        <v>246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864</v>
      </c>
      <c r="AT6" s="1" t="s">
        <v>865</v>
      </c>
      <c r="AU6" s="1" t="s">
        <v>208</v>
      </c>
      <c r="AV6" s="1" t="s">
        <v>772</v>
      </c>
      <c r="AW6" s="1" t="s">
        <v>866</v>
      </c>
      <c r="AX6" s="1" t="s">
        <v>186</v>
      </c>
      <c r="AY6" s="1" t="s">
        <v>867</v>
      </c>
      <c r="AZ6" s="1" t="s">
        <v>868</v>
      </c>
      <c r="BA6" s="1" t="s">
        <v>869</v>
      </c>
      <c r="BB6" s="1" t="s">
        <v>852</v>
      </c>
      <c r="BC6" s="1" t="s">
        <v>788</v>
      </c>
      <c r="BD6" s="1" t="s">
        <v>870</v>
      </c>
      <c r="BE6" s="1">
        <v>115.2</v>
      </c>
      <c r="BF6" s="1">
        <v>112.5</v>
      </c>
      <c r="BG6" s="1">
        <v>2.7</v>
      </c>
      <c r="BH6" s="1" t="s">
        <v>857</v>
      </c>
      <c r="BI6" s="1" t="s">
        <v>871</v>
      </c>
      <c r="BJ6" s="1" t="s">
        <v>783</v>
      </c>
      <c r="BK6" s="1" t="s">
        <v>872</v>
      </c>
      <c r="BL6" s="1" t="s">
        <v>809</v>
      </c>
      <c r="BM6" s="1" t="s">
        <v>266</v>
      </c>
      <c r="BN6" s="1" t="s">
        <v>216</v>
      </c>
      <c r="BO6" s="1" t="s">
        <v>266</v>
      </c>
      <c r="BP6" s="1" t="s">
        <v>233</v>
      </c>
      <c r="BQ6" s="1" t="s">
        <v>266</v>
      </c>
      <c r="BR6" s="1" t="s">
        <v>270</v>
      </c>
      <c r="BS6" s="1" t="s">
        <v>274</v>
      </c>
      <c r="BT6" s="1"/>
      <c r="BU6" s="1"/>
      <c r="BV6" s="1"/>
      <c r="BW6" s="1"/>
      <c r="BX6" s="1"/>
      <c r="BY6" s="1" t="s">
        <v>343</v>
      </c>
      <c r="BZ6" s="1" t="s">
        <v>831</v>
      </c>
      <c r="CA6" s="1" t="s">
        <v>873</v>
      </c>
      <c r="CB6" s="1" t="s">
        <v>874</v>
      </c>
      <c r="CC6" s="1" t="s">
        <v>875</v>
      </c>
    </row>
    <row r="7" spans="1:81" x14ac:dyDescent="0.25">
      <c r="A7" s="1" t="s">
        <v>145</v>
      </c>
      <c r="B7" s="1" t="s">
        <v>763</v>
      </c>
      <c r="C7" s="1">
        <v>1610612757</v>
      </c>
      <c r="D7" s="1" t="s">
        <v>384</v>
      </c>
      <c r="E7" s="1" t="s">
        <v>385</v>
      </c>
      <c r="F7" s="1" t="s">
        <v>149</v>
      </c>
      <c r="G7" s="1" t="s">
        <v>876</v>
      </c>
      <c r="H7" s="1">
        <v>3</v>
      </c>
      <c r="I7" s="1" t="s">
        <v>858</v>
      </c>
      <c r="J7" s="1" t="s">
        <v>219</v>
      </c>
      <c r="K7" s="1" t="s">
        <v>877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878</v>
      </c>
      <c r="R7" s="1" t="s">
        <v>817</v>
      </c>
      <c r="S7" s="1" t="s">
        <v>879</v>
      </c>
      <c r="T7" s="1" t="s">
        <v>184</v>
      </c>
      <c r="U7" s="1" t="s">
        <v>156</v>
      </c>
      <c r="V7" s="1" t="s">
        <v>259</v>
      </c>
      <c r="W7" s="1" t="s">
        <v>235</v>
      </c>
      <c r="X7" s="1" t="s">
        <v>310</v>
      </c>
      <c r="Y7" s="1" t="s">
        <v>880</v>
      </c>
      <c r="Z7" s="1">
        <v>8</v>
      </c>
      <c r="AA7" s="1" t="s">
        <v>881</v>
      </c>
      <c r="AB7" s="1">
        <v>-6</v>
      </c>
      <c r="AC7" s="1" t="s">
        <v>367</v>
      </c>
      <c r="AD7" s="1">
        <v>6</v>
      </c>
      <c r="AE7" s="1">
        <v>3</v>
      </c>
      <c r="AF7" s="1">
        <v>8</v>
      </c>
      <c r="AG7" s="1" t="s">
        <v>881</v>
      </c>
      <c r="AH7" s="1">
        <v>1</v>
      </c>
      <c r="AI7" s="1" t="s">
        <v>246</v>
      </c>
      <c r="AJ7" s="1">
        <v>3</v>
      </c>
      <c r="AK7" s="1" t="s">
        <v>223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882</v>
      </c>
      <c r="AT7" s="1" t="s">
        <v>883</v>
      </c>
      <c r="AU7" s="1" t="s">
        <v>260</v>
      </c>
      <c r="AV7" s="1" t="s">
        <v>884</v>
      </c>
      <c r="AW7" s="1" t="s">
        <v>885</v>
      </c>
      <c r="AX7" s="1" t="s">
        <v>161</v>
      </c>
      <c r="AY7" s="1" t="s">
        <v>886</v>
      </c>
      <c r="AZ7" s="1" t="s">
        <v>887</v>
      </c>
      <c r="BA7" s="1" t="s">
        <v>888</v>
      </c>
      <c r="BB7" s="1" t="s">
        <v>889</v>
      </c>
      <c r="BC7" s="1" t="s">
        <v>890</v>
      </c>
      <c r="BD7" s="1" t="s">
        <v>891</v>
      </c>
      <c r="BE7" s="1">
        <v>114.7</v>
      </c>
      <c r="BF7" s="1">
        <v>110.5</v>
      </c>
      <c r="BG7" s="1">
        <v>4.2</v>
      </c>
      <c r="BH7" s="1" t="s">
        <v>892</v>
      </c>
      <c r="BI7" s="1" t="s">
        <v>176</v>
      </c>
      <c r="BJ7" s="1" t="s">
        <v>216</v>
      </c>
      <c r="BK7" s="1" t="s">
        <v>296</v>
      </c>
      <c r="BL7" s="1" t="s">
        <v>876</v>
      </c>
      <c r="BM7" s="1" t="s">
        <v>410</v>
      </c>
      <c r="BN7" s="1" t="s">
        <v>783</v>
      </c>
      <c r="BO7" s="1" t="s">
        <v>872</v>
      </c>
      <c r="BP7" s="1" t="s">
        <v>233</v>
      </c>
      <c r="BQ7" s="1" t="s">
        <v>256</v>
      </c>
      <c r="BR7" s="1" t="s">
        <v>261</v>
      </c>
      <c r="BS7" s="1" t="s">
        <v>198</v>
      </c>
      <c r="BT7" s="1"/>
      <c r="BU7" s="1"/>
      <c r="BV7" s="1"/>
      <c r="BW7" s="1"/>
      <c r="BX7" s="1"/>
      <c r="BY7" s="1" t="s">
        <v>255</v>
      </c>
      <c r="BZ7" s="1" t="s">
        <v>308</v>
      </c>
      <c r="CA7" s="1" t="s">
        <v>308</v>
      </c>
      <c r="CB7" s="1" t="s">
        <v>893</v>
      </c>
      <c r="CC7" s="1" t="s">
        <v>894</v>
      </c>
    </row>
    <row r="8" spans="1:81" x14ac:dyDescent="0.25">
      <c r="A8" s="1" t="s">
        <v>145</v>
      </c>
      <c r="B8" s="1" t="s">
        <v>763</v>
      </c>
      <c r="C8" s="1">
        <v>1610612745</v>
      </c>
      <c r="D8" s="1" t="s">
        <v>229</v>
      </c>
      <c r="E8" s="1" t="s">
        <v>230</v>
      </c>
      <c r="F8" s="1" t="s">
        <v>149</v>
      </c>
      <c r="G8" s="1" t="s">
        <v>895</v>
      </c>
      <c r="H8" s="1">
        <v>4</v>
      </c>
      <c r="I8" s="1" t="s">
        <v>896</v>
      </c>
      <c r="J8" s="1" t="s">
        <v>231</v>
      </c>
      <c r="K8" s="1" t="s">
        <v>897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878</v>
      </c>
      <c r="R8" s="1" t="s">
        <v>861</v>
      </c>
      <c r="S8" s="1" t="s">
        <v>898</v>
      </c>
      <c r="T8" s="1" t="s">
        <v>184</v>
      </c>
      <c r="U8" s="1" t="s">
        <v>156</v>
      </c>
      <c r="V8" s="1" t="s">
        <v>193</v>
      </c>
      <c r="W8" s="1" t="s">
        <v>292</v>
      </c>
      <c r="X8" s="1" t="s">
        <v>899</v>
      </c>
      <c r="Y8" s="1" t="s">
        <v>900</v>
      </c>
      <c r="Z8" s="1">
        <v>10</v>
      </c>
      <c r="AA8" s="1" t="s">
        <v>796</v>
      </c>
      <c r="AB8" s="1">
        <v>6</v>
      </c>
      <c r="AC8" s="1" t="s">
        <v>188</v>
      </c>
      <c r="AD8" s="1">
        <v>9</v>
      </c>
      <c r="AE8" s="1">
        <v>4</v>
      </c>
      <c r="AF8" s="1">
        <v>7</v>
      </c>
      <c r="AG8" s="1" t="s">
        <v>901</v>
      </c>
      <c r="AH8" s="1">
        <v>-1</v>
      </c>
      <c r="AI8" s="1" t="s">
        <v>207</v>
      </c>
      <c r="AJ8" s="1">
        <v>-1</v>
      </c>
      <c r="AK8" s="1" t="s">
        <v>207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902</v>
      </c>
      <c r="AT8" s="1" t="s">
        <v>903</v>
      </c>
      <c r="AU8" s="1" t="s">
        <v>157</v>
      </c>
      <c r="AV8" s="1" t="s">
        <v>904</v>
      </c>
      <c r="AW8" s="1" t="s">
        <v>905</v>
      </c>
      <c r="AX8" s="1" t="s">
        <v>190</v>
      </c>
      <c r="AY8" s="1" t="s">
        <v>848</v>
      </c>
      <c r="AZ8" s="1" t="s">
        <v>906</v>
      </c>
      <c r="BA8" s="1" t="s">
        <v>827</v>
      </c>
      <c r="BB8" s="1" t="s">
        <v>907</v>
      </c>
      <c r="BC8" s="1" t="s">
        <v>908</v>
      </c>
      <c r="BD8" s="1" t="s">
        <v>909</v>
      </c>
      <c r="BE8" s="1">
        <v>113.9</v>
      </c>
      <c r="BF8" s="1">
        <v>109.1</v>
      </c>
      <c r="BG8" s="1">
        <v>4.8</v>
      </c>
      <c r="BH8" s="1" t="s">
        <v>910</v>
      </c>
      <c r="BI8" s="1" t="s">
        <v>216</v>
      </c>
      <c r="BJ8" s="1" t="s">
        <v>266</v>
      </c>
      <c r="BK8" s="1" t="s">
        <v>296</v>
      </c>
      <c r="BL8" s="1" t="s">
        <v>895</v>
      </c>
      <c r="BM8" s="1" t="s">
        <v>911</v>
      </c>
      <c r="BN8" s="1" t="s">
        <v>832</v>
      </c>
      <c r="BO8" s="1" t="s">
        <v>810</v>
      </c>
      <c r="BP8" s="1" t="s">
        <v>291</v>
      </c>
      <c r="BQ8" s="1" t="s">
        <v>854</v>
      </c>
      <c r="BR8" s="1" t="s">
        <v>183</v>
      </c>
      <c r="BS8" s="1" t="s">
        <v>169</v>
      </c>
      <c r="BT8" s="1"/>
      <c r="BU8" s="1"/>
      <c r="BV8" s="1"/>
      <c r="BW8" s="1"/>
      <c r="BX8" s="1"/>
      <c r="BY8" s="1" t="s">
        <v>912</v>
      </c>
      <c r="BZ8" s="1" t="s">
        <v>834</v>
      </c>
      <c r="CA8" s="1" t="s">
        <v>233</v>
      </c>
      <c r="CB8" s="1" t="s">
        <v>913</v>
      </c>
      <c r="CC8" s="1" t="s">
        <v>914</v>
      </c>
    </row>
    <row r="9" spans="1:81" x14ac:dyDescent="0.25">
      <c r="A9" s="1" t="s">
        <v>145</v>
      </c>
      <c r="B9" s="1" t="s">
        <v>763</v>
      </c>
      <c r="C9" s="1">
        <v>1610612738</v>
      </c>
      <c r="D9" s="1" t="s">
        <v>201</v>
      </c>
      <c r="E9" s="1" t="s">
        <v>202</v>
      </c>
      <c r="F9" s="1" t="s">
        <v>179</v>
      </c>
      <c r="G9" s="1" t="s">
        <v>764</v>
      </c>
      <c r="H9" s="1">
        <v>4</v>
      </c>
      <c r="I9" s="1" t="s">
        <v>858</v>
      </c>
      <c r="J9" s="1" t="s">
        <v>203</v>
      </c>
      <c r="K9" s="1" t="s">
        <v>897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915</v>
      </c>
      <c r="R9" s="1" t="s">
        <v>916</v>
      </c>
      <c r="S9" s="1" t="s">
        <v>879</v>
      </c>
      <c r="T9" s="1" t="s">
        <v>259</v>
      </c>
      <c r="U9" s="1" t="s">
        <v>265</v>
      </c>
      <c r="V9" s="1" t="s">
        <v>259</v>
      </c>
      <c r="W9" s="1" t="s">
        <v>182</v>
      </c>
      <c r="X9" s="1" t="s">
        <v>340</v>
      </c>
      <c r="Y9" s="1" t="s">
        <v>917</v>
      </c>
      <c r="Z9" s="1">
        <v>10</v>
      </c>
      <c r="AA9" s="1" t="s">
        <v>796</v>
      </c>
      <c r="AB9" s="1">
        <v>4</v>
      </c>
      <c r="AC9" s="1" t="s">
        <v>159</v>
      </c>
      <c r="AD9" s="1">
        <v>8</v>
      </c>
      <c r="AE9" s="1">
        <v>4</v>
      </c>
      <c r="AF9" s="1">
        <v>-1</v>
      </c>
      <c r="AG9" s="1" t="s">
        <v>207</v>
      </c>
      <c r="AH9" s="1">
        <v>3</v>
      </c>
      <c r="AI9" s="1" t="s">
        <v>223</v>
      </c>
      <c r="AJ9" s="1">
        <v>1</v>
      </c>
      <c r="AK9" s="1" t="s">
        <v>246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918</v>
      </c>
      <c r="AT9" s="1" t="s">
        <v>919</v>
      </c>
      <c r="AU9" s="1" t="s">
        <v>260</v>
      </c>
      <c r="AV9" s="1" t="s">
        <v>920</v>
      </c>
      <c r="AW9" s="1" t="s">
        <v>847</v>
      </c>
      <c r="AX9" s="1" t="s">
        <v>164</v>
      </c>
      <c r="AY9" s="1" t="s">
        <v>921</v>
      </c>
      <c r="AZ9" s="1" t="s">
        <v>922</v>
      </c>
      <c r="BA9" s="1" t="s">
        <v>923</v>
      </c>
      <c r="BB9" s="1" t="s">
        <v>924</v>
      </c>
      <c r="BC9" s="1" t="s">
        <v>806</v>
      </c>
      <c r="BD9" s="1" t="s">
        <v>925</v>
      </c>
      <c r="BE9" s="1">
        <v>112.4</v>
      </c>
      <c r="BF9" s="1">
        <v>108</v>
      </c>
      <c r="BG9" s="1">
        <v>4.4000000000000004</v>
      </c>
      <c r="BH9" s="1" t="s">
        <v>764</v>
      </c>
      <c r="BI9" s="1" t="s">
        <v>810</v>
      </c>
      <c r="BJ9" s="1" t="s">
        <v>807</v>
      </c>
      <c r="BK9" s="1" t="s">
        <v>783</v>
      </c>
      <c r="BL9" s="1" t="s">
        <v>926</v>
      </c>
      <c r="BM9" s="1" t="s">
        <v>323</v>
      </c>
      <c r="BN9" s="1" t="s">
        <v>276</v>
      </c>
      <c r="BO9" s="1" t="s">
        <v>276</v>
      </c>
      <c r="BP9" s="1" t="s">
        <v>233</v>
      </c>
      <c r="BQ9" s="1" t="s">
        <v>316</v>
      </c>
      <c r="BR9" s="1" t="s">
        <v>308</v>
      </c>
      <c r="BS9" s="1" t="s">
        <v>169</v>
      </c>
      <c r="BT9" s="1"/>
      <c r="BU9" s="1"/>
      <c r="BV9" s="1"/>
      <c r="BW9" s="1"/>
      <c r="BX9" s="1"/>
      <c r="BY9" s="1" t="s">
        <v>255</v>
      </c>
      <c r="BZ9" s="1" t="s">
        <v>927</v>
      </c>
      <c r="CA9" s="1" t="s">
        <v>270</v>
      </c>
      <c r="CB9" s="1" t="s">
        <v>874</v>
      </c>
      <c r="CC9" s="1" t="s">
        <v>928</v>
      </c>
    </row>
    <row r="10" spans="1:81" x14ac:dyDescent="0.25">
      <c r="A10" s="1" t="s">
        <v>145</v>
      </c>
      <c r="B10" s="1" t="s">
        <v>763</v>
      </c>
      <c r="C10" s="1">
        <v>1610612754</v>
      </c>
      <c r="D10" s="1" t="s">
        <v>288</v>
      </c>
      <c r="E10" s="1" t="s">
        <v>289</v>
      </c>
      <c r="F10" s="1" t="s">
        <v>179</v>
      </c>
      <c r="G10" s="1" t="s">
        <v>929</v>
      </c>
      <c r="H10" s="1">
        <v>5</v>
      </c>
      <c r="I10" s="1" t="s">
        <v>858</v>
      </c>
      <c r="J10" s="1" t="s">
        <v>181</v>
      </c>
      <c r="K10" s="1" t="s">
        <v>930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931</v>
      </c>
      <c r="R10" s="1" t="s">
        <v>900</v>
      </c>
      <c r="S10" s="1" t="s">
        <v>932</v>
      </c>
      <c r="T10" s="1" t="s">
        <v>310</v>
      </c>
      <c r="U10" s="1" t="s">
        <v>259</v>
      </c>
      <c r="V10" s="1" t="s">
        <v>320</v>
      </c>
      <c r="W10" s="1" t="s">
        <v>157</v>
      </c>
      <c r="X10" s="1" t="s">
        <v>302</v>
      </c>
      <c r="Y10" s="1" t="s">
        <v>933</v>
      </c>
      <c r="Z10" s="1">
        <v>5</v>
      </c>
      <c r="AA10" s="1" t="s">
        <v>160</v>
      </c>
      <c r="AB10" s="1">
        <v>-10</v>
      </c>
      <c r="AC10" s="1" t="s">
        <v>934</v>
      </c>
      <c r="AD10" s="1">
        <v>7</v>
      </c>
      <c r="AE10" s="1">
        <v>4</v>
      </c>
      <c r="AF10" s="1">
        <v>-2</v>
      </c>
      <c r="AG10" s="1" t="s">
        <v>279</v>
      </c>
      <c r="AH10" s="1">
        <v>2</v>
      </c>
      <c r="AI10" s="1" t="s">
        <v>222</v>
      </c>
      <c r="AJ10" s="1">
        <v>1</v>
      </c>
      <c r="AK10" s="1" t="s">
        <v>246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935</v>
      </c>
      <c r="AT10" s="1" t="s">
        <v>936</v>
      </c>
      <c r="AU10" s="1" t="s">
        <v>190</v>
      </c>
      <c r="AV10" s="1" t="s">
        <v>937</v>
      </c>
      <c r="AW10" s="1" t="s">
        <v>938</v>
      </c>
      <c r="AX10" s="1" t="s">
        <v>157</v>
      </c>
      <c r="AY10" s="1" t="s">
        <v>939</v>
      </c>
      <c r="AZ10" s="1" t="s">
        <v>940</v>
      </c>
      <c r="BA10" s="1" t="s">
        <v>941</v>
      </c>
      <c r="BB10" s="1" t="s">
        <v>942</v>
      </c>
      <c r="BC10" s="1" t="s">
        <v>943</v>
      </c>
      <c r="BD10" s="1" t="s">
        <v>944</v>
      </c>
      <c r="BE10" s="1">
        <v>108</v>
      </c>
      <c r="BF10" s="1">
        <v>104.7</v>
      </c>
      <c r="BG10" s="1">
        <v>3.3</v>
      </c>
      <c r="BH10" s="1" t="s">
        <v>929</v>
      </c>
      <c r="BI10" s="1" t="s">
        <v>945</v>
      </c>
      <c r="BJ10" s="1" t="s">
        <v>946</v>
      </c>
      <c r="BK10" s="1" t="s">
        <v>807</v>
      </c>
      <c r="BL10" s="1" t="s">
        <v>947</v>
      </c>
      <c r="BM10" s="1" t="s">
        <v>276</v>
      </c>
      <c r="BN10" s="1" t="s">
        <v>276</v>
      </c>
      <c r="BO10" s="1" t="s">
        <v>276</v>
      </c>
      <c r="BP10" s="1" t="s">
        <v>326</v>
      </c>
      <c r="BQ10" s="1" t="s">
        <v>948</v>
      </c>
      <c r="BR10" s="1" t="s">
        <v>371</v>
      </c>
      <c r="BS10" s="1" t="s">
        <v>228</v>
      </c>
      <c r="BT10" s="1"/>
      <c r="BU10" s="1"/>
      <c r="BV10" s="1"/>
      <c r="BW10" s="1"/>
      <c r="BX10" s="1"/>
      <c r="BY10" s="1" t="s">
        <v>315</v>
      </c>
      <c r="BZ10" s="1" t="s">
        <v>291</v>
      </c>
      <c r="CA10" s="1" t="s">
        <v>183</v>
      </c>
      <c r="CB10" s="1" t="s">
        <v>949</v>
      </c>
      <c r="CC10" s="1" t="s">
        <v>950</v>
      </c>
    </row>
    <row r="11" spans="1:81" x14ac:dyDescent="0.25">
      <c r="A11" s="1" t="s">
        <v>145</v>
      </c>
      <c r="B11" s="1" t="s">
        <v>763</v>
      </c>
      <c r="C11" s="1">
        <v>1610612762</v>
      </c>
      <c r="D11" s="1" t="s">
        <v>283</v>
      </c>
      <c r="E11" s="1" t="s">
        <v>284</v>
      </c>
      <c r="F11" s="1" t="s">
        <v>149</v>
      </c>
      <c r="G11" s="1" t="s">
        <v>951</v>
      </c>
      <c r="H11" s="1">
        <v>5</v>
      </c>
      <c r="I11" s="1" t="s">
        <v>858</v>
      </c>
      <c r="J11" s="1" t="s">
        <v>219</v>
      </c>
      <c r="K11" s="1" t="s">
        <v>859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952</v>
      </c>
      <c r="R11" s="1" t="s">
        <v>900</v>
      </c>
      <c r="S11" s="1" t="s">
        <v>879</v>
      </c>
      <c r="T11" s="1" t="s">
        <v>184</v>
      </c>
      <c r="U11" s="1" t="s">
        <v>184</v>
      </c>
      <c r="V11" s="1" t="s">
        <v>259</v>
      </c>
      <c r="W11" s="1" t="s">
        <v>164</v>
      </c>
      <c r="X11" s="1" t="s">
        <v>359</v>
      </c>
      <c r="Y11" s="1" t="s">
        <v>953</v>
      </c>
      <c r="Z11" s="1">
        <v>8</v>
      </c>
      <c r="AA11" s="1" t="s">
        <v>881</v>
      </c>
      <c r="AB11" s="1">
        <v>-5</v>
      </c>
      <c r="AC11" s="1" t="s">
        <v>272</v>
      </c>
      <c r="AD11" s="1">
        <v>7</v>
      </c>
      <c r="AE11" s="1">
        <v>4</v>
      </c>
      <c r="AF11" s="1">
        <v>8</v>
      </c>
      <c r="AG11" s="1" t="s">
        <v>881</v>
      </c>
      <c r="AH11" s="1">
        <v>-2</v>
      </c>
      <c r="AI11" s="1" t="s">
        <v>279</v>
      </c>
      <c r="AJ11" s="1">
        <v>-1</v>
      </c>
      <c r="AK11" s="1" t="s">
        <v>207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954</v>
      </c>
      <c r="AT11" s="1" t="s">
        <v>955</v>
      </c>
      <c r="AU11" s="1" t="s">
        <v>185</v>
      </c>
      <c r="AV11" s="1" t="s">
        <v>956</v>
      </c>
      <c r="AW11" s="1" t="s">
        <v>957</v>
      </c>
      <c r="AX11" s="1" t="s">
        <v>157</v>
      </c>
      <c r="AY11" s="1" t="s">
        <v>958</v>
      </c>
      <c r="AZ11" s="1" t="s">
        <v>959</v>
      </c>
      <c r="BA11" s="1" t="s">
        <v>960</v>
      </c>
      <c r="BB11" s="1" t="s">
        <v>961</v>
      </c>
      <c r="BC11" s="1" t="s">
        <v>918</v>
      </c>
      <c r="BD11" s="1" t="s">
        <v>962</v>
      </c>
      <c r="BE11" s="1">
        <v>111.7</v>
      </c>
      <c r="BF11" s="1">
        <v>106.5</v>
      </c>
      <c r="BG11" s="1">
        <v>5.3</v>
      </c>
      <c r="BH11" s="1" t="s">
        <v>809</v>
      </c>
      <c r="BI11" s="1" t="s">
        <v>266</v>
      </c>
      <c r="BJ11" s="1" t="s">
        <v>296</v>
      </c>
      <c r="BK11" s="1" t="s">
        <v>296</v>
      </c>
      <c r="BL11" s="1" t="s">
        <v>951</v>
      </c>
      <c r="BM11" s="1" t="s">
        <v>871</v>
      </c>
      <c r="BN11" s="1" t="s">
        <v>783</v>
      </c>
      <c r="BO11" s="1" t="s">
        <v>785</v>
      </c>
      <c r="BP11" s="1" t="s">
        <v>233</v>
      </c>
      <c r="BQ11" s="1" t="s">
        <v>256</v>
      </c>
      <c r="BR11" s="1" t="s">
        <v>233</v>
      </c>
      <c r="BS11" s="1" t="s">
        <v>214</v>
      </c>
      <c r="BT11" s="1"/>
      <c r="BU11" s="1"/>
      <c r="BV11" s="1"/>
      <c r="BW11" s="1"/>
      <c r="BX11" s="1"/>
      <c r="BY11" s="1" t="s">
        <v>249</v>
      </c>
      <c r="BZ11" s="1" t="s">
        <v>963</v>
      </c>
      <c r="CA11" s="1" t="s">
        <v>326</v>
      </c>
      <c r="CB11" s="1" t="s">
        <v>964</v>
      </c>
      <c r="CC11" s="1" t="s">
        <v>965</v>
      </c>
    </row>
    <row r="12" spans="1:81" x14ac:dyDescent="0.25">
      <c r="A12" s="1" t="s">
        <v>145</v>
      </c>
      <c r="B12" s="1" t="s">
        <v>763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966</v>
      </c>
      <c r="H12" s="1">
        <v>6</v>
      </c>
      <c r="I12" s="1" t="s">
        <v>858</v>
      </c>
      <c r="J12" s="1" t="s">
        <v>219</v>
      </c>
      <c r="K12" s="1" t="s">
        <v>967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915</v>
      </c>
      <c r="R12" s="1" t="s">
        <v>769</v>
      </c>
      <c r="S12" s="1" t="s">
        <v>898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968</v>
      </c>
      <c r="Y12" s="1" t="s">
        <v>969</v>
      </c>
      <c r="Z12" s="1">
        <v>7</v>
      </c>
      <c r="AA12" s="1" t="s">
        <v>901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970</v>
      </c>
      <c r="AT12" s="1" t="s">
        <v>971</v>
      </c>
      <c r="AU12" s="1" t="s">
        <v>186</v>
      </c>
      <c r="AV12" s="1" t="s">
        <v>972</v>
      </c>
      <c r="AW12" s="1" t="s">
        <v>973</v>
      </c>
      <c r="AX12" s="1" t="s">
        <v>157</v>
      </c>
      <c r="AY12" s="1" t="s">
        <v>974</v>
      </c>
      <c r="AZ12" s="1" t="s">
        <v>975</v>
      </c>
      <c r="BA12" s="1" t="s">
        <v>976</v>
      </c>
      <c r="BB12" s="1" t="s">
        <v>977</v>
      </c>
      <c r="BC12" s="1" t="s">
        <v>900</v>
      </c>
      <c r="BD12" s="1" t="s">
        <v>978</v>
      </c>
      <c r="BE12" s="1">
        <v>114.5</v>
      </c>
      <c r="BF12" s="1">
        <v>111.1</v>
      </c>
      <c r="BG12" s="1">
        <v>3.4</v>
      </c>
      <c r="BH12" s="1" t="s">
        <v>910</v>
      </c>
      <c r="BI12" s="1" t="s">
        <v>266</v>
      </c>
      <c r="BJ12" s="1" t="s">
        <v>216</v>
      </c>
      <c r="BK12" s="1" t="s">
        <v>296</v>
      </c>
      <c r="BL12" s="1" t="s">
        <v>966</v>
      </c>
      <c r="BM12" s="1" t="s">
        <v>979</v>
      </c>
      <c r="BN12" s="1" t="s">
        <v>785</v>
      </c>
      <c r="BO12" s="1" t="s">
        <v>945</v>
      </c>
      <c r="BP12" s="1" t="s">
        <v>270</v>
      </c>
      <c r="BQ12" s="1" t="s">
        <v>286</v>
      </c>
      <c r="BR12" s="1" t="s">
        <v>410</v>
      </c>
      <c r="BS12" s="1" t="s">
        <v>980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834</v>
      </c>
      <c r="CB12" s="1" t="s">
        <v>981</v>
      </c>
      <c r="CC12" s="1" t="s">
        <v>982</v>
      </c>
    </row>
    <row r="13" spans="1:81" x14ac:dyDescent="0.25">
      <c r="A13" s="1" t="s">
        <v>145</v>
      </c>
      <c r="B13" s="1" t="s">
        <v>763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876</v>
      </c>
      <c r="H13" s="1">
        <v>6</v>
      </c>
      <c r="I13" s="1" t="s">
        <v>858</v>
      </c>
      <c r="J13" s="1" t="s">
        <v>203</v>
      </c>
      <c r="K13" s="1" t="s">
        <v>859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983</v>
      </c>
      <c r="R13" s="1" t="s">
        <v>984</v>
      </c>
      <c r="S13" s="1" t="s">
        <v>932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985</v>
      </c>
      <c r="Y13" s="1" t="s">
        <v>986</v>
      </c>
      <c r="Z13" s="1">
        <v>9</v>
      </c>
      <c r="AA13" s="1" t="s">
        <v>987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880</v>
      </c>
      <c r="AT13" s="1" t="s">
        <v>988</v>
      </c>
      <c r="AU13" s="1" t="s">
        <v>273</v>
      </c>
      <c r="AV13" s="1" t="s">
        <v>989</v>
      </c>
      <c r="AW13" s="1" t="s">
        <v>990</v>
      </c>
      <c r="AX13" s="1" t="s">
        <v>224</v>
      </c>
      <c r="AY13" s="1" t="s">
        <v>991</v>
      </c>
      <c r="AZ13" s="1" t="s">
        <v>992</v>
      </c>
      <c r="BA13" s="1" t="s">
        <v>993</v>
      </c>
      <c r="BB13" s="1" t="s">
        <v>994</v>
      </c>
      <c r="BC13" s="1" t="s">
        <v>853</v>
      </c>
      <c r="BD13" s="1" t="s">
        <v>995</v>
      </c>
      <c r="BE13" s="1">
        <v>112.2</v>
      </c>
      <c r="BF13" s="1">
        <v>112.3</v>
      </c>
      <c r="BG13" s="1">
        <v>-0.1</v>
      </c>
      <c r="BH13" s="1" t="s">
        <v>876</v>
      </c>
      <c r="BI13" s="1" t="s">
        <v>871</v>
      </c>
      <c r="BJ13" s="1" t="s">
        <v>785</v>
      </c>
      <c r="BK13" s="1" t="s">
        <v>872</v>
      </c>
      <c r="BL13" s="1" t="s">
        <v>996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834</v>
      </c>
      <c r="CB13" s="1" t="s">
        <v>997</v>
      </c>
      <c r="CC13" s="1" t="s">
        <v>998</v>
      </c>
    </row>
    <row r="14" spans="1:81" x14ac:dyDescent="0.25">
      <c r="A14" s="1" t="s">
        <v>145</v>
      </c>
      <c r="B14" s="1" t="s">
        <v>763</v>
      </c>
      <c r="C14" s="1">
        <v>1610612753</v>
      </c>
      <c r="D14" s="1" t="s">
        <v>317</v>
      </c>
      <c r="E14" s="1" t="s">
        <v>318</v>
      </c>
      <c r="F14" s="1" t="s">
        <v>179</v>
      </c>
      <c r="G14" s="1" t="s">
        <v>951</v>
      </c>
      <c r="H14" s="1">
        <v>7</v>
      </c>
      <c r="I14" s="1" t="s">
        <v>999</v>
      </c>
      <c r="J14" s="1" t="s">
        <v>244</v>
      </c>
      <c r="K14" s="1" t="s">
        <v>897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983</v>
      </c>
      <c r="R14" s="1" t="s">
        <v>1000</v>
      </c>
      <c r="S14" s="1" t="s">
        <v>1001</v>
      </c>
      <c r="T14" s="1" t="s">
        <v>184</v>
      </c>
      <c r="U14" s="1" t="s">
        <v>156</v>
      </c>
      <c r="V14" s="1" t="s">
        <v>310</v>
      </c>
      <c r="W14" s="1" t="s">
        <v>339</v>
      </c>
      <c r="X14" s="1" t="s">
        <v>340</v>
      </c>
      <c r="Y14" s="1" t="s">
        <v>1002</v>
      </c>
      <c r="Z14" s="1">
        <v>9</v>
      </c>
      <c r="AA14" s="1" t="s">
        <v>987</v>
      </c>
      <c r="AB14" s="1">
        <v>-5</v>
      </c>
      <c r="AC14" s="1" t="s">
        <v>272</v>
      </c>
      <c r="AD14" s="1">
        <v>6</v>
      </c>
      <c r="AE14" s="1">
        <v>4</v>
      </c>
      <c r="AF14" s="1">
        <v>9</v>
      </c>
      <c r="AG14" s="1" t="s">
        <v>987</v>
      </c>
      <c r="AH14" s="1">
        <v>2</v>
      </c>
      <c r="AI14" s="1" t="s">
        <v>222</v>
      </c>
      <c r="AJ14" s="1">
        <v>4</v>
      </c>
      <c r="AK14" s="1" t="s">
        <v>159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768</v>
      </c>
      <c r="AT14" s="1" t="s">
        <v>1003</v>
      </c>
      <c r="AU14" s="1" t="s">
        <v>164</v>
      </c>
      <c r="AV14" s="1" t="s">
        <v>1004</v>
      </c>
      <c r="AW14" s="1" t="s">
        <v>1005</v>
      </c>
      <c r="AX14" s="1" t="s">
        <v>185</v>
      </c>
      <c r="AY14" s="1" t="s">
        <v>1006</v>
      </c>
      <c r="AZ14" s="1" t="s">
        <v>1007</v>
      </c>
      <c r="BA14" s="1" t="s">
        <v>1008</v>
      </c>
      <c r="BB14" s="1" t="s">
        <v>1004</v>
      </c>
      <c r="BC14" s="1" t="s">
        <v>916</v>
      </c>
      <c r="BD14" s="1" t="s">
        <v>917</v>
      </c>
      <c r="BE14" s="1">
        <v>107.3</v>
      </c>
      <c r="BF14" s="1">
        <v>106.6</v>
      </c>
      <c r="BG14" s="1">
        <v>0.7</v>
      </c>
      <c r="BH14" s="1" t="s">
        <v>951</v>
      </c>
      <c r="BI14" s="1" t="s">
        <v>872</v>
      </c>
      <c r="BJ14" s="1" t="s">
        <v>945</v>
      </c>
      <c r="BK14" s="1" t="s">
        <v>810</v>
      </c>
      <c r="BL14" s="1" t="s">
        <v>1009</v>
      </c>
      <c r="BM14" s="1" t="s">
        <v>393</v>
      </c>
      <c r="BN14" s="1" t="s">
        <v>323</v>
      </c>
      <c r="BO14" s="1" t="s">
        <v>266</v>
      </c>
      <c r="BP14" s="1" t="s">
        <v>386</v>
      </c>
      <c r="BQ14" s="1" t="s">
        <v>240</v>
      </c>
      <c r="BR14" s="1" t="s">
        <v>270</v>
      </c>
      <c r="BS14" s="1" t="s">
        <v>169</v>
      </c>
      <c r="BT14" s="1"/>
      <c r="BU14" s="1"/>
      <c r="BV14" s="1"/>
      <c r="BW14" s="1"/>
      <c r="BX14" s="1"/>
      <c r="BY14" s="1" t="s">
        <v>345</v>
      </c>
      <c r="BZ14" s="1" t="s">
        <v>979</v>
      </c>
      <c r="CA14" s="1" t="s">
        <v>1010</v>
      </c>
      <c r="CB14" s="1" t="s">
        <v>1011</v>
      </c>
      <c r="CC14" s="1" t="s">
        <v>836</v>
      </c>
    </row>
    <row r="15" spans="1:81" x14ac:dyDescent="0.25">
      <c r="A15" s="1" t="s">
        <v>145</v>
      </c>
      <c r="B15" s="1" t="s">
        <v>763</v>
      </c>
      <c r="C15" s="1">
        <v>1610612759</v>
      </c>
      <c r="D15" s="1" t="s">
        <v>374</v>
      </c>
      <c r="E15" s="1" t="s">
        <v>375</v>
      </c>
      <c r="F15" s="1" t="s">
        <v>149</v>
      </c>
      <c r="G15" s="1" t="s">
        <v>951</v>
      </c>
      <c r="H15" s="1">
        <v>7</v>
      </c>
      <c r="I15" s="1" t="s">
        <v>858</v>
      </c>
      <c r="J15" s="1" t="s">
        <v>231</v>
      </c>
      <c r="K15" s="1" t="s">
        <v>897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931</v>
      </c>
      <c r="R15" s="1" t="s">
        <v>817</v>
      </c>
      <c r="S15" s="1" t="s">
        <v>1012</v>
      </c>
      <c r="T15" s="1" t="s">
        <v>259</v>
      </c>
      <c r="U15" s="1" t="s">
        <v>184</v>
      </c>
      <c r="V15" s="1" t="s">
        <v>265</v>
      </c>
      <c r="W15" s="1" t="s">
        <v>153</v>
      </c>
      <c r="X15" s="1" t="s">
        <v>1013</v>
      </c>
      <c r="Y15" s="1" t="s">
        <v>1000</v>
      </c>
      <c r="Z15" s="1">
        <v>11</v>
      </c>
      <c r="AA15" s="1" t="s">
        <v>771</v>
      </c>
      <c r="AB15" s="1">
        <v>-5</v>
      </c>
      <c r="AC15" s="1" t="s">
        <v>272</v>
      </c>
      <c r="AD15" s="1">
        <v>9</v>
      </c>
      <c r="AE15" s="1">
        <v>4</v>
      </c>
      <c r="AF15" s="1">
        <v>2</v>
      </c>
      <c r="AG15" s="1" t="s">
        <v>222</v>
      </c>
      <c r="AH15" s="1">
        <v>2</v>
      </c>
      <c r="AI15" s="1" t="s">
        <v>222</v>
      </c>
      <c r="AJ15" s="1">
        <v>3</v>
      </c>
      <c r="AK15" s="1" t="s">
        <v>223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1014</v>
      </c>
      <c r="AT15" s="1" t="s">
        <v>1015</v>
      </c>
      <c r="AU15" s="1" t="s">
        <v>163</v>
      </c>
      <c r="AV15" s="1" t="s">
        <v>1016</v>
      </c>
      <c r="AW15" s="1" t="s">
        <v>1015</v>
      </c>
      <c r="AX15" s="1" t="s">
        <v>164</v>
      </c>
      <c r="AY15" s="1" t="s">
        <v>1017</v>
      </c>
      <c r="AZ15" s="1" t="s">
        <v>1018</v>
      </c>
      <c r="BA15" s="1" t="s">
        <v>1002</v>
      </c>
      <c r="BB15" s="1" t="s">
        <v>772</v>
      </c>
      <c r="BC15" s="1" t="s">
        <v>1019</v>
      </c>
      <c r="BD15" s="1" t="s">
        <v>1020</v>
      </c>
      <c r="BE15" s="1">
        <v>111.7</v>
      </c>
      <c r="BF15" s="1">
        <v>110</v>
      </c>
      <c r="BG15" s="1">
        <v>1.7</v>
      </c>
      <c r="BH15" s="1" t="s">
        <v>1021</v>
      </c>
      <c r="BI15" s="1" t="s">
        <v>266</v>
      </c>
      <c r="BJ15" s="1" t="s">
        <v>296</v>
      </c>
      <c r="BK15" s="1" t="s">
        <v>276</v>
      </c>
      <c r="BL15" s="1" t="s">
        <v>951</v>
      </c>
      <c r="BM15" s="1" t="s">
        <v>785</v>
      </c>
      <c r="BN15" s="1" t="s">
        <v>785</v>
      </c>
      <c r="BO15" s="1" t="s">
        <v>810</v>
      </c>
      <c r="BP15" s="1" t="s">
        <v>261</v>
      </c>
      <c r="BQ15" s="1" t="s">
        <v>398</v>
      </c>
      <c r="BR15" s="1" t="s">
        <v>253</v>
      </c>
      <c r="BS15" s="1" t="s">
        <v>169</v>
      </c>
      <c r="BT15" s="1"/>
      <c r="BU15" s="1"/>
      <c r="BV15" s="1"/>
      <c r="BW15" s="1"/>
      <c r="BX15" s="1"/>
      <c r="BY15" s="1" t="s">
        <v>255</v>
      </c>
      <c r="BZ15" s="1" t="s">
        <v>349</v>
      </c>
      <c r="CA15" s="1" t="s">
        <v>946</v>
      </c>
      <c r="CB15" s="1" t="s">
        <v>1022</v>
      </c>
      <c r="CC15" s="1" t="s">
        <v>836</v>
      </c>
    </row>
    <row r="16" spans="1:81" x14ac:dyDescent="0.25">
      <c r="A16" s="1" t="s">
        <v>145</v>
      </c>
      <c r="B16" s="1" t="s">
        <v>763</v>
      </c>
      <c r="C16" s="1">
        <v>1610612765</v>
      </c>
      <c r="D16" s="1" t="s">
        <v>380</v>
      </c>
      <c r="E16" s="1" t="s">
        <v>381</v>
      </c>
      <c r="F16" s="1" t="s">
        <v>179</v>
      </c>
      <c r="G16" s="1" t="s">
        <v>1023</v>
      </c>
      <c r="H16" s="1">
        <v>8</v>
      </c>
      <c r="I16" s="1" t="s">
        <v>858</v>
      </c>
      <c r="J16" s="1" t="s">
        <v>181</v>
      </c>
      <c r="K16" s="1" t="s">
        <v>859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1024</v>
      </c>
      <c r="R16" s="1" t="s">
        <v>818</v>
      </c>
      <c r="S16" s="1" t="s">
        <v>1025</v>
      </c>
      <c r="T16" s="1" t="s">
        <v>310</v>
      </c>
      <c r="U16" s="1" t="s">
        <v>184</v>
      </c>
      <c r="V16" s="1" t="s">
        <v>320</v>
      </c>
      <c r="W16" s="1" t="s">
        <v>221</v>
      </c>
      <c r="X16" s="1" t="s">
        <v>355</v>
      </c>
      <c r="Y16" s="1" t="s">
        <v>1026</v>
      </c>
      <c r="Z16" s="1">
        <v>11</v>
      </c>
      <c r="AA16" s="1" t="s">
        <v>771</v>
      </c>
      <c r="AB16" s="1">
        <v>-5</v>
      </c>
      <c r="AC16" s="1" t="s">
        <v>272</v>
      </c>
      <c r="AD16" s="1">
        <v>5</v>
      </c>
      <c r="AE16" s="1">
        <v>6</v>
      </c>
      <c r="AF16" s="1">
        <v>1</v>
      </c>
      <c r="AG16" s="1" t="s">
        <v>246</v>
      </c>
      <c r="AH16" s="1">
        <v>1</v>
      </c>
      <c r="AI16" s="1" t="s">
        <v>246</v>
      </c>
      <c r="AJ16" s="1">
        <v>2</v>
      </c>
      <c r="AK16" s="1" t="s">
        <v>222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1027</v>
      </c>
      <c r="AT16" s="1" t="s">
        <v>1028</v>
      </c>
      <c r="AU16" s="1" t="s">
        <v>186</v>
      </c>
      <c r="AV16" s="1" t="s">
        <v>880</v>
      </c>
      <c r="AW16" s="1" t="s">
        <v>1029</v>
      </c>
      <c r="AX16" s="1" t="s">
        <v>161</v>
      </c>
      <c r="AY16" s="1" t="s">
        <v>1030</v>
      </c>
      <c r="AZ16" s="1" t="s">
        <v>1031</v>
      </c>
      <c r="BA16" s="1" t="s">
        <v>1032</v>
      </c>
      <c r="BB16" s="1" t="s">
        <v>1033</v>
      </c>
      <c r="BC16" s="1" t="s">
        <v>1034</v>
      </c>
      <c r="BD16" s="1" t="s">
        <v>1035</v>
      </c>
      <c r="BE16" s="1">
        <v>107</v>
      </c>
      <c r="BF16" s="1">
        <v>107.3</v>
      </c>
      <c r="BG16" s="1">
        <v>-0.2</v>
      </c>
      <c r="BH16" s="1" t="s">
        <v>1023</v>
      </c>
      <c r="BI16" s="1" t="s">
        <v>785</v>
      </c>
      <c r="BJ16" s="1" t="s">
        <v>871</v>
      </c>
      <c r="BK16" s="1" t="s">
        <v>945</v>
      </c>
      <c r="BL16" s="1" t="s">
        <v>926</v>
      </c>
      <c r="BM16" s="1" t="s">
        <v>323</v>
      </c>
      <c r="BN16" s="1" t="s">
        <v>276</v>
      </c>
      <c r="BO16" s="1" t="s">
        <v>276</v>
      </c>
      <c r="BP16" s="1" t="s">
        <v>410</v>
      </c>
      <c r="BQ16" s="1" t="s">
        <v>296</v>
      </c>
      <c r="BR16" s="1" t="s">
        <v>810</v>
      </c>
      <c r="BS16" s="1" t="s">
        <v>274</v>
      </c>
      <c r="BT16" s="1"/>
      <c r="BU16" s="1"/>
      <c r="BV16" s="1"/>
      <c r="BW16" s="1"/>
      <c r="BX16" s="1"/>
      <c r="BY16" s="1" t="s">
        <v>249</v>
      </c>
      <c r="BZ16" s="1" t="s">
        <v>854</v>
      </c>
      <c r="CA16" s="1" t="s">
        <v>397</v>
      </c>
      <c r="CB16" s="1" t="s">
        <v>1036</v>
      </c>
      <c r="CC16" s="1" t="s">
        <v>1037</v>
      </c>
    </row>
    <row r="17" spans="1:81" x14ac:dyDescent="0.25">
      <c r="A17" s="1" t="s">
        <v>145</v>
      </c>
      <c r="B17" s="1" t="s">
        <v>763</v>
      </c>
      <c r="C17" s="1">
        <v>1610612746</v>
      </c>
      <c r="D17" s="1" t="s">
        <v>257</v>
      </c>
      <c r="E17" s="1" t="s">
        <v>258</v>
      </c>
      <c r="F17" s="1" t="s">
        <v>149</v>
      </c>
      <c r="G17" s="1" t="s">
        <v>966</v>
      </c>
      <c r="H17" s="1">
        <v>8</v>
      </c>
      <c r="I17" s="1" t="s">
        <v>858</v>
      </c>
      <c r="J17" s="1" t="s">
        <v>152</v>
      </c>
      <c r="K17" s="1" t="s">
        <v>930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931</v>
      </c>
      <c r="R17" s="1" t="s">
        <v>818</v>
      </c>
      <c r="S17" s="1" t="s">
        <v>898</v>
      </c>
      <c r="T17" s="1" t="s">
        <v>259</v>
      </c>
      <c r="U17" s="1" t="s">
        <v>193</v>
      </c>
      <c r="V17" s="1" t="s">
        <v>259</v>
      </c>
      <c r="W17" s="1" t="s">
        <v>158</v>
      </c>
      <c r="X17" s="1" t="s">
        <v>166</v>
      </c>
      <c r="Y17" s="1" t="s">
        <v>984</v>
      </c>
      <c r="Z17" s="1">
        <v>9</v>
      </c>
      <c r="AA17" s="1" t="s">
        <v>987</v>
      </c>
      <c r="AB17" s="1">
        <v>5</v>
      </c>
      <c r="AC17" s="1" t="s">
        <v>160</v>
      </c>
      <c r="AD17" s="1">
        <v>6</v>
      </c>
      <c r="AE17" s="1">
        <v>5</v>
      </c>
      <c r="AF17" s="1">
        <v>1</v>
      </c>
      <c r="AG17" s="1" t="s">
        <v>246</v>
      </c>
      <c r="AH17" s="1">
        <v>-2</v>
      </c>
      <c r="AI17" s="1" t="s">
        <v>279</v>
      </c>
      <c r="AJ17" s="1">
        <v>1</v>
      </c>
      <c r="AK17" s="1" t="s">
        <v>246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1004</v>
      </c>
      <c r="AT17" s="1" t="s">
        <v>1038</v>
      </c>
      <c r="AU17" s="1" t="s">
        <v>260</v>
      </c>
      <c r="AV17" s="1" t="s">
        <v>1039</v>
      </c>
      <c r="AW17" s="1" t="s">
        <v>1040</v>
      </c>
      <c r="AX17" s="1" t="s">
        <v>190</v>
      </c>
      <c r="AY17" s="1" t="s">
        <v>1041</v>
      </c>
      <c r="AZ17" s="1" t="s">
        <v>1042</v>
      </c>
      <c r="BA17" s="1" t="s">
        <v>1043</v>
      </c>
      <c r="BB17" s="1" t="s">
        <v>1044</v>
      </c>
      <c r="BC17" s="1" t="s">
        <v>1045</v>
      </c>
      <c r="BD17" s="1" t="s">
        <v>1046</v>
      </c>
      <c r="BE17" s="1">
        <v>115.1</v>
      </c>
      <c r="BF17" s="1">
        <v>114.3</v>
      </c>
      <c r="BG17" s="1">
        <v>0.9</v>
      </c>
      <c r="BH17" s="1" t="s">
        <v>809</v>
      </c>
      <c r="BI17" s="1" t="s">
        <v>266</v>
      </c>
      <c r="BJ17" s="1" t="s">
        <v>296</v>
      </c>
      <c r="BK17" s="1" t="s">
        <v>296</v>
      </c>
      <c r="BL17" s="1" t="s">
        <v>966</v>
      </c>
      <c r="BM17" s="1" t="s">
        <v>1047</v>
      </c>
      <c r="BN17" s="1" t="s">
        <v>946</v>
      </c>
      <c r="BO17" s="1" t="s">
        <v>785</v>
      </c>
      <c r="BP17" s="1" t="s">
        <v>963</v>
      </c>
      <c r="BQ17" s="1" t="s">
        <v>286</v>
      </c>
      <c r="BR17" s="1" t="s">
        <v>1048</v>
      </c>
      <c r="BS17" s="1" t="s">
        <v>282</v>
      </c>
      <c r="BT17" s="1"/>
      <c r="BU17" s="1"/>
      <c r="BV17" s="1"/>
      <c r="BW17" s="1"/>
      <c r="BX17" s="1"/>
      <c r="BY17" s="1" t="s">
        <v>249</v>
      </c>
      <c r="BZ17" s="1" t="s">
        <v>204</v>
      </c>
      <c r="CA17" s="1" t="s">
        <v>337</v>
      </c>
      <c r="CB17" s="1" t="s">
        <v>1049</v>
      </c>
      <c r="CC17" s="1" t="s">
        <v>1050</v>
      </c>
    </row>
    <row r="18" spans="1:81" x14ac:dyDescent="0.25">
      <c r="A18" s="1" t="s">
        <v>145</v>
      </c>
      <c r="B18" s="1" t="s">
        <v>763</v>
      </c>
      <c r="C18" s="1">
        <v>1610612766</v>
      </c>
      <c r="D18" s="1" t="s">
        <v>335</v>
      </c>
      <c r="E18" s="1" t="s">
        <v>336</v>
      </c>
      <c r="F18" s="1" t="s">
        <v>179</v>
      </c>
      <c r="G18" s="1" t="s">
        <v>876</v>
      </c>
      <c r="H18" s="1">
        <v>9</v>
      </c>
      <c r="I18" s="1" t="s">
        <v>1051</v>
      </c>
      <c r="J18" s="1" t="s">
        <v>244</v>
      </c>
      <c r="K18" s="1" t="s">
        <v>897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1052</v>
      </c>
      <c r="R18" s="1" t="s">
        <v>1000</v>
      </c>
      <c r="S18" s="1" t="s">
        <v>1053</v>
      </c>
      <c r="T18" s="1" t="s">
        <v>259</v>
      </c>
      <c r="U18" s="1" t="s">
        <v>265</v>
      </c>
      <c r="V18" s="1" t="s">
        <v>265</v>
      </c>
      <c r="W18" s="1" t="s">
        <v>262</v>
      </c>
      <c r="X18" s="1" t="s">
        <v>877</v>
      </c>
      <c r="Y18" s="1" t="s">
        <v>879</v>
      </c>
      <c r="Z18" s="1">
        <v>5</v>
      </c>
      <c r="AA18" s="1" t="s">
        <v>160</v>
      </c>
      <c r="AB18" s="1">
        <v>-4</v>
      </c>
      <c r="AC18" s="1" t="s">
        <v>263</v>
      </c>
      <c r="AD18" s="1">
        <v>4</v>
      </c>
      <c r="AE18" s="1">
        <v>3</v>
      </c>
      <c r="AF18" s="1">
        <v>-1</v>
      </c>
      <c r="AG18" s="1" t="s">
        <v>207</v>
      </c>
      <c r="AH18" s="1">
        <v>3</v>
      </c>
      <c r="AI18" s="1" t="s">
        <v>223</v>
      </c>
      <c r="AJ18" s="1">
        <v>-1</v>
      </c>
      <c r="AK18" s="1" t="s">
        <v>207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1054</v>
      </c>
      <c r="AT18" s="1" t="s">
        <v>1055</v>
      </c>
      <c r="AU18" s="1" t="s">
        <v>190</v>
      </c>
      <c r="AV18" s="1" t="s">
        <v>794</v>
      </c>
      <c r="AW18" s="1" t="s">
        <v>1056</v>
      </c>
      <c r="AX18" s="1" t="s">
        <v>186</v>
      </c>
      <c r="AY18" s="1" t="s">
        <v>1057</v>
      </c>
      <c r="AZ18" s="1" t="s">
        <v>1058</v>
      </c>
      <c r="BA18" s="1" t="s">
        <v>971</v>
      </c>
      <c r="BB18" s="1" t="s">
        <v>1059</v>
      </c>
      <c r="BC18" s="1" t="s">
        <v>1060</v>
      </c>
      <c r="BD18" s="1" t="s">
        <v>1061</v>
      </c>
      <c r="BE18" s="1">
        <v>110.7</v>
      </c>
      <c r="BF18" s="1">
        <v>111.8</v>
      </c>
      <c r="BG18" s="1">
        <v>-1.1000000000000001</v>
      </c>
      <c r="BH18" s="1" t="s">
        <v>876</v>
      </c>
      <c r="BI18" s="1" t="s">
        <v>911</v>
      </c>
      <c r="BJ18" s="1" t="s">
        <v>872</v>
      </c>
      <c r="BK18" s="1" t="s">
        <v>810</v>
      </c>
      <c r="BL18" s="1" t="s">
        <v>1062</v>
      </c>
      <c r="BM18" s="1" t="s">
        <v>393</v>
      </c>
      <c r="BN18" s="1" t="s">
        <v>398</v>
      </c>
      <c r="BO18" s="1" t="s">
        <v>276</v>
      </c>
      <c r="BP18" s="1" t="s">
        <v>299</v>
      </c>
      <c r="BQ18" s="1" t="s">
        <v>388</v>
      </c>
      <c r="BR18" s="1" t="s">
        <v>927</v>
      </c>
      <c r="BS18" s="1" t="s">
        <v>214</v>
      </c>
      <c r="BT18" s="1"/>
      <c r="BU18" s="1"/>
      <c r="BV18" s="1"/>
      <c r="BW18" s="1"/>
      <c r="BX18" s="1"/>
      <c r="BY18" s="1" t="s">
        <v>343</v>
      </c>
      <c r="BZ18" s="1" t="s">
        <v>326</v>
      </c>
      <c r="CA18" s="1" t="s">
        <v>326</v>
      </c>
      <c r="CB18" s="1" t="s">
        <v>1063</v>
      </c>
      <c r="CC18" s="1" t="s">
        <v>982</v>
      </c>
    </row>
    <row r="19" spans="1:81" x14ac:dyDescent="0.25">
      <c r="A19" s="1" t="s">
        <v>145</v>
      </c>
      <c r="B19" s="1" t="s">
        <v>763</v>
      </c>
      <c r="C19" s="1">
        <v>1610612758</v>
      </c>
      <c r="D19" s="1" t="s">
        <v>329</v>
      </c>
      <c r="E19" s="1" t="s">
        <v>330</v>
      </c>
      <c r="F19" s="1" t="s">
        <v>149</v>
      </c>
      <c r="G19" s="1" t="s">
        <v>1064</v>
      </c>
      <c r="H19" s="1">
        <v>9</v>
      </c>
      <c r="I19" s="1" t="s">
        <v>1051</v>
      </c>
      <c r="J19" s="1" t="s">
        <v>152</v>
      </c>
      <c r="K19" s="1" t="s">
        <v>1065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1052</v>
      </c>
      <c r="R19" s="1" t="s">
        <v>1066</v>
      </c>
      <c r="S19" s="1" t="s">
        <v>1025</v>
      </c>
      <c r="T19" s="1" t="s">
        <v>341</v>
      </c>
      <c r="U19" s="1" t="s">
        <v>265</v>
      </c>
      <c r="V19" s="1" t="s">
        <v>320</v>
      </c>
      <c r="W19" s="1" t="s">
        <v>164</v>
      </c>
      <c r="X19" s="1" t="s">
        <v>968</v>
      </c>
      <c r="Y19" s="1" t="s">
        <v>1067</v>
      </c>
      <c r="Z19" s="1">
        <v>7</v>
      </c>
      <c r="AA19" s="1" t="s">
        <v>901</v>
      </c>
      <c r="AB19" s="1">
        <v>-5</v>
      </c>
      <c r="AC19" s="1" t="s">
        <v>272</v>
      </c>
      <c r="AD19" s="1">
        <v>5</v>
      </c>
      <c r="AE19" s="1">
        <v>4</v>
      </c>
      <c r="AF19" s="1">
        <v>-1</v>
      </c>
      <c r="AG19" s="1" t="s">
        <v>207</v>
      </c>
      <c r="AH19" s="1">
        <v>-2</v>
      </c>
      <c r="AI19" s="1" t="s">
        <v>279</v>
      </c>
      <c r="AJ19" s="1">
        <v>-3</v>
      </c>
      <c r="AK19" s="1" t="s">
        <v>301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1068</v>
      </c>
      <c r="AT19" s="1" t="s">
        <v>1069</v>
      </c>
      <c r="AU19" s="1" t="s">
        <v>260</v>
      </c>
      <c r="AV19" s="1" t="s">
        <v>1070</v>
      </c>
      <c r="AW19" s="1" t="s">
        <v>1071</v>
      </c>
      <c r="AX19" s="1" t="s">
        <v>339</v>
      </c>
      <c r="AY19" s="1" t="s">
        <v>1072</v>
      </c>
      <c r="AZ19" s="1" t="s">
        <v>1073</v>
      </c>
      <c r="BA19" s="1" t="s">
        <v>1074</v>
      </c>
      <c r="BB19" s="1" t="s">
        <v>1075</v>
      </c>
      <c r="BC19" s="1" t="s">
        <v>1046</v>
      </c>
      <c r="BD19" s="1" t="s">
        <v>1076</v>
      </c>
      <c r="BE19" s="1">
        <v>114.2</v>
      </c>
      <c r="BF19" s="1">
        <v>115.3</v>
      </c>
      <c r="BG19" s="1">
        <v>-1.1000000000000001</v>
      </c>
      <c r="BH19" s="1" t="s">
        <v>1021</v>
      </c>
      <c r="BI19" s="1" t="s">
        <v>398</v>
      </c>
      <c r="BJ19" s="1" t="s">
        <v>296</v>
      </c>
      <c r="BK19" s="1" t="s">
        <v>216</v>
      </c>
      <c r="BL19" s="1" t="s">
        <v>1064</v>
      </c>
      <c r="BM19" s="1" t="s">
        <v>1047</v>
      </c>
      <c r="BN19" s="1" t="s">
        <v>1077</v>
      </c>
      <c r="BO19" s="1" t="s">
        <v>785</v>
      </c>
      <c r="BP19" s="1" t="s">
        <v>927</v>
      </c>
      <c r="BQ19" s="1" t="s">
        <v>276</v>
      </c>
      <c r="BR19" s="1" t="s">
        <v>963</v>
      </c>
      <c r="BS19" s="1" t="s">
        <v>344</v>
      </c>
      <c r="BT19" s="1"/>
      <c r="BU19" s="1"/>
      <c r="BV19" s="1"/>
      <c r="BW19" s="1"/>
      <c r="BX19" s="1"/>
      <c r="BY19" s="1" t="s">
        <v>315</v>
      </c>
      <c r="BZ19" s="1" t="s">
        <v>1010</v>
      </c>
      <c r="CA19" s="1" t="s">
        <v>834</v>
      </c>
      <c r="CB19" s="1" t="s">
        <v>1078</v>
      </c>
      <c r="CC19" s="1" t="s">
        <v>1079</v>
      </c>
    </row>
    <row r="20" spans="1:81" x14ac:dyDescent="0.25">
      <c r="A20" s="1" t="s">
        <v>145</v>
      </c>
      <c r="B20" s="1" t="s">
        <v>763</v>
      </c>
      <c r="C20" s="1">
        <v>1610612747</v>
      </c>
      <c r="D20" s="1" t="s">
        <v>147</v>
      </c>
      <c r="E20" s="1" t="s">
        <v>148</v>
      </c>
      <c r="F20" s="1" t="s">
        <v>149</v>
      </c>
      <c r="G20" s="1" t="s">
        <v>1080</v>
      </c>
      <c r="H20" s="1">
        <v>10</v>
      </c>
      <c r="I20" s="1" t="s">
        <v>1051</v>
      </c>
      <c r="J20" s="1" t="s">
        <v>152</v>
      </c>
      <c r="K20" s="1" t="s">
        <v>967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1081</v>
      </c>
      <c r="R20" s="1" t="s">
        <v>898</v>
      </c>
      <c r="S20" s="1" t="s">
        <v>1025</v>
      </c>
      <c r="T20" s="1" t="s">
        <v>259</v>
      </c>
      <c r="U20" s="1" t="s">
        <v>310</v>
      </c>
      <c r="V20" s="1" t="s">
        <v>341</v>
      </c>
      <c r="W20" s="1" t="s">
        <v>224</v>
      </c>
      <c r="X20" s="1" t="s">
        <v>273</v>
      </c>
      <c r="Y20" s="1" t="s">
        <v>1012</v>
      </c>
      <c r="Z20" s="1">
        <v>6</v>
      </c>
      <c r="AA20" s="1" t="s">
        <v>188</v>
      </c>
      <c r="AB20" s="1">
        <v>-5</v>
      </c>
      <c r="AC20" s="1" t="s">
        <v>272</v>
      </c>
      <c r="AD20" s="1">
        <v>4</v>
      </c>
      <c r="AE20" s="1">
        <v>5</v>
      </c>
      <c r="AF20" s="1">
        <v>-1</v>
      </c>
      <c r="AG20" s="1" t="s">
        <v>207</v>
      </c>
      <c r="AH20" s="1">
        <v>1</v>
      </c>
      <c r="AI20" s="1" t="s">
        <v>246</v>
      </c>
      <c r="AJ20" s="1">
        <v>-1</v>
      </c>
      <c r="AK20" s="1" t="s">
        <v>207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1082</v>
      </c>
      <c r="AT20" s="1" t="s">
        <v>1083</v>
      </c>
      <c r="AU20" s="1" t="s">
        <v>157</v>
      </c>
      <c r="AV20" s="1" t="s">
        <v>1084</v>
      </c>
      <c r="AW20" s="1" t="s">
        <v>1085</v>
      </c>
      <c r="AX20" s="1" t="s">
        <v>157</v>
      </c>
      <c r="AY20" s="1" t="s">
        <v>1086</v>
      </c>
      <c r="AZ20" s="1" t="s">
        <v>1087</v>
      </c>
      <c r="BA20" s="1" t="s">
        <v>1088</v>
      </c>
      <c r="BB20" s="1" t="s">
        <v>1089</v>
      </c>
      <c r="BC20" s="1" t="s">
        <v>1090</v>
      </c>
      <c r="BD20" s="1" t="s">
        <v>1091</v>
      </c>
      <c r="BE20" s="1">
        <v>111.8</v>
      </c>
      <c r="BF20" s="1">
        <v>113.5</v>
      </c>
      <c r="BG20" s="1">
        <v>-1.7</v>
      </c>
      <c r="BH20" s="1" t="s">
        <v>1009</v>
      </c>
      <c r="BI20" s="1" t="s">
        <v>1092</v>
      </c>
      <c r="BJ20" s="1" t="s">
        <v>276</v>
      </c>
      <c r="BK20" s="1" t="s">
        <v>266</v>
      </c>
      <c r="BL20" s="1" t="s">
        <v>1080</v>
      </c>
      <c r="BM20" s="1" t="s">
        <v>1047</v>
      </c>
      <c r="BN20" s="1" t="s">
        <v>979</v>
      </c>
      <c r="BO20" s="1" t="s">
        <v>945</v>
      </c>
      <c r="BP20" s="1" t="s">
        <v>337</v>
      </c>
      <c r="BQ20" s="1" t="s">
        <v>364</v>
      </c>
      <c r="BR20" s="1" t="s">
        <v>386</v>
      </c>
      <c r="BS20" s="1" t="s">
        <v>275</v>
      </c>
      <c r="BT20" s="1"/>
      <c r="BU20" s="1"/>
      <c r="BV20" s="1"/>
      <c r="BW20" s="1"/>
      <c r="BX20" s="1"/>
      <c r="BY20" s="1" t="s">
        <v>305</v>
      </c>
      <c r="BZ20" s="1" t="s">
        <v>253</v>
      </c>
      <c r="CA20" s="1" t="s">
        <v>308</v>
      </c>
      <c r="CB20" s="1" t="s">
        <v>1093</v>
      </c>
      <c r="CC20" s="1" t="s">
        <v>1079</v>
      </c>
    </row>
    <row r="21" spans="1:81" x14ac:dyDescent="0.25">
      <c r="A21" s="1" t="s">
        <v>145</v>
      </c>
      <c r="B21" s="1" t="s">
        <v>763</v>
      </c>
      <c r="C21" s="1">
        <v>1610612748</v>
      </c>
      <c r="D21" s="1" t="s">
        <v>241</v>
      </c>
      <c r="E21" s="1" t="s">
        <v>242</v>
      </c>
      <c r="F21" s="1" t="s">
        <v>179</v>
      </c>
      <c r="G21" s="1" t="s">
        <v>1094</v>
      </c>
      <c r="H21" s="1">
        <v>10</v>
      </c>
      <c r="I21" s="1" t="s">
        <v>1051</v>
      </c>
      <c r="J21" s="1" t="s">
        <v>244</v>
      </c>
      <c r="K21" s="1" t="s">
        <v>1095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1052</v>
      </c>
      <c r="R21" s="1" t="s">
        <v>932</v>
      </c>
      <c r="S21" s="1" t="s">
        <v>841</v>
      </c>
      <c r="T21" s="1" t="s">
        <v>310</v>
      </c>
      <c r="U21" s="1" t="s">
        <v>259</v>
      </c>
      <c r="V21" s="1" t="s">
        <v>265</v>
      </c>
      <c r="W21" s="1" t="s">
        <v>186</v>
      </c>
      <c r="X21" s="1" t="s">
        <v>355</v>
      </c>
      <c r="Y21" s="1" t="s">
        <v>1096</v>
      </c>
      <c r="Z21" s="1">
        <v>-6</v>
      </c>
      <c r="AA21" s="1" t="s">
        <v>367</v>
      </c>
      <c r="AB21" s="1">
        <v>4</v>
      </c>
      <c r="AC21" s="1" t="s">
        <v>159</v>
      </c>
      <c r="AD21" s="1">
        <v>5</v>
      </c>
      <c r="AE21" s="1">
        <v>4</v>
      </c>
      <c r="AF21" s="1">
        <v>1</v>
      </c>
      <c r="AG21" s="1" t="s">
        <v>246</v>
      </c>
      <c r="AH21" s="1">
        <v>-4</v>
      </c>
      <c r="AI21" s="1" t="s">
        <v>263</v>
      </c>
      <c r="AJ21" s="1">
        <v>-1</v>
      </c>
      <c r="AK21" s="1" t="s">
        <v>207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933</v>
      </c>
      <c r="AT21" s="1" t="s">
        <v>1097</v>
      </c>
      <c r="AU21" s="1" t="s">
        <v>234</v>
      </c>
      <c r="AV21" s="1" t="s">
        <v>1098</v>
      </c>
      <c r="AW21" s="1" t="s">
        <v>1099</v>
      </c>
      <c r="AX21" s="1" t="s">
        <v>260</v>
      </c>
      <c r="AY21" s="1" t="s">
        <v>1100</v>
      </c>
      <c r="AZ21" s="1" t="s">
        <v>1101</v>
      </c>
      <c r="BA21" s="1" t="s">
        <v>1102</v>
      </c>
      <c r="BB21" s="1" t="s">
        <v>1103</v>
      </c>
      <c r="BC21" s="1" t="s">
        <v>1104</v>
      </c>
      <c r="BD21" s="1" t="s">
        <v>1105</v>
      </c>
      <c r="BE21" s="1">
        <v>105.7</v>
      </c>
      <c r="BF21" s="1">
        <v>105.9</v>
      </c>
      <c r="BG21" s="1">
        <v>-0.2</v>
      </c>
      <c r="BH21" s="1" t="s">
        <v>1094</v>
      </c>
      <c r="BI21" s="1" t="s">
        <v>1047</v>
      </c>
      <c r="BJ21" s="1" t="s">
        <v>945</v>
      </c>
      <c r="BK21" s="1" t="s">
        <v>963</v>
      </c>
      <c r="BL21" s="1" t="s">
        <v>1106</v>
      </c>
      <c r="BM21" s="1" t="s">
        <v>323</v>
      </c>
      <c r="BN21" s="1" t="s">
        <v>398</v>
      </c>
      <c r="BO21" s="1" t="s">
        <v>176</v>
      </c>
      <c r="BP21" s="1" t="s">
        <v>326</v>
      </c>
      <c r="BQ21" s="1" t="s">
        <v>1107</v>
      </c>
      <c r="BR21" s="1" t="s">
        <v>233</v>
      </c>
      <c r="BS21" s="1" t="s">
        <v>912</v>
      </c>
      <c r="BT21" s="1"/>
      <c r="BU21" s="1"/>
      <c r="BV21" s="1"/>
      <c r="BW21" s="1"/>
      <c r="BX21" s="1"/>
      <c r="BY21" s="1" t="s">
        <v>295</v>
      </c>
      <c r="BZ21" s="1" t="s">
        <v>363</v>
      </c>
      <c r="CA21" s="1" t="s">
        <v>270</v>
      </c>
      <c r="CB21" s="1" t="s">
        <v>1036</v>
      </c>
      <c r="CC21" s="1" t="s">
        <v>1108</v>
      </c>
    </row>
    <row r="22" spans="1:81" x14ac:dyDescent="0.25">
      <c r="A22" s="1" t="s">
        <v>145</v>
      </c>
      <c r="B22" s="1" t="s">
        <v>763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1109</v>
      </c>
      <c r="H22" s="1">
        <v>11</v>
      </c>
      <c r="I22" s="1" t="s">
        <v>1051</v>
      </c>
      <c r="J22" s="1" t="s">
        <v>244</v>
      </c>
      <c r="K22" s="1" t="s">
        <v>1095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1110</v>
      </c>
      <c r="R22" s="1" t="s">
        <v>898</v>
      </c>
      <c r="S22" s="1" t="s">
        <v>1005</v>
      </c>
      <c r="T22" s="1" t="s">
        <v>320</v>
      </c>
      <c r="U22" s="1" t="s">
        <v>341</v>
      </c>
      <c r="V22" s="1" t="s">
        <v>341</v>
      </c>
      <c r="W22" s="1" t="s">
        <v>264</v>
      </c>
      <c r="X22" s="1" t="s">
        <v>340</v>
      </c>
      <c r="Y22" s="1" t="s">
        <v>1111</v>
      </c>
      <c r="Z22" s="1">
        <v>-6</v>
      </c>
      <c r="AA22" s="1" t="s">
        <v>367</v>
      </c>
      <c r="AB22" s="1">
        <v>-8</v>
      </c>
      <c r="AC22" s="1" t="s">
        <v>1112</v>
      </c>
      <c r="AD22" s="1">
        <v>3</v>
      </c>
      <c r="AE22" s="1">
        <v>5</v>
      </c>
      <c r="AF22" s="1">
        <v>-6</v>
      </c>
      <c r="AG22" s="1" t="s">
        <v>367</v>
      </c>
      <c r="AH22" s="1">
        <v>-1</v>
      </c>
      <c r="AI22" s="1" t="s">
        <v>207</v>
      </c>
      <c r="AJ22" s="1">
        <v>-4</v>
      </c>
      <c r="AK22" s="1" t="s">
        <v>263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1113</v>
      </c>
      <c r="AT22" s="1" t="s">
        <v>1114</v>
      </c>
      <c r="AU22" s="1" t="s">
        <v>158</v>
      </c>
      <c r="AV22" s="1" t="s">
        <v>1115</v>
      </c>
      <c r="AW22" s="1" t="s">
        <v>1116</v>
      </c>
      <c r="AX22" s="1" t="s">
        <v>190</v>
      </c>
      <c r="AY22" s="1" t="s">
        <v>1117</v>
      </c>
      <c r="AZ22" s="1" t="s">
        <v>1118</v>
      </c>
      <c r="BA22" s="1" t="s">
        <v>1119</v>
      </c>
      <c r="BB22" s="1" t="s">
        <v>1120</v>
      </c>
      <c r="BC22" s="1" t="s">
        <v>1121</v>
      </c>
      <c r="BD22" s="1" t="s">
        <v>1094</v>
      </c>
      <c r="BE22" s="1">
        <v>114</v>
      </c>
      <c r="BF22" s="1">
        <v>116.9</v>
      </c>
      <c r="BG22" s="1">
        <v>-2.9</v>
      </c>
      <c r="BH22" s="1" t="s">
        <v>1109</v>
      </c>
      <c r="BI22" s="1" t="s">
        <v>1122</v>
      </c>
      <c r="BJ22" s="1" t="s">
        <v>1122</v>
      </c>
      <c r="BK22" s="1" t="s">
        <v>963</v>
      </c>
      <c r="BL22" s="1" t="s">
        <v>996</v>
      </c>
      <c r="BM22" s="1" t="s">
        <v>323</v>
      </c>
      <c r="BN22" s="1" t="s">
        <v>276</v>
      </c>
      <c r="BO22" s="1" t="s">
        <v>323</v>
      </c>
      <c r="BP22" s="1" t="s">
        <v>291</v>
      </c>
      <c r="BQ22" s="1" t="s">
        <v>398</v>
      </c>
      <c r="BR22" s="1" t="s">
        <v>1123</v>
      </c>
      <c r="BS22" s="1" t="s">
        <v>372</v>
      </c>
      <c r="BT22" s="1"/>
      <c r="BU22" s="1"/>
      <c r="BV22" s="1"/>
      <c r="BW22" s="1"/>
      <c r="BX22" s="1"/>
      <c r="BY22" s="1" t="s">
        <v>1124</v>
      </c>
      <c r="BZ22" s="1" t="s">
        <v>927</v>
      </c>
      <c r="CA22" s="1" t="s">
        <v>337</v>
      </c>
      <c r="CB22" s="1" t="s">
        <v>1125</v>
      </c>
      <c r="CC22" s="1" t="s">
        <v>1126</v>
      </c>
    </row>
    <row r="23" spans="1:81" x14ac:dyDescent="0.25">
      <c r="A23" s="1" t="s">
        <v>145</v>
      </c>
      <c r="B23" s="1" t="s">
        <v>763</v>
      </c>
      <c r="C23" s="1">
        <v>1610612750</v>
      </c>
      <c r="D23" s="1" t="s">
        <v>306</v>
      </c>
      <c r="E23" s="1" t="s">
        <v>307</v>
      </c>
      <c r="F23" s="1" t="s">
        <v>149</v>
      </c>
      <c r="G23" s="1" t="s">
        <v>1127</v>
      </c>
      <c r="H23" s="1">
        <v>11</v>
      </c>
      <c r="I23" s="1" t="s">
        <v>1051</v>
      </c>
      <c r="J23" s="1" t="s">
        <v>219</v>
      </c>
      <c r="K23" s="1" t="s">
        <v>1128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1129</v>
      </c>
      <c r="R23" s="1" t="s">
        <v>1000</v>
      </c>
      <c r="S23" s="1" t="s">
        <v>1130</v>
      </c>
      <c r="T23" s="1" t="s">
        <v>310</v>
      </c>
      <c r="U23" s="1" t="s">
        <v>310</v>
      </c>
      <c r="V23" s="1" t="s">
        <v>320</v>
      </c>
      <c r="W23" s="1" t="s">
        <v>226</v>
      </c>
      <c r="X23" s="1" t="s">
        <v>281</v>
      </c>
      <c r="Y23" s="1" t="s">
        <v>932</v>
      </c>
      <c r="Z23" s="1">
        <v>6</v>
      </c>
      <c r="AA23" s="1" t="s">
        <v>188</v>
      </c>
      <c r="AB23" s="1">
        <v>-9</v>
      </c>
      <c r="AC23" s="1" t="s">
        <v>1131</v>
      </c>
      <c r="AD23" s="1">
        <v>4</v>
      </c>
      <c r="AE23" s="1">
        <v>5</v>
      </c>
      <c r="AF23" s="1">
        <v>-2</v>
      </c>
      <c r="AG23" s="1" t="s">
        <v>279</v>
      </c>
      <c r="AH23" s="1">
        <v>-1</v>
      </c>
      <c r="AI23" s="1" t="s">
        <v>207</v>
      </c>
      <c r="AJ23" s="1">
        <v>-3</v>
      </c>
      <c r="AK23" s="1" t="s">
        <v>301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1132</v>
      </c>
      <c r="AT23" s="1" t="s">
        <v>1133</v>
      </c>
      <c r="AU23" s="1" t="s">
        <v>226</v>
      </c>
      <c r="AV23" s="1" t="s">
        <v>1134</v>
      </c>
      <c r="AW23" s="1" t="s">
        <v>1135</v>
      </c>
      <c r="AX23" s="1" t="s">
        <v>260</v>
      </c>
      <c r="AY23" s="1" t="s">
        <v>1136</v>
      </c>
      <c r="AZ23" s="1" t="s">
        <v>1137</v>
      </c>
      <c r="BA23" s="1" t="s">
        <v>1138</v>
      </c>
      <c r="BB23" s="1" t="s">
        <v>1139</v>
      </c>
      <c r="BC23" s="1" t="s">
        <v>1140</v>
      </c>
      <c r="BD23" s="1" t="s">
        <v>1141</v>
      </c>
      <c r="BE23" s="1">
        <v>112.5</v>
      </c>
      <c r="BF23" s="1">
        <v>114</v>
      </c>
      <c r="BG23" s="1">
        <v>-1.5</v>
      </c>
      <c r="BH23" s="1" t="s">
        <v>926</v>
      </c>
      <c r="BI23" s="1" t="s">
        <v>323</v>
      </c>
      <c r="BJ23" s="1" t="s">
        <v>276</v>
      </c>
      <c r="BK23" s="1" t="s">
        <v>276</v>
      </c>
      <c r="BL23" s="1" t="s">
        <v>1127</v>
      </c>
      <c r="BM23" s="1" t="s">
        <v>386</v>
      </c>
      <c r="BN23" s="1" t="s">
        <v>945</v>
      </c>
      <c r="BO23" s="1" t="s">
        <v>911</v>
      </c>
      <c r="BP23" s="1" t="s">
        <v>291</v>
      </c>
      <c r="BQ23" s="1" t="s">
        <v>388</v>
      </c>
      <c r="BR23" s="1" t="s">
        <v>363</v>
      </c>
      <c r="BS23" s="1" t="s">
        <v>274</v>
      </c>
      <c r="BT23" s="1"/>
      <c r="BU23" s="1"/>
      <c r="BV23" s="1"/>
      <c r="BW23" s="1"/>
      <c r="BX23" s="1"/>
      <c r="BY23" s="1" t="s">
        <v>343</v>
      </c>
      <c r="BZ23" s="1" t="s">
        <v>326</v>
      </c>
      <c r="CA23" s="1" t="s">
        <v>337</v>
      </c>
      <c r="CB23" s="1" t="s">
        <v>1063</v>
      </c>
      <c r="CC23" s="1" t="s">
        <v>1079</v>
      </c>
    </row>
    <row r="24" spans="1:81" x14ac:dyDescent="0.25">
      <c r="A24" s="1" t="s">
        <v>145</v>
      </c>
      <c r="B24" s="1" t="s">
        <v>763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1142</v>
      </c>
      <c r="H24" s="1">
        <v>12</v>
      </c>
      <c r="I24" s="1" t="s">
        <v>1051</v>
      </c>
      <c r="J24" s="1" t="s">
        <v>231</v>
      </c>
      <c r="K24" s="1" t="s">
        <v>859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1143</v>
      </c>
      <c r="R24" s="1" t="s">
        <v>879</v>
      </c>
      <c r="S24" s="1" t="s">
        <v>1144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1145</v>
      </c>
      <c r="Z24" s="1">
        <v>5</v>
      </c>
      <c r="AA24" s="1" t="s">
        <v>160</v>
      </c>
      <c r="AB24" s="1">
        <v>-9</v>
      </c>
      <c r="AC24" s="1" t="s">
        <v>1131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1146</v>
      </c>
      <c r="AT24" s="1" t="s">
        <v>1147</v>
      </c>
      <c r="AU24" s="1" t="s">
        <v>262</v>
      </c>
      <c r="AV24" s="1" t="s">
        <v>1148</v>
      </c>
      <c r="AW24" s="1" t="s">
        <v>1149</v>
      </c>
      <c r="AX24" s="1" t="s">
        <v>153</v>
      </c>
      <c r="AY24" s="1" t="s">
        <v>923</v>
      </c>
      <c r="AZ24" s="1" t="s">
        <v>1150</v>
      </c>
      <c r="BA24" s="1" t="s">
        <v>1102</v>
      </c>
      <c r="BB24" s="1" t="s">
        <v>1151</v>
      </c>
      <c r="BC24" s="1" t="s">
        <v>1152</v>
      </c>
      <c r="BD24" s="1" t="s">
        <v>1153</v>
      </c>
      <c r="BE24" s="1">
        <v>103.5</v>
      </c>
      <c r="BF24" s="1">
        <v>106.1</v>
      </c>
      <c r="BG24" s="1">
        <v>-2.6</v>
      </c>
      <c r="BH24" s="1" t="s">
        <v>1154</v>
      </c>
      <c r="BI24" s="1" t="s">
        <v>398</v>
      </c>
      <c r="BJ24" s="1" t="s">
        <v>398</v>
      </c>
      <c r="BK24" s="1" t="s">
        <v>398</v>
      </c>
      <c r="BL24" s="1" t="s">
        <v>1142</v>
      </c>
      <c r="BM24" s="1" t="s">
        <v>945</v>
      </c>
      <c r="BN24" s="1" t="s">
        <v>1047</v>
      </c>
      <c r="BO24" s="1" t="s">
        <v>871</v>
      </c>
      <c r="BP24" s="1" t="s">
        <v>1155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834</v>
      </c>
      <c r="CA24" s="1" t="s">
        <v>349</v>
      </c>
      <c r="CB24" s="1" t="s">
        <v>1156</v>
      </c>
      <c r="CC24" s="1" t="s">
        <v>1157</v>
      </c>
    </row>
    <row r="25" spans="1:81" x14ac:dyDescent="0.25">
      <c r="A25" s="1" t="s">
        <v>145</v>
      </c>
      <c r="B25" s="1" t="s">
        <v>763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1158</v>
      </c>
      <c r="H25" s="1">
        <v>12</v>
      </c>
      <c r="I25" s="1" t="s">
        <v>1051</v>
      </c>
      <c r="J25" s="1" t="s">
        <v>244</v>
      </c>
      <c r="K25" s="1" t="s">
        <v>877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1159</v>
      </c>
      <c r="R25" s="1" t="s">
        <v>1001</v>
      </c>
      <c r="S25" s="1" t="s">
        <v>1144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1160</v>
      </c>
      <c r="Y25" s="1" t="s">
        <v>1161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1162</v>
      </c>
      <c r="AT25" s="1" t="s">
        <v>1055</v>
      </c>
      <c r="AU25" s="1" t="s">
        <v>327</v>
      </c>
      <c r="AV25" s="1" t="s">
        <v>870</v>
      </c>
      <c r="AW25" s="1" t="s">
        <v>1163</v>
      </c>
      <c r="AX25" s="1" t="s">
        <v>153</v>
      </c>
      <c r="AY25" s="1" t="s">
        <v>1164</v>
      </c>
      <c r="AZ25" s="1" t="s">
        <v>1165</v>
      </c>
      <c r="BA25" s="1" t="s">
        <v>1166</v>
      </c>
      <c r="BB25" s="1" t="s">
        <v>995</v>
      </c>
      <c r="BC25" s="1" t="s">
        <v>1167</v>
      </c>
      <c r="BD25" s="1" t="s">
        <v>1168</v>
      </c>
      <c r="BE25" s="1">
        <v>113.3</v>
      </c>
      <c r="BF25" s="1">
        <v>119.4</v>
      </c>
      <c r="BG25" s="1">
        <v>-6</v>
      </c>
      <c r="BH25" s="1" t="s">
        <v>1158</v>
      </c>
      <c r="BI25" s="1" t="s">
        <v>1169</v>
      </c>
      <c r="BJ25" s="1" t="s">
        <v>1122</v>
      </c>
      <c r="BK25" s="1" t="s">
        <v>410</v>
      </c>
      <c r="BL25" s="1" t="s">
        <v>996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1170</v>
      </c>
      <c r="BR25" s="1" t="s">
        <v>927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1171</v>
      </c>
      <c r="CC25" s="1" t="s">
        <v>950</v>
      </c>
    </row>
    <row r="26" spans="1:81" x14ac:dyDescent="0.25">
      <c r="A26" s="1" t="s">
        <v>145</v>
      </c>
      <c r="B26" s="1" t="s">
        <v>763</v>
      </c>
      <c r="C26" s="1">
        <v>1610612740</v>
      </c>
      <c r="D26" s="1" t="s">
        <v>352</v>
      </c>
      <c r="E26" s="1" t="s">
        <v>353</v>
      </c>
      <c r="F26" s="1" t="s">
        <v>149</v>
      </c>
      <c r="G26" s="1" t="s">
        <v>1094</v>
      </c>
      <c r="H26" s="1">
        <v>13</v>
      </c>
      <c r="I26" s="1" t="s">
        <v>1051</v>
      </c>
      <c r="J26" s="1" t="s">
        <v>231</v>
      </c>
      <c r="K26" s="1" t="s">
        <v>859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1143</v>
      </c>
      <c r="R26" s="1" t="s">
        <v>932</v>
      </c>
      <c r="S26" s="1" t="s">
        <v>1053</v>
      </c>
      <c r="T26" s="1" t="s">
        <v>341</v>
      </c>
      <c r="U26" s="1" t="s">
        <v>376</v>
      </c>
      <c r="V26" s="1" t="s">
        <v>265</v>
      </c>
      <c r="W26" s="1" t="s">
        <v>190</v>
      </c>
      <c r="X26" s="1" t="s">
        <v>310</v>
      </c>
      <c r="Y26" s="1" t="s">
        <v>1172</v>
      </c>
      <c r="Z26" s="1">
        <v>-8</v>
      </c>
      <c r="AA26" s="1" t="s">
        <v>1112</v>
      </c>
      <c r="AB26" s="1">
        <v>-6</v>
      </c>
      <c r="AC26" s="1" t="s">
        <v>367</v>
      </c>
      <c r="AD26" s="1">
        <v>4</v>
      </c>
      <c r="AE26" s="1">
        <v>6</v>
      </c>
      <c r="AF26" s="1">
        <v>-3</v>
      </c>
      <c r="AG26" s="1" t="s">
        <v>301</v>
      </c>
      <c r="AH26" s="1">
        <v>1</v>
      </c>
      <c r="AI26" s="1" t="s">
        <v>246</v>
      </c>
      <c r="AJ26" s="1">
        <v>-1</v>
      </c>
      <c r="AK26" s="1" t="s">
        <v>207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1173</v>
      </c>
      <c r="AT26" s="1" t="s">
        <v>1174</v>
      </c>
      <c r="AU26" s="1" t="s">
        <v>190</v>
      </c>
      <c r="AV26" s="1" t="s">
        <v>1175</v>
      </c>
      <c r="AW26" s="1" t="s">
        <v>1176</v>
      </c>
      <c r="AX26" s="1" t="s">
        <v>186</v>
      </c>
      <c r="AY26" s="1" t="s">
        <v>1177</v>
      </c>
      <c r="AZ26" s="1" t="s">
        <v>1178</v>
      </c>
      <c r="BA26" s="1" t="s">
        <v>1179</v>
      </c>
      <c r="BB26" s="1" t="s">
        <v>1180</v>
      </c>
      <c r="BC26" s="1" t="s">
        <v>1181</v>
      </c>
      <c r="BD26" s="1" t="s">
        <v>1182</v>
      </c>
      <c r="BE26" s="1">
        <v>115.4</v>
      </c>
      <c r="BF26" s="1">
        <v>116.8</v>
      </c>
      <c r="BG26" s="1">
        <v>-1.3</v>
      </c>
      <c r="BH26" s="1" t="s">
        <v>1062</v>
      </c>
      <c r="BI26" s="1" t="s">
        <v>398</v>
      </c>
      <c r="BJ26" s="1" t="s">
        <v>276</v>
      </c>
      <c r="BK26" s="1" t="s">
        <v>393</v>
      </c>
      <c r="BL26" s="1" t="s">
        <v>1094</v>
      </c>
      <c r="BM26" s="1" t="s">
        <v>1047</v>
      </c>
      <c r="BN26" s="1" t="s">
        <v>911</v>
      </c>
      <c r="BO26" s="1" t="s">
        <v>871</v>
      </c>
      <c r="BP26" s="1" t="s">
        <v>299</v>
      </c>
      <c r="BQ26" s="1" t="s">
        <v>388</v>
      </c>
      <c r="BR26" s="1" t="s">
        <v>349</v>
      </c>
      <c r="BS26" s="1" t="s">
        <v>282</v>
      </c>
      <c r="BT26" s="1"/>
      <c r="BU26" s="1"/>
      <c r="BV26" s="1"/>
      <c r="BW26" s="1"/>
      <c r="BX26" s="1"/>
      <c r="BY26" s="1" t="s">
        <v>249</v>
      </c>
      <c r="BZ26" s="1" t="s">
        <v>963</v>
      </c>
      <c r="CA26" s="1" t="s">
        <v>337</v>
      </c>
      <c r="CB26" s="1" t="s">
        <v>1183</v>
      </c>
      <c r="CC26" s="1" t="s">
        <v>1184</v>
      </c>
    </row>
    <row r="27" spans="1:81" x14ac:dyDescent="0.25">
      <c r="A27" s="1" t="s">
        <v>145</v>
      </c>
      <c r="B27" s="1" t="s">
        <v>763</v>
      </c>
      <c r="C27" s="1">
        <v>1610612741</v>
      </c>
      <c r="D27" s="1" t="s">
        <v>346</v>
      </c>
      <c r="E27" s="1" t="s">
        <v>347</v>
      </c>
      <c r="F27" s="1" t="s">
        <v>179</v>
      </c>
      <c r="G27" s="1" t="s">
        <v>1158</v>
      </c>
      <c r="H27" s="1">
        <v>13</v>
      </c>
      <c r="I27" s="1" t="s">
        <v>1051</v>
      </c>
      <c r="J27" s="1" t="s">
        <v>181</v>
      </c>
      <c r="K27" s="1" t="s">
        <v>1185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1186</v>
      </c>
      <c r="R27" s="1" t="s">
        <v>1055</v>
      </c>
      <c r="S27" s="1" t="s">
        <v>1187</v>
      </c>
      <c r="T27" s="1" t="s">
        <v>320</v>
      </c>
      <c r="U27" s="1" t="s">
        <v>320</v>
      </c>
      <c r="V27" s="1" t="s">
        <v>341</v>
      </c>
      <c r="W27" s="1" t="s">
        <v>208</v>
      </c>
      <c r="X27" s="1" t="s">
        <v>859</v>
      </c>
      <c r="Y27" s="1" t="s">
        <v>1188</v>
      </c>
      <c r="Z27" s="1">
        <v>-11</v>
      </c>
      <c r="AA27" s="1" t="s">
        <v>1189</v>
      </c>
      <c r="AB27" s="1">
        <v>-9</v>
      </c>
      <c r="AC27" s="1" t="s">
        <v>1131</v>
      </c>
      <c r="AD27" s="1">
        <v>3</v>
      </c>
      <c r="AE27" s="1">
        <v>10</v>
      </c>
      <c r="AF27" s="1">
        <v>-5</v>
      </c>
      <c r="AG27" s="1" t="s">
        <v>272</v>
      </c>
      <c r="AH27" s="1">
        <v>-1</v>
      </c>
      <c r="AI27" s="1" t="s">
        <v>207</v>
      </c>
      <c r="AJ27" s="1">
        <v>-3</v>
      </c>
      <c r="AK27" s="1" t="s">
        <v>301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1190</v>
      </c>
      <c r="AT27" s="1" t="s">
        <v>1191</v>
      </c>
      <c r="AU27" s="1" t="s">
        <v>158</v>
      </c>
      <c r="AV27" s="1" t="s">
        <v>1192</v>
      </c>
      <c r="AW27" s="1" t="s">
        <v>1193</v>
      </c>
      <c r="AX27" s="1" t="s">
        <v>164</v>
      </c>
      <c r="AY27" s="1" t="s">
        <v>1194</v>
      </c>
      <c r="AZ27" s="1" t="s">
        <v>1195</v>
      </c>
      <c r="BA27" s="1" t="s">
        <v>1196</v>
      </c>
      <c r="BB27" s="1" t="s">
        <v>1197</v>
      </c>
      <c r="BC27" s="1" t="s">
        <v>875</v>
      </c>
      <c r="BD27" s="1" t="s">
        <v>1198</v>
      </c>
      <c r="BE27" s="1">
        <v>104.9</v>
      </c>
      <c r="BF27" s="1">
        <v>113.4</v>
      </c>
      <c r="BG27" s="1">
        <v>-8.4</v>
      </c>
      <c r="BH27" s="1" t="s">
        <v>1158</v>
      </c>
      <c r="BI27" s="1" t="s">
        <v>1169</v>
      </c>
      <c r="BJ27" s="1" t="s">
        <v>402</v>
      </c>
      <c r="BK27" s="1" t="s">
        <v>945</v>
      </c>
      <c r="BL27" s="1" t="s">
        <v>1199</v>
      </c>
      <c r="BM27" s="1" t="s">
        <v>1092</v>
      </c>
      <c r="BN27" s="1" t="s">
        <v>393</v>
      </c>
      <c r="BO27" s="1" t="s">
        <v>398</v>
      </c>
      <c r="BP27" s="1" t="s">
        <v>1200</v>
      </c>
      <c r="BQ27" s="1" t="s">
        <v>276</v>
      </c>
      <c r="BR27" s="1" t="s">
        <v>397</v>
      </c>
      <c r="BS27" s="1" t="s">
        <v>344</v>
      </c>
      <c r="BT27" s="1"/>
      <c r="BU27" s="1"/>
      <c r="BV27" s="1"/>
      <c r="BW27" s="1"/>
      <c r="BX27" s="1"/>
      <c r="BY27" s="1" t="s">
        <v>1201</v>
      </c>
      <c r="BZ27" s="1" t="s">
        <v>1202</v>
      </c>
      <c r="CA27" s="1" t="s">
        <v>363</v>
      </c>
      <c r="CB27" s="1" t="s">
        <v>1203</v>
      </c>
      <c r="CC27" s="1" t="s">
        <v>1126</v>
      </c>
    </row>
    <row r="28" spans="1:81" x14ac:dyDescent="0.25">
      <c r="A28" s="1" t="s">
        <v>145</v>
      </c>
      <c r="B28" s="1" t="s">
        <v>763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1204</v>
      </c>
      <c r="H28" s="1">
        <v>14</v>
      </c>
      <c r="I28" s="1" t="s">
        <v>1051</v>
      </c>
      <c r="J28" s="1" t="s">
        <v>181</v>
      </c>
      <c r="K28" s="1" t="s">
        <v>1065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1205</v>
      </c>
      <c r="R28" s="1" t="s">
        <v>1187</v>
      </c>
      <c r="S28" s="1" t="s">
        <v>1206</v>
      </c>
      <c r="T28" s="1" t="s">
        <v>404</v>
      </c>
      <c r="U28" s="1" t="s">
        <v>310</v>
      </c>
      <c r="V28" s="1" t="s">
        <v>404</v>
      </c>
      <c r="W28" s="1" t="s">
        <v>185</v>
      </c>
      <c r="X28" s="1" t="s">
        <v>273</v>
      </c>
      <c r="Y28" s="1" t="s">
        <v>1207</v>
      </c>
      <c r="Z28" s="1">
        <v>-9</v>
      </c>
      <c r="AA28" s="1" t="s">
        <v>1131</v>
      </c>
      <c r="AB28" s="1">
        <v>-11</v>
      </c>
      <c r="AC28" s="1" t="s">
        <v>1189</v>
      </c>
      <c r="AD28" s="1">
        <v>2</v>
      </c>
      <c r="AE28" s="1">
        <v>12</v>
      </c>
      <c r="AF28" s="1">
        <v>-4</v>
      </c>
      <c r="AG28" s="1" t="s">
        <v>263</v>
      </c>
      <c r="AH28" s="1">
        <v>-11</v>
      </c>
      <c r="AI28" s="1" t="s">
        <v>1189</v>
      </c>
      <c r="AJ28" s="1">
        <v>-10</v>
      </c>
      <c r="AK28" s="1" t="s">
        <v>934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856</v>
      </c>
      <c r="AT28" s="1" t="s">
        <v>1208</v>
      </c>
      <c r="AU28" s="1" t="s">
        <v>304</v>
      </c>
      <c r="AV28" s="1" t="s">
        <v>1209</v>
      </c>
      <c r="AW28" s="1" t="s">
        <v>1210</v>
      </c>
      <c r="AX28" s="1" t="s">
        <v>208</v>
      </c>
      <c r="AY28" s="1" t="s">
        <v>1138</v>
      </c>
      <c r="AZ28" s="1" t="s">
        <v>1211</v>
      </c>
      <c r="BA28" s="1" t="s">
        <v>1212</v>
      </c>
      <c r="BB28" s="1" t="s">
        <v>1213</v>
      </c>
      <c r="BC28" s="1" t="s">
        <v>1096</v>
      </c>
      <c r="BD28" s="1" t="s">
        <v>1214</v>
      </c>
      <c r="BE28" s="1">
        <v>104.5</v>
      </c>
      <c r="BF28" s="1">
        <v>114.1</v>
      </c>
      <c r="BG28" s="1">
        <v>-9.6</v>
      </c>
      <c r="BH28" s="1" t="s">
        <v>1204</v>
      </c>
      <c r="BI28" s="1" t="s">
        <v>1122</v>
      </c>
      <c r="BJ28" s="1" t="s">
        <v>1077</v>
      </c>
      <c r="BK28" s="1" t="s">
        <v>1215</v>
      </c>
      <c r="BL28" s="1" t="s">
        <v>1216</v>
      </c>
      <c r="BM28" s="1" t="s">
        <v>1217</v>
      </c>
      <c r="BN28" s="1" t="s">
        <v>393</v>
      </c>
      <c r="BO28" s="1" t="s">
        <v>393</v>
      </c>
      <c r="BP28" s="1" t="s">
        <v>1202</v>
      </c>
      <c r="BQ28" s="1" t="s">
        <v>323</v>
      </c>
      <c r="BR28" s="1" t="s">
        <v>397</v>
      </c>
      <c r="BS28" s="1" t="s">
        <v>334</v>
      </c>
      <c r="BT28" s="1"/>
      <c r="BU28" s="1"/>
      <c r="BV28" s="1"/>
      <c r="BW28" s="1"/>
      <c r="BX28" s="1"/>
      <c r="BY28" s="1" t="s">
        <v>1124</v>
      </c>
      <c r="BZ28" s="1" t="s">
        <v>407</v>
      </c>
      <c r="CA28" s="1" t="s">
        <v>1077</v>
      </c>
      <c r="CB28" s="1" t="s">
        <v>1218</v>
      </c>
      <c r="CC28" s="1" t="s">
        <v>1219</v>
      </c>
    </row>
    <row r="29" spans="1:81" x14ac:dyDescent="0.25">
      <c r="A29" s="1" t="s">
        <v>145</v>
      </c>
      <c r="B29" s="1" t="s">
        <v>763</v>
      </c>
      <c r="C29" s="1">
        <v>1610612742</v>
      </c>
      <c r="D29" s="1" t="s">
        <v>277</v>
      </c>
      <c r="E29" s="1" t="s">
        <v>278</v>
      </c>
      <c r="F29" s="1" t="s">
        <v>149</v>
      </c>
      <c r="G29" s="1" t="s">
        <v>1220</v>
      </c>
      <c r="H29" s="1">
        <v>14</v>
      </c>
      <c r="I29" s="1" t="s">
        <v>1051</v>
      </c>
      <c r="J29" s="1" t="s">
        <v>231</v>
      </c>
      <c r="K29" s="1" t="s">
        <v>1065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1143</v>
      </c>
      <c r="R29" s="1" t="s">
        <v>1066</v>
      </c>
      <c r="S29" s="1" t="s">
        <v>1055</v>
      </c>
      <c r="T29" s="1" t="s">
        <v>265</v>
      </c>
      <c r="U29" s="1" t="s">
        <v>341</v>
      </c>
      <c r="V29" s="1" t="s">
        <v>341</v>
      </c>
      <c r="W29" s="1" t="s">
        <v>339</v>
      </c>
      <c r="X29" s="1" t="s">
        <v>314</v>
      </c>
      <c r="Y29" s="1" t="s">
        <v>1221</v>
      </c>
      <c r="Z29" s="1">
        <v>11</v>
      </c>
      <c r="AA29" s="1" t="s">
        <v>771</v>
      </c>
      <c r="AB29" s="1">
        <v>-9</v>
      </c>
      <c r="AC29" s="1" t="s">
        <v>1131</v>
      </c>
      <c r="AD29" s="1">
        <v>4</v>
      </c>
      <c r="AE29" s="1">
        <v>7</v>
      </c>
      <c r="AF29" s="1">
        <v>1</v>
      </c>
      <c r="AG29" s="1" t="s">
        <v>246</v>
      </c>
      <c r="AH29" s="1">
        <v>-1</v>
      </c>
      <c r="AI29" s="1" t="s">
        <v>207</v>
      </c>
      <c r="AJ29" s="1">
        <v>-1</v>
      </c>
      <c r="AK29" s="1" t="s">
        <v>207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1222</v>
      </c>
      <c r="AT29" s="1" t="s">
        <v>1085</v>
      </c>
      <c r="AU29" s="1" t="s">
        <v>260</v>
      </c>
      <c r="AV29" s="1" t="s">
        <v>1059</v>
      </c>
      <c r="AW29" s="1" t="s">
        <v>1223</v>
      </c>
      <c r="AX29" s="1" t="s">
        <v>186</v>
      </c>
      <c r="AY29" s="1" t="s">
        <v>1224</v>
      </c>
      <c r="AZ29" s="1" t="s">
        <v>1225</v>
      </c>
      <c r="BA29" s="1" t="s">
        <v>1226</v>
      </c>
      <c r="BB29" s="1" t="s">
        <v>1227</v>
      </c>
      <c r="BC29" s="1" t="s">
        <v>1140</v>
      </c>
      <c r="BD29" s="1" t="s">
        <v>1228</v>
      </c>
      <c r="BE29" s="1">
        <v>108.9</v>
      </c>
      <c r="BF29" s="1">
        <v>110.1</v>
      </c>
      <c r="BG29" s="1">
        <v>-1.3</v>
      </c>
      <c r="BH29" s="1" t="s">
        <v>947</v>
      </c>
      <c r="BI29" s="1" t="s">
        <v>323</v>
      </c>
      <c r="BJ29" s="1" t="s">
        <v>266</v>
      </c>
      <c r="BK29" s="1" t="s">
        <v>276</v>
      </c>
      <c r="BL29" s="1" t="s">
        <v>1220</v>
      </c>
      <c r="BM29" s="1" t="s">
        <v>911</v>
      </c>
      <c r="BN29" s="1" t="s">
        <v>1122</v>
      </c>
      <c r="BO29" s="1" t="s">
        <v>1077</v>
      </c>
      <c r="BP29" s="1" t="s">
        <v>337</v>
      </c>
      <c r="BQ29" s="1" t="s">
        <v>323</v>
      </c>
      <c r="BR29" s="1" t="s">
        <v>1202</v>
      </c>
      <c r="BS29" s="1" t="s">
        <v>239</v>
      </c>
      <c r="BT29" s="1"/>
      <c r="BU29" s="1"/>
      <c r="BV29" s="1"/>
      <c r="BW29" s="1"/>
      <c r="BX29" s="1"/>
      <c r="BY29" s="1" t="s">
        <v>1201</v>
      </c>
      <c r="BZ29" s="1" t="s">
        <v>854</v>
      </c>
      <c r="CA29" s="1" t="s">
        <v>963</v>
      </c>
      <c r="CB29" s="1" t="s">
        <v>1229</v>
      </c>
      <c r="CC29" s="1" t="s">
        <v>1230</v>
      </c>
    </row>
    <row r="30" spans="1:81" x14ac:dyDescent="0.25">
      <c r="A30" s="1" t="s">
        <v>145</v>
      </c>
      <c r="B30" s="1" t="s">
        <v>763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1231</v>
      </c>
      <c r="H30" s="1">
        <v>15</v>
      </c>
      <c r="I30" s="1" t="s">
        <v>1051</v>
      </c>
      <c r="J30" s="1" t="s">
        <v>203</v>
      </c>
      <c r="K30" s="1" t="s">
        <v>1232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1233</v>
      </c>
      <c r="R30" s="1" t="s">
        <v>1055</v>
      </c>
      <c r="S30" s="1" t="s">
        <v>1234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1235</v>
      </c>
      <c r="Z30" s="1">
        <v>-18</v>
      </c>
      <c r="AA30" s="1" t="s">
        <v>1236</v>
      </c>
      <c r="AB30" s="1">
        <v>-9</v>
      </c>
      <c r="AC30" s="1" t="s">
        <v>1131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1237</v>
      </c>
      <c r="AT30" s="1" t="s">
        <v>1238</v>
      </c>
      <c r="AU30" s="1" t="s">
        <v>327</v>
      </c>
      <c r="AV30" s="1" t="s">
        <v>862</v>
      </c>
      <c r="AW30" s="1" t="s">
        <v>1239</v>
      </c>
      <c r="AX30" s="1" t="s">
        <v>327</v>
      </c>
      <c r="AY30" s="1" t="s">
        <v>1240</v>
      </c>
      <c r="AZ30" s="1" t="s">
        <v>1241</v>
      </c>
      <c r="BA30" s="1" t="s">
        <v>1242</v>
      </c>
      <c r="BB30" s="1" t="s">
        <v>1243</v>
      </c>
      <c r="BC30" s="1" t="s">
        <v>1244</v>
      </c>
      <c r="BD30" s="1" t="s">
        <v>1245</v>
      </c>
      <c r="BE30" s="1">
        <v>104.6</v>
      </c>
      <c r="BF30" s="1">
        <v>113.8</v>
      </c>
      <c r="BG30" s="1">
        <v>-9.1999999999999993</v>
      </c>
      <c r="BH30" s="1" t="s">
        <v>1231</v>
      </c>
      <c r="BI30" s="1" t="s">
        <v>1155</v>
      </c>
      <c r="BJ30" s="1" t="s">
        <v>1246</v>
      </c>
      <c r="BK30" s="1" t="s">
        <v>1122</v>
      </c>
      <c r="BL30" s="1" t="s">
        <v>1199</v>
      </c>
      <c r="BM30" s="1" t="s">
        <v>1217</v>
      </c>
      <c r="BN30" s="1" t="s">
        <v>393</v>
      </c>
      <c r="BO30" s="1" t="s">
        <v>323</v>
      </c>
      <c r="BP30" s="1" t="s">
        <v>1247</v>
      </c>
      <c r="BQ30" s="1" t="s">
        <v>1107</v>
      </c>
      <c r="BR30" s="1" t="s">
        <v>1248</v>
      </c>
      <c r="BS30" s="1" t="s">
        <v>239</v>
      </c>
      <c r="BT30" s="1"/>
      <c r="BU30" s="1"/>
      <c r="BV30" s="1"/>
      <c r="BW30" s="1"/>
      <c r="BX30" s="1"/>
      <c r="BY30" s="1" t="s">
        <v>1201</v>
      </c>
      <c r="BZ30" s="1" t="s">
        <v>349</v>
      </c>
      <c r="CA30" s="1" t="s">
        <v>1249</v>
      </c>
      <c r="CB30" s="1" t="s">
        <v>1250</v>
      </c>
      <c r="CC30" s="1" t="s">
        <v>1251</v>
      </c>
    </row>
    <row r="31" spans="1:81" x14ac:dyDescent="0.25">
      <c r="A31" s="1" t="s">
        <v>145</v>
      </c>
      <c r="B31" s="1" t="s">
        <v>763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1231</v>
      </c>
      <c r="H31" s="1">
        <v>15</v>
      </c>
      <c r="I31" s="1" t="s">
        <v>1051</v>
      </c>
      <c r="J31" s="1" t="s">
        <v>152</v>
      </c>
      <c r="K31" s="1" t="s">
        <v>1185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1205</v>
      </c>
      <c r="R31" s="1" t="s">
        <v>1144</v>
      </c>
      <c r="S31" s="1" t="s">
        <v>1252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1223</v>
      </c>
      <c r="Z31" s="1">
        <v>-6</v>
      </c>
      <c r="AA31" s="1" t="s">
        <v>367</v>
      </c>
      <c r="AB31" s="1">
        <v>-13</v>
      </c>
      <c r="AC31" s="1" t="s">
        <v>1253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1254</v>
      </c>
      <c r="AT31" s="1" t="s">
        <v>1255</v>
      </c>
      <c r="AU31" s="1" t="s">
        <v>327</v>
      </c>
      <c r="AV31" s="1" t="s">
        <v>1256</v>
      </c>
      <c r="AW31" s="1" t="s">
        <v>1257</v>
      </c>
      <c r="AX31" s="1" t="s">
        <v>157</v>
      </c>
      <c r="AY31" s="1" t="s">
        <v>1258</v>
      </c>
      <c r="AZ31" s="1" t="s">
        <v>1259</v>
      </c>
      <c r="BA31" s="1" t="s">
        <v>1260</v>
      </c>
      <c r="BB31" s="1" t="s">
        <v>1261</v>
      </c>
      <c r="BC31" s="1" t="s">
        <v>1262</v>
      </c>
      <c r="BD31" s="1" t="s">
        <v>1263</v>
      </c>
      <c r="BE31" s="1">
        <v>107.5</v>
      </c>
      <c r="BF31" s="1">
        <v>116.8</v>
      </c>
      <c r="BG31" s="1">
        <v>-9.3000000000000007</v>
      </c>
      <c r="BH31" s="1" t="s">
        <v>1264</v>
      </c>
      <c r="BI31" s="1" t="s">
        <v>398</v>
      </c>
      <c r="BJ31" s="1" t="s">
        <v>398</v>
      </c>
      <c r="BK31" s="1" t="s">
        <v>393</v>
      </c>
      <c r="BL31" s="1" t="s">
        <v>1231</v>
      </c>
      <c r="BM31" s="1" t="s">
        <v>1265</v>
      </c>
      <c r="BN31" s="1" t="s">
        <v>402</v>
      </c>
      <c r="BO31" s="1" t="s">
        <v>1122</v>
      </c>
      <c r="BP31" s="1" t="s">
        <v>1200</v>
      </c>
      <c r="BQ31" s="1" t="s">
        <v>1266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1124</v>
      </c>
      <c r="BZ31" s="1" t="s">
        <v>1202</v>
      </c>
      <c r="CA31" s="1" t="s">
        <v>386</v>
      </c>
      <c r="CB31" s="1" t="s">
        <v>1267</v>
      </c>
      <c r="CC31" s="1" t="s">
        <v>1268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1269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1270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1271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1272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1273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1274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1275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1276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1277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1278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1279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1280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1281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1282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1279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1283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1282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1284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1282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1285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1278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1277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1271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1286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1282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1287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1288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1272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1289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1290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1291</v>
      </c>
      <c r="T4" s="1">
        <v>23.7</v>
      </c>
      <c r="U4" s="1" t="s">
        <v>1274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1292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1293</v>
      </c>
      <c r="T5" s="1">
        <v>26</v>
      </c>
      <c r="U5" s="1" t="s">
        <v>1274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1294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1295</v>
      </c>
      <c r="T7" s="1">
        <v>25.7</v>
      </c>
      <c r="U7" s="1" t="s">
        <v>1296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1297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1298</v>
      </c>
      <c r="T8" s="1">
        <v>24.5</v>
      </c>
      <c r="U8" s="1" t="s">
        <v>1299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1300</v>
      </c>
      <c r="T9" s="1">
        <v>24.6</v>
      </c>
      <c r="U9" s="1" t="s">
        <v>1274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1272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1301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1274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1302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1303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1304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1305</v>
      </c>
      <c r="T14" s="1">
        <v>24.1</v>
      </c>
      <c r="U14" s="1" t="s">
        <v>1285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1306</v>
      </c>
      <c r="T15" s="1">
        <v>25</v>
      </c>
      <c r="U15" s="1" t="s">
        <v>1276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1307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1272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1301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1277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1308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1293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1309</v>
      </c>
      <c r="T21" s="1">
        <v>25.6</v>
      </c>
      <c r="U21" s="1" t="s">
        <v>1285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1310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1305</v>
      </c>
      <c r="T22" s="1">
        <v>24.9</v>
      </c>
      <c r="U22" s="1" t="s">
        <v>1311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1299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1312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1313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1314</v>
      </c>
      <c r="T26" s="1">
        <v>23.2</v>
      </c>
      <c r="U26" s="1" t="s">
        <v>1315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1316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1317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1318</v>
      </c>
      <c r="T28" s="1">
        <v>24.7</v>
      </c>
      <c r="U28" s="1" t="s">
        <v>1270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1298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1319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1320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1321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1322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1269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1271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1322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1301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1301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1271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1271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1292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1292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1322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1292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1323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1322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1279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1279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1269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1269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1271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1280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2019-11-22T13:28:50Z</dcterms:modified>
</cp:coreProperties>
</file>