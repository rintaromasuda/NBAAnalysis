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846E8485-543F-4B45-ABE9-0A9A67749938}" xr6:coauthVersionLast="45" xr6:coauthVersionMax="45" xr10:uidLastSave="{00000000-0000-0000-0000-000000000000}"/>
  <bookViews>
    <workbookView xWindow="5486" yWindow="1157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<sst xmlns="http://schemas.openxmlformats.org/spreadsheetml/2006/main" count="5940" uniqueCount="1418">
  <si>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</si>
  <si>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</si>
  <si>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</si>
  <si>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</si>
  <si>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</si>
  <si>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</si>
  <si>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</si>
  <si>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</si>
  <si>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</si>
  <si>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</si>
  <si>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</si>
  <si>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</si>
  <si>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</si>
  <si>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</si>
  <si>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</si>
  <si>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</si>
  <si>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</si>
  <si>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</si>
  <si>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</si>
  <si>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</si>
  <si>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</si>
  <si>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</si>
  <si>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</si>
  <si>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</si>
  <si>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</si>
  <si>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</si>
  <si>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</si>
  <si>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</si>
  <si>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</si>
  <si>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</si>
  <si>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</si>
  <si>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</si>
  <si>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</si>
  <si>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</si>
  <si>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</si>
  <si>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</si>
  <si>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</si>
  <si>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</si>
  <si>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</si>
  <si>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</si>
  <si>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</si>
  <si>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</si>
  <si>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</si>
  <si>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</si>
  <si>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</si>
  <si>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</si>
  <si>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</si>
  <si>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</si>
  <si>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</si>
  <si>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</si>
  <si>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</si>
  <si>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</si>
  <si>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</si>
  <si>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</si>
  <si>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</si>
  <si>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</si>
  <si>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</si>
  <si>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</si>
  <si>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</si>
  <si>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</si>
  <si>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</si>
  <si>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</si>
  <si>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</si>
  <si>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</si>
  <si>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</si>
  <si>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</si>
  <si>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</si>
  <si>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</si>
  <si>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</si>
  <si>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</si>
  <si>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</si>
  <si>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</si>
  <si>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</si>
  <si>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</si>
  <si>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</si>
  <si>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</si>
  <si>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</si>
  <si>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</si>
  <si>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</si>
  <si>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</si>
  <si>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</si>
  <si>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</si>
  <si>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</si>
  <si>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</si>
  <si>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</si>
  <si>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</si>
  <si>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</si>
  <si>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</si>
  <si>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</si>
  <si>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</si>
  <si>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</si>
  <si>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</si>
  <si>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</si>
  <si>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</si>
  <si>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</si>
  <si>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</si>
  <si>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</si>
  <si>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</si>
  <si>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</si>
  <si>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</si>
  <si>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</si>
  <si>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</si>
  <si>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</si>
  <si>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</si>
  <si>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</si>
  <si>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</si>
  <si>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</si>
  <si>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</si>
  <si>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</si>
  <si>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</si>
  <si>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</si>
  <si>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</si>
  <si>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</si>
  <si>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</si>
  <si>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</si>
  <si>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</si>
  <si>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</si>
  <si>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</si>
  <si>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</si>
  <si>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</si>
  <si>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</si>
  <si>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</si>
  <si>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</si>
  <si>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</si>
  <si>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</si>
  <si>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</si>
  <si>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</si>
  <si>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</si>
  <si>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</si>
  <si>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</si>
  <si>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</si>
  <si>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</si>
  <si>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</si>
  <si>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</si>
  <si>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</si>
  <si>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</si>
  <si>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</si>
  <si>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</si>
  <si>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</si>
  <si>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</si>
  <si>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</si>
  <si>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</si>
  <si>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</si>
  <si>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</si>
  <si>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</si>
  <si>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</si>
  <si>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</si>
  <si>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</si>
  <si>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</si>
  <si>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</si>
  <si>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</si>
  <si>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</si>
  <si>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</si>
  <si>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</si>
  <si>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</si>
  <si>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</si>
  <si>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</si>
  <si>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</si>
  <si>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</si>
  <si>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</si>
  <si>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</si>
  <si>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</si>
  <si>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</si>
  <si>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</si>
  <si>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</si>
  <si>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</si>
  <si>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</si>
  <si>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</si>
  <si>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</si>
  <si>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</si>
  <si>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</si>
  <si>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</si>
  <si>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</si>
  <si>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</si>
  <si>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</si>
  <si>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</si>
  <si>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</si>
  <si>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</si>
  <si>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</si>
  <si>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</si>
  <si>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</si>
  <si>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</si>
  <si>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</si>
  <si>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</si>
  <si>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</si>
  <si>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</si>
  <si>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</si>
  <si>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</si>
  <si>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</si>
  <si>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</si>
  <si>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</si>
  <si>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</si>
  <si>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</si>
  <si>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</si>
  <si>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</si>
  <si>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</si>
  <si>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</si>
  <si>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</si>
  <si>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</si>
  <si>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</si>
  <si>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</si>
  <si>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</si>
  <si>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</si>
  <si>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</si>
  <si>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</si>
  <si>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</si>
  <si>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</si>
  <si>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</si>
  <si>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</si>
  <si>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</si>
  <si>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</si>
  <si>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</si>
  <si>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</si>
  <si>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</si>
  <si>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</si>
  <si>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</si>
  <si>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</si>
  <si>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</si>
  <si>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</si>
  <si>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</si>
  <si>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</si>
  <si>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</si>
  <si>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</si>
  <si>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</si>
  <si>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</si>
  <si>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</si>
  <si>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</si>
  <si>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</si>
  <si>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</si>
  <si>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</si>
  <si>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</si>
  <si>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</si>
  <si>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</si>
  <si>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</si>
  <si>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</si>
  <si>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</si>
  <si>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</si>
  <si>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</si>
  <si>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</si>
  <si>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</si>
  <si>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</si>
  <si>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</si>
  <si>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</si>
  <si>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</si>
  <si>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</si>
  <si>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</si>
  <si>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</si>
  <si>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</si>
  <si>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</si>
  <si>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</si>
  <si>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</si>
  <si>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</si>
  <si>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</si>
  <si>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</si>
  <si>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</si>
  <si>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</si>
  <si>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</si>
  <si>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</si>
  <si>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</si>
  <si>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</si>
  <si>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</si>
  <si>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</si>
  <si>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</si>
  <si>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</si>
  <si>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</si>
  <si>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</si>
  <si>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</si>
  <si>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</si>
  <si>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</si>
  <si>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</si>
  <si>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</si>
  <si>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</si>
  <si>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</si>
  <si>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</si>
  <si>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</si>
  <si>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</si>
  <si>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</si>
  <si>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</si>
  <si>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</si>
  <si>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</si>
  <si>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</si>
  <si>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</si>
  <si>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</si>
  <si>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</si>
  <si>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</si>
  <si>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</si>
  <si>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</si>
  <si>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</si>
  <si>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</si>
  <si>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</si>
  <si>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</si>
  <si>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</si>
  <si>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</si>
  <si>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</si>
  <si>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</si>
  <si>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</si>
  <si>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</si>
  <si>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</si>
  <si>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</si>
  <si>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</si>
  <si>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</si>
  <si>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</si>
  <si>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</si>
  <si>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</si>
  <si>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</si>
  <si>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</si>
  <si>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</si>
  <si>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</si>
  <si>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</si>
  <si>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</si>
  <si>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</si>
  <si>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</si>
  <si>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</si>
  <si>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</si>
  <si>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</si>
  <si>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</si>
  <si>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</si>
  <si>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</si>
  <si>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</si>
  <si>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</si>
  <si>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</si>
  <si>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</si>
  <si>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</si>
  <si>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</si>
  <si>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</si>
  <si>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</si>
  <si>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</si>
  <si>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</si>
  <si>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</si>
  <si>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</si>
  <si>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</si>
  <si>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</si>
  <si>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</si>
  <si>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</si>
  <si>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</si>
  <si>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</si>
  <si>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</si>
  <si>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</si>
  <si>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</si>
  <si>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</si>
  <si>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</si>
  <si>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</si>
  <si>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</si>
  <si>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</si>
  <si>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</si>
  <si>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</si>
  <si>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</si>
  <si>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</si>
  <si>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</si>
  <si>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</si>
  <si>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</si>
  <si>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</si>
  <si>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</si>
  <si>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</si>
  <si>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</si>
  <si>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</si>
  <si>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</si>
  <si>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</si>
  <si>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</si>
  <si>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</si>
  <si>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</si>
  <si>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</si>
  <si>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</si>
  <si>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</si>
  <si>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</si>
  <si>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</si>
  <si>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</si>
  <si>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</si>
  <si>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</si>
  <si>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</si>
  <si>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</si>
  <si>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</si>
  <si>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</si>
  <si>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</si>
  <si>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</si>
  <si>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</si>
  <si>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</si>
  <si>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</si>
  <si>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</si>
  <si>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</si>
  <si>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</si>
  <si>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</si>
  <si>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</si>
  <si>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</si>
  <si>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</si>
  <si>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</si>
  <si>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</si>
  <si>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</si>
  <si>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</si>
  <si>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</si>
  <si>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</si>
  <si>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</si>
  <si>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</si>
  <si>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</si>
  <si>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</si>
  <si>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</si>
  <si>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</si>
  <si>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</si>
  <si>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</si>
  <si>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</si>
  <si>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</si>
  <si>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</si>
  <si>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</si>
  <si>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</si>
  <si>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</si>
  <si>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</si>
  <si>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</si>
  <si>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</si>
  <si>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</si>
  <si>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</si>
  <si>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</si>
  <si>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</si>
  <si>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</si>
  <si>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</si>
  <si>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</si>
  <si>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</si>
  <si>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</si>
  <si>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</si>
  <si>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</si>
  <si>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</si>
  <si>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</si>
  <si>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</si>
  <si>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</si>
  <si>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</si>
  <si>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</si>
  <si>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</si>
  <si>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</si>
  <si>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</si>
  <si>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</si>
  <si>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</si>
  <si>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</si>
  <si>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</si>
  <si>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</si>
  <si>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</si>
  <si>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</si>
  <si>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</si>
  <si>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</si>
  <si>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</si>
  <si>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</si>
  <si>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</si>
  <si>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</si>
  <si>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</si>
  <si>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</si>
  <si>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</si>
  <si>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</si>
  <si>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</si>
  <si>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</si>
  <si>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</si>
  <si>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</si>
  <si>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</si>
  <si>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</si>
  <si>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</si>
  <si>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</si>
  <si>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</si>
  <si>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</si>
  <si>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</si>
  <si>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</si>
  <si>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</si>
  <si>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</si>
  <si>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</si>
  <si>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</si>
  <si>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</si>
  <si>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</si>
  <si>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</si>
  <si>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</si>
  <si>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</si>
  <si>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</si>
  <si>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</si>
  <si>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</si>
  <si>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</si>
  <si>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</si>
  <si>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</si>
  <si>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</si>
  <si>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</si>
  <si>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</si>
  <si>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</si>
  <si>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</si>
  <si>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</si>
  <si>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</si>
  <si>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</si>
  <si>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</si>
  <si>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</si>
  <si>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</si>
  <si>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</si>
  <si>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</si>
  <si>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</si>
  <si>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</si>
  <si>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</si>
  <si>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</si>
  <si>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</si>
  <si>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</si>
  <si>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</si>
  <si>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</si>
  <si>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</si>
  <si>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</si>
  <si>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</si>
  <si>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</si>
  <si>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</si>
  <si>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</si>
  <si>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</si>
  <si>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</si>
  <si>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</si>
  <si>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</si>
  <si>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</si>
  <si>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</si>
  <si>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</si>
  <si>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</si>
  <si>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</si>
  <si>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</si>
  <si>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</si>
  <si>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</si>
  <si>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</si>
  <si>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</si>
  <si>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</si>
  <si>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</si>
  <si>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</si>
  <si>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</si>
  <si>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</si>
  <si>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</si>
  <si>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</si>
  <si>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</si>
  <si>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</si>
  <si>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</si>
  <si>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</si>
  <si>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</si>
  <si>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</si>
  <si>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</si>
  <si>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</si>
  <si>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</si>
  <si>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</si>
  <si>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</si>
  <si>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</si>
  <si>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</si>
  <si>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</si>
  <si>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</si>
  <si>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</si>
  <si>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</si>
  <si>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</si>
  <si>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</si>
  <si>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</si>
  <si>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</si>
  <si>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</si>
  <si>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</si>
  <si>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</si>
  <si>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</si>
  <si>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</si>
  <si>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</si>
  <si>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</si>
  <si>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</si>
  <si>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</si>
  <si>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</si>
  <si>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</si>
  <si>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</si>
  <si>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</si>
  <si>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</si>
  <si>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</si>
  <si>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</si>
  <si>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</si>
  <si>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</si>
  <si>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</si>
  <si>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</si>
  <si>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</si>
  <si>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</si>
  <si>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</si>
  <si>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</si>
  <si>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</si>
  <si>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</si>
  <si>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</si>
  <si>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</si>
  <si>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</si>
  <si>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</si>
  <si>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</si>
  <si>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</si>
  <si>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</si>
  <si>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</si>
  <si>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</si>
  <si>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</si>
  <si>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</si>
  <si>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</si>
  <si>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</si>
  <si>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</si>
  <si>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</si>
  <si>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</si>
  <si>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</si>
  <si>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</si>
  <si>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</si>
  <si>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</si>
  <si>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</si>
  <si>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</si>
  <si>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</si>
  <si>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</si>
  <si>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</si>
  <si>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</si>
  <si>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</si>
  <si>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</si>
  <si>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</si>
  <si>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</si>
  <si>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</si>
  <si>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</si>
  <si>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</si>
  <si>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</si>
  <si>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</si>
  <si>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</si>
  <si>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</si>
  <si>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</si>
  <si>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</si>
  <si>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</si>
  <si>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</si>
  <si>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</si>
  <si>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</si>
  <si>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</si>
  <si>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</si>
  <si>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</si>
  <si>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</si>
  <si>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</si>
  <si>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</si>
  <si>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</si>
  <si>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</si>
  <si>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</si>
  <si>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</si>
  <si>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</si>
  <si>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</si>
  <si>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</si>
  <si>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</si>
  <si>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</si>
  <si>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</si>
  <si>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</si>
  <si>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</si>
  <si>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</si>
  <si>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</si>
  <si>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</si>
  <si>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</si>
  <si>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</si>
  <si>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</si>
  <si>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</si>
  <si>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</si>
  <si>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</si>
  <si>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</si>
  <si>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</si>
  <si>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</si>
  <si>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</si>
  <si>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</si>
  <si>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</si>
  <si>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</si>
  <si>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</si>
  <si>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</si>
  <si>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</si>
  <si>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</si>
  <si>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</si>
  <si>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</si>
  <si>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</si>
  <si>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</si>
  <si>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</si>
  <si>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</si>
  <si>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</si>
  <si>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</si>
  <si>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</si>
  <si>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</si>
  <si>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</si>
  <si>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</si>
  <si>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</si>
  <si>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</si>
  <si>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</si>
  <si>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</si>
  <si>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</si>
  <si>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</si>
  <si>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</si>
  <si>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</si>
  <si>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</si>
  <si>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</si>
  <si>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</si>
  <si>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</si>
  <si>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</si>
  <si>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</si>
  <si>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</si>
  <si>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</si>
  <si>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</si>
  <si>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</si>
  <si>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</si>
  <si>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</si>
  <si>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</si>
  <si>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</si>
  <si>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</si>
  <si>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</si>
  <si>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</si>
  <si>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</si>
  <si>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</si>
  <si>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</si>
  <si>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</si>
  <si>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</si>
  <si>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</si>
  <si>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</si>
  <si>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</si>
  <si>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</si>
  <si>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</si>
  <si>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</si>
  <si>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</si>
  <si>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</si>
  <si>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</si>
  <si>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</si>
  <si>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</si>
  <si>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</si>
  <si>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</si>
  <si>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</si>
  <si>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</si>
  <si>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</si>
  <si>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</si>
  <si>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</si>
  <si>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</si>
  <si>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</si>
  <si>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</si>
  <si>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</si>
  <si>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</si>
  <si>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</si>
  <si>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</si>
  <si>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</si>
  <si>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</si>
  <si>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</si>
  <si>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</si>
  <si>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</si>
  <si>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</si>
  <si>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</si>
  <si>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</si>
  <si>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</si>
  <si>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</si>
  <si>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</si>
  <si>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</si>
  <si>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</si>
  <si>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</si>
  <si>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</si>
  <si>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</si>
  <si>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</si>
  <si>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</si>
  <si>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</si>
  <si>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</si>
  <si>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</si>
  <si>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</si>
  <si>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</si>
  <si>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</si>
  <si>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</si>
  <si>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</si>
  <si>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</si>
  <si>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</si>
  <si>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</si>
  <si>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</si>
  <si>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</si>
  <si>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</si>
  <si>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</si>
  <si>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</si>
  <si>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</si>
  <si>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</si>
  <si>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</si>
  <si>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</si>
  <si>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</si>
  <si>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</si>
  <si>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</si>
  <si>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G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</si>
  <si>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</si>
  <si>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</si>
  <si>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</si>
  <si>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</si>
  <si>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</si>
  <si>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</si>
  <si>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</si>
  <si>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</si>
  <si>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</si>
  <si>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</si>
  <si>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</si>
  <si>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</si>
  <si>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</si>
  <si>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</si>
  <si>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</si>
  <si>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</si>
  <si>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</si>
  <si>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</si>
  <si>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</si>
  <si>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</si>
  <si>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</si>
  <si>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</si>
  <si>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</si>
  <si>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</si>
  <si>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</si>
  <si>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</si>
  <si>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</si>
  <si>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</si>
  <si>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</si>
  <si>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</si>
  <si>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</si>
  <si>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</si>
  <si>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</si>
  <si>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</si>
  <si>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</si>
  <si>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</si>
  <si>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</si>
  <si>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</si>
  <si>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</si>
  <si>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</si>
  <si>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</si>
  <si>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</si>
  <si>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</si>
  <si>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</si>
  <si>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</si>
  <si>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</si>
  <si>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</si>
  <si>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</si>
  <si>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</si>
  <si>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</si>
  <si>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</si>
  <si>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</si>
  <si>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</si>
  <si>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</si>
  <si>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</si>
  <si>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</si>
  <si>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</si>
  <si>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</si>
  <si>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</si>
  <si>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</si>
  <si>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</si>
  <si>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</si>
  <si>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</si>
  <si>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</si>
  <si>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</si>
  <si>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</si>
  <si>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</si>
  <si>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</si>
  <si>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</si>
  <si>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</si>
  <si>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</si>
  <si>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</si>
  <si>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</si>
  <si>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</si>
  <si>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</si>
  <si>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</si>
  <si>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</si>
  <si>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</si>
  <si>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</si>
  <si>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</si>
  <si>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</si>
  <si>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</si>
  <si>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</si>
  <si>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</si>
  <si>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</si>
  <si>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</si>
  <si>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</si>
  <si>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</si>
  <si>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</si>
  <si>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</si>
  <si>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</si>
  <si>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</si>
  <si>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</si>
  <si>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</si>
  <si>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</si>
  <si>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</si>
  <si>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</si>
  <si>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</si>
  <si>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</si>
  <si>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</si>
  <si>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</si>
  <si>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</si>
  <si>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</si>
  <si>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</si>
  <si>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</si>
  <si>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</si>
  <si>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</si>
  <si>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</si>
  <si>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</si>
  <si>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</si>
  <si>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</si>
  <si>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</si>
  <si>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</si>
  <si>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</si>
  <si>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</si>
  <si>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</si>
  <si>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</si>
  <si>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</si>
  <si>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</si>
  <si>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</si>
  <si>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</si>
  <si>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</si>
  <si>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</si>
  <si>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</si>
  <si>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</si>
  <si>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</si>
  <si>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</si>
  <si>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</si>
  <si>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</si>
  <si>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</si>
  <si>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</si>
  <si>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</si>
  <si>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</si>
  <si>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</si>
  <si>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</si>
  <si>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</si>
  <si>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</si>
  <si>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</si>
  <si>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</si>
  <si>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</si>
  <si>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</si>
  <si>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</si>
  <si>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</si>
  <si>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</si>
  <si>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</si>
  <si>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</si>
  <si>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</si>
  <si>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</si>
  <si>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</si>
  <si>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</si>
  <si>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</si>
  <si>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</si>
  <si>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</si>
  <si>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</si>
  <si>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</si>
  <si>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</si>
  <si>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</si>
  <si>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</si>
  <si>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</si>
  <si>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</si>
  <si>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</si>
  <si>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</si>
  <si>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</si>
  <si>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</si>
  <si>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</si>
  <si>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</si>
  <si>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</si>
  <si>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</si>
  <si>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</si>
  <si>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</si>
  <si>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</si>
  <si>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</si>
  <si>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</si>
  <si>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</si>
  <si>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</si>
  <si>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</si>
  <si>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</si>
  <si>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</si>
  <si>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</si>
  <si>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</si>
  <si>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</si>
  <si>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</si>
  <si>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</si>
  <si>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</si>
  <si>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</si>
  <si>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</si>
  <si>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</si>
  <si>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</si>
  <si>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</si>
  <si>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</si>
  <si>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</si>
  <si>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</si>
  <si>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</si>
  <si>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</si>
  <si>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</si>
  <si>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</si>
  <si>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</si>
  <si>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</si>
  <si>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</si>
  <si>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</si>
  <si>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</si>
  <si>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</si>
  <si>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</si>
  <si>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</si>
  <si>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</si>
  <si>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</si>
  <si>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</si>
  <si>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</si>
  <si>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</si>
  <si>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</si>
  <si>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</si>
  <si>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</si>
  <si>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</si>
  <si>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</si>
  <si>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</si>
  <si>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</si>
  <si>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</si>
  <si>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</si>
  <si>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</si>
  <si>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</si>
  <si>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</si>
  <si>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</si>
  <si>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</si>
  <si>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</si>
  <si>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</si>
  <si>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</si>
  <si>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</si>
  <si>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</si>
  <si>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</si>
  <si>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</si>
  <si>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</si>
  <si>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</si>
  <si>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</si>
  <si>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</si>
  <si>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</si>
  <si>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</si>
  <si>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</si>
  <si>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</si>
  <si>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</si>
  <si>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</si>
  <si>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</si>
  <si>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</si>
  <si>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</si>
  <si>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</si>
  <si>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</si>
  <si>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</si>
  <si>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</si>
  <si>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</si>
  <si>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</si>
  <si>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</si>
  <si>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</si>
  <si>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</si>
  <si>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</si>
  <si>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</si>
  <si>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</si>
  <si>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</si>
  <si>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</si>
  <si>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</si>
  <si>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</si>
  <si>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</si>
  <si>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</si>
  <si>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</si>
  <si>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</si>
  <si>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</si>
  <si>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</si>
  <si>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</si>
  <si>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</si>
  <si>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</si>
  <si>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</si>
  <si>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</si>
  <si>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</si>
  <si>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</si>
  <si>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</si>
  <si>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</si>
  <si>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</si>
  <si>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</si>
  <si>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</si>
  <si>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</si>
  <si>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</si>
  <si>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</si>
  <si>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</si>
  <si>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</si>
  <si>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</si>
  <si>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</si>
  <si>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</si>
  <si>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</si>
  <si>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</si>
  <si>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</si>
  <si>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</si>
  <si>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</si>
  <si>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</si>
  <si>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</si>
  <si>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</si>
  <si>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</si>
  <si>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</si>
  <si>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</si>
  <si>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</si>
  <si>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</si>
  <si>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</si>
  <si>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</si>
  <si>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</si>
  <si>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</si>
  <si>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</si>
  <si>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</si>
  <si>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</si>
  <si>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</si>
  <si>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</si>
  <si>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</si>
  <si>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</si>
  <si>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</si>
  <si>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</si>
  <si>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</si>
  <si>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</si>
  <si>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</si>
  <si>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</si>
  <si>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</si>
  <si>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</si>
  <si>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</si>
  <si>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</si>
  <si>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</si>
  <si>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</si>
  <si>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</si>
  <si>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</si>
  <si>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</si>
  <si>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</si>
  <si>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</si>
  <si>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</si>
  <si>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</si>
  <si>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</si>
  <si>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</si>
  <si>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</si>
  <si>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</si>
  <si>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</si>
  <si>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</si>
  <si>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</si>
  <si>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</si>
  <si>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</si>
  <si>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</si>
  <si>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</si>
  <si>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</si>
  <si>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</si>
  <si>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</si>
  <si>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</si>
  <si>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</si>
  <si>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</si>
  <si>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</si>
  <si>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</si>
  <si>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</si>
  <si>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</si>
  <si>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</si>
  <si>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</si>
  <si>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</si>
  <si>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</si>
  <si>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</si>
  <si>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</si>
  <si>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</si>
  <si>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</si>
  <si>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</si>
  <si>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</si>
  <si>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</si>
  <si>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</si>
  <si>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</si>
  <si>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</si>
  <si>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</si>
  <si>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</si>
  <si>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</si>
  <si>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</si>
  <si>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</si>
  <si>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</si>
  <si>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</si>
  <si>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</si>
  <si>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</si>
  <si>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</si>
  <si>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</si>
  <si>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</si>
  <si>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</si>
  <si>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</si>
  <si>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</si>
  <si>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</si>
  <si>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</si>
  <si>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</si>
  <si>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</si>
  <si>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</si>
  <si>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</si>
  <si>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</si>
  <si>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</si>
  <si>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</si>
  <si>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</si>
  <si>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</si>
  <si>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</si>
  <si>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</si>
  <si>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</si>
  <si>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</si>
  <si>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</si>
  <si>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</si>
  <si>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</si>
  <si>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</si>
  <si>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</si>
  <si>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</si>
  <si>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</si>
  <si>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</si>
  <si>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</si>
  <si>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</si>
  <si>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</si>
  <si>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</si>
  <si>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</si>
  <si>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</si>
  <si>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</si>
  <si>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</si>
  <si>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</si>
  <si>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</si>
  <si>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</si>
  <si>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</si>
  <si>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</si>
  <si>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</si>
  <si>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</si>
  <si>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</si>
  <si>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</si>
  <si>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</si>
  <si>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</si>
  <si>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</si>
  <si>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</si>
  <si>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</si>
  <si>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</si>
  <si>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</si>
  <si>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</si>
  <si>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</si>
  <si>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</si>
  <si>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</si>
  <si>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</si>
  <si>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</si>
  <si>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</si>
  <si>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</si>
  <si>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</si>
  <si>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</si>
  <si>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</si>
  <si>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</si>
  <si>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</si>
  <si>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</si>
  <si>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</si>
  <si>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</si>
  <si>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</si>
  <si>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</si>
  <si>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</si>
  <si>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</si>
  <si>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</si>
  <si>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</si>
  <si>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</si>
  <si>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</si>
  <si>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</si>
  <si>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</si>
  <si>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</si>
  <si>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</si>
  <si>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</si>
  <si>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</si>
  <si>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</si>
  <si>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</si>
  <si>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</si>
  <si>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</si>
  <si>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</si>
  <si>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</si>
  <si>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</si>
  <si>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</si>
  <si>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</si>
  <si>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</si>
  <si>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</si>
  <si>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</si>
  <si>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</si>
  <si>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</si>
  <si>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</si>
  <si>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</si>
  <si>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</si>
  <si>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</si>
  <si>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</si>
  <si>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</si>
  <si>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</si>
  <si>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</si>
  <si>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</si>
  <si>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</si>
  <si>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</si>
  <si>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</si>
  <si>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</si>
  <si>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</si>
  <si>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</si>
  <si>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</si>
  <si>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</si>
  <si>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</si>
  <si>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</si>
  <si>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</si>
  <si>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</si>
  <si>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</si>
  <si>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</si>
  <si>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</si>
  <si>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</si>
  <si>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</si>
  <si>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</si>
  <si>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</si>
  <si>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</si>
  <si>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</si>
  <si>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</si>
  <si>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</si>
  <si>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</si>
  <si>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</si>
  <si>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</si>
  <si>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</si>
  <si>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</si>
  <si>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</si>
  <si>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</si>
  <si>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</si>
  <si>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</si>
  <si>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</si>
  <si>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</si>
  <si>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</si>
  <si>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</si>
  <si>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</si>
  <si>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</si>
  <si>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</si>
  <si>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</si>
  <si>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</si>
  <si>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</si>
  <si>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</si>
  <si>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</si>
  <si>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</si>
  <si>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</si>
  <si>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</si>
  <si>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</si>
  <si>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</si>
  <si>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</si>
  <si>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</si>
  <si>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</si>
  <si>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</si>
  <si>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</si>
  <si>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</si>
  <si>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</si>
  <si>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</si>
  <si>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</si>
  <si>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</si>
  <si>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</si>
  <si>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</si>
  <si>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</si>
  <si>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</si>
  <si>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</si>
  <si>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</si>
  <si>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</si>
  <si>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</si>
  <si>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</si>
  <si>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</si>
  <si>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</si>
  <si>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</si>
  <si>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</si>
  <si>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</si>
  <si>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</si>
  <si>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</si>
  <si>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</si>
  <si>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</si>
  <si>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</si>
  <si>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</si>
  <si>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</si>
  <si>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</si>
  <si>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</si>
  <si>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</si>
  <si>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</si>
  <si>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</si>
  <si>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</si>
  <si>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</t>
  </si>
  <si>
    <t>G-F</t>
  </si>
  <si>
    <t xml:space="preserve"> </t>
  </si>
  <si>
    <t>3</t>
  </si>
  <si>
    <t>R</t>
  </si>
  <si>
    <t>190</t>
  </si>
  <si>
    <t>C</t>
  </si>
  <si>
    <t>215</t>
  </si>
  <si>
    <t>10</t>
  </si>
  <si>
    <t>13</t>
  </si>
  <si>
    <t>22</t>
  </si>
  <si>
    <t>F-G</t>
  </si>
  <si>
    <t>11</t>
  </si>
  <si>
    <t>12</t>
  </si>
  <si>
    <t>C-F</t>
  </si>
  <si>
    <t>175</t>
  </si>
  <si>
    <t>9</t>
  </si>
  <si>
    <t>Iowa State</t>
  </si>
  <si>
    <t>23</t>
  </si>
  <si>
    <t>0</t>
  </si>
  <si>
    <t>232</t>
  </si>
  <si>
    <t>4</t>
  </si>
  <si>
    <t>235</t>
  </si>
  <si>
    <t>24</t>
  </si>
  <si>
    <t>200</t>
  </si>
  <si>
    <t>230</t>
  </si>
  <si>
    <t>Nigel Williams-Goss</t>
  </si>
  <si>
    <t>SEP 16, 1994</t>
  </si>
  <si>
    <t>Gonzaga</t>
  </si>
  <si>
    <t>Joe Ingles</t>
  </si>
  <si>
    <t>220</t>
  </si>
  <si>
    <t>OCT 02, 1987</t>
  </si>
  <si>
    <t>Justin Wright-Foreman</t>
  </si>
  <si>
    <t>OCT 27, 1997</t>
  </si>
  <si>
    <t>Hofstra</t>
  </si>
  <si>
    <t>Jarrell Brantley</t>
  </si>
  <si>
    <t>250</t>
  </si>
  <si>
    <t>JUN 07, 1996</t>
  </si>
  <si>
    <t>College of Charleston</t>
  </si>
  <si>
    <t>Emmanuel Mudiay</t>
  </si>
  <si>
    <t>8</t>
  </si>
  <si>
    <t>MAR 05, 1996</t>
  </si>
  <si>
    <t>Mike Conley</t>
  </si>
  <si>
    <t>OCT 11, 1987</t>
  </si>
  <si>
    <t>Ohio State</t>
  </si>
  <si>
    <t>Dante Exum</t>
  </si>
  <si>
    <t>214</t>
  </si>
  <si>
    <t>JUL 13, 1995</t>
  </si>
  <si>
    <t>Tony Bradley</t>
  </si>
  <si>
    <t>248</t>
  </si>
  <si>
    <t>JAN 08, 1998</t>
  </si>
  <si>
    <t>North Carolina</t>
  </si>
  <si>
    <t>Juwan Morgan</t>
  </si>
  <si>
    <t>16</t>
  </si>
  <si>
    <t>APR 17, 1997</t>
  </si>
  <si>
    <t>Ed Davis</t>
  </si>
  <si>
    <t>17</t>
  </si>
  <si>
    <t>218</t>
  </si>
  <si>
    <t>JUN 05, 1989</t>
  </si>
  <si>
    <t>Jeff Green</t>
  </si>
  <si>
    <t>AUG 28, 1986</t>
  </si>
  <si>
    <t>Georgetown</t>
  </si>
  <si>
    <t>Royce O'Neale</t>
  </si>
  <si>
    <t>226</t>
  </si>
  <si>
    <t>JUN 05, 1993</t>
  </si>
  <si>
    <t>Baylor</t>
  </si>
  <si>
    <t>Miye Oni</t>
  </si>
  <si>
    <t>206</t>
  </si>
  <si>
    <t>AUG 04, 1997</t>
  </si>
  <si>
    <t>Yale</t>
  </si>
  <si>
    <t>Rudy Gobert</t>
  </si>
  <si>
    <t>27</t>
  </si>
  <si>
    <t>258</t>
  </si>
  <si>
    <t>JUN 26, 1992</t>
  </si>
  <si>
    <t>6</t>
  </si>
  <si>
    <t>France</t>
  </si>
  <si>
    <t>Georges Niang</t>
  </si>
  <si>
    <t>31</t>
  </si>
  <si>
    <t>JUN 17, 1993</t>
  </si>
  <si>
    <t>Bojan Bogdanovic</t>
  </si>
  <si>
    <t>44</t>
  </si>
  <si>
    <t>APR 18, 1989</t>
  </si>
  <si>
    <t>Donovan Mitchell</t>
  </si>
  <si>
    <t>45</t>
  </si>
  <si>
    <t>SEP 07, 1996</t>
  </si>
  <si>
    <t>Louisville</t>
  </si>
  <si>
    <t>Jazz</t>
    <phoneticPr fontId="1"/>
  </si>
  <si>
    <t>9-5</t>
    <phoneticPr fontId="1"/>
  </si>
  <si>
    <t xml:space="preserve">6-4  </t>
    <phoneticPr fontId="1"/>
  </si>
  <si>
    <t xml:space="preserve">6-1  </t>
    <phoneticPr fontId="1"/>
  </si>
  <si>
    <t xml:space="preserve">3-4  </t>
    <phoneticPr fontId="1"/>
  </si>
  <si>
    <t>50-32</t>
    <phoneticPr fontId="1"/>
  </si>
  <si>
    <t xml:space="preserve">8-2  </t>
    <phoneticPr fontId="1"/>
  </si>
  <si>
    <t>29-12</t>
    <phoneticPr fontId="1"/>
  </si>
  <si>
    <t>21-20</t>
    <phoneticPr fontId="1"/>
  </si>
  <si>
    <t>32-25</t>
    <phoneticPr fontId="1"/>
  </si>
  <si>
    <t>18-7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</si>
</sst>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A5DE87-6F61-4BA3-BA7A-1E6C03D4343D}" name="TableRoster" displayName="TableRoster" ref="A1:M18" totalsRowShown="0" headerRowDxfId="1074">
  <autoFilter ref="A1:M18" xr:uid="{35FBF9A3-ADDC-4797-8557-9AA52C1844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3A043FA-FD13-4765-9290-D29A1B94C2B5}" name="TeamID" dataDxfId="1087"/>
    <tableColumn id="2" xr3:uid="{D82B4217-B7A0-4F81-B141-97F8C45B8D77}" name="SEASON" dataDxfId="1086"/>
    <tableColumn id="3" xr3:uid="{BA8FC8D5-3C78-4163-8EE8-FE7619398701}" name="LeagueID" dataDxfId="1085"/>
    <tableColumn id="4" xr3:uid="{7892B795-3575-48C6-AAF9-8E50A555C0EC}" name="PLAYER" dataDxfId="1084"/>
    <tableColumn id="5" xr3:uid="{677977B6-4435-4A0C-A323-3BDAB5638E5B}" name="NUM" dataDxfId="1083"/>
    <tableColumn id="6" xr3:uid="{9E80BBBB-43E3-4805-8BBD-F8EACBE2DAAD}" name="POSITION" dataDxfId="1082"/>
    <tableColumn id="7" xr3:uid="{60F4E148-C398-410E-86C6-B77DD8DA5853}" name="HEIGHT" dataDxfId="1081"/>
    <tableColumn id="8" xr3:uid="{2B8259F2-E1C5-4AD7-A500-D46183DEE557}" name="WEIGHT" dataDxfId="1080"/>
    <tableColumn id="9" xr3:uid="{39C46044-D4B9-4F3F-8575-0CEFCE85AE69}" name="BIRTH_DATE" dataDxfId="1079"/>
    <tableColumn id="10" xr3:uid="{FF83562E-4333-4BAA-990D-B9CDA3E2AE33}" name="AGE" dataDxfId="1078"/>
    <tableColumn id="11" xr3:uid="{27E705F6-4B03-49DF-90CC-228FF3F95BC1}" name="EXP" dataDxfId="1077"/>
    <tableColumn id="12" xr3:uid="{D7F127D4-7641-49EB-B68F-3C608C9A4861}" name="SCHOOL" dataDxfId="1076"/>
    <tableColumn id="13" xr3:uid="{E46C2123-0366-4A1A-97C8-25493658951F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F9601-A02C-4FBB-B4E5-407F890496A3}" name="TableStandingsN" displayName="TableStandingsN" ref="A1:CC31" totalsRowShown="0" headerRowDxfId="992">
  <autoFilter ref="A1:CC31" xr:uid="{D9BE4A9B-4E67-4E8F-AF5B-653F13D79C4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FEB18F1-EA3D-424A-BD5D-80429BC70F5E}" name="LeagueID" dataDxfId="1073"/>
    <tableColumn id="2" xr3:uid="{4B489A84-8DF1-4920-AAAA-C9EA125E2CFD}" name="SeasonID" dataDxfId="1072"/>
    <tableColumn id="3" xr3:uid="{89C00C6B-5D5B-420A-9769-14E7F3D71B3D}" name="TeamID" dataDxfId="1071"/>
    <tableColumn id="4" xr3:uid="{914D87ED-4967-4F94-9D11-F9045F40E438}" name="TeamCity" dataDxfId="1070"/>
    <tableColumn id="5" xr3:uid="{93A1B687-E39A-4739-9D63-AF426B3B49E4}" name="TeamName" dataDxfId="1069"/>
    <tableColumn id="6" xr3:uid="{778E2BED-1ED1-4675-BD03-A075309BC7B0}" name="Conference" dataDxfId="1068"/>
    <tableColumn id="7" xr3:uid="{FFD974BF-1422-4634-AF36-3031A5052E27}" name="ConferenceRecord" dataDxfId="1067"/>
    <tableColumn id="8" xr3:uid="{4C0E8568-F049-4F2A-B2E5-7247F6FCA225}" name="PlayoffRank" dataDxfId="1066"/>
    <tableColumn id="9" xr3:uid="{3C49911E-F6B2-43DB-8580-FD552022DE1B}" name="ClinchIndicator" dataDxfId="1065"/>
    <tableColumn id="10" xr3:uid="{1913073F-18B1-43E3-91D8-E1E5ED35435C}" name="Division" dataDxfId="1064"/>
    <tableColumn id="11" xr3:uid="{3B8DE74A-DA77-46A6-AC38-BC2A14D56CB0}" name="DivisionRecord" dataDxfId="1063"/>
    <tableColumn id="12" xr3:uid="{36A7D2E0-367B-4957-A4DF-84910F899726}" name="DivisionRank" dataDxfId="1062"/>
    <tableColumn id="13" xr3:uid="{7B77BD0F-15D7-4F5F-9F26-3C8CAE6658A9}" name="WINS" dataDxfId="1061"/>
    <tableColumn id="14" xr3:uid="{EA235819-A876-4321-B28B-B46E99EC71A4}" name="LOSSES" dataDxfId="1060"/>
    <tableColumn id="15" xr3:uid="{339881D4-546E-4B26-BED6-EB8C55E1CD8F}" name="WinPCT" dataDxfId="1059"/>
    <tableColumn id="16" xr3:uid="{AA3D3D2E-734A-4902-A0D0-1306F6A57C54}" name="LeagueRank" dataDxfId="1058"/>
    <tableColumn id="17" xr3:uid="{29FACB2B-952C-484D-BE9C-543CEEB36AFC}" name="Record" dataDxfId="1057"/>
    <tableColumn id="18" xr3:uid="{287F328C-B195-4979-B1A8-F2B0DEE11493}" name="HOME" dataDxfId="1056"/>
    <tableColumn id="19" xr3:uid="{E8F940A9-1E53-4A1C-818E-2272A6327F3D}" name="ROAD" dataDxfId="1055"/>
    <tableColumn id="20" xr3:uid="{1882CC90-6F28-46F2-8BD7-9A8DD5CA573D}" name="L10" dataDxfId="1054"/>
    <tableColumn id="21" xr3:uid="{96F9D946-43B6-4EED-AF4B-D6267CDA3546}" name="Last10Home" dataDxfId="1053"/>
    <tableColumn id="22" xr3:uid="{8FF23BE5-AA13-46DC-B857-B5BC1D0AF601}" name="Last10Road" dataDxfId="1052"/>
    <tableColumn id="23" xr3:uid="{C19C6E89-43D1-4CD9-8F07-4CA6FA5D1A69}" name="OT" dataDxfId="1051"/>
    <tableColumn id="24" xr3:uid="{E82FFEBC-88EA-4193-A160-947AB46687E2}" name="ThreePTSOrLess" dataDxfId="1050"/>
    <tableColumn id="25" xr3:uid="{EEF130A8-7598-41B7-83C3-93EBE9EA91A9}" name="TenPTSOrMore" dataDxfId="1049"/>
    <tableColumn id="26" xr3:uid="{FBAC0DF7-4868-4486-ACCF-19191848A2F0}" name="LongHomeStreak" dataDxfId="1048"/>
    <tableColumn id="27" xr3:uid="{CFF34352-84E2-441F-851E-05D39DD1FA05}" name="strLongHomeStreak" dataDxfId="1047"/>
    <tableColumn id="28" xr3:uid="{6C317CE4-0E1A-4678-B10C-475241A60480}" name="LongRoadStreak" dataDxfId="1046"/>
    <tableColumn id="29" xr3:uid="{2F7CF67E-EB1F-4C90-849B-150E9759B192}" name="strLongRoadStreak" dataDxfId="1045"/>
    <tableColumn id="30" xr3:uid="{D499D068-F6C9-431B-BB4C-B606EE2B80D1}" name="LongWinStreak" dataDxfId="1044"/>
    <tableColumn id="31" xr3:uid="{2EADB45F-5CAE-404D-8F24-1543F7B07D17}" name="LongLossStreak" dataDxfId="1043"/>
    <tableColumn id="32" xr3:uid="{3D3D124A-A9E1-4941-B9D1-FA3A63642D79}" name="CurrentHomeStreak" dataDxfId="1042"/>
    <tableColumn id="33" xr3:uid="{3E9FBBD1-FFAC-40D4-BDBA-0F34142423B4}" name="strCurrentHomeStreak" dataDxfId="1041"/>
    <tableColumn id="34" xr3:uid="{4756C57B-0789-4209-9811-C191037BD8FC}" name="CurrentRoadStreak" dataDxfId="1040"/>
    <tableColumn id="35" xr3:uid="{9CC9F721-6C95-4708-BAF5-2A085E8DE89E}" name="strCurrentRoadStreak" dataDxfId="1039"/>
    <tableColumn id="36" xr3:uid="{29A5CB1B-67D6-412B-8B28-8A735C52A322}" name="CurrentStreak" dataDxfId="1038"/>
    <tableColumn id="37" xr3:uid="{0528C3FA-43CF-4753-983D-03E1D775523E}" name="strCurrentStreak" dataDxfId="1037"/>
    <tableColumn id="38" xr3:uid="{40DC57B7-C138-4726-B4AF-AAD8D714203B}" name="ConferenceGamesBack" dataDxfId="1036"/>
    <tableColumn id="39" xr3:uid="{2911F7B4-C5DF-469A-8B78-C218684CFEB7}" name="DivisionGamesBack" dataDxfId="1035"/>
    <tableColumn id="40" xr3:uid="{C61D9381-0AF2-4130-8724-BCC95D6F1FF2}" name="ClinchedConferenceTitle" dataDxfId="1034"/>
    <tableColumn id="41" xr3:uid="{A7E71A63-A9B9-4C7E-B2E2-437F75B56C73}" name="ClinchedDivisionTitle" dataDxfId="1033"/>
    <tableColumn id="42" xr3:uid="{F25E5206-357D-4785-812D-FFA58755CDFD}" name="ClinchedPlayoffBirth" dataDxfId="1032"/>
    <tableColumn id="43" xr3:uid="{AF989C7A-6C4F-4069-B8B0-982A8A0B1F27}" name="EliminatedConference" dataDxfId="1031"/>
    <tableColumn id="44" xr3:uid="{0E715BC2-FDF0-4A1C-B888-83EC43B6D48F}" name="EliminatedDivision" dataDxfId="1030"/>
    <tableColumn id="45" xr3:uid="{C92D023F-ACE0-4145-BE9B-D9281694085B}" name="AheadAtHalf" dataDxfId="1029"/>
    <tableColumn id="46" xr3:uid="{A908F7E3-8CF4-433F-8696-EC2535B88B54}" name="BehindAtHalf" dataDxfId="1028"/>
    <tableColumn id="47" xr3:uid="{BD5C5A79-EAD8-41D4-9FE7-AE05CB22617B}" name="TiedAtHalf" dataDxfId="1027"/>
    <tableColumn id="48" xr3:uid="{08522133-614A-4F53-BF81-A6686F38662B}" name="AheadAtThird" dataDxfId="1026"/>
    <tableColumn id="49" xr3:uid="{9CF047D7-7A37-4BE9-9305-6ABC798E6C74}" name="BehindAtThird" dataDxfId="1025"/>
    <tableColumn id="50" xr3:uid="{3F7D2FCF-455B-4248-8D54-151BF5F020F6}" name="TiedAtThird" dataDxfId="1024"/>
    <tableColumn id="51" xr3:uid="{9F7A0734-7373-44D4-BF55-AF6DCECDB7ED}" name="Score100PTS" dataDxfId="1023"/>
    <tableColumn id="52" xr3:uid="{8024D3A2-8288-46D2-9C4B-F955207C167B}" name="OppScore100PTS" dataDxfId="1022"/>
    <tableColumn id="53" xr3:uid="{4E986857-EA02-4CAF-9CE2-37B6036126FA}" name="OppOver500" dataDxfId="1021"/>
    <tableColumn id="54" xr3:uid="{2C401181-4AC8-4EEF-B927-8F0304E2089A}" name="LeadInFGPCT" dataDxfId="1020"/>
    <tableColumn id="55" xr3:uid="{1BDDF1FC-D4F9-4C17-A7C6-B328FC322B9B}" name="LeadInReb" dataDxfId="1019"/>
    <tableColumn id="56" xr3:uid="{10D366B7-0106-414E-BE3A-EB2496C1561B}" name="FewerTurnovers" dataDxfId="1018"/>
    <tableColumn id="57" xr3:uid="{ECEE068B-ADFF-418A-ABBC-37707AA27A6C}" name="PointsPG" dataDxfId="1017"/>
    <tableColumn id="58" xr3:uid="{F908BA3E-831A-46EF-9E7E-80AF76B51BAB}" name="OppPointsPG" dataDxfId="1016"/>
    <tableColumn id="59" xr3:uid="{563A3839-0813-4837-B87A-24F920FA5148}" name="DiffPointsPG" dataDxfId="1015"/>
    <tableColumn id="60" xr3:uid="{AD78B310-206E-4968-AB41-54821B70283B}" name="vsEast" dataDxfId="1014"/>
    <tableColumn id="61" xr3:uid="{64D2F665-9287-4128-9971-BDC4A97FB74E}" name="vsAtlantic" dataDxfId="1013"/>
    <tableColumn id="62" xr3:uid="{0A5B8C84-15C7-401A-B506-9C32B0C24748}" name="vsCentral" dataDxfId="1012"/>
    <tableColumn id="63" xr3:uid="{FF5927FB-FF11-43DF-AE82-F3FFEE9DCE4C}" name="vsSoutheast" dataDxfId="1011"/>
    <tableColumn id="64" xr3:uid="{D951E485-7898-4FA9-86F2-A2B0701B3E7C}" name="vsWest" dataDxfId="1010"/>
    <tableColumn id="65" xr3:uid="{6B927CD8-34EA-4884-BCB3-43B63001330D}" name="vsNorthwest" dataDxfId="1009"/>
    <tableColumn id="66" xr3:uid="{3FD2FD0B-3890-41E2-A9BF-4D12FC4F3B42}" name="vsPacific" dataDxfId="1008"/>
    <tableColumn id="67" xr3:uid="{ADFF0AD9-1931-4235-8990-9CF43E2CAD61}" name="vsSouthwest" dataDxfId="1007"/>
    <tableColumn id="68" xr3:uid="{D67A2B23-038A-498E-9385-CF5A6D6AD619}" name="Jan" dataDxfId="1006"/>
    <tableColumn id="69" xr3:uid="{F0726A09-1C1D-48F2-B3D6-96DBF9D6DAF4}" name="Feb" dataDxfId="1005"/>
    <tableColumn id="70" xr3:uid="{4994FF7E-8B2B-4645-A657-AD2099D74AD1}" name="Mar" dataDxfId="1004"/>
    <tableColumn id="71" xr3:uid="{72DF0907-6DB9-4961-9464-A6B60F0D5801}" name="Apr" dataDxfId="1003"/>
    <tableColumn id="72" xr3:uid="{7CD3EC3F-6D5B-4F25-A424-337132B22A96}" name="May" dataDxfId="1002"/>
    <tableColumn id="73" xr3:uid="{885D4B6F-652B-48A1-A8AC-ADCD045E5BE5}" name="Jun" dataDxfId="1001"/>
    <tableColumn id="74" xr3:uid="{7EFDB6EA-07BC-42B2-A4F1-A645F28F4DDB}" name="Jul" dataDxfId="1000"/>
    <tableColumn id="75" xr3:uid="{0D801BD4-A36F-4B35-89E2-595A37ED94B9}" name="Aug" dataDxfId="999"/>
    <tableColumn id="76" xr3:uid="{BC609405-EE7D-450C-9A90-0AF85C4BF72C}" name="Sep" dataDxfId="998"/>
    <tableColumn id="77" xr3:uid="{A8104140-57F0-4DAF-AC9C-BB63B5E8316B}" name="Oct" dataDxfId="997"/>
    <tableColumn id="78" xr3:uid="{D7977BEB-7A08-4043-881E-C23ED3FFFF18}" name="Nov" dataDxfId="996"/>
    <tableColumn id="79" xr3:uid="{ED4A3A07-EA77-471C-9D47-C34A2D96963B}" name="Dec" dataDxfId="995"/>
    <tableColumn id="80" xr3:uid="{257999D9-EBFA-4BCD-8DD1-5869CB0F3AB3}" name="PreAS" dataDxfId="994"/>
    <tableColumn id="81" xr3:uid="{BCC8DBA4-1908-481A-8FC3-4A2835D3B5DC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FC27E4-97E1-44B0-ABD0-3D2BE6149AE6}" name="TableBaseN" displayName="TableBaseN" ref="A1:BD31" totalsRowShown="0" headerRowDxfId="853">
  <autoFilter ref="A1:BD31" xr:uid="{6CE081DA-D5A7-48B2-9CFA-3C8043337F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D9A13ED-3C21-463C-8FAF-606F10706F4D}" name="TEAM_ID" dataDxfId="909"/>
    <tableColumn id="2" xr3:uid="{CAF6F202-6E68-46C0-A6EB-80BCFD7A9703}" name="TEAM_NAME" dataDxfId="908"/>
    <tableColumn id="3" xr3:uid="{622CD7D6-1DC9-4F35-A101-E2DEAC63DD43}" name="GP" dataDxfId="907"/>
    <tableColumn id="4" xr3:uid="{0F85723B-06BA-4DC6-9264-3C0ACAB9647E}" name="W" dataDxfId="906"/>
    <tableColumn id="5" xr3:uid="{7DEC8CAC-7872-4F05-8217-1714667BD6B9}" name="L" dataDxfId="905"/>
    <tableColumn id="6" xr3:uid="{67A29954-FCA3-4597-BB9F-7B61D90BDA4B}" name="W_PCT" dataDxfId="904"/>
    <tableColumn id="7" xr3:uid="{61374D4A-A44D-4E5F-9926-96B2EF0EB952}" name="MIN" dataDxfId="903"/>
    <tableColumn id="8" xr3:uid="{9DDB9B57-BCD0-4C5E-ADA0-FD813816282F}" name="FGM" dataDxfId="902"/>
    <tableColumn id="9" xr3:uid="{D7176163-716D-4CCC-8951-833285E546AA}" name="FGA" dataDxfId="901"/>
    <tableColumn id="10" xr3:uid="{DA53BE7C-D041-4B3C-A0F4-89AB5AD87195}" name="FG_PCT" dataDxfId="900"/>
    <tableColumn id="11" xr3:uid="{EDBD0BBE-6D2A-428C-8CA0-558BD88FD60B}" name="FG3M" dataDxfId="899"/>
    <tableColumn id="12" xr3:uid="{FD2616C8-70A2-411C-A764-2672A41FAD0D}" name="FG3A" dataDxfId="898"/>
    <tableColumn id="13" xr3:uid="{A18F28D2-2883-4ABE-9215-9D69A23EF606}" name="FG3_PCT" dataDxfId="897"/>
    <tableColumn id="14" xr3:uid="{3391FB3F-2752-437A-95B6-43A8680FC6E1}" name="FTM" dataDxfId="896"/>
    <tableColumn id="15" xr3:uid="{19EBFB93-88C6-4797-AE5A-A2B416F61743}" name="FTA" dataDxfId="895"/>
    <tableColumn id="16" xr3:uid="{0C865CAE-B1EB-44F6-BDBC-B15E764C9CA8}" name="FT_PCT" dataDxfId="894"/>
    <tableColumn id="17" xr3:uid="{548FFC21-9454-4368-86FF-BBE9A5DE0A69}" name="OREB" dataDxfId="893"/>
    <tableColumn id="18" xr3:uid="{9E86991D-C338-4AF8-A98F-E3D42DD59E8C}" name="DREB" dataDxfId="892"/>
    <tableColumn id="19" xr3:uid="{FCF52DF3-3433-4E78-A286-0F2FFFA2732F}" name="REB" dataDxfId="891"/>
    <tableColumn id="20" xr3:uid="{C237C4B6-F218-4CB3-B70E-B205ADF13C9A}" name="AST" dataDxfId="890"/>
    <tableColumn id="21" xr3:uid="{2A70CA7E-D32A-44CC-AF34-6471D8CB55A6}" name="TOV" dataDxfId="889"/>
    <tableColumn id="22" xr3:uid="{C91E8464-23BC-40F5-BCA3-E68927AC3C76}" name="STL" dataDxfId="888"/>
    <tableColumn id="23" xr3:uid="{4CF80D62-48F9-457A-91BE-CF07F687AB92}" name="BLK" dataDxfId="887"/>
    <tableColumn id="24" xr3:uid="{B792CA86-A4E1-4898-B3E3-985FEA1663AC}" name="BLKA" dataDxfId="886"/>
    <tableColumn id="25" xr3:uid="{21B738E9-A36C-4731-BEE2-48F12ADABAD0}" name="PF" dataDxfId="885"/>
    <tableColumn id="26" xr3:uid="{FA48D3CA-C429-464C-9AB9-AB3B896B5360}" name="PFD" dataDxfId="884"/>
    <tableColumn id="27" xr3:uid="{B4FEE1B2-0744-42A5-AED7-CFE0F1CAFC48}" name="PTS" dataDxfId="883"/>
    <tableColumn id="28" xr3:uid="{7F53C0D6-B850-40FE-9A59-02F596EEC089}" name="PLUS_MINUS" dataDxfId="882"/>
    <tableColumn id="29" xr3:uid="{403BBC21-B9B9-49AA-B80B-C1E992013CF1}" name="GP_RANK" dataDxfId="881"/>
    <tableColumn id="30" xr3:uid="{6A07A1B4-B8A1-443B-9499-9374E6FD9F9E}" name="W_RANK" dataDxfId="880"/>
    <tableColumn id="31" xr3:uid="{537815D7-A956-4BB8-830C-2D49EC8DA779}" name="L_RANK" dataDxfId="879"/>
    <tableColumn id="32" xr3:uid="{2BEBFC38-B470-4F9F-9B0D-148D95AB9DCB}" name="W_PCT_RANK" dataDxfId="878"/>
    <tableColumn id="33" xr3:uid="{813A02CA-FF28-42F3-B42C-0D65BDED078E}" name="MIN_RANK" dataDxfId="877"/>
    <tableColumn id="34" xr3:uid="{4FD81E54-32D8-46DE-9A76-B5ED007602B7}" name="FGM_RANK" dataDxfId="876"/>
    <tableColumn id="35" xr3:uid="{9E751574-3851-4D7B-8E8F-FE9B911CAA6E}" name="FGA_RANK" dataDxfId="875"/>
    <tableColumn id="36" xr3:uid="{35C7D2E7-CCEB-41A6-B7C5-412402C32009}" name="FG_PCT_RANK" dataDxfId="874"/>
    <tableColumn id="37" xr3:uid="{3D6EB284-1FD4-4762-A14B-C0BB9942F8E7}" name="FG3M_RANK" dataDxfId="873"/>
    <tableColumn id="38" xr3:uid="{97AB4C08-76BE-4F17-80BF-FABD1ED5B9BC}" name="FG3A_RANK" dataDxfId="872"/>
    <tableColumn id="39" xr3:uid="{11BD1244-5D52-40EF-BE36-5AEC06BA883D}" name="FG3_PCT_RANK" dataDxfId="871"/>
    <tableColumn id="40" xr3:uid="{F013BEFA-C1A4-433F-818A-752904558FC2}" name="FTM_RANK" dataDxfId="870"/>
    <tableColumn id="41" xr3:uid="{9A06A520-8962-45B0-B096-6766DECAEAD8}" name="FTA_RANK" dataDxfId="869"/>
    <tableColumn id="42" xr3:uid="{CC8E811E-2D3D-4D5C-A3CD-859833386051}" name="FT_PCT_RANK" dataDxfId="868"/>
    <tableColumn id="43" xr3:uid="{BFBA8920-515C-46C7-B619-5133DFCAE59D}" name="OREB_RANK" dataDxfId="867"/>
    <tableColumn id="44" xr3:uid="{8B9777E3-E7EF-45F2-A7A4-0D0EEFE16F68}" name="DREB_RANK" dataDxfId="866"/>
    <tableColumn id="45" xr3:uid="{11DB6764-ADB6-4E12-BD52-D66705D1B7E0}" name="REB_RANK" dataDxfId="865"/>
    <tableColumn id="46" xr3:uid="{AD620F28-A6E3-4F00-8F44-B1632465FBE7}" name="AST_RANK" dataDxfId="864"/>
    <tableColumn id="47" xr3:uid="{BE38EF6F-6717-4493-8794-C653CC78FF6A}" name="TOV_RANK" dataDxfId="863"/>
    <tableColumn id="48" xr3:uid="{CEEAE33F-DA0A-4F53-8D7E-F9BD3758CF8C}" name="STL_RANK" dataDxfId="862"/>
    <tableColumn id="49" xr3:uid="{406B1CDE-34F2-4D97-95FB-80B427BEC8F6}" name="BLK_RANK" dataDxfId="861"/>
    <tableColumn id="50" xr3:uid="{39FD3DE9-8CED-4E32-BCC5-A507AB58592B}" name="BLKA_RANK" dataDxfId="860"/>
    <tableColumn id="51" xr3:uid="{EB582939-3978-44FA-8306-4F5B7B082D34}" name="PF_RANK" dataDxfId="859"/>
    <tableColumn id="52" xr3:uid="{FAF71893-9FC3-4765-BA65-32770DBFA902}" name="PFD_RANK" dataDxfId="858"/>
    <tableColumn id="53" xr3:uid="{28E2E717-4A8E-4C99-9B86-20F8E0C9F150}" name="PTS_RANK" dataDxfId="857"/>
    <tableColumn id="54" xr3:uid="{ABEFB054-E6B9-4FB7-A09D-05B2858C9B0A}" name="PLUS_MINUS_RANK" dataDxfId="856"/>
    <tableColumn id="55" xr3:uid="{C77B53D6-9159-4F2F-9EC6-2BEBD7332086}" name="CFID" dataDxfId="855"/>
    <tableColumn id="56" xr3:uid="{922EC084-9F49-471B-A9B8-5140665DF018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2B88665-3D19-409C-92DD-4252176AEAF9}" name="TableAdvancedN" displayName="TableAdvancedN" ref="A1:AV31" totalsRowShown="0" headerRowDxfId="747">
  <autoFilter ref="A1:AV31" xr:uid="{805B7D9A-C1C7-41D3-9986-7DFAE10EFA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BA906AE-7719-4B25-9CA0-7DF018DB9FC1}" name="TEAM_ID" dataDxfId="795"/>
    <tableColumn id="2" xr3:uid="{295E5D14-9239-4A98-B1C7-201C4F6BD226}" name="TEAM_NAME" dataDxfId="794"/>
    <tableColumn id="3" xr3:uid="{DE278891-3632-45EE-86CE-BE417DC4BBCB}" name="GP" dataDxfId="793"/>
    <tableColumn id="4" xr3:uid="{CAD599D8-18DE-4C58-8E35-91E0C27E7BEF}" name="W" dataDxfId="792"/>
    <tableColumn id="5" xr3:uid="{A00A4589-F784-4CB4-BCF9-F93AEDC19730}" name="L" dataDxfId="791"/>
    <tableColumn id="6" xr3:uid="{66FE30AB-51A4-4AC3-B964-338486DF8979}" name="W_PCT" dataDxfId="790"/>
    <tableColumn id="7" xr3:uid="{31365B04-0319-40DB-BDD2-E4F3B8D8A021}" name="MIN" dataDxfId="789"/>
    <tableColumn id="8" xr3:uid="{037F7732-F4D5-4BD0-879E-88FBC6A94C0D}" name="E_OFF_RATING" dataDxfId="788"/>
    <tableColumn id="9" xr3:uid="{572D0183-3E96-4682-A206-B94CE56FF845}" name="OFF_RATING" dataDxfId="787"/>
    <tableColumn id="10" xr3:uid="{8831DF7D-DA3A-4403-B249-90E2B3D464A5}" name="E_DEF_RATING" dataDxfId="786"/>
    <tableColumn id="11" xr3:uid="{D0DAD95D-67B2-40F1-98BF-E46B70E4C572}" name="DEF_RATING" dataDxfId="785"/>
    <tableColumn id="12" xr3:uid="{974F1C7F-06D0-49AF-809D-E1F09ED6CC75}" name="E_NET_RATING" dataDxfId="784"/>
    <tableColumn id="13" xr3:uid="{143E3191-FDF2-4167-8BC5-38A9C3B6BE4E}" name="NET_RATING" dataDxfId="783"/>
    <tableColumn id="14" xr3:uid="{A975657C-D765-4D5F-8FE2-E3A7F10580E2}" name="AST_PCT" dataDxfId="782"/>
    <tableColumn id="15" xr3:uid="{935ADC50-F4BB-429D-863B-273C52AE1738}" name="AST_TO" dataDxfId="781"/>
    <tableColumn id="16" xr3:uid="{CD5690D9-54A3-4180-BCE6-006A93DCCDFA}" name="AST_RATIO" dataDxfId="780"/>
    <tableColumn id="17" xr3:uid="{A10D9147-ACC2-4400-82BF-F13C0B37B45E}" name="OREB_PCT" dataDxfId="779"/>
    <tableColumn id="18" xr3:uid="{67B6BB76-687D-4F3B-87DE-12D4DFB35C53}" name="DREB_PCT" dataDxfId="778"/>
    <tableColumn id="19" xr3:uid="{8BB74897-00D3-4189-B9EB-57E8588B2E8F}" name="REB_PCT" dataDxfId="777"/>
    <tableColumn id="20" xr3:uid="{7F528D96-2EE5-4BC2-812C-6F8DD2A4CD1C}" name="TM_TOV_PCT" dataDxfId="776"/>
    <tableColumn id="21" xr3:uid="{7C2E12CE-7787-4605-979B-7D23C4213A52}" name="EFG_PCT" dataDxfId="775"/>
    <tableColumn id="22" xr3:uid="{B29AE770-895D-4786-BC9E-39A9442A441C}" name="TS_PCT" dataDxfId="774"/>
    <tableColumn id="23" xr3:uid="{4CE57591-D246-4E8D-AAD6-654264D164DB}" name="E_PACE" dataDxfId="773"/>
    <tableColumn id="24" xr3:uid="{E8835BA8-86AD-4170-8BAA-9662E1AA2488}" name="PACE" dataDxfId="772"/>
    <tableColumn id="25" xr3:uid="{4063E17D-4AC1-4F61-B307-8782B443548B}" name="PACE_PER40" dataDxfId="771"/>
    <tableColumn id="26" xr3:uid="{3A91438E-4579-48C9-BEA0-B6C043D71287}" name="POSS" dataDxfId="770"/>
    <tableColumn id="27" xr3:uid="{0C0AAA16-B63B-42C5-9341-1DE419A854F5}" name="PIE" dataDxfId="769"/>
    <tableColumn id="28" xr3:uid="{5B77FD76-04DD-40F0-8769-D2F7B1E1BA43}" name="GP_RANK" dataDxfId="768"/>
    <tableColumn id="29" xr3:uid="{226A9195-2489-4199-B30A-0D2A284AFD4A}" name="W_RANK" dataDxfId="767"/>
    <tableColumn id="30" xr3:uid="{72C25C20-F66A-44B0-9A0B-B5958AA8C273}" name="L_RANK" dataDxfId="766"/>
    <tableColumn id="31" xr3:uid="{2B627E3A-81AC-4D33-8B5C-0D4D6D53DA7C}" name="W_PCT_RANK" dataDxfId="765"/>
    <tableColumn id="32" xr3:uid="{7DE1BB7B-831E-4657-86B8-64C23BD5A238}" name="MIN_RANK" dataDxfId="764"/>
    <tableColumn id="33" xr3:uid="{70D5CC77-8FE7-42A7-AF11-43561579BAE1}" name="OFF_RATING_RANK" dataDxfId="763"/>
    <tableColumn id="34" xr3:uid="{645931A3-BF37-478E-B4A7-C0638712D9E5}" name="DEF_RATING_RANK" dataDxfId="762"/>
    <tableColumn id="35" xr3:uid="{1C795CFC-CDB6-483E-B4FF-2EA23B100176}" name="NET_RATING_RANK" dataDxfId="761"/>
    <tableColumn id="36" xr3:uid="{BDAD7F46-05A3-432B-90DA-A76BFD04591E}" name="AST_PCT_RANK" dataDxfId="760"/>
    <tableColumn id="37" xr3:uid="{E10C2295-5822-49D6-B2B5-50CAC01E2072}" name="AST_TO_RANK" dataDxfId="759"/>
    <tableColumn id="38" xr3:uid="{DA24DAEF-3C98-459D-8F9B-161FAC48B9FD}" name="AST_RATIO_RANK" dataDxfId="758"/>
    <tableColumn id="39" xr3:uid="{E494BE63-8242-4A05-B037-5A3F14B90A00}" name="OREB_PCT_RANK" dataDxfId="757"/>
    <tableColumn id="40" xr3:uid="{0FB83AF6-C80B-43BF-A3CA-390FB5DD9EE5}" name="DREB_PCT_RANK" dataDxfId="756"/>
    <tableColumn id="41" xr3:uid="{4BD506BE-F50F-4180-B653-9557ABC41446}" name="REB_PCT_RANK" dataDxfId="755"/>
    <tableColumn id="42" xr3:uid="{5835F160-CBB5-49B0-B010-D52FE08641B3}" name="TM_TOV_PCT_RANK" dataDxfId="754"/>
    <tableColumn id="43" xr3:uid="{20677C59-C102-4FF2-89E4-1F12C38243E4}" name="EFG_PCT_RANK" dataDxfId="753"/>
    <tableColumn id="44" xr3:uid="{82FDBF9C-8CBD-4AC4-ADB9-E308ADED95EC}" name="TS_PCT_RANK" dataDxfId="752"/>
    <tableColumn id="45" xr3:uid="{744071FF-B95D-4E69-A07E-A712AFEC3E87}" name="PACE_RANK" dataDxfId="751"/>
    <tableColumn id="46" xr3:uid="{BD24D34D-727B-4713-B063-0D4D755D948A}" name="PIE_RANK" dataDxfId="750"/>
    <tableColumn id="47" xr3:uid="{3A6C49F8-53A4-4BE4-B762-C771038346B4}" name="CFID" dataDxfId="749"/>
    <tableColumn id="48" xr3:uid="{1853AAF7-D967-4630-B1BC-625EE5268C7B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A3CCE70-82E0-4C2E-B4E0-D3992D9DBB04}" name="TableAdvancedNStarters" displayName="TableAdvancedNStarters" ref="A1:AV31" totalsRowShown="0" headerRowDxfId="649">
  <autoFilter ref="A1:AV31" xr:uid="{C5CF6A60-B879-458D-96E8-C7AF909E49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370CBD3-0FCF-4C18-81E5-B1A5E96C5302}" name="TEAM_ID" dataDxfId="697"/>
    <tableColumn id="2" xr3:uid="{8494452F-FDAA-4E28-8986-4F638A8E3C71}" name="TEAM_NAME" dataDxfId="696"/>
    <tableColumn id="3" xr3:uid="{0993A61A-78E7-49F8-80D8-20838B00078B}" name="GP" dataDxfId="695"/>
    <tableColumn id="4" xr3:uid="{D481434A-B33C-476F-ACE2-732D88E6DF22}" name="W" dataDxfId="694"/>
    <tableColumn id="5" xr3:uid="{DAC6160C-99E3-43E1-BF97-363AC15597B8}" name="L" dataDxfId="693"/>
    <tableColumn id="6" xr3:uid="{38FA204A-7671-4310-BB66-FC536060E01D}" name="W_PCT" dataDxfId="692"/>
    <tableColumn id="7" xr3:uid="{1818813C-EBB1-4A96-BAB4-4F9F192543E1}" name="MIN" dataDxfId="691"/>
    <tableColumn id="8" xr3:uid="{44A189A5-E2A0-41DC-905F-C886A883AE35}" name="E_OFF_RATING" dataDxfId="690"/>
    <tableColumn id="9" xr3:uid="{BC20A77E-3ED9-42C0-BFBB-5C674AF98AB8}" name="OFF_RATING" dataDxfId="689"/>
    <tableColumn id="10" xr3:uid="{530C3E19-D2A4-4E85-A677-6B7E4060EF06}" name="E_DEF_RATING" dataDxfId="688"/>
    <tableColumn id="11" xr3:uid="{8745B9F7-06DE-40FD-A8B1-C1280333131F}" name="DEF_RATING" dataDxfId="687"/>
    <tableColumn id="12" xr3:uid="{1BA8156A-BC99-45AC-A877-0E08BF58C773}" name="E_NET_RATING" dataDxfId="686"/>
    <tableColumn id="13" xr3:uid="{DCB280E7-9B0D-4500-B1BA-096A3421CDB6}" name="NET_RATING" dataDxfId="685"/>
    <tableColumn id="14" xr3:uid="{E11B88FF-AF99-45E4-98CE-E66EF81712A2}" name="AST_PCT" dataDxfId="684"/>
    <tableColumn id="15" xr3:uid="{B26848B0-3DD0-4D2D-AA8A-286BC192C5C1}" name="AST_TO" dataDxfId="683"/>
    <tableColumn id="16" xr3:uid="{43D00AC1-1D1B-4634-AF41-AB1D5F0AC5AA}" name="AST_RATIO" dataDxfId="682"/>
    <tableColumn id="17" xr3:uid="{43539513-C041-47CC-84D0-F5E4FDEC0DBB}" name="OREB_PCT" dataDxfId="681"/>
    <tableColumn id="18" xr3:uid="{369AAAB5-0301-458D-9599-7C7C1452948A}" name="DREB_PCT" dataDxfId="680"/>
    <tableColumn id="19" xr3:uid="{7D70CB8E-15FA-45FF-A928-4A8CCFECC60B}" name="REB_PCT" dataDxfId="679"/>
    <tableColumn id="20" xr3:uid="{EBAFBB27-91B1-4FA2-91FC-B5786126BA06}" name="TM_TOV_PCT" dataDxfId="678"/>
    <tableColumn id="21" xr3:uid="{D295CE96-D5D5-4624-AC3F-C22B4DAA03FD}" name="EFG_PCT" dataDxfId="677"/>
    <tableColumn id="22" xr3:uid="{0AC79E59-A0B3-41AE-8F87-A9C61D022711}" name="TS_PCT" dataDxfId="676"/>
    <tableColumn id="23" xr3:uid="{B23C4778-7A2C-452C-A310-A21F08F17880}" name="E_PACE" dataDxfId="675"/>
    <tableColumn id="24" xr3:uid="{2B428925-E486-47DC-8901-824F770D72F7}" name="PACE" dataDxfId="674"/>
    <tableColumn id="25" xr3:uid="{5E96C4AE-AC9D-4D5A-BD40-526C3DAD07C7}" name="PACE_PER40" dataDxfId="673"/>
    <tableColumn id="26" xr3:uid="{37D495DF-6045-4DCE-AF00-33DB4733719C}" name="POSS" dataDxfId="672"/>
    <tableColumn id="27" xr3:uid="{97329E60-EE9A-4D16-9C13-16FA534C273C}" name="PIE" dataDxfId="671"/>
    <tableColumn id="28" xr3:uid="{90B0CF8B-71C9-4419-B65B-97552D8B0F19}" name="GP_RANK" dataDxfId="670"/>
    <tableColumn id="29" xr3:uid="{1215F8C5-9DA3-47FD-AD6F-B0D203241ECF}" name="W_RANK" dataDxfId="669"/>
    <tableColumn id="30" xr3:uid="{C7DC69F0-567F-47A3-8A1A-7E9A9AFE813F}" name="L_RANK" dataDxfId="668"/>
    <tableColumn id="31" xr3:uid="{400B55CC-9356-4817-A6DA-90FD3F070E65}" name="W_PCT_RANK" dataDxfId="667"/>
    <tableColumn id="32" xr3:uid="{642AD6C4-896F-46E4-800D-3616011D01CA}" name="MIN_RANK" dataDxfId="666"/>
    <tableColumn id="33" xr3:uid="{630900A8-3D9A-4E1B-9AF5-E9224CD98A17}" name="OFF_RATING_RANK" dataDxfId="665"/>
    <tableColumn id="34" xr3:uid="{8FBB8576-BF91-4598-A447-8C6B3BE0AB05}" name="DEF_RATING_RANK" dataDxfId="664"/>
    <tableColumn id="35" xr3:uid="{2AC0EFFB-7D13-423A-821D-F1EF546181DE}" name="NET_RATING_RANK" dataDxfId="663"/>
    <tableColumn id="36" xr3:uid="{D9502BA1-C7A0-4ED2-ACD3-A068FACAF182}" name="AST_PCT_RANK" dataDxfId="662"/>
    <tableColumn id="37" xr3:uid="{61226CE3-02F6-4AA7-9CF5-ED3504F4F05B}" name="AST_TO_RANK" dataDxfId="661"/>
    <tableColumn id="38" xr3:uid="{F77AEF18-8835-4E63-A11D-7D4947E20CEA}" name="AST_RATIO_RANK" dataDxfId="660"/>
    <tableColumn id="39" xr3:uid="{0EB4B70D-EDEC-44BD-ADE9-F2FB93A3209C}" name="OREB_PCT_RANK" dataDxfId="659"/>
    <tableColumn id="40" xr3:uid="{B91F98A9-56B1-4618-8E82-42E4B0670049}" name="DREB_PCT_RANK" dataDxfId="658"/>
    <tableColumn id="41" xr3:uid="{FBEE2299-9FA3-48A2-A5BA-952F8C9B7808}" name="REB_PCT_RANK" dataDxfId="657"/>
    <tableColumn id="42" xr3:uid="{67A98767-B06D-4654-B621-C62B704F59F8}" name="TM_TOV_PCT_RANK" dataDxfId="656"/>
    <tableColumn id="43" xr3:uid="{BC195B2E-B681-465E-86A6-23FDEF79F982}" name="EFG_PCT_RANK" dataDxfId="655"/>
    <tableColumn id="44" xr3:uid="{EB924295-11B5-494E-A464-6B8D7AB164B9}" name="TS_PCT_RANK" dataDxfId="654"/>
    <tableColumn id="45" xr3:uid="{06695500-4515-46F0-8DF2-C8BCE0B9C5B1}" name="PACE_RANK" dataDxfId="653"/>
    <tableColumn id="46" xr3:uid="{E7F79EFB-BCAF-4FB0-8531-F07A9244BA99}" name="PIE_RANK" dataDxfId="652"/>
    <tableColumn id="47" xr3:uid="{D91CBDBE-26B9-4483-B101-979B8CE90213}" name="CFID" dataDxfId="651"/>
    <tableColumn id="48" xr3:uid="{3872C514-C2AA-46FB-88AB-DE3EDD5B9AEB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BD01919-B502-451B-A4BF-A98A94F4E926}" name="TableAdvancedNBench" displayName="TableAdvancedNBench" ref="A1:AV31" totalsRowShown="0" headerRowDxfId="551">
  <autoFilter ref="A1:AV31" xr:uid="{75865AE3-C978-4CEE-8E5A-110534EB7F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9D35FFD-C15D-47D1-B081-EAF9CE5BE2DF}" name="TEAM_ID" dataDxfId="599"/>
    <tableColumn id="2" xr3:uid="{A492AB7A-51F8-4A2A-969A-6C0E24AA4D36}" name="TEAM_NAME" dataDxfId="598"/>
    <tableColumn id="3" xr3:uid="{E49F1636-04FC-45E9-8D3E-976AAF31F7D5}" name="GP" dataDxfId="597"/>
    <tableColumn id="4" xr3:uid="{910C228A-6CD3-4795-A995-A7DDDE4750CF}" name="W" dataDxfId="596"/>
    <tableColumn id="5" xr3:uid="{647A4B19-42D7-42F5-A595-DE8815CB94C5}" name="L" dataDxfId="595"/>
    <tableColumn id="6" xr3:uid="{E345EDCE-BF54-4E2C-A590-9B21907B2937}" name="W_PCT" dataDxfId="594"/>
    <tableColumn id="7" xr3:uid="{0564A036-EEAF-4E85-BC7E-E716DF62F784}" name="MIN" dataDxfId="593"/>
    <tableColumn id="8" xr3:uid="{57E81800-9D90-4FFD-9643-7617506DDE6B}" name="E_OFF_RATING" dataDxfId="592"/>
    <tableColumn id="9" xr3:uid="{8344C65F-3A0F-44C1-B741-9F0C7F86BB52}" name="OFF_RATING" dataDxfId="591"/>
    <tableColumn id="10" xr3:uid="{F0AEE5F3-CEA2-4FF4-A131-B3E7349BBF27}" name="E_DEF_RATING" dataDxfId="590"/>
    <tableColumn id="11" xr3:uid="{81DFD909-072F-4EEA-8CF5-296E3C98E4D9}" name="DEF_RATING" dataDxfId="589"/>
    <tableColumn id="12" xr3:uid="{1ECBFC6B-6B3E-4708-AA4D-FAE05D2C9A29}" name="E_NET_RATING" dataDxfId="588"/>
    <tableColumn id="13" xr3:uid="{2D3F91C4-CFAF-44C3-A6A3-DA3D59E681BD}" name="NET_RATING" dataDxfId="587"/>
    <tableColumn id="14" xr3:uid="{9184AC51-4A07-45D2-940D-E62D77C84B9F}" name="AST_PCT" dataDxfId="586"/>
    <tableColumn id="15" xr3:uid="{C0D41C74-D3BF-49B3-8536-E2679C277023}" name="AST_TO" dataDxfId="585"/>
    <tableColumn id="16" xr3:uid="{9B52AA10-DC26-4C8B-96B1-87F8A0564AE7}" name="AST_RATIO" dataDxfId="584"/>
    <tableColumn id="17" xr3:uid="{43C18F58-488F-4B2D-A908-F7C3C05CA109}" name="OREB_PCT" dataDxfId="583"/>
    <tableColumn id="18" xr3:uid="{3FEA9D0E-D1FB-4C0A-A9F2-767C14AECC33}" name="DREB_PCT" dataDxfId="582"/>
    <tableColumn id="19" xr3:uid="{EB3E7560-9ED5-4455-BAEF-DD3D4036EAB5}" name="REB_PCT" dataDxfId="581"/>
    <tableColumn id="20" xr3:uid="{27E9D77A-CE7C-43AB-B681-90C02D7AAC75}" name="TM_TOV_PCT" dataDxfId="580"/>
    <tableColumn id="21" xr3:uid="{1B6747FE-8D93-47F7-B8B1-542B3A076304}" name="EFG_PCT" dataDxfId="579"/>
    <tableColumn id="22" xr3:uid="{BCD4310D-D0C2-47E9-9ABF-952C62BEA1AA}" name="TS_PCT" dataDxfId="578"/>
    <tableColumn id="23" xr3:uid="{C40CCEA4-C08B-41AA-93CB-97B9A154AC1B}" name="E_PACE" dataDxfId="577"/>
    <tableColumn id="24" xr3:uid="{70191950-C5B6-45EB-ACEC-BCF906717D5F}" name="PACE" dataDxfId="576"/>
    <tableColumn id="25" xr3:uid="{16876052-920B-401C-B6A5-4E644B9EEB00}" name="PACE_PER40" dataDxfId="575"/>
    <tableColumn id="26" xr3:uid="{6B3B57AD-E2B8-4334-B55E-681DEA383F3B}" name="POSS" dataDxfId="574"/>
    <tableColumn id="27" xr3:uid="{37A2F0ED-D63F-43B3-8DC3-95ECB1FBE7AF}" name="PIE" dataDxfId="573"/>
    <tableColumn id="28" xr3:uid="{1BCF81CF-1476-4391-A9E1-AF0EA7182B2B}" name="GP_RANK" dataDxfId="572"/>
    <tableColumn id="29" xr3:uid="{1BAB9C93-6EF7-422D-9336-B3400FC405BF}" name="W_RANK" dataDxfId="571"/>
    <tableColumn id="30" xr3:uid="{C58A5BD7-8D03-488A-8326-373ADAE456CB}" name="L_RANK" dataDxfId="570"/>
    <tableColumn id="31" xr3:uid="{FFB41E57-136A-4C5A-8300-6E10CA9ED079}" name="W_PCT_RANK" dataDxfId="569"/>
    <tableColumn id="32" xr3:uid="{6F207F71-25D2-4F1F-9755-1D3132893E71}" name="MIN_RANK" dataDxfId="568"/>
    <tableColumn id="33" xr3:uid="{0B03FA5D-1B51-4DE4-9F8B-06D52B000915}" name="OFF_RATING_RANK" dataDxfId="567"/>
    <tableColumn id="34" xr3:uid="{ED6EBA18-E5FA-4F42-A5A0-BC3ADAFD8F61}" name="DEF_RATING_RANK" dataDxfId="566"/>
    <tableColumn id="35" xr3:uid="{9CB8FEE5-F49A-46E4-A167-3063EBDCC120}" name="NET_RATING_RANK" dataDxfId="565"/>
    <tableColumn id="36" xr3:uid="{06958519-F616-4834-9EEA-4D3BCB9AE0F9}" name="AST_PCT_RANK" dataDxfId="564"/>
    <tableColumn id="37" xr3:uid="{3F3B8E40-54A9-4D61-B5D7-1161EC246822}" name="AST_TO_RANK" dataDxfId="563"/>
    <tableColumn id="38" xr3:uid="{A9151B76-0EC6-499F-84C9-C1082939BF3B}" name="AST_RATIO_RANK" dataDxfId="562"/>
    <tableColumn id="39" xr3:uid="{DB88D58A-5429-450A-AA50-A66AA63564A0}" name="OREB_PCT_RANK" dataDxfId="561"/>
    <tableColumn id="40" xr3:uid="{F9138426-CFD4-4DB9-8BCE-206A2EB3A500}" name="DREB_PCT_RANK" dataDxfId="560"/>
    <tableColumn id="41" xr3:uid="{A55ECF87-5B99-4361-81E0-A0282DACAAFD}" name="REB_PCT_RANK" dataDxfId="559"/>
    <tableColumn id="42" xr3:uid="{BB8166BF-AC54-472C-9E0D-6233A31D9B9F}" name="TM_TOV_PCT_RANK" dataDxfId="558"/>
    <tableColumn id="43" xr3:uid="{B888A4F1-E3A2-4724-ABF6-81A8F5D410B8}" name="EFG_PCT_RANK" dataDxfId="557"/>
    <tableColumn id="44" xr3:uid="{0062959A-DE91-4638-9282-1056895B7A28}" name="TS_PCT_RANK" dataDxfId="556"/>
    <tableColumn id="45" xr3:uid="{3BD66A1E-568F-4ED3-B09D-806C68C2F89C}" name="PACE_RANK" dataDxfId="555"/>
    <tableColumn id="46" xr3:uid="{42B9A515-CD44-48C9-A93F-947DF5F114CC}" name="PIE_RANK" dataDxfId="554"/>
    <tableColumn id="47" xr3:uid="{56D4005A-614D-4AAF-9103-C70F328559F7}" name="CFID" dataDxfId="553"/>
    <tableColumn id="48" xr3:uid="{951CE724-D426-48DA-BCE9-807BB743087F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D8DCA9E-8778-44E9-9951-846D027A6590}" name="TableMiscN" displayName="TableMiscN" ref="A1:AD31" totalsRowShown="0" headerRowDxfId="471">
  <autoFilter ref="A1:AD31" xr:uid="{C1522C33-427E-49E9-92CF-489AF35220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D2C1402-57D8-4218-864E-154BD5B2DC09}" name="TEAM_ID" dataDxfId="501"/>
    <tableColumn id="2" xr3:uid="{11261509-9B03-4040-B170-E2CB41788E7F}" name="TEAM_NAME" dataDxfId="500"/>
    <tableColumn id="3" xr3:uid="{2406A0D4-2DA1-44AA-BD18-E4F330DE0FCF}" name="GP" dataDxfId="499"/>
    <tableColumn id="4" xr3:uid="{434AA06D-1DBF-418F-B4EB-B5BB6C654F39}" name="W" dataDxfId="498"/>
    <tableColumn id="5" xr3:uid="{0F22822A-FF0C-4122-975B-27E5F1AE77B3}" name="L" dataDxfId="497"/>
    <tableColumn id="6" xr3:uid="{3073E7D0-9123-4D4B-9EFB-3D8289518DA7}" name="W_PCT" dataDxfId="496"/>
    <tableColumn id="7" xr3:uid="{5D0D211D-67D8-4BCA-A7AF-062237DEF921}" name="MIN" dataDxfId="495"/>
    <tableColumn id="8" xr3:uid="{594C3B50-5000-45A3-8883-89F9C15E4A39}" name="PTS_OFF_TOV" dataDxfId="494"/>
    <tableColumn id="9" xr3:uid="{01868360-68DC-4F07-A2FC-A04C6396AF91}" name="PTS_2ND_CHANCE" dataDxfId="493"/>
    <tableColumn id="10" xr3:uid="{870B6EF7-8320-44AC-A281-A68EC25F961D}" name="PTS_FB" dataDxfId="492"/>
    <tableColumn id="11" xr3:uid="{70190613-D03C-467C-BDB1-58CC094F21B3}" name="PTS_PAINT" dataDxfId="491"/>
    <tableColumn id="12" xr3:uid="{9BBAF662-357A-476E-825A-1B4C8DA119E4}" name="OPP_PTS_OFF_TOV" dataDxfId="490"/>
    <tableColumn id="13" xr3:uid="{1F6C5A78-E722-411F-BBE3-94EDD3ED47AB}" name="OPP_PTS_2ND_CHANCE" dataDxfId="489"/>
    <tableColumn id="14" xr3:uid="{A0C9EC8F-16D1-48A6-A430-B860A01E0309}" name="OPP_PTS_FB" dataDxfId="488"/>
    <tableColumn id="15" xr3:uid="{7DA17D99-12C7-45E7-995D-7B8D7922FD67}" name="OPP_PTS_PAINT" dataDxfId="487"/>
    <tableColumn id="16" xr3:uid="{89D03C1F-A95E-45DE-9451-A01F0C1F45E3}" name="GP_RANK" dataDxfId="486"/>
    <tableColumn id="17" xr3:uid="{8C7A0D14-78F0-4CDE-944E-0B59C5CF6186}" name="W_RANK" dataDxfId="485"/>
    <tableColumn id="18" xr3:uid="{458FC3A2-2B2A-4526-935F-91FCB2C1946A}" name="L_RANK" dataDxfId="484"/>
    <tableColumn id="19" xr3:uid="{8A5FAA17-82EE-46F9-B31B-5F5558DE3E3E}" name="W_PCT_RANK" dataDxfId="483"/>
    <tableColumn id="20" xr3:uid="{189000F7-4CEE-46A5-B63A-91EAAA02149A}" name="MIN_RANK" dataDxfId="482"/>
    <tableColumn id="21" xr3:uid="{D2D9CC88-5C36-4FAD-A5A6-43824D86AAF6}" name="PTS_OFF_TOV_RANK" dataDxfId="481"/>
    <tableColumn id="22" xr3:uid="{C322E901-EF51-42FE-8C7B-8AF1B0406E1B}" name="PTS_2ND_CHANCE_RANK" dataDxfId="480"/>
    <tableColumn id="23" xr3:uid="{52E500F3-A045-4E68-8237-575A430A03E4}" name="PTS_FB_RANK" dataDxfId="479"/>
    <tableColumn id="24" xr3:uid="{47C4ED3C-AE1B-4AF5-929A-3925D157AF47}" name="PTS_PAINT_RANK" dataDxfId="478"/>
    <tableColumn id="25" xr3:uid="{E73E6871-5D25-45C9-A049-73F2317B85E6}" name="OPP_PTS_OFF_TOV_RANK" dataDxfId="477"/>
    <tableColumn id="26" xr3:uid="{57FEB81D-5379-4E50-877E-F3139FF9B39C}" name="OPP_PTS_2ND_CHANCE_RANK" dataDxfId="476"/>
    <tableColumn id="27" xr3:uid="{7CDB2A71-B610-4338-A4DB-AC91E16BC85B}" name="OPP_PTS_FB_RANK" dataDxfId="475"/>
    <tableColumn id="28" xr3:uid="{BB4E2CD4-901A-469A-AB82-C7C7AA000C5D}" name="OPP_PTS_PAINT_RANK" dataDxfId="474"/>
    <tableColumn id="29" xr3:uid="{5D59A749-043D-4467-8191-3542F84DA1AE}" name="CFID" dataDxfId="473"/>
    <tableColumn id="30" xr3:uid="{EAFC921F-9614-4833-BB0F-8D142A201B18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022096-B70C-435F-9FB4-9DEB3DA09D39}" name="TableOppBaseN" displayName="TableOppBaseN" ref="A1:BD31" totalsRowShown="0" headerRowDxfId="383">
  <autoFilter ref="A1:BD31" xr:uid="{A075B5A1-92F2-4120-8DEA-B5714E96D8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43342B5-CA3E-4991-9F09-3A0F2586EAB7}" name="TEAM_ID" dataDxfId="439"/>
    <tableColumn id="2" xr3:uid="{D429B897-4A83-462F-87D4-FA55B215749C}" name="TEAM_NAME" dataDxfId="438"/>
    <tableColumn id="3" xr3:uid="{64DDBC7D-E0B5-4815-99CB-EFE095A0C5AF}" name="GP" dataDxfId="437"/>
    <tableColumn id="4" xr3:uid="{04F333B3-FA91-4C55-9385-5FAF4CAEB036}" name="W" dataDxfId="436"/>
    <tableColumn id="5" xr3:uid="{E20EF30A-31E0-42C7-809A-0D24E92641F6}" name="L" dataDxfId="435"/>
    <tableColumn id="6" xr3:uid="{F5B0BCE2-8628-4FD2-B9F9-BCE29AE93984}" name="W_PCT" dataDxfId="434"/>
    <tableColumn id="7" xr3:uid="{0FB7519F-F66C-43FA-8E37-7BEB09C0CFCD}" name="MIN" dataDxfId="433"/>
    <tableColumn id="8" xr3:uid="{427B9558-93FD-4F4A-A9FA-336ACA8D2A5A}" name="OPP_FGM" dataDxfId="432"/>
    <tableColumn id="9" xr3:uid="{A8F235EA-8158-49F3-A8E3-0A99DE6FAE9A}" name="OPP_FGA" dataDxfId="431"/>
    <tableColumn id="10" xr3:uid="{49469970-6676-4819-A5F1-8696F70C2004}" name="OPP_FG_PCT" dataDxfId="430"/>
    <tableColumn id="11" xr3:uid="{DDC998D6-E67B-40F5-8D63-55588C7DC0CA}" name="OPP_FG3M" dataDxfId="429"/>
    <tableColumn id="12" xr3:uid="{8047A185-32F4-4991-B42E-D43EB27627A5}" name="OPP_FG3A" dataDxfId="428"/>
    <tableColumn id="13" xr3:uid="{6224EFB3-0123-46AF-AF80-2E9996E15A1F}" name="OPP_FG3_PCT" dataDxfId="427"/>
    <tableColumn id="14" xr3:uid="{F0016D71-55D1-490A-9297-2E6DC3D3C327}" name="OPP_FTM" dataDxfId="426"/>
    <tableColumn id="15" xr3:uid="{FBD45EBB-7357-4963-BEF4-84FF7B22120C}" name="OPP_FTA" dataDxfId="425"/>
    <tableColumn id="16" xr3:uid="{81CBEC48-200C-4D4C-B6D5-27D7B516E879}" name="OPP_FT_PCT" dataDxfId="424"/>
    <tableColumn id="17" xr3:uid="{9C22F952-E560-4A92-98CA-9BC0BBE93B2F}" name="OPP_OREB" dataDxfId="423"/>
    <tableColumn id="18" xr3:uid="{72BB977E-19E7-4CB6-B795-0F7E50905BC8}" name="OPP_DREB" dataDxfId="422"/>
    <tableColumn id="19" xr3:uid="{71C3BE08-A9D0-4FEB-95E4-D46A6789381F}" name="OPP_REB" dataDxfId="421"/>
    <tableColumn id="20" xr3:uid="{2FF22841-82B8-4739-AD48-8AA8653EED2C}" name="OPP_AST" dataDxfId="420"/>
    <tableColumn id="21" xr3:uid="{5D26A8CC-86D9-4687-A31E-BCD0804AD11F}" name="OPP_TOV" dataDxfId="419"/>
    <tableColumn id="22" xr3:uid="{4E995968-6C67-4EA1-8E3B-1E6D9EF06FE6}" name="OPP_STL" dataDxfId="418"/>
    <tableColumn id="23" xr3:uid="{C18ECDF0-3A23-4BF1-9B9E-5CD2EEDA2D86}" name="OPP_BLK" dataDxfId="417"/>
    <tableColumn id="24" xr3:uid="{609B3572-238A-40D5-9844-3F48F4B232F9}" name="OPP_BLKA" dataDxfId="416"/>
    <tableColumn id="25" xr3:uid="{B5729724-F1B6-4EF2-8B26-E30ADA266552}" name="OPP_PF" dataDxfId="415"/>
    <tableColumn id="26" xr3:uid="{847BB7A6-6ADC-4EAF-AE41-F08864B31DAE}" name="OPP_PFD" dataDxfId="414"/>
    <tableColumn id="27" xr3:uid="{AE3455FC-70B9-4CC2-A1C1-814D67D7E421}" name="OPP_PTS" dataDxfId="413"/>
    <tableColumn id="28" xr3:uid="{214553C5-3957-4FF8-A900-3F76A9FEEDD6}" name="PLUS_MINUS" dataDxfId="412"/>
    <tableColumn id="29" xr3:uid="{98068D59-3082-419B-A4BA-F7D2FE2D513C}" name="GP_RANK" dataDxfId="411"/>
    <tableColumn id="30" xr3:uid="{CE3C612B-43B4-428A-8DF7-BD94E1BF4E25}" name="W_RANK" dataDxfId="410"/>
    <tableColumn id="31" xr3:uid="{4C14F703-90A5-4E62-B037-F7EBED761936}" name="L_RANK" dataDxfId="409"/>
    <tableColumn id="32" xr3:uid="{50AF3B1E-753B-4F9E-8FED-3E8B9EA18F68}" name="W_PCT_RANK" dataDxfId="408"/>
    <tableColumn id="33" xr3:uid="{F8359D3B-E0B1-4A5E-A864-DC98C5D4F56C}" name="MIN_RANK" dataDxfId="407"/>
    <tableColumn id="34" xr3:uid="{4FE18643-E72D-4F41-85E1-39723F72A079}" name="OPP_FGM_RANK" dataDxfId="406"/>
    <tableColumn id="35" xr3:uid="{0BD3F15F-3FF9-46CC-AAC8-AE3C38CE2996}" name="OPP_FGA_RANK" dataDxfId="405"/>
    <tableColumn id="36" xr3:uid="{FC6C098B-6B74-49E0-8CC2-C4F16DA3CC43}" name="OPP_FG_PCT_RANK" dataDxfId="404"/>
    <tableColumn id="37" xr3:uid="{51CA8B61-9D13-4F70-9C88-2461663110D8}" name="OPP_FG3M_RANK" dataDxfId="403"/>
    <tableColumn id="38" xr3:uid="{710B7726-0F79-4361-85D1-A98A785398B1}" name="OPP_FG3A_RANK" dataDxfId="402"/>
    <tableColumn id="39" xr3:uid="{C3FAA4AB-4C13-446C-A9E3-DB99F3950CF4}" name="OPP_FG3_PCT_RANK" dataDxfId="401"/>
    <tableColumn id="40" xr3:uid="{8B794C56-BFEB-458D-9A9A-A3F1B771D2A5}" name="OPP_FTM_RANK" dataDxfId="400"/>
    <tableColumn id="41" xr3:uid="{CC9B2420-DF5E-4F0A-821C-BE9CDD2C43C0}" name="OPP_FTA_RANK" dataDxfId="399"/>
    <tableColumn id="42" xr3:uid="{9009ABF1-30B9-4699-B3F3-D745E818AC8A}" name="OPP_FT_PCT_RANK" dataDxfId="398"/>
    <tableColumn id="43" xr3:uid="{A1C80544-1051-4871-BCA1-5F3F27D4A2C7}" name="OPP_OREB_RANK" dataDxfId="397"/>
    <tableColumn id="44" xr3:uid="{84BB9AD3-1460-4766-8D85-DD0F13C13B32}" name="OPP_DREB_RANK" dataDxfId="396"/>
    <tableColumn id="45" xr3:uid="{16380F5A-0060-438A-8219-357E76CF061B}" name="OPP_REB_RANK" dataDxfId="395"/>
    <tableColumn id="46" xr3:uid="{EAD440F9-2597-48CD-B1D4-D4A222FBFCED}" name="OPP_AST_RANK" dataDxfId="394"/>
    <tableColumn id="47" xr3:uid="{7C7C834C-A16E-4E11-8800-07B83AC413E9}" name="OPP_TOV_RANK" dataDxfId="393"/>
    <tableColumn id="48" xr3:uid="{499F11DD-5D0F-4CD7-ABDB-163B15778A33}" name="OPP_STL_RANK" dataDxfId="392"/>
    <tableColumn id="49" xr3:uid="{E30E3239-D134-423A-971B-85260EEAE72A}" name="OPP_BLK_RANK" dataDxfId="391"/>
    <tableColumn id="50" xr3:uid="{06914852-BFD7-4F7C-9862-5C6437D6A9BE}" name="OPP_BLKA_RANK" dataDxfId="390"/>
    <tableColumn id="51" xr3:uid="{3D2C7C2F-0F65-4492-9B3E-91F687DF6AAE}" name="OPP_PF_RANK" dataDxfId="389"/>
    <tableColumn id="52" xr3:uid="{D5E9857C-9E19-44D6-97D0-B6F12C0E2D28}" name="OPP_PFD_RANK" dataDxfId="388"/>
    <tableColumn id="53" xr3:uid="{EB33B277-3141-4A1C-9DB8-D3E2BA303010}" name="OPP_PTS_RANK" dataDxfId="387"/>
    <tableColumn id="54" xr3:uid="{6FEDBDF1-7A47-4F56-91E6-7A5AB630DA20}" name="PLUS_MINUS_RANK" dataDxfId="386"/>
    <tableColumn id="55" xr3:uid="{81A10011-0F2C-44C9-9CC7-92020179BA03}" name="CFID" dataDxfId="385"/>
    <tableColumn id="56" xr3:uid="{9E0497A8-FE4F-4E14-A76F-E373481F09CB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BA155F7-0CA8-4BFD-920E-3E8C23D69242}" name="TableClutchBaseN" displayName="TableClutchBaseN" ref="A1:BD31" totalsRowShown="0" headerRowDxfId="269">
  <autoFilter ref="A1:BD31" xr:uid="{FACE3713-2DF7-4782-AA44-179118D7516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EB19EBE-66C9-4F83-B0A3-5D656F943F12}" name="TEAM_ID" dataDxfId="325"/>
    <tableColumn id="2" xr3:uid="{48B5AD52-3515-4CB3-8B6C-154431594C66}" name="TEAM_NAME" dataDxfId="324"/>
    <tableColumn id="3" xr3:uid="{61373BD0-2F58-4BF8-A4B8-00DC35E47E6E}" name="GP" dataDxfId="323"/>
    <tableColumn id="4" xr3:uid="{FD400436-97E0-4DF9-BC15-87396EB872C6}" name="W" dataDxfId="322"/>
    <tableColumn id="5" xr3:uid="{06301535-C39C-40F8-848C-D1F4EC08D718}" name="L" dataDxfId="321"/>
    <tableColumn id="6" xr3:uid="{7F6714EA-7C2B-4A38-B67F-2AE6C611C24D}" name="W_PCT" dataDxfId="320"/>
    <tableColumn id="7" xr3:uid="{6A72FD85-8982-489D-8793-4640960B96D5}" name="MIN" dataDxfId="319"/>
    <tableColumn id="8" xr3:uid="{FD955AEB-91BC-4D67-924D-78003BF4FDAB}" name="FGM" dataDxfId="318"/>
    <tableColumn id="9" xr3:uid="{540B3391-2C5A-4693-8B32-5FA82BAA94A7}" name="FGA" dataDxfId="317"/>
    <tableColumn id="10" xr3:uid="{3B519DAC-B75D-460B-8C8A-E26B83A222C7}" name="FG_PCT" dataDxfId="316"/>
    <tableColumn id="11" xr3:uid="{5842D9EC-4233-4C70-83A0-D7D2546841F1}" name="FG3M" dataDxfId="315"/>
    <tableColumn id="12" xr3:uid="{086611A5-5268-4F23-98DD-4F20D627CFCB}" name="FG3A" dataDxfId="314"/>
    <tableColumn id="13" xr3:uid="{26963A45-8CCB-4A22-8841-7CBAFB6AC96B}" name="FG3_PCT" dataDxfId="313"/>
    <tableColumn id="14" xr3:uid="{29C7D4F4-D61F-4EE7-BB33-7B6BDF5E14CD}" name="FTM" dataDxfId="312"/>
    <tableColumn id="15" xr3:uid="{B4578F1C-490C-4B01-9AAA-04CF2D6C4D41}" name="FTA" dataDxfId="311"/>
    <tableColumn id="16" xr3:uid="{6640EDF8-D5BA-4088-9BA2-FD38F70F1426}" name="FT_PCT" dataDxfId="310"/>
    <tableColumn id="17" xr3:uid="{387192E6-2E8A-4EB1-924B-3CAA8398D2B6}" name="OREB" dataDxfId="309"/>
    <tableColumn id="18" xr3:uid="{AA65FAA9-21DC-4C30-B0D8-2610723DCD2F}" name="DREB" dataDxfId="308"/>
    <tableColumn id="19" xr3:uid="{E2A08418-A33C-41E6-BC0F-B3B9D4C6EFF3}" name="REB" dataDxfId="307"/>
    <tableColumn id="20" xr3:uid="{05F3514C-AB21-43DD-A0AD-A75D6A6E851A}" name="AST" dataDxfId="306"/>
    <tableColumn id="21" xr3:uid="{6FE045F3-B7B2-439A-B93C-F803D8E490F5}" name="TOV" dataDxfId="305"/>
    <tableColumn id="22" xr3:uid="{774A1651-151D-4680-B0F8-1DACE150157D}" name="STL" dataDxfId="304"/>
    <tableColumn id="23" xr3:uid="{EE2816AA-ECED-4C85-B7A2-822526DC3451}" name="BLK" dataDxfId="303"/>
    <tableColumn id="24" xr3:uid="{FCA5BBE6-55AE-4BE8-9FE2-74EDA47341D3}" name="BLKA" dataDxfId="302"/>
    <tableColumn id="25" xr3:uid="{E3C8E913-BE83-4712-8E9F-9295711A4C5E}" name="PF" dataDxfId="301"/>
    <tableColumn id="26" xr3:uid="{885251F4-059C-4BA3-8456-6C92A12E830C}" name="PFD" dataDxfId="300"/>
    <tableColumn id="27" xr3:uid="{6A582B41-F96C-4E67-9734-BE7E2B5AFA62}" name="PTS" dataDxfId="299"/>
    <tableColumn id="28" xr3:uid="{40A858E7-9310-4E7D-BDCF-CC6AAF3C5309}" name="PLUS_MINUS" dataDxfId="298"/>
    <tableColumn id="29" xr3:uid="{6A466B87-B435-4305-B264-AEB589DD6E34}" name="GP_RANK" dataDxfId="297"/>
    <tableColumn id="30" xr3:uid="{EAA3295F-311E-4870-8510-223B22D2A153}" name="W_RANK" dataDxfId="296"/>
    <tableColumn id="31" xr3:uid="{EAE4760E-B41B-4047-982D-BDFE96464100}" name="L_RANK" dataDxfId="295"/>
    <tableColumn id="32" xr3:uid="{83D3E9BF-3632-4B3E-AB4F-6D4E17B54AF2}" name="W_PCT_RANK" dataDxfId="294"/>
    <tableColumn id="33" xr3:uid="{40C144FE-9B21-4D59-BFB0-AD5E41C95B49}" name="MIN_RANK" dataDxfId="293"/>
    <tableColumn id="34" xr3:uid="{81A594BF-8DDF-4BE5-86CA-E592250C7771}" name="FGM_RANK" dataDxfId="292"/>
    <tableColumn id="35" xr3:uid="{942A4CAC-AB3B-4C03-BE2F-C88BB5409932}" name="FGA_RANK" dataDxfId="291"/>
    <tableColumn id="36" xr3:uid="{A86622FE-5190-4EEF-8B16-96FA5B5F2373}" name="FG_PCT_RANK" dataDxfId="290"/>
    <tableColumn id="37" xr3:uid="{816267AF-1D87-47AD-9FC8-CB5DAB992DBC}" name="FG3M_RANK" dataDxfId="289"/>
    <tableColumn id="38" xr3:uid="{78C1D081-109E-4C28-94C0-C83632D74DBC}" name="FG3A_RANK" dataDxfId="288"/>
    <tableColumn id="39" xr3:uid="{DB3A4F5F-464F-4FA6-90A6-D4641C495F36}" name="FG3_PCT_RANK" dataDxfId="287"/>
    <tableColumn id="40" xr3:uid="{7EAE5629-8720-4B7A-B192-A35F0AAF30CF}" name="FTM_RANK" dataDxfId="286"/>
    <tableColumn id="41" xr3:uid="{9DE09C0E-DE0F-4275-BB3A-B4FF7267FAEC}" name="FTA_RANK" dataDxfId="285"/>
    <tableColumn id="42" xr3:uid="{A7A6A9CE-BD94-4CBF-98EE-51EA91D79756}" name="FT_PCT_RANK" dataDxfId="284"/>
    <tableColumn id="43" xr3:uid="{31CB26AB-B1C5-48F3-9B19-34AD88EFDA67}" name="OREB_RANK" dataDxfId="283"/>
    <tableColumn id="44" xr3:uid="{E313FAFB-D168-49C2-8E23-DBCCF9E3C2B6}" name="DREB_RANK" dataDxfId="282"/>
    <tableColumn id="45" xr3:uid="{DE263157-4157-4987-8154-6B3D99A89386}" name="REB_RANK" dataDxfId="281"/>
    <tableColumn id="46" xr3:uid="{513DD411-3CD7-4EB1-8F1B-A3CA7E9C1618}" name="AST_RANK" dataDxfId="280"/>
    <tableColumn id="47" xr3:uid="{4FA64355-C33B-4A71-979F-A91FC2E3B00F}" name="TOV_RANK" dataDxfId="279"/>
    <tableColumn id="48" xr3:uid="{CE160BCA-4136-43CC-830E-CEE24367D624}" name="STL_RANK" dataDxfId="278"/>
    <tableColumn id="49" xr3:uid="{68F064E5-A57E-4A70-9756-C8E2AF35DC61}" name="BLK_RANK" dataDxfId="277"/>
    <tableColumn id="50" xr3:uid="{D273E286-336D-42E8-8734-2F730F06306A}" name="BLKA_RANK" dataDxfId="276"/>
    <tableColumn id="51" xr3:uid="{5B3C4084-3E1A-4EC5-98D6-A377103AD34E}" name="PF_RANK" dataDxfId="275"/>
    <tableColumn id="52" xr3:uid="{4B19944C-6A4C-433A-8DE5-D619BBE3F2C1}" name="PFD_RANK" dataDxfId="274"/>
    <tableColumn id="53" xr3:uid="{A8BFA692-F2A2-49B4-A4D7-3720BED3A15C}" name="PTS_RANK" dataDxfId="273"/>
    <tableColumn id="54" xr3:uid="{33CD2021-1BFD-40FE-B3D1-F77F051FFD22}" name="PLUS_MINUS_RANK" dataDxfId="272"/>
    <tableColumn id="55" xr3:uid="{7714CB7C-B6FC-4FB8-9E3C-D5568FE7AAF4}" name="CFID" dataDxfId="271"/>
    <tableColumn id="56" xr3:uid="{D0151F91-3F7B-4304-A40E-2CD2618B5E98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552339B-ABF1-4C96-AFD3-B1A6D40E1996}" name="TableClutchOpponentN" displayName="TableClutchOpponentN" ref="A1:BD31" totalsRowShown="0" headerRowDxfId="155">
  <autoFilter ref="A1:BD31" xr:uid="{FA89AEAB-B476-4F92-AE3B-E5DBC9E68E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DE44DF4-E677-491F-850C-AFD7C6F04386}" name="TEAM_ID" dataDxfId="211"/>
    <tableColumn id="2" xr3:uid="{E344E62C-C54A-4960-9501-4028FD28610F}" name="TEAM_NAME" dataDxfId="210"/>
    <tableColumn id="3" xr3:uid="{2BE7BEE1-BF32-4850-ACB7-014673C40EC1}" name="GP" dataDxfId="209"/>
    <tableColumn id="4" xr3:uid="{330B7B8F-CDAA-425A-8673-47838110C332}" name="W" dataDxfId="208"/>
    <tableColumn id="5" xr3:uid="{3A79308D-18D2-419F-9045-ECD397E0362A}" name="L" dataDxfId="207"/>
    <tableColumn id="6" xr3:uid="{65450CFE-FC34-4026-9F5F-0BED4BB93C4B}" name="W_PCT" dataDxfId="206"/>
    <tableColumn id="7" xr3:uid="{DA6C22D1-330F-4175-8C92-3C94AEBF0100}" name="MIN" dataDxfId="205"/>
    <tableColumn id="8" xr3:uid="{344BF12D-9E6E-4153-B824-190D5E4336B8}" name="OPP_FGM" dataDxfId="204"/>
    <tableColumn id="9" xr3:uid="{A7449866-3F4F-4AA4-BB1C-3F0C66865B4A}" name="OPP_FGA" dataDxfId="203"/>
    <tableColumn id="10" xr3:uid="{93503619-711F-4CDA-9EE8-B2529FC35440}" name="OPP_FG_PCT" dataDxfId="202"/>
    <tableColumn id="11" xr3:uid="{F4BB3200-8B0D-4E3C-A72A-1399A797262E}" name="OPP_FG3M" dataDxfId="201"/>
    <tableColumn id="12" xr3:uid="{62B21166-452A-4055-8045-A11035B56701}" name="OPP_FG3A" dataDxfId="200"/>
    <tableColumn id="13" xr3:uid="{404AC9A9-14C9-4273-9B36-641E393B88B9}" name="OPP_FG3_PCT" dataDxfId="199"/>
    <tableColumn id="14" xr3:uid="{D9E67711-6F39-441F-89ED-A1C6AA4EC12F}" name="OPP_FTM" dataDxfId="198"/>
    <tableColumn id="15" xr3:uid="{DC1F2199-3A6B-4535-A7EA-7D12E9242AE3}" name="OPP_FTA" dataDxfId="197"/>
    <tableColumn id="16" xr3:uid="{C94AB030-62C1-411C-990F-A3CC9B7B3121}" name="OPP_FT_PCT" dataDxfId="196"/>
    <tableColumn id="17" xr3:uid="{A6E8FB8A-F683-4129-9A43-B5B51EC5B7BF}" name="OPP_OREB" dataDxfId="195"/>
    <tableColumn id="18" xr3:uid="{8B906346-56CF-4D5C-80C1-1BBE235A0035}" name="OPP_DREB" dataDxfId="194"/>
    <tableColumn id="19" xr3:uid="{9354F6DA-224A-4848-934C-CB80A2111125}" name="OPP_REB" dataDxfId="193"/>
    <tableColumn id="20" xr3:uid="{20C0210C-128B-42F2-A199-E3F894B54332}" name="OPP_AST" dataDxfId="192"/>
    <tableColumn id="21" xr3:uid="{CD1BD660-8D16-49A2-918E-FDB225B56DCC}" name="OPP_TOV" dataDxfId="191"/>
    <tableColumn id="22" xr3:uid="{B8188B17-D562-4279-ACF7-11ED21FF78FC}" name="OPP_STL" dataDxfId="190"/>
    <tableColumn id="23" xr3:uid="{E300E4F2-A7A6-4076-8D47-024401DBCB87}" name="OPP_BLK" dataDxfId="189"/>
    <tableColumn id="24" xr3:uid="{EB69E054-2384-4DD3-B3B5-4693D36C94F0}" name="OPP_BLKA" dataDxfId="188"/>
    <tableColumn id="25" xr3:uid="{87866640-3FDA-4297-9ADE-0ECAA2DA8716}" name="OPP_PF" dataDxfId="187"/>
    <tableColumn id="26" xr3:uid="{1570D0C5-D056-4B6A-A596-20E2A4B0BE41}" name="OPP_PFD" dataDxfId="186"/>
    <tableColumn id="27" xr3:uid="{645A0A9B-9469-4984-A229-2046F6F45AF5}" name="OPP_PTS" dataDxfId="185"/>
    <tableColumn id="28" xr3:uid="{D3D6C1CC-A56C-419A-9F8C-1500F5B81108}" name="PLUS_MINUS" dataDxfId="184"/>
    <tableColumn id="29" xr3:uid="{2526820C-B2C0-4AF0-B195-292C168222F3}" name="GP_RANK" dataDxfId="183"/>
    <tableColumn id="30" xr3:uid="{6415B47B-2A16-48EC-99F5-2E02B739137C}" name="W_RANK" dataDxfId="182"/>
    <tableColumn id="31" xr3:uid="{1D288EA3-4C4E-4AC2-8624-A7469F7A9B96}" name="L_RANK" dataDxfId="181"/>
    <tableColumn id="32" xr3:uid="{AD606DB8-99B2-46E4-BBED-D08946EBDC03}" name="W_PCT_RANK" dataDxfId="180"/>
    <tableColumn id="33" xr3:uid="{4B8E2924-F7BD-419A-BDB9-213416201B59}" name="MIN_RANK" dataDxfId="179"/>
    <tableColumn id="34" xr3:uid="{8EF08AFF-3880-48F0-98CF-05CF0319F0B8}" name="OPP_FGM_RANK" dataDxfId="178"/>
    <tableColumn id="35" xr3:uid="{78EAA2E4-58D2-4C39-837F-7F56CBA25B51}" name="OPP_FGA_RANK" dataDxfId="177"/>
    <tableColumn id="36" xr3:uid="{AFC05462-2CB3-4972-83A3-B3F1BE4D82DE}" name="OPP_FG_PCT_RANK" dataDxfId="176"/>
    <tableColumn id="37" xr3:uid="{279A6998-E53A-455B-968F-D8D8762C8A1B}" name="OPP_FG3M_RANK" dataDxfId="175"/>
    <tableColumn id="38" xr3:uid="{FC6F1A48-74CE-4DB9-A9F9-BBFF8DE665AD}" name="OPP_FG3A_RANK" dataDxfId="174"/>
    <tableColumn id="39" xr3:uid="{E914A973-F6AA-470C-A8A3-136748699802}" name="OPP_FG3_PCT_RANK" dataDxfId="173"/>
    <tableColumn id="40" xr3:uid="{91BE8DE7-57C3-44F1-9140-9EE62DC72CFA}" name="OPP_FTM_RANK" dataDxfId="172"/>
    <tableColumn id="41" xr3:uid="{7286FAF5-F9B1-4F81-A657-9AB00D4036A8}" name="OPP_FTA_RANK" dataDxfId="171"/>
    <tableColumn id="42" xr3:uid="{9CD19A49-0B9F-44E9-AEB6-5742D0CDF9FB}" name="OPP_FT_PCT_RANK" dataDxfId="170"/>
    <tableColumn id="43" xr3:uid="{9E900478-5BFB-415B-800F-FA41CA52454B}" name="OPP_OREB_RANK" dataDxfId="169"/>
    <tableColumn id="44" xr3:uid="{4CBA83D8-C67B-494E-8BB9-563DD54584E7}" name="OPP_DREB_RANK" dataDxfId="168"/>
    <tableColumn id="45" xr3:uid="{5419F7F9-2657-40D9-A233-FD10210D9721}" name="OPP_REB_RANK" dataDxfId="167"/>
    <tableColumn id="46" xr3:uid="{8CA18741-EADC-479C-AE03-0D00AAC9089B}" name="OPP_AST_RANK" dataDxfId="166"/>
    <tableColumn id="47" xr3:uid="{165904B3-BCC7-4ACE-B586-60F538478138}" name="OPP_TOV_RANK" dataDxfId="165"/>
    <tableColumn id="48" xr3:uid="{8754331F-9BE6-438A-9897-3FC6F5B34E84}" name="OPP_STL_RANK" dataDxfId="164"/>
    <tableColumn id="49" xr3:uid="{C0E6C04D-3314-47B3-91D3-5693B27111B6}" name="OPP_BLK_RANK" dataDxfId="163"/>
    <tableColumn id="50" xr3:uid="{7CDF6E20-8982-49DE-9C04-E0EF3A2C98F7}" name="OPP_BLKA_RANK" dataDxfId="162"/>
    <tableColumn id="51" xr3:uid="{9D8E8782-42E9-46FA-9663-51DBA166ECC1}" name="OPP_PF_RANK" dataDxfId="161"/>
    <tableColumn id="52" xr3:uid="{5A9312D0-ED98-44AC-84AF-650D61114036}" name="OPP_PFD_RANK" dataDxfId="160"/>
    <tableColumn id="53" xr3:uid="{81846491-CD3A-45D0-AAC8-DF42E25A633B}" name="OPP_PTS_RANK" dataDxfId="159"/>
    <tableColumn id="54" xr3:uid="{A4A71F6F-9673-4467-B3B5-62DEB338C1E5}" name="PLUS_MINUS_RANK" dataDxfId="158"/>
    <tableColumn id="55" xr3:uid="{CE01F038-2D99-4E7B-87F9-E4DAECFC4E1D}" name="CFID" dataDxfId="157"/>
    <tableColumn id="56" xr3:uid="{6E98F3A7-BB14-4A6C-BA62-5BD1859D9137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3ED4F7-9623-46F7-A691-F78732D116B2}" name="TableClutchAdvancedN" displayName="TableClutchAdvancedN" ref="A1:AV31" totalsRowShown="0" headerRowDxfId="49">
  <autoFilter ref="A1:AV31" xr:uid="{5A409634-396B-47D9-B681-4D106B7B0F8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992A681-0DA7-447B-95CF-E9FCF8CDB128}" name="TEAM_ID" dataDxfId="97"/>
    <tableColumn id="2" xr3:uid="{D633D7AC-D5C5-43D6-B996-9664A3B978F2}" name="TEAM_NAME" dataDxfId="96"/>
    <tableColumn id="3" xr3:uid="{54F91391-A65C-4B9F-8D26-A7BBC057C4E6}" name="GP" dataDxfId="95"/>
    <tableColumn id="4" xr3:uid="{14C5B1C6-7043-4C4D-8E61-5B43E417D3DF}" name="W" dataDxfId="94"/>
    <tableColumn id="5" xr3:uid="{0602017E-2A83-4C15-B40B-6436F2C2A446}" name="L" dataDxfId="93"/>
    <tableColumn id="6" xr3:uid="{A0013323-B637-4DF4-81D2-8D44FA75EF1B}" name="W_PCT" dataDxfId="92"/>
    <tableColumn id="7" xr3:uid="{B750B8CE-A71D-4185-98B9-85594C9197E0}" name="MIN" dataDxfId="91"/>
    <tableColumn id="8" xr3:uid="{3345AF30-C044-4D7B-97EC-88FEED60636B}" name="E_OFF_RATING" dataDxfId="90"/>
    <tableColumn id="9" xr3:uid="{9ACEB732-8D43-4023-9B58-1D21617BBB60}" name="OFF_RATING" dataDxfId="89"/>
    <tableColumn id="10" xr3:uid="{39BAEEB4-F3CA-4E58-BCB2-02B2445D4E0E}" name="E_DEF_RATING" dataDxfId="88"/>
    <tableColumn id="11" xr3:uid="{35321F92-85E1-4E96-905E-C1009EA5196A}" name="DEF_RATING" dataDxfId="87"/>
    <tableColumn id="12" xr3:uid="{F52630ED-3078-4270-ABFB-8DE61A31AA8E}" name="E_NET_RATING" dataDxfId="86"/>
    <tableColumn id="13" xr3:uid="{4E998EDF-40C9-4982-B316-BF40EA9B0DEB}" name="NET_RATING" dataDxfId="85"/>
    <tableColumn id="14" xr3:uid="{EB5D86B6-814D-4069-8E3F-B72D78E6DBDE}" name="AST_PCT" dataDxfId="84"/>
    <tableColumn id="15" xr3:uid="{838CA2C6-03DE-4890-866D-662A6287A2E0}" name="AST_TO" dataDxfId="83"/>
    <tableColumn id="16" xr3:uid="{DC9CEC2B-EFC4-4409-AC62-A5E50FA18A52}" name="AST_RATIO" dataDxfId="82"/>
    <tableColumn id="17" xr3:uid="{1221DDEF-8536-469A-B658-38EE709BF319}" name="OREB_PCT" dataDxfId="81"/>
    <tableColumn id="18" xr3:uid="{D5F2B785-0F31-438C-971C-D0E6E14E6D17}" name="DREB_PCT" dataDxfId="80"/>
    <tableColumn id="19" xr3:uid="{4144404F-6C50-453C-A31B-F4D6D0E3DF41}" name="REB_PCT" dataDxfId="79"/>
    <tableColumn id="20" xr3:uid="{D606BC95-F429-43A5-B687-C1982C88525E}" name="TM_TOV_PCT" dataDxfId="78"/>
    <tableColumn id="21" xr3:uid="{13EA9467-24C6-4E74-9295-009B0B417486}" name="EFG_PCT" dataDxfId="77"/>
    <tableColumn id="22" xr3:uid="{3352DD1E-371E-4005-94D5-823F256A19A6}" name="TS_PCT" dataDxfId="76"/>
    <tableColumn id="23" xr3:uid="{B18864A9-E356-49EA-83B0-A634000329D2}" name="E_PACE" dataDxfId="75"/>
    <tableColumn id="24" xr3:uid="{0541D704-F8E2-4AF5-95C0-D6F5294FD9F3}" name="PACE" dataDxfId="74"/>
    <tableColumn id="25" xr3:uid="{A156CB49-7CC0-40E1-9B10-37BE97785BD9}" name="PACE_PER40" dataDxfId="73"/>
    <tableColumn id="26" xr3:uid="{EF27DFAC-22D9-43A2-AFD4-0B5193A7DA60}" name="POSS" dataDxfId="72"/>
    <tableColumn id="27" xr3:uid="{2139D22A-EF45-467A-AF91-CFEA30B6DE67}" name="PIE" dataDxfId="71"/>
    <tableColumn id="28" xr3:uid="{F7015F2A-E666-4657-9D8B-EB59012393C2}" name="GP_RANK" dataDxfId="70"/>
    <tableColumn id="29" xr3:uid="{2285D75E-284C-4BC7-82B3-3F6809EA928B}" name="W_RANK" dataDxfId="69"/>
    <tableColumn id="30" xr3:uid="{0ACC1796-E8A1-4746-8FA6-34340BFF8326}" name="L_RANK" dataDxfId="68"/>
    <tableColumn id="31" xr3:uid="{8D843654-C9A3-48C7-B1CF-DBEE1CE61DB6}" name="W_PCT_RANK" dataDxfId="67"/>
    <tableColumn id="32" xr3:uid="{7E7F6FA3-BAF5-49A8-87EC-996AB316AAC5}" name="MIN_RANK" dataDxfId="66"/>
    <tableColumn id="33" xr3:uid="{9D5FB6A2-627D-4D5F-A060-2ADE0115886D}" name="OFF_RATING_RANK" dataDxfId="65"/>
    <tableColumn id="34" xr3:uid="{2814D9BB-032A-4718-9551-19F548EB9740}" name="DEF_RATING_RANK" dataDxfId="64"/>
    <tableColumn id="35" xr3:uid="{695AA4FA-D6AB-4EBD-8AE5-015D042D60B6}" name="NET_RATING_RANK" dataDxfId="63"/>
    <tableColumn id="36" xr3:uid="{9118ABD8-9D6C-41B1-9916-7A269B892BDB}" name="AST_PCT_RANK" dataDxfId="62"/>
    <tableColumn id="37" xr3:uid="{C5D22C4B-A3E0-4224-95E7-036E58050DBE}" name="AST_TO_RANK" dataDxfId="61"/>
    <tableColumn id="38" xr3:uid="{5E26CB4C-FCE2-42C4-AD01-EF9CB97C5CFE}" name="AST_RATIO_RANK" dataDxfId="60"/>
    <tableColumn id="39" xr3:uid="{45889C21-BB68-4740-9B94-6A62C4D991C1}" name="OREB_PCT_RANK" dataDxfId="59"/>
    <tableColumn id="40" xr3:uid="{D1C0CED3-2138-4043-BD98-689867072FF5}" name="DREB_PCT_RANK" dataDxfId="58"/>
    <tableColumn id="41" xr3:uid="{5FC1F6AD-6C2B-4CA8-9426-98DF9B9FCED9}" name="REB_PCT_RANK" dataDxfId="57"/>
    <tableColumn id="42" xr3:uid="{9E8C5AFF-2753-4EE5-BE88-A2D70ABEE6B1}" name="TM_TOV_PCT_RANK" dataDxfId="56"/>
    <tableColumn id="43" xr3:uid="{2455E26A-4EF3-41C7-A580-8DA4D3A988B7}" name="EFG_PCT_RANK" dataDxfId="55"/>
    <tableColumn id="44" xr3:uid="{9393478B-3414-4983-95ED-3A71F62BFC0E}" name="TS_PCT_RANK" dataDxfId="54"/>
    <tableColumn id="45" xr3:uid="{7D8CE351-568D-4C20-8C98-7F45CD001CC4}" name="PACE_RANK" dataDxfId="53"/>
    <tableColumn id="46" xr3:uid="{140DDC64-0114-48BF-BA36-A422017F1155}" name="PIE_RANK" dataDxfId="52"/>
    <tableColumn id="47" xr3:uid="{0B31C6DD-2E76-4A2E-85B6-33ED2FC49B07}" name="CFID" dataDxfId="51"/>
    <tableColumn id="48" xr3:uid="{CE8786CA-0A67-479F-ABC4-7ED7B990E9D8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14BC0A-C819-4F6A-90C5-EB38514799F7}" name="TableStandingsN1" displayName="TableStandingsN1" ref="A1:CC31" totalsRowShown="0" headerRowDxfId="910">
  <autoFilter ref="A1:CC31" xr:uid="{F0AB22DF-B43C-4B36-A6D0-3F7BEFB3AE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4678C142-2913-4304-98D0-7225B306A03A}" name="LeagueID" dataDxfId="991"/>
    <tableColumn id="2" xr3:uid="{E9DA36D1-B8A1-4006-84DA-3B3033D0DA88}" name="SeasonID" dataDxfId="990"/>
    <tableColumn id="3" xr3:uid="{7E99F1F6-82E3-4853-8C21-250EE308745E}" name="TeamID" dataDxfId="989"/>
    <tableColumn id="4" xr3:uid="{1311B624-D1D4-4860-B022-EC33301A6AFA}" name="TeamCity" dataDxfId="988"/>
    <tableColumn id="5" xr3:uid="{918743DD-6FAD-4934-8871-30C2C515559B}" name="TeamName" dataDxfId="987"/>
    <tableColumn id="6" xr3:uid="{E90D93EA-F075-4D40-9553-0270BE90133F}" name="Conference" dataDxfId="986"/>
    <tableColumn id="7" xr3:uid="{01AE1D5C-2455-4405-8AB1-146BC18EB4E3}" name="ConferenceRecord" dataDxfId="985"/>
    <tableColumn id="8" xr3:uid="{A4F57AE3-A489-434C-8858-CD3D8461CF5B}" name="PlayoffRank" dataDxfId="984"/>
    <tableColumn id="9" xr3:uid="{7CB527E5-6633-4ABD-8F00-2090365BF9BB}" name="ClinchIndicator" dataDxfId="983"/>
    <tableColumn id="10" xr3:uid="{D23319E4-B2D0-4C10-8EDA-CC858AEEBFA1}" name="Division" dataDxfId="982"/>
    <tableColumn id="11" xr3:uid="{7D218EDB-C978-43BC-A45A-2A304D834D95}" name="DivisionRecord" dataDxfId="981"/>
    <tableColumn id="12" xr3:uid="{FF55CC37-A34E-4D18-B826-E12D1F2E582E}" name="DivisionRank" dataDxfId="980"/>
    <tableColumn id="13" xr3:uid="{4682A5BC-43EA-4501-81C2-9513198A0188}" name="WINS" dataDxfId="979"/>
    <tableColumn id="14" xr3:uid="{9ABB5039-A98C-4F39-9167-FB8C1875CBCD}" name="LOSSES" dataDxfId="978"/>
    <tableColumn id="15" xr3:uid="{2CD5D655-003A-4A19-9091-D4D07C337B42}" name="WinPCT" dataDxfId="977"/>
    <tableColumn id="16" xr3:uid="{83FBC055-DD5D-4797-B5C6-FBC93264191C}" name="LeagueRank" dataDxfId="976"/>
    <tableColumn id="17" xr3:uid="{E3F15448-9518-4CE2-8BEC-9986CA519B06}" name="Record" dataDxfId="975"/>
    <tableColumn id="18" xr3:uid="{3B094885-2077-41A0-83B3-3B4EF5AEFA87}" name="HOME" dataDxfId="974"/>
    <tableColumn id="19" xr3:uid="{C70B5A2C-4C9C-4BC6-8097-147297A1C3B5}" name="ROAD" dataDxfId="973"/>
    <tableColumn id="20" xr3:uid="{C79E9ED2-BCEC-4C8B-91E6-714301E6BAD3}" name="L10" dataDxfId="972"/>
    <tableColumn id="21" xr3:uid="{45E2C9AB-CAC4-49F6-9CC1-15118F3A69C9}" name="Last10Home" dataDxfId="971"/>
    <tableColumn id="22" xr3:uid="{0CB8FA1E-3C84-4DF1-AE2F-B2A856C2558F}" name="Last10Road" dataDxfId="970"/>
    <tableColumn id="23" xr3:uid="{F9B0A1A5-5F2A-4170-BBAD-4AA5CCBBA0CB}" name="OT" dataDxfId="969"/>
    <tableColumn id="24" xr3:uid="{554224A7-534D-4869-A784-34A71F43D774}" name="ThreePTSOrLess" dataDxfId="968"/>
    <tableColumn id="25" xr3:uid="{A21BDEDE-E6DD-49E8-950B-44584E56D9B7}" name="TenPTSOrMore" dataDxfId="967"/>
    <tableColumn id="26" xr3:uid="{5CD2CB57-4F5D-4893-9D64-4FDA0AD25CB8}" name="LongHomeStreak" dataDxfId="966"/>
    <tableColumn id="27" xr3:uid="{C843D54A-40E0-4EAA-B7F8-05B56B69BC59}" name="strLongHomeStreak" dataDxfId="965"/>
    <tableColumn id="28" xr3:uid="{33F8C642-0FA0-45AE-ACFA-2E4B472E425A}" name="LongRoadStreak" dataDxfId="964"/>
    <tableColumn id="29" xr3:uid="{882AA477-4F62-445C-98D6-DCA0C0F0BB4A}" name="strLongRoadStreak" dataDxfId="963"/>
    <tableColumn id="30" xr3:uid="{10049164-42DE-4995-B652-BFAE39FD9E4C}" name="LongWinStreak" dataDxfId="962"/>
    <tableColumn id="31" xr3:uid="{6EE41D82-CC12-4862-8B9E-4A1EDA46B307}" name="LongLossStreak" dataDxfId="961"/>
    <tableColumn id="32" xr3:uid="{6894FCCD-BAD1-439F-8D57-B99E75239B77}" name="CurrentHomeStreak" dataDxfId="960"/>
    <tableColumn id="33" xr3:uid="{3632B671-6DBF-4A03-8123-F50917D615BA}" name="strCurrentHomeStreak" dataDxfId="959"/>
    <tableColumn id="34" xr3:uid="{33FBE5A4-64DD-4FF4-ADB7-FD116C9069B2}" name="CurrentRoadStreak" dataDxfId="958"/>
    <tableColumn id="35" xr3:uid="{B89FB385-0757-446E-B72E-FDCCB92FAFA6}" name="strCurrentRoadStreak" dataDxfId="957"/>
    <tableColumn id="36" xr3:uid="{D9BBEA2D-454C-458D-8480-8E8E31073308}" name="CurrentStreak" dataDxfId="956"/>
    <tableColumn id="37" xr3:uid="{A14710EA-F7E6-4DFD-BFC6-8F203C1EA16A}" name="strCurrentStreak" dataDxfId="955"/>
    <tableColumn id="38" xr3:uid="{72A32BA0-C711-4001-9F18-692B03D2BE35}" name="ConferenceGamesBack" dataDxfId="954"/>
    <tableColumn id="39" xr3:uid="{66E4817A-220E-4F9B-B4AA-075CD49794F0}" name="DivisionGamesBack" dataDxfId="953"/>
    <tableColumn id="40" xr3:uid="{B7039673-8B0C-442D-92D6-E4C3C5832945}" name="ClinchedConferenceTitle" dataDxfId="952"/>
    <tableColumn id="41" xr3:uid="{F31ADE68-B263-4664-928A-0512CA058F09}" name="ClinchedDivisionTitle" dataDxfId="951"/>
    <tableColumn id="42" xr3:uid="{33F4A814-3273-44CE-9446-62C661146A20}" name="ClinchedPlayoffBirth" dataDxfId="950"/>
    <tableColumn id="43" xr3:uid="{28A39BA6-4E6E-4103-807D-42E981A78AA9}" name="EliminatedConference" dataDxfId="949"/>
    <tableColumn id="44" xr3:uid="{055332BC-B453-45B3-AD23-AB3C8B3BB0FE}" name="EliminatedDivision" dataDxfId="948"/>
    <tableColumn id="45" xr3:uid="{877D1535-C479-4ED9-98C5-8D9F3A3F236B}" name="AheadAtHalf" dataDxfId="947"/>
    <tableColumn id="46" xr3:uid="{493EDED9-7017-42E3-AF1C-DB6E10CF701D}" name="BehindAtHalf" dataDxfId="946"/>
    <tableColumn id="47" xr3:uid="{9BC8EC82-067B-4B6B-B402-C1DADC1DF7F6}" name="TiedAtHalf" dataDxfId="945"/>
    <tableColumn id="48" xr3:uid="{194A9D62-27BC-4DD0-AAEE-5BE421CF3526}" name="AheadAtThird" dataDxfId="944"/>
    <tableColumn id="49" xr3:uid="{9C9D6911-09A3-4033-85C6-2E5DFA04CEF1}" name="BehindAtThird" dataDxfId="943"/>
    <tableColumn id="50" xr3:uid="{3B669271-8B5E-49DE-A8B9-99E6404BE4D2}" name="TiedAtThird" dataDxfId="942"/>
    <tableColumn id="51" xr3:uid="{27FA6696-48E7-440D-A256-BC8570B9885F}" name="Score100PTS" dataDxfId="941"/>
    <tableColumn id="52" xr3:uid="{DBD3A14D-F7A5-4C20-B0D5-33E81BFBDF00}" name="OppScore100PTS" dataDxfId="940"/>
    <tableColumn id="53" xr3:uid="{17DED6A0-BEFD-4068-B89C-9002C038C2FC}" name="OppOver500" dataDxfId="939"/>
    <tableColumn id="54" xr3:uid="{FDA1F9AB-C024-42CF-826E-437BAE3CD68B}" name="LeadInFGPCT" dataDxfId="938"/>
    <tableColumn id="55" xr3:uid="{4B97EC4B-D328-47BB-9369-96FE788433C5}" name="LeadInReb" dataDxfId="937"/>
    <tableColumn id="56" xr3:uid="{E126D530-EEA1-462E-AC7F-85FCD4E107D1}" name="FewerTurnovers" dataDxfId="936"/>
    <tableColumn id="57" xr3:uid="{FE4F2468-90BA-4811-8202-15A327ED7446}" name="PointsPG" dataDxfId="935"/>
    <tableColumn id="58" xr3:uid="{68B06592-084C-4F3F-B946-ADD39BC1FA58}" name="OppPointsPG" dataDxfId="934"/>
    <tableColumn id="59" xr3:uid="{68146F29-E033-4C4A-A2B6-1747977BD384}" name="DiffPointsPG" dataDxfId="933"/>
    <tableColumn id="60" xr3:uid="{6C0E79C5-9544-468E-AC16-E4B71F0F381A}" name="vsEast" dataDxfId="932"/>
    <tableColumn id="61" xr3:uid="{83838F89-62FE-4F50-9DAE-6491AADC06DB}" name="vsAtlantic" dataDxfId="931"/>
    <tableColumn id="62" xr3:uid="{E2F42AA0-15FF-434B-8385-393B6703FFE5}" name="vsCentral" dataDxfId="930"/>
    <tableColumn id="63" xr3:uid="{5599DD95-4299-41E1-8900-1EDF68933DC7}" name="vsSoutheast" dataDxfId="929"/>
    <tableColumn id="64" xr3:uid="{4F79BFAB-6EB5-44CD-AB11-162022724741}" name="vsWest" dataDxfId="928"/>
    <tableColumn id="65" xr3:uid="{FDB06172-8342-4621-8625-396A25D123F6}" name="vsNorthwest" dataDxfId="927"/>
    <tableColumn id="66" xr3:uid="{EA16A81B-2874-4335-814C-CD0418E5A90A}" name="vsPacific" dataDxfId="926"/>
    <tableColumn id="67" xr3:uid="{18EC3980-7EBE-48B1-A713-D3B5A66EC772}" name="vsSouthwest" dataDxfId="925"/>
    <tableColumn id="68" xr3:uid="{F9D96846-5B05-42F6-BAE2-43E06BCF631C}" name="Jan" dataDxfId="924"/>
    <tableColumn id="69" xr3:uid="{05B04C4E-BE54-4177-B28C-7840C1E67069}" name="Feb" dataDxfId="923"/>
    <tableColumn id="70" xr3:uid="{C8ED7811-7A7F-40C4-BDE4-05395AEC5CFC}" name="Mar" dataDxfId="922"/>
    <tableColumn id="71" xr3:uid="{DCE30797-A95D-4FE2-B8F7-1538167BFA63}" name="Apr" dataDxfId="921"/>
    <tableColumn id="72" xr3:uid="{11114A77-765A-4881-B5E0-BD0006FE5E32}" name="May" dataDxfId="920"/>
    <tableColumn id="73" xr3:uid="{9E4E8904-ED44-4995-B5C5-5F1879CC19E5}" name="Jun" dataDxfId="919"/>
    <tableColumn id="74" xr3:uid="{E851DD5C-B9EF-4953-84C0-64F0BBE81931}" name="Jul" dataDxfId="918"/>
    <tableColumn id="75" xr3:uid="{5DBD1291-E889-4EDD-9D3B-DD7327B3EBA1}" name="Aug" dataDxfId="917"/>
    <tableColumn id="76" xr3:uid="{E8552951-B7CB-47FF-8E2E-AD8390253F8A}" name="Sep" dataDxfId="916"/>
    <tableColumn id="77" xr3:uid="{A9B8791F-C66D-459C-A9BD-C7468CAD7643}" name="Oct" dataDxfId="915"/>
    <tableColumn id="78" xr3:uid="{8DA27606-E970-4A61-A202-9E818E077FF9}" name="Nov" dataDxfId="914"/>
    <tableColumn id="79" xr3:uid="{C27B6AFF-E311-4650-9048-C4D11BD8A63B}" name="Dec" dataDxfId="913"/>
    <tableColumn id="80" xr3:uid="{761DFCB5-F091-4537-9EEF-06B8989DFCB4}" name="PreAS" dataDxfId="912"/>
    <tableColumn id="81" xr3:uid="{5F268887-6CD4-4492-A324-F0302D352783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E117BB-2C1A-4EC2-8AB2-8891414ED810}" name="TableBaseN1" displayName="TableBaseN1" ref="A1:BD31" totalsRowShown="0" headerRowDxfId="796">
  <autoFilter ref="A1:BD31" xr:uid="{9E18DEC8-2BD9-4716-AAAD-161D55CF0F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5A87769-9CF6-4E90-9E1C-3B7C0C46226E}" name="TEAM_ID" dataDxfId="852"/>
    <tableColumn id="2" xr3:uid="{52D64BAB-BFA9-4E86-9A88-1451B69BF3B0}" name="TEAM_NAME" dataDxfId="851"/>
    <tableColumn id="3" xr3:uid="{21D08386-2C07-482C-8105-FF981A1F74EA}" name="GP" dataDxfId="850"/>
    <tableColumn id="4" xr3:uid="{B87A1BB2-0F02-40F8-BE64-35CC6453AA99}" name="W" dataDxfId="849"/>
    <tableColumn id="5" xr3:uid="{9E0F428E-CF5F-41C5-B084-3C5A54A018EB}" name="L" dataDxfId="848"/>
    <tableColumn id="6" xr3:uid="{88D5C3B7-9140-4CB7-8AD7-450D8BA44CC7}" name="W_PCT" dataDxfId="847"/>
    <tableColumn id="7" xr3:uid="{6B627121-F120-4164-A45F-85C4AE0B064A}" name="MIN" dataDxfId="846"/>
    <tableColumn id="8" xr3:uid="{56E5D39C-1093-4B77-84C8-31BD2725A4F9}" name="FGM" dataDxfId="845"/>
    <tableColumn id="9" xr3:uid="{708F56CA-FD43-4984-9F92-3F9072766ADD}" name="FGA" dataDxfId="844"/>
    <tableColumn id="10" xr3:uid="{DCA2091B-822D-4DBB-83FD-42A94D763CD0}" name="FG_PCT" dataDxfId="843"/>
    <tableColumn id="11" xr3:uid="{CC0B7468-E289-45D9-A641-5709108E49CB}" name="FG3M" dataDxfId="842"/>
    <tableColumn id="12" xr3:uid="{02093F49-32B6-4C22-9653-100A04D4B4F9}" name="FG3A" dataDxfId="841"/>
    <tableColumn id="13" xr3:uid="{9D685C5D-9513-499F-BD14-F46E02708D67}" name="FG3_PCT" dataDxfId="840"/>
    <tableColumn id="14" xr3:uid="{615475C3-1F79-440E-866C-A1C5E3A5E862}" name="FTM" dataDxfId="839"/>
    <tableColumn id="15" xr3:uid="{547668BA-8072-4443-A1D7-2329AB4315E7}" name="FTA" dataDxfId="838"/>
    <tableColumn id="16" xr3:uid="{238D1352-74D4-45C4-85D2-A7E9E92E19B5}" name="FT_PCT" dataDxfId="837"/>
    <tableColumn id="17" xr3:uid="{65992634-C9F9-4C85-9B39-ECF51039F6FC}" name="OREB" dataDxfId="836"/>
    <tableColumn id="18" xr3:uid="{D2FCB1B7-ACEE-4D38-8243-5167D55ED059}" name="DREB" dataDxfId="835"/>
    <tableColumn id="19" xr3:uid="{C53B4A69-9C68-485D-9252-DBAB4360A342}" name="REB" dataDxfId="834"/>
    <tableColumn id="20" xr3:uid="{785038DA-657B-4AAE-A53C-ACD0AE3DFF70}" name="AST" dataDxfId="833"/>
    <tableColumn id="21" xr3:uid="{11881FA0-F91E-4850-B9CB-B68056199029}" name="TOV" dataDxfId="832"/>
    <tableColumn id="22" xr3:uid="{001A60F1-488D-4A8D-B217-D6D2BF7A172B}" name="STL" dataDxfId="831"/>
    <tableColumn id="23" xr3:uid="{4177E2B7-EBCE-426E-87BA-C364CC2CF30D}" name="BLK" dataDxfId="830"/>
    <tableColumn id="24" xr3:uid="{E4FA3CBA-C463-4A26-91AA-797B8D91F6E1}" name="BLKA" dataDxfId="829"/>
    <tableColumn id="25" xr3:uid="{EB3830BA-CEAF-4975-9229-965B0AAF0E0E}" name="PF" dataDxfId="828"/>
    <tableColumn id="26" xr3:uid="{7D3CBAF9-1B37-4ED6-820F-1A2F1C810FDF}" name="PFD" dataDxfId="827"/>
    <tableColumn id="27" xr3:uid="{370F6CF0-5518-48D2-83B5-2B3A5B7018D1}" name="PTS" dataDxfId="826"/>
    <tableColumn id="28" xr3:uid="{F4DE0C37-57BE-4BD1-A21F-B821F8DAF931}" name="PLUS_MINUS" dataDxfId="825"/>
    <tableColumn id="29" xr3:uid="{2744C280-AB41-4B65-8BA7-541C6ECC5D6B}" name="GP_RANK" dataDxfId="824"/>
    <tableColumn id="30" xr3:uid="{F3BB8503-4F07-49B7-9CCF-6EEF6E725C61}" name="W_RANK" dataDxfId="823"/>
    <tableColumn id="31" xr3:uid="{C9AFA221-8A98-4986-AF9E-7049691BF9C5}" name="L_RANK" dataDxfId="822"/>
    <tableColumn id="32" xr3:uid="{130A554B-85E1-4518-BD00-F5EB298E08C0}" name="W_PCT_RANK" dataDxfId="821"/>
    <tableColumn id="33" xr3:uid="{0B2B180E-D507-4262-9186-199D469A249E}" name="MIN_RANK" dataDxfId="820"/>
    <tableColumn id="34" xr3:uid="{7B4946B6-DACA-48A6-8AB9-B5DD2EF9FFE8}" name="FGM_RANK" dataDxfId="819"/>
    <tableColumn id="35" xr3:uid="{FB3ADF8D-5428-42D1-9B65-2E43BCDA5E94}" name="FGA_RANK" dataDxfId="818"/>
    <tableColumn id="36" xr3:uid="{85BB31C5-1698-43B2-9A21-F0C7CB3FFBCD}" name="FG_PCT_RANK" dataDxfId="817"/>
    <tableColumn id="37" xr3:uid="{F7FC4625-E552-460C-B48E-DB716C4809B6}" name="FG3M_RANK" dataDxfId="816"/>
    <tableColumn id="38" xr3:uid="{EC4370D0-6C77-43B2-96C5-9B0C95454498}" name="FG3A_RANK" dataDxfId="815"/>
    <tableColumn id="39" xr3:uid="{DDD6BD1D-1797-45EC-9CE8-AEE2E83B3CD0}" name="FG3_PCT_RANK" dataDxfId="814"/>
    <tableColumn id="40" xr3:uid="{8E6B3F7C-0ECF-4321-B7E7-A1C692DA4FA9}" name="FTM_RANK" dataDxfId="813"/>
    <tableColumn id="41" xr3:uid="{3DA77531-2A9D-458E-9613-488631B68A1B}" name="FTA_RANK" dataDxfId="812"/>
    <tableColumn id="42" xr3:uid="{02D3E224-500B-4B0B-9DE5-1588AE1B10E9}" name="FT_PCT_RANK" dataDxfId="811"/>
    <tableColumn id="43" xr3:uid="{52E29DDC-EACC-48FB-AAC9-BCACE7960AF0}" name="OREB_RANK" dataDxfId="810"/>
    <tableColumn id="44" xr3:uid="{915908B5-4F88-4337-B341-EA3ED7551318}" name="DREB_RANK" dataDxfId="809"/>
    <tableColumn id="45" xr3:uid="{6BED7750-8BFA-4E14-8114-28CE19606EDF}" name="REB_RANK" dataDxfId="808"/>
    <tableColumn id="46" xr3:uid="{25A8156A-9DD8-4255-8C5E-41F560B29F4F}" name="AST_RANK" dataDxfId="807"/>
    <tableColumn id="47" xr3:uid="{4054F932-9CA9-46FC-A796-75ADDAAE4AA8}" name="TOV_RANK" dataDxfId="806"/>
    <tableColumn id="48" xr3:uid="{CBE08A12-A95E-4336-BEFB-7F8D10FB629F}" name="STL_RANK" dataDxfId="805"/>
    <tableColumn id="49" xr3:uid="{EED07ABF-234F-46D6-BEAE-BF78C6A69F37}" name="BLK_RANK" dataDxfId="804"/>
    <tableColumn id="50" xr3:uid="{37F066EA-B249-4B34-BBCB-3768D28082E9}" name="BLKA_RANK" dataDxfId="803"/>
    <tableColumn id="51" xr3:uid="{D581F8E6-0107-4CE7-BAE4-7BA3F7AB260A}" name="PF_RANK" dataDxfId="802"/>
    <tableColumn id="52" xr3:uid="{C27F3554-A221-4213-B25E-EFAC0CD68263}" name="PFD_RANK" dataDxfId="801"/>
    <tableColumn id="53" xr3:uid="{949C7229-19D6-48FD-B5A8-AE2ED0C4D6AD}" name="PTS_RANK" dataDxfId="800"/>
    <tableColumn id="54" xr3:uid="{34C9A8AB-0AE2-4549-8960-A171DC20C385}" name="PLUS_MINUS_RANK" dataDxfId="799"/>
    <tableColumn id="55" xr3:uid="{F9AB9974-C9E0-484A-B87C-2A6BCE12B046}" name="CFID" dataDxfId="798"/>
    <tableColumn id="56" xr3:uid="{01220625-6C8C-4DBD-A8F2-3C84538C270D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B2D844-C7B2-492B-8A8C-FD5F531DDC04}" name="TableAdvancedN1" displayName="TableAdvancedN1" ref="A1:AV31" totalsRowShown="0" headerRowDxfId="698">
  <autoFilter ref="A1:AV31" xr:uid="{E17F7FF9-0BC7-44CB-967D-5411739497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598FC2F-133A-44D4-8803-E4505D446191}" name="TEAM_ID" dataDxfId="746"/>
    <tableColumn id="2" xr3:uid="{D1A2F7CB-8BF5-4FAA-B16B-942F88F5BE91}" name="TEAM_NAME" dataDxfId="745"/>
    <tableColumn id="3" xr3:uid="{F3CE80A6-F9D4-4D0B-803D-C2318539E6A6}" name="GP" dataDxfId="744"/>
    <tableColumn id="4" xr3:uid="{5BCD89F5-F794-4189-A437-9F1684299C56}" name="W" dataDxfId="743"/>
    <tableColumn id="5" xr3:uid="{BD2B53B6-CDB6-4E86-9042-FA8E78A35A74}" name="L" dataDxfId="742"/>
    <tableColumn id="6" xr3:uid="{1A16AF7D-5A38-4913-82D3-AA6436B7DB2B}" name="W_PCT" dataDxfId="741"/>
    <tableColumn id="7" xr3:uid="{A81EC557-8743-4B7C-BA91-0F6CBDC265F3}" name="MIN" dataDxfId="740"/>
    <tableColumn id="8" xr3:uid="{C60D49C3-8EED-478B-9F1A-391EBCBE0D3D}" name="E_OFF_RATING" dataDxfId="739"/>
    <tableColumn id="9" xr3:uid="{A9255311-8FC4-4399-9FB1-651B361EB11C}" name="OFF_RATING" dataDxfId="738"/>
    <tableColumn id="10" xr3:uid="{6DE600D5-96D2-4577-A7F3-1ABE11B2FAFE}" name="E_DEF_RATING" dataDxfId="737"/>
    <tableColumn id="11" xr3:uid="{5D0218B5-BDF0-4DC0-AAF5-B939F8AA1B0D}" name="DEF_RATING" dataDxfId="736"/>
    <tableColumn id="12" xr3:uid="{97B5772B-B9F5-4B20-B5E6-06E7F7F1C713}" name="E_NET_RATING" dataDxfId="735"/>
    <tableColumn id="13" xr3:uid="{0673AA66-E036-45EE-AA9D-B80638D33166}" name="NET_RATING" dataDxfId="734"/>
    <tableColumn id="14" xr3:uid="{39FB722D-EF1C-4743-9CAB-3F9183629836}" name="AST_PCT" dataDxfId="733"/>
    <tableColumn id="15" xr3:uid="{2F3B3168-FDDC-432D-9282-DE026CB9430B}" name="AST_TO" dataDxfId="732"/>
    <tableColumn id="16" xr3:uid="{76931108-4905-445B-B49D-DB39BA8043E3}" name="AST_RATIO" dataDxfId="731"/>
    <tableColumn id="17" xr3:uid="{CD43A1E1-C20D-41B2-97F2-F8016C8A2EF3}" name="OREB_PCT" dataDxfId="730"/>
    <tableColumn id="18" xr3:uid="{F87BDAFA-689A-44C6-8A5E-822216142FE1}" name="DREB_PCT" dataDxfId="729"/>
    <tableColumn id="19" xr3:uid="{0561C767-5D05-4A5F-83CA-6D36A8C16C6D}" name="REB_PCT" dataDxfId="728"/>
    <tableColumn id="20" xr3:uid="{784A6F73-C5D2-4E3C-98C7-CB07957FF3A1}" name="TM_TOV_PCT" dataDxfId="727"/>
    <tableColumn id="21" xr3:uid="{F0176138-5119-401F-9C6F-0EB0B540E29A}" name="EFG_PCT" dataDxfId="726"/>
    <tableColumn id="22" xr3:uid="{D3B1AE75-52DD-4F94-8277-C3C27746A4DA}" name="TS_PCT" dataDxfId="725"/>
    <tableColumn id="23" xr3:uid="{1963EB37-F53A-46A8-B027-D3664EDC8F59}" name="E_PACE" dataDxfId="724"/>
    <tableColumn id="24" xr3:uid="{EFD05FEB-5DC4-4E57-A468-C762FA166AB8}" name="PACE" dataDxfId="723"/>
    <tableColumn id="25" xr3:uid="{CF2C5FB8-31FF-4054-B8CD-7E83381C8DD1}" name="PACE_PER40" dataDxfId="722"/>
    <tableColumn id="26" xr3:uid="{4DFD7F06-0892-4814-977A-665172032868}" name="POSS" dataDxfId="721"/>
    <tableColumn id="27" xr3:uid="{AA9E8A24-50DC-4A1E-8D64-556ECEB75D2B}" name="PIE" dataDxfId="720"/>
    <tableColumn id="28" xr3:uid="{098B332E-9D73-45DB-9B3A-BB140B84F86B}" name="GP_RANK" dataDxfId="719"/>
    <tableColumn id="29" xr3:uid="{F8CFEFE7-99A4-4984-862E-0477D347D17B}" name="W_RANK" dataDxfId="718"/>
    <tableColumn id="30" xr3:uid="{291EB68A-4911-489B-947F-E860A897076C}" name="L_RANK" dataDxfId="717"/>
    <tableColumn id="31" xr3:uid="{63559F73-0C18-4EE2-9F69-6D54C0EA08DA}" name="W_PCT_RANK" dataDxfId="716"/>
    <tableColumn id="32" xr3:uid="{38A8EEE6-BF1A-4496-A7E2-14143CBBBBE7}" name="MIN_RANK" dataDxfId="715"/>
    <tableColumn id="33" xr3:uid="{78B2B088-5CD4-42C3-B8D1-1C9DC74DE9F1}" name="OFF_RATING_RANK" dataDxfId="714"/>
    <tableColumn id="34" xr3:uid="{9FB49359-16AF-44E0-937A-0C795B0F0926}" name="DEF_RATING_RANK" dataDxfId="713"/>
    <tableColumn id="35" xr3:uid="{77AFE004-7398-45B2-A0E5-8DE7F9BBAA0C}" name="NET_RATING_RANK" dataDxfId="712"/>
    <tableColumn id="36" xr3:uid="{FF7FEEF9-3952-4F7D-B7C4-C4E004AAB6BF}" name="AST_PCT_RANK" dataDxfId="711"/>
    <tableColumn id="37" xr3:uid="{D2385840-8DA1-4293-8510-423B95DD23B6}" name="AST_TO_RANK" dataDxfId="710"/>
    <tableColumn id="38" xr3:uid="{65184FBD-CACC-4FA5-9DCD-FAE982B5CC78}" name="AST_RATIO_RANK" dataDxfId="709"/>
    <tableColumn id="39" xr3:uid="{0797B50F-C8DA-4C6D-B807-54790A4E83E6}" name="OREB_PCT_RANK" dataDxfId="708"/>
    <tableColumn id="40" xr3:uid="{6CACCE35-F9C7-4EEA-B409-992B9DF3C286}" name="DREB_PCT_RANK" dataDxfId="707"/>
    <tableColumn id="41" xr3:uid="{221E10EF-C19A-4174-B9A7-77F04F383241}" name="REB_PCT_RANK" dataDxfId="706"/>
    <tableColumn id="42" xr3:uid="{998FD6D8-E5CD-432E-9031-CA2D6730F32C}" name="TM_TOV_PCT_RANK" dataDxfId="705"/>
    <tableColumn id="43" xr3:uid="{7CEDF4EE-8162-4EB2-B732-6FAE16D8DE58}" name="EFG_PCT_RANK" dataDxfId="704"/>
    <tableColumn id="44" xr3:uid="{03BB5A55-5055-4367-AA5A-7B7350C64EDB}" name="TS_PCT_RANK" dataDxfId="703"/>
    <tableColumn id="45" xr3:uid="{024FFD3E-D83B-4BC3-9FEF-5C90A02571DC}" name="PACE_RANK" dataDxfId="702"/>
    <tableColumn id="46" xr3:uid="{AC9FE83B-D25A-4E7A-947B-F1C86A5633E8}" name="PIE_RANK" dataDxfId="701"/>
    <tableColumn id="47" xr3:uid="{05BC1145-C388-4958-86D7-367B144F947E}" name="CFID" dataDxfId="700"/>
    <tableColumn id="48" xr3:uid="{3F607872-CB55-4492-950E-15C218A84F36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F99F7CD-37CE-41D1-97A8-42A42CD3D3B0}" name="TableAdvancedN1Starters" displayName="TableAdvancedN1Starters" ref="A1:AV31" totalsRowShown="0" headerRowDxfId="600">
  <autoFilter ref="A1:AV31" xr:uid="{DE9D6008-4D59-4453-85FD-04562ADF8F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C58F82D-CBD6-41A2-B45D-D89B0E37FA03}" name="TEAM_ID" dataDxfId="648"/>
    <tableColumn id="2" xr3:uid="{BE996714-4BD7-4E1B-9FF2-029451B677E6}" name="TEAM_NAME" dataDxfId="647"/>
    <tableColumn id="3" xr3:uid="{48E0CBA7-DE11-4167-88BA-ABF0275411AD}" name="GP" dataDxfId="646"/>
    <tableColumn id="4" xr3:uid="{7EC3CDC2-64D0-4F97-8674-B9F382E411AB}" name="W" dataDxfId="645"/>
    <tableColumn id="5" xr3:uid="{3885F39A-CFCF-4E17-9C81-4C4217BF97E3}" name="L" dataDxfId="644"/>
    <tableColumn id="6" xr3:uid="{97F8B35E-0868-4C40-9E6B-AF129FB1A282}" name="W_PCT" dataDxfId="643"/>
    <tableColumn id="7" xr3:uid="{CF34F599-6600-4D23-8DCD-8EDFD3403353}" name="MIN" dataDxfId="642"/>
    <tableColumn id="8" xr3:uid="{35AE4844-FFCE-4611-AF5B-09AE62297B41}" name="E_OFF_RATING" dataDxfId="641"/>
    <tableColumn id="9" xr3:uid="{AEAB9C68-7FCE-4F06-870E-2120A1DC612B}" name="OFF_RATING" dataDxfId="640"/>
    <tableColumn id="10" xr3:uid="{C12E3300-E3F7-42C7-ACB1-417A18BA8D52}" name="E_DEF_RATING" dataDxfId="639"/>
    <tableColumn id="11" xr3:uid="{475E52EB-BAE8-46B3-9741-917D146CB54F}" name="DEF_RATING" dataDxfId="638"/>
    <tableColumn id="12" xr3:uid="{1AAA535F-0954-4E67-96D3-CAF93679AEAF}" name="E_NET_RATING" dataDxfId="637"/>
    <tableColumn id="13" xr3:uid="{504669A6-DF7F-41B4-9CD8-EE158F40C751}" name="NET_RATING" dataDxfId="636"/>
    <tableColumn id="14" xr3:uid="{84B86031-1558-4AA1-B14F-C20799B36AE7}" name="AST_PCT" dataDxfId="635"/>
    <tableColumn id="15" xr3:uid="{AC5F59C2-6B20-44F5-9933-3EA00BAD0CFC}" name="AST_TO" dataDxfId="634"/>
    <tableColumn id="16" xr3:uid="{60C507CF-C241-4AB6-9A62-55A6B17B27D1}" name="AST_RATIO" dataDxfId="633"/>
    <tableColumn id="17" xr3:uid="{33F90A36-E692-4A8C-ACED-17F6693ABEBC}" name="OREB_PCT" dataDxfId="632"/>
    <tableColumn id="18" xr3:uid="{B7EF00C1-DD49-472C-A527-1A2E4301CCFF}" name="DREB_PCT" dataDxfId="631"/>
    <tableColumn id="19" xr3:uid="{5E5368E6-933E-4DB4-9437-2ECAAC51FD25}" name="REB_PCT" dataDxfId="630"/>
    <tableColumn id="20" xr3:uid="{86194B3C-312E-44A8-8512-3402A930A52F}" name="TM_TOV_PCT" dataDxfId="629"/>
    <tableColumn id="21" xr3:uid="{9B1435EC-2A62-40A6-9FEE-FB9D930F2199}" name="EFG_PCT" dataDxfId="628"/>
    <tableColumn id="22" xr3:uid="{506C99B3-9257-4FA3-A6EB-A878EF5F989A}" name="TS_PCT" dataDxfId="627"/>
    <tableColumn id="23" xr3:uid="{7E4645E3-0883-4D1D-A764-EAED1D111120}" name="E_PACE" dataDxfId="626"/>
    <tableColumn id="24" xr3:uid="{1F356AAF-2209-4126-A5D6-B401BC607B35}" name="PACE" dataDxfId="625"/>
    <tableColumn id="25" xr3:uid="{81CF098E-8956-4668-B1E9-FE834CEB30AD}" name="PACE_PER40" dataDxfId="624"/>
    <tableColumn id="26" xr3:uid="{F24107CF-CDEB-4DC5-8A78-EA0BC79118DD}" name="POSS" dataDxfId="623"/>
    <tableColumn id="27" xr3:uid="{C860CA36-1412-40DB-A29B-7BA0687FC93B}" name="PIE" dataDxfId="622"/>
    <tableColumn id="28" xr3:uid="{CAD0BF2E-255A-47C6-84BE-A2C8D6FC3067}" name="GP_RANK" dataDxfId="621"/>
    <tableColumn id="29" xr3:uid="{2B292C75-5541-4BE4-9ECB-CFDEB3816F54}" name="W_RANK" dataDxfId="620"/>
    <tableColumn id="30" xr3:uid="{1343048F-75DE-4326-86AB-4E6945592802}" name="L_RANK" dataDxfId="619"/>
    <tableColumn id="31" xr3:uid="{F257F849-3602-4BE8-8E04-472F9A46924F}" name="W_PCT_RANK" dataDxfId="618"/>
    <tableColumn id="32" xr3:uid="{D473C9A3-6992-46FD-AFB6-B823F0E441F8}" name="MIN_RANK" dataDxfId="617"/>
    <tableColumn id="33" xr3:uid="{FAF491F6-9D06-4FF4-AEE0-F6CC126C9A3D}" name="OFF_RATING_RANK" dataDxfId="616"/>
    <tableColumn id="34" xr3:uid="{A4569B3A-E493-4929-9F32-C01A5D2576E6}" name="DEF_RATING_RANK" dataDxfId="615"/>
    <tableColumn id="35" xr3:uid="{ABB04966-0485-4DB0-A23C-DF7CCD17B2E2}" name="NET_RATING_RANK" dataDxfId="614"/>
    <tableColumn id="36" xr3:uid="{C8D69C7D-2510-45E5-85FC-195877E81D16}" name="AST_PCT_RANK" dataDxfId="613"/>
    <tableColumn id="37" xr3:uid="{99E9C960-9404-43CF-B648-77619CD14C32}" name="AST_TO_RANK" dataDxfId="612"/>
    <tableColumn id="38" xr3:uid="{AFA47886-4C0F-4109-B9A7-357916D3D297}" name="AST_RATIO_RANK" dataDxfId="611"/>
    <tableColumn id="39" xr3:uid="{BC4A8116-3E2B-4FDD-A89B-6D4EDD545A93}" name="OREB_PCT_RANK" dataDxfId="610"/>
    <tableColumn id="40" xr3:uid="{7D43A232-95C2-418E-B83A-F74E669D1550}" name="DREB_PCT_RANK" dataDxfId="609"/>
    <tableColumn id="41" xr3:uid="{C084D7DB-5DB4-477E-BF8C-9BC67E51634D}" name="REB_PCT_RANK" dataDxfId="608"/>
    <tableColumn id="42" xr3:uid="{01CD8508-B59F-4470-8472-BB68DA62A3A3}" name="TM_TOV_PCT_RANK" dataDxfId="607"/>
    <tableColumn id="43" xr3:uid="{B9BB1F86-BC27-49FF-A42A-6BF16F196FD5}" name="EFG_PCT_RANK" dataDxfId="606"/>
    <tableColumn id="44" xr3:uid="{0F2B5DA9-085E-4EFF-8892-1618AB911687}" name="TS_PCT_RANK" dataDxfId="605"/>
    <tableColumn id="45" xr3:uid="{4C6858E8-ED66-4639-BAE5-B6F5AF9F9FD8}" name="PACE_RANK" dataDxfId="604"/>
    <tableColumn id="46" xr3:uid="{2E5F2EE9-6311-4BEE-8493-667FD8EEB589}" name="PIE_RANK" dataDxfId="603"/>
    <tableColumn id="47" xr3:uid="{9BF3E733-DB45-4C9F-9C0A-A4E4B719F472}" name="CFID" dataDxfId="602"/>
    <tableColumn id="48" xr3:uid="{DE1E0651-8F12-48F1-A954-4AA023C6010D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379D0D-0CB5-4AA3-9E72-9665E7B3E24C}" name="TableAdvancedN1Bench" displayName="TableAdvancedN1Bench" ref="A1:AV31" totalsRowShown="0" headerRowDxfId="502">
  <autoFilter ref="A1:AV31" xr:uid="{9E7EBAA6-D220-495D-9659-A537E73346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060A97D-E315-4ACA-9576-F4E0500D828A}" name="TEAM_ID" dataDxfId="550"/>
    <tableColumn id="2" xr3:uid="{DE0DDD6E-8FF3-49F4-AD5C-74D8E73B9CE0}" name="TEAM_NAME" dataDxfId="549"/>
    <tableColumn id="3" xr3:uid="{ACE63851-7F17-41E1-8251-0DEC9A47BD9C}" name="GP" dataDxfId="548"/>
    <tableColumn id="4" xr3:uid="{A9E4A12A-CA41-4945-9331-9CAE48235514}" name="W" dataDxfId="547"/>
    <tableColumn id="5" xr3:uid="{4460AFCA-5C26-4174-84A2-095FD15AFF3D}" name="L" dataDxfId="546"/>
    <tableColumn id="6" xr3:uid="{0520589D-9D05-48D4-B39A-B0D834F44152}" name="W_PCT" dataDxfId="545"/>
    <tableColumn id="7" xr3:uid="{A88BA309-3259-43C9-99E3-2C2E697C1D57}" name="MIN" dataDxfId="544"/>
    <tableColumn id="8" xr3:uid="{9EC3AD0C-26A7-417D-A388-9B4CEE3B5C2C}" name="E_OFF_RATING" dataDxfId="543"/>
    <tableColumn id="9" xr3:uid="{D693B5B0-C7AB-4381-BB58-A82013867B84}" name="OFF_RATING" dataDxfId="542"/>
    <tableColumn id="10" xr3:uid="{2036ED83-83B7-4CF5-9FBD-1D4727F3F02A}" name="E_DEF_RATING" dataDxfId="541"/>
    <tableColumn id="11" xr3:uid="{7E4E9B3F-0AD9-4170-B468-BB264EE046D2}" name="DEF_RATING" dataDxfId="540"/>
    <tableColumn id="12" xr3:uid="{06409CA3-8F24-4845-9A95-E2B6C4099567}" name="E_NET_RATING" dataDxfId="539"/>
    <tableColumn id="13" xr3:uid="{6E53143D-2D2D-4FC3-8AE9-692365C26C84}" name="NET_RATING" dataDxfId="538"/>
    <tableColumn id="14" xr3:uid="{9A69DA68-6408-492F-96E5-E3BE7A88B3FB}" name="AST_PCT" dataDxfId="537"/>
    <tableColumn id="15" xr3:uid="{31B7455F-67B5-4B74-A7A0-5B3B20ED2006}" name="AST_TO" dataDxfId="536"/>
    <tableColumn id="16" xr3:uid="{B36BC8C1-AB44-4BC9-B267-6BA6D6C0A660}" name="AST_RATIO" dataDxfId="535"/>
    <tableColumn id="17" xr3:uid="{F6A19BB6-5589-43C7-969B-5DB5CF3894E7}" name="OREB_PCT" dataDxfId="534"/>
    <tableColumn id="18" xr3:uid="{3C37A245-18ED-48E8-866B-869B01A893C5}" name="DREB_PCT" dataDxfId="533"/>
    <tableColumn id="19" xr3:uid="{75EF8547-3E92-4BFF-95FA-AEA4F7D4591B}" name="REB_PCT" dataDxfId="532"/>
    <tableColumn id="20" xr3:uid="{97BC9EA2-4AC6-4B6C-BE04-40299B83BF2F}" name="TM_TOV_PCT" dataDxfId="531"/>
    <tableColumn id="21" xr3:uid="{4652334A-0407-4BB8-ABC9-D09289C81416}" name="EFG_PCT" dataDxfId="530"/>
    <tableColumn id="22" xr3:uid="{DFDB2A1E-6582-43F0-AD45-4176555E7F1D}" name="TS_PCT" dataDxfId="529"/>
    <tableColumn id="23" xr3:uid="{B3B811B3-2899-4DCB-817B-6DAF7EB40F86}" name="E_PACE" dataDxfId="528"/>
    <tableColumn id="24" xr3:uid="{110CCF9E-C361-4E98-B29B-86216B87D876}" name="PACE" dataDxfId="527"/>
    <tableColumn id="25" xr3:uid="{81A21AA4-E0AC-4A72-867F-F7BC0D4079FF}" name="PACE_PER40" dataDxfId="526"/>
    <tableColumn id="26" xr3:uid="{688B5456-2034-47B6-A06C-1593B7B438D1}" name="POSS" dataDxfId="525"/>
    <tableColumn id="27" xr3:uid="{C2C19066-7963-4923-A18B-21FD937D002D}" name="PIE" dataDxfId="524"/>
    <tableColumn id="28" xr3:uid="{6227E99F-909F-4DFC-A75E-81DC2D7989AC}" name="GP_RANK" dataDxfId="523"/>
    <tableColumn id="29" xr3:uid="{54753999-E044-4EC2-A1AE-94617688C979}" name="W_RANK" dataDxfId="522"/>
    <tableColumn id="30" xr3:uid="{EC42E94E-2401-450E-B84F-7AF62C22E0AF}" name="L_RANK" dataDxfId="521"/>
    <tableColumn id="31" xr3:uid="{616223C1-DFE6-4E64-933C-FBD9AEFE83AD}" name="W_PCT_RANK" dataDxfId="520"/>
    <tableColumn id="32" xr3:uid="{24C5F064-CBFA-4132-AF29-EECBCC8E9064}" name="MIN_RANK" dataDxfId="519"/>
    <tableColumn id="33" xr3:uid="{1D0E0191-9971-427D-92A4-DB007B4E6DF2}" name="OFF_RATING_RANK" dataDxfId="518"/>
    <tableColumn id="34" xr3:uid="{5FF0BF09-7483-4F5A-908D-F9F3583588EB}" name="DEF_RATING_RANK" dataDxfId="517"/>
    <tableColumn id="35" xr3:uid="{35BCBD98-B6A4-4099-80CF-B510AA17665A}" name="NET_RATING_RANK" dataDxfId="516"/>
    <tableColumn id="36" xr3:uid="{F5EB2E3A-7F1D-4905-B9E7-5F5DD614460B}" name="AST_PCT_RANK" dataDxfId="515"/>
    <tableColumn id="37" xr3:uid="{D98FA61A-F2CF-41BE-B18C-1978D90A2B92}" name="AST_TO_RANK" dataDxfId="514"/>
    <tableColumn id="38" xr3:uid="{80AF7874-90A1-4867-A84A-36B0A376E8AC}" name="AST_RATIO_RANK" dataDxfId="513"/>
    <tableColumn id="39" xr3:uid="{84A665EC-37FA-47D5-98B4-09767ACF4D1D}" name="OREB_PCT_RANK" dataDxfId="512"/>
    <tableColumn id="40" xr3:uid="{71A8CEC1-BD50-4B5B-A574-00E766C49AF6}" name="DREB_PCT_RANK" dataDxfId="511"/>
    <tableColumn id="41" xr3:uid="{5CA870D1-6CBE-4AE2-963D-436077A136F3}" name="REB_PCT_RANK" dataDxfId="510"/>
    <tableColumn id="42" xr3:uid="{8B15B9BA-E320-49C9-9102-D3A604F23D2C}" name="TM_TOV_PCT_RANK" dataDxfId="509"/>
    <tableColumn id="43" xr3:uid="{BF4A4442-63BF-463F-8B93-D2A6C8783F8D}" name="EFG_PCT_RANK" dataDxfId="508"/>
    <tableColumn id="44" xr3:uid="{0A3D3DE0-6FBF-4D07-A0CE-99D605797138}" name="TS_PCT_RANK" dataDxfId="507"/>
    <tableColumn id="45" xr3:uid="{D7135A63-38B0-4804-8E19-0DA5509BEEE2}" name="PACE_RANK" dataDxfId="506"/>
    <tableColumn id="46" xr3:uid="{5864F44C-5BFC-4B1C-9509-97189AA9CD72}" name="PIE_RANK" dataDxfId="505"/>
    <tableColumn id="47" xr3:uid="{8B0A37B2-2133-46DB-8A8F-45455389599A}" name="CFID" dataDxfId="504"/>
    <tableColumn id="48" xr3:uid="{2506586A-E204-40A3-9F1D-B876CF1B3C9E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FBF586A-27C0-4BE4-A785-2A0803BA2B1C}" name="TableMiscN1" displayName="TableMiscN1" ref="A1:AD31" totalsRowShown="0" headerRowDxfId="440">
  <autoFilter ref="A1:AD31" xr:uid="{023BA470-19B4-486F-9BF1-609E8C2D17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7C887248-8001-4D5B-9106-03FEE0771E7B}" name="TEAM_ID" dataDxfId="470"/>
    <tableColumn id="2" xr3:uid="{A243A7C2-64CE-4346-93C6-2DB62006D235}" name="TEAM_NAME" dataDxfId="469"/>
    <tableColumn id="3" xr3:uid="{97CC4884-470F-4768-97DA-85528D8F2420}" name="GP" dataDxfId="468"/>
    <tableColumn id="4" xr3:uid="{5416B3D2-0F86-4E78-B368-DCDA25E5861B}" name="W" dataDxfId="467"/>
    <tableColumn id="5" xr3:uid="{AFE76166-FD35-40BB-A14C-7448A649E06B}" name="L" dataDxfId="466"/>
    <tableColumn id="6" xr3:uid="{5C34A36D-2985-4604-976F-EC8C9C2252E8}" name="W_PCT" dataDxfId="465"/>
    <tableColumn id="7" xr3:uid="{05209C1F-CFBA-4A83-861D-55992F868096}" name="MIN" dataDxfId="464"/>
    <tableColumn id="8" xr3:uid="{6E23D648-5DE8-48DF-8D3F-BE1645DECCB2}" name="PTS_OFF_TOV" dataDxfId="463"/>
    <tableColumn id="9" xr3:uid="{5EB9654E-4181-4B08-BA7B-AFDC99D4AAAB}" name="PTS_2ND_CHANCE" dataDxfId="462"/>
    <tableColumn id="10" xr3:uid="{EC2E6ABB-5D46-4C97-8089-C271E691428E}" name="PTS_FB" dataDxfId="461"/>
    <tableColumn id="11" xr3:uid="{7B107B60-45A6-461D-8496-C6380F01A68E}" name="PTS_PAINT" dataDxfId="460"/>
    <tableColumn id="12" xr3:uid="{25B8DD17-2A51-4903-832C-2D0A652253BB}" name="OPP_PTS_OFF_TOV" dataDxfId="459"/>
    <tableColumn id="13" xr3:uid="{2B57F8ED-1D5A-496B-879F-49919CA2084B}" name="OPP_PTS_2ND_CHANCE" dataDxfId="458"/>
    <tableColumn id="14" xr3:uid="{4287A14E-0B67-4897-8FF6-5663B5FDB92D}" name="OPP_PTS_FB" dataDxfId="457"/>
    <tableColumn id="15" xr3:uid="{E2ED82E8-84CC-418A-A2B8-AD3A4C31A973}" name="OPP_PTS_PAINT" dataDxfId="456"/>
    <tableColumn id="16" xr3:uid="{1C5FDD29-59E8-486B-9C23-096A07742301}" name="GP_RANK" dataDxfId="455"/>
    <tableColumn id="17" xr3:uid="{ACB7A8B8-D162-4744-ADAA-7089CEF57718}" name="W_RANK" dataDxfId="454"/>
    <tableColumn id="18" xr3:uid="{C7B6E237-F899-46BB-A687-27C21288358A}" name="L_RANK" dataDxfId="453"/>
    <tableColumn id="19" xr3:uid="{A41C4171-A588-49EB-9AF3-9D18929D1FCA}" name="W_PCT_RANK" dataDxfId="452"/>
    <tableColumn id="20" xr3:uid="{D996587E-BD17-4D8E-82E2-40F892777924}" name="MIN_RANK" dataDxfId="451"/>
    <tableColumn id="21" xr3:uid="{82C60220-109E-488C-B6E7-CB6417509971}" name="PTS_OFF_TOV_RANK" dataDxfId="450"/>
    <tableColumn id="22" xr3:uid="{729A20A9-F698-4842-A6F5-A1851B82FE7C}" name="PTS_2ND_CHANCE_RANK" dataDxfId="449"/>
    <tableColumn id="23" xr3:uid="{CDBFC5A3-5A4A-4BCA-83AE-3CA6512AA4E9}" name="PTS_FB_RANK" dataDxfId="448"/>
    <tableColumn id="24" xr3:uid="{E6752A33-EF9F-47E8-952A-D3689080C834}" name="PTS_PAINT_RANK" dataDxfId="447"/>
    <tableColumn id="25" xr3:uid="{69986DF8-76B8-457D-B6FD-EDC199C111E1}" name="OPP_PTS_OFF_TOV_RANK" dataDxfId="446"/>
    <tableColumn id="26" xr3:uid="{29BB5A66-4321-4F51-A9DD-53388F15FF77}" name="OPP_PTS_2ND_CHANCE_RANK" dataDxfId="445"/>
    <tableColumn id="27" xr3:uid="{5364A595-7D65-4110-9F72-756981DEBAD5}" name="OPP_PTS_FB_RANK" dataDxfId="444"/>
    <tableColumn id="28" xr3:uid="{6DDE5AC4-97A5-4F69-BFED-4130EA16E78E}" name="OPP_PTS_PAINT_RANK" dataDxfId="443"/>
    <tableColumn id="29" xr3:uid="{72EA02BF-6933-40CA-A12C-270F0D4CFDDB}" name="CFID" dataDxfId="442"/>
    <tableColumn id="30" xr3:uid="{5CFBF4D6-5625-432B-ABCE-6899381D7575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F84371A-D857-421D-B01D-179F8501AB55}" name="TableOppBaseN1" displayName="TableOppBaseN1" ref="A1:BD31" totalsRowShown="0" headerRowDxfId="326">
  <autoFilter ref="A1:BD31" xr:uid="{904FF2F7-F5E5-45F5-B9A5-DE0FABB651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48E09DF-1485-459F-BD42-37670BB5148D}" name="TEAM_ID" dataDxfId="382"/>
    <tableColumn id="2" xr3:uid="{BB0591F9-B5EB-46FD-B063-9188B1B80E7D}" name="TEAM_NAME" dataDxfId="381"/>
    <tableColumn id="3" xr3:uid="{02C377B8-858C-476F-9E27-9378D27350EE}" name="GP" dataDxfId="380"/>
    <tableColumn id="4" xr3:uid="{DC0F318C-41C8-4B8C-BA94-3A5A85BE41DB}" name="W" dataDxfId="379"/>
    <tableColumn id="5" xr3:uid="{34570A90-367B-4AD7-8D81-6CCEE862E02B}" name="L" dataDxfId="378"/>
    <tableColumn id="6" xr3:uid="{333A1229-2551-4D8A-AF7A-03F3EE61B420}" name="W_PCT" dataDxfId="377"/>
    <tableColumn id="7" xr3:uid="{65E74F0B-E4EC-46A5-81C8-7201EFCF7D9C}" name="MIN" dataDxfId="376"/>
    <tableColumn id="8" xr3:uid="{C2093CBF-2057-4BE2-BB57-83E44EC13A7C}" name="OPP_FGM" dataDxfId="375"/>
    <tableColumn id="9" xr3:uid="{7A332FF9-E641-4048-885D-00484208F556}" name="OPP_FGA" dataDxfId="374"/>
    <tableColumn id="10" xr3:uid="{0CBC4820-60A0-4B0C-B308-9FBB90C639E8}" name="OPP_FG_PCT" dataDxfId="373"/>
    <tableColumn id="11" xr3:uid="{FBBEB187-DF24-4D75-8B94-C4430134F855}" name="OPP_FG3M" dataDxfId="372"/>
    <tableColumn id="12" xr3:uid="{B66E4178-B11C-4ADA-804C-8BB452219D33}" name="OPP_FG3A" dataDxfId="371"/>
    <tableColumn id="13" xr3:uid="{E9260F0C-3DB5-4397-8BEE-B18D9F3D0D81}" name="OPP_FG3_PCT" dataDxfId="370"/>
    <tableColumn id="14" xr3:uid="{7C01C90D-D2AC-43D2-A4D1-A1CDE77093FF}" name="OPP_FTM" dataDxfId="369"/>
    <tableColumn id="15" xr3:uid="{A33DDFD7-DC17-4167-814E-E89E1F0FD97B}" name="OPP_FTA" dataDxfId="368"/>
    <tableColumn id="16" xr3:uid="{9C6D916A-EFF9-42D0-9C68-603F9BE9961F}" name="OPP_FT_PCT" dataDxfId="367"/>
    <tableColumn id="17" xr3:uid="{C099E7AE-0CB9-44C6-B6E4-14FD49F46069}" name="OPP_OREB" dataDxfId="366"/>
    <tableColumn id="18" xr3:uid="{F5BC2091-92B3-41F7-A17B-0CB3BD51ABBD}" name="OPP_DREB" dataDxfId="365"/>
    <tableColumn id="19" xr3:uid="{D1646CAF-2470-472A-83BA-9D6ECB3546A2}" name="OPP_REB" dataDxfId="364"/>
    <tableColumn id="20" xr3:uid="{4DB7B881-15C0-4FEF-89BB-38CB0D568FC4}" name="OPP_AST" dataDxfId="363"/>
    <tableColumn id="21" xr3:uid="{5FC5F46F-30B0-430D-964D-EA4F2BA21272}" name="OPP_TOV" dataDxfId="362"/>
    <tableColumn id="22" xr3:uid="{E9F68AB6-0ABE-4F4E-9972-5241F8DF705A}" name="OPP_STL" dataDxfId="361"/>
    <tableColumn id="23" xr3:uid="{56656A50-9FE5-46CA-9DE6-FDC00B403756}" name="OPP_BLK" dataDxfId="360"/>
    <tableColumn id="24" xr3:uid="{0F8A3918-A27D-4032-8B28-D19A12A23A1F}" name="OPP_BLKA" dataDxfId="359"/>
    <tableColumn id="25" xr3:uid="{0F677CA8-3C9D-4C9C-9F70-A54AB7636F08}" name="OPP_PF" dataDxfId="358"/>
    <tableColumn id="26" xr3:uid="{4F8D6F48-A713-41FC-999F-5BA9B1E0B766}" name="OPP_PFD" dataDxfId="357"/>
    <tableColumn id="27" xr3:uid="{C60A15E4-72D0-41B2-B476-853C15CC5563}" name="OPP_PTS" dataDxfId="356"/>
    <tableColumn id="28" xr3:uid="{FBAEDFE9-94CB-4528-99C2-828D2B651ECB}" name="PLUS_MINUS" dataDxfId="355"/>
    <tableColumn id="29" xr3:uid="{4BAECB8E-EAFB-4D9B-8085-7CF5671BD225}" name="GP_RANK" dataDxfId="354"/>
    <tableColumn id="30" xr3:uid="{334BBDDF-8A89-4CA7-8363-894106C54EA1}" name="W_RANK" dataDxfId="353"/>
    <tableColumn id="31" xr3:uid="{4D6E76D2-AB75-474A-B850-AEBB525D48FA}" name="L_RANK" dataDxfId="352"/>
    <tableColumn id="32" xr3:uid="{3C9F6784-2483-43AA-8A92-4D505305607E}" name="W_PCT_RANK" dataDxfId="351"/>
    <tableColumn id="33" xr3:uid="{77677330-FCA7-409C-8571-3271F8C79314}" name="MIN_RANK" dataDxfId="350"/>
    <tableColumn id="34" xr3:uid="{164C00E9-F8CB-4B17-BF0A-3D75CADAD197}" name="OPP_FGM_RANK" dataDxfId="349"/>
    <tableColumn id="35" xr3:uid="{D015B18F-FBB6-4D62-BC8D-200362003B0A}" name="OPP_FGA_RANK" dataDxfId="348"/>
    <tableColumn id="36" xr3:uid="{595CAFF2-D5F0-42C9-B3E0-9E179F2A64B1}" name="OPP_FG_PCT_RANK" dataDxfId="347"/>
    <tableColumn id="37" xr3:uid="{722B2854-C96D-4E39-A9ED-90E239F5CF66}" name="OPP_FG3M_RANK" dataDxfId="346"/>
    <tableColumn id="38" xr3:uid="{0F9EA804-55BB-4A11-A53C-E1C5C106F64A}" name="OPP_FG3A_RANK" dataDxfId="345"/>
    <tableColumn id="39" xr3:uid="{BE2A9216-AD98-45BE-9330-D7B628820860}" name="OPP_FG3_PCT_RANK" dataDxfId="344"/>
    <tableColumn id="40" xr3:uid="{08DFDE45-E249-4DFF-A351-F00AEF88E581}" name="OPP_FTM_RANK" dataDxfId="343"/>
    <tableColumn id="41" xr3:uid="{11CB5624-CDA0-4D64-86EE-FAA8C00FC05D}" name="OPP_FTA_RANK" dataDxfId="342"/>
    <tableColumn id="42" xr3:uid="{FCD5BC66-8E02-4FE7-B82F-4DD29B1ABBAC}" name="OPP_FT_PCT_RANK" dataDxfId="341"/>
    <tableColumn id="43" xr3:uid="{3DF637D9-A696-4146-B3A9-EDD3EC413C64}" name="OPP_OREB_RANK" dataDxfId="340"/>
    <tableColumn id="44" xr3:uid="{EB45FB8F-26B7-4717-8EB2-A32CCC114A4F}" name="OPP_DREB_RANK" dataDxfId="339"/>
    <tableColumn id="45" xr3:uid="{C76D20E8-C182-4AE8-B8C6-645078FC9420}" name="OPP_REB_RANK" dataDxfId="338"/>
    <tableColumn id="46" xr3:uid="{C608C7AF-2FEB-4A7D-8FEA-D4D9A483183C}" name="OPP_AST_RANK" dataDxfId="337"/>
    <tableColumn id="47" xr3:uid="{026F75D9-9CF9-492B-BDC2-BFA0D482CB3A}" name="OPP_TOV_RANK" dataDxfId="336"/>
    <tableColumn id="48" xr3:uid="{0D8C02C3-467D-478A-9151-616FD6C9B55B}" name="OPP_STL_RANK" dataDxfId="335"/>
    <tableColumn id="49" xr3:uid="{7B98C9A0-7CE1-4458-829A-ED553F4E8990}" name="OPP_BLK_RANK" dataDxfId="334"/>
    <tableColumn id="50" xr3:uid="{BADB8352-BCFB-4FB7-A40F-209D445BDF28}" name="OPP_BLKA_RANK" dataDxfId="333"/>
    <tableColumn id="51" xr3:uid="{DA8A7D21-3496-4926-ABB5-56FD7222144F}" name="OPP_PF_RANK" dataDxfId="332"/>
    <tableColumn id="52" xr3:uid="{0F2E83FF-008F-492A-AE78-17EDD57E2A4F}" name="OPP_PFD_RANK" dataDxfId="331"/>
    <tableColumn id="53" xr3:uid="{8AC2D67C-EA0A-4CCB-A6A6-34D8BD57A5DC}" name="OPP_PTS_RANK" dataDxfId="330"/>
    <tableColumn id="54" xr3:uid="{2748D964-B50C-44EF-9852-23376D18EA98}" name="PLUS_MINUS_RANK" dataDxfId="329"/>
    <tableColumn id="55" xr3:uid="{5889F9B2-88AA-450B-9394-04C2D37C186B}" name="CFID" dataDxfId="328"/>
    <tableColumn id="56" xr3:uid="{D8A91030-E169-423F-BE95-EEBF231C7D97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C2100F9-7A5D-4892-B841-AB35F52444DD}" name="TableClutchBaseN1" displayName="TableClutchBaseN1" ref="A1:BD31" totalsRowShown="0" headerRowDxfId="212">
  <autoFilter ref="A1:BD31" xr:uid="{19CEA388-6411-4672-AB68-C0D765209B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08292C2-BB3D-4B1E-AC65-34BEFA30A6A5}" name="TEAM_ID" dataDxfId="268"/>
    <tableColumn id="2" xr3:uid="{A33B9ECA-06A4-4F7A-BEA6-7CB85BB3D603}" name="TEAM_NAME" dataDxfId="267"/>
    <tableColumn id="3" xr3:uid="{85D4F0CC-89D5-46FC-9454-7C1B50575A3C}" name="GP" dataDxfId="266"/>
    <tableColumn id="4" xr3:uid="{F1ABF364-1A7E-4F53-AB52-EA0A6707F9FE}" name="W" dataDxfId="265"/>
    <tableColumn id="5" xr3:uid="{C5C0890F-0491-471E-A308-78DF3ACB9213}" name="L" dataDxfId="264"/>
    <tableColumn id="6" xr3:uid="{8B68FBB0-37A6-4F4A-9E45-AD0FBBA59DFB}" name="W_PCT" dataDxfId="263"/>
    <tableColumn id="7" xr3:uid="{47B73A06-C4B0-4F4E-AA27-01B1D23DC792}" name="MIN" dataDxfId="262"/>
    <tableColumn id="8" xr3:uid="{74E8D02A-42FD-4844-B986-E370F1F68011}" name="FGM" dataDxfId="261"/>
    <tableColumn id="9" xr3:uid="{391847B3-DBF9-4B46-929A-46D3EE47995E}" name="FGA" dataDxfId="260"/>
    <tableColumn id="10" xr3:uid="{77D647A5-FA57-4CBE-97BD-C1078238821C}" name="FG_PCT" dataDxfId="259"/>
    <tableColumn id="11" xr3:uid="{3813F9C6-FD0F-44CB-A956-0EE2AC25D9A7}" name="FG3M" dataDxfId="258"/>
    <tableColumn id="12" xr3:uid="{3978E630-4F5B-4FC0-B778-31E7F66CA345}" name="FG3A" dataDxfId="257"/>
    <tableColumn id="13" xr3:uid="{73489E02-2964-4171-857D-D62EDA5A3E82}" name="FG3_PCT" dataDxfId="256"/>
    <tableColumn id="14" xr3:uid="{8602B52F-FE3F-46BE-B4B2-63FB24554772}" name="FTM" dataDxfId="255"/>
    <tableColumn id="15" xr3:uid="{9BA081BD-388C-4752-BD91-8012C66CF92F}" name="FTA" dataDxfId="254"/>
    <tableColumn id="16" xr3:uid="{DE68A90E-3E1F-4599-B378-14D08259EB34}" name="FT_PCT" dataDxfId="253"/>
    <tableColumn id="17" xr3:uid="{FCFFA902-B702-43E9-8153-DE7E87CAE21C}" name="OREB" dataDxfId="252"/>
    <tableColumn id="18" xr3:uid="{D6422349-697F-4778-8EE7-190CCC3F02E9}" name="DREB" dataDxfId="251"/>
    <tableColumn id="19" xr3:uid="{337848F9-7861-4237-B75C-9CAE6A171121}" name="REB" dataDxfId="250"/>
    <tableColumn id="20" xr3:uid="{93466C48-05D1-429D-A1DA-CF0AACAEAF63}" name="AST" dataDxfId="249"/>
    <tableColumn id="21" xr3:uid="{0A10883A-03CB-414E-8AA9-DEB92E4F5FFB}" name="TOV" dataDxfId="248"/>
    <tableColumn id="22" xr3:uid="{74CBBDAA-98A7-48D3-BFF4-F63852005B62}" name="STL" dataDxfId="247"/>
    <tableColumn id="23" xr3:uid="{582AE95F-92EF-473C-B07C-66974223E839}" name="BLK" dataDxfId="246"/>
    <tableColumn id="24" xr3:uid="{03001CC7-F8FC-4EF2-BF3B-1528CCCDD70E}" name="BLKA" dataDxfId="245"/>
    <tableColumn id="25" xr3:uid="{B130A6F8-A5C0-4AF2-8081-7D243F52B7AE}" name="PF" dataDxfId="244"/>
    <tableColumn id="26" xr3:uid="{88F0FD51-FAC9-41FC-8200-34CCCBC4F9F5}" name="PFD" dataDxfId="243"/>
    <tableColumn id="27" xr3:uid="{EDDB3D6F-A118-4E30-8BFD-20322C40B9E6}" name="PTS" dataDxfId="242"/>
    <tableColumn id="28" xr3:uid="{399ED380-8EF8-4C67-9E02-2B741DAB4CD5}" name="PLUS_MINUS" dataDxfId="241"/>
    <tableColumn id="29" xr3:uid="{DF3F432D-1E33-4139-A5E0-66E3B2DD6F1E}" name="GP_RANK" dataDxfId="240"/>
    <tableColumn id="30" xr3:uid="{F82603EC-35AB-43CE-88BD-F58174F77F95}" name="W_RANK" dataDxfId="239"/>
    <tableColumn id="31" xr3:uid="{89BC7F92-3373-497F-ABE3-5870206852F5}" name="L_RANK" dataDxfId="238"/>
    <tableColumn id="32" xr3:uid="{C7789D80-1D72-407C-B5C7-B92E1C33FEE0}" name="W_PCT_RANK" dataDxfId="237"/>
    <tableColumn id="33" xr3:uid="{EB98307A-728E-42E4-951F-AA9CF54CD599}" name="MIN_RANK" dataDxfId="236"/>
    <tableColumn id="34" xr3:uid="{634FD125-A348-4B5F-85AF-767AC9CEFFEB}" name="FGM_RANK" dataDxfId="235"/>
    <tableColumn id="35" xr3:uid="{B67A005B-E3E1-4278-9394-92121745DBF5}" name="FGA_RANK" dataDxfId="234"/>
    <tableColumn id="36" xr3:uid="{5AB1281D-F04D-44EC-89B2-14E20050A022}" name="FG_PCT_RANK" dataDxfId="233"/>
    <tableColumn id="37" xr3:uid="{0B0FBEF7-F9C8-4F15-B036-26172DB941F6}" name="FG3M_RANK" dataDxfId="232"/>
    <tableColumn id="38" xr3:uid="{141A3D40-59CF-486E-BEBB-24392D8FDB2E}" name="FG3A_RANK" dataDxfId="231"/>
    <tableColumn id="39" xr3:uid="{1FA371A3-14C6-494D-8EF5-43A445FB8E69}" name="FG3_PCT_RANK" dataDxfId="230"/>
    <tableColumn id="40" xr3:uid="{6D9974D8-D3A0-40BB-80B9-D07365A4FBB4}" name="FTM_RANK" dataDxfId="229"/>
    <tableColumn id="41" xr3:uid="{1A543E3A-F616-4128-9E4E-0BE00A34E59C}" name="FTA_RANK" dataDxfId="228"/>
    <tableColumn id="42" xr3:uid="{1BB7907D-02BD-4E96-A09A-981F34B85D51}" name="FT_PCT_RANK" dataDxfId="227"/>
    <tableColumn id="43" xr3:uid="{3D6F2439-6617-40FE-A292-BD72BC94C277}" name="OREB_RANK" dataDxfId="226"/>
    <tableColumn id="44" xr3:uid="{3C2FC6C4-B54F-4542-B502-40E2F7BF3514}" name="DREB_RANK" dataDxfId="225"/>
    <tableColumn id="45" xr3:uid="{FCA9DD69-A6C2-4DBB-A8FB-E83D43B7C714}" name="REB_RANK" dataDxfId="224"/>
    <tableColumn id="46" xr3:uid="{D243AD82-019E-44CE-8CC8-CBC5F4E429A7}" name="AST_RANK" dataDxfId="223"/>
    <tableColumn id="47" xr3:uid="{0D19B24B-0DF6-4B9C-B616-807F92C5B12D}" name="TOV_RANK" dataDxfId="222"/>
    <tableColumn id="48" xr3:uid="{B67C56DD-98EB-4871-B940-0F9D08C46D75}" name="STL_RANK" dataDxfId="221"/>
    <tableColumn id="49" xr3:uid="{01951FA4-EEE9-4593-86C7-B187470753BA}" name="BLK_RANK" dataDxfId="220"/>
    <tableColumn id="50" xr3:uid="{A278A57C-2566-4E14-AACB-CC13EE8311B7}" name="BLKA_RANK" dataDxfId="219"/>
    <tableColumn id="51" xr3:uid="{A0014CF7-5811-487E-B88D-1C616257678F}" name="PF_RANK" dataDxfId="218"/>
    <tableColumn id="52" xr3:uid="{FAFD88C9-69BA-438A-AC21-B62A572D61AA}" name="PFD_RANK" dataDxfId="217"/>
    <tableColumn id="53" xr3:uid="{78D288F6-B048-4600-A670-AA402C6DFD37}" name="PTS_RANK" dataDxfId="216"/>
    <tableColumn id="54" xr3:uid="{BD876DAA-5950-46F9-B6A2-C3564C7B2734}" name="PLUS_MINUS_RANK" dataDxfId="215"/>
    <tableColumn id="55" xr3:uid="{122A16CA-20D4-4893-9296-67C634179D0F}" name="CFID" dataDxfId="214"/>
    <tableColumn id="56" xr3:uid="{AF1572FF-9CF5-4053-80D1-FB6113D17D02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9BCA4C5-5499-4C82-AD7F-4DD95087D93A}" name="TableClutchOpponentN1" displayName="TableClutchOpponentN1" ref="A1:BD31" totalsRowShown="0" headerRowDxfId="98">
  <autoFilter ref="A1:BD31" xr:uid="{E6E08A07-52A0-499A-A9E4-0451CD79BAF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17B76CE-3E12-49F0-B406-2AD871FCE628}" name="TEAM_ID" dataDxfId="154"/>
    <tableColumn id="2" xr3:uid="{4F628396-D510-4ACA-BE1E-D779B827B7D0}" name="TEAM_NAME" dataDxfId="153"/>
    <tableColumn id="3" xr3:uid="{DF102964-229B-4F8C-A818-A6E11D55883C}" name="GP" dataDxfId="152"/>
    <tableColumn id="4" xr3:uid="{073C196C-9CF0-43ED-BCDF-50EACF1F3042}" name="W" dataDxfId="151"/>
    <tableColumn id="5" xr3:uid="{018C8672-F52A-4E50-8DFC-154F4C53A435}" name="L" dataDxfId="150"/>
    <tableColumn id="6" xr3:uid="{A8119FA9-7650-47A0-B5DA-E40DA426200C}" name="W_PCT" dataDxfId="149"/>
    <tableColumn id="7" xr3:uid="{C75094B7-78EC-495E-9BFA-61139B520E99}" name="MIN" dataDxfId="148"/>
    <tableColumn id="8" xr3:uid="{B69A0FDB-C863-4156-96ED-B2358BBFE458}" name="OPP_FGM" dataDxfId="147"/>
    <tableColumn id="9" xr3:uid="{E9B2DB88-ACD9-47CC-BE92-18EA09FFB93B}" name="OPP_FGA" dataDxfId="146"/>
    <tableColumn id="10" xr3:uid="{E08FDCE7-6953-4BDD-A548-35D084B09163}" name="OPP_FG_PCT" dataDxfId="145"/>
    <tableColumn id="11" xr3:uid="{BEF46CDF-9BEF-4020-AB75-FACED7435414}" name="OPP_FG3M" dataDxfId="144"/>
    <tableColumn id="12" xr3:uid="{BB114C26-F58F-4234-BB13-F9C5A9745216}" name="OPP_FG3A" dataDxfId="143"/>
    <tableColumn id="13" xr3:uid="{EC061244-0048-450D-8221-72D4EAADBC93}" name="OPP_FG3_PCT" dataDxfId="142"/>
    <tableColumn id="14" xr3:uid="{7A210265-AD5D-45C9-AC73-340CAE588126}" name="OPP_FTM" dataDxfId="141"/>
    <tableColumn id="15" xr3:uid="{66C7CAE3-650C-427B-87F5-E6551B570113}" name="OPP_FTA" dataDxfId="140"/>
    <tableColumn id="16" xr3:uid="{30305D90-488B-4EE9-8E38-A6AC2E3EFCB9}" name="OPP_FT_PCT" dataDxfId="139"/>
    <tableColumn id="17" xr3:uid="{930786FD-BFB8-4219-86CD-6D8DBD365DEE}" name="OPP_OREB" dataDxfId="138"/>
    <tableColumn id="18" xr3:uid="{3C4BFB3C-AB50-4492-9C52-46521FD22F50}" name="OPP_DREB" dataDxfId="137"/>
    <tableColumn id="19" xr3:uid="{19CB23F8-700A-4E39-89DE-EC2EA04C4EE0}" name="OPP_REB" dataDxfId="136"/>
    <tableColumn id="20" xr3:uid="{B6EF5BE4-094C-46DD-8AAF-7686879DD4B9}" name="OPP_AST" dataDxfId="135"/>
    <tableColumn id="21" xr3:uid="{919530DC-4DB8-412A-B8AC-6BEECE6D950D}" name="OPP_TOV" dataDxfId="134"/>
    <tableColumn id="22" xr3:uid="{9D26730F-413F-4138-87D2-1F7D5C1AE5A4}" name="OPP_STL" dataDxfId="133"/>
    <tableColumn id="23" xr3:uid="{8ABCF146-E5C8-4568-94FF-B7FCA5DB1973}" name="OPP_BLK" dataDxfId="132"/>
    <tableColumn id="24" xr3:uid="{BD28C43F-8F18-483B-84ED-F2E7153B00D0}" name="OPP_BLKA" dataDxfId="131"/>
    <tableColumn id="25" xr3:uid="{700342C3-63FA-425D-9C9A-C8C56EB6FB27}" name="OPP_PF" dataDxfId="130"/>
    <tableColumn id="26" xr3:uid="{C02B7729-9AF3-49B2-A57F-8DB8E0ED26DA}" name="OPP_PFD" dataDxfId="129"/>
    <tableColumn id="27" xr3:uid="{2DCA2628-6D2F-4B2C-AC0B-A11ADB99EE17}" name="OPP_PTS" dataDxfId="128"/>
    <tableColumn id="28" xr3:uid="{CDF72262-53D0-44BB-BD20-977DE0A04ADD}" name="PLUS_MINUS" dataDxfId="127"/>
    <tableColumn id="29" xr3:uid="{9BCE747D-873B-4B89-9511-D275E79BA107}" name="GP_RANK" dataDxfId="126"/>
    <tableColumn id="30" xr3:uid="{37978164-8C0A-4325-8386-E8DDE76BA855}" name="W_RANK" dataDxfId="125"/>
    <tableColumn id="31" xr3:uid="{D6F7CDBC-CA81-48AB-80D6-7D4149174C4F}" name="L_RANK" dataDxfId="124"/>
    <tableColumn id="32" xr3:uid="{EAAD5190-6595-4EA0-AA35-82F87414F541}" name="W_PCT_RANK" dataDxfId="123"/>
    <tableColumn id="33" xr3:uid="{581AA804-B109-4AA0-AF55-ADC2BC4A4B6D}" name="MIN_RANK" dataDxfId="122"/>
    <tableColumn id="34" xr3:uid="{EDB985D4-8960-472E-918E-EBCE79D9204A}" name="OPP_FGM_RANK" dataDxfId="121"/>
    <tableColumn id="35" xr3:uid="{93AB47EC-2BAE-4D43-B14F-AE7B943FC5A8}" name="OPP_FGA_RANK" dataDxfId="120"/>
    <tableColumn id="36" xr3:uid="{A2F8D040-54F9-4E28-BBD9-808D25B9760B}" name="OPP_FG_PCT_RANK" dataDxfId="119"/>
    <tableColumn id="37" xr3:uid="{450B2C64-89A6-4273-AF03-FB37761BFF2D}" name="OPP_FG3M_RANK" dataDxfId="118"/>
    <tableColumn id="38" xr3:uid="{6326BDD3-75F1-4C47-AEAF-8CBEBEC570EC}" name="OPP_FG3A_RANK" dataDxfId="117"/>
    <tableColumn id="39" xr3:uid="{29DDD624-A387-49CE-BD83-9816B75F1EBE}" name="OPP_FG3_PCT_RANK" dataDxfId="116"/>
    <tableColumn id="40" xr3:uid="{335BD24C-7767-4D99-9F8B-D48CE3A9761A}" name="OPP_FTM_RANK" dataDxfId="115"/>
    <tableColumn id="41" xr3:uid="{79031FB1-E558-4CB8-A3FD-4289D21E7A9B}" name="OPP_FTA_RANK" dataDxfId="114"/>
    <tableColumn id="42" xr3:uid="{66343209-CA2D-4D42-A741-7D35355E01B0}" name="OPP_FT_PCT_RANK" dataDxfId="113"/>
    <tableColumn id="43" xr3:uid="{05E12559-4205-4DB0-8B1B-6EDCB81122AA}" name="OPP_OREB_RANK" dataDxfId="112"/>
    <tableColumn id="44" xr3:uid="{1942E232-F35C-4B83-9FFF-47C77B507DD8}" name="OPP_DREB_RANK" dataDxfId="111"/>
    <tableColumn id="45" xr3:uid="{AE6B3C8B-0AEF-4841-8C5A-F484D0B8907D}" name="OPP_REB_RANK" dataDxfId="110"/>
    <tableColumn id="46" xr3:uid="{F2DC07CB-E8E5-47CD-AC5C-79DCA7314BC5}" name="OPP_AST_RANK" dataDxfId="109"/>
    <tableColumn id="47" xr3:uid="{02C6FDB3-66B6-4D95-9F32-D4D9BD274A13}" name="OPP_TOV_RANK" dataDxfId="108"/>
    <tableColumn id="48" xr3:uid="{038C0DA1-6DBA-45BF-8F1B-D7FA2FCFE712}" name="OPP_STL_RANK" dataDxfId="107"/>
    <tableColumn id="49" xr3:uid="{44CC704C-61AA-4BF5-8637-8E0BC1AEE28F}" name="OPP_BLK_RANK" dataDxfId="106"/>
    <tableColumn id="50" xr3:uid="{33F9E28B-C82C-42B1-A94E-D6DBFF8A77E3}" name="OPP_BLKA_RANK" dataDxfId="105"/>
    <tableColumn id="51" xr3:uid="{7BC18070-94BF-4CFB-9997-09F694C8898E}" name="OPP_PF_RANK" dataDxfId="104"/>
    <tableColumn id="52" xr3:uid="{954AFB2F-8505-489C-9D7A-A5E719F98E43}" name="OPP_PFD_RANK" dataDxfId="103"/>
    <tableColumn id="53" xr3:uid="{5FD24A91-0272-48B8-9AD3-4B8ABF99D126}" name="OPP_PTS_RANK" dataDxfId="102"/>
    <tableColumn id="54" xr3:uid="{B86558F2-AC71-4FD0-BBD2-8F2DF4D3CFAD}" name="PLUS_MINUS_RANK" dataDxfId="101"/>
    <tableColumn id="55" xr3:uid="{4E55AA1E-F279-48F4-B06C-69E2BE125993}" name="CFID" dataDxfId="100"/>
    <tableColumn id="56" xr3:uid="{5450AF9D-BB30-40CB-900F-7402CD9C0D06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8D5107C-4260-45CF-89ED-420BD38FF9F2}" name="TableClutchAdvancedN1" displayName="TableClutchAdvancedN1" ref="A1:AV31" totalsRowShown="0" headerRowDxfId="0">
  <autoFilter ref="A1:AV31" xr:uid="{E7C1CCD1-DF79-4089-ABBE-AE7CF3656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9A87795-7AA0-473D-9867-41A96CDC53ED}" name="TEAM_ID" dataDxfId="48"/>
    <tableColumn id="2" xr3:uid="{665C83AD-2DFC-4874-991E-6A2B5B27E542}" name="TEAM_NAME" dataDxfId="47"/>
    <tableColumn id="3" xr3:uid="{35889049-E9A1-4AA8-9430-82FF3E274AE9}" name="GP" dataDxfId="46"/>
    <tableColumn id="4" xr3:uid="{B6EA1328-4375-48BE-BF80-B311F739F808}" name="W" dataDxfId="45"/>
    <tableColumn id="5" xr3:uid="{FA1AF7A9-8756-4A57-B05F-DD9B3B7C5891}" name="L" dataDxfId="44"/>
    <tableColumn id="6" xr3:uid="{7044F27D-08E4-4C8E-9BEE-66DBEC427A6C}" name="W_PCT" dataDxfId="43"/>
    <tableColumn id="7" xr3:uid="{12D9F8C2-3DC5-4F37-BE14-BCA239DE0537}" name="MIN" dataDxfId="42"/>
    <tableColumn id="8" xr3:uid="{202550FB-0225-4FC0-8751-4D65FC30EB92}" name="E_OFF_RATING" dataDxfId="41"/>
    <tableColumn id="9" xr3:uid="{46B4DB3E-5CEC-462A-92E8-1FC4E0AF957B}" name="OFF_RATING" dataDxfId="40"/>
    <tableColumn id="10" xr3:uid="{013E3414-52FD-4FF6-9028-A9DD02278A72}" name="E_DEF_RATING" dataDxfId="39"/>
    <tableColumn id="11" xr3:uid="{F43D9D5C-2353-4768-8495-D65E7FF600EC}" name="DEF_RATING" dataDxfId="38"/>
    <tableColumn id="12" xr3:uid="{222210CD-4FF0-4FA7-A7FF-74E6E37D77E2}" name="E_NET_RATING" dataDxfId="37"/>
    <tableColumn id="13" xr3:uid="{5E7D9CD7-BCEB-4A9F-B4E9-D034507DFA16}" name="NET_RATING" dataDxfId="36"/>
    <tableColumn id="14" xr3:uid="{6D1C7A9E-D6CE-4786-AE14-5B95F0CBC640}" name="AST_PCT" dataDxfId="35"/>
    <tableColumn id="15" xr3:uid="{EF355A66-C32B-440D-8ACD-F43EFB637FE3}" name="AST_TO" dataDxfId="34"/>
    <tableColumn id="16" xr3:uid="{7B2DBF71-A9A1-404E-B02F-91208DCC86F7}" name="AST_RATIO" dataDxfId="33"/>
    <tableColumn id="17" xr3:uid="{3F31AED4-37E2-4B7D-9B3F-443B9D9F6242}" name="OREB_PCT" dataDxfId="32"/>
    <tableColumn id="18" xr3:uid="{C0C17D07-A526-4E4C-ABAE-B9D978C5A246}" name="DREB_PCT" dataDxfId="31"/>
    <tableColumn id="19" xr3:uid="{42A8DA6B-85A4-4488-8BE1-9334A890A33F}" name="REB_PCT" dataDxfId="30"/>
    <tableColumn id="20" xr3:uid="{17FD798A-B762-4D49-9485-B624A1995747}" name="TM_TOV_PCT" dataDxfId="29"/>
    <tableColumn id="21" xr3:uid="{64F9163D-14C4-4C66-91E8-A0D5FD0082FB}" name="EFG_PCT" dataDxfId="28"/>
    <tableColumn id="22" xr3:uid="{26D8D3AB-806D-4EA2-A361-FE6C724B1D95}" name="TS_PCT" dataDxfId="27"/>
    <tableColumn id="23" xr3:uid="{737B6FA2-476E-41B2-BFBF-36CB34C7BE83}" name="E_PACE" dataDxfId="26"/>
    <tableColumn id="24" xr3:uid="{751CF4FC-B21C-4BC0-9EC6-A7460A634D4F}" name="PACE" dataDxfId="25"/>
    <tableColumn id="25" xr3:uid="{6DE8FA87-8523-4A37-9AC0-B04D2DF2E23D}" name="PACE_PER40" dataDxfId="24"/>
    <tableColumn id="26" xr3:uid="{C61B43FD-C9E4-46B9-B4B8-4DD83434E7E6}" name="POSS" dataDxfId="23"/>
    <tableColumn id="27" xr3:uid="{94072A0F-37E3-4091-8241-22A9D39CA3EB}" name="PIE" dataDxfId="22"/>
    <tableColumn id="28" xr3:uid="{C8596DE8-BED2-410D-A4DC-79DCA1E0A61F}" name="GP_RANK" dataDxfId="21"/>
    <tableColumn id="29" xr3:uid="{C5AEF915-33A8-4AAB-A950-3F1BAE5B6BFB}" name="W_RANK" dataDxfId="20"/>
    <tableColumn id="30" xr3:uid="{75CB8147-DB62-41B7-AC12-F6AC8C9C3890}" name="L_RANK" dataDxfId="19"/>
    <tableColumn id="31" xr3:uid="{BCEE0456-A0D0-4CF7-ADE3-4E83B9C7EF9C}" name="W_PCT_RANK" dataDxfId="18"/>
    <tableColumn id="32" xr3:uid="{8FFA5E3F-E13A-4A68-BE29-E8139DD60625}" name="MIN_RANK" dataDxfId="17"/>
    <tableColumn id="33" xr3:uid="{E89A2E35-C0F3-452C-B5D6-2FE9E4D5DEBE}" name="OFF_RATING_RANK" dataDxfId="16"/>
    <tableColumn id="34" xr3:uid="{A40485CE-3649-44BC-B43C-86DD7A0A89C1}" name="DEF_RATING_RANK" dataDxfId="15"/>
    <tableColumn id="35" xr3:uid="{47E311E6-BC8C-472F-BA16-FE1861BC9601}" name="NET_RATING_RANK" dataDxfId="14"/>
    <tableColumn id="36" xr3:uid="{C0EE0EF7-446E-4BB6-A3D4-933EE338BE42}" name="AST_PCT_RANK" dataDxfId="13"/>
    <tableColumn id="37" xr3:uid="{B0229AA0-64B9-423E-A37B-1A7080AFF280}" name="AST_TO_RANK" dataDxfId="12"/>
    <tableColumn id="38" xr3:uid="{A1906BAA-84C3-4835-BFA5-5258EC4402D3}" name="AST_RATIO_RANK" dataDxfId="11"/>
    <tableColumn id="39" xr3:uid="{2222F07B-BD42-490E-91AB-CE638521CCCD}" name="OREB_PCT_RANK" dataDxfId="10"/>
    <tableColumn id="40" xr3:uid="{81B4B806-BDC5-422D-8010-4C90950E5D73}" name="DREB_PCT_RANK" dataDxfId="9"/>
    <tableColumn id="41" xr3:uid="{D0EA91E9-B506-42CE-8FAE-3A6A86E4A5F7}" name="REB_PCT_RANK" dataDxfId="8"/>
    <tableColumn id="42" xr3:uid="{0B4AA337-6C9A-4E02-9F2F-AE5B526BEEC4}" name="TM_TOV_PCT_RANK" dataDxfId="7"/>
    <tableColumn id="43" xr3:uid="{7E756D1F-5D3A-48A8-A1C1-041920CBBD4B}" name="EFG_PCT_RANK" dataDxfId="6"/>
    <tableColumn id="44" xr3:uid="{0231F590-AEAE-4E70-B5FB-1D2B3171731C}" name="TS_PCT_RANK" dataDxfId="5"/>
    <tableColumn id="45" xr3:uid="{B569DB46-FB24-4DD0-8263-7FD569588076}" name="PACE_RANK" dataDxfId="4"/>
    <tableColumn id="46" xr3:uid="{FDE895ED-1057-452F-9E86-EB90B5E89C2C}" name="PIE_RANK" dataDxfId="3"/>
    <tableColumn id="47" xr3:uid="{730F8741-8BE4-4BCF-BD30-C3D123E9F7B3}" name="CFID" dataDxfId="2"/>
    <tableColumn id="48" xr3:uid="{CA43B6AC-2A72-46CD-BD73-BEBE5E870D60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1407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1412</v>
      </c>
      <c r="D3" s="2">
        <v>5</v>
      </c>
      <c r="F3" s="1" t="s">
        <v>1408</v>
      </c>
      <c r="G3" s="2">
        <v>6</v>
      </c>
    </row>
    <row r="4" spans="1:7" x14ac:dyDescent="0.25">
      <c r="A4" s="23"/>
      <c r="B4" s="5" t="s">
        <v>6</v>
      </c>
      <c r="C4" s="11">
        <v>0.61</v>
      </c>
      <c r="F4" s="11">
        <v>0.64300000000000002</v>
      </c>
    </row>
    <row r="5" spans="1:7" x14ac:dyDescent="0.25">
      <c r="A5" s="23"/>
      <c r="B5" s="5" t="s">
        <v>7</v>
      </c>
      <c r="C5" s="1" t="s">
        <v>1413</v>
      </c>
      <c r="F5" s="1" t="s">
        <v>1409</v>
      </c>
    </row>
    <row r="6" spans="1:7" x14ac:dyDescent="0.25">
      <c r="A6" s="23"/>
      <c r="B6" s="5" t="s">
        <v>2</v>
      </c>
      <c r="C6" s="1" t="s">
        <v>1414</v>
      </c>
      <c r="F6" s="1" t="s">
        <v>1410</v>
      </c>
    </row>
    <row r="7" spans="1:7" x14ac:dyDescent="0.25">
      <c r="A7" s="23"/>
      <c r="B7" s="5" t="s">
        <v>3</v>
      </c>
      <c r="C7" s="1" t="s">
        <v>1415</v>
      </c>
      <c r="F7" s="1" t="s">
        <v>1411</v>
      </c>
    </row>
    <row r="8" spans="1:7" x14ac:dyDescent="0.25">
      <c r="A8" s="23"/>
      <c r="B8" s="5" t="s">
        <v>0</v>
      </c>
      <c r="C8" s="1" t="s">
        <v>1416</v>
      </c>
      <c r="F8" s="1" t="s">
        <v>1408</v>
      </c>
    </row>
    <row r="9" spans="1:7" x14ac:dyDescent="0.25">
      <c r="A9" s="23"/>
      <c r="B9" s="5" t="s">
        <v>1</v>
      </c>
      <c r="C9" s="1" t="s">
        <v>1417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0.46800000000000003</v>
      </c>
      <c r="D11" s="3">
        <v>10</v>
      </c>
      <c r="F11" s="9">
        <v>0.44400000000000001</v>
      </c>
      <c r="G11" s="3">
        <v>19</v>
      </c>
    </row>
    <row r="12" spans="1:7" x14ac:dyDescent="0.25">
      <c r="A12" s="23"/>
      <c r="B12" s="14" t="s">
        <v>36</v>
      </c>
      <c r="C12" s="8">
        <v>40.4</v>
      </c>
      <c r="D12" s="3">
        <v>19</v>
      </c>
      <c r="F12" s="8">
        <v>36.6</v>
      </c>
      <c r="G12" s="3">
        <v>30</v>
      </c>
    </row>
    <row r="13" spans="1:7" x14ac:dyDescent="0.25">
      <c r="A13" s="23"/>
      <c r="B13" s="14" t="s">
        <v>37</v>
      </c>
      <c r="C13" s="8">
        <v>86.4</v>
      </c>
      <c r="D13" s="3">
        <v>29</v>
      </c>
      <c r="F13" s="8">
        <v>82.5</v>
      </c>
      <c r="G13" s="3">
        <v>30</v>
      </c>
    </row>
    <row r="14" spans="1:7" x14ac:dyDescent="0.25">
      <c r="A14" s="23"/>
      <c r="B14" s="14" t="s">
        <v>27</v>
      </c>
      <c r="C14" s="9">
        <v>0.35599999999999998</v>
      </c>
      <c r="D14" s="3">
        <v>10</v>
      </c>
      <c r="F14" s="9">
        <v>0.36899999999999999</v>
      </c>
      <c r="G14" s="3">
        <v>8</v>
      </c>
    </row>
    <row r="15" spans="1:7" x14ac:dyDescent="0.25">
      <c r="A15" s="23"/>
      <c r="B15" s="14" t="s">
        <v>38</v>
      </c>
      <c r="C15" s="8">
        <v>12.1</v>
      </c>
      <c r="D15" s="3">
        <v>9</v>
      </c>
      <c r="F15" s="8">
        <v>11</v>
      </c>
      <c r="G15" s="3">
        <v>17</v>
      </c>
    </row>
    <row r="16" spans="1:7" x14ac:dyDescent="0.25">
      <c r="A16" s="23"/>
      <c r="B16" s="14" t="s">
        <v>39</v>
      </c>
      <c r="C16" s="8">
        <v>34</v>
      </c>
      <c r="D16" s="3">
        <v>9</v>
      </c>
      <c r="F16" s="8">
        <v>29.8</v>
      </c>
      <c r="G16" s="3">
        <v>24</v>
      </c>
    </row>
    <row r="17" spans="1:7" x14ac:dyDescent="0.25">
      <c r="A17" s="23"/>
      <c r="B17" s="14" t="s">
        <v>28</v>
      </c>
      <c r="C17" s="9">
        <v>0.73599999999999999</v>
      </c>
      <c r="D17" s="3">
        <v>26</v>
      </c>
      <c r="F17" s="9">
        <v>0.75700000000000001</v>
      </c>
      <c r="G17" s="3">
        <v>18</v>
      </c>
    </row>
    <row r="18" spans="1:7" x14ac:dyDescent="0.25">
      <c r="A18" s="23"/>
      <c r="B18" s="14" t="s">
        <v>41</v>
      </c>
      <c r="C18" s="8">
        <v>18.8</v>
      </c>
      <c r="D18" s="3">
        <v>8</v>
      </c>
      <c r="F18" s="8">
        <v>20.100000000000001</v>
      </c>
      <c r="G18" s="3">
        <v>5</v>
      </c>
    </row>
    <row r="19" spans="1:7" x14ac:dyDescent="0.25">
      <c r="A19" s="23"/>
      <c r="B19" s="14" t="s">
        <v>40</v>
      </c>
      <c r="C19" s="8">
        <v>25.5</v>
      </c>
      <c r="D19" s="3">
        <v>3</v>
      </c>
      <c r="F19" s="8">
        <v>26.5</v>
      </c>
      <c r="G19" s="3">
        <v>3</v>
      </c>
    </row>
    <row r="20" spans="1:7" x14ac:dyDescent="0.25">
      <c r="A20" s="23"/>
      <c r="B20" s="14" t="s">
        <v>29</v>
      </c>
      <c r="C20" s="8">
        <v>26</v>
      </c>
      <c r="D20" s="3">
        <v>8</v>
      </c>
      <c r="F20" s="8">
        <v>19.899999999999999</v>
      </c>
      <c r="G20" s="3">
        <v>28</v>
      </c>
    </row>
    <row r="21" spans="1:7" x14ac:dyDescent="0.25">
      <c r="A21" s="23"/>
      <c r="B21" s="14" t="s">
        <v>30</v>
      </c>
      <c r="C21" s="8">
        <v>15.1</v>
      </c>
      <c r="D21" s="3">
        <v>27</v>
      </c>
      <c r="F21" s="8">
        <v>15.8</v>
      </c>
      <c r="G21" s="3">
        <v>17</v>
      </c>
    </row>
    <row r="22" spans="1:7" x14ac:dyDescent="0.25">
      <c r="A22" s="23"/>
      <c r="B22" s="14" t="s">
        <v>32</v>
      </c>
      <c r="C22" s="8">
        <v>46.4</v>
      </c>
      <c r="D22" s="3">
        <v>9</v>
      </c>
      <c r="F22" s="8">
        <v>45.3</v>
      </c>
      <c r="G22" s="3">
        <v>18</v>
      </c>
    </row>
    <row r="23" spans="1:7" x14ac:dyDescent="0.25">
      <c r="A23" s="23"/>
      <c r="B23" s="14" t="s">
        <v>31</v>
      </c>
      <c r="C23" s="8">
        <v>10</v>
      </c>
      <c r="D23" s="3">
        <v>18</v>
      </c>
      <c r="F23" s="8">
        <v>8</v>
      </c>
      <c r="G23" s="3">
        <v>29</v>
      </c>
    </row>
    <row r="24" spans="1:7" x14ac:dyDescent="0.25">
      <c r="A24" s="23"/>
      <c r="B24" s="14" t="s">
        <v>33</v>
      </c>
      <c r="C24" s="8">
        <v>36.4</v>
      </c>
      <c r="D24" s="3">
        <v>5</v>
      </c>
      <c r="F24" s="8">
        <v>37.299999999999997</v>
      </c>
      <c r="G24" s="3">
        <v>4</v>
      </c>
    </row>
    <row r="25" spans="1:7" x14ac:dyDescent="0.25">
      <c r="A25" s="23"/>
      <c r="B25" s="14" t="s">
        <v>34</v>
      </c>
      <c r="C25" s="8">
        <v>8.1</v>
      </c>
      <c r="D25" s="3">
        <v>12</v>
      </c>
      <c r="F25" s="8">
        <v>6.6</v>
      </c>
      <c r="G25" s="3">
        <v>25</v>
      </c>
    </row>
    <row r="26" spans="1:7" x14ac:dyDescent="0.25">
      <c r="A26" s="23"/>
      <c r="B26" s="14" t="s">
        <v>35</v>
      </c>
      <c r="C26" s="8">
        <v>5.9</v>
      </c>
      <c r="D26" s="3">
        <v>3</v>
      </c>
      <c r="F26" s="8">
        <v>4.0999999999999996</v>
      </c>
      <c r="G26" s="3">
        <v>26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0.45200000000000001</v>
      </c>
      <c r="D28" s="3">
        <v>8</v>
      </c>
      <c r="F28" s="9">
        <v>0.42299999999999999</v>
      </c>
      <c r="G28" s="3">
        <v>3</v>
      </c>
    </row>
    <row r="29" spans="1:7" x14ac:dyDescent="0.25">
      <c r="A29" s="23"/>
      <c r="B29" s="18" t="s">
        <v>43</v>
      </c>
      <c r="C29" s="9">
        <v>0.35499999999999998</v>
      </c>
      <c r="D29" s="3">
        <v>15</v>
      </c>
      <c r="F29" s="9">
        <v>0.311</v>
      </c>
      <c r="G29" s="3">
        <v>2</v>
      </c>
    </row>
    <row r="30" spans="1:7" x14ac:dyDescent="0.25">
      <c r="A30" s="23"/>
      <c r="B30" s="18" t="s">
        <v>44</v>
      </c>
      <c r="C30" s="8">
        <v>9.8000000000000007</v>
      </c>
      <c r="D30" s="3">
        <v>2</v>
      </c>
      <c r="F30" s="8">
        <v>9.9</v>
      </c>
      <c r="G30" s="3">
        <v>2</v>
      </c>
    </row>
    <row r="31" spans="1:7" x14ac:dyDescent="0.25">
      <c r="A31" s="23"/>
      <c r="B31" s="17" t="s">
        <v>45</v>
      </c>
      <c r="C31" s="8">
        <v>27.7</v>
      </c>
      <c r="D31" s="3">
        <v>1</v>
      </c>
      <c r="F31" s="8">
        <v>31.7</v>
      </c>
      <c r="G31" s="3">
        <v>7</v>
      </c>
    </row>
    <row r="32" spans="1:7" x14ac:dyDescent="0.25">
      <c r="A32" s="23"/>
      <c r="B32" s="17" t="s">
        <v>46</v>
      </c>
      <c r="C32" s="8">
        <v>13.9</v>
      </c>
      <c r="D32" s="3">
        <v>15</v>
      </c>
      <c r="F32" s="8">
        <v>14.7</v>
      </c>
      <c r="G32" s="3">
        <v>25</v>
      </c>
    </row>
    <row r="33" spans="1:7" x14ac:dyDescent="0.25">
      <c r="A33" s="23"/>
      <c r="B33" s="17" t="s">
        <v>47</v>
      </c>
      <c r="C33" s="8">
        <v>8.9</v>
      </c>
      <c r="D33" s="3">
        <v>1</v>
      </c>
      <c r="F33" s="8">
        <v>9.1999999999999993</v>
      </c>
      <c r="G33" s="3">
        <v>6</v>
      </c>
    </row>
    <row r="35" spans="1:7" x14ac:dyDescent="0.25">
      <c r="A35" s="23" t="s">
        <v>60</v>
      </c>
      <c r="B35" s="4" t="s">
        <v>8</v>
      </c>
      <c r="C35" s="8">
        <v>110.3</v>
      </c>
      <c r="D35" s="3">
        <v>14</v>
      </c>
      <c r="F35" s="8">
        <v>104</v>
      </c>
      <c r="G35" s="3">
        <v>23</v>
      </c>
    </row>
    <row r="36" spans="1:7" x14ac:dyDescent="0.25">
      <c r="A36" s="23"/>
      <c r="B36" s="4" t="s">
        <v>9</v>
      </c>
      <c r="C36" s="8">
        <v>105.3</v>
      </c>
      <c r="D36" s="3">
        <v>2</v>
      </c>
      <c r="F36" s="8">
        <v>100.2</v>
      </c>
      <c r="G36" s="3">
        <v>1</v>
      </c>
    </row>
    <row r="37" spans="1:7" x14ac:dyDescent="0.25">
      <c r="A37" s="23"/>
      <c r="B37" s="4" t="s">
        <v>10</v>
      </c>
      <c r="C37" s="8">
        <v>5</v>
      </c>
      <c r="D37" s="3">
        <v>4</v>
      </c>
      <c r="F37" s="8">
        <v>3.8</v>
      </c>
      <c r="G37" s="3">
        <v>12</v>
      </c>
    </row>
    <row r="38" spans="1:7" x14ac:dyDescent="0.25">
      <c r="A38" s="23"/>
      <c r="B38" s="4" t="s">
        <v>11</v>
      </c>
      <c r="C38" s="13">
        <v>100.84</v>
      </c>
      <c r="D38" s="3">
        <v>14</v>
      </c>
      <c r="F38" s="13">
        <v>100.39</v>
      </c>
      <c r="G38" s="3">
        <v>21</v>
      </c>
    </row>
    <row r="39" spans="1:7" x14ac:dyDescent="0.25">
      <c r="A39" s="23"/>
      <c r="B39" s="4" t="s">
        <v>12</v>
      </c>
      <c r="C39" s="10">
        <v>0.53800000000000003</v>
      </c>
      <c r="D39" s="3">
        <v>5</v>
      </c>
      <c r="F39" s="9">
        <v>0.51100000000000001</v>
      </c>
      <c r="G39" s="3">
        <v>20</v>
      </c>
    </row>
    <row r="40" spans="1:7" x14ac:dyDescent="0.25">
      <c r="A40" s="23"/>
      <c r="B40" s="4" t="s">
        <v>13</v>
      </c>
      <c r="C40" s="10">
        <v>0.64400000000000002</v>
      </c>
      <c r="D40" s="3">
        <v>4</v>
      </c>
      <c r="F40" s="9">
        <v>0.54400000000000004</v>
      </c>
      <c r="G40" s="3">
        <v>26</v>
      </c>
    </row>
    <row r="41" spans="1:7" x14ac:dyDescent="0.25">
      <c r="A41" s="23"/>
      <c r="B41" s="4" t="s">
        <v>14</v>
      </c>
      <c r="C41" s="10">
        <v>0.52200000000000002</v>
      </c>
      <c r="D41" s="3">
        <v>3</v>
      </c>
      <c r="F41" s="9">
        <v>0.505</v>
      </c>
      <c r="G41" s="3">
        <v>12</v>
      </c>
    </row>
    <row r="42" spans="1:7" x14ac:dyDescent="0.25">
      <c r="A42" s="23"/>
      <c r="B42" s="4" t="s">
        <v>15</v>
      </c>
      <c r="C42" s="10">
        <v>0.27500000000000002</v>
      </c>
      <c r="D42" s="3">
        <v>12</v>
      </c>
      <c r="F42" s="9">
        <v>0.23799999999999999</v>
      </c>
      <c r="G42" s="3">
        <v>26</v>
      </c>
    </row>
    <row r="43" spans="1:7" x14ac:dyDescent="0.25">
      <c r="A43" s="23"/>
      <c r="B43" s="4" t="s">
        <v>16</v>
      </c>
      <c r="C43" s="10">
        <v>0.75900000000000001</v>
      </c>
      <c r="D43" s="3">
        <v>1</v>
      </c>
      <c r="F43" s="9">
        <v>0.752</v>
      </c>
      <c r="G43" s="3">
        <v>5</v>
      </c>
    </row>
    <row r="44" spans="1:7" x14ac:dyDescent="0.25">
      <c r="A44" s="23"/>
      <c r="B44" s="4" t="s">
        <v>17</v>
      </c>
      <c r="C44" s="10">
        <v>0.14899999999999999</v>
      </c>
      <c r="D44" s="3">
        <v>27</v>
      </c>
      <c r="F44" s="9">
        <v>0.157</v>
      </c>
      <c r="G44" s="3">
        <v>21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71.599999999999994</v>
      </c>
      <c r="D46" s="3">
        <v>19</v>
      </c>
      <c r="F46" s="8">
        <v>74</v>
      </c>
      <c r="G46" s="3">
        <v>8</v>
      </c>
    </row>
    <row r="47" spans="1:7" x14ac:dyDescent="0.25">
      <c r="A47" s="23"/>
      <c r="B47" s="20" t="s">
        <v>49</v>
      </c>
      <c r="C47" s="8">
        <v>67.2</v>
      </c>
      <c r="D47" s="3">
        <v>2</v>
      </c>
      <c r="F47" s="8">
        <v>68.8</v>
      </c>
      <c r="G47" s="3">
        <v>8</v>
      </c>
    </row>
    <row r="48" spans="1:7" x14ac:dyDescent="0.25">
      <c r="A48" s="23"/>
      <c r="B48" s="20" t="s">
        <v>50</v>
      </c>
      <c r="C48" s="8">
        <v>4.4000000000000004</v>
      </c>
      <c r="D48" s="3">
        <v>5</v>
      </c>
      <c r="F48" s="8">
        <v>5.2</v>
      </c>
      <c r="G48" s="3">
        <v>7</v>
      </c>
    </row>
    <row r="49" spans="1:7" x14ac:dyDescent="0.25">
      <c r="A49" s="23"/>
      <c r="B49" s="20" t="s">
        <v>51</v>
      </c>
      <c r="C49" s="8">
        <v>51.5</v>
      </c>
      <c r="D49" s="3">
        <v>26</v>
      </c>
      <c r="F49" s="8">
        <v>44.8</v>
      </c>
      <c r="G49" s="3">
        <v>30</v>
      </c>
    </row>
    <row r="50" spans="1:7" x14ac:dyDescent="0.25">
      <c r="A50" s="23"/>
      <c r="B50" s="20" t="s">
        <v>52</v>
      </c>
      <c r="C50" s="8">
        <v>50.5</v>
      </c>
      <c r="D50" s="3">
        <v>4</v>
      </c>
      <c r="F50" s="8">
        <v>46.7</v>
      </c>
      <c r="G50" s="3">
        <v>1</v>
      </c>
    </row>
    <row r="51" spans="1:7" x14ac:dyDescent="0.25">
      <c r="A51" s="23"/>
      <c r="B51" s="20" t="s">
        <v>53</v>
      </c>
      <c r="C51" s="8">
        <v>1</v>
      </c>
      <c r="D51" s="3">
        <v>10</v>
      </c>
      <c r="F51" s="8">
        <v>-1.9</v>
      </c>
      <c r="G51" s="3">
        <v>19</v>
      </c>
    </row>
    <row r="53" spans="1:7" x14ac:dyDescent="0.25">
      <c r="A53" s="23" t="s">
        <v>57</v>
      </c>
      <c r="B53" s="6" t="s">
        <v>18</v>
      </c>
      <c r="C53" s="7">
        <v>16.5</v>
      </c>
      <c r="D53" s="3">
        <v>14</v>
      </c>
      <c r="F53" s="7">
        <v>15.4</v>
      </c>
      <c r="G53" s="3">
        <v>25</v>
      </c>
    </row>
    <row r="54" spans="1:7" x14ac:dyDescent="0.25">
      <c r="A54" s="23"/>
      <c r="B54" s="6" t="s">
        <v>19</v>
      </c>
      <c r="C54" s="7">
        <v>16.899999999999999</v>
      </c>
      <c r="D54" s="3">
        <v>20</v>
      </c>
      <c r="F54" s="7">
        <v>16.8</v>
      </c>
      <c r="G54" s="3">
        <v>8</v>
      </c>
    </row>
    <row r="55" spans="1:7" x14ac:dyDescent="0.25">
      <c r="A55" s="23"/>
      <c r="B55" s="6" t="s">
        <v>20</v>
      </c>
      <c r="C55" s="7">
        <v>13.3</v>
      </c>
      <c r="D55" s="3">
        <v>14</v>
      </c>
      <c r="F55" s="7">
        <v>10.6</v>
      </c>
      <c r="G55" s="3">
        <v>27</v>
      </c>
    </row>
    <row r="56" spans="1:7" x14ac:dyDescent="0.25">
      <c r="A56" s="23"/>
      <c r="B56" s="6" t="s">
        <v>21</v>
      </c>
      <c r="C56" s="7">
        <v>11.2</v>
      </c>
      <c r="D56" s="3">
        <v>2</v>
      </c>
      <c r="F56" s="7">
        <v>12.8</v>
      </c>
      <c r="G56" s="3">
        <v>12</v>
      </c>
    </row>
    <row r="57" spans="1:7" x14ac:dyDescent="0.25">
      <c r="A57" s="23"/>
      <c r="B57" s="6" t="s">
        <v>22</v>
      </c>
      <c r="C57" s="7">
        <v>10.6</v>
      </c>
      <c r="D57" s="3">
        <v>10.6</v>
      </c>
      <c r="F57" s="7">
        <v>10.9</v>
      </c>
      <c r="G57" s="3">
        <v>10.9</v>
      </c>
    </row>
    <row r="58" spans="1:7" x14ac:dyDescent="0.25">
      <c r="A58" s="23"/>
      <c r="B58" s="6" t="s">
        <v>23</v>
      </c>
      <c r="C58" s="7">
        <v>11.4</v>
      </c>
      <c r="D58" s="3">
        <v>11.4</v>
      </c>
      <c r="F58" s="7">
        <v>11</v>
      </c>
      <c r="G58" s="3">
        <v>11</v>
      </c>
    </row>
    <row r="59" spans="1:7" x14ac:dyDescent="0.25">
      <c r="A59" s="23"/>
      <c r="B59" s="6" t="s">
        <v>24</v>
      </c>
      <c r="C59" s="7">
        <v>49.8</v>
      </c>
      <c r="D59" s="3">
        <v>11</v>
      </c>
      <c r="F59" s="7">
        <v>43.4</v>
      </c>
      <c r="G59" s="3">
        <v>26</v>
      </c>
    </row>
    <row r="60" spans="1:7" x14ac:dyDescent="0.25">
      <c r="A60" s="23"/>
      <c r="B60" s="6" t="s">
        <v>25</v>
      </c>
      <c r="C60" s="7">
        <v>47.7</v>
      </c>
      <c r="D60" s="3">
        <v>10</v>
      </c>
      <c r="F60" s="7">
        <v>44</v>
      </c>
      <c r="G60" s="3">
        <v>7</v>
      </c>
    </row>
    <row r="62" spans="1:7" x14ac:dyDescent="0.25">
      <c r="A62" s="23" t="s">
        <v>58</v>
      </c>
      <c r="B62" s="21" t="s">
        <v>54</v>
      </c>
      <c r="C62" s="22">
        <v>3.3</v>
      </c>
      <c r="D62" s="3">
        <v>25</v>
      </c>
      <c r="F62" s="22">
        <v>3.6</v>
      </c>
      <c r="G62" s="3">
        <v>20</v>
      </c>
    </row>
    <row r="63" spans="1:7" x14ac:dyDescent="0.25">
      <c r="A63" s="23"/>
      <c r="B63" s="21" t="s">
        <v>55</v>
      </c>
      <c r="C63" s="3">
        <v>15</v>
      </c>
      <c r="D63" s="3">
        <v>25</v>
      </c>
      <c r="F63" s="3">
        <v>6</v>
      </c>
      <c r="G63" s="3">
        <v>2</v>
      </c>
    </row>
    <row r="64" spans="1:7" x14ac:dyDescent="0.25">
      <c r="A64" s="23"/>
      <c r="B64" s="21" t="s">
        <v>56</v>
      </c>
      <c r="C64" s="3">
        <v>18</v>
      </c>
      <c r="D64" s="3">
        <v>10</v>
      </c>
      <c r="F64" s="3">
        <v>4</v>
      </c>
      <c r="G64" s="3">
        <v>14</v>
      </c>
    </row>
    <row r="65" spans="1:7" x14ac:dyDescent="0.25">
      <c r="A65" s="23"/>
      <c r="B65" s="21" t="s">
        <v>26</v>
      </c>
      <c r="C65" s="9">
        <v>0.42899999999999999</v>
      </c>
      <c r="D65" s="3">
        <v>16</v>
      </c>
      <c r="F65" s="9">
        <v>0.379</v>
      </c>
      <c r="G65" s="3">
        <v>22</v>
      </c>
    </row>
    <row r="66" spans="1:7" x14ac:dyDescent="0.25">
      <c r="A66" s="23"/>
      <c r="B66" s="21" t="s">
        <v>42</v>
      </c>
      <c r="C66" s="9">
        <v>0.42</v>
      </c>
      <c r="D66" s="3">
        <v>12</v>
      </c>
      <c r="F66" s="9">
        <v>0.33300000000000002</v>
      </c>
      <c r="G66" s="3">
        <v>3</v>
      </c>
    </row>
    <row r="67" spans="1:7" x14ac:dyDescent="0.25">
      <c r="A67" s="23"/>
      <c r="B67" s="21" t="s">
        <v>8</v>
      </c>
      <c r="C67" s="8">
        <v>111.8</v>
      </c>
      <c r="D67" s="3">
        <v>9</v>
      </c>
      <c r="F67" s="8">
        <v>106.1</v>
      </c>
      <c r="G67" s="3">
        <v>15</v>
      </c>
    </row>
    <row r="68" spans="1:7" x14ac:dyDescent="0.25">
      <c r="A68" s="23"/>
      <c r="B68" s="21" t="s">
        <v>9</v>
      </c>
      <c r="C68" s="8">
        <v>108.7</v>
      </c>
      <c r="D68" s="3">
        <v>16</v>
      </c>
      <c r="F68" s="8">
        <v>92.5</v>
      </c>
      <c r="G68" s="3">
        <v>3</v>
      </c>
    </row>
    <row r="69" spans="1:7" x14ac:dyDescent="0.25">
      <c r="A69" s="23"/>
      <c r="B69" s="21" t="s">
        <v>10</v>
      </c>
      <c r="C69" s="8">
        <v>3.1</v>
      </c>
      <c r="D69" s="3">
        <v>10</v>
      </c>
      <c r="F69" s="8">
        <v>13.6</v>
      </c>
      <c r="G69" s="3">
        <v>8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workbookViewId="0">
      <selection activeCell="D15" sqref="D15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1610612762</v>
      </c>
      <c r="B2" s="1" t="s">
        <v>755</v>
      </c>
      <c r="C2" s="1" t="s">
        <v>145</v>
      </c>
      <c r="D2" s="1" t="s">
        <v>1347</v>
      </c>
      <c r="E2" s="1" t="s">
        <v>1340</v>
      </c>
      <c r="F2" s="1" t="s">
        <v>756</v>
      </c>
      <c r="G2" s="1" t="s">
        <v>227</v>
      </c>
      <c r="H2" s="1" t="s">
        <v>1326</v>
      </c>
      <c r="I2" s="1" t="s">
        <v>1348</v>
      </c>
      <c r="J2" s="1">
        <v>25</v>
      </c>
      <c r="K2" s="1" t="s">
        <v>1325</v>
      </c>
      <c r="L2" s="1" t="s">
        <v>1349</v>
      </c>
      <c r="M2" s="1">
        <v>1628430</v>
      </c>
    </row>
    <row r="3" spans="1:13" x14ac:dyDescent="0.25">
      <c r="A3" s="1">
        <v>1610612762</v>
      </c>
      <c r="B3" s="1" t="s">
        <v>755</v>
      </c>
      <c r="C3" s="1" t="s">
        <v>145</v>
      </c>
      <c r="D3" s="1" t="s">
        <v>1350</v>
      </c>
      <c r="E3" s="1" t="s">
        <v>1321</v>
      </c>
      <c r="F3" s="1" t="s">
        <v>1332</v>
      </c>
      <c r="G3" s="1" t="s">
        <v>331</v>
      </c>
      <c r="H3" s="1" t="s">
        <v>1351</v>
      </c>
      <c r="I3" s="1" t="s">
        <v>1352</v>
      </c>
      <c r="J3" s="1">
        <v>32</v>
      </c>
      <c r="K3" s="1" t="s">
        <v>757</v>
      </c>
      <c r="L3" s="1" t="s">
        <v>1323</v>
      </c>
      <c r="M3" s="1">
        <v>204060</v>
      </c>
    </row>
    <row r="4" spans="1:13" x14ac:dyDescent="0.25">
      <c r="A4" s="1">
        <v>1610612762</v>
      </c>
      <c r="B4" s="1" t="s">
        <v>755</v>
      </c>
      <c r="C4" s="1" t="s">
        <v>145</v>
      </c>
      <c r="D4" s="1" t="s">
        <v>1353</v>
      </c>
      <c r="E4" s="1" t="s">
        <v>1324</v>
      </c>
      <c r="F4" s="1" t="s">
        <v>756</v>
      </c>
      <c r="G4" s="1" t="s">
        <v>248</v>
      </c>
      <c r="H4" s="1" t="s">
        <v>1326</v>
      </c>
      <c r="I4" s="1" t="s">
        <v>1354</v>
      </c>
      <c r="J4" s="1">
        <v>22</v>
      </c>
      <c r="K4" s="1" t="s">
        <v>1325</v>
      </c>
      <c r="L4" s="1" t="s">
        <v>1355</v>
      </c>
      <c r="M4" s="1">
        <v>1629625</v>
      </c>
    </row>
    <row r="5" spans="1:13" x14ac:dyDescent="0.25">
      <c r="A5" s="1">
        <v>1610612762</v>
      </c>
      <c r="B5" s="1" t="s">
        <v>755</v>
      </c>
      <c r="C5" s="1" t="s">
        <v>145</v>
      </c>
      <c r="D5" s="1" t="s">
        <v>1356</v>
      </c>
      <c r="E5" s="1" t="s">
        <v>757</v>
      </c>
      <c r="F5" s="1" t="s">
        <v>758</v>
      </c>
      <c r="G5" s="1" t="s">
        <v>286</v>
      </c>
      <c r="H5" s="1" t="s">
        <v>1357</v>
      </c>
      <c r="I5" s="1" t="s">
        <v>1358</v>
      </c>
      <c r="J5" s="1">
        <v>23</v>
      </c>
      <c r="K5" s="1" t="s">
        <v>1325</v>
      </c>
      <c r="L5" s="1" t="s">
        <v>1359</v>
      </c>
      <c r="M5" s="1">
        <v>1629714</v>
      </c>
    </row>
    <row r="6" spans="1:13" x14ac:dyDescent="0.25">
      <c r="A6" s="1">
        <v>1610612762</v>
      </c>
      <c r="B6" s="1" t="s">
        <v>755</v>
      </c>
      <c r="C6" s="1" t="s">
        <v>145</v>
      </c>
      <c r="D6" s="1" t="s">
        <v>1360</v>
      </c>
      <c r="E6" s="1" t="s">
        <v>1361</v>
      </c>
      <c r="F6" s="1" t="s">
        <v>756</v>
      </c>
      <c r="G6" s="1" t="s">
        <v>256</v>
      </c>
      <c r="H6" s="1" t="s">
        <v>1345</v>
      </c>
      <c r="I6" s="1" t="s">
        <v>1362</v>
      </c>
      <c r="J6" s="1">
        <v>23</v>
      </c>
      <c r="K6" s="1" t="s">
        <v>1342</v>
      </c>
      <c r="L6" s="1" t="s">
        <v>1323</v>
      </c>
      <c r="M6" s="1">
        <v>1626144</v>
      </c>
    </row>
    <row r="7" spans="1:13" x14ac:dyDescent="0.25">
      <c r="A7" s="1">
        <v>1610612762</v>
      </c>
      <c r="B7" s="1" t="s">
        <v>755</v>
      </c>
      <c r="C7" s="1" t="s">
        <v>145</v>
      </c>
      <c r="D7" s="1" t="s">
        <v>1363</v>
      </c>
      <c r="E7" s="1" t="s">
        <v>1329</v>
      </c>
      <c r="F7" s="1" t="s">
        <v>756</v>
      </c>
      <c r="G7" s="1" t="s">
        <v>409</v>
      </c>
      <c r="H7" s="1" t="s">
        <v>1336</v>
      </c>
      <c r="I7" s="1" t="s">
        <v>1364</v>
      </c>
      <c r="J7" s="1">
        <v>32</v>
      </c>
      <c r="K7" s="1" t="s">
        <v>1334</v>
      </c>
      <c r="L7" s="1" t="s">
        <v>1365</v>
      </c>
      <c r="M7" s="1">
        <v>201144</v>
      </c>
    </row>
    <row r="8" spans="1:13" x14ac:dyDescent="0.25">
      <c r="A8" s="1">
        <v>1610612762</v>
      </c>
      <c r="B8" s="1" t="s">
        <v>755</v>
      </c>
      <c r="C8" s="1" t="s">
        <v>145</v>
      </c>
      <c r="D8" s="1" t="s">
        <v>1366</v>
      </c>
      <c r="E8" s="1" t="s">
        <v>1333</v>
      </c>
      <c r="F8" s="1" t="s">
        <v>756</v>
      </c>
      <c r="G8" s="1" t="s">
        <v>286</v>
      </c>
      <c r="H8" s="1" t="s">
        <v>1367</v>
      </c>
      <c r="I8" s="1" t="s">
        <v>1368</v>
      </c>
      <c r="J8" s="1">
        <v>24</v>
      </c>
      <c r="K8" s="1" t="s">
        <v>1342</v>
      </c>
      <c r="L8" s="1" t="s">
        <v>1323</v>
      </c>
      <c r="M8" s="1">
        <v>203957</v>
      </c>
    </row>
    <row r="9" spans="1:13" x14ac:dyDescent="0.25">
      <c r="A9" s="1">
        <v>1610612762</v>
      </c>
      <c r="B9" s="1" t="s">
        <v>755</v>
      </c>
      <c r="C9" s="1" t="s">
        <v>145</v>
      </c>
      <c r="D9" s="1" t="s">
        <v>1369</v>
      </c>
      <c r="E9" s="1" t="s">
        <v>1330</v>
      </c>
      <c r="F9" s="1" t="s">
        <v>1335</v>
      </c>
      <c r="G9" s="1" t="s">
        <v>410</v>
      </c>
      <c r="H9" s="1" t="s">
        <v>1370</v>
      </c>
      <c r="I9" s="1" t="s">
        <v>1371</v>
      </c>
      <c r="J9" s="1">
        <v>21</v>
      </c>
      <c r="K9" s="1" t="s">
        <v>1321</v>
      </c>
      <c r="L9" s="1" t="s">
        <v>1372</v>
      </c>
      <c r="M9" s="1">
        <v>1628396</v>
      </c>
    </row>
    <row r="10" spans="1:13" x14ac:dyDescent="0.25">
      <c r="A10" s="1">
        <v>1610612762</v>
      </c>
      <c r="B10" s="1" t="s">
        <v>755</v>
      </c>
      <c r="C10" s="1" t="s">
        <v>145</v>
      </c>
      <c r="D10" s="1" t="s">
        <v>1373</v>
      </c>
      <c r="E10" s="1" t="s">
        <v>1374</v>
      </c>
      <c r="F10" s="1" t="s">
        <v>758</v>
      </c>
      <c r="G10" s="1" t="s">
        <v>331</v>
      </c>
      <c r="H10" s="1" t="s">
        <v>1341</v>
      </c>
      <c r="I10" s="1" t="s">
        <v>1375</v>
      </c>
      <c r="J10" s="1">
        <v>22</v>
      </c>
      <c r="K10" s="1" t="s">
        <v>1325</v>
      </c>
      <c r="L10" s="1" t="s">
        <v>288</v>
      </c>
      <c r="M10" s="1">
        <v>1629752</v>
      </c>
    </row>
    <row r="11" spans="1:13" x14ac:dyDescent="0.25">
      <c r="A11" s="1">
        <v>1610612762</v>
      </c>
      <c r="B11" s="1" t="s">
        <v>755</v>
      </c>
      <c r="C11" s="1" t="s">
        <v>145</v>
      </c>
      <c r="D11" s="1" t="s">
        <v>1376</v>
      </c>
      <c r="E11" s="1" t="s">
        <v>1377</v>
      </c>
      <c r="F11" s="1" t="s">
        <v>1335</v>
      </c>
      <c r="G11" s="1" t="s">
        <v>337</v>
      </c>
      <c r="H11" s="1" t="s">
        <v>1378</v>
      </c>
      <c r="I11" s="1" t="s">
        <v>1379</v>
      </c>
      <c r="J11" s="1">
        <v>30</v>
      </c>
      <c r="K11" s="1" t="s">
        <v>1337</v>
      </c>
      <c r="L11" s="1" t="s">
        <v>1372</v>
      </c>
      <c r="M11" s="1">
        <v>202334</v>
      </c>
    </row>
    <row r="12" spans="1:13" x14ac:dyDescent="0.25">
      <c r="A12" s="1">
        <v>1610612762</v>
      </c>
      <c r="B12" s="1" t="s">
        <v>755</v>
      </c>
      <c r="C12" s="1" t="s">
        <v>145</v>
      </c>
      <c r="D12" s="1" t="s">
        <v>1380</v>
      </c>
      <c r="E12" s="1" t="s">
        <v>1331</v>
      </c>
      <c r="F12" s="1" t="s">
        <v>758</v>
      </c>
      <c r="G12" s="1" t="s">
        <v>299</v>
      </c>
      <c r="H12" s="1" t="s">
        <v>1343</v>
      </c>
      <c r="I12" s="1" t="s">
        <v>1381</v>
      </c>
      <c r="J12" s="1">
        <v>33</v>
      </c>
      <c r="K12" s="1" t="s">
        <v>1333</v>
      </c>
      <c r="L12" s="1" t="s">
        <v>1382</v>
      </c>
      <c r="M12" s="1">
        <v>201145</v>
      </c>
    </row>
    <row r="13" spans="1:13" x14ac:dyDescent="0.25">
      <c r="A13" s="1">
        <v>1610612762</v>
      </c>
      <c r="B13" s="1" t="s">
        <v>755</v>
      </c>
      <c r="C13" s="1" t="s">
        <v>145</v>
      </c>
      <c r="D13" s="1" t="s">
        <v>1383</v>
      </c>
      <c r="E13" s="1" t="s">
        <v>1339</v>
      </c>
      <c r="F13" s="1" t="s">
        <v>758</v>
      </c>
      <c r="G13" s="1" t="s">
        <v>266</v>
      </c>
      <c r="H13" s="1" t="s">
        <v>1384</v>
      </c>
      <c r="I13" s="1" t="s">
        <v>1385</v>
      </c>
      <c r="J13" s="1">
        <v>26</v>
      </c>
      <c r="K13" s="1" t="s">
        <v>1321</v>
      </c>
      <c r="L13" s="1" t="s">
        <v>1386</v>
      </c>
      <c r="M13" s="1">
        <v>1626220</v>
      </c>
    </row>
    <row r="14" spans="1:13" x14ac:dyDescent="0.25">
      <c r="A14" s="1">
        <v>1610612762</v>
      </c>
      <c r="B14" s="1" t="s">
        <v>755</v>
      </c>
      <c r="C14" s="1" t="s">
        <v>145</v>
      </c>
      <c r="D14" s="1" t="s">
        <v>1387</v>
      </c>
      <c r="E14" s="1" t="s">
        <v>1344</v>
      </c>
      <c r="F14" s="1" t="s">
        <v>1322</v>
      </c>
      <c r="G14" s="1" t="s">
        <v>286</v>
      </c>
      <c r="H14" s="1" t="s">
        <v>1388</v>
      </c>
      <c r="I14" s="1" t="s">
        <v>1389</v>
      </c>
      <c r="J14" s="1">
        <v>22</v>
      </c>
      <c r="K14" s="1" t="s">
        <v>1325</v>
      </c>
      <c r="L14" s="1" t="s">
        <v>1390</v>
      </c>
      <c r="M14" s="1">
        <v>1629671</v>
      </c>
    </row>
    <row r="15" spans="1:13" x14ac:dyDescent="0.25">
      <c r="A15" s="1">
        <v>1610612762</v>
      </c>
      <c r="B15" s="1" t="s">
        <v>755</v>
      </c>
      <c r="C15" s="1" t="s">
        <v>145</v>
      </c>
      <c r="D15" s="1" t="s">
        <v>1391</v>
      </c>
      <c r="E15" s="1" t="s">
        <v>1392</v>
      </c>
      <c r="F15" s="1" t="s">
        <v>1327</v>
      </c>
      <c r="G15" s="1" t="s">
        <v>213</v>
      </c>
      <c r="H15" s="1" t="s">
        <v>1393</v>
      </c>
      <c r="I15" s="1" t="s">
        <v>1394</v>
      </c>
      <c r="J15" s="1">
        <v>27</v>
      </c>
      <c r="K15" s="1" t="s">
        <v>1395</v>
      </c>
      <c r="L15" s="1" t="s">
        <v>1396</v>
      </c>
      <c r="M15" s="1">
        <v>203497</v>
      </c>
    </row>
    <row r="16" spans="1:13" x14ac:dyDescent="0.25">
      <c r="A16" s="1">
        <v>1610612762</v>
      </c>
      <c r="B16" s="1" t="s">
        <v>755</v>
      </c>
      <c r="C16" s="1" t="s">
        <v>145</v>
      </c>
      <c r="D16" s="1" t="s">
        <v>1397</v>
      </c>
      <c r="E16" s="1" t="s">
        <v>1398</v>
      </c>
      <c r="F16" s="1" t="s">
        <v>758</v>
      </c>
      <c r="G16" s="1" t="s">
        <v>331</v>
      </c>
      <c r="H16" s="1" t="s">
        <v>1346</v>
      </c>
      <c r="I16" s="1" t="s">
        <v>1399</v>
      </c>
      <c r="J16" s="1">
        <v>26</v>
      </c>
      <c r="K16" s="1" t="s">
        <v>1324</v>
      </c>
      <c r="L16" s="1" t="s">
        <v>1338</v>
      </c>
      <c r="M16" s="1">
        <v>1627777</v>
      </c>
    </row>
    <row r="17" spans="1:13" x14ac:dyDescent="0.25">
      <c r="A17" s="1">
        <v>1610612762</v>
      </c>
      <c r="B17" s="1" t="s">
        <v>755</v>
      </c>
      <c r="C17" s="1" t="s">
        <v>145</v>
      </c>
      <c r="D17" s="1" t="s">
        <v>1400</v>
      </c>
      <c r="E17" s="1" t="s">
        <v>1401</v>
      </c>
      <c r="F17" s="1" t="s">
        <v>758</v>
      </c>
      <c r="G17" s="1" t="s">
        <v>299</v>
      </c>
      <c r="H17" s="1" t="s">
        <v>1384</v>
      </c>
      <c r="I17" s="1" t="s">
        <v>1402</v>
      </c>
      <c r="J17" s="1">
        <v>30</v>
      </c>
      <c r="K17" s="1" t="s">
        <v>757</v>
      </c>
      <c r="L17" s="1" t="s">
        <v>1323</v>
      </c>
      <c r="M17" s="1">
        <v>202711</v>
      </c>
    </row>
    <row r="18" spans="1:13" x14ac:dyDescent="0.25">
      <c r="A18" s="1">
        <v>1610612762</v>
      </c>
      <c r="B18" s="1" t="s">
        <v>755</v>
      </c>
      <c r="C18" s="1" t="s">
        <v>145</v>
      </c>
      <c r="D18" s="1" t="s">
        <v>1403</v>
      </c>
      <c r="E18" s="1" t="s">
        <v>1404</v>
      </c>
      <c r="F18" s="1" t="s">
        <v>756</v>
      </c>
      <c r="G18" s="1" t="s">
        <v>409</v>
      </c>
      <c r="H18" s="1" t="s">
        <v>1328</v>
      </c>
      <c r="I18" s="1" t="s">
        <v>1405</v>
      </c>
      <c r="J18" s="1">
        <v>23</v>
      </c>
      <c r="K18" s="1" t="s">
        <v>1321</v>
      </c>
      <c r="L18" s="1" t="s">
        <v>1406</v>
      </c>
      <c r="M18" s="1">
        <v>1628378</v>
      </c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760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761</v>
      </c>
      <c r="H2" s="1">
        <v>1</v>
      </c>
      <c r="I2" s="1" t="s">
        <v>762</v>
      </c>
      <c r="J2" s="1" t="s">
        <v>152</v>
      </c>
      <c r="K2" s="1" t="s">
        <v>763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764</v>
      </c>
      <c r="R2" s="1" t="s">
        <v>765</v>
      </c>
      <c r="S2" s="1" t="s">
        <v>766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767</v>
      </c>
      <c r="Z2" s="1">
        <v>6</v>
      </c>
      <c r="AA2" s="1" t="s">
        <v>188</v>
      </c>
      <c r="AB2" s="1">
        <v>11</v>
      </c>
      <c r="AC2" s="1" t="s">
        <v>768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769</v>
      </c>
      <c r="AT2" s="1" t="s">
        <v>770</v>
      </c>
      <c r="AU2" s="1" t="s">
        <v>232</v>
      </c>
      <c r="AV2" s="1" t="s">
        <v>771</v>
      </c>
      <c r="AW2" s="1" t="s">
        <v>772</v>
      </c>
      <c r="AX2" s="1" t="s">
        <v>185</v>
      </c>
      <c r="AY2" s="1" t="s">
        <v>773</v>
      </c>
      <c r="AZ2" s="1" t="s">
        <v>774</v>
      </c>
      <c r="BA2" s="1" t="s">
        <v>775</v>
      </c>
      <c r="BB2" s="1" t="s">
        <v>776</v>
      </c>
      <c r="BC2" s="1" t="s">
        <v>777</v>
      </c>
      <c r="BD2" s="1" t="s">
        <v>778</v>
      </c>
      <c r="BE2" s="1">
        <v>117.7</v>
      </c>
      <c r="BF2" s="1">
        <v>111.2</v>
      </c>
      <c r="BG2" s="1">
        <v>6.5</v>
      </c>
      <c r="BH2" s="1" t="s">
        <v>779</v>
      </c>
      <c r="BI2" s="1" t="s">
        <v>266</v>
      </c>
      <c r="BJ2" s="1" t="s">
        <v>216</v>
      </c>
      <c r="BK2" s="1" t="s">
        <v>216</v>
      </c>
      <c r="BL2" s="1" t="s">
        <v>761</v>
      </c>
      <c r="BM2" s="1" t="s">
        <v>780</v>
      </c>
      <c r="BN2" s="1" t="s">
        <v>781</v>
      </c>
      <c r="BO2" s="1" t="s">
        <v>782</v>
      </c>
      <c r="BP2" s="1" t="s">
        <v>783</v>
      </c>
      <c r="BQ2" s="1" t="s">
        <v>784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785</v>
      </c>
      <c r="CC2" s="1" t="s">
        <v>786</v>
      </c>
    </row>
    <row r="3" spans="1:81" x14ac:dyDescent="0.25">
      <c r="A3" s="1" t="s">
        <v>145</v>
      </c>
      <c r="B3" s="1" t="s">
        <v>760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787</v>
      </c>
      <c r="H3" s="1">
        <v>1</v>
      </c>
      <c r="I3" s="1" t="s">
        <v>788</v>
      </c>
      <c r="J3" s="1" t="s">
        <v>181</v>
      </c>
      <c r="K3" s="1" t="s">
        <v>789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790</v>
      </c>
      <c r="R3" s="1" t="s">
        <v>791</v>
      </c>
      <c r="S3" s="1" t="s">
        <v>766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792</v>
      </c>
      <c r="Z3" s="1">
        <v>6</v>
      </c>
      <c r="AA3" s="1" t="s">
        <v>188</v>
      </c>
      <c r="AB3" s="1">
        <v>10</v>
      </c>
      <c r="AC3" s="1" t="s">
        <v>793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794</v>
      </c>
      <c r="AT3" s="1" t="s">
        <v>795</v>
      </c>
      <c r="AU3" s="1" t="s">
        <v>161</v>
      </c>
      <c r="AV3" s="1" t="s">
        <v>796</v>
      </c>
      <c r="AW3" s="1" t="s">
        <v>797</v>
      </c>
      <c r="AX3" s="1" t="s">
        <v>186</v>
      </c>
      <c r="AY3" s="1" t="s">
        <v>798</v>
      </c>
      <c r="AZ3" s="1" t="s">
        <v>799</v>
      </c>
      <c r="BA3" s="1" t="s">
        <v>800</v>
      </c>
      <c r="BB3" s="1" t="s">
        <v>801</v>
      </c>
      <c r="BC3" s="1" t="s">
        <v>802</v>
      </c>
      <c r="BD3" s="1" t="s">
        <v>803</v>
      </c>
      <c r="BE3" s="1">
        <v>118.1</v>
      </c>
      <c r="BF3" s="1">
        <v>109.3</v>
      </c>
      <c r="BG3" s="1">
        <v>8.9</v>
      </c>
      <c r="BH3" s="1" t="s">
        <v>787</v>
      </c>
      <c r="BI3" s="1" t="s">
        <v>804</v>
      </c>
      <c r="BJ3" s="1" t="s">
        <v>805</v>
      </c>
      <c r="BK3" s="1" t="s">
        <v>804</v>
      </c>
      <c r="BL3" s="1" t="s">
        <v>806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807</v>
      </c>
      <c r="BS3" s="1" t="s">
        <v>228</v>
      </c>
      <c r="BT3" s="1"/>
      <c r="BU3" s="1"/>
      <c r="BV3" s="1"/>
      <c r="BW3" s="1"/>
      <c r="BX3" s="1"/>
      <c r="BY3" s="1" t="s">
        <v>759</v>
      </c>
      <c r="BZ3" s="1" t="s">
        <v>291</v>
      </c>
      <c r="CA3" s="1" t="s">
        <v>253</v>
      </c>
      <c r="CB3" s="1" t="s">
        <v>808</v>
      </c>
      <c r="CC3" s="1" t="s">
        <v>809</v>
      </c>
    </row>
    <row r="4" spans="1:81" x14ac:dyDescent="0.25">
      <c r="A4" s="1" t="s">
        <v>145</v>
      </c>
      <c r="B4" s="1" t="s">
        <v>760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810</v>
      </c>
      <c r="H4" s="1">
        <v>2</v>
      </c>
      <c r="I4" s="1" t="s">
        <v>811</v>
      </c>
      <c r="J4" s="1" t="s">
        <v>203</v>
      </c>
      <c r="K4" s="1" t="s">
        <v>812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813</v>
      </c>
      <c r="R4" s="1" t="s">
        <v>814</v>
      </c>
      <c r="S4" s="1" t="s">
        <v>815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816</v>
      </c>
      <c r="Y4" s="1" t="s">
        <v>817</v>
      </c>
      <c r="Z4" s="1">
        <v>10</v>
      </c>
      <c r="AA4" s="1" t="s">
        <v>793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818</v>
      </c>
      <c r="AT4" s="1" t="s">
        <v>819</v>
      </c>
      <c r="AU4" s="1" t="s">
        <v>185</v>
      </c>
      <c r="AV4" s="1" t="s">
        <v>820</v>
      </c>
      <c r="AW4" s="1" t="s">
        <v>821</v>
      </c>
      <c r="AX4" s="1" t="s">
        <v>157</v>
      </c>
      <c r="AY4" s="1" t="s">
        <v>822</v>
      </c>
      <c r="AZ4" s="1" t="s">
        <v>823</v>
      </c>
      <c r="BA4" s="1" t="s">
        <v>824</v>
      </c>
      <c r="BB4" s="1" t="s">
        <v>825</v>
      </c>
      <c r="BC4" s="1" t="s">
        <v>826</v>
      </c>
      <c r="BD4" s="1" t="s">
        <v>827</v>
      </c>
      <c r="BE4" s="1">
        <v>114.4</v>
      </c>
      <c r="BF4" s="1">
        <v>108.4</v>
      </c>
      <c r="BG4" s="1">
        <v>6.1</v>
      </c>
      <c r="BH4" s="1" t="s">
        <v>810</v>
      </c>
      <c r="BI4" s="1" t="s">
        <v>828</v>
      </c>
      <c r="BJ4" s="1" t="s">
        <v>782</v>
      </c>
      <c r="BK4" s="1" t="s">
        <v>829</v>
      </c>
      <c r="BL4" s="1" t="s">
        <v>779</v>
      </c>
      <c r="BM4" s="1" t="s">
        <v>266</v>
      </c>
      <c r="BN4" s="1" t="s">
        <v>830</v>
      </c>
      <c r="BO4" s="1" t="s">
        <v>266</v>
      </c>
      <c r="BP4" s="1" t="s">
        <v>261</v>
      </c>
      <c r="BQ4" s="1" t="s">
        <v>173</v>
      </c>
      <c r="BR4" s="1" t="s">
        <v>831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832</v>
      </c>
      <c r="CC4" s="1" t="s">
        <v>833</v>
      </c>
    </row>
    <row r="5" spans="1:81" x14ac:dyDescent="0.25">
      <c r="A5" s="1" t="s">
        <v>145</v>
      </c>
      <c r="B5" s="1" t="s">
        <v>760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834</v>
      </c>
      <c r="H5" s="1">
        <v>2</v>
      </c>
      <c r="I5" s="1" t="s">
        <v>835</v>
      </c>
      <c r="J5" s="1" t="s">
        <v>219</v>
      </c>
      <c r="K5" s="1" t="s">
        <v>812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836</v>
      </c>
      <c r="R5" s="1" t="s">
        <v>837</v>
      </c>
      <c r="S5" s="1" t="s">
        <v>838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763</v>
      </c>
      <c r="Y5" s="1" t="s">
        <v>839</v>
      </c>
      <c r="Z5" s="1">
        <v>12</v>
      </c>
      <c r="AA5" s="1" t="s">
        <v>840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841</v>
      </c>
      <c r="AT5" s="1" t="s">
        <v>842</v>
      </c>
      <c r="AU5" s="1" t="s">
        <v>185</v>
      </c>
      <c r="AV5" s="1" t="s">
        <v>843</v>
      </c>
      <c r="AW5" s="1" t="s">
        <v>844</v>
      </c>
      <c r="AX5" s="1" t="s">
        <v>155</v>
      </c>
      <c r="AY5" s="1" t="s">
        <v>845</v>
      </c>
      <c r="AZ5" s="1" t="s">
        <v>846</v>
      </c>
      <c r="BA5" s="1" t="s">
        <v>847</v>
      </c>
      <c r="BB5" s="1" t="s">
        <v>848</v>
      </c>
      <c r="BC5" s="1" t="s">
        <v>849</v>
      </c>
      <c r="BD5" s="1" t="s">
        <v>850</v>
      </c>
      <c r="BE5" s="1">
        <v>110.7</v>
      </c>
      <c r="BF5" s="1">
        <v>106.7</v>
      </c>
      <c r="BG5" s="1">
        <v>4</v>
      </c>
      <c r="BH5" s="1" t="s">
        <v>806</v>
      </c>
      <c r="BI5" s="1" t="s">
        <v>296</v>
      </c>
      <c r="BJ5" s="1" t="s">
        <v>266</v>
      </c>
      <c r="BK5" s="1" t="s">
        <v>296</v>
      </c>
      <c r="BL5" s="1" t="s">
        <v>834</v>
      </c>
      <c r="BM5" s="1" t="s">
        <v>828</v>
      </c>
      <c r="BN5" s="1" t="s">
        <v>780</v>
      </c>
      <c r="BO5" s="1" t="s">
        <v>782</v>
      </c>
      <c r="BP5" s="1" t="s">
        <v>828</v>
      </c>
      <c r="BQ5" s="1" t="s">
        <v>784</v>
      </c>
      <c r="BR5" s="1" t="s">
        <v>831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831</v>
      </c>
      <c r="CA5" s="1" t="s">
        <v>851</v>
      </c>
      <c r="CB5" s="1" t="s">
        <v>852</v>
      </c>
      <c r="CC5" s="1" t="s">
        <v>853</v>
      </c>
    </row>
    <row r="6" spans="1:81" x14ac:dyDescent="0.25">
      <c r="A6" s="1" t="s">
        <v>145</v>
      </c>
      <c r="B6" s="1" t="s">
        <v>760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854</v>
      </c>
      <c r="H6" s="1">
        <v>3</v>
      </c>
      <c r="I6" s="1" t="s">
        <v>855</v>
      </c>
      <c r="J6" s="1" t="s">
        <v>203</v>
      </c>
      <c r="K6" s="1" t="s">
        <v>856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857</v>
      </c>
      <c r="R6" s="1" t="s">
        <v>858</v>
      </c>
      <c r="S6" s="1" t="s">
        <v>838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859</v>
      </c>
      <c r="Y6" s="1" t="s">
        <v>860</v>
      </c>
      <c r="Z6" s="1">
        <v>10</v>
      </c>
      <c r="AA6" s="1" t="s">
        <v>793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861</v>
      </c>
      <c r="AT6" s="1" t="s">
        <v>862</v>
      </c>
      <c r="AU6" s="1" t="s">
        <v>208</v>
      </c>
      <c r="AV6" s="1" t="s">
        <v>769</v>
      </c>
      <c r="AW6" s="1" t="s">
        <v>863</v>
      </c>
      <c r="AX6" s="1" t="s">
        <v>186</v>
      </c>
      <c r="AY6" s="1" t="s">
        <v>864</v>
      </c>
      <c r="AZ6" s="1" t="s">
        <v>865</v>
      </c>
      <c r="BA6" s="1" t="s">
        <v>866</v>
      </c>
      <c r="BB6" s="1" t="s">
        <v>849</v>
      </c>
      <c r="BC6" s="1" t="s">
        <v>785</v>
      </c>
      <c r="BD6" s="1" t="s">
        <v>867</v>
      </c>
      <c r="BE6" s="1">
        <v>115.2</v>
      </c>
      <c r="BF6" s="1">
        <v>112.5</v>
      </c>
      <c r="BG6" s="1">
        <v>2.7</v>
      </c>
      <c r="BH6" s="1" t="s">
        <v>854</v>
      </c>
      <c r="BI6" s="1" t="s">
        <v>868</v>
      </c>
      <c r="BJ6" s="1" t="s">
        <v>780</v>
      </c>
      <c r="BK6" s="1" t="s">
        <v>869</v>
      </c>
      <c r="BL6" s="1" t="s">
        <v>806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828</v>
      </c>
      <c r="CA6" s="1" t="s">
        <v>870</v>
      </c>
      <c r="CB6" s="1" t="s">
        <v>871</v>
      </c>
      <c r="CC6" s="1" t="s">
        <v>872</v>
      </c>
    </row>
    <row r="7" spans="1:81" x14ac:dyDescent="0.25">
      <c r="A7" s="1" t="s">
        <v>145</v>
      </c>
      <c r="B7" s="1" t="s">
        <v>760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873</v>
      </c>
      <c r="H7" s="1">
        <v>3</v>
      </c>
      <c r="I7" s="1" t="s">
        <v>855</v>
      </c>
      <c r="J7" s="1" t="s">
        <v>219</v>
      </c>
      <c r="K7" s="1" t="s">
        <v>874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875</v>
      </c>
      <c r="R7" s="1" t="s">
        <v>814</v>
      </c>
      <c r="S7" s="1" t="s">
        <v>876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877</v>
      </c>
      <c r="Z7" s="1">
        <v>8</v>
      </c>
      <c r="AA7" s="1" t="s">
        <v>878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878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879</v>
      </c>
      <c r="AT7" s="1" t="s">
        <v>880</v>
      </c>
      <c r="AU7" s="1" t="s">
        <v>260</v>
      </c>
      <c r="AV7" s="1" t="s">
        <v>881</v>
      </c>
      <c r="AW7" s="1" t="s">
        <v>882</v>
      </c>
      <c r="AX7" s="1" t="s">
        <v>161</v>
      </c>
      <c r="AY7" s="1" t="s">
        <v>883</v>
      </c>
      <c r="AZ7" s="1" t="s">
        <v>884</v>
      </c>
      <c r="BA7" s="1" t="s">
        <v>885</v>
      </c>
      <c r="BB7" s="1" t="s">
        <v>886</v>
      </c>
      <c r="BC7" s="1" t="s">
        <v>887</v>
      </c>
      <c r="BD7" s="1" t="s">
        <v>888</v>
      </c>
      <c r="BE7" s="1">
        <v>114.7</v>
      </c>
      <c r="BF7" s="1">
        <v>110.5</v>
      </c>
      <c r="BG7" s="1">
        <v>4.2</v>
      </c>
      <c r="BH7" s="1" t="s">
        <v>889</v>
      </c>
      <c r="BI7" s="1" t="s">
        <v>176</v>
      </c>
      <c r="BJ7" s="1" t="s">
        <v>216</v>
      </c>
      <c r="BK7" s="1" t="s">
        <v>296</v>
      </c>
      <c r="BL7" s="1" t="s">
        <v>873</v>
      </c>
      <c r="BM7" s="1" t="s">
        <v>410</v>
      </c>
      <c r="BN7" s="1" t="s">
        <v>780</v>
      </c>
      <c r="BO7" s="1" t="s">
        <v>869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890</v>
      </c>
      <c r="CC7" s="1" t="s">
        <v>891</v>
      </c>
    </row>
    <row r="8" spans="1:81" x14ac:dyDescent="0.25">
      <c r="A8" s="1" t="s">
        <v>145</v>
      </c>
      <c r="B8" s="1" t="s">
        <v>760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892</v>
      </c>
      <c r="H8" s="1">
        <v>4</v>
      </c>
      <c r="I8" s="1" t="s">
        <v>893</v>
      </c>
      <c r="J8" s="1" t="s">
        <v>231</v>
      </c>
      <c r="K8" s="1" t="s">
        <v>894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875</v>
      </c>
      <c r="R8" s="1" t="s">
        <v>858</v>
      </c>
      <c r="S8" s="1" t="s">
        <v>895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896</v>
      </c>
      <c r="Y8" s="1" t="s">
        <v>897</v>
      </c>
      <c r="Z8" s="1">
        <v>10</v>
      </c>
      <c r="AA8" s="1" t="s">
        <v>793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898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899</v>
      </c>
      <c r="AT8" s="1" t="s">
        <v>900</v>
      </c>
      <c r="AU8" s="1" t="s">
        <v>157</v>
      </c>
      <c r="AV8" s="1" t="s">
        <v>901</v>
      </c>
      <c r="AW8" s="1" t="s">
        <v>902</v>
      </c>
      <c r="AX8" s="1" t="s">
        <v>190</v>
      </c>
      <c r="AY8" s="1" t="s">
        <v>845</v>
      </c>
      <c r="AZ8" s="1" t="s">
        <v>903</v>
      </c>
      <c r="BA8" s="1" t="s">
        <v>824</v>
      </c>
      <c r="BB8" s="1" t="s">
        <v>904</v>
      </c>
      <c r="BC8" s="1" t="s">
        <v>905</v>
      </c>
      <c r="BD8" s="1" t="s">
        <v>906</v>
      </c>
      <c r="BE8" s="1">
        <v>113.9</v>
      </c>
      <c r="BF8" s="1">
        <v>109.1</v>
      </c>
      <c r="BG8" s="1">
        <v>4.8</v>
      </c>
      <c r="BH8" s="1" t="s">
        <v>907</v>
      </c>
      <c r="BI8" s="1" t="s">
        <v>216</v>
      </c>
      <c r="BJ8" s="1" t="s">
        <v>266</v>
      </c>
      <c r="BK8" s="1" t="s">
        <v>296</v>
      </c>
      <c r="BL8" s="1" t="s">
        <v>892</v>
      </c>
      <c r="BM8" s="1" t="s">
        <v>908</v>
      </c>
      <c r="BN8" s="1" t="s">
        <v>829</v>
      </c>
      <c r="BO8" s="1" t="s">
        <v>807</v>
      </c>
      <c r="BP8" s="1" t="s">
        <v>291</v>
      </c>
      <c r="BQ8" s="1" t="s">
        <v>851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909</v>
      </c>
      <c r="BZ8" s="1" t="s">
        <v>831</v>
      </c>
      <c r="CA8" s="1" t="s">
        <v>233</v>
      </c>
      <c r="CB8" s="1" t="s">
        <v>910</v>
      </c>
      <c r="CC8" s="1" t="s">
        <v>911</v>
      </c>
    </row>
    <row r="9" spans="1:81" x14ac:dyDescent="0.25">
      <c r="A9" s="1" t="s">
        <v>145</v>
      </c>
      <c r="B9" s="1" t="s">
        <v>760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761</v>
      </c>
      <c r="H9" s="1">
        <v>4</v>
      </c>
      <c r="I9" s="1" t="s">
        <v>855</v>
      </c>
      <c r="J9" s="1" t="s">
        <v>203</v>
      </c>
      <c r="K9" s="1" t="s">
        <v>894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912</v>
      </c>
      <c r="R9" s="1" t="s">
        <v>913</v>
      </c>
      <c r="S9" s="1" t="s">
        <v>876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914</v>
      </c>
      <c r="Z9" s="1">
        <v>10</v>
      </c>
      <c r="AA9" s="1" t="s">
        <v>793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915</v>
      </c>
      <c r="AT9" s="1" t="s">
        <v>916</v>
      </c>
      <c r="AU9" s="1" t="s">
        <v>260</v>
      </c>
      <c r="AV9" s="1" t="s">
        <v>917</v>
      </c>
      <c r="AW9" s="1" t="s">
        <v>844</v>
      </c>
      <c r="AX9" s="1" t="s">
        <v>164</v>
      </c>
      <c r="AY9" s="1" t="s">
        <v>918</v>
      </c>
      <c r="AZ9" s="1" t="s">
        <v>919</v>
      </c>
      <c r="BA9" s="1" t="s">
        <v>920</v>
      </c>
      <c r="BB9" s="1" t="s">
        <v>921</v>
      </c>
      <c r="BC9" s="1" t="s">
        <v>803</v>
      </c>
      <c r="BD9" s="1" t="s">
        <v>922</v>
      </c>
      <c r="BE9" s="1">
        <v>112.4</v>
      </c>
      <c r="BF9" s="1">
        <v>108</v>
      </c>
      <c r="BG9" s="1">
        <v>4.4000000000000004</v>
      </c>
      <c r="BH9" s="1" t="s">
        <v>761</v>
      </c>
      <c r="BI9" s="1" t="s">
        <v>807</v>
      </c>
      <c r="BJ9" s="1" t="s">
        <v>804</v>
      </c>
      <c r="BK9" s="1" t="s">
        <v>780</v>
      </c>
      <c r="BL9" s="1" t="s">
        <v>923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924</v>
      </c>
      <c r="CA9" s="1" t="s">
        <v>270</v>
      </c>
      <c r="CB9" s="1" t="s">
        <v>871</v>
      </c>
      <c r="CC9" s="1" t="s">
        <v>925</v>
      </c>
    </row>
    <row r="10" spans="1:81" x14ac:dyDescent="0.25">
      <c r="A10" s="1" t="s">
        <v>145</v>
      </c>
      <c r="B10" s="1" t="s">
        <v>760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926</v>
      </c>
      <c r="H10" s="1">
        <v>5</v>
      </c>
      <c r="I10" s="1" t="s">
        <v>855</v>
      </c>
      <c r="J10" s="1" t="s">
        <v>181</v>
      </c>
      <c r="K10" s="1" t="s">
        <v>927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928</v>
      </c>
      <c r="R10" s="1" t="s">
        <v>897</v>
      </c>
      <c r="S10" s="1" t="s">
        <v>929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930</v>
      </c>
      <c r="Z10" s="1">
        <v>5</v>
      </c>
      <c r="AA10" s="1" t="s">
        <v>160</v>
      </c>
      <c r="AB10" s="1">
        <v>-10</v>
      </c>
      <c r="AC10" s="1" t="s">
        <v>931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932</v>
      </c>
      <c r="AT10" s="1" t="s">
        <v>933</v>
      </c>
      <c r="AU10" s="1" t="s">
        <v>190</v>
      </c>
      <c r="AV10" s="1" t="s">
        <v>934</v>
      </c>
      <c r="AW10" s="1" t="s">
        <v>935</v>
      </c>
      <c r="AX10" s="1" t="s">
        <v>157</v>
      </c>
      <c r="AY10" s="1" t="s">
        <v>936</v>
      </c>
      <c r="AZ10" s="1" t="s">
        <v>937</v>
      </c>
      <c r="BA10" s="1" t="s">
        <v>938</v>
      </c>
      <c r="BB10" s="1" t="s">
        <v>939</v>
      </c>
      <c r="BC10" s="1" t="s">
        <v>940</v>
      </c>
      <c r="BD10" s="1" t="s">
        <v>941</v>
      </c>
      <c r="BE10" s="1">
        <v>108</v>
      </c>
      <c r="BF10" s="1">
        <v>104.7</v>
      </c>
      <c r="BG10" s="1">
        <v>3.3</v>
      </c>
      <c r="BH10" s="1" t="s">
        <v>926</v>
      </c>
      <c r="BI10" s="1" t="s">
        <v>942</v>
      </c>
      <c r="BJ10" s="1" t="s">
        <v>943</v>
      </c>
      <c r="BK10" s="1" t="s">
        <v>804</v>
      </c>
      <c r="BL10" s="1" t="s">
        <v>944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945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946</v>
      </c>
      <c r="CC10" s="1" t="s">
        <v>947</v>
      </c>
    </row>
    <row r="11" spans="1:81" x14ac:dyDescent="0.25">
      <c r="A11" s="1" t="s">
        <v>145</v>
      </c>
      <c r="B11" s="1" t="s">
        <v>760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948</v>
      </c>
      <c r="H11" s="1">
        <v>5</v>
      </c>
      <c r="I11" s="1" t="s">
        <v>855</v>
      </c>
      <c r="J11" s="1" t="s">
        <v>219</v>
      </c>
      <c r="K11" s="1" t="s">
        <v>856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949</v>
      </c>
      <c r="R11" s="1" t="s">
        <v>897</v>
      </c>
      <c r="S11" s="1" t="s">
        <v>876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950</v>
      </c>
      <c r="Z11" s="1">
        <v>8</v>
      </c>
      <c r="AA11" s="1" t="s">
        <v>878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878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951</v>
      </c>
      <c r="AT11" s="1" t="s">
        <v>952</v>
      </c>
      <c r="AU11" s="1" t="s">
        <v>185</v>
      </c>
      <c r="AV11" s="1" t="s">
        <v>953</v>
      </c>
      <c r="AW11" s="1" t="s">
        <v>954</v>
      </c>
      <c r="AX11" s="1" t="s">
        <v>157</v>
      </c>
      <c r="AY11" s="1" t="s">
        <v>955</v>
      </c>
      <c r="AZ11" s="1" t="s">
        <v>956</v>
      </c>
      <c r="BA11" s="1" t="s">
        <v>957</v>
      </c>
      <c r="BB11" s="1" t="s">
        <v>958</v>
      </c>
      <c r="BC11" s="1" t="s">
        <v>915</v>
      </c>
      <c r="BD11" s="1" t="s">
        <v>959</v>
      </c>
      <c r="BE11" s="1">
        <v>111.7</v>
      </c>
      <c r="BF11" s="1">
        <v>106.5</v>
      </c>
      <c r="BG11" s="1">
        <v>5.3</v>
      </c>
      <c r="BH11" s="1" t="s">
        <v>806</v>
      </c>
      <c r="BI11" s="1" t="s">
        <v>266</v>
      </c>
      <c r="BJ11" s="1" t="s">
        <v>296</v>
      </c>
      <c r="BK11" s="1" t="s">
        <v>296</v>
      </c>
      <c r="BL11" s="1" t="s">
        <v>948</v>
      </c>
      <c r="BM11" s="1" t="s">
        <v>868</v>
      </c>
      <c r="BN11" s="1" t="s">
        <v>780</v>
      </c>
      <c r="BO11" s="1" t="s">
        <v>782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960</v>
      </c>
      <c r="CA11" s="1" t="s">
        <v>326</v>
      </c>
      <c r="CB11" s="1" t="s">
        <v>961</v>
      </c>
      <c r="CC11" s="1" t="s">
        <v>962</v>
      </c>
    </row>
    <row r="12" spans="1:81" x14ac:dyDescent="0.25">
      <c r="A12" s="1" t="s">
        <v>145</v>
      </c>
      <c r="B12" s="1" t="s">
        <v>760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963</v>
      </c>
      <c r="H12" s="1">
        <v>6</v>
      </c>
      <c r="I12" s="1" t="s">
        <v>855</v>
      </c>
      <c r="J12" s="1" t="s">
        <v>219</v>
      </c>
      <c r="K12" s="1" t="s">
        <v>964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912</v>
      </c>
      <c r="R12" s="1" t="s">
        <v>766</v>
      </c>
      <c r="S12" s="1" t="s">
        <v>895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965</v>
      </c>
      <c r="Y12" s="1" t="s">
        <v>966</v>
      </c>
      <c r="Z12" s="1">
        <v>7</v>
      </c>
      <c r="AA12" s="1" t="s">
        <v>898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967</v>
      </c>
      <c r="AT12" s="1" t="s">
        <v>968</v>
      </c>
      <c r="AU12" s="1" t="s">
        <v>186</v>
      </c>
      <c r="AV12" s="1" t="s">
        <v>969</v>
      </c>
      <c r="AW12" s="1" t="s">
        <v>970</v>
      </c>
      <c r="AX12" s="1" t="s">
        <v>157</v>
      </c>
      <c r="AY12" s="1" t="s">
        <v>971</v>
      </c>
      <c r="AZ12" s="1" t="s">
        <v>972</v>
      </c>
      <c r="BA12" s="1" t="s">
        <v>973</v>
      </c>
      <c r="BB12" s="1" t="s">
        <v>974</v>
      </c>
      <c r="BC12" s="1" t="s">
        <v>897</v>
      </c>
      <c r="BD12" s="1" t="s">
        <v>975</v>
      </c>
      <c r="BE12" s="1">
        <v>114.5</v>
      </c>
      <c r="BF12" s="1">
        <v>111.1</v>
      </c>
      <c r="BG12" s="1">
        <v>3.4</v>
      </c>
      <c r="BH12" s="1" t="s">
        <v>907</v>
      </c>
      <c r="BI12" s="1" t="s">
        <v>266</v>
      </c>
      <c r="BJ12" s="1" t="s">
        <v>216</v>
      </c>
      <c r="BK12" s="1" t="s">
        <v>296</v>
      </c>
      <c r="BL12" s="1" t="s">
        <v>963</v>
      </c>
      <c r="BM12" s="1" t="s">
        <v>976</v>
      </c>
      <c r="BN12" s="1" t="s">
        <v>782</v>
      </c>
      <c r="BO12" s="1" t="s">
        <v>942</v>
      </c>
      <c r="BP12" s="1" t="s">
        <v>270</v>
      </c>
      <c r="BQ12" s="1" t="s">
        <v>286</v>
      </c>
      <c r="BR12" s="1" t="s">
        <v>410</v>
      </c>
      <c r="BS12" s="1" t="s">
        <v>977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831</v>
      </c>
      <c r="CB12" s="1" t="s">
        <v>978</v>
      </c>
      <c r="CC12" s="1" t="s">
        <v>979</v>
      </c>
    </row>
    <row r="13" spans="1:81" x14ac:dyDescent="0.25">
      <c r="A13" s="1" t="s">
        <v>145</v>
      </c>
      <c r="B13" s="1" t="s">
        <v>760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873</v>
      </c>
      <c r="H13" s="1">
        <v>6</v>
      </c>
      <c r="I13" s="1" t="s">
        <v>855</v>
      </c>
      <c r="J13" s="1" t="s">
        <v>203</v>
      </c>
      <c r="K13" s="1" t="s">
        <v>856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980</v>
      </c>
      <c r="R13" s="1" t="s">
        <v>981</v>
      </c>
      <c r="S13" s="1" t="s">
        <v>929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982</v>
      </c>
      <c r="Y13" s="1" t="s">
        <v>983</v>
      </c>
      <c r="Z13" s="1">
        <v>9</v>
      </c>
      <c r="AA13" s="1" t="s">
        <v>984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877</v>
      </c>
      <c r="AT13" s="1" t="s">
        <v>985</v>
      </c>
      <c r="AU13" s="1" t="s">
        <v>273</v>
      </c>
      <c r="AV13" s="1" t="s">
        <v>986</v>
      </c>
      <c r="AW13" s="1" t="s">
        <v>987</v>
      </c>
      <c r="AX13" s="1" t="s">
        <v>224</v>
      </c>
      <c r="AY13" s="1" t="s">
        <v>988</v>
      </c>
      <c r="AZ13" s="1" t="s">
        <v>989</v>
      </c>
      <c r="BA13" s="1" t="s">
        <v>990</v>
      </c>
      <c r="BB13" s="1" t="s">
        <v>991</v>
      </c>
      <c r="BC13" s="1" t="s">
        <v>850</v>
      </c>
      <c r="BD13" s="1" t="s">
        <v>992</v>
      </c>
      <c r="BE13" s="1">
        <v>112.2</v>
      </c>
      <c r="BF13" s="1">
        <v>112.3</v>
      </c>
      <c r="BG13" s="1">
        <v>-0.1</v>
      </c>
      <c r="BH13" s="1" t="s">
        <v>873</v>
      </c>
      <c r="BI13" s="1" t="s">
        <v>868</v>
      </c>
      <c r="BJ13" s="1" t="s">
        <v>782</v>
      </c>
      <c r="BK13" s="1" t="s">
        <v>869</v>
      </c>
      <c r="BL13" s="1" t="s">
        <v>993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831</v>
      </c>
      <c r="CB13" s="1" t="s">
        <v>994</v>
      </c>
      <c r="CC13" s="1" t="s">
        <v>995</v>
      </c>
    </row>
    <row r="14" spans="1:81" x14ac:dyDescent="0.25">
      <c r="A14" s="1" t="s">
        <v>145</v>
      </c>
      <c r="B14" s="1" t="s">
        <v>760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948</v>
      </c>
      <c r="H14" s="1">
        <v>7</v>
      </c>
      <c r="I14" s="1" t="s">
        <v>996</v>
      </c>
      <c r="J14" s="1" t="s">
        <v>244</v>
      </c>
      <c r="K14" s="1" t="s">
        <v>894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980</v>
      </c>
      <c r="R14" s="1" t="s">
        <v>997</v>
      </c>
      <c r="S14" s="1" t="s">
        <v>998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999</v>
      </c>
      <c r="Z14" s="1">
        <v>9</v>
      </c>
      <c r="AA14" s="1" t="s">
        <v>984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984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765</v>
      </c>
      <c r="AT14" s="1" t="s">
        <v>1000</v>
      </c>
      <c r="AU14" s="1" t="s">
        <v>164</v>
      </c>
      <c r="AV14" s="1" t="s">
        <v>1001</v>
      </c>
      <c r="AW14" s="1" t="s">
        <v>1002</v>
      </c>
      <c r="AX14" s="1" t="s">
        <v>185</v>
      </c>
      <c r="AY14" s="1" t="s">
        <v>1003</v>
      </c>
      <c r="AZ14" s="1" t="s">
        <v>1004</v>
      </c>
      <c r="BA14" s="1" t="s">
        <v>1005</v>
      </c>
      <c r="BB14" s="1" t="s">
        <v>1001</v>
      </c>
      <c r="BC14" s="1" t="s">
        <v>913</v>
      </c>
      <c r="BD14" s="1" t="s">
        <v>914</v>
      </c>
      <c r="BE14" s="1">
        <v>107.3</v>
      </c>
      <c r="BF14" s="1">
        <v>106.6</v>
      </c>
      <c r="BG14" s="1">
        <v>0.7</v>
      </c>
      <c r="BH14" s="1" t="s">
        <v>948</v>
      </c>
      <c r="BI14" s="1" t="s">
        <v>869</v>
      </c>
      <c r="BJ14" s="1" t="s">
        <v>942</v>
      </c>
      <c r="BK14" s="1" t="s">
        <v>807</v>
      </c>
      <c r="BL14" s="1" t="s">
        <v>1006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976</v>
      </c>
      <c r="CA14" s="1" t="s">
        <v>1007</v>
      </c>
      <c r="CB14" s="1" t="s">
        <v>1008</v>
      </c>
      <c r="CC14" s="1" t="s">
        <v>833</v>
      </c>
    </row>
    <row r="15" spans="1:81" x14ac:dyDescent="0.25">
      <c r="A15" s="1" t="s">
        <v>145</v>
      </c>
      <c r="B15" s="1" t="s">
        <v>760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948</v>
      </c>
      <c r="H15" s="1">
        <v>7</v>
      </c>
      <c r="I15" s="1" t="s">
        <v>855</v>
      </c>
      <c r="J15" s="1" t="s">
        <v>231</v>
      </c>
      <c r="K15" s="1" t="s">
        <v>894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928</v>
      </c>
      <c r="R15" s="1" t="s">
        <v>814</v>
      </c>
      <c r="S15" s="1" t="s">
        <v>1009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1010</v>
      </c>
      <c r="Y15" s="1" t="s">
        <v>997</v>
      </c>
      <c r="Z15" s="1">
        <v>11</v>
      </c>
      <c r="AA15" s="1" t="s">
        <v>768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1011</v>
      </c>
      <c r="AT15" s="1" t="s">
        <v>1012</v>
      </c>
      <c r="AU15" s="1" t="s">
        <v>163</v>
      </c>
      <c r="AV15" s="1" t="s">
        <v>1013</v>
      </c>
      <c r="AW15" s="1" t="s">
        <v>1012</v>
      </c>
      <c r="AX15" s="1" t="s">
        <v>164</v>
      </c>
      <c r="AY15" s="1" t="s">
        <v>1014</v>
      </c>
      <c r="AZ15" s="1" t="s">
        <v>1015</v>
      </c>
      <c r="BA15" s="1" t="s">
        <v>999</v>
      </c>
      <c r="BB15" s="1" t="s">
        <v>769</v>
      </c>
      <c r="BC15" s="1" t="s">
        <v>1016</v>
      </c>
      <c r="BD15" s="1" t="s">
        <v>1017</v>
      </c>
      <c r="BE15" s="1">
        <v>111.7</v>
      </c>
      <c r="BF15" s="1">
        <v>110</v>
      </c>
      <c r="BG15" s="1">
        <v>1.7</v>
      </c>
      <c r="BH15" s="1" t="s">
        <v>1018</v>
      </c>
      <c r="BI15" s="1" t="s">
        <v>266</v>
      </c>
      <c r="BJ15" s="1" t="s">
        <v>296</v>
      </c>
      <c r="BK15" s="1" t="s">
        <v>276</v>
      </c>
      <c r="BL15" s="1" t="s">
        <v>948</v>
      </c>
      <c r="BM15" s="1" t="s">
        <v>782</v>
      </c>
      <c r="BN15" s="1" t="s">
        <v>782</v>
      </c>
      <c r="BO15" s="1" t="s">
        <v>807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943</v>
      </c>
      <c r="CB15" s="1" t="s">
        <v>1019</v>
      </c>
      <c r="CC15" s="1" t="s">
        <v>833</v>
      </c>
    </row>
    <row r="16" spans="1:81" x14ac:dyDescent="0.25">
      <c r="A16" s="1" t="s">
        <v>145</v>
      </c>
      <c r="B16" s="1" t="s">
        <v>760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1020</v>
      </c>
      <c r="H16" s="1">
        <v>8</v>
      </c>
      <c r="I16" s="1" t="s">
        <v>855</v>
      </c>
      <c r="J16" s="1" t="s">
        <v>181</v>
      </c>
      <c r="K16" s="1" t="s">
        <v>856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1021</v>
      </c>
      <c r="R16" s="1" t="s">
        <v>815</v>
      </c>
      <c r="S16" s="1" t="s">
        <v>1022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1023</v>
      </c>
      <c r="Z16" s="1">
        <v>11</v>
      </c>
      <c r="AA16" s="1" t="s">
        <v>768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1024</v>
      </c>
      <c r="AT16" s="1" t="s">
        <v>1025</v>
      </c>
      <c r="AU16" s="1" t="s">
        <v>186</v>
      </c>
      <c r="AV16" s="1" t="s">
        <v>877</v>
      </c>
      <c r="AW16" s="1" t="s">
        <v>1026</v>
      </c>
      <c r="AX16" s="1" t="s">
        <v>161</v>
      </c>
      <c r="AY16" s="1" t="s">
        <v>1027</v>
      </c>
      <c r="AZ16" s="1" t="s">
        <v>1028</v>
      </c>
      <c r="BA16" s="1" t="s">
        <v>1029</v>
      </c>
      <c r="BB16" s="1" t="s">
        <v>1030</v>
      </c>
      <c r="BC16" s="1" t="s">
        <v>1031</v>
      </c>
      <c r="BD16" s="1" t="s">
        <v>1032</v>
      </c>
      <c r="BE16" s="1">
        <v>107</v>
      </c>
      <c r="BF16" s="1">
        <v>107.3</v>
      </c>
      <c r="BG16" s="1">
        <v>-0.2</v>
      </c>
      <c r="BH16" s="1" t="s">
        <v>1020</v>
      </c>
      <c r="BI16" s="1" t="s">
        <v>782</v>
      </c>
      <c r="BJ16" s="1" t="s">
        <v>868</v>
      </c>
      <c r="BK16" s="1" t="s">
        <v>942</v>
      </c>
      <c r="BL16" s="1" t="s">
        <v>923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807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851</v>
      </c>
      <c r="CA16" s="1" t="s">
        <v>397</v>
      </c>
      <c r="CB16" s="1" t="s">
        <v>1033</v>
      </c>
      <c r="CC16" s="1" t="s">
        <v>1034</v>
      </c>
    </row>
    <row r="17" spans="1:81" x14ac:dyDescent="0.25">
      <c r="A17" s="1" t="s">
        <v>145</v>
      </c>
      <c r="B17" s="1" t="s">
        <v>760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963</v>
      </c>
      <c r="H17" s="1">
        <v>8</v>
      </c>
      <c r="I17" s="1" t="s">
        <v>855</v>
      </c>
      <c r="J17" s="1" t="s">
        <v>152</v>
      </c>
      <c r="K17" s="1" t="s">
        <v>927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928</v>
      </c>
      <c r="R17" s="1" t="s">
        <v>815</v>
      </c>
      <c r="S17" s="1" t="s">
        <v>895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981</v>
      </c>
      <c r="Z17" s="1">
        <v>9</v>
      </c>
      <c r="AA17" s="1" t="s">
        <v>984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1001</v>
      </c>
      <c r="AT17" s="1" t="s">
        <v>1035</v>
      </c>
      <c r="AU17" s="1" t="s">
        <v>260</v>
      </c>
      <c r="AV17" s="1" t="s">
        <v>1036</v>
      </c>
      <c r="AW17" s="1" t="s">
        <v>1037</v>
      </c>
      <c r="AX17" s="1" t="s">
        <v>190</v>
      </c>
      <c r="AY17" s="1" t="s">
        <v>1038</v>
      </c>
      <c r="AZ17" s="1" t="s">
        <v>1039</v>
      </c>
      <c r="BA17" s="1" t="s">
        <v>1040</v>
      </c>
      <c r="BB17" s="1" t="s">
        <v>1041</v>
      </c>
      <c r="BC17" s="1" t="s">
        <v>1042</v>
      </c>
      <c r="BD17" s="1" t="s">
        <v>1043</v>
      </c>
      <c r="BE17" s="1">
        <v>115.1</v>
      </c>
      <c r="BF17" s="1">
        <v>114.3</v>
      </c>
      <c r="BG17" s="1">
        <v>0.9</v>
      </c>
      <c r="BH17" s="1" t="s">
        <v>806</v>
      </c>
      <c r="BI17" s="1" t="s">
        <v>266</v>
      </c>
      <c r="BJ17" s="1" t="s">
        <v>296</v>
      </c>
      <c r="BK17" s="1" t="s">
        <v>296</v>
      </c>
      <c r="BL17" s="1" t="s">
        <v>963</v>
      </c>
      <c r="BM17" s="1" t="s">
        <v>1044</v>
      </c>
      <c r="BN17" s="1" t="s">
        <v>943</v>
      </c>
      <c r="BO17" s="1" t="s">
        <v>782</v>
      </c>
      <c r="BP17" s="1" t="s">
        <v>960</v>
      </c>
      <c r="BQ17" s="1" t="s">
        <v>286</v>
      </c>
      <c r="BR17" s="1" t="s">
        <v>1045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1046</v>
      </c>
      <c r="CC17" s="1" t="s">
        <v>1047</v>
      </c>
    </row>
    <row r="18" spans="1:81" x14ac:dyDescent="0.25">
      <c r="A18" s="1" t="s">
        <v>145</v>
      </c>
      <c r="B18" s="1" t="s">
        <v>760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873</v>
      </c>
      <c r="H18" s="1">
        <v>9</v>
      </c>
      <c r="I18" s="1" t="s">
        <v>1048</v>
      </c>
      <c r="J18" s="1" t="s">
        <v>244</v>
      </c>
      <c r="K18" s="1" t="s">
        <v>894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1049</v>
      </c>
      <c r="R18" s="1" t="s">
        <v>997</v>
      </c>
      <c r="S18" s="1" t="s">
        <v>1050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874</v>
      </c>
      <c r="Y18" s="1" t="s">
        <v>876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1051</v>
      </c>
      <c r="AT18" s="1" t="s">
        <v>1052</v>
      </c>
      <c r="AU18" s="1" t="s">
        <v>190</v>
      </c>
      <c r="AV18" s="1" t="s">
        <v>791</v>
      </c>
      <c r="AW18" s="1" t="s">
        <v>1053</v>
      </c>
      <c r="AX18" s="1" t="s">
        <v>186</v>
      </c>
      <c r="AY18" s="1" t="s">
        <v>1054</v>
      </c>
      <c r="AZ18" s="1" t="s">
        <v>1055</v>
      </c>
      <c r="BA18" s="1" t="s">
        <v>968</v>
      </c>
      <c r="BB18" s="1" t="s">
        <v>1056</v>
      </c>
      <c r="BC18" s="1" t="s">
        <v>1057</v>
      </c>
      <c r="BD18" s="1" t="s">
        <v>1058</v>
      </c>
      <c r="BE18" s="1">
        <v>110.7</v>
      </c>
      <c r="BF18" s="1">
        <v>111.8</v>
      </c>
      <c r="BG18" s="1">
        <v>-1.1000000000000001</v>
      </c>
      <c r="BH18" s="1" t="s">
        <v>873</v>
      </c>
      <c r="BI18" s="1" t="s">
        <v>908</v>
      </c>
      <c r="BJ18" s="1" t="s">
        <v>869</v>
      </c>
      <c r="BK18" s="1" t="s">
        <v>807</v>
      </c>
      <c r="BL18" s="1" t="s">
        <v>1059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924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1060</v>
      </c>
      <c r="CC18" s="1" t="s">
        <v>979</v>
      </c>
    </row>
    <row r="19" spans="1:81" x14ac:dyDescent="0.25">
      <c r="A19" s="1" t="s">
        <v>145</v>
      </c>
      <c r="B19" s="1" t="s">
        <v>760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1061</v>
      </c>
      <c r="H19" s="1">
        <v>9</v>
      </c>
      <c r="I19" s="1" t="s">
        <v>1048</v>
      </c>
      <c r="J19" s="1" t="s">
        <v>152</v>
      </c>
      <c r="K19" s="1" t="s">
        <v>1062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1049</v>
      </c>
      <c r="R19" s="1" t="s">
        <v>1063</v>
      </c>
      <c r="S19" s="1" t="s">
        <v>1022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965</v>
      </c>
      <c r="Y19" s="1" t="s">
        <v>1064</v>
      </c>
      <c r="Z19" s="1">
        <v>7</v>
      </c>
      <c r="AA19" s="1" t="s">
        <v>898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1065</v>
      </c>
      <c r="AT19" s="1" t="s">
        <v>1066</v>
      </c>
      <c r="AU19" s="1" t="s">
        <v>260</v>
      </c>
      <c r="AV19" s="1" t="s">
        <v>1067</v>
      </c>
      <c r="AW19" s="1" t="s">
        <v>1068</v>
      </c>
      <c r="AX19" s="1" t="s">
        <v>339</v>
      </c>
      <c r="AY19" s="1" t="s">
        <v>1069</v>
      </c>
      <c r="AZ19" s="1" t="s">
        <v>1070</v>
      </c>
      <c r="BA19" s="1" t="s">
        <v>1071</v>
      </c>
      <c r="BB19" s="1" t="s">
        <v>1072</v>
      </c>
      <c r="BC19" s="1" t="s">
        <v>1043</v>
      </c>
      <c r="BD19" s="1" t="s">
        <v>1073</v>
      </c>
      <c r="BE19" s="1">
        <v>114.2</v>
      </c>
      <c r="BF19" s="1">
        <v>115.3</v>
      </c>
      <c r="BG19" s="1">
        <v>-1.1000000000000001</v>
      </c>
      <c r="BH19" s="1" t="s">
        <v>1018</v>
      </c>
      <c r="BI19" s="1" t="s">
        <v>398</v>
      </c>
      <c r="BJ19" s="1" t="s">
        <v>296</v>
      </c>
      <c r="BK19" s="1" t="s">
        <v>216</v>
      </c>
      <c r="BL19" s="1" t="s">
        <v>1061</v>
      </c>
      <c r="BM19" s="1" t="s">
        <v>1044</v>
      </c>
      <c r="BN19" s="1" t="s">
        <v>1074</v>
      </c>
      <c r="BO19" s="1" t="s">
        <v>782</v>
      </c>
      <c r="BP19" s="1" t="s">
        <v>924</v>
      </c>
      <c r="BQ19" s="1" t="s">
        <v>276</v>
      </c>
      <c r="BR19" s="1" t="s">
        <v>960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1007</v>
      </c>
      <c r="CA19" s="1" t="s">
        <v>831</v>
      </c>
      <c r="CB19" s="1" t="s">
        <v>1075</v>
      </c>
      <c r="CC19" s="1" t="s">
        <v>1076</v>
      </c>
    </row>
    <row r="20" spans="1:81" x14ac:dyDescent="0.25">
      <c r="A20" s="1" t="s">
        <v>145</v>
      </c>
      <c r="B20" s="1" t="s">
        <v>760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1077</v>
      </c>
      <c r="H20" s="1">
        <v>10</v>
      </c>
      <c r="I20" s="1" t="s">
        <v>1048</v>
      </c>
      <c r="J20" s="1" t="s">
        <v>152</v>
      </c>
      <c r="K20" s="1" t="s">
        <v>964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1078</v>
      </c>
      <c r="R20" s="1" t="s">
        <v>895</v>
      </c>
      <c r="S20" s="1" t="s">
        <v>1022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1009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1079</v>
      </c>
      <c r="AT20" s="1" t="s">
        <v>1080</v>
      </c>
      <c r="AU20" s="1" t="s">
        <v>157</v>
      </c>
      <c r="AV20" s="1" t="s">
        <v>1081</v>
      </c>
      <c r="AW20" s="1" t="s">
        <v>1082</v>
      </c>
      <c r="AX20" s="1" t="s">
        <v>157</v>
      </c>
      <c r="AY20" s="1" t="s">
        <v>1083</v>
      </c>
      <c r="AZ20" s="1" t="s">
        <v>1084</v>
      </c>
      <c r="BA20" s="1" t="s">
        <v>1085</v>
      </c>
      <c r="BB20" s="1" t="s">
        <v>1086</v>
      </c>
      <c r="BC20" s="1" t="s">
        <v>1087</v>
      </c>
      <c r="BD20" s="1" t="s">
        <v>1088</v>
      </c>
      <c r="BE20" s="1">
        <v>111.8</v>
      </c>
      <c r="BF20" s="1">
        <v>113.5</v>
      </c>
      <c r="BG20" s="1">
        <v>-1.7</v>
      </c>
      <c r="BH20" s="1" t="s">
        <v>1006</v>
      </c>
      <c r="BI20" s="1" t="s">
        <v>1089</v>
      </c>
      <c r="BJ20" s="1" t="s">
        <v>276</v>
      </c>
      <c r="BK20" s="1" t="s">
        <v>266</v>
      </c>
      <c r="BL20" s="1" t="s">
        <v>1077</v>
      </c>
      <c r="BM20" s="1" t="s">
        <v>1044</v>
      </c>
      <c r="BN20" s="1" t="s">
        <v>976</v>
      </c>
      <c r="BO20" s="1" t="s">
        <v>942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1090</v>
      </c>
      <c r="CC20" s="1" t="s">
        <v>1076</v>
      </c>
    </row>
    <row r="21" spans="1:81" x14ac:dyDescent="0.25">
      <c r="A21" s="1" t="s">
        <v>145</v>
      </c>
      <c r="B21" s="1" t="s">
        <v>760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1091</v>
      </c>
      <c r="H21" s="1">
        <v>10</v>
      </c>
      <c r="I21" s="1" t="s">
        <v>1048</v>
      </c>
      <c r="J21" s="1" t="s">
        <v>244</v>
      </c>
      <c r="K21" s="1" t="s">
        <v>1092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1049</v>
      </c>
      <c r="R21" s="1" t="s">
        <v>929</v>
      </c>
      <c r="S21" s="1" t="s">
        <v>838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1093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930</v>
      </c>
      <c r="AT21" s="1" t="s">
        <v>1094</v>
      </c>
      <c r="AU21" s="1" t="s">
        <v>234</v>
      </c>
      <c r="AV21" s="1" t="s">
        <v>1095</v>
      </c>
      <c r="AW21" s="1" t="s">
        <v>1096</v>
      </c>
      <c r="AX21" s="1" t="s">
        <v>260</v>
      </c>
      <c r="AY21" s="1" t="s">
        <v>1097</v>
      </c>
      <c r="AZ21" s="1" t="s">
        <v>1098</v>
      </c>
      <c r="BA21" s="1" t="s">
        <v>1099</v>
      </c>
      <c r="BB21" s="1" t="s">
        <v>1100</v>
      </c>
      <c r="BC21" s="1" t="s">
        <v>1101</v>
      </c>
      <c r="BD21" s="1" t="s">
        <v>1102</v>
      </c>
      <c r="BE21" s="1">
        <v>105.7</v>
      </c>
      <c r="BF21" s="1">
        <v>105.9</v>
      </c>
      <c r="BG21" s="1">
        <v>-0.2</v>
      </c>
      <c r="BH21" s="1" t="s">
        <v>1091</v>
      </c>
      <c r="BI21" s="1" t="s">
        <v>1044</v>
      </c>
      <c r="BJ21" s="1" t="s">
        <v>942</v>
      </c>
      <c r="BK21" s="1" t="s">
        <v>960</v>
      </c>
      <c r="BL21" s="1" t="s">
        <v>1103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1104</v>
      </c>
      <c r="BR21" s="1" t="s">
        <v>233</v>
      </c>
      <c r="BS21" s="1" t="s">
        <v>909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1033</v>
      </c>
      <c r="CC21" s="1" t="s">
        <v>1105</v>
      </c>
    </row>
    <row r="22" spans="1:81" x14ac:dyDescent="0.25">
      <c r="A22" s="1" t="s">
        <v>145</v>
      </c>
      <c r="B22" s="1" t="s">
        <v>760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1106</v>
      </c>
      <c r="H22" s="1">
        <v>11</v>
      </c>
      <c r="I22" s="1" t="s">
        <v>1048</v>
      </c>
      <c r="J22" s="1" t="s">
        <v>244</v>
      </c>
      <c r="K22" s="1" t="s">
        <v>1092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1107</v>
      </c>
      <c r="R22" s="1" t="s">
        <v>895</v>
      </c>
      <c r="S22" s="1" t="s">
        <v>1002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1108</v>
      </c>
      <c r="Z22" s="1">
        <v>-6</v>
      </c>
      <c r="AA22" s="1" t="s">
        <v>367</v>
      </c>
      <c r="AB22" s="1">
        <v>-8</v>
      </c>
      <c r="AC22" s="1" t="s">
        <v>1109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1110</v>
      </c>
      <c r="AT22" s="1" t="s">
        <v>1111</v>
      </c>
      <c r="AU22" s="1" t="s">
        <v>158</v>
      </c>
      <c r="AV22" s="1" t="s">
        <v>1112</v>
      </c>
      <c r="AW22" s="1" t="s">
        <v>1113</v>
      </c>
      <c r="AX22" s="1" t="s">
        <v>190</v>
      </c>
      <c r="AY22" s="1" t="s">
        <v>1114</v>
      </c>
      <c r="AZ22" s="1" t="s">
        <v>1115</v>
      </c>
      <c r="BA22" s="1" t="s">
        <v>1116</v>
      </c>
      <c r="BB22" s="1" t="s">
        <v>1117</v>
      </c>
      <c r="BC22" s="1" t="s">
        <v>1118</v>
      </c>
      <c r="BD22" s="1" t="s">
        <v>1091</v>
      </c>
      <c r="BE22" s="1">
        <v>114</v>
      </c>
      <c r="BF22" s="1">
        <v>116.9</v>
      </c>
      <c r="BG22" s="1">
        <v>-2.9</v>
      </c>
      <c r="BH22" s="1" t="s">
        <v>1106</v>
      </c>
      <c r="BI22" s="1" t="s">
        <v>1119</v>
      </c>
      <c r="BJ22" s="1" t="s">
        <v>1119</v>
      </c>
      <c r="BK22" s="1" t="s">
        <v>960</v>
      </c>
      <c r="BL22" s="1" t="s">
        <v>993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1120</v>
      </c>
      <c r="BS22" s="1" t="s">
        <v>372</v>
      </c>
      <c r="BT22" s="1"/>
      <c r="BU22" s="1"/>
      <c r="BV22" s="1"/>
      <c r="BW22" s="1"/>
      <c r="BX22" s="1"/>
      <c r="BY22" s="1" t="s">
        <v>1121</v>
      </c>
      <c r="BZ22" s="1" t="s">
        <v>924</v>
      </c>
      <c r="CA22" s="1" t="s">
        <v>337</v>
      </c>
      <c r="CB22" s="1" t="s">
        <v>1122</v>
      </c>
      <c r="CC22" s="1" t="s">
        <v>1123</v>
      </c>
    </row>
    <row r="23" spans="1:81" x14ac:dyDescent="0.25">
      <c r="A23" s="1" t="s">
        <v>145</v>
      </c>
      <c r="B23" s="1" t="s">
        <v>760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1124</v>
      </c>
      <c r="H23" s="1">
        <v>11</v>
      </c>
      <c r="I23" s="1" t="s">
        <v>1048</v>
      </c>
      <c r="J23" s="1" t="s">
        <v>219</v>
      </c>
      <c r="K23" s="1" t="s">
        <v>1125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1126</v>
      </c>
      <c r="R23" s="1" t="s">
        <v>997</v>
      </c>
      <c r="S23" s="1" t="s">
        <v>1127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929</v>
      </c>
      <c r="Z23" s="1">
        <v>6</v>
      </c>
      <c r="AA23" s="1" t="s">
        <v>188</v>
      </c>
      <c r="AB23" s="1">
        <v>-9</v>
      </c>
      <c r="AC23" s="1" t="s">
        <v>1128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1129</v>
      </c>
      <c r="AT23" s="1" t="s">
        <v>1130</v>
      </c>
      <c r="AU23" s="1" t="s">
        <v>226</v>
      </c>
      <c r="AV23" s="1" t="s">
        <v>1131</v>
      </c>
      <c r="AW23" s="1" t="s">
        <v>1132</v>
      </c>
      <c r="AX23" s="1" t="s">
        <v>260</v>
      </c>
      <c r="AY23" s="1" t="s">
        <v>1133</v>
      </c>
      <c r="AZ23" s="1" t="s">
        <v>1134</v>
      </c>
      <c r="BA23" s="1" t="s">
        <v>1135</v>
      </c>
      <c r="BB23" s="1" t="s">
        <v>1136</v>
      </c>
      <c r="BC23" s="1" t="s">
        <v>1137</v>
      </c>
      <c r="BD23" s="1" t="s">
        <v>1138</v>
      </c>
      <c r="BE23" s="1">
        <v>112.5</v>
      </c>
      <c r="BF23" s="1">
        <v>114</v>
      </c>
      <c r="BG23" s="1">
        <v>-1.5</v>
      </c>
      <c r="BH23" s="1" t="s">
        <v>923</v>
      </c>
      <c r="BI23" s="1" t="s">
        <v>323</v>
      </c>
      <c r="BJ23" s="1" t="s">
        <v>276</v>
      </c>
      <c r="BK23" s="1" t="s">
        <v>276</v>
      </c>
      <c r="BL23" s="1" t="s">
        <v>1124</v>
      </c>
      <c r="BM23" s="1" t="s">
        <v>386</v>
      </c>
      <c r="BN23" s="1" t="s">
        <v>942</v>
      </c>
      <c r="BO23" s="1" t="s">
        <v>908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1060</v>
      </c>
      <c r="CC23" s="1" t="s">
        <v>1076</v>
      </c>
    </row>
    <row r="24" spans="1:81" x14ac:dyDescent="0.25">
      <c r="A24" s="1" t="s">
        <v>145</v>
      </c>
      <c r="B24" s="1" t="s">
        <v>760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1139</v>
      </c>
      <c r="H24" s="1">
        <v>12</v>
      </c>
      <c r="I24" s="1" t="s">
        <v>1048</v>
      </c>
      <c r="J24" s="1" t="s">
        <v>231</v>
      </c>
      <c r="K24" s="1" t="s">
        <v>856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1140</v>
      </c>
      <c r="R24" s="1" t="s">
        <v>876</v>
      </c>
      <c r="S24" s="1" t="s">
        <v>1141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1142</v>
      </c>
      <c r="Z24" s="1">
        <v>5</v>
      </c>
      <c r="AA24" s="1" t="s">
        <v>160</v>
      </c>
      <c r="AB24" s="1">
        <v>-9</v>
      </c>
      <c r="AC24" s="1" t="s">
        <v>1128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1143</v>
      </c>
      <c r="AT24" s="1" t="s">
        <v>1144</v>
      </c>
      <c r="AU24" s="1" t="s">
        <v>262</v>
      </c>
      <c r="AV24" s="1" t="s">
        <v>1145</v>
      </c>
      <c r="AW24" s="1" t="s">
        <v>1146</v>
      </c>
      <c r="AX24" s="1" t="s">
        <v>153</v>
      </c>
      <c r="AY24" s="1" t="s">
        <v>920</v>
      </c>
      <c r="AZ24" s="1" t="s">
        <v>1147</v>
      </c>
      <c r="BA24" s="1" t="s">
        <v>1099</v>
      </c>
      <c r="BB24" s="1" t="s">
        <v>1148</v>
      </c>
      <c r="BC24" s="1" t="s">
        <v>1149</v>
      </c>
      <c r="BD24" s="1" t="s">
        <v>1150</v>
      </c>
      <c r="BE24" s="1">
        <v>103.5</v>
      </c>
      <c r="BF24" s="1">
        <v>106.1</v>
      </c>
      <c r="BG24" s="1">
        <v>-2.6</v>
      </c>
      <c r="BH24" s="1" t="s">
        <v>1151</v>
      </c>
      <c r="BI24" s="1" t="s">
        <v>398</v>
      </c>
      <c r="BJ24" s="1" t="s">
        <v>398</v>
      </c>
      <c r="BK24" s="1" t="s">
        <v>398</v>
      </c>
      <c r="BL24" s="1" t="s">
        <v>1139</v>
      </c>
      <c r="BM24" s="1" t="s">
        <v>942</v>
      </c>
      <c r="BN24" s="1" t="s">
        <v>1044</v>
      </c>
      <c r="BO24" s="1" t="s">
        <v>868</v>
      </c>
      <c r="BP24" s="1" t="s">
        <v>1152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831</v>
      </c>
      <c r="CA24" s="1" t="s">
        <v>349</v>
      </c>
      <c r="CB24" s="1" t="s">
        <v>1153</v>
      </c>
      <c r="CC24" s="1" t="s">
        <v>1154</v>
      </c>
    </row>
    <row r="25" spans="1:81" x14ac:dyDescent="0.25">
      <c r="A25" s="1" t="s">
        <v>145</v>
      </c>
      <c r="B25" s="1" t="s">
        <v>760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1155</v>
      </c>
      <c r="H25" s="1">
        <v>12</v>
      </c>
      <c r="I25" s="1" t="s">
        <v>1048</v>
      </c>
      <c r="J25" s="1" t="s">
        <v>244</v>
      </c>
      <c r="K25" s="1" t="s">
        <v>874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1156</v>
      </c>
      <c r="R25" s="1" t="s">
        <v>998</v>
      </c>
      <c r="S25" s="1" t="s">
        <v>1141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1157</v>
      </c>
      <c r="Y25" s="1" t="s">
        <v>1158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1159</v>
      </c>
      <c r="AT25" s="1" t="s">
        <v>1052</v>
      </c>
      <c r="AU25" s="1" t="s">
        <v>327</v>
      </c>
      <c r="AV25" s="1" t="s">
        <v>867</v>
      </c>
      <c r="AW25" s="1" t="s">
        <v>1160</v>
      </c>
      <c r="AX25" s="1" t="s">
        <v>153</v>
      </c>
      <c r="AY25" s="1" t="s">
        <v>1161</v>
      </c>
      <c r="AZ25" s="1" t="s">
        <v>1162</v>
      </c>
      <c r="BA25" s="1" t="s">
        <v>1163</v>
      </c>
      <c r="BB25" s="1" t="s">
        <v>992</v>
      </c>
      <c r="BC25" s="1" t="s">
        <v>1164</v>
      </c>
      <c r="BD25" s="1" t="s">
        <v>1165</v>
      </c>
      <c r="BE25" s="1">
        <v>113.3</v>
      </c>
      <c r="BF25" s="1">
        <v>119.4</v>
      </c>
      <c r="BG25" s="1">
        <v>-6</v>
      </c>
      <c r="BH25" s="1" t="s">
        <v>1155</v>
      </c>
      <c r="BI25" s="1" t="s">
        <v>1166</v>
      </c>
      <c r="BJ25" s="1" t="s">
        <v>1119</v>
      </c>
      <c r="BK25" s="1" t="s">
        <v>410</v>
      </c>
      <c r="BL25" s="1" t="s">
        <v>993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1167</v>
      </c>
      <c r="BR25" s="1" t="s">
        <v>924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1168</v>
      </c>
      <c r="CC25" s="1" t="s">
        <v>947</v>
      </c>
    </row>
    <row r="26" spans="1:81" x14ac:dyDescent="0.25">
      <c r="A26" s="1" t="s">
        <v>145</v>
      </c>
      <c r="B26" s="1" t="s">
        <v>760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1091</v>
      </c>
      <c r="H26" s="1">
        <v>13</v>
      </c>
      <c r="I26" s="1" t="s">
        <v>1048</v>
      </c>
      <c r="J26" s="1" t="s">
        <v>231</v>
      </c>
      <c r="K26" s="1" t="s">
        <v>856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1140</v>
      </c>
      <c r="R26" s="1" t="s">
        <v>929</v>
      </c>
      <c r="S26" s="1" t="s">
        <v>1050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1169</v>
      </c>
      <c r="Z26" s="1">
        <v>-8</v>
      </c>
      <c r="AA26" s="1" t="s">
        <v>1109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1170</v>
      </c>
      <c r="AT26" s="1" t="s">
        <v>1171</v>
      </c>
      <c r="AU26" s="1" t="s">
        <v>190</v>
      </c>
      <c r="AV26" s="1" t="s">
        <v>1172</v>
      </c>
      <c r="AW26" s="1" t="s">
        <v>1173</v>
      </c>
      <c r="AX26" s="1" t="s">
        <v>186</v>
      </c>
      <c r="AY26" s="1" t="s">
        <v>1174</v>
      </c>
      <c r="AZ26" s="1" t="s">
        <v>1175</v>
      </c>
      <c r="BA26" s="1" t="s">
        <v>1176</v>
      </c>
      <c r="BB26" s="1" t="s">
        <v>1177</v>
      </c>
      <c r="BC26" s="1" t="s">
        <v>1178</v>
      </c>
      <c r="BD26" s="1" t="s">
        <v>1179</v>
      </c>
      <c r="BE26" s="1">
        <v>115.4</v>
      </c>
      <c r="BF26" s="1">
        <v>116.8</v>
      </c>
      <c r="BG26" s="1">
        <v>-1.3</v>
      </c>
      <c r="BH26" s="1" t="s">
        <v>1059</v>
      </c>
      <c r="BI26" s="1" t="s">
        <v>398</v>
      </c>
      <c r="BJ26" s="1" t="s">
        <v>276</v>
      </c>
      <c r="BK26" s="1" t="s">
        <v>393</v>
      </c>
      <c r="BL26" s="1" t="s">
        <v>1091</v>
      </c>
      <c r="BM26" s="1" t="s">
        <v>1044</v>
      </c>
      <c r="BN26" s="1" t="s">
        <v>908</v>
      </c>
      <c r="BO26" s="1" t="s">
        <v>868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960</v>
      </c>
      <c r="CA26" s="1" t="s">
        <v>337</v>
      </c>
      <c r="CB26" s="1" t="s">
        <v>1180</v>
      </c>
      <c r="CC26" s="1" t="s">
        <v>1181</v>
      </c>
    </row>
    <row r="27" spans="1:81" x14ac:dyDescent="0.25">
      <c r="A27" s="1" t="s">
        <v>145</v>
      </c>
      <c r="B27" s="1" t="s">
        <v>760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1155</v>
      </c>
      <c r="H27" s="1">
        <v>13</v>
      </c>
      <c r="I27" s="1" t="s">
        <v>1048</v>
      </c>
      <c r="J27" s="1" t="s">
        <v>181</v>
      </c>
      <c r="K27" s="1" t="s">
        <v>1182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1183</v>
      </c>
      <c r="R27" s="1" t="s">
        <v>1052</v>
      </c>
      <c r="S27" s="1" t="s">
        <v>1184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856</v>
      </c>
      <c r="Y27" s="1" t="s">
        <v>1185</v>
      </c>
      <c r="Z27" s="1">
        <v>-11</v>
      </c>
      <c r="AA27" s="1" t="s">
        <v>1186</v>
      </c>
      <c r="AB27" s="1">
        <v>-9</v>
      </c>
      <c r="AC27" s="1" t="s">
        <v>1128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1187</v>
      </c>
      <c r="AT27" s="1" t="s">
        <v>1188</v>
      </c>
      <c r="AU27" s="1" t="s">
        <v>158</v>
      </c>
      <c r="AV27" s="1" t="s">
        <v>1189</v>
      </c>
      <c r="AW27" s="1" t="s">
        <v>1190</v>
      </c>
      <c r="AX27" s="1" t="s">
        <v>164</v>
      </c>
      <c r="AY27" s="1" t="s">
        <v>1191</v>
      </c>
      <c r="AZ27" s="1" t="s">
        <v>1192</v>
      </c>
      <c r="BA27" s="1" t="s">
        <v>1193</v>
      </c>
      <c r="BB27" s="1" t="s">
        <v>1194</v>
      </c>
      <c r="BC27" s="1" t="s">
        <v>872</v>
      </c>
      <c r="BD27" s="1" t="s">
        <v>1195</v>
      </c>
      <c r="BE27" s="1">
        <v>104.9</v>
      </c>
      <c r="BF27" s="1">
        <v>113.4</v>
      </c>
      <c r="BG27" s="1">
        <v>-8.4</v>
      </c>
      <c r="BH27" s="1" t="s">
        <v>1155</v>
      </c>
      <c r="BI27" s="1" t="s">
        <v>1166</v>
      </c>
      <c r="BJ27" s="1" t="s">
        <v>402</v>
      </c>
      <c r="BK27" s="1" t="s">
        <v>942</v>
      </c>
      <c r="BL27" s="1" t="s">
        <v>1196</v>
      </c>
      <c r="BM27" s="1" t="s">
        <v>1089</v>
      </c>
      <c r="BN27" s="1" t="s">
        <v>393</v>
      </c>
      <c r="BO27" s="1" t="s">
        <v>398</v>
      </c>
      <c r="BP27" s="1" t="s">
        <v>1197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1198</v>
      </c>
      <c r="BZ27" s="1" t="s">
        <v>1199</v>
      </c>
      <c r="CA27" s="1" t="s">
        <v>363</v>
      </c>
      <c r="CB27" s="1" t="s">
        <v>1200</v>
      </c>
      <c r="CC27" s="1" t="s">
        <v>1123</v>
      </c>
    </row>
    <row r="28" spans="1:81" x14ac:dyDescent="0.25">
      <c r="A28" s="1" t="s">
        <v>145</v>
      </c>
      <c r="B28" s="1" t="s">
        <v>760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1201</v>
      </c>
      <c r="H28" s="1">
        <v>14</v>
      </c>
      <c r="I28" s="1" t="s">
        <v>1048</v>
      </c>
      <c r="J28" s="1" t="s">
        <v>181</v>
      </c>
      <c r="K28" s="1" t="s">
        <v>1062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1202</v>
      </c>
      <c r="R28" s="1" t="s">
        <v>1184</v>
      </c>
      <c r="S28" s="1" t="s">
        <v>1203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1204</v>
      </c>
      <c r="Z28" s="1">
        <v>-9</v>
      </c>
      <c r="AA28" s="1" t="s">
        <v>1128</v>
      </c>
      <c r="AB28" s="1">
        <v>-11</v>
      </c>
      <c r="AC28" s="1" t="s">
        <v>1186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1186</v>
      </c>
      <c r="AJ28" s="1">
        <v>-10</v>
      </c>
      <c r="AK28" s="1" t="s">
        <v>931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853</v>
      </c>
      <c r="AT28" s="1" t="s">
        <v>1205</v>
      </c>
      <c r="AU28" s="1" t="s">
        <v>304</v>
      </c>
      <c r="AV28" s="1" t="s">
        <v>1206</v>
      </c>
      <c r="AW28" s="1" t="s">
        <v>1207</v>
      </c>
      <c r="AX28" s="1" t="s">
        <v>208</v>
      </c>
      <c r="AY28" s="1" t="s">
        <v>1135</v>
      </c>
      <c r="AZ28" s="1" t="s">
        <v>1208</v>
      </c>
      <c r="BA28" s="1" t="s">
        <v>1209</v>
      </c>
      <c r="BB28" s="1" t="s">
        <v>1210</v>
      </c>
      <c r="BC28" s="1" t="s">
        <v>1093</v>
      </c>
      <c r="BD28" s="1" t="s">
        <v>1211</v>
      </c>
      <c r="BE28" s="1">
        <v>104.5</v>
      </c>
      <c r="BF28" s="1">
        <v>114.1</v>
      </c>
      <c r="BG28" s="1">
        <v>-9.6</v>
      </c>
      <c r="BH28" s="1" t="s">
        <v>1201</v>
      </c>
      <c r="BI28" s="1" t="s">
        <v>1119</v>
      </c>
      <c r="BJ28" s="1" t="s">
        <v>1074</v>
      </c>
      <c r="BK28" s="1" t="s">
        <v>1212</v>
      </c>
      <c r="BL28" s="1" t="s">
        <v>1213</v>
      </c>
      <c r="BM28" s="1" t="s">
        <v>1214</v>
      </c>
      <c r="BN28" s="1" t="s">
        <v>393</v>
      </c>
      <c r="BO28" s="1" t="s">
        <v>393</v>
      </c>
      <c r="BP28" s="1" t="s">
        <v>1199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1121</v>
      </c>
      <c r="BZ28" s="1" t="s">
        <v>407</v>
      </c>
      <c r="CA28" s="1" t="s">
        <v>1074</v>
      </c>
      <c r="CB28" s="1" t="s">
        <v>1215</v>
      </c>
      <c r="CC28" s="1" t="s">
        <v>1216</v>
      </c>
    </row>
    <row r="29" spans="1:81" x14ac:dyDescent="0.25">
      <c r="A29" s="1" t="s">
        <v>145</v>
      </c>
      <c r="B29" s="1" t="s">
        <v>760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1217</v>
      </c>
      <c r="H29" s="1">
        <v>14</v>
      </c>
      <c r="I29" s="1" t="s">
        <v>1048</v>
      </c>
      <c r="J29" s="1" t="s">
        <v>231</v>
      </c>
      <c r="K29" s="1" t="s">
        <v>1062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1140</v>
      </c>
      <c r="R29" s="1" t="s">
        <v>1063</v>
      </c>
      <c r="S29" s="1" t="s">
        <v>1052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1218</v>
      </c>
      <c r="Z29" s="1">
        <v>11</v>
      </c>
      <c r="AA29" s="1" t="s">
        <v>768</v>
      </c>
      <c r="AB29" s="1">
        <v>-9</v>
      </c>
      <c r="AC29" s="1" t="s">
        <v>1128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1219</v>
      </c>
      <c r="AT29" s="1" t="s">
        <v>1082</v>
      </c>
      <c r="AU29" s="1" t="s">
        <v>260</v>
      </c>
      <c r="AV29" s="1" t="s">
        <v>1056</v>
      </c>
      <c r="AW29" s="1" t="s">
        <v>1220</v>
      </c>
      <c r="AX29" s="1" t="s">
        <v>186</v>
      </c>
      <c r="AY29" s="1" t="s">
        <v>1221</v>
      </c>
      <c r="AZ29" s="1" t="s">
        <v>1222</v>
      </c>
      <c r="BA29" s="1" t="s">
        <v>1223</v>
      </c>
      <c r="BB29" s="1" t="s">
        <v>1224</v>
      </c>
      <c r="BC29" s="1" t="s">
        <v>1137</v>
      </c>
      <c r="BD29" s="1" t="s">
        <v>1225</v>
      </c>
      <c r="BE29" s="1">
        <v>108.9</v>
      </c>
      <c r="BF29" s="1">
        <v>110.1</v>
      </c>
      <c r="BG29" s="1">
        <v>-1.3</v>
      </c>
      <c r="BH29" s="1" t="s">
        <v>944</v>
      </c>
      <c r="BI29" s="1" t="s">
        <v>323</v>
      </c>
      <c r="BJ29" s="1" t="s">
        <v>266</v>
      </c>
      <c r="BK29" s="1" t="s">
        <v>276</v>
      </c>
      <c r="BL29" s="1" t="s">
        <v>1217</v>
      </c>
      <c r="BM29" s="1" t="s">
        <v>908</v>
      </c>
      <c r="BN29" s="1" t="s">
        <v>1119</v>
      </c>
      <c r="BO29" s="1" t="s">
        <v>1074</v>
      </c>
      <c r="BP29" s="1" t="s">
        <v>337</v>
      </c>
      <c r="BQ29" s="1" t="s">
        <v>323</v>
      </c>
      <c r="BR29" s="1" t="s">
        <v>1199</v>
      </c>
      <c r="BS29" s="1" t="s">
        <v>239</v>
      </c>
      <c r="BT29" s="1"/>
      <c r="BU29" s="1"/>
      <c r="BV29" s="1"/>
      <c r="BW29" s="1"/>
      <c r="BX29" s="1"/>
      <c r="BY29" s="1" t="s">
        <v>1198</v>
      </c>
      <c r="BZ29" s="1" t="s">
        <v>851</v>
      </c>
      <c r="CA29" s="1" t="s">
        <v>960</v>
      </c>
      <c r="CB29" s="1" t="s">
        <v>1226</v>
      </c>
      <c r="CC29" s="1" t="s">
        <v>1227</v>
      </c>
    </row>
    <row r="30" spans="1:81" x14ac:dyDescent="0.25">
      <c r="A30" s="1" t="s">
        <v>145</v>
      </c>
      <c r="B30" s="1" t="s">
        <v>760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1228</v>
      </c>
      <c r="H30" s="1">
        <v>15</v>
      </c>
      <c r="I30" s="1" t="s">
        <v>1048</v>
      </c>
      <c r="J30" s="1" t="s">
        <v>203</v>
      </c>
      <c r="K30" s="1" t="s">
        <v>1229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1230</v>
      </c>
      <c r="R30" s="1" t="s">
        <v>1052</v>
      </c>
      <c r="S30" s="1" t="s">
        <v>1231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1232</v>
      </c>
      <c r="Z30" s="1">
        <v>-18</v>
      </c>
      <c r="AA30" s="1" t="s">
        <v>1233</v>
      </c>
      <c r="AB30" s="1">
        <v>-9</v>
      </c>
      <c r="AC30" s="1" t="s">
        <v>1128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1234</v>
      </c>
      <c r="AT30" s="1" t="s">
        <v>1235</v>
      </c>
      <c r="AU30" s="1" t="s">
        <v>327</v>
      </c>
      <c r="AV30" s="1" t="s">
        <v>859</v>
      </c>
      <c r="AW30" s="1" t="s">
        <v>1236</v>
      </c>
      <c r="AX30" s="1" t="s">
        <v>327</v>
      </c>
      <c r="AY30" s="1" t="s">
        <v>1237</v>
      </c>
      <c r="AZ30" s="1" t="s">
        <v>1238</v>
      </c>
      <c r="BA30" s="1" t="s">
        <v>1239</v>
      </c>
      <c r="BB30" s="1" t="s">
        <v>1240</v>
      </c>
      <c r="BC30" s="1" t="s">
        <v>1241</v>
      </c>
      <c r="BD30" s="1" t="s">
        <v>1242</v>
      </c>
      <c r="BE30" s="1">
        <v>104.6</v>
      </c>
      <c r="BF30" s="1">
        <v>113.8</v>
      </c>
      <c r="BG30" s="1">
        <v>-9.1999999999999993</v>
      </c>
      <c r="BH30" s="1" t="s">
        <v>1228</v>
      </c>
      <c r="BI30" s="1" t="s">
        <v>1152</v>
      </c>
      <c r="BJ30" s="1" t="s">
        <v>1243</v>
      </c>
      <c r="BK30" s="1" t="s">
        <v>1119</v>
      </c>
      <c r="BL30" s="1" t="s">
        <v>1196</v>
      </c>
      <c r="BM30" s="1" t="s">
        <v>1214</v>
      </c>
      <c r="BN30" s="1" t="s">
        <v>393</v>
      </c>
      <c r="BO30" s="1" t="s">
        <v>323</v>
      </c>
      <c r="BP30" s="1" t="s">
        <v>1244</v>
      </c>
      <c r="BQ30" s="1" t="s">
        <v>1104</v>
      </c>
      <c r="BR30" s="1" t="s">
        <v>1245</v>
      </c>
      <c r="BS30" s="1" t="s">
        <v>239</v>
      </c>
      <c r="BT30" s="1"/>
      <c r="BU30" s="1"/>
      <c r="BV30" s="1"/>
      <c r="BW30" s="1"/>
      <c r="BX30" s="1"/>
      <c r="BY30" s="1" t="s">
        <v>1198</v>
      </c>
      <c r="BZ30" s="1" t="s">
        <v>349</v>
      </c>
      <c r="CA30" s="1" t="s">
        <v>1246</v>
      </c>
      <c r="CB30" s="1" t="s">
        <v>1247</v>
      </c>
      <c r="CC30" s="1" t="s">
        <v>1248</v>
      </c>
    </row>
    <row r="31" spans="1:81" x14ac:dyDescent="0.25">
      <c r="A31" s="1" t="s">
        <v>145</v>
      </c>
      <c r="B31" s="1" t="s">
        <v>760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1228</v>
      </c>
      <c r="H31" s="1">
        <v>15</v>
      </c>
      <c r="I31" s="1" t="s">
        <v>1048</v>
      </c>
      <c r="J31" s="1" t="s">
        <v>152</v>
      </c>
      <c r="K31" s="1" t="s">
        <v>1182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1202</v>
      </c>
      <c r="R31" s="1" t="s">
        <v>1141</v>
      </c>
      <c r="S31" s="1" t="s">
        <v>1249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1220</v>
      </c>
      <c r="Z31" s="1">
        <v>-6</v>
      </c>
      <c r="AA31" s="1" t="s">
        <v>367</v>
      </c>
      <c r="AB31" s="1">
        <v>-13</v>
      </c>
      <c r="AC31" s="1" t="s">
        <v>1250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1251</v>
      </c>
      <c r="AT31" s="1" t="s">
        <v>1252</v>
      </c>
      <c r="AU31" s="1" t="s">
        <v>327</v>
      </c>
      <c r="AV31" s="1" t="s">
        <v>1253</v>
      </c>
      <c r="AW31" s="1" t="s">
        <v>1254</v>
      </c>
      <c r="AX31" s="1" t="s">
        <v>157</v>
      </c>
      <c r="AY31" s="1" t="s">
        <v>1255</v>
      </c>
      <c r="AZ31" s="1" t="s">
        <v>1256</v>
      </c>
      <c r="BA31" s="1" t="s">
        <v>1257</v>
      </c>
      <c r="BB31" s="1" t="s">
        <v>1258</v>
      </c>
      <c r="BC31" s="1" t="s">
        <v>1259</v>
      </c>
      <c r="BD31" s="1" t="s">
        <v>1260</v>
      </c>
      <c r="BE31" s="1">
        <v>107.5</v>
      </c>
      <c r="BF31" s="1">
        <v>116.8</v>
      </c>
      <c r="BG31" s="1">
        <v>-9.3000000000000007</v>
      </c>
      <c r="BH31" s="1" t="s">
        <v>1261</v>
      </c>
      <c r="BI31" s="1" t="s">
        <v>398</v>
      </c>
      <c r="BJ31" s="1" t="s">
        <v>398</v>
      </c>
      <c r="BK31" s="1" t="s">
        <v>393</v>
      </c>
      <c r="BL31" s="1" t="s">
        <v>1228</v>
      </c>
      <c r="BM31" s="1" t="s">
        <v>1262</v>
      </c>
      <c r="BN31" s="1" t="s">
        <v>402</v>
      </c>
      <c r="BO31" s="1" t="s">
        <v>1119</v>
      </c>
      <c r="BP31" s="1" t="s">
        <v>1197</v>
      </c>
      <c r="BQ31" s="1" t="s">
        <v>1263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1121</v>
      </c>
      <c r="BZ31" s="1" t="s">
        <v>1199</v>
      </c>
      <c r="CA31" s="1" t="s">
        <v>386</v>
      </c>
      <c r="CB31" s="1" t="s">
        <v>1264</v>
      </c>
      <c r="CC31" s="1" t="s">
        <v>1265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1266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1267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1268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1269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1270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1271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1272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1273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1274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1275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1276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1277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1278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1279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1276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1280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1279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1281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1279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1282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1275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1274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1268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1283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1279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1284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1285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1269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1286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1287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1288</v>
      </c>
      <c r="T4" s="1">
        <v>23.7</v>
      </c>
      <c r="U4" s="1" t="s">
        <v>1271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1289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1290</v>
      </c>
      <c r="T5" s="1">
        <v>26</v>
      </c>
      <c r="U5" s="1" t="s">
        <v>1271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1291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1292</v>
      </c>
      <c r="T7" s="1">
        <v>25.7</v>
      </c>
      <c r="U7" s="1" t="s">
        <v>1293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1295</v>
      </c>
      <c r="T8" s="1">
        <v>24.5</v>
      </c>
      <c r="U8" s="1" t="s">
        <v>1296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1297</v>
      </c>
      <c r="T9" s="1">
        <v>24.6</v>
      </c>
      <c r="U9" s="1" t="s">
        <v>1271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1269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1298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1271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1299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1300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1301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1302</v>
      </c>
      <c r="T14" s="1">
        <v>24.1</v>
      </c>
      <c r="U14" s="1" t="s">
        <v>1282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1303</v>
      </c>
      <c r="T15" s="1">
        <v>25</v>
      </c>
      <c r="U15" s="1" t="s">
        <v>1273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1304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1269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1298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1274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1305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1290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1306</v>
      </c>
      <c r="T21" s="1">
        <v>25.6</v>
      </c>
      <c r="U21" s="1" t="s">
        <v>1282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1307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1302</v>
      </c>
      <c r="T22" s="1">
        <v>24.9</v>
      </c>
      <c r="U22" s="1" t="s">
        <v>1308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1296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1309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1310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1311</v>
      </c>
      <c r="T26" s="1">
        <v>23.2</v>
      </c>
      <c r="U26" s="1" t="s">
        <v>1312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1313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1314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1315</v>
      </c>
      <c r="T28" s="1">
        <v>24.7</v>
      </c>
      <c r="U28" s="1" t="s">
        <v>1267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1295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1318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1319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1266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1268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1319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1298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1298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1268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1268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1289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1289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1319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1289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1320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1319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1276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1276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1266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1266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1268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1277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2019-11-22T13:51:43Z</dcterms:modified>
</cp:coreProperties>
</file>