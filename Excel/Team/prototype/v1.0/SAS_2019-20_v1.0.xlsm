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1794A504-407F-48D3-97EF-D68C629865C0}" xr6:coauthVersionLast="45" xr6:coauthVersionMax="45" xr10:uidLastSave="{00000000-0000-0000-0000-000000000000}"/>
  <bookViews>
    <workbookView xWindow="5486" yWindow="1157" windowWidth="16457" windowHeight="8520" activeTab="1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19" l="1"/>
  <c r="F2" i="119"/>
</calcChain>
</file>

<file path=xl/sharedStrings.xml><?xml version="1.0" encoding="utf-8"?>
<sst xmlns="http://schemas.openxmlformats.org/spreadsheetml/2006/main" count="5940" uniqueCount="1414">
  <si>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</si>
  <si>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</si>
  <si>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</si>
  <si>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</si>
  <si>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</si>
  <si>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</si>
  <si>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</si>
  <si>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</si>
  <si>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</si>
  <si>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</si>
  <si>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</si>
  <si>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</si>
  <si>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</si>
  <si>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</si>
  <si>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</si>
  <si>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</si>
  <si>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</si>
  <si>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</si>
  <si>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</si>
  <si>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</si>
  <si>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</si>
  <si>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</si>
  <si>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</si>
  <si>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</si>
  <si>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</si>
  <si>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</si>
  <si>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</si>
  <si>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</si>
  <si>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</si>
  <si>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</si>
  <si>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</si>
  <si>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</si>
  <si>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</si>
  <si>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</si>
  <si>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</si>
  <si>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</si>
  <si>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</si>
  <si>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</si>
  <si>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</si>
  <si>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</si>
  <si>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</si>
  <si>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</si>
  <si>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</si>
  <si>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</si>
  <si>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</si>
  <si>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</si>
  <si>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</si>
  <si>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</si>
  <si>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</si>
  <si>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</si>
  <si>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</si>
  <si>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</si>
  <si>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</si>
  <si>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</si>
  <si>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</si>
  <si>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</si>
  <si>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</si>
  <si>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</si>
  <si>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</si>
  <si>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</si>
  <si>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</si>
  <si>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</si>
  <si>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</si>
  <si>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</si>
  <si>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</si>
  <si>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</si>
  <si>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</si>
  <si>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</si>
  <si>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</si>
  <si>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</si>
  <si>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</si>
  <si>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</si>
  <si>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</si>
  <si>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</si>
  <si>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</si>
  <si>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</si>
  <si>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</si>
  <si>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</si>
  <si>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</si>
  <si>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</si>
  <si>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</si>
  <si>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</si>
  <si>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</si>
  <si>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</si>
  <si>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</si>
  <si>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</si>
  <si>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</si>
  <si>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</si>
  <si>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</si>
  <si>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</si>
  <si>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</si>
  <si>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</si>
  <si>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</si>
  <si>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</si>
  <si>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</si>
  <si>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</si>
  <si>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</si>
  <si>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</si>
  <si>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</si>
  <si>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</si>
  <si>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</si>
  <si>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</si>
  <si>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</si>
  <si>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</si>
  <si>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</si>
  <si>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</si>
  <si>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</si>
  <si>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</si>
  <si>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</si>
  <si>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</si>
  <si>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</si>
  <si>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</si>
  <si>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</si>
  <si>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</si>
  <si>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</si>
  <si>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</si>
  <si>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</si>
  <si>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</si>
  <si>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</si>
  <si>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</si>
  <si>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</si>
  <si>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</si>
  <si>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</si>
  <si>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</si>
  <si>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</si>
  <si>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</si>
  <si>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</si>
  <si>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</si>
  <si>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</si>
  <si>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</si>
  <si>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</si>
  <si>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</si>
  <si>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</si>
  <si>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</si>
  <si>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</si>
  <si>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</si>
  <si>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</si>
  <si>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</si>
  <si>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</si>
  <si>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</si>
  <si>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</si>
  <si>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</si>
  <si>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</si>
  <si>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</si>
  <si>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</si>
  <si>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</si>
  <si>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</si>
  <si>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</si>
  <si>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</si>
  <si>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</si>
  <si>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</si>
  <si>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</si>
  <si>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</si>
  <si>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</si>
  <si>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</si>
  <si>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</si>
  <si>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</si>
  <si>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</si>
  <si>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</si>
  <si>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</si>
  <si>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</si>
  <si>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</si>
  <si>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</si>
  <si>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</si>
  <si>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</si>
  <si>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</si>
  <si>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</si>
  <si>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</si>
  <si>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</si>
  <si>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</si>
  <si>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</si>
  <si>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</si>
  <si>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</si>
  <si>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</si>
  <si>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</si>
  <si>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</si>
  <si>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</si>
  <si>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</si>
  <si>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</si>
  <si>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</si>
  <si>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</si>
  <si>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</si>
  <si>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</si>
  <si>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</si>
  <si>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</si>
  <si>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</si>
  <si>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</si>
  <si>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</si>
  <si>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</si>
  <si>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</si>
  <si>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</si>
  <si>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</si>
  <si>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</si>
  <si>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</si>
  <si>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</si>
  <si>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</si>
  <si>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</si>
  <si>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</si>
  <si>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</si>
  <si>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</si>
  <si>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</si>
  <si>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</si>
  <si>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</si>
  <si>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</si>
  <si>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</si>
  <si>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</si>
  <si>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</si>
  <si>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</si>
  <si>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</si>
  <si>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</si>
  <si>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</si>
  <si>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</si>
  <si>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</si>
  <si>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</si>
  <si>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</si>
  <si>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</si>
  <si>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</si>
  <si>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</si>
  <si>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</si>
  <si>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</si>
  <si>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</si>
  <si>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</si>
  <si>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</si>
  <si>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</si>
  <si>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</si>
  <si>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</si>
  <si>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</si>
  <si>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</si>
  <si>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</si>
  <si>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</si>
  <si>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</si>
  <si>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</si>
  <si>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</si>
  <si>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</si>
  <si>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</si>
  <si>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</si>
  <si>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</si>
  <si>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</si>
  <si>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</si>
  <si>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</si>
  <si>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</si>
  <si>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</si>
  <si>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</si>
  <si>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</si>
  <si>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</si>
  <si>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</si>
  <si>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</si>
  <si>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</si>
  <si>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</si>
  <si>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</si>
  <si>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</si>
  <si>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</si>
  <si>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</si>
  <si>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</si>
  <si>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</si>
  <si>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</si>
  <si>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</si>
  <si>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</si>
  <si>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</si>
  <si>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</si>
  <si>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</si>
  <si>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</si>
  <si>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</si>
  <si>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</si>
  <si>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</si>
  <si>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</si>
  <si>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</si>
  <si>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</si>
  <si>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</si>
  <si>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</si>
  <si>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</si>
  <si>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</si>
  <si>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</si>
  <si>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</si>
  <si>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</si>
  <si>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</si>
  <si>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</si>
  <si>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</si>
  <si>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</si>
  <si>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</si>
  <si>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</si>
  <si>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</si>
  <si>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</si>
  <si>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</si>
  <si>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</si>
  <si>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</si>
  <si>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</si>
  <si>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</si>
  <si>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</si>
  <si>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</si>
  <si>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</si>
  <si>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</si>
  <si>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</si>
  <si>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</si>
  <si>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</si>
  <si>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</si>
  <si>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</si>
  <si>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</si>
  <si>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</si>
  <si>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</si>
  <si>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</si>
  <si>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</si>
  <si>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</si>
  <si>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</si>
  <si>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</si>
  <si>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</si>
  <si>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</si>
  <si>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</si>
  <si>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</si>
  <si>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</si>
  <si>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</si>
  <si>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</si>
  <si>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</si>
  <si>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</si>
  <si>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</si>
  <si>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</si>
  <si>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</si>
  <si>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</si>
  <si>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</si>
  <si>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</si>
  <si>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</si>
  <si>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</si>
  <si>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</si>
  <si>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</si>
  <si>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</si>
  <si>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</si>
  <si>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</si>
  <si>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</si>
  <si>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</si>
  <si>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</si>
  <si>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</si>
  <si>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</si>
  <si>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</si>
  <si>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</si>
  <si>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</si>
  <si>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</si>
  <si>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</si>
  <si>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</si>
  <si>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</si>
  <si>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</si>
  <si>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</si>
  <si>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</si>
  <si>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</si>
  <si>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</si>
  <si>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</si>
  <si>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</si>
  <si>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</si>
  <si>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</si>
  <si>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</si>
  <si>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</si>
  <si>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</si>
  <si>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</si>
  <si>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</si>
  <si>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</si>
  <si>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</si>
  <si>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</si>
  <si>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</si>
  <si>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</si>
  <si>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</si>
  <si>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</si>
  <si>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</si>
  <si>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</si>
  <si>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</si>
  <si>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</si>
  <si>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</si>
  <si>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</si>
  <si>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</si>
  <si>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</si>
  <si>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</si>
  <si>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</si>
  <si>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</si>
  <si>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</si>
  <si>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</si>
  <si>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</si>
  <si>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</si>
  <si>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</si>
  <si>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</si>
  <si>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</si>
  <si>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</si>
  <si>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</si>
  <si>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</si>
  <si>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</si>
  <si>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</si>
  <si>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</si>
  <si>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</si>
  <si>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</si>
  <si>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</si>
  <si>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</si>
  <si>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</si>
  <si>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</si>
  <si>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</si>
  <si>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</si>
  <si>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</si>
  <si>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</si>
  <si>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</si>
  <si>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</si>
  <si>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</si>
  <si>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</si>
  <si>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</si>
  <si>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</si>
  <si>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</si>
  <si>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</si>
  <si>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</si>
  <si>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</si>
  <si>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</si>
  <si>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</si>
  <si>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</si>
  <si>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</si>
  <si>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</si>
  <si>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</si>
  <si>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</si>
  <si>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</si>
  <si>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</si>
  <si>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</si>
  <si>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</si>
  <si>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</si>
  <si>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</si>
  <si>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</si>
  <si>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</si>
  <si>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</si>
  <si>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</si>
  <si>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</si>
  <si>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</si>
  <si>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</si>
  <si>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</si>
  <si>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</si>
  <si>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</si>
  <si>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</si>
  <si>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</si>
  <si>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</si>
  <si>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</si>
  <si>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</si>
  <si>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</si>
  <si>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</si>
  <si>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</si>
  <si>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</si>
  <si>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</si>
  <si>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</si>
  <si>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</si>
  <si>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</si>
  <si>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</si>
  <si>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</si>
  <si>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</si>
  <si>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</si>
  <si>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</si>
  <si>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</si>
  <si>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</si>
  <si>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</si>
  <si>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</si>
  <si>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</si>
  <si>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</si>
  <si>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</si>
  <si>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</si>
  <si>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</si>
  <si>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</si>
  <si>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</si>
  <si>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</si>
  <si>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</si>
  <si>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</si>
  <si>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</si>
  <si>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</si>
  <si>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</si>
  <si>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</si>
  <si>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</si>
  <si>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</si>
  <si>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</si>
  <si>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</si>
  <si>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</si>
  <si>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</si>
  <si>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</si>
  <si>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</si>
  <si>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</si>
  <si>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</si>
  <si>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</si>
  <si>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</si>
  <si>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</si>
  <si>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</si>
  <si>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</si>
  <si>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</si>
  <si>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</si>
  <si>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</si>
  <si>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</si>
  <si>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</si>
  <si>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</si>
  <si>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</si>
  <si>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</si>
  <si>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</si>
  <si>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</si>
  <si>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</si>
  <si>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</si>
  <si>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</si>
  <si>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</si>
  <si>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</si>
  <si>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</si>
  <si>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</si>
  <si>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</si>
  <si>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</si>
  <si>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</si>
  <si>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</si>
  <si>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</si>
  <si>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</si>
  <si>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</si>
  <si>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</si>
  <si>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</si>
  <si>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</si>
  <si>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</si>
  <si>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</si>
  <si>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</si>
  <si>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</si>
  <si>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</si>
  <si>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</si>
  <si>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</si>
  <si>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</si>
  <si>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</si>
  <si>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</si>
  <si>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</si>
  <si>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</si>
  <si>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</si>
  <si>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</si>
  <si>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</si>
  <si>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</si>
  <si>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</si>
  <si>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</si>
  <si>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</si>
  <si>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</si>
  <si>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</si>
  <si>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</si>
  <si>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</si>
  <si>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</si>
  <si>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</si>
  <si>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</si>
  <si>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</si>
  <si>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</si>
  <si>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</si>
  <si>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</si>
  <si>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</si>
  <si>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</si>
  <si>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</si>
  <si>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</si>
  <si>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</si>
  <si>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</si>
  <si>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</si>
  <si>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</si>
  <si>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</si>
  <si>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</si>
  <si>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</si>
  <si>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</si>
  <si>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</si>
  <si>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</si>
  <si>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</si>
  <si>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</si>
  <si>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</si>
  <si>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</si>
  <si>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</si>
  <si>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</si>
  <si>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</si>
  <si>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</si>
  <si>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</si>
  <si>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</si>
  <si>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</si>
  <si>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</si>
  <si>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</si>
  <si>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</si>
  <si>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</si>
  <si>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</si>
  <si>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</si>
  <si>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</si>
  <si>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</si>
  <si>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</si>
  <si>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</si>
  <si>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</si>
  <si>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</si>
  <si>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</si>
  <si>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</si>
  <si>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</si>
  <si>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</si>
  <si>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</si>
  <si>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</si>
  <si>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</si>
  <si>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</si>
  <si>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</si>
  <si>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</si>
  <si>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</si>
  <si>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</si>
  <si>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</si>
  <si>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</si>
  <si>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</si>
  <si>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</si>
  <si>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</si>
  <si>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</si>
  <si>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</si>
  <si>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</si>
  <si>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</si>
  <si>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</si>
  <si>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</si>
  <si>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</si>
  <si>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</si>
  <si>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</si>
  <si>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</si>
  <si>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</si>
  <si>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</si>
  <si>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</si>
  <si>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</si>
  <si>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</si>
  <si>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</si>
  <si>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</si>
  <si>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</si>
  <si>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</si>
  <si>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</si>
  <si>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</si>
  <si>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</si>
  <si>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</si>
  <si>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</si>
  <si>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</si>
  <si>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</si>
  <si>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</si>
  <si>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</si>
  <si>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</si>
  <si>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</si>
  <si>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</si>
  <si>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</si>
  <si>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</si>
  <si>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</si>
  <si>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</si>
  <si>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</si>
  <si>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</si>
  <si>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</si>
  <si>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</si>
  <si>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</si>
  <si>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</si>
  <si>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</si>
  <si>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</si>
  <si>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</si>
  <si>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</si>
  <si>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</si>
  <si>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</si>
  <si>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</si>
  <si>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</si>
  <si>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</si>
  <si>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</si>
  <si>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</si>
  <si>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</si>
  <si>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</si>
  <si>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</si>
  <si>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</si>
  <si>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</si>
  <si>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</si>
  <si>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</si>
  <si>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</si>
  <si>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</si>
  <si>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</si>
  <si>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</si>
  <si>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</si>
  <si>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</si>
  <si>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</si>
  <si>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</si>
  <si>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</si>
  <si>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</si>
  <si>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</si>
  <si>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</si>
  <si>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</si>
  <si>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</si>
  <si>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</si>
  <si>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</si>
  <si>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</si>
  <si>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</si>
  <si>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</si>
  <si>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</si>
  <si>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</si>
  <si>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</si>
  <si>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</si>
  <si>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</si>
  <si>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</si>
  <si>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</si>
  <si>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</si>
  <si>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</si>
  <si>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</si>
  <si>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</si>
  <si>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</si>
  <si>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</si>
  <si>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</si>
  <si>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</si>
  <si>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</si>
  <si>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</si>
  <si>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</si>
  <si>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</si>
  <si>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</si>
  <si>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</si>
  <si>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</si>
  <si>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</si>
  <si>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</si>
  <si>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</si>
  <si>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</si>
  <si>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</si>
  <si>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</si>
  <si>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</si>
  <si>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</si>
  <si>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</si>
  <si>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</si>
  <si>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</si>
  <si>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</si>
  <si>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</si>
  <si>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</si>
  <si>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</si>
  <si>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</si>
  <si>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</si>
  <si>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</si>
  <si>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</si>
  <si>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</si>
  <si>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</si>
  <si>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</si>
  <si>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</si>
  <si>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</si>
  <si>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</si>
  <si>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</si>
  <si>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</si>
  <si>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</si>
  <si>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</si>
  <si>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</si>
  <si>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</si>
  <si>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</si>
  <si>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</si>
  <si>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</si>
  <si>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</si>
  <si>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</si>
  <si>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</si>
  <si>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</si>
  <si>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</si>
  <si>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</si>
  <si>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</si>
  <si>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</si>
  <si>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</si>
  <si>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</si>
  <si>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</si>
  <si>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</si>
  <si>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</si>
  <si>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</si>
  <si>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</si>
  <si>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</si>
  <si>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</si>
  <si>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</si>
  <si>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</si>
  <si>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</si>
  <si>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</si>
  <si>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</si>
  <si>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</si>
  <si>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</si>
  <si>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</si>
  <si>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</si>
  <si>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</si>
  <si>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</si>
  <si>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</si>
  <si>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</si>
  <si>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</si>
  <si>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</si>
  <si>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</si>
  <si>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</si>
  <si>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G</t>
  </si>
  <si>
    <t>4</t>
  </si>
  <si>
    <t>5</t>
  </si>
  <si>
    <t>F</t>
  </si>
  <si>
    <t>7-0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</si>
  <si>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</si>
  <si>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</si>
  <si>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</si>
  <si>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</si>
  <si>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</si>
  <si>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</si>
  <si>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</si>
  <si>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</si>
  <si>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</si>
  <si>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</si>
  <si>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</si>
  <si>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</si>
  <si>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</si>
  <si>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</si>
  <si>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</si>
  <si>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</si>
  <si>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</si>
  <si>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</si>
  <si>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</si>
  <si>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</si>
  <si>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</si>
  <si>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</si>
  <si>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</si>
  <si>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</si>
  <si>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</si>
  <si>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</si>
  <si>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</si>
  <si>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</si>
  <si>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</si>
  <si>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</si>
  <si>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</si>
  <si>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</si>
  <si>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</si>
  <si>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</si>
  <si>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</si>
  <si>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</si>
  <si>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</si>
  <si>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</si>
  <si>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</si>
  <si>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</si>
  <si>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</si>
  <si>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</si>
  <si>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</si>
  <si>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</si>
  <si>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</si>
  <si>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</si>
  <si>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</si>
  <si>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</si>
  <si>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</si>
  <si>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</si>
  <si>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</si>
  <si>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</si>
  <si>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</si>
  <si>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</si>
  <si>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</si>
  <si>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</si>
  <si>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</si>
  <si>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</si>
  <si>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</si>
  <si>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</si>
  <si>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</si>
  <si>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</si>
  <si>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</si>
  <si>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</si>
  <si>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</si>
  <si>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</si>
  <si>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</si>
  <si>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</si>
  <si>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</si>
  <si>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</si>
  <si>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</si>
  <si>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</si>
  <si>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</si>
  <si>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</si>
  <si>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</si>
  <si>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</si>
  <si>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</si>
  <si>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</si>
  <si>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</si>
  <si>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</si>
  <si>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</si>
  <si>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</si>
  <si>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</si>
  <si>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</si>
  <si>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</si>
  <si>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</si>
  <si>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</si>
  <si>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</si>
  <si>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</si>
  <si>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</si>
  <si>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</si>
  <si>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</si>
  <si>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</si>
  <si>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</si>
  <si>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</si>
  <si>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</si>
  <si>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</si>
  <si>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</si>
  <si>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</si>
  <si>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</si>
  <si>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</si>
  <si>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</si>
  <si>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</si>
  <si>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</si>
  <si>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</si>
  <si>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</si>
  <si>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</si>
  <si>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</si>
  <si>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</si>
  <si>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</si>
  <si>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</si>
  <si>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</si>
  <si>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</si>
  <si>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</si>
  <si>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</si>
  <si>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</si>
  <si>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</si>
  <si>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</si>
  <si>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</si>
  <si>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</si>
  <si>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</si>
  <si>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</si>
  <si>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</si>
  <si>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</si>
  <si>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</si>
  <si>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</si>
  <si>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</si>
  <si>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</si>
  <si>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</si>
  <si>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</si>
  <si>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</si>
  <si>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</si>
  <si>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</si>
  <si>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</si>
  <si>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</si>
  <si>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</si>
  <si>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</si>
  <si>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</si>
  <si>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</si>
  <si>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</si>
  <si>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</si>
  <si>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</si>
  <si>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</si>
  <si>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</si>
  <si>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</si>
  <si>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</si>
  <si>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</si>
  <si>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</si>
  <si>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</si>
  <si>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</si>
  <si>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</si>
  <si>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</si>
  <si>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</si>
  <si>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</si>
  <si>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</si>
  <si>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</si>
  <si>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</si>
  <si>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</si>
  <si>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</si>
  <si>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</si>
  <si>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</si>
  <si>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</si>
  <si>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</si>
  <si>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</si>
  <si>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</si>
  <si>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</si>
  <si>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</si>
  <si>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</si>
  <si>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</si>
  <si>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</si>
  <si>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</si>
  <si>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</si>
  <si>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</si>
  <si>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</si>
  <si>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</si>
  <si>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</si>
  <si>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</si>
  <si>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</si>
  <si>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</si>
  <si>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</si>
  <si>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</si>
  <si>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</si>
  <si>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</si>
  <si>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</si>
  <si>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</si>
  <si>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</si>
  <si>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</si>
  <si>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</si>
  <si>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</si>
  <si>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</si>
  <si>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</si>
  <si>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</si>
  <si>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</si>
  <si>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</si>
  <si>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</si>
  <si>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</si>
  <si>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</si>
  <si>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</si>
  <si>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</si>
  <si>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</si>
  <si>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</si>
  <si>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</si>
  <si>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</si>
  <si>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</si>
  <si>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</si>
  <si>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</si>
  <si>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</si>
  <si>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</si>
  <si>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</si>
  <si>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</si>
  <si>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</si>
  <si>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</si>
  <si>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</si>
  <si>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</si>
  <si>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</si>
  <si>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</si>
  <si>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</si>
  <si>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</si>
  <si>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</si>
  <si>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</si>
  <si>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</si>
  <si>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</si>
  <si>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</si>
  <si>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</si>
  <si>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</si>
  <si>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</si>
  <si>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</si>
  <si>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</si>
  <si>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</si>
  <si>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</si>
  <si>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</si>
  <si>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</si>
  <si>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</si>
  <si>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</si>
  <si>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</si>
  <si>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</si>
  <si>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</si>
  <si>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</si>
  <si>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</si>
  <si>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</si>
  <si>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</si>
  <si>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</si>
  <si>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</si>
  <si>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</si>
  <si>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</si>
  <si>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</si>
  <si>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</si>
  <si>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</si>
  <si>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</si>
  <si>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</si>
  <si>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</si>
  <si>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</si>
  <si>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</si>
  <si>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</si>
  <si>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</si>
  <si>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</si>
  <si>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</si>
  <si>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</si>
  <si>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</si>
  <si>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</si>
  <si>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</si>
  <si>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</si>
  <si>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</si>
  <si>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</si>
  <si>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</si>
  <si>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</si>
  <si>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</si>
  <si>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</si>
  <si>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</si>
  <si>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</si>
  <si>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</si>
  <si>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</si>
  <si>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</si>
  <si>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</si>
  <si>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</si>
  <si>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</si>
  <si>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</si>
  <si>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</si>
  <si>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</si>
  <si>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</si>
  <si>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</si>
  <si>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</si>
  <si>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</si>
  <si>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</si>
  <si>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</si>
  <si>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</si>
  <si>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</si>
  <si>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</si>
  <si>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</si>
  <si>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</si>
  <si>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</si>
  <si>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</si>
  <si>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</si>
  <si>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</si>
  <si>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</si>
  <si>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</si>
  <si>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</si>
  <si>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</si>
  <si>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</si>
  <si>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</si>
  <si>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</si>
  <si>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</si>
  <si>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</si>
  <si>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</si>
  <si>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</si>
  <si>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</si>
  <si>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</si>
  <si>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</si>
  <si>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</si>
  <si>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</si>
  <si>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</si>
  <si>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</si>
  <si>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</si>
  <si>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</si>
  <si>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</si>
  <si>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</si>
  <si>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</si>
  <si>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</si>
  <si>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</si>
  <si>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</si>
  <si>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</si>
  <si>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</si>
  <si>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</si>
  <si>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</si>
  <si>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</si>
  <si>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</si>
  <si>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</si>
  <si>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</si>
  <si>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</si>
  <si>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</si>
  <si>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</si>
  <si>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</si>
  <si>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</si>
  <si>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</si>
  <si>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</si>
  <si>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</si>
  <si>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</si>
  <si>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</si>
  <si>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</si>
  <si>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</si>
  <si>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</si>
  <si>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</si>
  <si>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</si>
  <si>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</si>
  <si>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</si>
  <si>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</si>
  <si>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</si>
  <si>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</si>
  <si>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</si>
  <si>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</si>
  <si>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</si>
  <si>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</si>
  <si>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</si>
  <si>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</si>
  <si>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</si>
  <si>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</si>
  <si>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</si>
  <si>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</si>
  <si>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</si>
  <si>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</si>
  <si>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</si>
  <si>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</si>
  <si>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</si>
  <si>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</si>
  <si>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</si>
  <si>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</si>
  <si>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</si>
  <si>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</si>
  <si>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</si>
  <si>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</si>
  <si>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</si>
  <si>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</si>
  <si>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</si>
  <si>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</si>
  <si>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</si>
  <si>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</si>
  <si>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</si>
  <si>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</si>
  <si>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</si>
  <si>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</si>
  <si>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</si>
  <si>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</si>
  <si>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</si>
  <si>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</si>
  <si>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</si>
  <si>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</si>
  <si>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</si>
  <si>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</si>
  <si>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</si>
  <si>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</si>
  <si>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</si>
  <si>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</si>
  <si>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</si>
  <si>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</si>
  <si>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</si>
  <si>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</si>
  <si>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</si>
  <si>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</si>
  <si>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</si>
  <si>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</si>
  <si>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</si>
  <si>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</si>
  <si>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</si>
  <si>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</si>
  <si>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</si>
  <si>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</si>
  <si>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</si>
  <si>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</si>
  <si>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</si>
  <si>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</si>
  <si>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</si>
  <si>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</si>
  <si>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</si>
  <si>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</si>
  <si>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</si>
  <si>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</si>
  <si>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</si>
  <si>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</si>
  <si>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</si>
  <si>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</si>
  <si>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</si>
  <si>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</si>
  <si>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</si>
  <si>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</si>
  <si>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</si>
  <si>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</si>
  <si>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</si>
  <si>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</si>
  <si>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</si>
  <si>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</si>
  <si>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</si>
  <si>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</si>
  <si>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</si>
  <si>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</si>
  <si>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</si>
  <si>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</si>
  <si>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</si>
  <si>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</si>
  <si>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</si>
  <si>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</si>
  <si>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</si>
  <si>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</si>
  <si>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</si>
  <si>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</si>
  <si>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</si>
  <si>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</si>
  <si>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</si>
  <si>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</si>
  <si>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</si>
  <si>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</si>
  <si>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</si>
  <si>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</si>
  <si>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</si>
  <si>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</si>
  <si>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</si>
  <si>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</si>
  <si>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</si>
  <si>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</si>
  <si>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</si>
  <si>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</si>
  <si>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</si>
  <si>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</si>
  <si>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</si>
  <si>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</si>
  <si>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</si>
  <si>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</si>
  <si>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</si>
  <si>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</si>
  <si>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</si>
  <si>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</si>
  <si>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</si>
  <si>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</si>
  <si>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</si>
  <si>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</si>
  <si>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</si>
  <si>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</si>
  <si>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</si>
  <si>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</si>
  <si>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</si>
  <si>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</si>
  <si>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</si>
  <si>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</si>
  <si>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</si>
  <si>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</si>
  <si>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</si>
  <si>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</si>
  <si>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</si>
  <si>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</si>
  <si>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</si>
  <si>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</si>
  <si>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</si>
  <si>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</si>
  <si>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</si>
  <si>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</si>
  <si>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</si>
  <si>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</si>
  <si>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</si>
  <si>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</si>
  <si>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</si>
  <si>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</si>
  <si>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</si>
  <si>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</si>
  <si>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</si>
  <si>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</si>
  <si>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</si>
  <si>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</si>
  <si>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</si>
  <si>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</si>
  <si>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</si>
  <si>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</si>
  <si>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</si>
  <si>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</si>
  <si>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</si>
  <si>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</si>
  <si>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</si>
  <si>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</si>
  <si>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</si>
  <si>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</si>
  <si>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</si>
  <si>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</si>
  <si>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</si>
  <si>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</si>
  <si>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</si>
  <si>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</si>
  <si>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</si>
  <si>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</si>
  <si>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</si>
  <si>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</si>
  <si>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</si>
  <si>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</si>
  <si>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</si>
  <si>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</si>
  <si>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</si>
  <si>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</si>
  <si>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</si>
  <si>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</si>
  <si>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</si>
  <si>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</si>
  <si>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</si>
  <si>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</si>
  <si>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</si>
  <si>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</si>
  <si>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</si>
  <si>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</si>
  <si>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</si>
  <si>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</si>
  <si>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</si>
  <si>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</si>
  <si>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</si>
  <si>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</si>
  <si>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</si>
  <si>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</si>
  <si>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</si>
  <si>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</si>
  <si>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</si>
  <si>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</si>
  <si>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</si>
  <si>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</si>
  <si>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</si>
  <si>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</si>
  <si>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</si>
  <si>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>2</t>
  </si>
  <si>
    <t>G-F</t>
  </si>
  <si>
    <t xml:space="preserve"> </t>
  </si>
  <si>
    <t>7</t>
  </si>
  <si>
    <t>3</t>
  </si>
  <si>
    <t>R</t>
  </si>
  <si>
    <t>190</t>
  </si>
  <si>
    <t>C</t>
  </si>
  <si>
    <t>245</t>
  </si>
  <si>
    <t>220</t>
  </si>
  <si>
    <t>F-C</t>
  </si>
  <si>
    <t>Kentucky</t>
  </si>
  <si>
    <t>6-11</t>
  </si>
  <si>
    <t>215</t>
  </si>
  <si>
    <t>15</t>
  </si>
  <si>
    <t>8</t>
  </si>
  <si>
    <t>6-6</t>
  </si>
  <si>
    <t>Texas</t>
  </si>
  <si>
    <t>10</t>
  </si>
  <si>
    <t>13</t>
  </si>
  <si>
    <t>USC</t>
  </si>
  <si>
    <t>19</t>
  </si>
  <si>
    <t>22</t>
  </si>
  <si>
    <t>205</t>
  </si>
  <si>
    <t>225</t>
  </si>
  <si>
    <t>234</t>
  </si>
  <si>
    <t xml:space="preserve">6-4  </t>
    <phoneticPr fontId="1"/>
  </si>
  <si>
    <t>Lonnie Walker IV</t>
  </si>
  <si>
    <t>204</t>
  </si>
  <si>
    <t>DEC 14, 1998</t>
  </si>
  <si>
    <t>Keldon Johnson</t>
  </si>
  <si>
    <t>F-G</t>
  </si>
  <si>
    <t>OCT 11, 1999</t>
  </si>
  <si>
    <t>Derrick White</t>
  </si>
  <si>
    <t>JUL 02, 1994</t>
  </si>
  <si>
    <t>Colorado</t>
  </si>
  <si>
    <t>Dejounte Murray</t>
  </si>
  <si>
    <t>180</t>
  </si>
  <si>
    <t>SEP 19, 1996</t>
  </si>
  <si>
    <t>Chimezie Metu</t>
  </si>
  <si>
    <t>MAR 22, 1997</t>
  </si>
  <si>
    <t>Patty Mills</t>
  </si>
  <si>
    <t>AUG 11, 1988</t>
  </si>
  <si>
    <t>St. Mary's (CA)</t>
  </si>
  <si>
    <t>DeMar DeRozan</t>
  </si>
  <si>
    <t>AUG 07, 1989</t>
  </si>
  <si>
    <t>Bryn Forbes</t>
  </si>
  <si>
    <t>11</t>
  </si>
  <si>
    <t>JUL 23, 1993</t>
  </si>
  <si>
    <t>Michigan State</t>
  </si>
  <si>
    <t>LaMarcus Aldridge</t>
  </si>
  <si>
    <t>12</t>
  </si>
  <si>
    <t>C-F</t>
  </si>
  <si>
    <t>250</t>
  </si>
  <si>
    <t>JUL 19, 1985</t>
  </si>
  <si>
    <t>Drew Eubanks</t>
  </si>
  <si>
    <t>14</t>
  </si>
  <si>
    <t>FEB 01, 1997</t>
  </si>
  <si>
    <t>Oregon State</t>
  </si>
  <si>
    <t>Quinndary Weatherspoon</t>
  </si>
  <si>
    <t>SEP 10, 1996</t>
  </si>
  <si>
    <t>Mississippi State</t>
  </si>
  <si>
    <t>Marco Belinelli</t>
  </si>
  <si>
    <t>18</t>
  </si>
  <si>
    <t>MAR 25, 1986</t>
  </si>
  <si>
    <t>Luka Samanic</t>
  </si>
  <si>
    <t>227</t>
  </si>
  <si>
    <t>JAN 09, 2000</t>
  </si>
  <si>
    <t>Rudy Gay</t>
  </si>
  <si>
    <t>AUG 17, 1986</t>
  </si>
  <si>
    <t>Connecticut</t>
  </si>
  <si>
    <t>Jakob Poeltl</t>
  </si>
  <si>
    <t>25</t>
  </si>
  <si>
    <t>OCT 15, 1995</t>
  </si>
  <si>
    <t>Trey Lyles</t>
  </si>
  <si>
    <t>41</t>
  </si>
  <si>
    <t>NOV 05, 1995</t>
  </si>
  <si>
    <t>DeMarre Carroll</t>
  </si>
  <si>
    <t>77</t>
  </si>
  <si>
    <t>JUL 27, 1986</t>
  </si>
  <si>
    <t>Missouri</t>
  </si>
  <si>
    <t>Spurs</t>
    <phoneticPr fontId="1"/>
  </si>
  <si>
    <t>5-10</t>
    <phoneticPr fontId="1"/>
  </si>
  <si>
    <t xml:space="preserve">1-9  </t>
    <phoneticPr fontId="1"/>
  </si>
  <si>
    <t xml:space="preserve">4-4  </t>
    <phoneticPr fontId="1"/>
  </si>
  <si>
    <t xml:space="preserve">1-6  </t>
    <phoneticPr fontId="1"/>
  </si>
  <si>
    <t>48-34</t>
    <phoneticPr fontId="1"/>
  </si>
  <si>
    <t xml:space="preserve">32-9 </t>
    <phoneticPr fontId="1"/>
  </si>
  <si>
    <t>16-25</t>
    <phoneticPr fontId="1"/>
  </si>
  <si>
    <t>33-26</t>
    <phoneticPr fontId="1"/>
  </si>
  <si>
    <t>15-8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</si>
</sst>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04919F-E29A-46D5-AE57-42812FD83A98}" name="TableRoster" displayName="TableRoster" ref="A1:M18" totalsRowShown="0" headerRowDxfId="1074">
  <autoFilter ref="A1:M18" xr:uid="{8C66F4F2-B429-4D62-B526-2E5F0A81247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3AD5DBF-2CD5-4144-BF49-910A9221CF9A}" name="TeamID" dataDxfId="1087"/>
    <tableColumn id="2" xr3:uid="{35CEC8ED-D027-4003-8035-55F616722732}" name="SEASON" dataDxfId="1086"/>
    <tableColumn id="3" xr3:uid="{CDB4C5B3-4826-48CA-9D0A-3056469187AD}" name="LeagueID" dataDxfId="1085"/>
    <tableColumn id="4" xr3:uid="{B1DA3C45-EDAA-4E50-9A38-2CF9747CBCDA}" name="PLAYER" dataDxfId="1084"/>
    <tableColumn id="5" xr3:uid="{903736A1-6B51-46E7-BFCB-9F4CD93E26C9}" name="NUM" dataDxfId="1083"/>
    <tableColumn id="6" xr3:uid="{6597CF0A-F9A6-45E9-90B1-518096738A04}" name="POSITION" dataDxfId="1082"/>
    <tableColumn id="7" xr3:uid="{796238AE-2AC7-4FB9-AB21-D58835819DAB}" name="HEIGHT" dataDxfId="1081"/>
    <tableColumn id="8" xr3:uid="{CD8DD336-A783-4970-8087-4A7E546C3718}" name="WEIGHT" dataDxfId="1080"/>
    <tableColumn id="9" xr3:uid="{A4E0742E-D4CF-4369-A922-FA84E540023F}" name="BIRTH_DATE" dataDxfId="1079"/>
    <tableColumn id="10" xr3:uid="{FCAFD7BF-FD7F-456C-B5A1-0288B6587EFC}" name="AGE" dataDxfId="1078"/>
    <tableColumn id="11" xr3:uid="{1325FC8A-6630-4517-BCB1-5CC49154E48C}" name="EXP" dataDxfId="1077"/>
    <tableColumn id="12" xr3:uid="{B26A0252-18A9-45D7-B432-2A7C9556B5F5}" name="SCHOOL" dataDxfId="1076"/>
    <tableColumn id="13" xr3:uid="{56AF343C-7703-4814-8148-C70F9F538D5C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8B35A3-A093-4A39-9C2B-A0D5241FAD3C}" name="TableStandingsN" displayName="TableStandingsN" ref="A1:CC31" totalsRowShown="0" headerRowDxfId="992">
  <autoFilter ref="A1:CC31" xr:uid="{3DF32A2F-8D32-497B-B461-D365C0E6EC3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BDA0FB6D-CCA9-45D8-85A9-2240937C7DDF}" name="LeagueID" dataDxfId="1073"/>
    <tableColumn id="2" xr3:uid="{157777BC-8423-4A27-9186-4E75476690CE}" name="SeasonID" dataDxfId="1072"/>
    <tableColumn id="3" xr3:uid="{883B11B2-3E74-4CBB-AF1C-CA20CA3C3835}" name="TeamID" dataDxfId="1071"/>
    <tableColumn id="4" xr3:uid="{4C62ED5F-B8A6-4845-A131-E3CBCB069D09}" name="TeamCity" dataDxfId="1070"/>
    <tableColumn id="5" xr3:uid="{5FD51E06-5B85-4A41-A09E-7B89657A7615}" name="TeamName" dataDxfId="1069"/>
    <tableColumn id="6" xr3:uid="{C4198339-C6A3-49AB-A316-FDA10C392D96}" name="Conference" dataDxfId="1068"/>
    <tableColumn id="7" xr3:uid="{CE207380-16C0-4FE4-9447-51020B6C07D5}" name="ConferenceRecord" dataDxfId="1067"/>
    <tableColumn id="8" xr3:uid="{E8FF5E4B-97D0-4368-A0FA-96A0592AA835}" name="PlayoffRank" dataDxfId="1066"/>
    <tableColumn id="9" xr3:uid="{73B45626-7124-43F5-A309-C013B1EF578F}" name="ClinchIndicator" dataDxfId="1065"/>
    <tableColumn id="10" xr3:uid="{493CD60F-135A-4F85-8300-414F6AE4E1D6}" name="Division" dataDxfId="1064"/>
    <tableColumn id="11" xr3:uid="{5EC695D8-C60A-4494-A29F-1AE36FF533B6}" name="DivisionRecord" dataDxfId="1063"/>
    <tableColumn id="12" xr3:uid="{D5E0C63A-4B42-4B86-ACF1-0BA4AD9BBFEB}" name="DivisionRank" dataDxfId="1062"/>
    <tableColumn id="13" xr3:uid="{B9E27186-058B-474D-8878-CD1286DF7404}" name="WINS" dataDxfId="1061"/>
    <tableColumn id="14" xr3:uid="{2F9CC590-8FDA-443A-8224-71B2C00B0AA9}" name="LOSSES" dataDxfId="1060"/>
    <tableColumn id="15" xr3:uid="{821AF6E6-745B-4BD3-B3AD-7BCE43B97AED}" name="WinPCT" dataDxfId="1059"/>
    <tableColumn id="16" xr3:uid="{0E3A5FA2-A317-44BA-9636-37B1F55C99CD}" name="LeagueRank" dataDxfId="1058"/>
    <tableColumn id="17" xr3:uid="{953D2850-F7FC-45C7-9D3F-44A8B1B8C8E8}" name="Record" dataDxfId="1057"/>
    <tableColumn id="18" xr3:uid="{44267017-3B72-472B-9308-343B993BAACA}" name="HOME" dataDxfId="1056"/>
    <tableColumn id="19" xr3:uid="{C3FDCB5C-1E5A-4DD7-B985-D071256A4690}" name="ROAD" dataDxfId="1055"/>
    <tableColumn id="20" xr3:uid="{EFAFEBAD-4D1F-4163-8B16-40BBDE2D7505}" name="L10" dataDxfId="1054"/>
    <tableColumn id="21" xr3:uid="{D5A175F3-A757-4462-91CA-C71B0058A7A9}" name="Last10Home" dataDxfId="1053"/>
    <tableColumn id="22" xr3:uid="{F1479C0F-31FE-4A24-A317-A1C9236B1FBB}" name="Last10Road" dataDxfId="1052"/>
    <tableColumn id="23" xr3:uid="{50957623-9175-45E3-9C8E-5C5FBC8D6967}" name="OT" dataDxfId="1051"/>
    <tableColumn id="24" xr3:uid="{449B5E10-1DF6-4488-922C-6EE16464226E}" name="ThreePTSOrLess" dataDxfId="1050"/>
    <tableColumn id="25" xr3:uid="{02ACE5B9-AC58-4AE2-84A8-F9B163B64EFE}" name="TenPTSOrMore" dataDxfId="1049"/>
    <tableColumn id="26" xr3:uid="{59A26D7D-5F05-4F3B-8A75-C2AF425179ED}" name="LongHomeStreak" dataDxfId="1048"/>
    <tableColumn id="27" xr3:uid="{8A0509FB-8CD0-4179-9C20-849ED419E4E0}" name="strLongHomeStreak" dataDxfId="1047"/>
    <tableColumn id="28" xr3:uid="{678BC01C-825E-4851-AA4B-F7E1D2760A30}" name="LongRoadStreak" dataDxfId="1046"/>
    <tableColumn id="29" xr3:uid="{4965FD86-0BE0-4704-8F13-F796F182ADA3}" name="strLongRoadStreak" dataDxfId="1045"/>
    <tableColumn id="30" xr3:uid="{06421DA5-DCBB-466B-8871-A577D8710571}" name="LongWinStreak" dataDxfId="1044"/>
    <tableColumn id="31" xr3:uid="{7FA0ED12-3E46-4C5F-B54A-37E5C8FC3DFB}" name="LongLossStreak" dataDxfId="1043"/>
    <tableColumn id="32" xr3:uid="{9C5F3C98-340D-431E-A2BA-9903BBD04134}" name="CurrentHomeStreak" dataDxfId="1042"/>
    <tableColumn id="33" xr3:uid="{280DE04A-77F7-4031-A330-42A2BDD5A7CB}" name="strCurrentHomeStreak" dataDxfId="1041"/>
    <tableColumn id="34" xr3:uid="{B849BE11-E324-4A60-80F1-45971039CC6F}" name="CurrentRoadStreak" dataDxfId="1040"/>
    <tableColumn id="35" xr3:uid="{2D135C4C-6CCC-4419-834B-A62F61036298}" name="strCurrentRoadStreak" dataDxfId="1039"/>
    <tableColumn id="36" xr3:uid="{0D764DD9-B851-4328-976F-6E755F8152E8}" name="CurrentStreak" dataDxfId="1038"/>
    <tableColumn id="37" xr3:uid="{886B936D-EA55-41EA-AF80-0B5E27A24D73}" name="strCurrentStreak" dataDxfId="1037"/>
    <tableColumn id="38" xr3:uid="{50F89A3D-2AC8-44D8-B105-81205C80500A}" name="ConferenceGamesBack" dataDxfId="1036"/>
    <tableColumn id="39" xr3:uid="{161D2DE9-6110-4A90-8752-8AF70785DDC8}" name="DivisionGamesBack" dataDxfId="1035"/>
    <tableColumn id="40" xr3:uid="{8D6054C2-670C-4698-A156-CF4472FD20BE}" name="ClinchedConferenceTitle" dataDxfId="1034"/>
    <tableColumn id="41" xr3:uid="{B1F1FEBE-325F-4FD4-ACEC-FCC6EF928D41}" name="ClinchedDivisionTitle" dataDxfId="1033"/>
    <tableColumn id="42" xr3:uid="{6287B618-1A2B-4664-87A2-837810E4F8B0}" name="ClinchedPlayoffBirth" dataDxfId="1032"/>
    <tableColumn id="43" xr3:uid="{7FFB7D65-AD6E-4993-A0CE-A221BD55ED52}" name="EliminatedConference" dataDxfId="1031"/>
    <tableColumn id="44" xr3:uid="{F15A8A2E-6126-4B5B-A654-D40F4B2557CC}" name="EliminatedDivision" dataDxfId="1030"/>
    <tableColumn id="45" xr3:uid="{CBC4C56A-D89D-4E83-BD48-045CF53BF54F}" name="AheadAtHalf" dataDxfId="1029"/>
    <tableColumn id="46" xr3:uid="{38276D53-8D37-43EC-AA9B-01AFCE28EE97}" name="BehindAtHalf" dataDxfId="1028"/>
    <tableColumn id="47" xr3:uid="{63503F78-C571-4FB7-9470-D5B0023303BE}" name="TiedAtHalf" dataDxfId="1027"/>
    <tableColumn id="48" xr3:uid="{AC610A16-5690-4C25-9414-C0A75CA4D2A6}" name="AheadAtThird" dataDxfId="1026"/>
    <tableColumn id="49" xr3:uid="{A23C324C-78E4-4942-8563-24C0668D8D70}" name="BehindAtThird" dataDxfId="1025"/>
    <tableColumn id="50" xr3:uid="{E7FDA0B2-4F3F-41CE-BD10-344C2925ED59}" name="TiedAtThird" dataDxfId="1024"/>
    <tableColumn id="51" xr3:uid="{351AFE82-3C50-416B-9317-15B89C970C04}" name="Score100PTS" dataDxfId="1023"/>
    <tableColumn id="52" xr3:uid="{A22CA390-DDFB-403C-9481-C1032D52F860}" name="OppScore100PTS" dataDxfId="1022"/>
    <tableColumn id="53" xr3:uid="{26831F31-E4B4-425B-9900-9BEC168F6093}" name="OppOver500" dataDxfId="1021"/>
    <tableColumn id="54" xr3:uid="{BA61A315-A19E-488A-A63F-0AC63132A8B9}" name="LeadInFGPCT" dataDxfId="1020"/>
    <tableColumn id="55" xr3:uid="{CF91818D-4867-4952-A5DF-65F708294846}" name="LeadInReb" dataDxfId="1019"/>
    <tableColumn id="56" xr3:uid="{817FD768-71D6-4909-9D41-CCA628EAE10D}" name="FewerTurnovers" dataDxfId="1018"/>
    <tableColumn id="57" xr3:uid="{D4105F12-934F-4B64-BBAD-F2438680AA1B}" name="PointsPG" dataDxfId="1017"/>
    <tableColumn id="58" xr3:uid="{4648DA9C-7C3F-4043-9269-7D54A022FE4C}" name="OppPointsPG" dataDxfId="1016"/>
    <tableColumn id="59" xr3:uid="{6A939CBD-8CF8-4FE4-99BB-61E8B434D2CF}" name="DiffPointsPG" dataDxfId="1015"/>
    <tableColumn id="60" xr3:uid="{198504A7-D812-459F-A7A9-C08431B5A3EE}" name="vsEast" dataDxfId="1014"/>
    <tableColumn id="61" xr3:uid="{F99DB78F-5C50-4F02-8526-1290604A899D}" name="vsAtlantic" dataDxfId="1013"/>
    <tableColumn id="62" xr3:uid="{84699FC3-A8CA-4C90-B67C-5F82F43BCE35}" name="vsCentral" dataDxfId="1012"/>
    <tableColumn id="63" xr3:uid="{0FE76D85-999B-4F78-813C-5C0A6485EC19}" name="vsSoutheast" dataDxfId="1011"/>
    <tableColumn id="64" xr3:uid="{115FB6C2-6CF4-41BF-9B5B-315CDD20485E}" name="vsWest" dataDxfId="1010"/>
    <tableColumn id="65" xr3:uid="{9667B068-8512-4BEC-8BBD-B01D8509D966}" name="vsNorthwest" dataDxfId="1009"/>
    <tableColumn id="66" xr3:uid="{C3016BFC-EF92-44FD-A2F3-F5A35F35CE9C}" name="vsPacific" dataDxfId="1008"/>
    <tableColumn id="67" xr3:uid="{AE0BFC6F-E031-419C-83BC-7F0B86BF709C}" name="vsSouthwest" dataDxfId="1007"/>
    <tableColumn id="68" xr3:uid="{3A19FE41-ED3F-4607-A81C-6147F84447E2}" name="Jan" dataDxfId="1006"/>
    <tableColumn id="69" xr3:uid="{E224113C-9DBD-460A-9815-AB33B38396EC}" name="Feb" dataDxfId="1005"/>
    <tableColumn id="70" xr3:uid="{70CE2276-BDD8-4F6B-A967-AC04483C8D70}" name="Mar" dataDxfId="1004"/>
    <tableColumn id="71" xr3:uid="{FA6CD27A-1D90-4722-A491-8BF309AD741A}" name="Apr" dataDxfId="1003"/>
    <tableColumn id="72" xr3:uid="{7C741AD4-E80C-4ACF-9DCF-28AE265CBAA5}" name="May" dataDxfId="1002"/>
    <tableColumn id="73" xr3:uid="{761D8258-038B-4F0A-919A-C0EA61BCAEAC}" name="Jun" dataDxfId="1001"/>
    <tableColumn id="74" xr3:uid="{5E089698-85C7-4E90-8488-471289C6FF38}" name="Jul" dataDxfId="1000"/>
    <tableColumn id="75" xr3:uid="{99B22EAF-77C9-400F-BCE1-ACC164254CB0}" name="Aug" dataDxfId="999"/>
    <tableColumn id="76" xr3:uid="{E7109103-28B1-4E66-B5F5-723E6A98DFF7}" name="Sep" dataDxfId="998"/>
    <tableColumn id="77" xr3:uid="{7A505246-61DE-43E4-A016-23CE85B926F1}" name="Oct" dataDxfId="997"/>
    <tableColumn id="78" xr3:uid="{22C8E2D6-63D1-4CF9-9E0C-CBE6435B0774}" name="Nov" dataDxfId="996"/>
    <tableColumn id="79" xr3:uid="{CA216852-6178-4D95-9300-8E7D5417856B}" name="Dec" dataDxfId="995"/>
    <tableColumn id="80" xr3:uid="{E9E02E0B-80B1-49E3-A34A-6247A245210C}" name="PreAS" dataDxfId="994"/>
    <tableColumn id="81" xr3:uid="{5BE00CA7-1549-4BFD-A443-B2029FF790A5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7C0EA1B-2E02-4669-9FAC-0F1ECC4CA761}" name="TableBaseN" displayName="TableBaseN" ref="A1:BD31" totalsRowShown="0" headerRowDxfId="853">
  <autoFilter ref="A1:BD31" xr:uid="{353B5717-A0A8-4708-A297-20D2CD7867C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E2B43A77-1A1F-4F55-B913-B8554BB967C6}" name="TEAM_ID" dataDxfId="909"/>
    <tableColumn id="2" xr3:uid="{72DDA0CE-EC02-4979-A8B9-CD81F23013C3}" name="TEAM_NAME" dataDxfId="908"/>
    <tableColumn id="3" xr3:uid="{E9347BE3-B8B3-44B9-9091-954474FFA4A4}" name="GP" dataDxfId="907"/>
    <tableColumn id="4" xr3:uid="{48FB7C00-CCCE-4F48-8F5D-D25AF0435A13}" name="W" dataDxfId="906"/>
    <tableColumn id="5" xr3:uid="{5A1231E0-1EA8-4A2C-8FDE-FF1798DED0F1}" name="L" dataDxfId="905"/>
    <tableColumn id="6" xr3:uid="{119993DC-3A1E-4FBD-BB23-75B726BFB1E8}" name="W_PCT" dataDxfId="904"/>
    <tableColumn id="7" xr3:uid="{B443B4C8-0529-46BA-A50E-5F99991D038D}" name="MIN" dataDxfId="903"/>
    <tableColumn id="8" xr3:uid="{398DD0D3-C6BD-47DB-9537-62BE0C4D24DC}" name="FGM" dataDxfId="902"/>
    <tableColumn id="9" xr3:uid="{495A8A53-3A8E-4ECB-8FEE-8E9599C71FF7}" name="FGA" dataDxfId="901"/>
    <tableColumn id="10" xr3:uid="{7A87BC42-4F41-4BEE-A101-F0A9565A2A8D}" name="FG_PCT" dataDxfId="900"/>
    <tableColumn id="11" xr3:uid="{35136B48-C399-4ABA-A790-370AC5E74BCB}" name="FG3M" dataDxfId="899"/>
    <tableColumn id="12" xr3:uid="{77B4E4BC-163A-4A35-8C92-6C58E2483176}" name="FG3A" dataDxfId="898"/>
    <tableColumn id="13" xr3:uid="{981AC69A-5E46-4EDE-94A0-D66C10491FC5}" name="FG3_PCT" dataDxfId="897"/>
    <tableColumn id="14" xr3:uid="{E3BE8569-915D-419C-91B7-3AC6D1FE4362}" name="FTM" dataDxfId="896"/>
    <tableColumn id="15" xr3:uid="{18EB065E-05AC-41FF-9778-A9DAF7F4A24B}" name="FTA" dataDxfId="895"/>
    <tableColumn id="16" xr3:uid="{0B174436-DF2E-4463-99EA-48A7BE048442}" name="FT_PCT" dataDxfId="894"/>
    <tableColumn id="17" xr3:uid="{66E8A706-34C4-4798-BD95-BEE21590B848}" name="OREB" dataDxfId="893"/>
    <tableColumn id="18" xr3:uid="{A3D453CE-C03D-4B36-8F86-F03A8FE60213}" name="DREB" dataDxfId="892"/>
    <tableColumn id="19" xr3:uid="{74749479-7BB0-461F-8F47-B87C751AD6FE}" name="REB" dataDxfId="891"/>
    <tableColumn id="20" xr3:uid="{CF127D01-4CEC-422D-8B00-3C4E715D2828}" name="AST" dataDxfId="890"/>
    <tableColumn id="21" xr3:uid="{53C8436D-9C93-4D54-946E-80789C052D64}" name="TOV" dataDxfId="889"/>
    <tableColumn id="22" xr3:uid="{59EDC822-3D81-41EF-9679-50689EF1BDEE}" name="STL" dataDxfId="888"/>
    <tableColumn id="23" xr3:uid="{B1BC2858-E834-462B-98F1-B80BEB94F5EE}" name="BLK" dataDxfId="887"/>
    <tableColumn id="24" xr3:uid="{DB7439A4-A5C5-47CB-BF2F-FD531CC913C2}" name="BLKA" dataDxfId="886"/>
    <tableColumn id="25" xr3:uid="{74987E5D-C457-421E-89CC-8270F4A03075}" name="PF" dataDxfId="885"/>
    <tableColumn id="26" xr3:uid="{D7424949-EB2B-49A7-BA83-6E60744B8CAB}" name="PFD" dataDxfId="884"/>
    <tableColumn id="27" xr3:uid="{E1E29A60-1C85-46AA-945C-5D6AC9E6B766}" name="PTS" dataDxfId="883"/>
    <tableColumn id="28" xr3:uid="{215C3F69-AE61-49E0-BFD8-723990A1A275}" name="PLUS_MINUS" dataDxfId="882"/>
    <tableColumn id="29" xr3:uid="{13FB57B7-5B50-406B-A86B-C306DC6F5BAF}" name="GP_RANK" dataDxfId="881"/>
    <tableColumn id="30" xr3:uid="{FC215BFE-0BB4-4699-9CB0-8ADB3B651B55}" name="W_RANK" dataDxfId="880"/>
    <tableColumn id="31" xr3:uid="{059D78B0-056B-421B-BC72-AABC82886C39}" name="L_RANK" dataDxfId="879"/>
    <tableColumn id="32" xr3:uid="{D85164A2-F2E7-4F68-B138-2C1214154F02}" name="W_PCT_RANK" dataDxfId="878"/>
    <tableColumn id="33" xr3:uid="{117BC9C0-7BC2-4B3D-BFF2-B48B4BBDE184}" name="MIN_RANK" dataDxfId="877"/>
    <tableColumn id="34" xr3:uid="{F0B24D80-BDBA-48D3-9F7B-B05B990E6211}" name="FGM_RANK" dataDxfId="876"/>
    <tableColumn id="35" xr3:uid="{D5D6A390-DFD8-41A1-9069-F00313084D0D}" name="FGA_RANK" dataDxfId="875"/>
    <tableColumn id="36" xr3:uid="{BDEA9D55-3168-471D-A291-7E0113FAB283}" name="FG_PCT_RANK" dataDxfId="874"/>
    <tableColumn id="37" xr3:uid="{0E5BED12-DB05-4541-B7C6-510003E873DD}" name="FG3M_RANK" dataDxfId="873"/>
    <tableColumn id="38" xr3:uid="{827D4C94-5D48-40B9-ABAE-65FA14EA6311}" name="FG3A_RANK" dataDxfId="872"/>
    <tableColumn id="39" xr3:uid="{789D3EEC-E054-4C3E-99E9-676797EFCF89}" name="FG3_PCT_RANK" dataDxfId="871"/>
    <tableColumn id="40" xr3:uid="{707D2177-91B7-415D-BFA3-1D289377F53E}" name="FTM_RANK" dataDxfId="870"/>
    <tableColumn id="41" xr3:uid="{DC784135-BB03-4A7B-8465-EDC43F8A6C0F}" name="FTA_RANK" dataDxfId="869"/>
    <tableColumn id="42" xr3:uid="{8B7015E2-6A5C-40B5-A2A6-C9874F8E71FC}" name="FT_PCT_RANK" dataDxfId="868"/>
    <tableColumn id="43" xr3:uid="{C74D7BF7-4A64-4362-AC1A-6207B5473116}" name="OREB_RANK" dataDxfId="867"/>
    <tableColumn id="44" xr3:uid="{F4A91083-3DB9-4444-A3A2-49C9F20CAA4B}" name="DREB_RANK" dataDxfId="866"/>
    <tableColumn id="45" xr3:uid="{EEC7879E-024C-4B0E-B39D-BCF702DA01CC}" name="REB_RANK" dataDxfId="865"/>
    <tableColumn id="46" xr3:uid="{AE55F678-B133-4472-80C2-9D22FAC030B4}" name="AST_RANK" dataDxfId="864"/>
    <tableColumn id="47" xr3:uid="{A0DC9A88-7414-4D3F-9552-E7423173BFF4}" name="TOV_RANK" dataDxfId="863"/>
    <tableColumn id="48" xr3:uid="{F77E184A-879E-4248-A341-0DC32E773D2D}" name="STL_RANK" dataDxfId="862"/>
    <tableColumn id="49" xr3:uid="{1CB454B4-7F96-4EE5-8EC0-5CB3A020B090}" name="BLK_RANK" dataDxfId="861"/>
    <tableColumn id="50" xr3:uid="{6D968C86-9E7B-49DA-A839-3C6A9C9360C7}" name="BLKA_RANK" dataDxfId="860"/>
    <tableColumn id="51" xr3:uid="{75569AFF-558B-45F9-85B3-CB0378CE11F4}" name="PF_RANK" dataDxfId="859"/>
    <tableColumn id="52" xr3:uid="{11BEEDF8-2ED7-4CD1-BCD0-BE66086FAB4E}" name="PFD_RANK" dataDxfId="858"/>
    <tableColumn id="53" xr3:uid="{233E2383-7278-497A-8478-A61835076ECE}" name="PTS_RANK" dataDxfId="857"/>
    <tableColumn id="54" xr3:uid="{22176BAA-66B8-4403-9E5F-DA59ED4EBAC2}" name="PLUS_MINUS_RANK" dataDxfId="856"/>
    <tableColumn id="55" xr3:uid="{D306E46B-F53F-4E97-9C2B-D222B29F4826}" name="CFID" dataDxfId="855"/>
    <tableColumn id="56" xr3:uid="{F8819A9A-3E8F-493E-B6DC-0AB5763FC5F3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967C3A6-1916-4767-9849-135D948DD37C}" name="TableAdvancedN" displayName="TableAdvancedN" ref="A1:AV31" totalsRowShown="0" headerRowDxfId="747">
  <autoFilter ref="A1:AV31" xr:uid="{5C433F3A-9A25-49D5-A236-F6D5B364A5B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2FAA0E83-4916-4E41-8085-47E1FE9DCB4F}" name="TEAM_ID" dataDxfId="795"/>
    <tableColumn id="2" xr3:uid="{B22B777A-5D07-4C3E-9428-FD8556379B11}" name="TEAM_NAME" dataDxfId="794"/>
    <tableColumn id="3" xr3:uid="{73C2F3AB-F83A-4BA8-8180-5498C2369C4E}" name="GP" dataDxfId="793"/>
    <tableColumn id="4" xr3:uid="{0C6AE8D9-16F7-4F55-A931-93FF0F70805D}" name="W" dataDxfId="792"/>
    <tableColumn id="5" xr3:uid="{141A54C3-778D-4FA0-8B46-009EDAC2D0A9}" name="L" dataDxfId="791"/>
    <tableColumn id="6" xr3:uid="{0AA79D7A-ACDB-4F51-95BA-C1E9B22AAFA5}" name="W_PCT" dataDxfId="790"/>
    <tableColumn id="7" xr3:uid="{F36F58E8-9A22-4721-95CA-AEBCACA637E8}" name="MIN" dataDxfId="789"/>
    <tableColumn id="8" xr3:uid="{5A1BA1D2-ACE0-4AA5-B801-8E621EB6923D}" name="E_OFF_RATING" dataDxfId="788"/>
    <tableColumn id="9" xr3:uid="{9501CBF2-E264-46D3-B790-6A168D4F17FC}" name="OFF_RATING" dataDxfId="787"/>
    <tableColumn id="10" xr3:uid="{E8FA6870-D06A-463F-B2A4-A94BDCAEA6BB}" name="E_DEF_RATING" dataDxfId="786"/>
    <tableColumn id="11" xr3:uid="{B52151B2-5385-4DE2-A853-5DEC141F84F6}" name="DEF_RATING" dataDxfId="785"/>
    <tableColumn id="12" xr3:uid="{40F5A07B-4000-4055-AE4F-C07C4AA3EC04}" name="E_NET_RATING" dataDxfId="784"/>
    <tableColumn id="13" xr3:uid="{4D234720-1686-4581-B167-A200A9632C42}" name="NET_RATING" dataDxfId="783"/>
    <tableColumn id="14" xr3:uid="{C915232E-0BDF-4781-9929-BB3FE1C839A9}" name="AST_PCT" dataDxfId="782"/>
    <tableColumn id="15" xr3:uid="{0DFA46DA-50E0-46FD-B534-4328DC25F59F}" name="AST_TO" dataDxfId="781"/>
    <tableColumn id="16" xr3:uid="{56E9935A-B072-4955-9C9D-30AA9B2C2C78}" name="AST_RATIO" dataDxfId="780"/>
    <tableColumn id="17" xr3:uid="{896D07BE-350E-4F9C-A601-B979BC9D4171}" name="OREB_PCT" dataDxfId="779"/>
    <tableColumn id="18" xr3:uid="{D471066D-021B-423B-A534-C9EC2F484FD0}" name="DREB_PCT" dataDxfId="778"/>
    <tableColumn id="19" xr3:uid="{3397FE39-4086-466D-A469-757ACA567507}" name="REB_PCT" dataDxfId="777"/>
    <tableColumn id="20" xr3:uid="{9E8926F6-56E0-4FB2-B4D9-C44E54C3BFE4}" name="TM_TOV_PCT" dataDxfId="776"/>
    <tableColumn id="21" xr3:uid="{BD1A5CB1-A6B0-43EF-BA3B-62C82D2A353B}" name="EFG_PCT" dataDxfId="775"/>
    <tableColumn id="22" xr3:uid="{0B2606D6-5287-4C85-9760-F151D2BBEF01}" name="TS_PCT" dataDxfId="774"/>
    <tableColumn id="23" xr3:uid="{6EF43D3D-DEED-49B6-9B5D-4DCCBD475E9B}" name="E_PACE" dataDxfId="773"/>
    <tableColumn id="24" xr3:uid="{2F68F515-0811-4957-B1F0-F1AEDDBC5894}" name="PACE" dataDxfId="772"/>
    <tableColumn id="25" xr3:uid="{F0ED535B-E42D-47A6-9D32-A9A297E90EF8}" name="PACE_PER40" dataDxfId="771"/>
    <tableColumn id="26" xr3:uid="{E13A99BF-76AF-480A-A2C5-7AB0508DECD8}" name="POSS" dataDxfId="770"/>
    <tableColumn id="27" xr3:uid="{DF522854-04CF-488F-8E9B-4B9C75437C42}" name="PIE" dataDxfId="769"/>
    <tableColumn id="28" xr3:uid="{96217220-8735-4988-A05A-AA35B7B79CDE}" name="GP_RANK" dataDxfId="768"/>
    <tableColumn id="29" xr3:uid="{1294BDB3-C1E3-4F6E-828A-E330D48D33E4}" name="W_RANK" dataDxfId="767"/>
    <tableColumn id="30" xr3:uid="{CD5AA1A6-ED55-452C-B2BF-9943636A623C}" name="L_RANK" dataDxfId="766"/>
    <tableColumn id="31" xr3:uid="{842CF53A-F316-496F-93C1-6D01101D737A}" name="W_PCT_RANK" dataDxfId="765"/>
    <tableColumn id="32" xr3:uid="{CDD8AD13-60CA-49DD-AAA3-F0E8746F5500}" name="MIN_RANK" dataDxfId="764"/>
    <tableColumn id="33" xr3:uid="{11812CFE-44C2-49DC-8A3B-8957E1BD5D08}" name="OFF_RATING_RANK" dataDxfId="763"/>
    <tableColumn id="34" xr3:uid="{4811652C-6C02-41CE-98EC-4172A9EF2C1E}" name="DEF_RATING_RANK" dataDxfId="762"/>
    <tableColumn id="35" xr3:uid="{81B310EE-0F96-42C9-9196-A60DA88D9DCE}" name="NET_RATING_RANK" dataDxfId="761"/>
    <tableColumn id="36" xr3:uid="{4E325D67-2835-42D0-B2AA-FE7C1C9ED995}" name="AST_PCT_RANK" dataDxfId="760"/>
    <tableColumn id="37" xr3:uid="{3768D339-60F2-4559-9DBD-53DE8BBA4DAB}" name="AST_TO_RANK" dataDxfId="759"/>
    <tableColumn id="38" xr3:uid="{110D7671-5198-4B31-B2FD-2854533E0974}" name="AST_RATIO_RANK" dataDxfId="758"/>
    <tableColumn id="39" xr3:uid="{C0AFF5BD-0EAB-4E66-8C5F-8968410C6CBC}" name="OREB_PCT_RANK" dataDxfId="757"/>
    <tableColumn id="40" xr3:uid="{7E7231D1-9D36-4EF8-BCE3-E7FED80958D9}" name="DREB_PCT_RANK" dataDxfId="756"/>
    <tableColumn id="41" xr3:uid="{1320334F-422C-441D-8ABB-B0B47AB746AA}" name="REB_PCT_RANK" dataDxfId="755"/>
    <tableColumn id="42" xr3:uid="{A906C5DD-BD79-41F6-8A96-74DF58A68F4D}" name="TM_TOV_PCT_RANK" dataDxfId="754"/>
    <tableColumn id="43" xr3:uid="{FA323393-A492-4B8E-BE21-070C9F37ED21}" name="EFG_PCT_RANK" dataDxfId="753"/>
    <tableColumn id="44" xr3:uid="{EAD610A0-ABA2-4219-98DB-A1B2B9B3F0BE}" name="TS_PCT_RANK" dataDxfId="752"/>
    <tableColumn id="45" xr3:uid="{4235D121-4E43-4242-BD05-CD85C7561569}" name="PACE_RANK" dataDxfId="751"/>
    <tableColumn id="46" xr3:uid="{8F481CAE-6915-4AE8-B44F-3C37B29DF530}" name="PIE_RANK" dataDxfId="750"/>
    <tableColumn id="47" xr3:uid="{C1C0F5B3-9AE0-4743-A925-64293F3F3280}" name="CFID" dataDxfId="749"/>
    <tableColumn id="48" xr3:uid="{250021CB-A649-46DD-8870-4DEE14A7F2C5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FEE6CCC-B18C-4FD9-85FE-C69885958631}" name="TableAdvancedNStarters" displayName="TableAdvancedNStarters" ref="A1:AV31" totalsRowShown="0" headerRowDxfId="649">
  <autoFilter ref="A1:AV31" xr:uid="{84C7F4D3-14D5-46DA-BDAD-782EA1006E0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41A9F306-790A-47BE-9439-38EB19EE9440}" name="TEAM_ID" dataDxfId="697"/>
    <tableColumn id="2" xr3:uid="{C264BD87-7316-4F4C-818C-ABE3FB792CAB}" name="TEAM_NAME" dataDxfId="696"/>
    <tableColumn id="3" xr3:uid="{252B2E2A-5E92-403C-804E-D5B300A39916}" name="GP" dataDxfId="695"/>
    <tableColumn id="4" xr3:uid="{1D2A9584-8AD4-413B-A2D4-83D9C43B7169}" name="W" dataDxfId="694"/>
    <tableColumn id="5" xr3:uid="{3280885A-2AD3-4B84-8999-9E27BF72358B}" name="L" dataDxfId="693"/>
    <tableColumn id="6" xr3:uid="{1F49252F-25FC-4A13-BC89-7CB6A8354277}" name="W_PCT" dataDxfId="692"/>
    <tableColumn id="7" xr3:uid="{1BC34F12-FAD8-4CE6-BC05-F2261E178CBE}" name="MIN" dataDxfId="691"/>
    <tableColumn id="8" xr3:uid="{C46A401C-421C-40DD-A9AC-60B134EC4FE2}" name="E_OFF_RATING" dataDxfId="690"/>
    <tableColumn id="9" xr3:uid="{FCAC1DCE-83DC-4CD4-8D7B-090990565C9C}" name="OFF_RATING" dataDxfId="689"/>
    <tableColumn id="10" xr3:uid="{0923998D-F8F2-45EE-B49B-63312C0F8C96}" name="E_DEF_RATING" dataDxfId="688"/>
    <tableColumn id="11" xr3:uid="{03982E5C-3A93-4E12-9994-CD6CAFEB9C42}" name="DEF_RATING" dataDxfId="687"/>
    <tableColumn id="12" xr3:uid="{F89F7306-E927-42E8-8C61-9ECB8206B38A}" name="E_NET_RATING" dataDxfId="686"/>
    <tableColumn id="13" xr3:uid="{666BA35F-ED37-454B-B02C-B5CB59CE1F4B}" name="NET_RATING" dataDxfId="685"/>
    <tableColumn id="14" xr3:uid="{B78753F5-939A-4027-9DCB-96F62341A713}" name="AST_PCT" dataDxfId="684"/>
    <tableColumn id="15" xr3:uid="{FB130697-4D76-4EE4-8462-E924C22D5011}" name="AST_TO" dataDxfId="683"/>
    <tableColumn id="16" xr3:uid="{826EDE7A-1374-44F0-A5A7-8CD32E9CA0BC}" name="AST_RATIO" dataDxfId="682"/>
    <tableColumn id="17" xr3:uid="{940EC333-543E-4050-9A4C-CA840996045F}" name="OREB_PCT" dataDxfId="681"/>
    <tableColumn id="18" xr3:uid="{0F6A50E2-6CEF-4A52-A98D-9B77A343671C}" name="DREB_PCT" dataDxfId="680"/>
    <tableColumn id="19" xr3:uid="{A7C5AE7C-C13C-4128-AC7E-C302E570F765}" name="REB_PCT" dataDxfId="679"/>
    <tableColumn id="20" xr3:uid="{A87989A3-E72C-4224-B6ED-DBD80B8B147D}" name="TM_TOV_PCT" dataDxfId="678"/>
    <tableColumn id="21" xr3:uid="{36DEDB48-58B7-4CB2-9EC9-CBBF6899C318}" name="EFG_PCT" dataDxfId="677"/>
    <tableColumn id="22" xr3:uid="{7BFE34F4-A2AC-47CD-AA3C-7B1AE58ADE41}" name="TS_PCT" dataDxfId="676"/>
    <tableColumn id="23" xr3:uid="{51376DE1-BB91-43E4-8F09-DA5774AC64AF}" name="E_PACE" dataDxfId="675"/>
    <tableColumn id="24" xr3:uid="{D910D2DD-F401-4650-8666-C2E29A9CD246}" name="PACE" dataDxfId="674"/>
    <tableColumn id="25" xr3:uid="{F332847C-B220-4507-837F-A4140CE4AE71}" name="PACE_PER40" dataDxfId="673"/>
    <tableColumn id="26" xr3:uid="{5A03C35D-D3EC-4CDB-AEFF-910EA5B7A7CF}" name="POSS" dataDxfId="672"/>
    <tableColumn id="27" xr3:uid="{6A9DE78C-D1BD-41F9-A4F3-EC03FE9A9681}" name="PIE" dataDxfId="671"/>
    <tableColumn id="28" xr3:uid="{103FD080-50C1-4E4E-AF96-171130697BA0}" name="GP_RANK" dataDxfId="670"/>
    <tableColumn id="29" xr3:uid="{877D2A46-D253-40D5-AD91-D384F5DEB414}" name="W_RANK" dataDxfId="669"/>
    <tableColumn id="30" xr3:uid="{AC6E8980-947F-4BFD-B2EE-BC494F6F9366}" name="L_RANK" dataDxfId="668"/>
    <tableColumn id="31" xr3:uid="{69CD0747-CA25-45D2-A36F-5E0319AF65B6}" name="W_PCT_RANK" dataDxfId="667"/>
    <tableColumn id="32" xr3:uid="{1FAF5D50-E5BF-40E0-80C1-F71EDDB2C5E7}" name="MIN_RANK" dataDxfId="666"/>
    <tableColumn id="33" xr3:uid="{17C01A67-4082-4B72-8862-5D6297C883A3}" name="OFF_RATING_RANK" dataDxfId="665"/>
    <tableColumn id="34" xr3:uid="{8FE21547-AC28-46DD-9F71-21C03446C468}" name="DEF_RATING_RANK" dataDxfId="664"/>
    <tableColumn id="35" xr3:uid="{2A64CAE4-3615-4260-A67F-042CA6659042}" name="NET_RATING_RANK" dataDxfId="663"/>
    <tableColumn id="36" xr3:uid="{6FBBD1E7-D4ED-410F-A5EC-4BE60B4AC47A}" name="AST_PCT_RANK" dataDxfId="662"/>
    <tableColumn id="37" xr3:uid="{AFD85143-4B1C-4361-B26C-2C98DBF66E3D}" name="AST_TO_RANK" dataDxfId="661"/>
    <tableColumn id="38" xr3:uid="{94CF86C7-3153-4697-AF14-847D5869768C}" name="AST_RATIO_RANK" dataDxfId="660"/>
    <tableColumn id="39" xr3:uid="{11C2A576-C851-41BE-AC7E-748C1BBEECA5}" name="OREB_PCT_RANK" dataDxfId="659"/>
    <tableColumn id="40" xr3:uid="{80C6084F-34FD-4335-A0D1-CFB08B2197D3}" name="DREB_PCT_RANK" dataDxfId="658"/>
    <tableColumn id="41" xr3:uid="{51424BE7-61CF-40B6-9D3A-8C460A6A8F66}" name="REB_PCT_RANK" dataDxfId="657"/>
    <tableColumn id="42" xr3:uid="{FA66E614-74BB-434F-B44B-991A286C26CA}" name="TM_TOV_PCT_RANK" dataDxfId="656"/>
    <tableColumn id="43" xr3:uid="{012479E4-75DD-44D5-A88B-38F79967D11B}" name="EFG_PCT_RANK" dataDxfId="655"/>
    <tableColumn id="44" xr3:uid="{F3EEF590-3157-4C10-BF4C-088F0FF58194}" name="TS_PCT_RANK" dataDxfId="654"/>
    <tableColumn id="45" xr3:uid="{8A5AAC64-D29D-4128-A207-D44C9BE4E2FA}" name="PACE_RANK" dataDxfId="653"/>
    <tableColumn id="46" xr3:uid="{9BA5EDD6-1F40-4BC4-810D-F23DAB5B64A4}" name="PIE_RANK" dataDxfId="652"/>
    <tableColumn id="47" xr3:uid="{3ACB2B36-12BD-44B8-BA32-A47BA5536A0C}" name="CFID" dataDxfId="651"/>
    <tableColumn id="48" xr3:uid="{9F371031-458B-41EE-8A20-E4B44F89F8DE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49457A0-4ADD-4803-ADB4-C4A37E4B9D89}" name="TableAdvancedNBench" displayName="TableAdvancedNBench" ref="A1:AV31" totalsRowShown="0" headerRowDxfId="551">
  <autoFilter ref="A1:AV31" xr:uid="{3E97E5A9-2C03-4C4A-B3D6-90B59927747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43D6D28-6851-4B87-AE93-16823C4F4E64}" name="TEAM_ID" dataDxfId="599"/>
    <tableColumn id="2" xr3:uid="{E8C0A8E7-AB1C-4E2D-9E4C-BB7A2698F048}" name="TEAM_NAME" dataDxfId="598"/>
    <tableColumn id="3" xr3:uid="{D700D4BF-5D89-4F41-9BC0-40D10891D037}" name="GP" dataDxfId="597"/>
    <tableColumn id="4" xr3:uid="{890F514A-DC21-431C-AD6C-8704D4E82F45}" name="W" dataDxfId="596"/>
    <tableColumn id="5" xr3:uid="{4772F0B2-79FB-463A-9281-A65CD92736C4}" name="L" dataDxfId="595"/>
    <tableColumn id="6" xr3:uid="{F8F32BA1-3BE4-4F3F-AD61-9D25F5D45FD6}" name="W_PCT" dataDxfId="594"/>
    <tableColumn id="7" xr3:uid="{50EE6EBC-8AF7-486D-8C98-0D5A474ECF22}" name="MIN" dataDxfId="593"/>
    <tableColumn id="8" xr3:uid="{004CE08E-7D03-46E8-B057-5CAF4851F49A}" name="E_OFF_RATING" dataDxfId="592"/>
    <tableColumn id="9" xr3:uid="{431A03EC-FD5C-4D39-A7E1-AC3F0D473326}" name="OFF_RATING" dataDxfId="591"/>
    <tableColumn id="10" xr3:uid="{C428DC6A-C5F1-4817-88CD-CE7D8D7B8E30}" name="E_DEF_RATING" dataDxfId="590"/>
    <tableColumn id="11" xr3:uid="{66E0CC50-26B4-4C4F-A961-A517530DCAE4}" name="DEF_RATING" dataDxfId="589"/>
    <tableColumn id="12" xr3:uid="{F297739C-3071-4794-9DDA-346AEA43F581}" name="E_NET_RATING" dataDxfId="588"/>
    <tableColumn id="13" xr3:uid="{A14D808A-3735-4732-B600-FF1148F8D335}" name="NET_RATING" dataDxfId="587"/>
    <tableColumn id="14" xr3:uid="{2EF10B0F-4DFE-4D96-B82F-A667BD2AE26B}" name="AST_PCT" dataDxfId="586"/>
    <tableColumn id="15" xr3:uid="{34837128-BC6D-456E-86EA-E1F1E64DA574}" name="AST_TO" dataDxfId="585"/>
    <tableColumn id="16" xr3:uid="{89D65D84-770D-47BD-ACC2-2665995F208C}" name="AST_RATIO" dataDxfId="584"/>
    <tableColumn id="17" xr3:uid="{C76D13E6-44F0-484B-91F7-D2900FFB458F}" name="OREB_PCT" dataDxfId="583"/>
    <tableColumn id="18" xr3:uid="{293559C3-B084-49F4-958B-53A1285265A8}" name="DREB_PCT" dataDxfId="582"/>
    <tableColumn id="19" xr3:uid="{2D426E6F-D53F-4C06-A8F5-34FECEEB12C6}" name="REB_PCT" dataDxfId="581"/>
    <tableColumn id="20" xr3:uid="{B6672E16-1D80-4A82-AEF7-4A6A04FA317B}" name="TM_TOV_PCT" dataDxfId="580"/>
    <tableColumn id="21" xr3:uid="{4B6435E1-ADF9-450E-9C54-F8280C95B42F}" name="EFG_PCT" dataDxfId="579"/>
    <tableColumn id="22" xr3:uid="{CBB1F323-5B2A-4039-9FB0-52006DCCEA99}" name="TS_PCT" dataDxfId="578"/>
    <tableColumn id="23" xr3:uid="{092C4A81-C045-4016-8379-68B555D99CAD}" name="E_PACE" dataDxfId="577"/>
    <tableColumn id="24" xr3:uid="{C99983E5-5EB4-4680-A85E-4702DC5EA911}" name="PACE" dataDxfId="576"/>
    <tableColumn id="25" xr3:uid="{0EC51120-A3DE-4BBD-B50B-08D44EB3F4FA}" name="PACE_PER40" dataDxfId="575"/>
    <tableColumn id="26" xr3:uid="{07A139BF-17CB-438F-9527-C593A023636D}" name="POSS" dataDxfId="574"/>
    <tableColumn id="27" xr3:uid="{D8392C53-0CA4-445A-BB62-10BC7FDC126E}" name="PIE" dataDxfId="573"/>
    <tableColumn id="28" xr3:uid="{40F5882B-3014-485A-B1BE-CE72F22B8A9A}" name="GP_RANK" dataDxfId="572"/>
    <tableColumn id="29" xr3:uid="{9A5B303F-3D92-4AD0-B229-14E3D66A8F55}" name="W_RANK" dataDxfId="571"/>
    <tableColumn id="30" xr3:uid="{F1BDAC4E-AD90-4B2B-A365-B31E7731C81D}" name="L_RANK" dataDxfId="570"/>
    <tableColumn id="31" xr3:uid="{934040F2-5C77-46FF-AC9C-C70D8DEFA33B}" name="W_PCT_RANK" dataDxfId="569"/>
    <tableColumn id="32" xr3:uid="{995A2C90-33E8-4479-A00F-6994465654D2}" name="MIN_RANK" dataDxfId="568"/>
    <tableColumn id="33" xr3:uid="{CCB4591F-274E-4BAF-930A-50E6AB96B8CB}" name="OFF_RATING_RANK" dataDxfId="567"/>
    <tableColumn id="34" xr3:uid="{408E7A6B-DC83-4E66-8362-6DC0B607970A}" name="DEF_RATING_RANK" dataDxfId="566"/>
    <tableColumn id="35" xr3:uid="{87322FBE-B631-412C-920B-8256BA9C1B10}" name="NET_RATING_RANK" dataDxfId="565"/>
    <tableColumn id="36" xr3:uid="{4C95D9F8-935C-4B77-B85F-41E35293B609}" name="AST_PCT_RANK" dataDxfId="564"/>
    <tableColumn id="37" xr3:uid="{02A632F2-CB9F-4FD8-871A-AEDE66482330}" name="AST_TO_RANK" dataDxfId="563"/>
    <tableColumn id="38" xr3:uid="{F082D58F-6058-456F-86A2-4036F4433566}" name="AST_RATIO_RANK" dataDxfId="562"/>
    <tableColumn id="39" xr3:uid="{C0F90D3E-EEE9-44DA-8FA0-D10563BDE6A5}" name="OREB_PCT_RANK" dataDxfId="561"/>
    <tableColumn id="40" xr3:uid="{A3BAED84-355E-4E23-8459-2EACC4CDEEF2}" name="DREB_PCT_RANK" dataDxfId="560"/>
    <tableColumn id="41" xr3:uid="{AE7E8E5C-2DCA-4FD7-9F1A-8680E085C44F}" name="REB_PCT_RANK" dataDxfId="559"/>
    <tableColumn id="42" xr3:uid="{660CCA68-223D-417D-A7F0-A739BF5E963A}" name="TM_TOV_PCT_RANK" dataDxfId="558"/>
    <tableColumn id="43" xr3:uid="{5E83904B-76D8-486A-B658-6C5F4B2B919B}" name="EFG_PCT_RANK" dataDxfId="557"/>
    <tableColumn id="44" xr3:uid="{407D2707-34FC-4C90-8D28-3075B42B72E2}" name="TS_PCT_RANK" dataDxfId="556"/>
    <tableColumn id="45" xr3:uid="{9E1DD779-C1B8-4D61-BD40-63A15D80DE8D}" name="PACE_RANK" dataDxfId="555"/>
    <tableColumn id="46" xr3:uid="{44975889-881B-45AF-BF32-40754CD21713}" name="PIE_RANK" dataDxfId="554"/>
    <tableColumn id="47" xr3:uid="{AC7E5C46-B243-4B74-83B5-246BF23E9A7C}" name="CFID" dataDxfId="553"/>
    <tableColumn id="48" xr3:uid="{C7DF950E-80CD-4CA4-83B9-4CF6D38BA4D1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033477F-424B-4C98-AFBB-F3823B876C87}" name="TableMiscN" displayName="TableMiscN" ref="A1:AD31" totalsRowShown="0" headerRowDxfId="471">
  <autoFilter ref="A1:AD31" xr:uid="{DBF773E2-071F-4459-9D0D-72D830AD2D6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81D67A15-3090-452A-A7B6-990563D1359F}" name="TEAM_ID" dataDxfId="501"/>
    <tableColumn id="2" xr3:uid="{CE2ABAE7-BD1B-415D-AF6F-F3F7C5460E1C}" name="TEAM_NAME" dataDxfId="500"/>
    <tableColumn id="3" xr3:uid="{07A0ABAD-EBFA-4EEA-9DEA-7B916FBE392E}" name="GP" dataDxfId="499"/>
    <tableColumn id="4" xr3:uid="{685A7D3C-299D-404C-A877-D2B567F57854}" name="W" dataDxfId="498"/>
    <tableColumn id="5" xr3:uid="{1F2EE4C4-C7CE-4F9B-9CC2-E80D713D12D6}" name="L" dataDxfId="497"/>
    <tableColumn id="6" xr3:uid="{92BC9D4E-6262-4494-822C-F3DD768C8510}" name="W_PCT" dataDxfId="496"/>
    <tableColumn id="7" xr3:uid="{96D84AC9-4DC2-45EA-97F4-FA441A52A9D7}" name="MIN" dataDxfId="495"/>
    <tableColumn id="8" xr3:uid="{A8CA1D20-F0E9-4D13-930F-190A56C834B4}" name="PTS_OFF_TOV" dataDxfId="494"/>
    <tableColumn id="9" xr3:uid="{1F1BCEDC-C720-4A94-A0F5-10FBA09E5D06}" name="PTS_2ND_CHANCE" dataDxfId="493"/>
    <tableColumn id="10" xr3:uid="{C448F155-78A2-4724-832D-CCB3DE8C1D59}" name="PTS_FB" dataDxfId="492"/>
    <tableColumn id="11" xr3:uid="{510A8DAA-C84B-4AEA-8FD9-120F82C266BF}" name="PTS_PAINT" dataDxfId="491"/>
    <tableColumn id="12" xr3:uid="{7C488A8D-EB80-4F45-B493-AD55CE37005A}" name="OPP_PTS_OFF_TOV" dataDxfId="490"/>
    <tableColumn id="13" xr3:uid="{11D34E92-FEF1-4FAD-88D4-3BCC92CAC7BE}" name="OPP_PTS_2ND_CHANCE" dataDxfId="489"/>
    <tableColumn id="14" xr3:uid="{F1D719BB-6F30-4C93-957D-064AE617081D}" name="OPP_PTS_FB" dataDxfId="488"/>
    <tableColumn id="15" xr3:uid="{8A5C32FC-42B0-4353-8BF4-2E931D7D3039}" name="OPP_PTS_PAINT" dataDxfId="487"/>
    <tableColumn id="16" xr3:uid="{9E78A8DA-B7BE-4078-87E6-83ADBDC8800D}" name="GP_RANK" dataDxfId="486"/>
    <tableColumn id="17" xr3:uid="{355BD0C6-57AC-4E33-B1DD-7398B68FF4D5}" name="W_RANK" dataDxfId="485"/>
    <tableColumn id="18" xr3:uid="{866D2BD3-D032-4D43-96F1-F21CE5C8190A}" name="L_RANK" dataDxfId="484"/>
    <tableColumn id="19" xr3:uid="{15DED3EF-948E-4199-868F-DD18582BE52D}" name="W_PCT_RANK" dataDxfId="483"/>
    <tableColumn id="20" xr3:uid="{789BDDED-B6D6-44C0-BC46-CA99644E6FD4}" name="MIN_RANK" dataDxfId="482"/>
    <tableColumn id="21" xr3:uid="{1D0B2A78-7276-4F32-A3A1-DA06A962C217}" name="PTS_OFF_TOV_RANK" dataDxfId="481"/>
    <tableColumn id="22" xr3:uid="{F6C3F7EB-187D-448C-A109-165B8E07498A}" name="PTS_2ND_CHANCE_RANK" dataDxfId="480"/>
    <tableColumn id="23" xr3:uid="{55B0637B-9456-4CE8-95D4-932406C3B678}" name="PTS_FB_RANK" dataDxfId="479"/>
    <tableColumn id="24" xr3:uid="{37342720-BC77-4A48-A40D-2DA0868D9C09}" name="PTS_PAINT_RANK" dataDxfId="478"/>
    <tableColumn id="25" xr3:uid="{EF484476-32B0-4CAB-AE03-C8CF98CD936C}" name="OPP_PTS_OFF_TOV_RANK" dataDxfId="477"/>
    <tableColumn id="26" xr3:uid="{B8AD438B-3381-4A9A-AECB-F558A0F7DBA5}" name="OPP_PTS_2ND_CHANCE_RANK" dataDxfId="476"/>
    <tableColumn id="27" xr3:uid="{396023B3-5ED6-43DB-B9BD-A823A02AE329}" name="OPP_PTS_FB_RANK" dataDxfId="475"/>
    <tableColumn id="28" xr3:uid="{E0FA0899-3A14-47F8-95B3-6374CE34F334}" name="OPP_PTS_PAINT_RANK" dataDxfId="474"/>
    <tableColumn id="29" xr3:uid="{541689A5-55E1-444D-AA3E-CBA2C675697B}" name="CFID" dataDxfId="473"/>
    <tableColumn id="30" xr3:uid="{9ADC3193-FB51-441A-9E27-99F9092CB2CC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7374E8A-10F6-47AF-A2CA-0C709345309B}" name="TableOppBaseN" displayName="TableOppBaseN" ref="A1:BD31" totalsRowShown="0" headerRowDxfId="383">
  <autoFilter ref="A1:BD31" xr:uid="{FF8DEC11-BA29-4024-81DE-AE3135EC2B5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7C81C271-C8E0-4F5F-97ED-8CB5A9D7E2DA}" name="TEAM_ID" dataDxfId="439"/>
    <tableColumn id="2" xr3:uid="{F6B30F00-30B0-4674-BBCE-F36B954AFA56}" name="TEAM_NAME" dataDxfId="438"/>
    <tableColumn id="3" xr3:uid="{23294C3F-E449-45FA-A988-64A0032B7505}" name="GP" dataDxfId="437"/>
    <tableColumn id="4" xr3:uid="{94FD2053-D88D-4CF9-826B-EA9A86009331}" name="W" dataDxfId="436"/>
    <tableColumn id="5" xr3:uid="{92732B0D-51AE-4D23-BA4F-3EF0FBB49837}" name="L" dataDxfId="435"/>
    <tableColumn id="6" xr3:uid="{1F5B400A-0B46-44C2-88A7-D3B29F3DE32E}" name="W_PCT" dataDxfId="434"/>
    <tableColumn id="7" xr3:uid="{E271C78F-F5FE-47A9-8157-A46CC868E5D7}" name="MIN" dataDxfId="433"/>
    <tableColumn id="8" xr3:uid="{A0490377-305A-4977-8216-1A8888F7F6C3}" name="OPP_FGM" dataDxfId="432"/>
    <tableColumn id="9" xr3:uid="{7C2BA742-D3FE-418C-ADC3-AE3EF991D552}" name="OPP_FGA" dataDxfId="431"/>
    <tableColumn id="10" xr3:uid="{CF24B658-60C6-44BE-89C0-69C9B8E0836E}" name="OPP_FG_PCT" dataDxfId="430"/>
    <tableColumn id="11" xr3:uid="{60769F9B-0337-4973-8528-C3B935C7A80C}" name="OPP_FG3M" dataDxfId="429"/>
    <tableColumn id="12" xr3:uid="{DA50F8B9-EE76-4345-97D6-9D052A7576F5}" name="OPP_FG3A" dataDxfId="428"/>
    <tableColumn id="13" xr3:uid="{8BF16FF0-CC3C-48E0-9D29-3A868818869D}" name="OPP_FG3_PCT" dataDxfId="427"/>
    <tableColumn id="14" xr3:uid="{CF141929-8E99-4A51-B50B-3DB75B0348C1}" name="OPP_FTM" dataDxfId="426"/>
    <tableColumn id="15" xr3:uid="{A5B0A9E9-7802-483B-9FD4-7689ECF50147}" name="OPP_FTA" dataDxfId="425"/>
    <tableColumn id="16" xr3:uid="{C112C978-A41E-45A4-B004-BAFBED9393B4}" name="OPP_FT_PCT" dataDxfId="424"/>
    <tableColumn id="17" xr3:uid="{14B15C81-DCE7-4672-B263-BB5C0A1C680C}" name="OPP_OREB" dataDxfId="423"/>
    <tableColumn id="18" xr3:uid="{462FFA75-1562-4AE2-ABB7-1FE28FFCE532}" name="OPP_DREB" dataDxfId="422"/>
    <tableColumn id="19" xr3:uid="{35F6BE09-EBD3-414D-A270-26DAB4A337DF}" name="OPP_REB" dataDxfId="421"/>
    <tableColumn id="20" xr3:uid="{D5822D7E-9FC4-4188-B69B-F058D290F3F3}" name="OPP_AST" dataDxfId="420"/>
    <tableColumn id="21" xr3:uid="{A75FC980-4A5C-43C9-906A-BCFF9B0078F4}" name="OPP_TOV" dataDxfId="419"/>
    <tableColumn id="22" xr3:uid="{7F90C309-84B0-4FC2-AA18-CF99EDBDC011}" name="OPP_STL" dataDxfId="418"/>
    <tableColumn id="23" xr3:uid="{568DCBF6-9E47-4512-8537-774A1D637BAA}" name="OPP_BLK" dataDxfId="417"/>
    <tableColumn id="24" xr3:uid="{A4C1E73D-31BF-444F-806E-100A8CF122C5}" name="OPP_BLKA" dataDxfId="416"/>
    <tableColumn id="25" xr3:uid="{784313A1-5730-4934-B054-EC9341DD2017}" name="OPP_PF" dataDxfId="415"/>
    <tableColumn id="26" xr3:uid="{03018154-908B-4799-ADBB-E06822FA7818}" name="OPP_PFD" dataDxfId="414"/>
    <tableColumn id="27" xr3:uid="{065D0863-E288-4651-AD9D-B9A98B509133}" name="OPP_PTS" dataDxfId="413"/>
    <tableColumn id="28" xr3:uid="{7B409D37-4461-46FF-BE58-247D35D9AB44}" name="PLUS_MINUS" dataDxfId="412"/>
    <tableColumn id="29" xr3:uid="{0D74D5B8-05A0-41E2-8862-F0A5EB600EC8}" name="GP_RANK" dataDxfId="411"/>
    <tableColumn id="30" xr3:uid="{D9B95F9F-453B-4267-90A2-D4AD7551D0A4}" name="W_RANK" dataDxfId="410"/>
    <tableColumn id="31" xr3:uid="{0AAFB582-8D2D-4A8B-A818-A8A4CEE840B4}" name="L_RANK" dataDxfId="409"/>
    <tableColumn id="32" xr3:uid="{63783AD3-69AA-498D-A2C4-410D7B1FB998}" name="W_PCT_RANK" dataDxfId="408"/>
    <tableColumn id="33" xr3:uid="{7216E57D-378B-49A5-AD10-1C2093422A0E}" name="MIN_RANK" dataDxfId="407"/>
    <tableColumn id="34" xr3:uid="{AB481160-1BBB-406D-B4F9-C772DC677AA9}" name="OPP_FGM_RANK" dataDxfId="406"/>
    <tableColumn id="35" xr3:uid="{31A87857-DA1E-4C9D-A8B6-FF3E32DFBA52}" name="OPP_FGA_RANK" dataDxfId="405"/>
    <tableColumn id="36" xr3:uid="{D093F73F-BCF0-4915-BD83-6AC69942703B}" name="OPP_FG_PCT_RANK" dataDxfId="404"/>
    <tableColumn id="37" xr3:uid="{B8A940E0-5618-45D2-9B3C-19B1EA1854E6}" name="OPP_FG3M_RANK" dataDxfId="403"/>
    <tableColumn id="38" xr3:uid="{6818516B-1708-4FEA-9282-24C06F49E07A}" name="OPP_FG3A_RANK" dataDxfId="402"/>
    <tableColumn id="39" xr3:uid="{91D75F6B-8738-44CF-889F-6C37B437F1ED}" name="OPP_FG3_PCT_RANK" dataDxfId="401"/>
    <tableColumn id="40" xr3:uid="{04B02B97-5069-435A-B8FD-246D3201075A}" name="OPP_FTM_RANK" dataDxfId="400"/>
    <tableColumn id="41" xr3:uid="{890F0FA5-10BE-4C8E-A398-C69009161888}" name="OPP_FTA_RANK" dataDxfId="399"/>
    <tableColumn id="42" xr3:uid="{562FB4FE-5C26-4D68-826C-7DC426499991}" name="OPP_FT_PCT_RANK" dataDxfId="398"/>
    <tableColumn id="43" xr3:uid="{CA176EB7-A015-4C6E-A698-A6CA2AC4E07C}" name="OPP_OREB_RANK" dataDxfId="397"/>
    <tableColumn id="44" xr3:uid="{8D52ABF9-368A-44C1-8067-8BA0C2750EF0}" name="OPP_DREB_RANK" dataDxfId="396"/>
    <tableColumn id="45" xr3:uid="{5880DE43-D204-4B2B-8571-9C2D102EE357}" name="OPP_REB_RANK" dataDxfId="395"/>
    <tableColumn id="46" xr3:uid="{909EE563-C854-40C4-9594-3CC7334657D8}" name="OPP_AST_RANK" dataDxfId="394"/>
    <tableColumn id="47" xr3:uid="{DB0F7319-DF4A-485F-9975-A1759C8076F0}" name="OPP_TOV_RANK" dataDxfId="393"/>
    <tableColumn id="48" xr3:uid="{2D23543F-D705-4072-9253-D6803196575B}" name="OPP_STL_RANK" dataDxfId="392"/>
    <tableColumn id="49" xr3:uid="{F1895219-5E57-485C-84DF-3FF530E8C236}" name="OPP_BLK_RANK" dataDxfId="391"/>
    <tableColumn id="50" xr3:uid="{A9291A95-133F-4588-9665-0E957D314418}" name="OPP_BLKA_RANK" dataDxfId="390"/>
    <tableColumn id="51" xr3:uid="{41FF776F-C51B-4C66-A5A7-326C02F15F59}" name="OPP_PF_RANK" dataDxfId="389"/>
    <tableColumn id="52" xr3:uid="{AD07913F-038B-4722-8A41-DBAF970AE30F}" name="OPP_PFD_RANK" dataDxfId="388"/>
    <tableColumn id="53" xr3:uid="{7129081E-5F80-426E-A1B9-32532D5DD032}" name="OPP_PTS_RANK" dataDxfId="387"/>
    <tableColumn id="54" xr3:uid="{360F3916-1181-41C3-98AB-5BCD1E134E0F}" name="PLUS_MINUS_RANK" dataDxfId="386"/>
    <tableColumn id="55" xr3:uid="{E17F2C6A-2F41-47F8-810E-EE666B3127DF}" name="CFID" dataDxfId="385"/>
    <tableColumn id="56" xr3:uid="{CAF3CB50-7358-451D-9E3A-7FA4BFAD90FE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F168A57-5D0E-406E-A319-AE4932F00E2E}" name="TableClutchBaseN" displayName="TableClutchBaseN" ref="A1:BD31" totalsRowShown="0" headerRowDxfId="269">
  <autoFilter ref="A1:BD31" xr:uid="{9C0CB21E-68A1-42A1-8D62-A4903759122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63E5C5CF-745F-4122-B14D-C9EFF8330CB7}" name="TEAM_ID" dataDxfId="325"/>
    <tableColumn id="2" xr3:uid="{B26E541A-96BF-4B49-B1FF-2E96960DEFFD}" name="TEAM_NAME" dataDxfId="324"/>
    <tableColumn id="3" xr3:uid="{DDAA5628-06E6-4142-8140-08491CB7A4F3}" name="GP" dataDxfId="323"/>
    <tableColumn id="4" xr3:uid="{DD41002C-434F-41C6-BCDC-43C830A9B752}" name="W" dataDxfId="322"/>
    <tableColumn id="5" xr3:uid="{9289C0B4-0492-4A69-AFE8-A1E5D9B3B773}" name="L" dataDxfId="321"/>
    <tableColumn id="6" xr3:uid="{25A506E3-FD5F-43A8-A54C-4449464AB3CD}" name="W_PCT" dataDxfId="320"/>
    <tableColumn id="7" xr3:uid="{53EED331-F304-4DB7-AF5E-802BAEE3704F}" name="MIN" dataDxfId="319"/>
    <tableColumn id="8" xr3:uid="{D1239412-609A-431B-A330-BD82108689A5}" name="FGM" dataDxfId="318"/>
    <tableColumn id="9" xr3:uid="{72268EE7-3E01-4BCE-B699-017E0AE5C8A1}" name="FGA" dataDxfId="317"/>
    <tableColumn id="10" xr3:uid="{4ECF9132-B762-4703-8CA5-97451EFE2F78}" name="FG_PCT" dataDxfId="316"/>
    <tableColumn id="11" xr3:uid="{69E41167-AC28-4E96-9956-FF4189B1D3E9}" name="FG3M" dataDxfId="315"/>
    <tableColumn id="12" xr3:uid="{8BE328DC-59C1-40FD-B595-1E75A6825342}" name="FG3A" dataDxfId="314"/>
    <tableColumn id="13" xr3:uid="{A2197D04-49EF-4ED4-8167-09B1AE831C49}" name="FG3_PCT" dataDxfId="313"/>
    <tableColumn id="14" xr3:uid="{D23C8142-9495-43B5-8FF8-7A0B3923355D}" name="FTM" dataDxfId="312"/>
    <tableColumn id="15" xr3:uid="{D31F6902-8249-48E1-8BAF-F59449EBD456}" name="FTA" dataDxfId="311"/>
    <tableColumn id="16" xr3:uid="{3F1EB342-FAF7-4B30-9A18-D59FF63975EC}" name="FT_PCT" dataDxfId="310"/>
    <tableColumn id="17" xr3:uid="{F567AC05-7D7A-47E9-8913-A4B410337E8A}" name="OREB" dataDxfId="309"/>
    <tableColumn id="18" xr3:uid="{4F1B400A-E4DC-48FC-A3E4-1DE8ACFB0350}" name="DREB" dataDxfId="308"/>
    <tableColumn id="19" xr3:uid="{75290481-28A2-42BF-A3A5-078C0E3E3259}" name="REB" dataDxfId="307"/>
    <tableColumn id="20" xr3:uid="{168DDD1F-E18D-4F18-85E8-CC07D2609996}" name="AST" dataDxfId="306"/>
    <tableColumn id="21" xr3:uid="{7E7E21F6-48E8-496F-BE71-CFDB85FD9167}" name="TOV" dataDxfId="305"/>
    <tableColumn id="22" xr3:uid="{F90440F7-DC0F-414A-A273-EFB37EFBFE9F}" name="STL" dataDxfId="304"/>
    <tableColumn id="23" xr3:uid="{4C05A752-C511-4D89-93BD-DA4502024815}" name="BLK" dataDxfId="303"/>
    <tableColumn id="24" xr3:uid="{E6227236-9BB5-48F8-BF48-6019BED1407B}" name="BLKA" dataDxfId="302"/>
    <tableColumn id="25" xr3:uid="{0C67A3FC-AC13-4AAD-8CEF-E3491DF54BDF}" name="PF" dataDxfId="301"/>
    <tableColumn id="26" xr3:uid="{923F7462-DB87-4738-AE5A-D48573E477AD}" name="PFD" dataDxfId="300"/>
    <tableColumn id="27" xr3:uid="{4F73F93A-F32E-434E-8225-3CED451F4D73}" name="PTS" dataDxfId="299"/>
    <tableColumn id="28" xr3:uid="{32B24B83-05A8-46E0-AF8E-F1207303FF47}" name="PLUS_MINUS" dataDxfId="298"/>
    <tableColumn id="29" xr3:uid="{E63CF9FD-1623-4486-85E5-12F57327030B}" name="GP_RANK" dataDxfId="297"/>
    <tableColumn id="30" xr3:uid="{35697875-837F-417E-A7D8-5FC269868E56}" name="W_RANK" dataDxfId="296"/>
    <tableColumn id="31" xr3:uid="{C05E82DB-9AAF-4666-8C13-E12907EEF201}" name="L_RANK" dataDxfId="295"/>
    <tableColumn id="32" xr3:uid="{1289D20B-7856-42C5-98F1-153B5621D4CC}" name="W_PCT_RANK" dataDxfId="294"/>
    <tableColumn id="33" xr3:uid="{CFA4F122-E67E-4FBE-A44B-7BAA0936A683}" name="MIN_RANK" dataDxfId="293"/>
    <tableColumn id="34" xr3:uid="{F078EA4A-8889-4011-AC6D-265ED39E49D6}" name="FGM_RANK" dataDxfId="292"/>
    <tableColumn id="35" xr3:uid="{3BB90778-FFAD-4F43-B4F9-15AFFB546283}" name="FGA_RANK" dataDxfId="291"/>
    <tableColumn id="36" xr3:uid="{4EEEF350-DDA6-4B35-8ACD-DF3F23DF5CF1}" name="FG_PCT_RANK" dataDxfId="290"/>
    <tableColumn id="37" xr3:uid="{509865C5-C533-4F29-BE0E-0BED07557240}" name="FG3M_RANK" dataDxfId="289"/>
    <tableColumn id="38" xr3:uid="{68B73A10-6F9D-46A3-90D0-B33305D4CA1D}" name="FG3A_RANK" dataDxfId="288"/>
    <tableColumn id="39" xr3:uid="{2A7E7AF0-D649-4802-A359-0BA95B1E23BB}" name="FG3_PCT_RANK" dataDxfId="287"/>
    <tableColumn id="40" xr3:uid="{45FD2D67-A8E6-4559-B699-0ACAB819D006}" name="FTM_RANK" dataDxfId="286"/>
    <tableColumn id="41" xr3:uid="{B88C924E-334D-4780-A81D-411235605BEA}" name="FTA_RANK" dataDxfId="285"/>
    <tableColumn id="42" xr3:uid="{8213DAA5-6767-4718-8B71-603A61327725}" name="FT_PCT_RANK" dataDxfId="284"/>
    <tableColumn id="43" xr3:uid="{FA28C010-63EE-4D72-AD6C-C8549E432991}" name="OREB_RANK" dataDxfId="283"/>
    <tableColumn id="44" xr3:uid="{517C2AEA-950B-4C86-8086-D277DF5A4B00}" name="DREB_RANK" dataDxfId="282"/>
    <tableColumn id="45" xr3:uid="{D026EBC5-DEE8-4C6B-BC6B-DC009C0A687F}" name="REB_RANK" dataDxfId="281"/>
    <tableColumn id="46" xr3:uid="{D1C0CBB5-4D79-48D0-B2D7-5CB66A108D13}" name="AST_RANK" dataDxfId="280"/>
    <tableColumn id="47" xr3:uid="{62C92941-971A-408E-996E-1D7C6D06152F}" name="TOV_RANK" dataDxfId="279"/>
    <tableColumn id="48" xr3:uid="{61049524-E286-4C92-BB07-0176E95C0161}" name="STL_RANK" dataDxfId="278"/>
    <tableColumn id="49" xr3:uid="{A40C6389-5574-4DB5-A19B-144594627E84}" name="BLK_RANK" dataDxfId="277"/>
    <tableColumn id="50" xr3:uid="{9EA6B2E5-2B7F-4AB8-BD78-84414E856CE5}" name="BLKA_RANK" dataDxfId="276"/>
    <tableColumn id="51" xr3:uid="{066EC0F0-6E17-423A-91AB-A48948745169}" name="PF_RANK" dataDxfId="275"/>
    <tableColumn id="52" xr3:uid="{166AB235-1BD2-4637-BE33-18776024A0F1}" name="PFD_RANK" dataDxfId="274"/>
    <tableColumn id="53" xr3:uid="{99E89A61-23EB-43E4-A012-7C157C27D60B}" name="PTS_RANK" dataDxfId="273"/>
    <tableColumn id="54" xr3:uid="{A4C4FB32-2E4E-4F1F-8155-0C246EA44B4F}" name="PLUS_MINUS_RANK" dataDxfId="272"/>
    <tableColumn id="55" xr3:uid="{E382EAB3-13F8-4A68-9DB9-B8CEDDBA1C26}" name="CFID" dataDxfId="271"/>
    <tableColumn id="56" xr3:uid="{F0DECEF7-15F3-406E-BC4F-8B5B05EB3C28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3EF1586-D1FA-459C-A7C3-F2A639792333}" name="TableClutchOpponentN" displayName="TableClutchOpponentN" ref="A1:BD31" totalsRowShown="0" headerRowDxfId="155">
  <autoFilter ref="A1:BD31" xr:uid="{7E2378E1-73E4-4A12-B457-401A4AE04AE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3BD8CA52-8A99-474B-ADC6-05EBB41368A5}" name="TEAM_ID" dataDxfId="211"/>
    <tableColumn id="2" xr3:uid="{781DDB7C-8B0E-4666-960A-82DB46D1BD3B}" name="TEAM_NAME" dataDxfId="210"/>
    <tableColumn id="3" xr3:uid="{7E3832A9-364C-45D4-AED2-1B2B999668B0}" name="GP" dataDxfId="209"/>
    <tableColumn id="4" xr3:uid="{C97F04B9-5248-46C7-A62F-735BFA54594E}" name="W" dataDxfId="208"/>
    <tableColumn id="5" xr3:uid="{C9BC3A00-CFAF-4138-9BA2-569B86A4ED7B}" name="L" dataDxfId="207"/>
    <tableColumn id="6" xr3:uid="{BD812691-6003-4DCF-B947-7A86A1B0896C}" name="W_PCT" dataDxfId="206"/>
    <tableColumn id="7" xr3:uid="{3C04485A-43D2-4F14-9B0D-6B601789211A}" name="MIN" dataDxfId="205"/>
    <tableColumn id="8" xr3:uid="{FBA50A0C-698B-4D42-B996-0F61383AF9D5}" name="OPP_FGM" dataDxfId="204"/>
    <tableColumn id="9" xr3:uid="{7490A7D0-C881-4D42-AE04-BFA9DD06FF6D}" name="OPP_FGA" dataDxfId="203"/>
    <tableColumn id="10" xr3:uid="{CC792FA9-C87A-4934-8101-BF4E14FD6D66}" name="OPP_FG_PCT" dataDxfId="202"/>
    <tableColumn id="11" xr3:uid="{4EAD7A2E-6267-46E8-BE4E-49FFB8876462}" name="OPP_FG3M" dataDxfId="201"/>
    <tableColumn id="12" xr3:uid="{A05184AE-8648-432D-B360-348160588FAE}" name="OPP_FG3A" dataDxfId="200"/>
    <tableColumn id="13" xr3:uid="{43C42093-16F7-4F5B-8993-E316805D8CC8}" name="OPP_FG3_PCT" dataDxfId="199"/>
    <tableColumn id="14" xr3:uid="{B8A98D82-6AB9-4468-8D6C-9660D7B70390}" name="OPP_FTM" dataDxfId="198"/>
    <tableColumn id="15" xr3:uid="{61176041-C990-4DA8-A263-CA3E094A3DA1}" name="OPP_FTA" dataDxfId="197"/>
    <tableColumn id="16" xr3:uid="{82B42430-96D0-41CC-900F-B0D5B2DE1DBA}" name="OPP_FT_PCT" dataDxfId="196"/>
    <tableColumn id="17" xr3:uid="{6C94A328-2BC7-484B-9C80-E5B8FBEE8C00}" name="OPP_OREB" dataDxfId="195"/>
    <tableColumn id="18" xr3:uid="{38786BB4-2F25-4089-AEF9-BEB3D93F7EDD}" name="OPP_DREB" dataDxfId="194"/>
    <tableColumn id="19" xr3:uid="{6C777141-9959-414E-86AE-A85D84F28B59}" name="OPP_REB" dataDxfId="193"/>
    <tableColumn id="20" xr3:uid="{AE057A1A-0FE5-4CA2-8DEE-BE84FFA95D68}" name="OPP_AST" dataDxfId="192"/>
    <tableColumn id="21" xr3:uid="{65E02E3F-844D-4C73-8E71-6C790F5B1AE9}" name="OPP_TOV" dataDxfId="191"/>
    <tableColumn id="22" xr3:uid="{C71F1FAD-D013-46BC-9BF4-1EDE34FE70FC}" name="OPP_STL" dataDxfId="190"/>
    <tableColumn id="23" xr3:uid="{60CAA876-9717-4DCE-8E2E-C7F841DB537F}" name="OPP_BLK" dataDxfId="189"/>
    <tableColumn id="24" xr3:uid="{2A9A5F64-D6DF-4672-B790-F6DD6AD36420}" name="OPP_BLKA" dataDxfId="188"/>
    <tableColumn id="25" xr3:uid="{AE301379-54ED-4056-B373-B9D218EFDC81}" name="OPP_PF" dataDxfId="187"/>
    <tableColumn id="26" xr3:uid="{99ADFC09-38D8-411E-BAAD-C30E34C7BD87}" name="OPP_PFD" dataDxfId="186"/>
    <tableColumn id="27" xr3:uid="{5D7E86E9-3FDC-4167-B360-19BF30764EEB}" name="OPP_PTS" dataDxfId="185"/>
    <tableColumn id="28" xr3:uid="{99A423B1-14E9-4907-807F-8113506749AD}" name="PLUS_MINUS" dataDxfId="184"/>
    <tableColumn id="29" xr3:uid="{73AD407B-8053-479D-A993-CF8E76AF7021}" name="GP_RANK" dataDxfId="183"/>
    <tableColumn id="30" xr3:uid="{02264B19-17D6-40AD-A819-9143B510372F}" name="W_RANK" dataDxfId="182"/>
    <tableColumn id="31" xr3:uid="{6A64A513-45EE-4D4E-BB65-182B53483AEA}" name="L_RANK" dataDxfId="181"/>
    <tableColumn id="32" xr3:uid="{1672857E-7D01-4886-9944-184CB678FCC0}" name="W_PCT_RANK" dataDxfId="180"/>
    <tableColumn id="33" xr3:uid="{62B9069B-C0E6-4670-B7ED-26CAB4E6F692}" name="MIN_RANK" dataDxfId="179"/>
    <tableColumn id="34" xr3:uid="{9BE79C5A-D917-47BF-939B-102D6C88390F}" name="OPP_FGM_RANK" dataDxfId="178"/>
    <tableColumn id="35" xr3:uid="{F0A99C24-6045-46FD-9DBF-05D33669245B}" name="OPP_FGA_RANK" dataDxfId="177"/>
    <tableColumn id="36" xr3:uid="{C8C019C0-CF80-438F-AD81-3252A8681158}" name="OPP_FG_PCT_RANK" dataDxfId="176"/>
    <tableColumn id="37" xr3:uid="{B55225F2-31E8-4EC5-9D85-C5754411D83A}" name="OPP_FG3M_RANK" dataDxfId="175"/>
    <tableColumn id="38" xr3:uid="{11024B05-5535-446F-AA3E-EA9370A5FED8}" name="OPP_FG3A_RANK" dataDxfId="174"/>
    <tableColumn id="39" xr3:uid="{AF76B787-C00A-414E-8872-AFBF6F4EEA03}" name="OPP_FG3_PCT_RANK" dataDxfId="173"/>
    <tableColumn id="40" xr3:uid="{B9F1D011-A551-4B34-887E-8DD45C1E3616}" name="OPP_FTM_RANK" dataDxfId="172"/>
    <tableColumn id="41" xr3:uid="{F38372D9-D10B-4761-97C1-63AA2115E9FA}" name="OPP_FTA_RANK" dataDxfId="171"/>
    <tableColumn id="42" xr3:uid="{F6BF7700-C183-4C70-B0D6-B7399D12F171}" name="OPP_FT_PCT_RANK" dataDxfId="170"/>
    <tableColumn id="43" xr3:uid="{B5AA26F2-81B7-437C-A065-F84C10372F25}" name="OPP_OREB_RANK" dataDxfId="169"/>
    <tableColumn id="44" xr3:uid="{7AEE033D-6A55-44C3-A2C6-E0D0E4F362C1}" name="OPP_DREB_RANK" dataDxfId="168"/>
    <tableColumn id="45" xr3:uid="{F4D42BD0-0C0D-41B6-A2CE-B020A28902D0}" name="OPP_REB_RANK" dataDxfId="167"/>
    <tableColumn id="46" xr3:uid="{D2A177C9-0688-44A7-B973-9A0ABE4EA621}" name="OPP_AST_RANK" dataDxfId="166"/>
    <tableColumn id="47" xr3:uid="{A9D778E6-5F97-48D7-82D3-37CDFED7EED3}" name="OPP_TOV_RANK" dataDxfId="165"/>
    <tableColumn id="48" xr3:uid="{2364DD2D-8F2D-4468-AFE0-099A2DA3FE8A}" name="OPP_STL_RANK" dataDxfId="164"/>
    <tableColumn id="49" xr3:uid="{D4AC6608-E5C5-4E33-AC8B-FFC1204BFD34}" name="OPP_BLK_RANK" dataDxfId="163"/>
    <tableColumn id="50" xr3:uid="{0D96E5FD-5064-4D3E-A05D-E72B8E2B3C16}" name="OPP_BLKA_RANK" dataDxfId="162"/>
    <tableColumn id="51" xr3:uid="{17CE360D-9936-4A0C-B9B7-9137CF9237CB}" name="OPP_PF_RANK" dataDxfId="161"/>
    <tableColumn id="52" xr3:uid="{02C6AC83-D5A8-4742-958F-C164138E9043}" name="OPP_PFD_RANK" dataDxfId="160"/>
    <tableColumn id="53" xr3:uid="{DF3244F9-064F-42E7-ACFD-6790243CEA09}" name="OPP_PTS_RANK" dataDxfId="159"/>
    <tableColumn id="54" xr3:uid="{FF8146A3-1712-43F1-8629-5665372E3744}" name="PLUS_MINUS_RANK" dataDxfId="158"/>
    <tableColumn id="55" xr3:uid="{22181C9E-6C48-49DA-8C43-B944CB1BCB7B}" name="CFID" dataDxfId="157"/>
    <tableColumn id="56" xr3:uid="{872D08A0-6BEA-4C06-8288-D8155B155B0B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BA35CA3-7F8F-46B3-A846-DECD4544ACC0}" name="TableClutchAdvancedN" displayName="TableClutchAdvancedN" ref="A1:AV31" totalsRowShown="0" headerRowDxfId="49">
  <autoFilter ref="A1:AV31" xr:uid="{D25D7AD6-1B55-4E6B-AE54-E3D78DB77C9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2F8C4681-14B2-4DDA-8AC0-590AED84B29F}" name="TEAM_ID" dataDxfId="97"/>
    <tableColumn id="2" xr3:uid="{D8D8F0E4-0C7D-4936-BF5F-3D02576DD35F}" name="TEAM_NAME" dataDxfId="96"/>
    <tableColumn id="3" xr3:uid="{8B675573-8E64-4CDE-A10B-FC91E922DCE1}" name="GP" dataDxfId="95"/>
    <tableColumn id="4" xr3:uid="{F6AB56F0-B678-47D0-9C2D-BE198093C636}" name="W" dataDxfId="94"/>
    <tableColumn id="5" xr3:uid="{C006E2C2-4643-48F1-B111-B2F03738F754}" name="L" dataDxfId="93"/>
    <tableColumn id="6" xr3:uid="{5486D436-9E70-4B2C-A8AE-0F7145DD6DC3}" name="W_PCT" dataDxfId="92"/>
    <tableColumn id="7" xr3:uid="{A2677E68-6619-4DF3-84CD-380390DF0B24}" name="MIN" dataDxfId="91"/>
    <tableColumn id="8" xr3:uid="{E7A544F5-817C-448B-A7E9-77B3966C4163}" name="E_OFF_RATING" dataDxfId="90"/>
    <tableColumn id="9" xr3:uid="{740979EB-F63B-47EF-A401-CE35B01F667E}" name="OFF_RATING" dataDxfId="89"/>
    <tableColumn id="10" xr3:uid="{ACB0241D-1781-455C-A26F-ECA5D8B452E6}" name="E_DEF_RATING" dataDxfId="88"/>
    <tableColumn id="11" xr3:uid="{8FFA64F7-FD48-40CE-B24F-570BC513B09D}" name="DEF_RATING" dataDxfId="87"/>
    <tableColumn id="12" xr3:uid="{F8538120-DAAE-4845-A5AB-A0D3FB8EA8B6}" name="E_NET_RATING" dataDxfId="86"/>
    <tableColumn id="13" xr3:uid="{1B1E6744-3A82-44ED-91C0-1F03382BD558}" name="NET_RATING" dataDxfId="85"/>
    <tableColumn id="14" xr3:uid="{56FA5630-09E0-4BD0-8405-F0BD44E7D360}" name="AST_PCT" dataDxfId="84"/>
    <tableColumn id="15" xr3:uid="{E46ECEB2-C3FD-4164-8466-ADF9DC84A01C}" name="AST_TO" dataDxfId="83"/>
    <tableColumn id="16" xr3:uid="{A6AD0FE6-6049-41D6-A304-CB3EA3B9AE67}" name="AST_RATIO" dataDxfId="82"/>
    <tableColumn id="17" xr3:uid="{1E636625-1739-4D0F-AB91-470E90520E0A}" name="OREB_PCT" dataDxfId="81"/>
    <tableColumn id="18" xr3:uid="{8D705FB8-8547-45DD-8B52-EBC655D004D2}" name="DREB_PCT" dataDxfId="80"/>
    <tableColumn id="19" xr3:uid="{435F98F0-0906-4857-ADB4-FD2B8612758E}" name="REB_PCT" dataDxfId="79"/>
    <tableColumn id="20" xr3:uid="{92DBEBBE-CA4D-4EA0-B0AF-680FC422EB65}" name="TM_TOV_PCT" dataDxfId="78"/>
    <tableColumn id="21" xr3:uid="{1400BB7F-84A7-4AD8-BDE7-391DF783C647}" name="EFG_PCT" dataDxfId="77"/>
    <tableColumn id="22" xr3:uid="{71F15B51-29F0-45A4-A705-60277668BF59}" name="TS_PCT" dataDxfId="76"/>
    <tableColumn id="23" xr3:uid="{F1198633-0E67-44EA-B656-BE2637118714}" name="E_PACE" dataDxfId="75"/>
    <tableColumn id="24" xr3:uid="{F8B4435D-A459-41F9-9BAA-ADFF1EA69920}" name="PACE" dataDxfId="74"/>
    <tableColumn id="25" xr3:uid="{778C61F3-8CC5-4F07-ACFE-99DEA4BC040E}" name="PACE_PER40" dataDxfId="73"/>
    <tableColumn id="26" xr3:uid="{E8AE900B-CA21-4199-A621-7D180C2FC574}" name="POSS" dataDxfId="72"/>
    <tableColumn id="27" xr3:uid="{E9BFD58D-C9D2-48C5-BED6-6F9FF07F6F83}" name="PIE" dataDxfId="71"/>
    <tableColumn id="28" xr3:uid="{CBDA5C44-D2D0-46FF-84CF-947C61644AA8}" name="GP_RANK" dataDxfId="70"/>
    <tableColumn id="29" xr3:uid="{8A835B9D-A7B0-448E-AD5A-73175A2572D7}" name="W_RANK" dataDxfId="69"/>
    <tableColumn id="30" xr3:uid="{AD88D6AE-7DF4-4656-A20D-405FE26236F1}" name="L_RANK" dataDxfId="68"/>
    <tableColumn id="31" xr3:uid="{304C24D9-D61A-4C90-8785-607378050EEF}" name="W_PCT_RANK" dataDxfId="67"/>
    <tableColumn id="32" xr3:uid="{F82AD0B2-B0CC-45D1-9A4E-53743696FB82}" name="MIN_RANK" dataDxfId="66"/>
    <tableColumn id="33" xr3:uid="{BDB68AD6-E45B-404C-BE11-F06264A150B4}" name="OFF_RATING_RANK" dataDxfId="65"/>
    <tableColumn id="34" xr3:uid="{A8C2DB4B-5306-4642-A71B-1644E70FD9B9}" name="DEF_RATING_RANK" dataDxfId="64"/>
    <tableColumn id="35" xr3:uid="{40E0EC89-8365-4B6C-9D80-3FC31815B8D1}" name="NET_RATING_RANK" dataDxfId="63"/>
    <tableColumn id="36" xr3:uid="{80587233-4372-4489-9A24-E06340DCF2FB}" name="AST_PCT_RANK" dataDxfId="62"/>
    <tableColumn id="37" xr3:uid="{C60A72DF-0DEA-46DE-9E5F-3131DFB47571}" name="AST_TO_RANK" dataDxfId="61"/>
    <tableColumn id="38" xr3:uid="{D278351F-72F7-49A5-93CF-A45E72DBB549}" name="AST_RATIO_RANK" dataDxfId="60"/>
    <tableColumn id="39" xr3:uid="{B4A6322B-9AAC-44EE-BE02-923A50151E64}" name="OREB_PCT_RANK" dataDxfId="59"/>
    <tableColumn id="40" xr3:uid="{7B7CE1CF-54E1-4F14-8B3C-FA52210B4CFF}" name="DREB_PCT_RANK" dataDxfId="58"/>
    <tableColumn id="41" xr3:uid="{443D201D-7E5A-4A4C-82BD-C35E9B70022E}" name="REB_PCT_RANK" dataDxfId="57"/>
    <tableColumn id="42" xr3:uid="{7093D9AC-85B4-4BBF-A299-C4202D903096}" name="TM_TOV_PCT_RANK" dataDxfId="56"/>
    <tableColumn id="43" xr3:uid="{AE9DFCD8-336C-4646-AE60-124241AF9816}" name="EFG_PCT_RANK" dataDxfId="55"/>
    <tableColumn id="44" xr3:uid="{BF0362CA-552B-4AFA-8CD3-0F9715193629}" name="TS_PCT_RANK" dataDxfId="54"/>
    <tableColumn id="45" xr3:uid="{D101B3F7-3A86-410D-923F-015EF163C031}" name="PACE_RANK" dataDxfId="53"/>
    <tableColumn id="46" xr3:uid="{23903753-7EE3-40E4-AE37-967DE938F643}" name="PIE_RANK" dataDxfId="52"/>
    <tableColumn id="47" xr3:uid="{5949415E-EDEE-4693-B581-346B0C8AD35E}" name="CFID" dataDxfId="51"/>
    <tableColumn id="48" xr3:uid="{0BDFC6BA-6253-4123-ACBD-BA3A254A0D00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AC547A0-8A91-4947-A6AB-8691F7DABC53}" name="TableStandingsN1" displayName="TableStandingsN1" ref="A1:CC31" totalsRowShown="0" headerRowDxfId="910">
  <autoFilter ref="A1:CC31" xr:uid="{F6867850-BF3F-4AC9-A81E-0D2C3919DE4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08ECF6DC-12B7-44AA-BA48-5B3F98A16AB9}" name="LeagueID" dataDxfId="991"/>
    <tableColumn id="2" xr3:uid="{A36C9524-33D1-4751-A42E-EFEA8E6075EF}" name="SeasonID" dataDxfId="990"/>
    <tableColumn id="3" xr3:uid="{AFC4F4A1-391D-4F61-8F67-21619F7D622D}" name="TeamID" dataDxfId="989"/>
    <tableColumn id="4" xr3:uid="{72443295-6EF8-459A-B43B-083E514D8388}" name="TeamCity" dataDxfId="988"/>
    <tableColumn id="5" xr3:uid="{EA9E6CBC-3389-4E21-81CF-83017C7B053A}" name="TeamName" dataDxfId="987"/>
    <tableColumn id="6" xr3:uid="{0529B952-DD38-42AC-A32C-CF3EBBC1DFA2}" name="Conference" dataDxfId="986"/>
    <tableColumn id="7" xr3:uid="{CDC371A3-0FA5-4561-83B7-534AEF1E3470}" name="ConferenceRecord" dataDxfId="985"/>
    <tableColumn id="8" xr3:uid="{2A34AC3F-A152-44B1-80CB-E447A6CDD1F7}" name="PlayoffRank" dataDxfId="984"/>
    <tableColumn id="9" xr3:uid="{2ABAC146-7AD9-42FF-A662-73E7B5BC2C56}" name="ClinchIndicator" dataDxfId="983"/>
    <tableColumn id="10" xr3:uid="{EA9998F3-1524-4655-94C8-5C2FDA62A458}" name="Division" dataDxfId="982"/>
    <tableColumn id="11" xr3:uid="{451A90AA-A9BF-4B19-8FA9-EE70FC1F702C}" name="DivisionRecord" dataDxfId="981"/>
    <tableColumn id="12" xr3:uid="{D3F8EC2B-7979-42C0-BC4A-88A3E6625D31}" name="DivisionRank" dataDxfId="980"/>
    <tableColumn id="13" xr3:uid="{50A3248F-9F02-4035-847F-803341E2BCCA}" name="WINS" dataDxfId="979"/>
    <tableColumn id="14" xr3:uid="{F8F63E2F-07EA-4403-A2EB-CC902700BDDE}" name="LOSSES" dataDxfId="978"/>
    <tableColumn id="15" xr3:uid="{02150F71-3A48-40D3-A60B-B6DCE68CFAC5}" name="WinPCT" dataDxfId="977"/>
    <tableColumn id="16" xr3:uid="{CE0CCDBC-0816-4F33-9133-C44503CC111F}" name="LeagueRank" dataDxfId="976"/>
    <tableColumn id="17" xr3:uid="{FEAE32F1-F966-4627-8230-3179A41D6E52}" name="Record" dataDxfId="975"/>
    <tableColumn id="18" xr3:uid="{8AACA446-6D4B-4845-832F-CEE2A4CBAC40}" name="HOME" dataDxfId="974"/>
    <tableColumn id="19" xr3:uid="{A59DED43-5E7A-4E34-885B-FC0E325D73FC}" name="ROAD" dataDxfId="973"/>
    <tableColumn id="20" xr3:uid="{FB3A5E30-A6F3-4D8D-B796-2771CAD038CA}" name="L10" dataDxfId="972"/>
    <tableColumn id="21" xr3:uid="{50280E51-020E-401F-B36A-360ADE69D0A3}" name="Last10Home" dataDxfId="971"/>
    <tableColumn id="22" xr3:uid="{75F16AA5-ED49-4149-A920-5D4644A2751D}" name="Last10Road" dataDxfId="970"/>
    <tableColumn id="23" xr3:uid="{EEEBF1F4-4D5B-4073-A324-C3BE60874431}" name="OT" dataDxfId="969"/>
    <tableColumn id="24" xr3:uid="{91EC875A-5F32-45FB-B65F-1D87F878E1A6}" name="ThreePTSOrLess" dataDxfId="968"/>
    <tableColumn id="25" xr3:uid="{E8CD0299-F7F3-4465-8E6A-3F87C6285176}" name="TenPTSOrMore" dataDxfId="967"/>
    <tableColumn id="26" xr3:uid="{0BADAD9F-1DEE-4D2C-8D70-36E20E77F475}" name="LongHomeStreak" dataDxfId="966"/>
    <tableColumn id="27" xr3:uid="{EA41095C-EE57-46A7-B611-7DC6E95C9221}" name="strLongHomeStreak" dataDxfId="965"/>
    <tableColumn id="28" xr3:uid="{3CE4A9BD-D7C4-4468-A57B-E7B7799DB8A6}" name="LongRoadStreak" dataDxfId="964"/>
    <tableColumn id="29" xr3:uid="{31476C66-3136-4FE0-91FE-E55FE5B7EC9B}" name="strLongRoadStreak" dataDxfId="963"/>
    <tableColumn id="30" xr3:uid="{E04A184A-B834-4EAC-ABC3-6E54C4A0861B}" name="LongWinStreak" dataDxfId="962"/>
    <tableColumn id="31" xr3:uid="{3172E027-59CC-4C22-B0ED-634237DF9D56}" name="LongLossStreak" dataDxfId="961"/>
    <tableColumn id="32" xr3:uid="{3D47CBAC-5E45-4D11-BF95-CF5873FE5B09}" name="CurrentHomeStreak" dataDxfId="960"/>
    <tableColumn id="33" xr3:uid="{28485861-B9CF-4B10-85AD-69C9E839FEAC}" name="strCurrentHomeStreak" dataDxfId="959"/>
    <tableColumn id="34" xr3:uid="{AA60E929-D5D2-4FAA-9A86-E82ADF700A9F}" name="CurrentRoadStreak" dataDxfId="958"/>
    <tableColumn id="35" xr3:uid="{4D5A3C8B-9786-421D-9616-986196BB3ECE}" name="strCurrentRoadStreak" dataDxfId="957"/>
    <tableColumn id="36" xr3:uid="{E806E95D-912C-4EFE-958C-3FE8D23F273A}" name="CurrentStreak" dataDxfId="956"/>
    <tableColumn id="37" xr3:uid="{D69DF986-CD77-47BD-BBDE-6801EAB6ACC0}" name="strCurrentStreak" dataDxfId="955"/>
    <tableColumn id="38" xr3:uid="{DA632B34-095D-484D-AE8C-720F9630ECA6}" name="ConferenceGamesBack" dataDxfId="954"/>
    <tableColumn id="39" xr3:uid="{4331CCE7-01B7-4D60-BB2B-5A25BD3FCFA8}" name="DivisionGamesBack" dataDxfId="953"/>
    <tableColumn id="40" xr3:uid="{F3359C20-4362-4A1E-AA18-BCEB802A1381}" name="ClinchedConferenceTitle" dataDxfId="952"/>
    <tableColumn id="41" xr3:uid="{9B101A7C-F9AA-4C92-97FE-5CCA838480F3}" name="ClinchedDivisionTitle" dataDxfId="951"/>
    <tableColumn id="42" xr3:uid="{55800C39-A3E4-4E2F-B516-9D6226BB455F}" name="ClinchedPlayoffBirth" dataDxfId="950"/>
    <tableColumn id="43" xr3:uid="{CE31A21F-D394-4DF6-B9B2-3994693027C9}" name="EliminatedConference" dataDxfId="949"/>
    <tableColumn id="44" xr3:uid="{566E3466-8720-45AB-B74E-E460CE1A9CA2}" name="EliminatedDivision" dataDxfId="948"/>
    <tableColumn id="45" xr3:uid="{AC9584C3-1A61-4C4C-88B1-82FD706E43CE}" name="AheadAtHalf" dataDxfId="947"/>
    <tableColumn id="46" xr3:uid="{96697802-8B8C-4BF5-82BD-14FC7EFCDBD5}" name="BehindAtHalf" dataDxfId="946"/>
    <tableColumn id="47" xr3:uid="{40452D38-1D75-4E1F-BFB0-84E8367A0443}" name="TiedAtHalf" dataDxfId="945"/>
    <tableColumn id="48" xr3:uid="{B33589A6-A877-4651-8E02-D51BBE78660B}" name="AheadAtThird" dataDxfId="944"/>
    <tableColumn id="49" xr3:uid="{8104A453-7B5D-426F-9362-542972AAD7D5}" name="BehindAtThird" dataDxfId="943"/>
    <tableColumn id="50" xr3:uid="{E734E429-E483-4F0D-9E8C-FAD263EAB5BD}" name="TiedAtThird" dataDxfId="942"/>
    <tableColumn id="51" xr3:uid="{ADB7D32E-A952-4C0A-840E-B80707E4A0E9}" name="Score100PTS" dataDxfId="941"/>
    <tableColumn id="52" xr3:uid="{8AEC1477-6344-44F0-93D5-0DAAB632BAFA}" name="OppScore100PTS" dataDxfId="940"/>
    <tableColumn id="53" xr3:uid="{A3DBAB1A-C69C-465F-9E47-0E94B023C3E5}" name="OppOver500" dataDxfId="939"/>
    <tableColumn id="54" xr3:uid="{B61EE49A-DE31-4EE5-866F-83EE2C8F5CBA}" name="LeadInFGPCT" dataDxfId="938"/>
    <tableColumn id="55" xr3:uid="{1AE8C22C-AEF8-4488-A9A8-CA5FF38025DA}" name="LeadInReb" dataDxfId="937"/>
    <tableColumn id="56" xr3:uid="{C1E663E1-5542-41F6-B26A-A2782AE02D78}" name="FewerTurnovers" dataDxfId="936"/>
    <tableColumn id="57" xr3:uid="{8387F70B-A32B-465B-8A9C-20469A269C94}" name="PointsPG" dataDxfId="935"/>
    <tableColumn id="58" xr3:uid="{CB316AAF-FDD5-443B-A75F-CDB15319895C}" name="OppPointsPG" dataDxfId="934"/>
    <tableColumn id="59" xr3:uid="{38CF9F2D-086D-4D0D-BE10-2A3B295A9097}" name="DiffPointsPG" dataDxfId="933"/>
    <tableColumn id="60" xr3:uid="{D0C49797-1DC4-49D5-AFA9-8DF646E54FBA}" name="vsEast" dataDxfId="932"/>
    <tableColumn id="61" xr3:uid="{AE090DBF-3E16-49E2-A16D-3D325021D7E6}" name="vsAtlantic" dataDxfId="931"/>
    <tableColumn id="62" xr3:uid="{48868EBE-7D62-4B0F-9C2A-E40C99FF3DD4}" name="vsCentral" dataDxfId="930"/>
    <tableColumn id="63" xr3:uid="{D7720CD4-31F0-45F5-ACE9-721820F8CF27}" name="vsSoutheast" dataDxfId="929"/>
    <tableColumn id="64" xr3:uid="{0BC8DF82-52A6-4358-A427-976D62982111}" name="vsWest" dataDxfId="928"/>
    <tableColumn id="65" xr3:uid="{6D293649-A0E6-43AC-A222-5B134E0E93FA}" name="vsNorthwest" dataDxfId="927"/>
    <tableColumn id="66" xr3:uid="{BBA59CAB-B3CF-4363-94D4-462085225938}" name="vsPacific" dataDxfId="926"/>
    <tableColumn id="67" xr3:uid="{32EED1B8-2981-431D-938C-240C9D92D857}" name="vsSouthwest" dataDxfId="925"/>
    <tableColumn id="68" xr3:uid="{DDEC0F1F-93A0-4191-8058-5C5FE9A35CA6}" name="Jan" dataDxfId="924"/>
    <tableColumn id="69" xr3:uid="{E618D176-E700-4930-9EF0-D0D7A4BFD32C}" name="Feb" dataDxfId="923"/>
    <tableColumn id="70" xr3:uid="{7AB130E1-377C-433B-AB94-33E7245EE89C}" name="Mar" dataDxfId="922"/>
    <tableColumn id="71" xr3:uid="{5369EF22-7639-41E4-B662-904D9B1BB30E}" name="Apr" dataDxfId="921"/>
    <tableColumn id="72" xr3:uid="{5B0CE76E-DD05-41C1-9908-5CCD597A1AD5}" name="May" dataDxfId="920"/>
    <tableColumn id="73" xr3:uid="{77B9ABB5-221B-458E-8BE1-2484CE1F1CE4}" name="Jun" dataDxfId="919"/>
    <tableColumn id="74" xr3:uid="{FAEA16E8-D834-496A-9FD6-271E28C19D5D}" name="Jul" dataDxfId="918"/>
    <tableColumn id="75" xr3:uid="{B206A1BA-3B8D-4992-85BF-A1DBEF137CDB}" name="Aug" dataDxfId="917"/>
    <tableColumn id="76" xr3:uid="{A2B95489-45A1-4826-8DC1-99F821CC7440}" name="Sep" dataDxfId="916"/>
    <tableColumn id="77" xr3:uid="{423F49A7-27F6-4FAA-B3EA-B6181794252C}" name="Oct" dataDxfId="915"/>
    <tableColumn id="78" xr3:uid="{95A02AF5-7754-4A6F-A76C-150CA760DBC0}" name="Nov" dataDxfId="914"/>
    <tableColumn id="79" xr3:uid="{7EB6115D-16B7-4EB7-8263-53CF0E802876}" name="Dec" dataDxfId="913"/>
    <tableColumn id="80" xr3:uid="{E6ACCC68-FD12-4694-B845-AAA615F98C5C}" name="PreAS" dataDxfId="912"/>
    <tableColumn id="81" xr3:uid="{03B597BB-273B-47AF-8357-38511FA79352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27359CE-19B6-4936-AACE-0D131591BD3A}" name="TableBaseN1" displayName="TableBaseN1" ref="A1:BD31" totalsRowShown="0" headerRowDxfId="796">
  <autoFilter ref="A1:BD31" xr:uid="{F58AF487-81CC-4FE4-89F7-9F5F0B047D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0284FB1C-8E78-4380-B735-0F31E8AB307D}" name="TEAM_ID" dataDxfId="852"/>
    <tableColumn id="2" xr3:uid="{67F9E545-F6CE-42EF-9593-72F3FE6C77EE}" name="TEAM_NAME" dataDxfId="851"/>
    <tableColumn id="3" xr3:uid="{5037A389-A8DE-482B-B44F-EDA79D7C873E}" name="GP" dataDxfId="850"/>
    <tableColumn id="4" xr3:uid="{1BDD7E19-0B50-4F01-BFE9-AAD07CA31892}" name="W" dataDxfId="849"/>
    <tableColumn id="5" xr3:uid="{FE0C0347-3777-428F-8E83-09BC4890B3A3}" name="L" dataDxfId="848"/>
    <tableColumn id="6" xr3:uid="{CBA63587-0B7D-4135-88F0-C67687AD462D}" name="W_PCT" dataDxfId="847"/>
    <tableColumn id="7" xr3:uid="{4CEC33E9-A5D6-47E8-BDF2-2BD66B6340C5}" name="MIN" dataDxfId="846"/>
    <tableColumn id="8" xr3:uid="{736FE582-42A6-4C6D-9B2D-7785EA394DEC}" name="FGM" dataDxfId="845"/>
    <tableColumn id="9" xr3:uid="{AC12E800-BFE7-4364-B888-0731E8A00DDC}" name="FGA" dataDxfId="844"/>
    <tableColumn id="10" xr3:uid="{31CCCEAA-05D0-4626-8BE4-88DA15AD7325}" name="FG_PCT" dataDxfId="843"/>
    <tableColumn id="11" xr3:uid="{FB50E751-3A18-450A-ABB5-442CE2E385BC}" name="FG3M" dataDxfId="842"/>
    <tableColumn id="12" xr3:uid="{5854C975-9FED-4C04-9416-7F9FA6847C98}" name="FG3A" dataDxfId="841"/>
    <tableColumn id="13" xr3:uid="{92A8E761-3D23-419A-9AC8-334ACBD2ED2D}" name="FG3_PCT" dataDxfId="840"/>
    <tableColumn id="14" xr3:uid="{9441EC68-5964-41E4-AB01-662BC0CB3EDB}" name="FTM" dataDxfId="839"/>
    <tableColumn id="15" xr3:uid="{BAB09602-4AEB-4956-8254-F5CD882CAA2F}" name="FTA" dataDxfId="838"/>
    <tableColumn id="16" xr3:uid="{E686989B-E69B-4E7E-BB8C-DA95987489CF}" name="FT_PCT" dataDxfId="837"/>
    <tableColumn id="17" xr3:uid="{C00928CF-50EF-4009-8326-1207045E58ED}" name="OREB" dataDxfId="836"/>
    <tableColumn id="18" xr3:uid="{A4F0518F-5C8C-4E0A-9AE8-E5FE46BC9F01}" name="DREB" dataDxfId="835"/>
    <tableColumn id="19" xr3:uid="{AA58F229-DE9D-42ED-9A63-66F40ABDD84B}" name="REB" dataDxfId="834"/>
    <tableColumn id="20" xr3:uid="{BC1284E2-A54D-463D-B8E4-0447CB0F1C5C}" name="AST" dataDxfId="833"/>
    <tableColumn id="21" xr3:uid="{366F973B-B06A-429A-9BEF-E0A560ECFDBE}" name="TOV" dataDxfId="832"/>
    <tableColumn id="22" xr3:uid="{75B4AA16-B315-4ABB-BC87-8457862141D4}" name="STL" dataDxfId="831"/>
    <tableColumn id="23" xr3:uid="{DD70AAAF-EDEC-48B3-A732-BE62E83FE6D8}" name="BLK" dataDxfId="830"/>
    <tableColumn id="24" xr3:uid="{95567A22-7F8A-4515-B867-4C06292D13B1}" name="BLKA" dataDxfId="829"/>
    <tableColumn id="25" xr3:uid="{88DEB50F-2A07-433A-91C3-7422711142FA}" name="PF" dataDxfId="828"/>
    <tableColumn id="26" xr3:uid="{57EAFA8F-109C-420F-BE66-5DE43B2E2DDA}" name="PFD" dataDxfId="827"/>
    <tableColumn id="27" xr3:uid="{5461A0B1-9B1D-45DB-B37F-817A7B1A06C7}" name="PTS" dataDxfId="826"/>
    <tableColumn id="28" xr3:uid="{9E37E83F-F0F6-4706-889A-472BC0AD5520}" name="PLUS_MINUS" dataDxfId="825"/>
    <tableColumn id="29" xr3:uid="{88B595F7-C34D-48EC-9F63-AD82E76140C8}" name="GP_RANK" dataDxfId="824"/>
    <tableColumn id="30" xr3:uid="{5DBF583B-A89F-4E06-9673-D4067E015EA8}" name="W_RANK" dataDxfId="823"/>
    <tableColumn id="31" xr3:uid="{29F3B535-9EC9-41E9-AC84-09F6C7D53589}" name="L_RANK" dataDxfId="822"/>
    <tableColumn id="32" xr3:uid="{CB92537E-BC5C-44F8-98C2-0CE60B18D08F}" name="W_PCT_RANK" dataDxfId="821"/>
    <tableColumn id="33" xr3:uid="{6A8D87D5-7C82-4F1B-9247-51B54397DD6D}" name="MIN_RANK" dataDxfId="820"/>
    <tableColumn id="34" xr3:uid="{EA0D656B-1AEC-41A8-9DB1-156CF9B19AE7}" name="FGM_RANK" dataDxfId="819"/>
    <tableColumn id="35" xr3:uid="{66AB6C16-5E6A-4FFA-A4A7-5FBDA6C99161}" name="FGA_RANK" dataDxfId="818"/>
    <tableColumn id="36" xr3:uid="{8AE1C663-A949-47BB-8799-B66282B69E83}" name="FG_PCT_RANK" dataDxfId="817"/>
    <tableColumn id="37" xr3:uid="{F536A729-9810-4DC7-AF8A-DEAB83C7EA0E}" name="FG3M_RANK" dataDxfId="816"/>
    <tableColumn id="38" xr3:uid="{CA0F6546-4522-4733-8D0E-963DA0904C87}" name="FG3A_RANK" dataDxfId="815"/>
    <tableColumn id="39" xr3:uid="{1703208D-911C-481C-8C8B-C70EEEE6C5D4}" name="FG3_PCT_RANK" dataDxfId="814"/>
    <tableColumn id="40" xr3:uid="{801A24B5-E2F9-4BF3-86F8-1CC2718D3AE2}" name="FTM_RANK" dataDxfId="813"/>
    <tableColumn id="41" xr3:uid="{2FFE8380-3DEB-4AE9-A8BA-DB3236CDED21}" name="FTA_RANK" dataDxfId="812"/>
    <tableColumn id="42" xr3:uid="{058709D5-B9B2-4061-AE05-1D0E892ED477}" name="FT_PCT_RANK" dataDxfId="811"/>
    <tableColumn id="43" xr3:uid="{81F2CFC5-0735-4E60-B995-E81EC8CF739C}" name="OREB_RANK" dataDxfId="810"/>
    <tableColumn id="44" xr3:uid="{44A2C157-3B19-43BF-9542-4CFA7F748E23}" name="DREB_RANK" dataDxfId="809"/>
    <tableColumn id="45" xr3:uid="{0D96DA51-5116-4173-895D-4CD064ED25B0}" name="REB_RANK" dataDxfId="808"/>
    <tableColumn id="46" xr3:uid="{70A21B54-9899-4C42-9E9C-29C9DF27E4BA}" name="AST_RANK" dataDxfId="807"/>
    <tableColumn id="47" xr3:uid="{42C01BF6-B568-4939-9CB1-F0ADDDA2B4FF}" name="TOV_RANK" dataDxfId="806"/>
    <tableColumn id="48" xr3:uid="{E22165FF-102F-44A0-880A-45878D8F4C52}" name="STL_RANK" dataDxfId="805"/>
    <tableColumn id="49" xr3:uid="{6EDC46AB-68D3-40DD-9C96-5C02EDF5AC5A}" name="BLK_RANK" dataDxfId="804"/>
    <tableColumn id="50" xr3:uid="{DF822CDE-BFF7-4BE0-9C34-69E3603578B5}" name="BLKA_RANK" dataDxfId="803"/>
    <tableColumn id="51" xr3:uid="{D25F6839-CF15-4CE2-93A9-5DAC949FD272}" name="PF_RANK" dataDxfId="802"/>
    <tableColumn id="52" xr3:uid="{5F081716-E3E1-49AC-ADBE-E61FFD5424F3}" name="PFD_RANK" dataDxfId="801"/>
    <tableColumn id="53" xr3:uid="{B7723438-6922-4F77-A0A3-4E9A825CD5B5}" name="PTS_RANK" dataDxfId="800"/>
    <tableColumn id="54" xr3:uid="{2EBE7B07-F501-462C-8B38-AA48B1A6A08E}" name="PLUS_MINUS_RANK" dataDxfId="799"/>
    <tableColumn id="55" xr3:uid="{F7B65ED0-A978-46EF-B5C7-251911875EFA}" name="CFID" dataDxfId="798"/>
    <tableColumn id="56" xr3:uid="{17FA449B-7392-4372-A420-1C81B081480D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1733E24-B89E-4BFD-BFC6-28E63E354260}" name="TableAdvancedN1" displayName="TableAdvancedN1" ref="A1:AV31" totalsRowShown="0" headerRowDxfId="698">
  <autoFilter ref="A1:AV31" xr:uid="{83C98386-783D-4125-B5D9-8E4666F2FA4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4753C324-A831-4B0A-959A-EB6FE42654CC}" name="TEAM_ID" dataDxfId="746"/>
    <tableColumn id="2" xr3:uid="{BBD6773E-23F5-42A9-921D-B6930F9FB0DF}" name="TEAM_NAME" dataDxfId="745"/>
    <tableColumn id="3" xr3:uid="{2CC8B1F1-B315-49AF-84C7-AF9003F2A95B}" name="GP" dataDxfId="744"/>
    <tableColumn id="4" xr3:uid="{383D2391-4A44-49E9-B292-BF67AC3C6FC4}" name="W" dataDxfId="743"/>
    <tableColumn id="5" xr3:uid="{6B54B3E7-A9DA-4D1E-B79B-657DA3C504B9}" name="L" dataDxfId="742"/>
    <tableColumn id="6" xr3:uid="{FA367F86-D814-4B12-9CE3-A9B5EC9204B0}" name="W_PCT" dataDxfId="741"/>
    <tableColumn id="7" xr3:uid="{D3CEAF77-B0EB-4F82-B970-B5DCFD000AEA}" name="MIN" dataDxfId="740"/>
    <tableColumn id="8" xr3:uid="{E92DDAE9-801D-4FA6-AB43-11977EE948F8}" name="E_OFF_RATING" dataDxfId="739"/>
    <tableColumn id="9" xr3:uid="{84EB1550-A128-457B-B387-978872C0297B}" name="OFF_RATING" dataDxfId="738"/>
    <tableColumn id="10" xr3:uid="{E0A3BE03-3761-4CDC-B538-774207B600A4}" name="E_DEF_RATING" dataDxfId="737"/>
    <tableColumn id="11" xr3:uid="{62A3FFC7-810A-4FD8-913D-0A791E7BEAB7}" name="DEF_RATING" dataDxfId="736"/>
    <tableColumn id="12" xr3:uid="{B6E4BBE8-67F0-449F-9966-E89F49F26BAD}" name="E_NET_RATING" dataDxfId="735"/>
    <tableColumn id="13" xr3:uid="{17AF7945-5329-4465-912E-48E6DAE63A84}" name="NET_RATING" dataDxfId="734"/>
    <tableColumn id="14" xr3:uid="{830C52E9-002E-4B48-87D4-805F44BC25B7}" name="AST_PCT" dataDxfId="733"/>
    <tableColumn id="15" xr3:uid="{81D5D0D8-BFFA-4F69-A197-6BADB436C269}" name="AST_TO" dataDxfId="732"/>
    <tableColumn id="16" xr3:uid="{EF0C73C8-D9F8-469B-B25B-72429827B0A9}" name="AST_RATIO" dataDxfId="731"/>
    <tableColumn id="17" xr3:uid="{837EC3FD-3196-4173-81BD-F814A136AECC}" name="OREB_PCT" dataDxfId="730"/>
    <tableColumn id="18" xr3:uid="{0AC37844-56EE-4158-87B6-058C7B99200A}" name="DREB_PCT" dataDxfId="729"/>
    <tableColumn id="19" xr3:uid="{FE5CF2F3-493D-4998-BE4A-06E492ADD101}" name="REB_PCT" dataDxfId="728"/>
    <tableColumn id="20" xr3:uid="{29A92817-9443-443B-AD2C-723E6953985A}" name="TM_TOV_PCT" dataDxfId="727"/>
    <tableColumn id="21" xr3:uid="{9AD2CDD5-533B-4EF2-A8AA-F414C3E30AFC}" name="EFG_PCT" dataDxfId="726"/>
    <tableColumn id="22" xr3:uid="{AF23CEAE-3D3B-4163-A6C0-709C5E00712E}" name="TS_PCT" dataDxfId="725"/>
    <tableColumn id="23" xr3:uid="{458EB7FB-C336-4219-B05B-6F6B93A027D7}" name="E_PACE" dataDxfId="724"/>
    <tableColumn id="24" xr3:uid="{8355C86C-A12E-4A4D-84FC-D5EB11E4FBFA}" name="PACE" dataDxfId="723"/>
    <tableColumn id="25" xr3:uid="{A46D3521-FD78-4408-8395-EBC5977B0B04}" name="PACE_PER40" dataDxfId="722"/>
    <tableColumn id="26" xr3:uid="{2B27437E-622E-4781-94D0-CCA87308C006}" name="POSS" dataDxfId="721"/>
    <tableColumn id="27" xr3:uid="{3236301A-5BB6-488F-95B4-52D0FBD164B0}" name="PIE" dataDxfId="720"/>
    <tableColumn id="28" xr3:uid="{06214698-4353-4C4E-AE23-E0EDFC32E695}" name="GP_RANK" dataDxfId="719"/>
    <tableColumn id="29" xr3:uid="{88D67388-BBF1-40CA-A990-FBE521FFD1D4}" name="W_RANK" dataDxfId="718"/>
    <tableColumn id="30" xr3:uid="{074BE7AE-46CB-483C-8899-B2B79DC9468D}" name="L_RANK" dataDxfId="717"/>
    <tableColumn id="31" xr3:uid="{E2203164-B3E5-4337-8428-5D97C5067404}" name="W_PCT_RANK" dataDxfId="716"/>
    <tableColumn id="32" xr3:uid="{7F002443-1F26-462C-B554-FBCD1BC81C65}" name="MIN_RANK" dataDxfId="715"/>
    <tableColumn id="33" xr3:uid="{4CD18EDB-C819-4CCE-B55E-2E6E79858F7A}" name="OFF_RATING_RANK" dataDxfId="714"/>
    <tableColumn id="34" xr3:uid="{045BD95E-9058-4AA9-B73D-D73ADB566545}" name="DEF_RATING_RANK" dataDxfId="713"/>
    <tableColumn id="35" xr3:uid="{732D2834-D1B8-4831-965C-A75B856F341F}" name="NET_RATING_RANK" dataDxfId="712"/>
    <tableColumn id="36" xr3:uid="{3CF2571C-D046-4028-A06D-67D9CA4FE7CC}" name="AST_PCT_RANK" dataDxfId="711"/>
    <tableColumn id="37" xr3:uid="{40F42045-AFF9-4AEF-8836-AC37F34DB6A7}" name="AST_TO_RANK" dataDxfId="710"/>
    <tableColumn id="38" xr3:uid="{F44678BF-2E4F-4CE0-8D33-C0E60D0CA612}" name="AST_RATIO_RANK" dataDxfId="709"/>
    <tableColumn id="39" xr3:uid="{E9C61945-19A6-4CA5-8F7A-E3B4D46F393D}" name="OREB_PCT_RANK" dataDxfId="708"/>
    <tableColumn id="40" xr3:uid="{EB0CD8B0-E2AC-494E-AC96-C08D6BDBE8D5}" name="DREB_PCT_RANK" dataDxfId="707"/>
    <tableColumn id="41" xr3:uid="{543FBB5D-412D-4EF3-8480-914D3DBCFDD5}" name="REB_PCT_RANK" dataDxfId="706"/>
    <tableColumn id="42" xr3:uid="{F30D2EA7-59D9-4F9C-B240-9ADB13E71617}" name="TM_TOV_PCT_RANK" dataDxfId="705"/>
    <tableColumn id="43" xr3:uid="{96C9A9CB-B907-49CC-9989-DC08FE24BF4A}" name="EFG_PCT_RANK" dataDxfId="704"/>
    <tableColumn id="44" xr3:uid="{E8114C48-1F12-4A7E-AD57-5DDD09963A93}" name="TS_PCT_RANK" dataDxfId="703"/>
    <tableColumn id="45" xr3:uid="{47B83004-3501-4716-B6B3-D275168BD7F1}" name="PACE_RANK" dataDxfId="702"/>
    <tableColumn id="46" xr3:uid="{5CD69F2F-A464-4C19-8888-4C48C2DCE619}" name="PIE_RANK" dataDxfId="701"/>
    <tableColumn id="47" xr3:uid="{E02DB2D7-A4E0-4DBB-BC45-150F38E0D63D}" name="CFID" dataDxfId="700"/>
    <tableColumn id="48" xr3:uid="{1E96EBB8-493E-4BAB-8C83-6F08989AC183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4553416-18B7-489B-B6FF-46551A61EBBD}" name="TableAdvancedN1Starters" displayName="TableAdvancedN1Starters" ref="A1:AV31" totalsRowShown="0" headerRowDxfId="600">
  <autoFilter ref="A1:AV31" xr:uid="{65CE2449-8DBB-4619-9128-7A3EE70ABB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9EDEB41D-E5FE-47C7-A6B4-E2FE86C961BD}" name="TEAM_ID" dataDxfId="648"/>
    <tableColumn id="2" xr3:uid="{BBAB652D-2CF0-4C3B-B3E4-6171B4DA8604}" name="TEAM_NAME" dataDxfId="647"/>
    <tableColumn id="3" xr3:uid="{D67D0569-365D-429E-AB68-530F7EBFF599}" name="GP" dataDxfId="646"/>
    <tableColumn id="4" xr3:uid="{2B340521-1DB3-4845-9939-1D529ABB184F}" name="W" dataDxfId="645"/>
    <tableColumn id="5" xr3:uid="{2B81DE90-1366-4927-817F-1C9013D6D426}" name="L" dataDxfId="644"/>
    <tableColumn id="6" xr3:uid="{F33DDBDC-149A-404A-9DE5-52EB59C076D4}" name="W_PCT" dataDxfId="643"/>
    <tableColumn id="7" xr3:uid="{CBA575FD-1669-4334-BE5F-F98E06EAF0BF}" name="MIN" dataDxfId="642"/>
    <tableColumn id="8" xr3:uid="{3BCF5027-D328-431A-A86B-9A6EFAA3CD81}" name="E_OFF_RATING" dataDxfId="641"/>
    <tableColumn id="9" xr3:uid="{7F619B8B-E1EB-42ED-B460-6F1D4272E26D}" name="OFF_RATING" dataDxfId="640"/>
    <tableColumn id="10" xr3:uid="{339255C8-22E0-48E1-A1DF-8B4F6BDA102B}" name="E_DEF_RATING" dataDxfId="639"/>
    <tableColumn id="11" xr3:uid="{DE10338E-107B-4936-A915-23703659A1D0}" name="DEF_RATING" dataDxfId="638"/>
    <tableColumn id="12" xr3:uid="{4A2511D9-44D6-4D4D-9620-E3BFA3E7FF1F}" name="E_NET_RATING" dataDxfId="637"/>
    <tableColumn id="13" xr3:uid="{346B0219-FE61-421F-AB3B-FA43D2E6C0C1}" name="NET_RATING" dataDxfId="636"/>
    <tableColumn id="14" xr3:uid="{10E91C5B-1CDA-4AAC-8F72-6BC63155D048}" name="AST_PCT" dataDxfId="635"/>
    <tableColumn id="15" xr3:uid="{17BD6D89-2D0A-4A2E-A74E-01386D71E97B}" name="AST_TO" dataDxfId="634"/>
    <tableColumn id="16" xr3:uid="{62CE3886-1B22-4907-80FB-1C2DEB54B358}" name="AST_RATIO" dataDxfId="633"/>
    <tableColumn id="17" xr3:uid="{716D97BB-339B-4229-869A-735135B44237}" name="OREB_PCT" dataDxfId="632"/>
    <tableColumn id="18" xr3:uid="{46F0C3E0-3369-43DC-BE8B-E68D79F8B65E}" name="DREB_PCT" dataDxfId="631"/>
    <tableColumn id="19" xr3:uid="{9DA70A88-8BDF-4E22-B0B2-16F5BEE0F9D1}" name="REB_PCT" dataDxfId="630"/>
    <tableColumn id="20" xr3:uid="{34A02BEF-5649-41CF-9211-431A6E1E23D1}" name="TM_TOV_PCT" dataDxfId="629"/>
    <tableColumn id="21" xr3:uid="{F92CF949-95F8-4B77-BCEF-75BFC2622EBD}" name="EFG_PCT" dataDxfId="628"/>
    <tableColumn id="22" xr3:uid="{1E1782E7-3F85-45FC-946D-B024938A965F}" name="TS_PCT" dataDxfId="627"/>
    <tableColumn id="23" xr3:uid="{1CB1D871-2382-44B6-AED2-AC737EE63F26}" name="E_PACE" dataDxfId="626"/>
    <tableColumn id="24" xr3:uid="{F1459932-9302-460E-9166-DA4BBD867D4F}" name="PACE" dataDxfId="625"/>
    <tableColumn id="25" xr3:uid="{C42EC4D4-5F85-4EDF-ABEF-F3AF04F5EBA1}" name="PACE_PER40" dataDxfId="624"/>
    <tableColumn id="26" xr3:uid="{EAE3A991-749D-4114-B596-B2F1DC21EF11}" name="POSS" dataDxfId="623"/>
    <tableColumn id="27" xr3:uid="{C1958B3B-1A09-4478-98A0-D39F479B98FB}" name="PIE" dataDxfId="622"/>
    <tableColumn id="28" xr3:uid="{616D0C3F-BC9C-4DB7-9523-E3B0BEF37E3B}" name="GP_RANK" dataDxfId="621"/>
    <tableColumn id="29" xr3:uid="{0CFD9B42-C72B-4E2C-B032-B49DD16C6D26}" name="W_RANK" dataDxfId="620"/>
    <tableColumn id="30" xr3:uid="{1847DCAF-F2BE-47F0-98D3-FD6D6231AF77}" name="L_RANK" dataDxfId="619"/>
    <tableColumn id="31" xr3:uid="{35E00B3E-C483-49E2-B1C8-BE435AF6BED2}" name="W_PCT_RANK" dataDxfId="618"/>
    <tableColumn id="32" xr3:uid="{A087C82D-198B-44A4-9B0C-6FF064FE914D}" name="MIN_RANK" dataDxfId="617"/>
    <tableColumn id="33" xr3:uid="{FB0A57D7-2AF4-482C-A462-C053BA4C0E1E}" name="OFF_RATING_RANK" dataDxfId="616"/>
    <tableColumn id="34" xr3:uid="{9DEAF6CF-ABAF-4FB6-ABF0-0EFCF7AF26F9}" name="DEF_RATING_RANK" dataDxfId="615"/>
    <tableColumn id="35" xr3:uid="{DCE78355-2450-49F0-AB50-7CEA6625687B}" name="NET_RATING_RANK" dataDxfId="614"/>
    <tableColumn id="36" xr3:uid="{5E99585C-E148-4534-B2DC-46FD228FF5DA}" name="AST_PCT_RANK" dataDxfId="613"/>
    <tableColumn id="37" xr3:uid="{38D3ACE1-91C3-4F57-BBFE-7EC19C6E5B97}" name="AST_TO_RANK" dataDxfId="612"/>
    <tableColumn id="38" xr3:uid="{CA3B51B0-4A74-430A-9F18-D2A6CA391F71}" name="AST_RATIO_RANK" dataDxfId="611"/>
    <tableColumn id="39" xr3:uid="{40187E1B-1137-4560-8670-5F29D63DC294}" name="OREB_PCT_RANK" dataDxfId="610"/>
    <tableColumn id="40" xr3:uid="{A65E398B-E403-4D85-9510-AE7D1DBF5CFB}" name="DREB_PCT_RANK" dataDxfId="609"/>
    <tableColumn id="41" xr3:uid="{51178D8D-7F04-40D9-AD44-CA39B146B094}" name="REB_PCT_RANK" dataDxfId="608"/>
    <tableColumn id="42" xr3:uid="{7E1173FD-54F8-4A3F-926A-20FF2D3E3282}" name="TM_TOV_PCT_RANK" dataDxfId="607"/>
    <tableColumn id="43" xr3:uid="{FA85F5B1-1AA3-4C4B-9F92-C24D5931F0A8}" name="EFG_PCT_RANK" dataDxfId="606"/>
    <tableColumn id="44" xr3:uid="{B23BA656-DA29-4DB5-9EAF-3D9140195573}" name="TS_PCT_RANK" dataDxfId="605"/>
    <tableColumn id="45" xr3:uid="{1FDF0C41-AA1C-41B4-9576-EF3AE709A0D3}" name="PACE_RANK" dataDxfId="604"/>
    <tableColumn id="46" xr3:uid="{6329F60C-E827-4F00-B5CE-42099548BE56}" name="PIE_RANK" dataDxfId="603"/>
    <tableColumn id="47" xr3:uid="{776582D4-DF12-41AA-9979-FF7D57F7A216}" name="CFID" dataDxfId="602"/>
    <tableColumn id="48" xr3:uid="{F49D97E8-2EFA-43FA-8690-381B1B93CF6B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692B354-66C9-4BFD-930F-8F0A38C45181}" name="TableAdvancedN1Bench" displayName="TableAdvancedN1Bench" ref="A1:AV31" totalsRowShown="0" headerRowDxfId="502">
  <autoFilter ref="A1:AV31" xr:uid="{98919B5C-6F6A-44F8-918C-4E626B9BC54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7E56665A-D710-4B35-927A-9852E767B054}" name="TEAM_ID" dataDxfId="550"/>
    <tableColumn id="2" xr3:uid="{87EA2379-F480-46BC-84E9-FD4C63539DC8}" name="TEAM_NAME" dataDxfId="549"/>
    <tableColumn id="3" xr3:uid="{5B4C8407-E94F-4050-8EDD-40277FFE1C44}" name="GP" dataDxfId="548"/>
    <tableColumn id="4" xr3:uid="{54757D6F-C412-4795-9437-C748C779576C}" name="W" dataDxfId="547"/>
    <tableColumn id="5" xr3:uid="{05278D26-49A8-4BCC-B003-6770406C9ECC}" name="L" dataDxfId="546"/>
    <tableColumn id="6" xr3:uid="{9084A627-E11F-4C6E-A829-4455F9118AD7}" name="W_PCT" dataDxfId="545"/>
    <tableColumn id="7" xr3:uid="{5483A1D5-C1DC-4BC2-87F7-A5F3BD374A7F}" name="MIN" dataDxfId="544"/>
    <tableColumn id="8" xr3:uid="{9904D206-B882-44CD-81F6-81ECCD31789D}" name="E_OFF_RATING" dataDxfId="543"/>
    <tableColumn id="9" xr3:uid="{4AEBE2C3-3182-4246-B1BF-F4AFFC3BC428}" name="OFF_RATING" dataDxfId="542"/>
    <tableColumn id="10" xr3:uid="{649AF293-B88C-4E20-80A4-12446134B698}" name="E_DEF_RATING" dataDxfId="541"/>
    <tableColumn id="11" xr3:uid="{604ECE5C-0621-403E-AD94-E65F6D2094EE}" name="DEF_RATING" dataDxfId="540"/>
    <tableColumn id="12" xr3:uid="{D8655DFB-C494-48C5-9EC6-57557E3F13AF}" name="E_NET_RATING" dataDxfId="539"/>
    <tableColumn id="13" xr3:uid="{78A1629C-33CA-4824-B0DF-19A600CBC180}" name="NET_RATING" dataDxfId="538"/>
    <tableColumn id="14" xr3:uid="{59DAA292-6041-4B57-A017-BF29F5AED416}" name="AST_PCT" dataDxfId="537"/>
    <tableColumn id="15" xr3:uid="{F7418499-5D19-4719-8573-EEF4F7AE90ED}" name="AST_TO" dataDxfId="536"/>
    <tableColumn id="16" xr3:uid="{CD1A45A3-901B-4B99-942C-378296699E61}" name="AST_RATIO" dataDxfId="535"/>
    <tableColumn id="17" xr3:uid="{0964952D-5961-4DF1-B317-FCA7F1302A83}" name="OREB_PCT" dataDxfId="534"/>
    <tableColumn id="18" xr3:uid="{278F47B6-D681-4C74-8576-8DB000F71AC4}" name="DREB_PCT" dataDxfId="533"/>
    <tableColumn id="19" xr3:uid="{E303DC91-058A-409B-8CB2-DE7E9ED118C1}" name="REB_PCT" dataDxfId="532"/>
    <tableColumn id="20" xr3:uid="{25D59576-53EF-4E7F-9C90-EF72C53C680C}" name="TM_TOV_PCT" dataDxfId="531"/>
    <tableColumn id="21" xr3:uid="{1AA9A4AA-1776-416B-B433-9153210E6355}" name="EFG_PCT" dataDxfId="530"/>
    <tableColumn id="22" xr3:uid="{B2B511FB-A63B-4577-9F70-B071BD0F8A71}" name="TS_PCT" dataDxfId="529"/>
    <tableColumn id="23" xr3:uid="{9C51F99D-9D44-4C9C-B8E8-BBECCCA68208}" name="E_PACE" dataDxfId="528"/>
    <tableColumn id="24" xr3:uid="{D8C22595-2A4A-43D8-8E89-658371AD3127}" name="PACE" dataDxfId="527"/>
    <tableColumn id="25" xr3:uid="{21AF78E2-A223-4A6C-B40B-C169425FD715}" name="PACE_PER40" dataDxfId="526"/>
    <tableColumn id="26" xr3:uid="{F532292F-3961-4B5C-B3D3-EB2165A0649F}" name="POSS" dataDxfId="525"/>
    <tableColumn id="27" xr3:uid="{79C468B0-6BF6-4F56-B15B-10501211909A}" name="PIE" dataDxfId="524"/>
    <tableColumn id="28" xr3:uid="{7A99AB27-74D9-4F47-AD85-E9E84587CD47}" name="GP_RANK" dataDxfId="523"/>
    <tableColumn id="29" xr3:uid="{9907AFE6-E196-44DE-A43A-7D3EF08C3C7D}" name="W_RANK" dataDxfId="522"/>
    <tableColumn id="30" xr3:uid="{FE3629C4-BDC5-4364-8F01-D087AD6D07D8}" name="L_RANK" dataDxfId="521"/>
    <tableColumn id="31" xr3:uid="{AAE77655-0689-4FC8-A107-C1CD66C3E56F}" name="W_PCT_RANK" dataDxfId="520"/>
    <tableColumn id="32" xr3:uid="{431837D5-9B89-4A57-9D28-4747146609E7}" name="MIN_RANK" dataDxfId="519"/>
    <tableColumn id="33" xr3:uid="{848F134D-2313-4903-B767-D17510AFECD4}" name="OFF_RATING_RANK" dataDxfId="518"/>
    <tableColumn id="34" xr3:uid="{A1ECDCD4-F240-4951-8388-4862829B1185}" name="DEF_RATING_RANK" dataDxfId="517"/>
    <tableColumn id="35" xr3:uid="{B5A843D6-919D-4012-8634-5F8EF8764F76}" name="NET_RATING_RANK" dataDxfId="516"/>
    <tableColumn id="36" xr3:uid="{ABD4E64E-652B-4C14-BDD2-746E1E6AAEA5}" name="AST_PCT_RANK" dataDxfId="515"/>
    <tableColumn id="37" xr3:uid="{E6EBA529-1E76-41EC-B61B-1967E7CDBF02}" name="AST_TO_RANK" dataDxfId="514"/>
    <tableColumn id="38" xr3:uid="{4F3B7C9F-47B4-48A1-A6F5-6C1473633874}" name="AST_RATIO_RANK" dataDxfId="513"/>
    <tableColumn id="39" xr3:uid="{6CA9F7E3-9812-418D-B11D-8D2B5E7FDCB5}" name="OREB_PCT_RANK" dataDxfId="512"/>
    <tableColumn id="40" xr3:uid="{FDC6493F-B701-4D7C-A0FF-FD6438927842}" name="DREB_PCT_RANK" dataDxfId="511"/>
    <tableColumn id="41" xr3:uid="{AB67DE86-B7AB-4D8C-83E5-E2F462967533}" name="REB_PCT_RANK" dataDxfId="510"/>
    <tableColumn id="42" xr3:uid="{91AAEA29-C05F-46B4-A28C-7E9E0F0C8C62}" name="TM_TOV_PCT_RANK" dataDxfId="509"/>
    <tableColumn id="43" xr3:uid="{2B97AAFF-060E-4585-B361-33ADBF66079B}" name="EFG_PCT_RANK" dataDxfId="508"/>
    <tableColumn id="44" xr3:uid="{42556B97-B9D2-4AD1-ACE5-354ABAFABB71}" name="TS_PCT_RANK" dataDxfId="507"/>
    <tableColumn id="45" xr3:uid="{EBEADFE6-F716-438D-A761-6652205D85B3}" name="PACE_RANK" dataDxfId="506"/>
    <tableColumn id="46" xr3:uid="{DCD3D1DB-9ED3-42D5-BFF6-8B7BC2DC101B}" name="PIE_RANK" dataDxfId="505"/>
    <tableColumn id="47" xr3:uid="{CCFCAEB7-CDF9-447C-AD43-E4BAAB076564}" name="CFID" dataDxfId="504"/>
    <tableColumn id="48" xr3:uid="{648837F8-D9CD-4966-8C92-D56330859CBB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9E7ED96-6A49-409D-9212-E071142207F3}" name="TableMiscN1" displayName="TableMiscN1" ref="A1:AD31" totalsRowShown="0" headerRowDxfId="440">
  <autoFilter ref="A1:AD31" xr:uid="{F00E3FF6-1FCB-468B-B6D0-E6FB8A75239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552AFEFE-CEF4-4DB4-BA52-7126E83529C3}" name="TEAM_ID" dataDxfId="470"/>
    <tableColumn id="2" xr3:uid="{5C6764F7-EF7B-4DA0-8FD3-AAA2B77884C9}" name="TEAM_NAME" dataDxfId="469"/>
    <tableColumn id="3" xr3:uid="{89495CE1-BFEE-4C43-8B60-E5F8738709D8}" name="GP" dataDxfId="468"/>
    <tableColumn id="4" xr3:uid="{D5344779-6A0D-4D3B-8535-E509F226E706}" name="W" dataDxfId="467"/>
    <tableColumn id="5" xr3:uid="{EDFCB8D9-CF11-4200-A91F-49B0E6AFDF11}" name="L" dataDxfId="466"/>
    <tableColumn id="6" xr3:uid="{B9B1F9BF-B60D-4CEE-9175-21F15E6B7FE3}" name="W_PCT" dataDxfId="465"/>
    <tableColumn id="7" xr3:uid="{F469AAE6-8040-4CB3-810E-CE06540C995C}" name="MIN" dataDxfId="464"/>
    <tableColumn id="8" xr3:uid="{60E7AA23-3D15-4D45-BD86-A27415E0A7D7}" name="PTS_OFF_TOV" dataDxfId="463"/>
    <tableColumn id="9" xr3:uid="{2CA65526-F69B-4620-A5A3-3B0751739809}" name="PTS_2ND_CHANCE" dataDxfId="462"/>
    <tableColumn id="10" xr3:uid="{48F4083D-3E9E-4831-98A5-D3A2E69D9551}" name="PTS_FB" dataDxfId="461"/>
    <tableColumn id="11" xr3:uid="{1B94F4BD-235A-4369-9E8F-E8454FC2053A}" name="PTS_PAINT" dataDxfId="460"/>
    <tableColumn id="12" xr3:uid="{E81EF400-F918-49AC-86AA-D86833A2A087}" name="OPP_PTS_OFF_TOV" dataDxfId="459"/>
    <tableColumn id="13" xr3:uid="{1D782868-1766-48C5-B7A4-DDA7145EE43A}" name="OPP_PTS_2ND_CHANCE" dataDxfId="458"/>
    <tableColumn id="14" xr3:uid="{CCA7802B-3D65-40B1-A8F1-12198086B360}" name="OPP_PTS_FB" dataDxfId="457"/>
    <tableColumn id="15" xr3:uid="{D7DCC236-D118-41F3-9F1C-850E6369ABFA}" name="OPP_PTS_PAINT" dataDxfId="456"/>
    <tableColumn id="16" xr3:uid="{5AF24002-7BA9-449E-9C63-922484B1EA44}" name="GP_RANK" dataDxfId="455"/>
    <tableColumn id="17" xr3:uid="{B316767E-A2B3-4FB3-9510-D00973F005AD}" name="W_RANK" dataDxfId="454"/>
    <tableColumn id="18" xr3:uid="{FA236231-B197-4663-B662-6E22E2607774}" name="L_RANK" dataDxfId="453"/>
    <tableColumn id="19" xr3:uid="{6C6E3F6E-58AF-451E-936B-4B51F3C0DC9A}" name="W_PCT_RANK" dataDxfId="452"/>
    <tableColumn id="20" xr3:uid="{AD8296A5-EA76-44DF-9264-E4803E46A46E}" name="MIN_RANK" dataDxfId="451"/>
    <tableColumn id="21" xr3:uid="{A8702CA1-DE33-477B-B0E4-0CB982CBE373}" name="PTS_OFF_TOV_RANK" dataDxfId="450"/>
    <tableColumn id="22" xr3:uid="{3AF15270-F8D0-4299-8E58-923E302BA5CA}" name="PTS_2ND_CHANCE_RANK" dataDxfId="449"/>
    <tableColumn id="23" xr3:uid="{478ABD39-F981-4948-88F1-3451E6C83EE2}" name="PTS_FB_RANK" dataDxfId="448"/>
    <tableColumn id="24" xr3:uid="{072B8F33-15EC-4061-A473-9DFBAEC10ACE}" name="PTS_PAINT_RANK" dataDxfId="447"/>
    <tableColumn id="25" xr3:uid="{E459CB56-06A9-4704-B751-52C579FD40D3}" name="OPP_PTS_OFF_TOV_RANK" dataDxfId="446"/>
    <tableColumn id="26" xr3:uid="{FD368339-9DEF-4E2A-B1F0-D4CED3E8AB24}" name="OPP_PTS_2ND_CHANCE_RANK" dataDxfId="445"/>
    <tableColumn id="27" xr3:uid="{77DF2CE7-C53F-4F2A-84DD-FC5CCE0E2D11}" name="OPP_PTS_FB_RANK" dataDxfId="444"/>
    <tableColumn id="28" xr3:uid="{854ED122-93DF-474F-BCF0-8C0D69FFB03B}" name="OPP_PTS_PAINT_RANK" dataDxfId="443"/>
    <tableColumn id="29" xr3:uid="{B438D6D1-44F4-4756-8C25-DEC163FF3605}" name="CFID" dataDxfId="442"/>
    <tableColumn id="30" xr3:uid="{CAACE9DB-8561-4DD5-83E4-909428775C4C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955CB15-837C-43EC-B382-CBB93BD32E9D}" name="TableOppBaseN1" displayName="TableOppBaseN1" ref="A1:BD31" totalsRowShown="0" headerRowDxfId="326">
  <autoFilter ref="A1:BD31" xr:uid="{D87CB994-B0F6-468A-AD3E-C5B0391EC45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6695B093-C793-456A-B3AB-B52BB04BE9BA}" name="TEAM_ID" dataDxfId="382"/>
    <tableColumn id="2" xr3:uid="{B1509F75-5825-44D6-B4FB-66D195BDBDFD}" name="TEAM_NAME" dataDxfId="381"/>
    <tableColumn id="3" xr3:uid="{399370F2-779E-4904-92C8-DEA75410A4C1}" name="GP" dataDxfId="380"/>
    <tableColumn id="4" xr3:uid="{55C7D864-325E-43BC-91E1-5A51C592D0DC}" name="W" dataDxfId="379"/>
    <tableColumn id="5" xr3:uid="{EDBF5EF8-B75E-4194-9AC2-7721791B8812}" name="L" dataDxfId="378"/>
    <tableColumn id="6" xr3:uid="{4E6E1AB8-9D34-479D-A0FC-AF94E00E2B0E}" name="W_PCT" dataDxfId="377"/>
    <tableColumn id="7" xr3:uid="{1332A493-1F9E-4EDB-B271-F7AE89C138A6}" name="MIN" dataDxfId="376"/>
    <tableColumn id="8" xr3:uid="{F7CBEF82-75D1-406C-8957-1E071E387576}" name="OPP_FGM" dataDxfId="375"/>
    <tableColumn id="9" xr3:uid="{B64505F0-2024-43EE-B57D-DD44531F96A1}" name="OPP_FGA" dataDxfId="374"/>
    <tableColumn id="10" xr3:uid="{9147940E-1A95-4C52-92F7-E2907C6A13A7}" name="OPP_FG_PCT" dataDxfId="373"/>
    <tableColumn id="11" xr3:uid="{7131F7D5-FD0C-4FAC-A383-9985A71F4085}" name="OPP_FG3M" dataDxfId="372"/>
    <tableColumn id="12" xr3:uid="{F5469C4D-AAEA-402F-A17A-A5EAD257863C}" name="OPP_FG3A" dataDxfId="371"/>
    <tableColumn id="13" xr3:uid="{B69B04C0-1CFC-4BD4-9C32-4B58D67DBF65}" name="OPP_FG3_PCT" dataDxfId="370"/>
    <tableColumn id="14" xr3:uid="{8AA654B5-2C49-4B16-B248-6503B85DF405}" name="OPP_FTM" dataDxfId="369"/>
    <tableColumn id="15" xr3:uid="{77FE8513-D711-4879-AAD8-BB196962590A}" name="OPP_FTA" dataDxfId="368"/>
    <tableColumn id="16" xr3:uid="{A1E5B8FA-9929-45AB-952C-06455D0232BE}" name="OPP_FT_PCT" dataDxfId="367"/>
    <tableColumn id="17" xr3:uid="{80E37591-6510-468F-8E8B-CA3A332F44DC}" name="OPP_OREB" dataDxfId="366"/>
    <tableColumn id="18" xr3:uid="{1372EE5F-A4B3-4386-8107-EEF26CC10A48}" name="OPP_DREB" dataDxfId="365"/>
    <tableColumn id="19" xr3:uid="{1D163AC2-3591-4DAF-B24C-7730FE3BEDC5}" name="OPP_REB" dataDxfId="364"/>
    <tableColumn id="20" xr3:uid="{935B596A-99CF-4D30-8BD3-EBCA386A8814}" name="OPP_AST" dataDxfId="363"/>
    <tableColumn id="21" xr3:uid="{CEC2E0F6-640D-46EF-B9E4-22CDB80E9F4A}" name="OPP_TOV" dataDxfId="362"/>
    <tableColumn id="22" xr3:uid="{68CB501B-F992-4B1F-AA22-0B7DA76CF977}" name="OPP_STL" dataDxfId="361"/>
    <tableColumn id="23" xr3:uid="{5CAE1775-6E25-446F-B1CD-289D6219ACB1}" name="OPP_BLK" dataDxfId="360"/>
    <tableColumn id="24" xr3:uid="{5AE83E09-ED31-4F5D-800D-C620901E3843}" name="OPP_BLKA" dataDxfId="359"/>
    <tableColumn id="25" xr3:uid="{1281C9FB-7ADC-42E3-9138-126C86F7FBD6}" name="OPP_PF" dataDxfId="358"/>
    <tableColumn id="26" xr3:uid="{1A46AD39-01AF-4288-91C1-23B132AA1300}" name="OPP_PFD" dataDxfId="357"/>
    <tableColumn id="27" xr3:uid="{36C3666E-4360-41F1-809F-F4745F4EAF4C}" name="OPP_PTS" dataDxfId="356"/>
    <tableColumn id="28" xr3:uid="{D5626388-E033-4C96-A3EB-E8C6E5713831}" name="PLUS_MINUS" dataDxfId="355"/>
    <tableColumn id="29" xr3:uid="{52D81AE0-0C2D-4F15-861B-0C38818E585A}" name="GP_RANK" dataDxfId="354"/>
    <tableColumn id="30" xr3:uid="{55804ADF-7634-4790-A430-710C10CDC713}" name="W_RANK" dataDxfId="353"/>
    <tableColumn id="31" xr3:uid="{917C34B0-F597-47E5-8CD6-C9165A6E35BA}" name="L_RANK" dataDxfId="352"/>
    <tableColumn id="32" xr3:uid="{3ACABE87-AB78-46E3-829D-FFE5E23EB975}" name="W_PCT_RANK" dataDxfId="351"/>
    <tableColumn id="33" xr3:uid="{C1D9A465-B95B-4C77-A5DD-717FFCBE4C9D}" name="MIN_RANK" dataDxfId="350"/>
    <tableColumn id="34" xr3:uid="{61B90A2D-0FF0-40D1-8983-1D275EE2D0E3}" name="OPP_FGM_RANK" dataDxfId="349"/>
    <tableColumn id="35" xr3:uid="{729F2C99-F952-4F50-96FE-CA57BDAD1695}" name="OPP_FGA_RANK" dataDxfId="348"/>
    <tableColumn id="36" xr3:uid="{58121FEF-20C5-4E91-A79A-DEDDB0AC0A9C}" name="OPP_FG_PCT_RANK" dataDxfId="347"/>
    <tableColumn id="37" xr3:uid="{D85C0DA4-7552-4709-AD77-B1313AB4E04C}" name="OPP_FG3M_RANK" dataDxfId="346"/>
    <tableColumn id="38" xr3:uid="{FA9BA6AB-D38D-499A-8F5E-CC569384635C}" name="OPP_FG3A_RANK" dataDxfId="345"/>
    <tableColumn id="39" xr3:uid="{E24CCA79-6FC2-4011-ABD4-5792FCBDD183}" name="OPP_FG3_PCT_RANK" dataDxfId="344"/>
    <tableColumn id="40" xr3:uid="{0ABB8EC6-2733-4BFE-9C67-1872B82A0916}" name="OPP_FTM_RANK" dataDxfId="343"/>
    <tableColumn id="41" xr3:uid="{95D92EA8-BF0C-48EA-9164-5BCB27A58ED3}" name="OPP_FTA_RANK" dataDxfId="342"/>
    <tableColumn id="42" xr3:uid="{24BEC42C-6658-440A-9B38-8FC682D8920C}" name="OPP_FT_PCT_RANK" dataDxfId="341"/>
    <tableColumn id="43" xr3:uid="{0C0F810A-09EB-43B2-9AFE-B6D9577D4C47}" name="OPP_OREB_RANK" dataDxfId="340"/>
    <tableColumn id="44" xr3:uid="{CC0879FD-742A-4F08-80ED-E7F978967497}" name="OPP_DREB_RANK" dataDxfId="339"/>
    <tableColumn id="45" xr3:uid="{F2CB6D63-5E8D-47BB-A381-69DEFC6B899A}" name="OPP_REB_RANK" dataDxfId="338"/>
    <tableColumn id="46" xr3:uid="{1236CAD1-79C5-458D-B98F-5C9B3A1CABB2}" name="OPP_AST_RANK" dataDxfId="337"/>
    <tableColumn id="47" xr3:uid="{8EB94608-2EB1-468D-B761-A47645688A15}" name="OPP_TOV_RANK" dataDxfId="336"/>
    <tableColumn id="48" xr3:uid="{106D53CE-FD81-4823-BE6A-0D66B6D5F720}" name="OPP_STL_RANK" dataDxfId="335"/>
    <tableColumn id="49" xr3:uid="{2460F220-8E60-448B-8850-4B155FAC274D}" name="OPP_BLK_RANK" dataDxfId="334"/>
    <tableColumn id="50" xr3:uid="{29694616-0EEF-4AC9-AC29-3324C06459BC}" name="OPP_BLKA_RANK" dataDxfId="333"/>
    <tableColumn id="51" xr3:uid="{BA00774A-6263-460A-B68E-EE7280329DF2}" name="OPP_PF_RANK" dataDxfId="332"/>
    <tableColumn id="52" xr3:uid="{D08DD412-5599-4759-B0FE-EAE774CE9B36}" name="OPP_PFD_RANK" dataDxfId="331"/>
    <tableColumn id="53" xr3:uid="{13820764-8FA0-492C-A0B3-1E2144AFD994}" name="OPP_PTS_RANK" dataDxfId="330"/>
    <tableColumn id="54" xr3:uid="{7E9A3FA0-0B39-42F2-805D-A858EDEFD41B}" name="PLUS_MINUS_RANK" dataDxfId="329"/>
    <tableColumn id="55" xr3:uid="{16DC48DA-B9CF-4797-A380-336102E7EB4F}" name="CFID" dataDxfId="328"/>
    <tableColumn id="56" xr3:uid="{CD88B74B-AC86-4DDD-8B84-A2CD19432BA8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640BCA2-9A94-440E-AF05-D9A18770F180}" name="TableClutchBaseN1" displayName="TableClutchBaseN1" ref="A1:BD31" totalsRowShown="0" headerRowDxfId="212">
  <autoFilter ref="A1:BD31" xr:uid="{CB2D4988-995A-4FE8-B12B-2A5FE4ED239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DE552FB4-DAE5-4168-B82F-88F4E6176497}" name="TEAM_ID" dataDxfId="268"/>
    <tableColumn id="2" xr3:uid="{AD9071B2-8C9C-439C-A959-1407D2BF17D1}" name="TEAM_NAME" dataDxfId="267"/>
    <tableColumn id="3" xr3:uid="{A6828447-7758-4258-8189-F1C46A059DFF}" name="GP" dataDxfId="266"/>
    <tableColumn id="4" xr3:uid="{6457756C-A49C-4802-BEE1-2F79820BD776}" name="W" dataDxfId="265"/>
    <tableColumn id="5" xr3:uid="{E3751156-150C-40CA-A317-29D13E8CFBD1}" name="L" dataDxfId="264"/>
    <tableColumn id="6" xr3:uid="{8EEE337A-3962-49E3-8CDC-9AB9B7F0475C}" name="W_PCT" dataDxfId="263"/>
    <tableColumn id="7" xr3:uid="{4C13751A-42AE-4645-B06D-9A2A30989A34}" name="MIN" dataDxfId="262"/>
    <tableColumn id="8" xr3:uid="{85D1BB5C-804C-4424-B59A-10111C4A3E0B}" name="FGM" dataDxfId="261"/>
    <tableColumn id="9" xr3:uid="{EA1B1AA3-076B-4BD8-B55B-8C302DC11BF4}" name="FGA" dataDxfId="260"/>
    <tableColumn id="10" xr3:uid="{FDE40A6F-8654-4DC2-983D-6A3B15B5AC23}" name="FG_PCT" dataDxfId="259"/>
    <tableColumn id="11" xr3:uid="{37F9F5B9-42DE-47B4-8C8B-E7D93C627318}" name="FG3M" dataDxfId="258"/>
    <tableColumn id="12" xr3:uid="{1C070D6F-2353-45D4-B752-E2A1F2EE8DE0}" name="FG3A" dataDxfId="257"/>
    <tableColumn id="13" xr3:uid="{A56522A0-30BE-4637-9247-E4A9D45675CF}" name="FG3_PCT" dataDxfId="256"/>
    <tableColumn id="14" xr3:uid="{9914D21A-3D7A-4DDC-8D1B-7E273FA8131E}" name="FTM" dataDxfId="255"/>
    <tableColumn id="15" xr3:uid="{91C1B98A-E3EA-4B10-B9CB-DCAA177930FC}" name="FTA" dataDxfId="254"/>
    <tableColumn id="16" xr3:uid="{762B5964-C25E-4CE8-96A3-4D6EFF2B0304}" name="FT_PCT" dataDxfId="253"/>
    <tableColumn id="17" xr3:uid="{5DD1697A-940D-4046-BC9C-12D193A0E330}" name="OREB" dataDxfId="252"/>
    <tableColumn id="18" xr3:uid="{164FCD4F-674F-4319-9BA3-49FE2A50883F}" name="DREB" dataDxfId="251"/>
    <tableColumn id="19" xr3:uid="{01E727A4-C67C-4BAB-869E-B29E5843DAFB}" name="REB" dataDxfId="250"/>
    <tableColumn id="20" xr3:uid="{EDE063D0-8CF6-4B05-B069-F71E1F630FDA}" name="AST" dataDxfId="249"/>
    <tableColumn id="21" xr3:uid="{A738F8F0-E41A-4745-B7CE-8D161D3CAB54}" name="TOV" dataDxfId="248"/>
    <tableColumn id="22" xr3:uid="{6BBF507A-00D1-44F1-A705-41D5D6B1DB18}" name="STL" dataDxfId="247"/>
    <tableColumn id="23" xr3:uid="{341C22AA-EF92-4E0D-A443-1D74B010FD2D}" name="BLK" dataDxfId="246"/>
    <tableColumn id="24" xr3:uid="{5BD54D44-D9D8-409C-BBA4-B3E1CCD82663}" name="BLKA" dataDxfId="245"/>
    <tableColumn id="25" xr3:uid="{6EA21417-5BE7-48C2-B5DF-121858600B9F}" name="PF" dataDxfId="244"/>
    <tableColumn id="26" xr3:uid="{2F78EF39-6776-470B-AF7C-9E2E837E3866}" name="PFD" dataDxfId="243"/>
    <tableColumn id="27" xr3:uid="{7F5FE16D-02B9-4FF0-9817-9B5B4BEF14A2}" name="PTS" dataDxfId="242"/>
    <tableColumn id="28" xr3:uid="{725FC514-95A3-4633-83DC-987FEEFF5ADF}" name="PLUS_MINUS" dataDxfId="241"/>
    <tableColumn id="29" xr3:uid="{699C9B94-F0D5-4E30-8B7A-CE080C142C74}" name="GP_RANK" dataDxfId="240"/>
    <tableColumn id="30" xr3:uid="{1C2822AC-F662-4E91-A526-7CC33826C3BB}" name="W_RANK" dataDxfId="239"/>
    <tableColumn id="31" xr3:uid="{BE3213E8-371E-47E6-8961-406A9E870303}" name="L_RANK" dataDxfId="238"/>
    <tableColumn id="32" xr3:uid="{FAF540A9-1EDE-4046-8409-FFAE0C793E54}" name="W_PCT_RANK" dataDxfId="237"/>
    <tableColumn id="33" xr3:uid="{DAB2AAEF-E1DD-4CA1-B153-B0F9CC8061B0}" name="MIN_RANK" dataDxfId="236"/>
    <tableColumn id="34" xr3:uid="{A70E9790-33DF-4043-A19A-C435028973F9}" name="FGM_RANK" dataDxfId="235"/>
    <tableColumn id="35" xr3:uid="{3DBD91CE-71A7-4FDC-9161-16FE770C5B82}" name="FGA_RANK" dataDxfId="234"/>
    <tableColumn id="36" xr3:uid="{2B49D9D4-D50E-4FFD-861D-F0CA741EC1F2}" name="FG_PCT_RANK" dataDxfId="233"/>
    <tableColumn id="37" xr3:uid="{D6C8EF13-8A1D-4380-B6D5-BE74EE2C08AD}" name="FG3M_RANK" dataDxfId="232"/>
    <tableColumn id="38" xr3:uid="{03AA0889-5379-4F88-8762-1AC9C152F05B}" name="FG3A_RANK" dataDxfId="231"/>
    <tableColumn id="39" xr3:uid="{F96E70D4-1ED1-4BF0-BF57-E0311AD6BE77}" name="FG3_PCT_RANK" dataDxfId="230"/>
    <tableColumn id="40" xr3:uid="{5019D42B-6773-4C0B-981D-6E0812293536}" name="FTM_RANK" dataDxfId="229"/>
    <tableColumn id="41" xr3:uid="{7F4B5A51-43E5-46F5-91DF-9D0046F3A1AE}" name="FTA_RANK" dataDxfId="228"/>
    <tableColumn id="42" xr3:uid="{A6CB349F-1BEB-4664-8138-166425AB4CF9}" name="FT_PCT_RANK" dataDxfId="227"/>
    <tableColumn id="43" xr3:uid="{2C83002A-C148-4E9F-B31D-3685594AE9D1}" name="OREB_RANK" dataDxfId="226"/>
    <tableColumn id="44" xr3:uid="{7F85419D-3E39-4577-9271-567602DB5C9E}" name="DREB_RANK" dataDxfId="225"/>
    <tableColumn id="45" xr3:uid="{854C52C8-01E2-4567-9E0E-51850A34C89A}" name="REB_RANK" dataDxfId="224"/>
    <tableColumn id="46" xr3:uid="{759706CD-99AD-4DB0-AB47-9115C00369A6}" name="AST_RANK" dataDxfId="223"/>
    <tableColumn id="47" xr3:uid="{0E4AABEA-B2F1-4BEC-B451-AEE6DFACCF32}" name="TOV_RANK" dataDxfId="222"/>
    <tableColumn id="48" xr3:uid="{C1F5CB73-6ED3-4F99-926B-1D5F450EDC8B}" name="STL_RANK" dataDxfId="221"/>
    <tableColumn id="49" xr3:uid="{DA032DA3-657D-4A00-82C2-13631F7738F4}" name="BLK_RANK" dataDxfId="220"/>
    <tableColumn id="50" xr3:uid="{6D9A065B-743A-4392-A6FD-0687A33740B5}" name="BLKA_RANK" dataDxfId="219"/>
    <tableColumn id="51" xr3:uid="{81CC8B82-6802-40DF-8FDB-6776E09E1222}" name="PF_RANK" dataDxfId="218"/>
    <tableColumn id="52" xr3:uid="{BA1ECFC1-F47B-401E-814C-7C668ABF83AF}" name="PFD_RANK" dataDxfId="217"/>
    <tableColumn id="53" xr3:uid="{06B88137-5DAE-4838-AD53-37E8815F9CAF}" name="PTS_RANK" dataDxfId="216"/>
    <tableColumn id="54" xr3:uid="{08730EC1-7DD0-44CD-B2D5-580FC13D182A}" name="PLUS_MINUS_RANK" dataDxfId="215"/>
    <tableColumn id="55" xr3:uid="{A71A935C-514B-485B-A827-F5F7DA6D8554}" name="CFID" dataDxfId="214"/>
    <tableColumn id="56" xr3:uid="{3F34E14A-432C-4ACB-89C8-32A13558A977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E8853EE-25C3-4FFF-A5AC-09C9E8373E05}" name="TableClutchOpponentN1" displayName="TableClutchOpponentN1" ref="A1:BD31" totalsRowShown="0" headerRowDxfId="98">
  <autoFilter ref="A1:BD31" xr:uid="{01ABFB77-F368-44C1-8048-C737A09F246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D93F19B5-0D59-4A05-B315-584C8D81A546}" name="TEAM_ID" dataDxfId="154"/>
    <tableColumn id="2" xr3:uid="{48DBF514-2F8C-4204-98DA-58413CAF758B}" name="TEAM_NAME" dataDxfId="153"/>
    <tableColumn id="3" xr3:uid="{495AF745-C321-4FEC-91A8-FDF0BBDCE184}" name="GP" dataDxfId="152"/>
    <tableColumn id="4" xr3:uid="{DE0E1B2E-F397-49DD-9A13-4678B0339B82}" name="W" dataDxfId="151"/>
    <tableColumn id="5" xr3:uid="{07967620-9653-4495-AE8A-4387CDF1D55B}" name="L" dataDxfId="150"/>
    <tableColumn id="6" xr3:uid="{CC0B698C-A595-481F-8871-E26A3C1A418B}" name="W_PCT" dataDxfId="149"/>
    <tableColumn id="7" xr3:uid="{03144076-C0F2-400D-A18E-C4F33A305478}" name="MIN" dataDxfId="148"/>
    <tableColumn id="8" xr3:uid="{0260BACA-806D-4F72-8322-49982C734BCA}" name="OPP_FGM" dataDxfId="147"/>
    <tableColumn id="9" xr3:uid="{079001C4-D475-487C-B370-92E37638C1A6}" name="OPP_FGA" dataDxfId="146"/>
    <tableColumn id="10" xr3:uid="{313B55DD-7580-41D2-AEAC-1AA22FBC343E}" name="OPP_FG_PCT" dataDxfId="145"/>
    <tableColumn id="11" xr3:uid="{510B07B7-24DD-4474-AB3C-88482F9634AB}" name="OPP_FG3M" dataDxfId="144"/>
    <tableColumn id="12" xr3:uid="{CFC43329-D9FC-4DB7-BACC-23E054581270}" name="OPP_FG3A" dataDxfId="143"/>
    <tableColumn id="13" xr3:uid="{06975D34-D632-49B6-AE52-530548AA1349}" name="OPP_FG3_PCT" dataDxfId="142"/>
    <tableColumn id="14" xr3:uid="{FBE3ACE3-2FC6-4722-8C6C-8F1E9D02C808}" name="OPP_FTM" dataDxfId="141"/>
    <tableColumn id="15" xr3:uid="{FE8E8D64-7A10-49C2-B3EC-C3803D6F811E}" name="OPP_FTA" dataDxfId="140"/>
    <tableColumn id="16" xr3:uid="{C1E2A790-21DD-49F7-9150-5C2911D6CE73}" name="OPP_FT_PCT" dataDxfId="139"/>
    <tableColumn id="17" xr3:uid="{B98A9DBC-047D-4E03-9521-DB00C8636C2B}" name="OPP_OREB" dataDxfId="138"/>
    <tableColumn id="18" xr3:uid="{6EE44DFE-AE6D-4577-966D-18F8BB2DE2A9}" name="OPP_DREB" dataDxfId="137"/>
    <tableColumn id="19" xr3:uid="{661BBD99-A4D1-40F2-8CBD-AC00B0E4C128}" name="OPP_REB" dataDxfId="136"/>
    <tableColumn id="20" xr3:uid="{260898F6-6461-416B-815D-98FFC7FD7A12}" name="OPP_AST" dataDxfId="135"/>
    <tableColumn id="21" xr3:uid="{26946805-BDC6-4A13-8566-775A45E491CB}" name="OPP_TOV" dataDxfId="134"/>
    <tableColumn id="22" xr3:uid="{E9B2208A-AA0B-4B38-8952-25293FEA74DB}" name="OPP_STL" dataDxfId="133"/>
    <tableColumn id="23" xr3:uid="{BF1C75DF-2BD2-43F8-8003-219879559B8A}" name="OPP_BLK" dataDxfId="132"/>
    <tableColumn id="24" xr3:uid="{24D8EEA7-99C1-4165-9301-B69660DB646E}" name="OPP_BLKA" dataDxfId="131"/>
    <tableColumn id="25" xr3:uid="{1B94FF73-37F9-41D5-BFA9-0935595088FE}" name="OPP_PF" dataDxfId="130"/>
    <tableColumn id="26" xr3:uid="{090499A8-3C9B-41F5-AB9E-5BCF177A0DC3}" name="OPP_PFD" dataDxfId="129"/>
    <tableColumn id="27" xr3:uid="{4D63E51B-3116-46E8-91C7-E503ED4268BF}" name="OPP_PTS" dataDxfId="128"/>
    <tableColumn id="28" xr3:uid="{14C0767B-D0BD-4C07-A070-9C3DE4B818F1}" name="PLUS_MINUS" dataDxfId="127"/>
    <tableColumn id="29" xr3:uid="{E8C58462-9D2F-433B-8A85-CEDCE33A4E09}" name="GP_RANK" dataDxfId="126"/>
    <tableColumn id="30" xr3:uid="{D1E92E46-2047-4CB9-ACBF-C353FBD68825}" name="W_RANK" dataDxfId="125"/>
    <tableColumn id="31" xr3:uid="{270686BF-92D1-47AE-8137-FD3E829BAFA2}" name="L_RANK" dataDxfId="124"/>
    <tableColumn id="32" xr3:uid="{7CB9E1BD-D304-4F98-82BE-69DE456ED156}" name="W_PCT_RANK" dataDxfId="123"/>
    <tableColumn id="33" xr3:uid="{6CF34522-59DB-446D-BE1F-22FE32A3E2CC}" name="MIN_RANK" dataDxfId="122"/>
    <tableColumn id="34" xr3:uid="{4BD6EFF3-4C52-4547-81EC-AC8BE88F189B}" name="OPP_FGM_RANK" dataDxfId="121"/>
    <tableColumn id="35" xr3:uid="{1C04196B-9024-4A0F-8FD6-CFE99CE1FA03}" name="OPP_FGA_RANK" dataDxfId="120"/>
    <tableColumn id="36" xr3:uid="{F37F8D37-39C2-4176-8023-DC9DE71F6C2A}" name="OPP_FG_PCT_RANK" dataDxfId="119"/>
    <tableColumn id="37" xr3:uid="{3413093C-E833-4E78-8431-22C4F0DE57BE}" name="OPP_FG3M_RANK" dataDxfId="118"/>
    <tableColumn id="38" xr3:uid="{D22375B5-3102-4122-BEFB-C209C50969F2}" name="OPP_FG3A_RANK" dataDxfId="117"/>
    <tableColumn id="39" xr3:uid="{86FBC508-F3D3-4006-B94C-1B704B88DA94}" name="OPP_FG3_PCT_RANK" dataDxfId="116"/>
    <tableColumn id="40" xr3:uid="{523F58ED-8866-408D-B98B-7D3158409D02}" name="OPP_FTM_RANK" dataDxfId="115"/>
    <tableColumn id="41" xr3:uid="{FF4BD5CD-249A-462E-A46A-F9F62D54AA29}" name="OPP_FTA_RANK" dataDxfId="114"/>
    <tableColumn id="42" xr3:uid="{8A4D1C14-1BB0-47C4-A9C2-A4F2E330D0A0}" name="OPP_FT_PCT_RANK" dataDxfId="113"/>
    <tableColumn id="43" xr3:uid="{6EDC8ECC-5CFF-4DDB-8910-A0B37BBBF46A}" name="OPP_OREB_RANK" dataDxfId="112"/>
    <tableColumn id="44" xr3:uid="{5156CF1A-4F79-416C-8836-CDF28AB2B0DD}" name="OPP_DREB_RANK" dataDxfId="111"/>
    <tableColumn id="45" xr3:uid="{D4D5525F-259F-4AD9-BE52-76183E8C5816}" name="OPP_REB_RANK" dataDxfId="110"/>
    <tableColumn id="46" xr3:uid="{AFB6FD05-27A3-480A-8FDF-B7370B7184EB}" name="OPP_AST_RANK" dataDxfId="109"/>
    <tableColumn id="47" xr3:uid="{FAED0259-D8EE-4FBE-B16E-D30DF71F2FAE}" name="OPP_TOV_RANK" dataDxfId="108"/>
    <tableColumn id="48" xr3:uid="{A3B81473-F896-4BF9-812A-91A33C994618}" name="OPP_STL_RANK" dataDxfId="107"/>
    <tableColumn id="49" xr3:uid="{E7A089E5-FE89-4B1D-8D5A-1C816DBDAB81}" name="OPP_BLK_RANK" dataDxfId="106"/>
    <tableColumn id="50" xr3:uid="{DB7DAAE9-BEE9-44DD-A93F-A58C897565D2}" name="OPP_BLKA_RANK" dataDxfId="105"/>
    <tableColumn id="51" xr3:uid="{4160A317-3FF2-4576-A43B-05376422B391}" name="OPP_PF_RANK" dataDxfId="104"/>
    <tableColumn id="52" xr3:uid="{D324A74A-9421-420A-9ADA-34050290A390}" name="OPP_PFD_RANK" dataDxfId="103"/>
    <tableColumn id="53" xr3:uid="{AB74D3C3-4325-4212-A853-58D4AD5C769B}" name="OPP_PTS_RANK" dataDxfId="102"/>
    <tableColumn id="54" xr3:uid="{514528A5-A15D-4FC3-8C96-C5C5465759D6}" name="PLUS_MINUS_RANK" dataDxfId="101"/>
    <tableColumn id="55" xr3:uid="{1C07D38B-4055-4A29-9D1E-9F67C05E980A}" name="CFID" dataDxfId="100"/>
    <tableColumn id="56" xr3:uid="{91A04BA1-31A4-41C8-97BD-667B783F2FCA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40D97DF-087C-449B-A343-DAB60F1B1AD9}" name="TableClutchAdvancedN1" displayName="TableClutchAdvancedN1" ref="A1:AV31" totalsRowShown="0" headerRowDxfId="0">
  <autoFilter ref="A1:AV31" xr:uid="{106A0E29-24A2-43E8-918E-5B0A0682D94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FBFD5F66-7AFE-4814-A530-D39E97D7FEEB}" name="TEAM_ID" dataDxfId="48"/>
    <tableColumn id="2" xr3:uid="{97B09DDA-48CF-4406-842D-B05D9492F6FF}" name="TEAM_NAME" dataDxfId="47"/>
    <tableColumn id="3" xr3:uid="{C1FB4C2A-A6BD-41DA-ABF4-B9910DDD88FF}" name="GP" dataDxfId="46"/>
    <tableColumn id="4" xr3:uid="{2E415546-42EB-4D2C-8BD7-5E12C8F8DE36}" name="W" dataDxfId="45"/>
    <tableColumn id="5" xr3:uid="{548AB507-D38B-43A9-B0DD-4A697B057DE6}" name="L" dataDxfId="44"/>
    <tableColumn id="6" xr3:uid="{3D4CF916-3568-4B01-AB57-45F98B47F479}" name="W_PCT" dataDxfId="43"/>
    <tableColumn id="7" xr3:uid="{C0EE3F88-F810-43F4-8F4F-5205C486FF22}" name="MIN" dataDxfId="42"/>
    <tableColumn id="8" xr3:uid="{6F9A1C7E-D342-4431-9372-3AE154CA18A7}" name="E_OFF_RATING" dataDxfId="41"/>
    <tableColumn id="9" xr3:uid="{4835D6FD-51F0-4F2F-BFDF-492C8DED7402}" name="OFF_RATING" dataDxfId="40"/>
    <tableColumn id="10" xr3:uid="{9CB64879-0910-4A30-B41D-0766B93BCD76}" name="E_DEF_RATING" dataDxfId="39"/>
    <tableColumn id="11" xr3:uid="{929F279A-4FA7-4923-92D5-4C860D530109}" name="DEF_RATING" dataDxfId="38"/>
    <tableColumn id="12" xr3:uid="{5420C373-B2CE-4AFC-8533-D60C91A0B4EA}" name="E_NET_RATING" dataDxfId="37"/>
    <tableColumn id="13" xr3:uid="{CEA21B4D-DCC4-49E3-8064-99D22EF8C84A}" name="NET_RATING" dataDxfId="36"/>
    <tableColumn id="14" xr3:uid="{28C5BF31-BB3F-440D-99EC-ADAA498A30B4}" name="AST_PCT" dataDxfId="35"/>
    <tableColumn id="15" xr3:uid="{8A79077E-950E-4B0D-A75A-6B5C5E8E733F}" name="AST_TO" dataDxfId="34"/>
    <tableColumn id="16" xr3:uid="{4E5BCF44-F827-45F3-855B-196A511D4AEA}" name="AST_RATIO" dataDxfId="33"/>
    <tableColumn id="17" xr3:uid="{726F8EC8-DC52-48E3-8BB1-C7B761F53C83}" name="OREB_PCT" dataDxfId="32"/>
    <tableColumn id="18" xr3:uid="{FF3FD80B-F8D1-4FDA-8FD9-07E4BAE25306}" name="DREB_PCT" dataDxfId="31"/>
    <tableColumn id="19" xr3:uid="{8B2E6B31-D46D-42BD-91BF-9EB1EDB31E97}" name="REB_PCT" dataDxfId="30"/>
    <tableColumn id="20" xr3:uid="{458FA024-2BFA-4F19-BA7A-2CE6D1D292FE}" name="TM_TOV_PCT" dataDxfId="29"/>
    <tableColumn id="21" xr3:uid="{56EB621E-8C46-4425-B436-E5F90BEA87AD}" name="EFG_PCT" dataDxfId="28"/>
    <tableColumn id="22" xr3:uid="{5230ED74-2F4D-4B95-93D9-AE0FBF0BD329}" name="TS_PCT" dataDxfId="27"/>
    <tableColumn id="23" xr3:uid="{3D8EE097-B5C1-42EA-BD84-593E1EFF413B}" name="E_PACE" dataDxfId="26"/>
    <tableColumn id="24" xr3:uid="{D744B960-7EF6-448D-AB66-FC187FE2C669}" name="PACE" dataDxfId="25"/>
    <tableColumn id="25" xr3:uid="{8EECBB08-82C0-4B98-AE1F-16C0A7691227}" name="PACE_PER40" dataDxfId="24"/>
    <tableColumn id="26" xr3:uid="{B2F66ABB-767A-4C47-B469-A354CFCE84F2}" name="POSS" dataDxfId="23"/>
    <tableColumn id="27" xr3:uid="{A4BE352C-68DB-4070-B415-21130E29A1D9}" name="PIE" dataDxfId="22"/>
    <tableColumn id="28" xr3:uid="{2FFCFEA6-E9C9-42EB-B2D8-CB634957460C}" name="GP_RANK" dataDxfId="21"/>
    <tableColumn id="29" xr3:uid="{520320C0-5689-44DA-9766-FFF0BE2EC27F}" name="W_RANK" dataDxfId="20"/>
    <tableColumn id="30" xr3:uid="{09E624E8-0D58-4A7B-BD72-8354145101D4}" name="L_RANK" dataDxfId="19"/>
    <tableColumn id="31" xr3:uid="{1F5EDDCB-E8E9-4594-A55F-A4E254BB4042}" name="W_PCT_RANK" dataDxfId="18"/>
    <tableColumn id="32" xr3:uid="{98BE0DB9-CBD4-4646-BBAD-5743F7A6F8F8}" name="MIN_RANK" dataDxfId="17"/>
    <tableColumn id="33" xr3:uid="{2AD75DFE-2E81-4306-ABB6-9D1202A7196E}" name="OFF_RATING_RANK" dataDxfId="16"/>
    <tableColumn id="34" xr3:uid="{6178491D-7956-4F11-8FCD-BBCE549E0722}" name="DEF_RATING_RANK" dataDxfId="15"/>
    <tableColumn id="35" xr3:uid="{0C1D039D-6DDB-4B46-B80C-89C03C713DB7}" name="NET_RATING_RANK" dataDxfId="14"/>
    <tableColumn id="36" xr3:uid="{F99AD34A-8F11-4945-834B-0F69588F4298}" name="AST_PCT_RANK" dataDxfId="13"/>
    <tableColumn id="37" xr3:uid="{2C5F0ACA-5E64-43E5-9911-8F5F36175447}" name="AST_TO_RANK" dataDxfId="12"/>
    <tableColumn id="38" xr3:uid="{2DCC9958-6CDA-44F4-AFFE-77219BCD609E}" name="AST_RATIO_RANK" dataDxfId="11"/>
    <tableColumn id="39" xr3:uid="{53FE4A12-C287-4460-99A4-FB6AAA8C684C}" name="OREB_PCT_RANK" dataDxfId="10"/>
    <tableColumn id="40" xr3:uid="{B939CC32-B6A7-4262-AC0C-E554F2F8987C}" name="DREB_PCT_RANK" dataDxfId="9"/>
    <tableColumn id="41" xr3:uid="{9E93E721-4131-469C-9D72-1270B8A699F9}" name="REB_PCT_RANK" dataDxfId="8"/>
    <tableColumn id="42" xr3:uid="{2033BD07-4D45-4031-A389-695D07CFB7FB}" name="TM_TOV_PCT_RANK" dataDxfId="7"/>
    <tableColumn id="43" xr3:uid="{ED102302-3789-43F2-8768-F9887A606F1E}" name="EFG_PCT_RANK" dataDxfId="6"/>
    <tableColumn id="44" xr3:uid="{409792ED-B890-4A38-B929-36525FE36D11}" name="TS_PCT_RANK" dataDxfId="5"/>
    <tableColumn id="45" xr3:uid="{180DB3F4-D4D3-4D5F-80ED-AD2B31917FF2}" name="PACE_RANK" dataDxfId="4"/>
    <tableColumn id="46" xr3:uid="{F48AE637-3DE9-4D26-88A2-B9DC9D41772F}" name="PIE_RANK" dataDxfId="3"/>
    <tableColumn id="47" xr3:uid="{A73C7DA6-C3CE-4C2A-8E57-069670780D35}" name="CFID" dataDxfId="2"/>
    <tableColumn id="48" xr3:uid="{CE8AF4F8-22C9-4A27-9976-CA094A70A175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tabSelected="1" workbookViewId="0">
      <selection activeCell="C22" sqref="C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1404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1409</v>
      </c>
      <c r="D3" s="2">
        <v>7</v>
      </c>
      <c r="F3" s="1" t="s">
        <v>1405</v>
      </c>
      <c r="G3" s="2">
        <v>13</v>
      </c>
    </row>
    <row r="4" spans="1:7" x14ac:dyDescent="0.25">
      <c r="A4" s="23"/>
      <c r="B4" s="5" t="s">
        <v>6</v>
      </c>
      <c r="C4" s="11">
        <v>0.58499999999999996</v>
      </c>
      <c r="F4" s="11">
        <v>0.33300000000000002</v>
      </c>
    </row>
    <row r="5" spans="1:7" x14ac:dyDescent="0.25">
      <c r="A5" s="23"/>
      <c r="B5" s="5" t="s">
        <v>7</v>
      </c>
      <c r="C5" s="1" t="s">
        <v>1349</v>
      </c>
      <c r="F5" s="1" t="s">
        <v>1406</v>
      </c>
    </row>
    <row r="6" spans="1:7" x14ac:dyDescent="0.25">
      <c r="A6" s="23"/>
      <c r="B6" s="5" t="s">
        <v>2</v>
      </c>
      <c r="C6" s="1" t="s">
        <v>1410</v>
      </c>
      <c r="F6" s="1" t="s">
        <v>1407</v>
      </c>
    </row>
    <row r="7" spans="1:7" x14ac:dyDescent="0.25">
      <c r="A7" s="23"/>
      <c r="B7" s="5" t="s">
        <v>3</v>
      </c>
      <c r="C7" s="1" t="s">
        <v>1411</v>
      </c>
      <c r="F7" s="1" t="s">
        <v>1408</v>
      </c>
    </row>
    <row r="8" spans="1:7" x14ac:dyDescent="0.25">
      <c r="A8" s="23"/>
      <c r="B8" s="5" t="s">
        <v>0</v>
      </c>
      <c r="C8" s="1" t="s">
        <v>1412</v>
      </c>
      <c r="F8" s="1" t="s">
        <v>1405</v>
      </c>
    </row>
    <row r="9" spans="1:7" x14ac:dyDescent="0.25">
      <c r="A9" s="23"/>
      <c r="B9" s="5" t="s">
        <v>1</v>
      </c>
      <c r="C9" s="1" t="s">
        <v>1413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0.47799999999999998</v>
      </c>
      <c r="D11" s="3">
        <v>2</v>
      </c>
      <c r="F11" s="9">
        <v>0.46899999999999997</v>
      </c>
      <c r="G11" s="3">
        <v>5</v>
      </c>
    </row>
    <row r="12" spans="1:7" x14ac:dyDescent="0.25">
      <c r="A12" s="23"/>
      <c r="B12" s="14" t="s">
        <v>36</v>
      </c>
      <c r="C12" s="8">
        <v>42.3</v>
      </c>
      <c r="D12" s="3">
        <v>8</v>
      </c>
      <c r="F12" s="8">
        <v>42.6</v>
      </c>
      <c r="G12" s="3">
        <v>5</v>
      </c>
    </row>
    <row r="13" spans="1:7" x14ac:dyDescent="0.25">
      <c r="A13" s="23"/>
      <c r="B13" s="14" t="s">
        <v>37</v>
      </c>
      <c r="C13" s="8">
        <v>88.4</v>
      </c>
      <c r="D13" s="3">
        <v>17</v>
      </c>
      <c r="F13" s="8">
        <v>90.8</v>
      </c>
      <c r="G13" s="3">
        <v>11</v>
      </c>
    </row>
    <row r="14" spans="1:7" x14ac:dyDescent="0.25">
      <c r="A14" s="23"/>
      <c r="B14" s="14" t="s">
        <v>27</v>
      </c>
      <c r="C14" s="9">
        <v>0.39200000000000002</v>
      </c>
      <c r="D14" s="3">
        <v>1</v>
      </c>
      <c r="F14" s="9">
        <v>0.35099999999999998</v>
      </c>
      <c r="G14" s="3">
        <v>16</v>
      </c>
    </row>
    <row r="15" spans="1:7" x14ac:dyDescent="0.25">
      <c r="A15" s="23"/>
      <c r="B15" s="14" t="s">
        <v>38</v>
      </c>
      <c r="C15" s="8">
        <v>9.9</v>
      </c>
      <c r="D15" s="3">
        <v>26</v>
      </c>
      <c r="F15" s="8">
        <v>8.9</v>
      </c>
      <c r="G15" s="3">
        <v>30</v>
      </c>
    </row>
    <row r="16" spans="1:7" x14ac:dyDescent="0.25">
      <c r="A16" s="23"/>
      <c r="B16" s="14" t="s">
        <v>39</v>
      </c>
      <c r="C16" s="8">
        <v>25.3</v>
      </c>
      <c r="D16" s="3">
        <v>30</v>
      </c>
      <c r="F16" s="8">
        <v>25.5</v>
      </c>
      <c r="G16" s="3">
        <v>30</v>
      </c>
    </row>
    <row r="17" spans="1:7" x14ac:dyDescent="0.25">
      <c r="A17" s="23"/>
      <c r="B17" s="14" t="s">
        <v>28</v>
      </c>
      <c r="C17" s="9">
        <v>0.81899999999999995</v>
      </c>
      <c r="D17" s="3">
        <v>1</v>
      </c>
      <c r="F17" s="9">
        <v>0.78600000000000003</v>
      </c>
      <c r="G17" s="3">
        <v>8</v>
      </c>
    </row>
    <row r="18" spans="1:7" x14ac:dyDescent="0.25">
      <c r="A18" s="23"/>
      <c r="B18" s="14" t="s">
        <v>41</v>
      </c>
      <c r="C18" s="8">
        <v>17.2</v>
      </c>
      <c r="D18" s="3">
        <v>20</v>
      </c>
      <c r="F18" s="8">
        <v>19.399999999999999</v>
      </c>
      <c r="G18" s="3">
        <v>10</v>
      </c>
    </row>
    <row r="19" spans="1:7" x14ac:dyDescent="0.25">
      <c r="A19" s="23"/>
      <c r="B19" s="14" t="s">
        <v>40</v>
      </c>
      <c r="C19" s="8">
        <v>21</v>
      </c>
      <c r="D19" s="3">
        <v>24</v>
      </c>
      <c r="F19" s="8">
        <v>24.7</v>
      </c>
      <c r="G19" s="3">
        <v>15</v>
      </c>
    </row>
    <row r="20" spans="1:7" x14ac:dyDescent="0.25">
      <c r="A20" s="23"/>
      <c r="B20" s="14" t="s">
        <v>29</v>
      </c>
      <c r="C20" s="8">
        <v>24.5</v>
      </c>
      <c r="D20" s="3">
        <v>16</v>
      </c>
      <c r="F20" s="8">
        <v>24.1</v>
      </c>
      <c r="G20" s="3">
        <v>15</v>
      </c>
    </row>
    <row r="21" spans="1:7" x14ac:dyDescent="0.25">
      <c r="A21" s="23"/>
      <c r="B21" s="14" t="s">
        <v>30</v>
      </c>
      <c r="C21" s="8">
        <v>12.1</v>
      </c>
      <c r="D21" s="3">
        <v>1</v>
      </c>
      <c r="F21" s="8">
        <v>13.9</v>
      </c>
      <c r="G21" s="3">
        <v>6</v>
      </c>
    </row>
    <row r="22" spans="1:7" x14ac:dyDescent="0.25">
      <c r="A22" s="23"/>
      <c r="B22" s="14" t="s">
        <v>32</v>
      </c>
      <c r="C22" s="8">
        <v>44.7</v>
      </c>
      <c r="D22" s="3">
        <v>21</v>
      </c>
      <c r="F22" s="8">
        <v>47.1</v>
      </c>
      <c r="G22" s="3">
        <v>9</v>
      </c>
    </row>
    <row r="23" spans="1:7" x14ac:dyDescent="0.25">
      <c r="A23" s="23"/>
      <c r="B23" s="14" t="s">
        <v>31</v>
      </c>
      <c r="C23" s="8">
        <v>9.1999999999999993</v>
      </c>
      <c r="D23" s="3">
        <v>27</v>
      </c>
      <c r="F23" s="8">
        <v>11.7</v>
      </c>
      <c r="G23" s="3">
        <v>2</v>
      </c>
    </row>
    <row r="24" spans="1:7" x14ac:dyDescent="0.25">
      <c r="A24" s="23"/>
      <c r="B24" s="14" t="s">
        <v>33</v>
      </c>
      <c r="C24" s="8">
        <v>35.5</v>
      </c>
      <c r="D24" s="3">
        <v>12</v>
      </c>
      <c r="F24" s="8">
        <v>35.299999999999997</v>
      </c>
      <c r="G24" s="3">
        <v>17</v>
      </c>
    </row>
    <row r="25" spans="1:7" x14ac:dyDescent="0.25">
      <c r="A25" s="23"/>
      <c r="B25" s="14" t="s">
        <v>34</v>
      </c>
      <c r="C25" s="8">
        <v>6.1</v>
      </c>
      <c r="D25" s="3">
        <v>30</v>
      </c>
      <c r="F25" s="8">
        <v>6.1</v>
      </c>
      <c r="G25" s="3">
        <v>28</v>
      </c>
    </row>
    <row r="26" spans="1:7" x14ac:dyDescent="0.25">
      <c r="A26" s="23"/>
      <c r="B26" s="14" t="s">
        <v>35</v>
      </c>
      <c r="C26" s="8">
        <v>4.7</v>
      </c>
      <c r="D26" s="3">
        <v>21</v>
      </c>
      <c r="F26" s="8">
        <v>5.6</v>
      </c>
      <c r="G26" s="3">
        <v>9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0.46300000000000002</v>
      </c>
      <c r="D28" s="3">
        <v>18</v>
      </c>
      <c r="F28" s="9">
        <v>0.47899999999999998</v>
      </c>
      <c r="G28" s="3">
        <v>26</v>
      </c>
    </row>
    <row r="29" spans="1:7" x14ac:dyDescent="0.25">
      <c r="A29" s="23"/>
      <c r="B29" s="18" t="s">
        <v>43</v>
      </c>
      <c r="C29" s="9">
        <v>0.35899999999999999</v>
      </c>
      <c r="D29" s="3">
        <v>18</v>
      </c>
      <c r="F29" s="9">
        <v>0.38100000000000001</v>
      </c>
      <c r="G29" s="3">
        <v>27</v>
      </c>
    </row>
    <row r="30" spans="1:7" x14ac:dyDescent="0.25">
      <c r="A30" s="23"/>
      <c r="B30" s="18" t="s">
        <v>44</v>
      </c>
      <c r="C30" s="8">
        <v>11.7</v>
      </c>
      <c r="D30" s="3">
        <v>18</v>
      </c>
      <c r="F30" s="8">
        <v>11.8</v>
      </c>
      <c r="G30" s="3">
        <v>16</v>
      </c>
    </row>
    <row r="31" spans="1:7" x14ac:dyDescent="0.25">
      <c r="A31" s="23"/>
      <c r="B31" s="17" t="s">
        <v>45</v>
      </c>
      <c r="C31" s="8">
        <v>32.700000000000003</v>
      </c>
      <c r="D31" s="3">
        <v>18</v>
      </c>
      <c r="F31" s="8">
        <v>30.9</v>
      </c>
      <c r="G31" s="3">
        <v>5</v>
      </c>
    </row>
    <row r="32" spans="1:7" x14ac:dyDescent="0.25">
      <c r="A32" s="23"/>
      <c r="B32" s="17" t="s">
        <v>46</v>
      </c>
      <c r="C32" s="8">
        <v>12.2</v>
      </c>
      <c r="D32" s="3">
        <v>30</v>
      </c>
      <c r="F32" s="8">
        <v>12.7</v>
      </c>
      <c r="G32" s="3">
        <v>30</v>
      </c>
    </row>
    <row r="33" spans="1:7" x14ac:dyDescent="0.25">
      <c r="A33" s="23"/>
      <c r="B33" s="17" t="s">
        <v>47</v>
      </c>
      <c r="C33" s="8">
        <v>9.1999999999999993</v>
      </c>
      <c r="D33" s="3">
        <v>4</v>
      </c>
      <c r="F33" s="8">
        <v>8.5</v>
      </c>
      <c r="G33" s="3">
        <v>2</v>
      </c>
    </row>
    <row r="35" spans="1:7" x14ac:dyDescent="0.25">
      <c r="A35" s="23" t="s">
        <v>60</v>
      </c>
      <c r="B35" s="4" t="s">
        <v>8</v>
      </c>
      <c r="C35" s="8">
        <v>112.2</v>
      </c>
      <c r="D35" s="3">
        <v>6</v>
      </c>
      <c r="F35" s="8">
        <v>111.1</v>
      </c>
      <c r="G35" s="3">
        <v>5</v>
      </c>
    </row>
    <row r="36" spans="1:7" x14ac:dyDescent="0.25">
      <c r="A36" s="23"/>
      <c r="B36" s="4" t="s">
        <v>9</v>
      </c>
      <c r="C36" s="8">
        <v>110.5</v>
      </c>
      <c r="D36" s="3">
        <v>20</v>
      </c>
      <c r="F36" s="8">
        <v>113.6</v>
      </c>
      <c r="G36" s="3">
        <v>28</v>
      </c>
    </row>
    <row r="37" spans="1:7" x14ac:dyDescent="0.25">
      <c r="A37" s="23"/>
      <c r="B37" s="4" t="s">
        <v>10</v>
      </c>
      <c r="C37" s="8">
        <v>1.6</v>
      </c>
      <c r="D37" s="3">
        <v>12</v>
      </c>
      <c r="F37" s="8">
        <v>-2.5</v>
      </c>
      <c r="G37" s="3">
        <v>18</v>
      </c>
    </row>
    <row r="38" spans="1:7" x14ac:dyDescent="0.25">
      <c r="A38" s="23"/>
      <c r="B38" s="4" t="s">
        <v>11</v>
      </c>
      <c r="C38" s="13">
        <v>98.89</v>
      </c>
      <c r="D38" s="3">
        <v>22</v>
      </c>
      <c r="F38" s="13">
        <v>102.27</v>
      </c>
      <c r="G38" s="3">
        <v>14</v>
      </c>
    </row>
    <row r="39" spans="1:7" x14ac:dyDescent="0.25">
      <c r="A39" s="23"/>
      <c r="B39" s="4" t="s">
        <v>12</v>
      </c>
      <c r="C39" s="10">
        <v>0.53400000000000003</v>
      </c>
      <c r="D39" s="3">
        <v>6</v>
      </c>
      <c r="F39" s="9">
        <v>0.51800000000000002</v>
      </c>
      <c r="G39" s="3">
        <v>13</v>
      </c>
    </row>
    <row r="40" spans="1:7" x14ac:dyDescent="0.25">
      <c r="A40" s="23"/>
      <c r="B40" s="4" t="s">
        <v>13</v>
      </c>
      <c r="C40" s="10">
        <v>0.57999999999999996</v>
      </c>
      <c r="D40" s="3">
        <v>22</v>
      </c>
      <c r="F40" s="9">
        <v>0.56699999999999995</v>
      </c>
      <c r="G40" s="3">
        <v>20</v>
      </c>
    </row>
    <row r="41" spans="1:7" x14ac:dyDescent="0.25">
      <c r="A41" s="23"/>
      <c r="B41" s="4" t="s">
        <v>14</v>
      </c>
      <c r="C41" s="10">
        <v>0.501</v>
      </c>
      <c r="D41" s="3">
        <v>16</v>
      </c>
      <c r="F41" s="9">
        <v>0.51600000000000001</v>
      </c>
      <c r="G41" s="3">
        <v>5</v>
      </c>
    </row>
    <row r="42" spans="1:7" x14ac:dyDescent="0.25">
      <c r="A42" s="23"/>
      <c r="B42" s="4" t="s">
        <v>15</v>
      </c>
      <c r="C42" s="10">
        <v>0.246</v>
      </c>
      <c r="D42" s="3">
        <v>29</v>
      </c>
      <c r="F42" s="9">
        <v>0.27700000000000002</v>
      </c>
      <c r="G42" s="3">
        <v>12</v>
      </c>
    </row>
    <row r="43" spans="1:7" x14ac:dyDescent="0.25">
      <c r="A43" s="23"/>
      <c r="B43" s="4" t="s">
        <v>16</v>
      </c>
      <c r="C43" s="10">
        <v>0.74399999999999999</v>
      </c>
      <c r="D43" s="3">
        <v>6</v>
      </c>
      <c r="F43" s="9">
        <v>0.76100000000000001</v>
      </c>
      <c r="G43" s="3">
        <v>4</v>
      </c>
    </row>
    <row r="44" spans="1:7" x14ac:dyDescent="0.25">
      <c r="A44" s="23"/>
      <c r="B44" s="4" t="s">
        <v>17</v>
      </c>
      <c r="C44" s="10">
        <v>0.122</v>
      </c>
      <c r="D44" s="3">
        <v>1</v>
      </c>
      <c r="F44" s="9">
        <v>0.13600000000000001</v>
      </c>
      <c r="G44" s="3">
        <v>5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70.400000000000006</v>
      </c>
      <c r="D46" s="3">
        <v>25</v>
      </c>
      <c r="F46" s="8">
        <v>72.599999999999994</v>
      </c>
      <c r="G46" s="3">
        <v>13</v>
      </c>
    </row>
    <row r="47" spans="1:7" x14ac:dyDescent="0.25">
      <c r="A47" s="23"/>
      <c r="B47" s="20" t="s">
        <v>49</v>
      </c>
      <c r="C47" s="8">
        <v>70</v>
      </c>
      <c r="D47" s="3">
        <v>6</v>
      </c>
      <c r="F47" s="8">
        <v>77.5</v>
      </c>
      <c r="G47" s="3">
        <v>29</v>
      </c>
    </row>
    <row r="48" spans="1:7" x14ac:dyDescent="0.25">
      <c r="A48" s="23"/>
      <c r="B48" s="20" t="s">
        <v>50</v>
      </c>
      <c r="C48" s="8">
        <v>0.4</v>
      </c>
      <c r="D48" s="3">
        <v>14</v>
      </c>
      <c r="F48" s="8">
        <v>-4.9000000000000004</v>
      </c>
      <c r="G48" s="3">
        <v>27</v>
      </c>
    </row>
    <row r="49" spans="1:7" x14ac:dyDescent="0.25">
      <c r="A49" s="23"/>
      <c r="B49" s="20" t="s">
        <v>51</v>
      </c>
      <c r="C49" s="8">
        <v>57.8</v>
      </c>
      <c r="D49" s="3">
        <v>15</v>
      </c>
      <c r="F49" s="8">
        <v>64.900000000000006</v>
      </c>
      <c r="G49" s="3">
        <v>3</v>
      </c>
    </row>
    <row r="50" spans="1:7" x14ac:dyDescent="0.25">
      <c r="A50" s="23"/>
      <c r="B50" s="20" t="s">
        <v>52</v>
      </c>
      <c r="C50" s="8">
        <v>56.2</v>
      </c>
      <c r="D50" s="3">
        <v>12</v>
      </c>
      <c r="F50" s="8">
        <v>62.5</v>
      </c>
      <c r="G50" s="3">
        <v>27</v>
      </c>
    </row>
    <row r="51" spans="1:7" x14ac:dyDescent="0.25">
      <c r="A51" s="23"/>
      <c r="B51" s="20" t="s">
        <v>53</v>
      </c>
      <c r="C51" s="8">
        <v>1.5</v>
      </c>
      <c r="D51" s="3">
        <v>6</v>
      </c>
      <c r="F51" s="8">
        <v>2.2999999999999998</v>
      </c>
      <c r="G51" s="3">
        <v>7</v>
      </c>
    </row>
    <row r="53" spans="1:7" x14ac:dyDescent="0.25">
      <c r="A53" s="23" t="s">
        <v>57</v>
      </c>
      <c r="B53" s="6" t="s">
        <v>18</v>
      </c>
      <c r="C53" s="7">
        <v>14.1</v>
      </c>
      <c r="D53" s="3">
        <v>30</v>
      </c>
      <c r="F53" s="7">
        <v>15.1</v>
      </c>
      <c r="G53" s="3">
        <v>27</v>
      </c>
    </row>
    <row r="54" spans="1:7" x14ac:dyDescent="0.25">
      <c r="A54" s="23"/>
      <c r="B54" s="6" t="s">
        <v>19</v>
      </c>
      <c r="C54" s="7">
        <v>15</v>
      </c>
      <c r="D54" s="3">
        <v>6</v>
      </c>
      <c r="F54" s="7">
        <v>13.7</v>
      </c>
      <c r="G54" s="3">
        <v>3</v>
      </c>
    </row>
    <row r="55" spans="1:7" x14ac:dyDescent="0.25">
      <c r="A55" s="23"/>
      <c r="B55" s="6" t="s">
        <v>20</v>
      </c>
      <c r="C55" s="7">
        <v>11.5</v>
      </c>
      <c r="D55" s="3">
        <v>28</v>
      </c>
      <c r="F55" s="7">
        <v>12.3</v>
      </c>
      <c r="G55" s="3">
        <v>22</v>
      </c>
    </row>
    <row r="56" spans="1:7" x14ac:dyDescent="0.25">
      <c r="A56" s="23"/>
      <c r="B56" s="6" t="s">
        <v>21</v>
      </c>
      <c r="C56" s="7">
        <v>12.6</v>
      </c>
      <c r="D56" s="3">
        <v>9</v>
      </c>
      <c r="F56" s="7">
        <v>11.2</v>
      </c>
      <c r="G56" s="3">
        <v>4</v>
      </c>
    </row>
    <row r="57" spans="1:7" x14ac:dyDescent="0.25">
      <c r="A57" s="23"/>
      <c r="B57" s="6" t="s">
        <v>22</v>
      </c>
      <c r="C57" s="7">
        <v>10.4</v>
      </c>
      <c r="D57" s="3">
        <v>10.4</v>
      </c>
      <c r="F57" s="7">
        <v>14.6</v>
      </c>
      <c r="G57" s="3">
        <v>14.6</v>
      </c>
    </row>
    <row r="58" spans="1:7" x14ac:dyDescent="0.25">
      <c r="A58" s="23"/>
      <c r="B58" s="6" t="s">
        <v>23</v>
      </c>
      <c r="C58" s="7">
        <v>14.1</v>
      </c>
      <c r="D58" s="3">
        <v>14.1</v>
      </c>
      <c r="F58" s="7">
        <v>14.7</v>
      </c>
      <c r="G58" s="3">
        <v>14.7</v>
      </c>
    </row>
    <row r="59" spans="1:7" x14ac:dyDescent="0.25">
      <c r="A59" s="23"/>
      <c r="B59" s="6" t="s">
        <v>24</v>
      </c>
      <c r="C59" s="7">
        <v>43.2</v>
      </c>
      <c r="D59" s="3">
        <v>28</v>
      </c>
      <c r="F59" s="7">
        <v>45.5</v>
      </c>
      <c r="G59" s="3">
        <v>21</v>
      </c>
    </row>
    <row r="60" spans="1:7" x14ac:dyDescent="0.25">
      <c r="A60" s="23"/>
      <c r="B60" s="6" t="s">
        <v>25</v>
      </c>
      <c r="C60" s="7">
        <v>46.6</v>
      </c>
      <c r="D60" s="3">
        <v>6</v>
      </c>
      <c r="F60" s="7">
        <v>48.5</v>
      </c>
      <c r="G60" s="3">
        <v>18</v>
      </c>
    </row>
    <row r="62" spans="1:7" x14ac:dyDescent="0.25">
      <c r="A62" s="23" t="s">
        <v>58</v>
      </c>
      <c r="B62" s="21" t="s">
        <v>54</v>
      </c>
      <c r="C62" s="22">
        <v>4</v>
      </c>
      <c r="D62" s="3">
        <v>10</v>
      </c>
      <c r="F62" s="22">
        <v>3.1</v>
      </c>
      <c r="G62" s="3">
        <v>25</v>
      </c>
    </row>
    <row r="63" spans="1:7" x14ac:dyDescent="0.25">
      <c r="A63" s="23"/>
      <c r="B63" s="21" t="s">
        <v>55</v>
      </c>
      <c r="C63" s="3">
        <v>24</v>
      </c>
      <c r="D63" s="3">
        <v>5</v>
      </c>
      <c r="F63" s="3">
        <v>2</v>
      </c>
      <c r="G63" s="3">
        <v>23</v>
      </c>
    </row>
    <row r="64" spans="1:7" x14ac:dyDescent="0.25">
      <c r="A64" s="23"/>
      <c r="B64" s="21" t="s">
        <v>56</v>
      </c>
      <c r="C64" s="3">
        <v>16</v>
      </c>
      <c r="D64" s="3">
        <v>6</v>
      </c>
      <c r="F64" s="3">
        <v>8</v>
      </c>
      <c r="G64" s="3">
        <v>30</v>
      </c>
    </row>
    <row r="65" spans="1:7" x14ac:dyDescent="0.25">
      <c r="A65" s="23"/>
      <c r="B65" s="21" t="s">
        <v>26</v>
      </c>
      <c r="C65" s="9">
        <v>0.47299999999999998</v>
      </c>
      <c r="D65" s="3">
        <v>4</v>
      </c>
      <c r="F65" s="9">
        <v>0.40699999999999997</v>
      </c>
      <c r="G65" s="3">
        <v>21</v>
      </c>
    </row>
    <row r="66" spans="1:7" x14ac:dyDescent="0.25">
      <c r="A66" s="23"/>
      <c r="B66" s="21" t="s">
        <v>42</v>
      </c>
      <c r="C66" s="9">
        <v>0.45200000000000001</v>
      </c>
      <c r="D66" s="3">
        <v>26</v>
      </c>
      <c r="F66" s="9">
        <v>0.49199999999999999</v>
      </c>
      <c r="G66" s="3">
        <v>27</v>
      </c>
    </row>
    <row r="67" spans="1:7" x14ac:dyDescent="0.25">
      <c r="A67" s="23"/>
      <c r="B67" s="21" t="s">
        <v>8</v>
      </c>
      <c r="C67" s="8">
        <v>113.3</v>
      </c>
      <c r="D67" s="3">
        <v>5</v>
      </c>
      <c r="F67" s="8">
        <v>89.6</v>
      </c>
      <c r="G67" s="3">
        <v>27</v>
      </c>
    </row>
    <row r="68" spans="1:7" x14ac:dyDescent="0.25">
      <c r="A68" s="23"/>
      <c r="B68" s="21" t="s">
        <v>9</v>
      </c>
      <c r="C68" s="8">
        <v>112.1</v>
      </c>
      <c r="D68" s="3">
        <v>24</v>
      </c>
      <c r="F68" s="8">
        <v>132.9</v>
      </c>
      <c r="G68" s="3">
        <v>28</v>
      </c>
    </row>
    <row r="69" spans="1:7" x14ac:dyDescent="0.25">
      <c r="A69" s="23"/>
      <c r="B69" s="21" t="s">
        <v>10</v>
      </c>
      <c r="C69" s="8">
        <v>1.2</v>
      </c>
      <c r="D69" s="3">
        <v>14</v>
      </c>
      <c r="F69" s="8">
        <v>-43.3</v>
      </c>
      <c r="G69" s="3">
        <v>30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9"/>
  <sheetViews>
    <sheetView workbookViewId="0">
      <selection activeCell="D7" sqref="D7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1610612759</v>
      </c>
      <c r="B2" s="1" t="s">
        <v>755</v>
      </c>
      <c r="C2" s="1" t="s">
        <v>145</v>
      </c>
      <c r="D2" s="1" t="s">
        <v>1350</v>
      </c>
      <c r="E2" s="1" t="s">
        <v>756</v>
      </c>
      <c r="F2" s="1" t="s">
        <v>1324</v>
      </c>
      <c r="G2" s="1" t="s">
        <v>286</v>
      </c>
      <c r="H2" s="1" t="s">
        <v>1351</v>
      </c>
      <c r="I2" s="1" t="s">
        <v>1352</v>
      </c>
      <c r="J2" s="1">
        <v>20</v>
      </c>
      <c r="K2" s="1" t="s">
        <v>756</v>
      </c>
      <c r="L2" s="1" t="s">
        <v>241</v>
      </c>
      <c r="M2" s="1">
        <v>1629022</v>
      </c>
    </row>
    <row r="3" spans="1:13" x14ac:dyDescent="0.25">
      <c r="A3" s="1">
        <v>1610612759</v>
      </c>
      <c r="B3" s="1" t="s">
        <v>755</v>
      </c>
      <c r="C3" s="1" t="s">
        <v>145</v>
      </c>
      <c r="D3" s="1" t="s">
        <v>1353</v>
      </c>
      <c r="E3" s="1" t="s">
        <v>1327</v>
      </c>
      <c r="F3" s="1" t="s">
        <v>1354</v>
      </c>
      <c r="G3" s="1" t="s">
        <v>286</v>
      </c>
      <c r="H3" s="1" t="s">
        <v>1332</v>
      </c>
      <c r="I3" s="1" t="s">
        <v>1355</v>
      </c>
      <c r="J3" s="1">
        <v>20</v>
      </c>
      <c r="K3" s="1" t="s">
        <v>1328</v>
      </c>
      <c r="L3" s="1" t="s">
        <v>1334</v>
      </c>
      <c r="M3" s="1">
        <v>1629640</v>
      </c>
    </row>
    <row r="4" spans="1:13" x14ac:dyDescent="0.25">
      <c r="A4" s="1">
        <v>1610612759</v>
      </c>
      <c r="B4" s="1" t="s">
        <v>755</v>
      </c>
      <c r="C4" s="1" t="s">
        <v>145</v>
      </c>
      <c r="D4" s="1" t="s">
        <v>1356</v>
      </c>
      <c r="E4" s="1" t="s">
        <v>758</v>
      </c>
      <c r="F4" s="1" t="s">
        <v>757</v>
      </c>
      <c r="G4" s="1" t="s">
        <v>266</v>
      </c>
      <c r="H4" s="1" t="s">
        <v>1329</v>
      </c>
      <c r="I4" s="1" t="s">
        <v>1357</v>
      </c>
      <c r="J4" s="1">
        <v>25</v>
      </c>
      <c r="K4" s="1" t="s">
        <v>1323</v>
      </c>
      <c r="L4" s="1" t="s">
        <v>1358</v>
      </c>
      <c r="M4" s="1">
        <v>1628401</v>
      </c>
    </row>
    <row r="5" spans="1:13" x14ac:dyDescent="0.25">
      <c r="A5" s="1">
        <v>1610612759</v>
      </c>
      <c r="B5" s="1" t="s">
        <v>755</v>
      </c>
      <c r="C5" s="1" t="s">
        <v>145</v>
      </c>
      <c r="D5" s="1" t="s">
        <v>1359</v>
      </c>
      <c r="E5" s="1" t="s">
        <v>759</v>
      </c>
      <c r="F5" s="1" t="s">
        <v>757</v>
      </c>
      <c r="G5" s="1" t="s">
        <v>266</v>
      </c>
      <c r="H5" s="1" t="s">
        <v>1360</v>
      </c>
      <c r="I5" s="1" t="s">
        <v>1361</v>
      </c>
      <c r="J5" s="1">
        <v>23</v>
      </c>
      <c r="K5" s="1" t="s">
        <v>1323</v>
      </c>
      <c r="L5" s="1" t="s">
        <v>357</v>
      </c>
      <c r="M5" s="1">
        <v>1627749</v>
      </c>
    </row>
    <row r="6" spans="1:13" x14ac:dyDescent="0.25">
      <c r="A6" s="1">
        <v>1610612759</v>
      </c>
      <c r="B6" s="1" t="s">
        <v>755</v>
      </c>
      <c r="C6" s="1" t="s">
        <v>145</v>
      </c>
      <c r="D6" s="1" t="s">
        <v>1362</v>
      </c>
      <c r="E6" s="1" t="s">
        <v>1326</v>
      </c>
      <c r="F6" s="1" t="s">
        <v>1333</v>
      </c>
      <c r="G6" s="1" t="s">
        <v>337</v>
      </c>
      <c r="H6" s="1" t="s">
        <v>1347</v>
      </c>
      <c r="I6" s="1" t="s">
        <v>1363</v>
      </c>
      <c r="J6" s="1">
        <v>22</v>
      </c>
      <c r="K6" s="1" t="s">
        <v>756</v>
      </c>
      <c r="L6" s="1" t="s">
        <v>1343</v>
      </c>
      <c r="M6" s="1">
        <v>1629002</v>
      </c>
    </row>
    <row r="7" spans="1:13" x14ac:dyDescent="0.25">
      <c r="A7" s="1">
        <v>1610612759</v>
      </c>
      <c r="B7" s="1" t="s">
        <v>755</v>
      </c>
      <c r="C7" s="1" t="s">
        <v>145</v>
      </c>
      <c r="D7" s="1" t="s">
        <v>1364</v>
      </c>
      <c r="E7" s="1" t="s">
        <v>1338</v>
      </c>
      <c r="F7" s="1" t="s">
        <v>757</v>
      </c>
      <c r="G7" s="1" t="s">
        <v>409</v>
      </c>
      <c r="H7" s="1" t="s">
        <v>1360</v>
      </c>
      <c r="I7" s="1" t="s">
        <v>1365</v>
      </c>
      <c r="J7" s="1">
        <v>31</v>
      </c>
      <c r="K7" s="1" t="s">
        <v>1341</v>
      </c>
      <c r="L7" s="1" t="s">
        <v>1366</v>
      </c>
      <c r="M7" s="1">
        <v>201988</v>
      </c>
    </row>
    <row r="8" spans="1:13" x14ac:dyDescent="0.25">
      <c r="A8" s="1">
        <v>1610612759</v>
      </c>
      <c r="B8" s="1" t="s">
        <v>755</v>
      </c>
      <c r="C8" s="1" t="s">
        <v>145</v>
      </c>
      <c r="D8" s="1" t="s">
        <v>1367</v>
      </c>
      <c r="E8" s="1" t="s">
        <v>1341</v>
      </c>
      <c r="F8" s="1" t="s">
        <v>1324</v>
      </c>
      <c r="G8" s="1" t="s">
        <v>1339</v>
      </c>
      <c r="H8" s="1" t="s">
        <v>1332</v>
      </c>
      <c r="I8" s="1" t="s">
        <v>1368</v>
      </c>
      <c r="J8" s="1">
        <v>30</v>
      </c>
      <c r="K8" s="1" t="s">
        <v>1341</v>
      </c>
      <c r="L8" s="1" t="s">
        <v>1343</v>
      </c>
      <c r="M8" s="1">
        <v>201942</v>
      </c>
    </row>
    <row r="9" spans="1:13" x14ac:dyDescent="0.25">
      <c r="A9" s="1">
        <v>1610612759</v>
      </c>
      <c r="B9" s="1" t="s">
        <v>755</v>
      </c>
      <c r="C9" s="1" t="s">
        <v>145</v>
      </c>
      <c r="D9" s="1" t="s">
        <v>1369</v>
      </c>
      <c r="E9" s="1" t="s">
        <v>1370</v>
      </c>
      <c r="F9" s="1" t="s">
        <v>757</v>
      </c>
      <c r="G9" s="1" t="s">
        <v>227</v>
      </c>
      <c r="H9" s="1" t="s">
        <v>1346</v>
      </c>
      <c r="I9" s="1" t="s">
        <v>1371</v>
      </c>
      <c r="J9" s="1">
        <v>26</v>
      </c>
      <c r="K9" s="1" t="s">
        <v>1327</v>
      </c>
      <c r="L9" s="1" t="s">
        <v>1372</v>
      </c>
      <c r="M9" s="1">
        <v>1627854</v>
      </c>
    </row>
    <row r="10" spans="1:13" x14ac:dyDescent="0.25">
      <c r="A10" s="1">
        <v>1610612759</v>
      </c>
      <c r="B10" s="1" t="s">
        <v>755</v>
      </c>
      <c r="C10" s="1" t="s">
        <v>145</v>
      </c>
      <c r="D10" s="1" t="s">
        <v>1373</v>
      </c>
      <c r="E10" s="1" t="s">
        <v>1374</v>
      </c>
      <c r="F10" s="1" t="s">
        <v>1375</v>
      </c>
      <c r="G10" s="1" t="s">
        <v>1335</v>
      </c>
      <c r="H10" s="1" t="s">
        <v>1376</v>
      </c>
      <c r="I10" s="1" t="s">
        <v>1377</v>
      </c>
      <c r="J10" s="1">
        <v>34</v>
      </c>
      <c r="K10" s="1" t="s">
        <v>1342</v>
      </c>
      <c r="L10" s="1" t="s">
        <v>1340</v>
      </c>
      <c r="M10" s="1">
        <v>200746</v>
      </c>
    </row>
    <row r="11" spans="1:13" x14ac:dyDescent="0.25">
      <c r="A11" s="1">
        <v>1610612759</v>
      </c>
      <c r="B11" s="1" t="s">
        <v>755</v>
      </c>
      <c r="C11" s="1" t="s">
        <v>145</v>
      </c>
      <c r="D11" s="1" t="s">
        <v>1378</v>
      </c>
      <c r="E11" s="1" t="s">
        <v>1379</v>
      </c>
      <c r="F11" s="1" t="s">
        <v>1333</v>
      </c>
      <c r="G11" s="1" t="s">
        <v>337</v>
      </c>
      <c r="H11" s="1" t="s">
        <v>1331</v>
      </c>
      <c r="I11" s="1" t="s">
        <v>1380</v>
      </c>
      <c r="J11" s="1">
        <v>22</v>
      </c>
      <c r="K11" s="1" t="s">
        <v>756</v>
      </c>
      <c r="L11" s="1" t="s">
        <v>1381</v>
      </c>
      <c r="M11" s="1">
        <v>1629234</v>
      </c>
    </row>
    <row r="12" spans="1:13" x14ac:dyDescent="0.25">
      <c r="A12" s="1">
        <v>1610612759</v>
      </c>
      <c r="B12" s="1" t="s">
        <v>755</v>
      </c>
      <c r="C12" s="1" t="s">
        <v>145</v>
      </c>
      <c r="D12" s="1" t="s">
        <v>1382</v>
      </c>
      <c r="E12" s="1" t="s">
        <v>1337</v>
      </c>
      <c r="F12" s="1" t="s">
        <v>757</v>
      </c>
      <c r="G12" s="1" t="s">
        <v>256</v>
      </c>
      <c r="H12" s="1" t="s">
        <v>1346</v>
      </c>
      <c r="I12" s="1" t="s">
        <v>1383</v>
      </c>
      <c r="J12" s="1">
        <v>23</v>
      </c>
      <c r="K12" s="1" t="s">
        <v>1328</v>
      </c>
      <c r="L12" s="1" t="s">
        <v>1384</v>
      </c>
      <c r="M12" s="1">
        <v>1629683</v>
      </c>
    </row>
    <row r="13" spans="1:13" x14ac:dyDescent="0.25">
      <c r="A13" s="1">
        <v>1610612759</v>
      </c>
      <c r="B13" s="1" t="s">
        <v>755</v>
      </c>
      <c r="C13" s="1" t="s">
        <v>145</v>
      </c>
      <c r="D13" s="1" t="s">
        <v>1385</v>
      </c>
      <c r="E13" s="1" t="s">
        <v>1386</v>
      </c>
      <c r="F13" s="1" t="s">
        <v>757</v>
      </c>
      <c r="G13" s="1" t="s">
        <v>286</v>
      </c>
      <c r="H13" s="1" t="s">
        <v>1332</v>
      </c>
      <c r="I13" s="1" t="s">
        <v>1387</v>
      </c>
      <c r="J13" s="1">
        <v>33</v>
      </c>
      <c r="K13" s="1" t="s">
        <v>1374</v>
      </c>
      <c r="L13" s="1" t="s">
        <v>1325</v>
      </c>
      <c r="M13" s="1">
        <v>201158</v>
      </c>
    </row>
    <row r="14" spans="1:13" x14ac:dyDescent="0.25">
      <c r="A14" s="1">
        <v>1610612759</v>
      </c>
      <c r="B14" s="1" t="s">
        <v>755</v>
      </c>
      <c r="C14" s="1" t="s">
        <v>145</v>
      </c>
      <c r="D14" s="1" t="s">
        <v>1388</v>
      </c>
      <c r="E14" s="1" t="s">
        <v>1344</v>
      </c>
      <c r="F14" s="1" t="s">
        <v>760</v>
      </c>
      <c r="G14" s="1" t="s">
        <v>410</v>
      </c>
      <c r="H14" s="1" t="s">
        <v>1389</v>
      </c>
      <c r="I14" s="1" t="s">
        <v>1390</v>
      </c>
      <c r="J14" s="1">
        <v>19</v>
      </c>
      <c r="K14" s="1" t="s">
        <v>1328</v>
      </c>
      <c r="L14" s="1" t="s">
        <v>1325</v>
      </c>
      <c r="M14" s="1">
        <v>1629677</v>
      </c>
    </row>
    <row r="15" spans="1:13" x14ac:dyDescent="0.25">
      <c r="A15" s="1">
        <v>1610612759</v>
      </c>
      <c r="B15" s="1" t="s">
        <v>755</v>
      </c>
      <c r="C15" s="1" t="s">
        <v>145</v>
      </c>
      <c r="D15" s="1" t="s">
        <v>1391</v>
      </c>
      <c r="E15" s="1" t="s">
        <v>1345</v>
      </c>
      <c r="F15" s="1" t="s">
        <v>1354</v>
      </c>
      <c r="G15" s="1" t="s">
        <v>299</v>
      </c>
      <c r="H15" s="1" t="s">
        <v>1376</v>
      </c>
      <c r="I15" s="1" t="s">
        <v>1392</v>
      </c>
      <c r="J15" s="1">
        <v>33</v>
      </c>
      <c r="K15" s="1" t="s">
        <v>1342</v>
      </c>
      <c r="L15" s="1" t="s">
        <v>1393</v>
      </c>
      <c r="M15" s="1">
        <v>200752</v>
      </c>
    </row>
    <row r="16" spans="1:13" x14ac:dyDescent="0.25">
      <c r="A16" s="1">
        <v>1610612759</v>
      </c>
      <c r="B16" s="1" t="s">
        <v>755</v>
      </c>
      <c r="C16" s="1" t="s">
        <v>145</v>
      </c>
      <c r="D16" s="1" t="s">
        <v>1394</v>
      </c>
      <c r="E16" s="1" t="s">
        <v>1395</v>
      </c>
      <c r="F16" s="1" t="s">
        <v>1330</v>
      </c>
      <c r="G16" s="1" t="s">
        <v>213</v>
      </c>
      <c r="H16" s="1" t="s">
        <v>1331</v>
      </c>
      <c r="I16" s="1" t="s">
        <v>1396</v>
      </c>
      <c r="J16" s="1">
        <v>24</v>
      </c>
      <c r="K16" s="1" t="s">
        <v>1327</v>
      </c>
      <c r="L16" s="1" t="s">
        <v>283</v>
      </c>
      <c r="M16" s="1">
        <v>1627751</v>
      </c>
    </row>
    <row r="17" spans="1:13" x14ac:dyDescent="0.25">
      <c r="A17" s="1">
        <v>1610612759</v>
      </c>
      <c r="B17" s="1" t="s">
        <v>755</v>
      </c>
      <c r="C17" s="1" t="s">
        <v>145</v>
      </c>
      <c r="D17" s="1" t="s">
        <v>1397</v>
      </c>
      <c r="E17" s="1" t="s">
        <v>1398</v>
      </c>
      <c r="F17" s="1" t="s">
        <v>760</v>
      </c>
      <c r="G17" s="1" t="s">
        <v>337</v>
      </c>
      <c r="H17" s="1" t="s">
        <v>1348</v>
      </c>
      <c r="I17" s="1" t="s">
        <v>1399</v>
      </c>
      <c r="J17" s="1">
        <v>24</v>
      </c>
      <c r="K17" s="1" t="s">
        <v>758</v>
      </c>
      <c r="L17" s="1" t="s">
        <v>1334</v>
      </c>
      <c r="M17" s="1">
        <v>1626168</v>
      </c>
    </row>
    <row r="18" spans="1:13" x14ac:dyDescent="0.25">
      <c r="A18" s="1">
        <v>1610612759</v>
      </c>
      <c r="B18" s="1" t="s">
        <v>755</v>
      </c>
      <c r="C18" s="1" t="s">
        <v>145</v>
      </c>
      <c r="D18" s="1" t="s">
        <v>1400</v>
      </c>
      <c r="E18" s="1" t="s">
        <v>1401</v>
      </c>
      <c r="F18" s="1" t="s">
        <v>760</v>
      </c>
      <c r="G18" s="1" t="s">
        <v>1339</v>
      </c>
      <c r="H18" s="1" t="s">
        <v>1336</v>
      </c>
      <c r="I18" s="1" t="s">
        <v>1402</v>
      </c>
      <c r="J18" s="1">
        <v>33</v>
      </c>
      <c r="K18" s="1" t="s">
        <v>1341</v>
      </c>
      <c r="L18" s="1" t="s">
        <v>1403</v>
      </c>
      <c r="M18" s="1">
        <v>201960</v>
      </c>
    </row>
    <row r="19" spans="1:13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1610612747</v>
      </c>
      <c r="D2" s="1" t="s">
        <v>147</v>
      </c>
      <c r="E2" s="1" t="s">
        <v>148</v>
      </c>
      <c r="F2" s="1" t="s">
        <v>149</v>
      </c>
      <c r="G2" s="1" t="s">
        <v>150</v>
      </c>
      <c r="H2" s="1">
        <v>1</v>
      </c>
      <c r="I2" s="1" t="s">
        <v>151</v>
      </c>
      <c r="J2" s="1" t="s">
        <v>152</v>
      </c>
      <c r="K2" s="1" t="s">
        <v>153</v>
      </c>
      <c r="L2" s="1">
        <v>1</v>
      </c>
      <c r="M2" s="1">
        <v>12</v>
      </c>
      <c r="N2" s="1">
        <v>2</v>
      </c>
      <c r="O2" s="1">
        <v>0.85699999999999998</v>
      </c>
      <c r="P2" s="1">
        <v>0</v>
      </c>
      <c r="Q2" s="1" t="s">
        <v>154</v>
      </c>
      <c r="R2" s="1" t="s">
        <v>150</v>
      </c>
      <c r="S2" s="1" t="s">
        <v>155</v>
      </c>
      <c r="T2" s="1" t="s">
        <v>156</v>
      </c>
      <c r="U2" s="1" t="s">
        <v>150</v>
      </c>
      <c r="V2" s="1" t="s">
        <v>155</v>
      </c>
      <c r="W2" s="1" t="s">
        <v>157</v>
      </c>
      <c r="X2" s="1" t="s">
        <v>157</v>
      </c>
      <c r="Y2" s="1" t="s">
        <v>158</v>
      </c>
      <c r="Z2" s="1">
        <v>4</v>
      </c>
      <c r="AA2" s="1" t="s">
        <v>159</v>
      </c>
      <c r="AB2" s="1">
        <v>4</v>
      </c>
      <c r="AC2" s="1" t="s">
        <v>159</v>
      </c>
      <c r="AD2" s="1">
        <v>7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5</v>
      </c>
      <c r="AK2" s="1" t="s">
        <v>160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156</v>
      </c>
      <c r="AT2" s="1" t="s">
        <v>153</v>
      </c>
      <c r="AU2" s="1" t="s">
        <v>161</v>
      </c>
      <c r="AV2" s="1" t="s">
        <v>162</v>
      </c>
      <c r="AW2" s="1" t="s">
        <v>163</v>
      </c>
      <c r="AX2" s="1" t="s">
        <v>164</v>
      </c>
      <c r="AY2" s="1" t="s">
        <v>165</v>
      </c>
      <c r="AZ2" s="1" t="s">
        <v>166</v>
      </c>
      <c r="BA2" s="1" t="s">
        <v>166</v>
      </c>
      <c r="BB2" s="1" t="s">
        <v>167</v>
      </c>
      <c r="BC2" s="1" t="s">
        <v>156</v>
      </c>
      <c r="BD2" s="1" t="s">
        <v>168</v>
      </c>
      <c r="BE2" s="1">
        <v>110.9</v>
      </c>
      <c r="BF2" s="1">
        <v>101.1</v>
      </c>
      <c r="BG2" s="1">
        <v>9.8000000000000007</v>
      </c>
      <c r="BH2" s="1" t="s">
        <v>169</v>
      </c>
      <c r="BI2" s="1" t="s">
        <v>170</v>
      </c>
      <c r="BJ2" s="1" t="s">
        <v>171</v>
      </c>
      <c r="BK2" s="1" t="s">
        <v>172</v>
      </c>
      <c r="BL2" s="1" t="s">
        <v>173</v>
      </c>
      <c r="BM2" s="1" t="s">
        <v>174</v>
      </c>
      <c r="BN2" s="1" t="s">
        <v>175</v>
      </c>
      <c r="BO2" s="1" t="s">
        <v>172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175</v>
      </c>
      <c r="BZ2" s="1" t="s">
        <v>176</v>
      </c>
      <c r="CA2" s="1"/>
      <c r="CB2" s="1" t="s">
        <v>154</v>
      </c>
      <c r="CC2" s="1"/>
    </row>
    <row r="3" spans="1:81" x14ac:dyDescent="0.25">
      <c r="A3" s="1" t="s">
        <v>145</v>
      </c>
      <c r="B3" s="1" t="s">
        <v>146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180</v>
      </c>
      <c r="H3" s="1">
        <v>1</v>
      </c>
      <c r="I3" s="1" t="s">
        <v>151</v>
      </c>
      <c r="J3" s="1" t="s">
        <v>181</v>
      </c>
      <c r="K3" s="1" t="s">
        <v>182</v>
      </c>
      <c r="L3" s="1">
        <v>1</v>
      </c>
      <c r="M3" s="1">
        <v>12</v>
      </c>
      <c r="N3" s="1">
        <v>3</v>
      </c>
      <c r="O3" s="1">
        <v>0.8</v>
      </c>
      <c r="P3" s="1">
        <v>0</v>
      </c>
      <c r="Q3" s="1" t="s">
        <v>183</v>
      </c>
      <c r="R3" s="1" t="s">
        <v>155</v>
      </c>
      <c r="S3" s="1" t="s">
        <v>184</v>
      </c>
      <c r="T3" s="1" t="s">
        <v>156</v>
      </c>
      <c r="U3" s="1" t="s">
        <v>155</v>
      </c>
      <c r="V3" s="1" t="s">
        <v>184</v>
      </c>
      <c r="W3" s="1" t="s">
        <v>185</v>
      </c>
      <c r="X3" s="1" t="s">
        <v>186</v>
      </c>
      <c r="Y3" s="1" t="s">
        <v>187</v>
      </c>
      <c r="Z3" s="1">
        <v>4</v>
      </c>
      <c r="AA3" s="1" t="s">
        <v>159</v>
      </c>
      <c r="AB3" s="1">
        <v>4</v>
      </c>
      <c r="AC3" s="1" t="s">
        <v>159</v>
      </c>
      <c r="AD3" s="1">
        <v>6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6</v>
      </c>
      <c r="AK3" s="1" t="s">
        <v>188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184</v>
      </c>
      <c r="AT3" s="1" t="s">
        <v>155</v>
      </c>
      <c r="AU3" s="1" t="s">
        <v>161</v>
      </c>
      <c r="AV3" s="1" t="s">
        <v>189</v>
      </c>
      <c r="AW3" s="1" t="s">
        <v>190</v>
      </c>
      <c r="AX3" s="1" t="s">
        <v>161</v>
      </c>
      <c r="AY3" s="1" t="s">
        <v>191</v>
      </c>
      <c r="AZ3" s="1" t="s">
        <v>192</v>
      </c>
      <c r="BA3" s="1" t="s">
        <v>193</v>
      </c>
      <c r="BB3" s="1" t="s">
        <v>189</v>
      </c>
      <c r="BC3" s="1" t="s">
        <v>167</v>
      </c>
      <c r="BD3" s="1" t="s">
        <v>155</v>
      </c>
      <c r="BE3" s="1">
        <v>120.8</v>
      </c>
      <c r="BF3" s="1">
        <v>111.5</v>
      </c>
      <c r="BG3" s="1">
        <v>9.3000000000000007</v>
      </c>
      <c r="BH3" s="1" t="s">
        <v>194</v>
      </c>
      <c r="BI3" s="1" t="s">
        <v>195</v>
      </c>
      <c r="BJ3" s="1" t="s">
        <v>196</v>
      </c>
      <c r="BK3" s="1" t="s">
        <v>197</v>
      </c>
      <c r="BL3" s="1" t="s">
        <v>198</v>
      </c>
      <c r="BM3" s="1" t="s">
        <v>175</v>
      </c>
      <c r="BN3" s="1" t="s">
        <v>171</v>
      </c>
      <c r="BO3" s="1" t="s">
        <v>171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199</v>
      </c>
      <c r="BZ3" s="1" t="s">
        <v>200</v>
      </c>
      <c r="CA3" s="1"/>
      <c r="CB3" s="1" t="s">
        <v>183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1610612745</v>
      </c>
      <c r="D6" s="1" t="s">
        <v>229</v>
      </c>
      <c r="E6" s="1" t="s">
        <v>230</v>
      </c>
      <c r="F6" s="1" t="s">
        <v>149</v>
      </c>
      <c r="G6" s="1" t="s">
        <v>150</v>
      </c>
      <c r="H6" s="1">
        <v>3</v>
      </c>
      <c r="I6" s="1" t="s">
        <v>151</v>
      </c>
      <c r="J6" s="1" t="s">
        <v>231</v>
      </c>
      <c r="K6" s="1" t="s">
        <v>232</v>
      </c>
      <c r="L6" s="1">
        <v>1</v>
      </c>
      <c r="M6" s="1">
        <v>11</v>
      </c>
      <c r="N6" s="1">
        <v>4</v>
      </c>
      <c r="O6" s="1">
        <v>0.73299999999999998</v>
      </c>
      <c r="P6" s="1">
        <v>0</v>
      </c>
      <c r="Q6" s="1" t="s">
        <v>233</v>
      </c>
      <c r="R6" s="1" t="s">
        <v>187</v>
      </c>
      <c r="S6" s="1" t="s">
        <v>234</v>
      </c>
      <c r="T6" s="1" t="s">
        <v>184</v>
      </c>
      <c r="U6" s="1" t="s">
        <v>187</v>
      </c>
      <c r="V6" s="1" t="s">
        <v>234</v>
      </c>
      <c r="W6" s="1" t="s">
        <v>161</v>
      </c>
      <c r="X6" s="1" t="s">
        <v>163</v>
      </c>
      <c r="Y6" s="1" t="s">
        <v>235</v>
      </c>
      <c r="Z6" s="1">
        <v>6</v>
      </c>
      <c r="AA6" s="1" t="s">
        <v>188</v>
      </c>
      <c r="AB6" s="1">
        <v>4</v>
      </c>
      <c r="AC6" s="1" t="s">
        <v>159</v>
      </c>
      <c r="AD6" s="1">
        <v>8</v>
      </c>
      <c r="AE6" s="1">
        <v>2</v>
      </c>
      <c r="AF6" s="1">
        <v>6</v>
      </c>
      <c r="AG6" s="1" t="s">
        <v>188</v>
      </c>
      <c r="AH6" s="1">
        <v>-1</v>
      </c>
      <c r="AI6" s="1" t="s">
        <v>207</v>
      </c>
      <c r="AJ6" s="1">
        <v>-1</v>
      </c>
      <c r="AK6" s="1" t="s">
        <v>207</v>
      </c>
      <c r="AL6" s="1">
        <v>1.5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236</v>
      </c>
      <c r="AU6" s="1" t="s">
        <v>157</v>
      </c>
      <c r="AV6" s="1" t="s">
        <v>156</v>
      </c>
      <c r="AW6" s="1" t="s">
        <v>236</v>
      </c>
      <c r="AX6" s="1" t="s">
        <v>161</v>
      </c>
      <c r="AY6" s="1" t="s">
        <v>237</v>
      </c>
      <c r="AZ6" s="1" t="s">
        <v>238</v>
      </c>
      <c r="BA6" s="1" t="s">
        <v>226</v>
      </c>
      <c r="BB6" s="1" t="s">
        <v>205</v>
      </c>
      <c r="BC6" s="1" t="s">
        <v>187</v>
      </c>
      <c r="BD6" s="1" t="s">
        <v>187</v>
      </c>
      <c r="BE6" s="1">
        <v>117.9</v>
      </c>
      <c r="BF6" s="1">
        <v>113.1</v>
      </c>
      <c r="BG6" s="1">
        <v>4.7</v>
      </c>
      <c r="BH6" s="1" t="s">
        <v>239</v>
      </c>
      <c r="BI6" s="1" t="s">
        <v>170</v>
      </c>
      <c r="BJ6" s="1" t="s">
        <v>197</v>
      </c>
      <c r="BK6" s="1" t="s">
        <v>195</v>
      </c>
      <c r="BL6" s="1" t="s">
        <v>173</v>
      </c>
      <c r="BM6" s="1" t="s">
        <v>175</v>
      </c>
      <c r="BN6" s="1" t="s">
        <v>174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175</v>
      </c>
      <c r="BZ6" s="1" t="s">
        <v>240</v>
      </c>
      <c r="CA6" s="1"/>
      <c r="CB6" s="1" t="s">
        <v>233</v>
      </c>
      <c r="CC6" s="1"/>
    </row>
    <row r="7" spans="1:81" x14ac:dyDescent="0.25">
      <c r="A7" s="1" t="s">
        <v>145</v>
      </c>
      <c r="B7" s="1" t="s">
        <v>146</v>
      </c>
      <c r="C7" s="1">
        <v>1610612748</v>
      </c>
      <c r="D7" s="1" t="s">
        <v>241</v>
      </c>
      <c r="E7" s="1" t="s">
        <v>242</v>
      </c>
      <c r="F7" s="1" t="s">
        <v>179</v>
      </c>
      <c r="G7" s="1" t="s">
        <v>243</v>
      </c>
      <c r="H7" s="1">
        <v>3</v>
      </c>
      <c r="I7" s="1" t="s">
        <v>151</v>
      </c>
      <c r="J7" s="1" t="s">
        <v>244</v>
      </c>
      <c r="K7" s="1" t="s">
        <v>163</v>
      </c>
      <c r="L7" s="1">
        <v>1</v>
      </c>
      <c r="M7" s="1">
        <v>10</v>
      </c>
      <c r="N7" s="1">
        <v>3</v>
      </c>
      <c r="O7" s="1">
        <v>0.76900000000000002</v>
      </c>
      <c r="P7" s="1">
        <v>0</v>
      </c>
      <c r="Q7" s="1" t="s">
        <v>220</v>
      </c>
      <c r="R7" s="1" t="s">
        <v>243</v>
      </c>
      <c r="S7" s="1" t="s">
        <v>245</v>
      </c>
      <c r="T7" s="1" t="s">
        <v>184</v>
      </c>
      <c r="U7" s="1" t="s">
        <v>243</v>
      </c>
      <c r="V7" s="1" t="s">
        <v>245</v>
      </c>
      <c r="W7" s="1" t="s">
        <v>157</v>
      </c>
      <c r="X7" s="1" t="s">
        <v>161</v>
      </c>
      <c r="Y7" s="1" t="s">
        <v>180</v>
      </c>
      <c r="Z7" s="1">
        <v>6</v>
      </c>
      <c r="AA7" s="1" t="s">
        <v>188</v>
      </c>
      <c r="AB7" s="1">
        <v>1</v>
      </c>
      <c r="AC7" s="1" t="s">
        <v>246</v>
      </c>
      <c r="AD7" s="1">
        <v>4</v>
      </c>
      <c r="AE7" s="1">
        <v>1</v>
      </c>
      <c r="AF7" s="1">
        <v>6</v>
      </c>
      <c r="AG7" s="1" t="s">
        <v>188</v>
      </c>
      <c r="AH7" s="1">
        <v>1</v>
      </c>
      <c r="AI7" s="1" t="s">
        <v>246</v>
      </c>
      <c r="AJ7" s="1">
        <v>4</v>
      </c>
      <c r="AK7" s="1" t="s">
        <v>159</v>
      </c>
      <c r="AL7" s="1">
        <v>1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224</v>
      </c>
      <c r="AU7" s="1" t="s">
        <v>161</v>
      </c>
      <c r="AV7" s="1" t="s">
        <v>150</v>
      </c>
      <c r="AW7" s="1" t="s">
        <v>224</v>
      </c>
      <c r="AX7" s="1" t="s">
        <v>161</v>
      </c>
      <c r="AY7" s="1" t="s">
        <v>210</v>
      </c>
      <c r="AZ7" s="1" t="s">
        <v>166</v>
      </c>
      <c r="BA7" s="1" t="s">
        <v>206</v>
      </c>
      <c r="BB7" s="1" t="s">
        <v>210</v>
      </c>
      <c r="BC7" s="1" t="s">
        <v>247</v>
      </c>
      <c r="BD7" s="1" t="s">
        <v>208</v>
      </c>
      <c r="BE7" s="1">
        <v>112.2</v>
      </c>
      <c r="BF7" s="1">
        <v>103.7</v>
      </c>
      <c r="BG7" s="1">
        <v>8.5</v>
      </c>
      <c r="BH7" s="1" t="s">
        <v>248</v>
      </c>
      <c r="BI7" s="1" t="s">
        <v>215</v>
      </c>
      <c r="BJ7" s="1" t="s">
        <v>196</v>
      </c>
      <c r="BK7" s="1" t="s">
        <v>174</v>
      </c>
      <c r="BL7" s="1" t="s">
        <v>249</v>
      </c>
      <c r="BM7" s="1" t="s">
        <v>250</v>
      </c>
      <c r="BN7" s="1" t="s">
        <v>195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169</v>
      </c>
      <c r="BZ7" s="1" t="s">
        <v>227</v>
      </c>
      <c r="CA7" s="1"/>
      <c r="CB7" s="1" t="s">
        <v>220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262</v>
      </c>
      <c r="H22" s="1">
        <v>11</v>
      </c>
      <c r="I22" s="1" t="s">
        <v>151</v>
      </c>
      <c r="J22" s="1" t="s">
        <v>244</v>
      </c>
      <c r="K22" s="1" t="s">
        <v>185</v>
      </c>
      <c r="L22" s="1">
        <v>4</v>
      </c>
      <c r="M22" s="1">
        <v>4</v>
      </c>
      <c r="N22" s="1">
        <v>8</v>
      </c>
      <c r="O22" s="1">
        <v>0.33300000000000002</v>
      </c>
      <c r="P22" s="1">
        <v>0</v>
      </c>
      <c r="Q22" s="1" t="s">
        <v>351</v>
      </c>
      <c r="R22" s="1" t="s">
        <v>236</v>
      </c>
      <c r="S22" s="1" t="s">
        <v>300</v>
      </c>
      <c r="T22" s="1" t="s">
        <v>341</v>
      </c>
      <c r="U22" s="1" t="s">
        <v>236</v>
      </c>
      <c r="V22" s="1" t="s">
        <v>300</v>
      </c>
      <c r="W22" s="1" t="s">
        <v>161</v>
      </c>
      <c r="X22" s="1" t="s">
        <v>164</v>
      </c>
      <c r="Y22" s="1" t="s">
        <v>226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1</v>
      </c>
      <c r="AE22" s="1">
        <v>3</v>
      </c>
      <c r="AF22" s="1">
        <v>1</v>
      </c>
      <c r="AG22" s="1" t="s">
        <v>246</v>
      </c>
      <c r="AH22" s="1">
        <v>-1</v>
      </c>
      <c r="AI22" s="1" t="s">
        <v>207</v>
      </c>
      <c r="AJ22" s="1">
        <v>1</v>
      </c>
      <c r="AK22" s="1" t="s">
        <v>246</v>
      </c>
      <c r="AL22" s="1">
        <v>6.5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153</v>
      </c>
      <c r="AT22" s="1" t="s">
        <v>328</v>
      </c>
      <c r="AU22" s="1" t="s">
        <v>185</v>
      </c>
      <c r="AV22" s="1" t="s">
        <v>155</v>
      </c>
      <c r="AW22" s="1" t="s">
        <v>359</v>
      </c>
      <c r="AX22" s="1" t="s">
        <v>161</v>
      </c>
      <c r="AY22" s="1" t="s">
        <v>360</v>
      </c>
      <c r="AZ22" s="1" t="s">
        <v>320</v>
      </c>
      <c r="BA22" s="1" t="s">
        <v>304</v>
      </c>
      <c r="BB22" s="1" t="s">
        <v>254</v>
      </c>
      <c r="BC22" s="1" t="s">
        <v>186</v>
      </c>
      <c r="BD22" s="1" t="s">
        <v>264</v>
      </c>
      <c r="BE22" s="1">
        <v>119.7</v>
      </c>
      <c r="BF22" s="1">
        <v>121.1</v>
      </c>
      <c r="BG22" s="1">
        <v>-1.4</v>
      </c>
      <c r="BH22" s="1" t="s">
        <v>344</v>
      </c>
      <c r="BI22" s="1" t="s">
        <v>170</v>
      </c>
      <c r="BJ22" s="1" t="s">
        <v>267</v>
      </c>
      <c r="BK22" s="1" t="s">
        <v>170</v>
      </c>
      <c r="BL22" s="1" t="s">
        <v>295</v>
      </c>
      <c r="BM22" s="1" t="s">
        <v>197</v>
      </c>
      <c r="BN22" s="1" t="s">
        <v>215</v>
      </c>
      <c r="BO22" s="1" t="s">
        <v>282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305</v>
      </c>
      <c r="CA22" s="1"/>
      <c r="CB22" s="1" t="s">
        <v>351</v>
      </c>
      <c r="CC22" s="1"/>
    </row>
    <row r="23" spans="1:81" x14ac:dyDescent="0.25">
      <c r="A23" s="1" t="s">
        <v>145</v>
      </c>
      <c r="B23" s="1" t="s">
        <v>146</v>
      </c>
      <c r="C23" s="1">
        <v>1610612763</v>
      </c>
      <c r="D23" s="1" t="s">
        <v>361</v>
      </c>
      <c r="E23" s="1" t="s">
        <v>362</v>
      </c>
      <c r="F23" s="1" t="s">
        <v>149</v>
      </c>
      <c r="G23" s="1" t="s">
        <v>333</v>
      </c>
      <c r="H23" s="1">
        <v>11</v>
      </c>
      <c r="I23" s="1" t="s">
        <v>151</v>
      </c>
      <c r="J23" s="1" t="s">
        <v>231</v>
      </c>
      <c r="K23" s="1" t="s">
        <v>190</v>
      </c>
      <c r="L23" s="1">
        <v>4</v>
      </c>
      <c r="M23" s="1">
        <v>5</v>
      </c>
      <c r="N23" s="1">
        <v>9</v>
      </c>
      <c r="O23" s="1">
        <v>0.35699999999999998</v>
      </c>
      <c r="P23" s="1">
        <v>0</v>
      </c>
      <c r="Q23" s="1" t="s">
        <v>363</v>
      </c>
      <c r="R23" s="1" t="s">
        <v>333</v>
      </c>
      <c r="S23" s="1" t="s">
        <v>236</v>
      </c>
      <c r="T23" s="1" t="s">
        <v>310</v>
      </c>
      <c r="U23" s="1" t="s">
        <v>333</v>
      </c>
      <c r="V23" s="1" t="s">
        <v>236</v>
      </c>
      <c r="W23" s="1" t="s">
        <v>157</v>
      </c>
      <c r="X23" s="1" t="s">
        <v>232</v>
      </c>
      <c r="Y23" s="1" t="s">
        <v>328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3</v>
      </c>
      <c r="AE23" s="1">
        <v>3</v>
      </c>
      <c r="AF23" s="1">
        <v>-2</v>
      </c>
      <c r="AG23" s="1" t="s">
        <v>279</v>
      </c>
      <c r="AH23" s="1">
        <v>2</v>
      </c>
      <c r="AI23" s="1" t="s">
        <v>222</v>
      </c>
      <c r="AJ23" s="1">
        <v>-2</v>
      </c>
      <c r="AK23" s="1" t="s">
        <v>279</v>
      </c>
      <c r="AL23" s="1">
        <v>7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245</v>
      </c>
      <c r="AT23" s="1" t="s">
        <v>328</v>
      </c>
      <c r="AU23" s="1" t="s">
        <v>161</v>
      </c>
      <c r="AV23" s="1" t="s">
        <v>224</v>
      </c>
      <c r="AW23" s="1" t="s">
        <v>341</v>
      </c>
      <c r="AX23" s="1" t="s">
        <v>161</v>
      </c>
      <c r="AY23" s="1" t="s">
        <v>340</v>
      </c>
      <c r="AZ23" s="1" t="s">
        <v>342</v>
      </c>
      <c r="BA23" s="1" t="s">
        <v>310</v>
      </c>
      <c r="BB23" s="1" t="s">
        <v>158</v>
      </c>
      <c r="BC23" s="1" t="s">
        <v>245</v>
      </c>
      <c r="BD23" s="1" t="s">
        <v>208</v>
      </c>
      <c r="BE23" s="1">
        <v>109</v>
      </c>
      <c r="BF23" s="1">
        <v>118.4</v>
      </c>
      <c r="BG23" s="1">
        <v>-9.4</v>
      </c>
      <c r="BH23" s="1" t="s">
        <v>275</v>
      </c>
      <c r="BI23" s="1" t="s">
        <v>171</v>
      </c>
      <c r="BJ23" s="1" t="s">
        <v>170</v>
      </c>
      <c r="BK23" s="1" t="s">
        <v>267</v>
      </c>
      <c r="BL23" s="1" t="s">
        <v>364</v>
      </c>
      <c r="BM23" s="1" t="s">
        <v>197</v>
      </c>
      <c r="BN23" s="1" t="s">
        <v>356</v>
      </c>
      <c r="BO23" s="1" t="s">
        <v>267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323</v>
      </c>
      <c r="CA23" s="1"/>
      <c r="CB23" s="1" t="s">
        <v>363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1610612759</v>
      </c>
      <c r="D26" s="1" t="s">
        <v>374</v>
      </c>
      <c r="E26" s="1" t="s">
        <v>375</v>
      </c>
      <c r="F26" s="1" t="s">
        <v>149</v>
      </c>
      <c r="G26" s="1" t="s">
        <v>333</v>
      </c>
      <c r="H26" s="1">
        <v>13</v>
      </c>
      <c r="I26" s="1" t="s">
        <v>151</v>
      </c>
      <c r="J26" s="1" t="s">
        <v>231</v>
      </c>
      <c r="K26" s="1" t="s">
        <v>164</v>
      </c>
      <c r="L26" s="1">
        <v>5</v>
      </c>
      <c r="M26" s="1">
        <v>5</v>
      </c>
      <c r="N26" s="1">
        <v>10</v>
      </c>
      <c r="O26" s="1">
        <v>0.33300000000000002</v>
      </c>
      <c r="P26" s="1">
        <v>0</v>
      </c>
      <c r="Q26" s="1" t="s">
        <v>349</v>
      </c>
      <c r="R26" s="1" t="s">
        <v>254</v>
      </c>
      <c r="S26" s="1" t="s">
        <v>328</v>
      </c>
      <c r="T26" s="1" t="s">
        <v>376</v>
      </c>
      <c r="U26" s="1" t="s">
        <v>254</v>
      </c>
      <c r="V26" s="1" t="s">
        <v>328</v>
      </c>
      <c r="W26" s="1" t="s">
        <v>161</v>
      </c>
      <c r="X26" s="1" t="s">
        <v>260</v>
      </c>
      <c r="Y26" s="1" t="s">
        <v>190</v>
      </c>
      <c r="Z26" s="1">
        <v>3</v>
      </c>
      <c r="AA26" s="1" t="s">
        <v>223</v>
      </c>
      <c r="AB26" s="1">
        <v>-5</v>
      </c>
      <c r="AC26" s="1" t="s">
        <v>272</v>
      </c>
      <c r="AD26" s="1">
        <v>3</v>
      </c>
      <c r="AE26" s="1">
        <v>7</v>
      </c>
      <c r="AF26" s="1">
        <v>-3</v>
      </c>
      <c r="AG26" s="1" t="s">
        <v>301</v>
      </c>
      <c r="AH26" s="1">
        <v>-5</v>
      </c>
      <c r="AI26" s="1" t="s">
        <v>272</v>
      </c>
      <c r="AJ26" s="1">
        <v>-7</v>
      </c>
      <c r="AK26" s="1" t="s">
        <v>377</v>
      </c>
      <c r="AL26" s="1">
        <v>7.5</v>
      </c>
      <c r="AM26" s="1">
        <v>6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157</v>
      </c>
      <c r="AV26" s="1" t="s">
        <v>245</v>
      </c>
      <c r="AW26" s="1" t="s">
        <v>332</v>
      </c>
      <c r="AX26" s="1" t="s">
        <v>161</v>
      </c>
      <c r="AY26" s="1" t="s">
        <v>303</v>
      </c>
      <c r="AZ26" s="1" t="s">
        <v>378</v>
      </c>
      <c r="BA26" s="1" t="s">
        <v>309</v>
      </c>
      <c r="BB26" s="1" t="s">
        <v>245</v>
      </c>
      <c r="BC26" s="1" t="s">
        <v>265</v>
      </c>
      <c r="BD26" s="1" t="s">
        <v>262</v>
      </c>
      <c r="BE26" s="1">
        <v>113.5</v>
      </c>
      <c r="BF26" s="1">
        <v>116.2</v>
      </c>
      <c r="BG26" s="1">
        <v>-2.7</v>
      </c>
      <c r="BH26" s="1" t="s">
        <v>274</v>
      </c>
      <c r="BI26" s="1" t="s">
        <v>195</v>
      </c>
      <c r="BJ26" s="1" t="s">
        <v>215</v>
      </c>
      <c r="BK26" s="1" t="s">
        <v>282</v>
      </c>
      <c r="BL26" s="1" t="s">
        <v>364</v>
      </c>
      <c r="BM26" s="1" t="s">
        <v>199</v>
      </c>
      <c r="BN26" s="1" t="s">
        <v>267</v>
      </c>
      <c r="BO26" s="1" t="s">
        <v>250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175</v>
      </c>
      <c r="BZ26" s="1" t="s">
        <v>379</v>
      </c>
      <c r="CA26" s="1"/>
      <c r="CB26" s="1" t="s">
        <v>349</v>
      </c>
      <c r="CC26" s="1"/>
    </row>
    <row r="27" spans="1:81" x14ac:dyDescent="0.25">
      <c r="A27" s="1" t="s">
        <v>145</v>
      </c>
      <c r="B27" s="1" t="s">
        <v>146</v>
      </c>
      <c r="C27" s="1">
        <v>1610612765</v>
      </c>
      <c r="D27" s="1" t="s">
        <v>380</v>
      </c>
      <c r="E27" s="1" t="s">
        <v>381</v>
      </c>
      <c r="F27" s="1" t="s">
        <v>179</v>
      </c>
      <c r="G27" s="1" t="s">
        <v>382</v>
      </c>
      <c r="H27" s="1">
        <v>13</v>
      </c>
      <c r="I27" s="1" t="s">
        <v>151</v>
      </c>
      <c r="J27" s="1" t="s">
        <v>181</v>
      </c>
      <c r="K27" s="1" t="s">
        <v>236</v>
      </c>
      <c r="L27" s="1">
        <v>5</v>
      </c>
      <c r="M27" s="1">
        <v>4</v>
      </c>
      <c r="N27" s="1">
        <v>10</v>
      </c>
      <c r="O27" s="1">
        <v>0.28599999999999998</v>
      </c>
      <c r="P27" s="1">
        <v>0</v>
      </c>
      <c r="Q27" s="1" t="s">
        <v>371</v>
      </c>
      <c r="R27" s="1" t="s">
        <v>226</v>
      </c>
      <c r="S27" s="1" t="s">
        <v>332</v>
      </c>
      <c r="T27" s="1" t="s">
        <v>320</v>
      </c>
      <c r="U27" s="1" t="s">
        <v>226</v>
      </c>
      <c r="V27" s="1" t="s">
        <v>332</v>
      </c>
      <c r="W27" s="1" t="s">
        <v>161</v>
      </c>
      <c r="X27" s="1" t="s">
        <v>186</v>
      </c>
      <c r="Y27" s="1" t="s">
        <v>262</v>
      </c>
      <c r="Z27" s="1">
        <v>3</v>
      </c>
      <c r="AA27" s="1" t="s">
        <v>223</v>
      </c>
      <c r="AB27" s="1">
        <v>-7</v>
      </c>
      <c r="AC27" s="1" t="s">
        <v>377</v>
      </c>
      <c r="AD27" s="1">
        <v>1</v>
      </c>
      <c r="AE27" s="1">
        <v>5</v>
      </c>
      <c r="AF27" s="1">
        <v>-1</v>
      </c>
      <c r="AG27" s="1" t="s">
        <v>207</v>
      </c>
      <c r="AH27" s="1">
        <v>-7</v>
      </c>
      <c r="AI27" s="1" t="s">
        <v>377</v>
      </c>
      <c r="AJ27" s="1">
        <v>-5</v>
      </c>
      <c r="AK27" s="1" t="s">
        <v>272</v>
      </c>
      <c r="AL27" s="1">
        <v>7.5</v>
      </c>
      <c r="AM27" s="1">
        <v>7.5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161</v>
      </c>
      <c r="AV27" s="1" t="s">
        <v>232</v>
      </c>
      <c r="AW27" s="1" t="s">
        <v>368</v>
      </c>
      <c r="AX27" s="1" t="s">
        <v>164</v>
      </c>
      <c r="AY27" s="1" t="s">
        <v>360</v>
      </c>
      <c r="AZ27" s="1" t="s">
        <v>350</v>
      </c>
      <c r="BA27" s="1" t="s">
        <v>328</v>
      </c>
      <c r="BB27" s="1" t="s">
        <v>226</v>
      </c>
      <c r="BC27" s="1" t="s">
        <v>264</v>
      </c>
      <c r="BD27" s="1" t="s">
        <v>190</v>
      </c>
      <c r="BE27" s="1">
        <v>107.3</v>
      </c>
      <c r="BF27" s="1">
        <v>112</v>
      </c>
      <c r="BG27" s="1">
        <v>-4.7</v>
      </c>
      <c r="BH27" s="1" t="s">
        <v>383</v>
      </c>
      <c r="BI27" s="1" t="s">
        <v>199</v>
      </c>
      <c r="BJ27" s="1" t="s">
        <v>275</v>
      </c>
      <c r="BK27" s="1" t="s">
        <v>372</v>
      </c>
      <c r="BL27" s="1" t="s">
        <v>170</v>
      </c>
      <c r="BM27" s="1" t="s">
        <v>170</v>
      </c>
      <c r="BN27" s="1" t="s">
        <v>215</v>
      </c>
      <c r="BO27" s="1" t="s">
        <v>215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275</v>
      </c>
      <c r="BZ27" s="1" t="s">
        <v>373</v>
      </c>
      <c r="CA27" s="1"/>
      <c r="CB27" s="1" t="s">
        <v>371</v>
      </c>
      <c r="CC27" s="1"/>
    </row>
    <row r="28" spans="1:81" x14ac:dyDescent="0.25">
      <c r="A28" s="1" t="s">
        <v>145</v>
      </c>
      <c r="B28" s="1" t="s">
        <v>146</v>
      </c>
      <c r="C28" s="1">
        <v>1610612757</v>
      </c>
      <c r="D28" s="1" t="s">
        <v>384</v>
      </c>
      <c r="E28" s="1" t="s">
        <v>385</v>
      </c>
      <c r="F28" s="1" t="s">
        <v>149</v>
      </c>
      <c r="G28" s="1" t="s">
        <v>312</v>
      </c>
      <c r="H28" s="1">
        <v>14</v>
      </c>
      <c r="I28" s="1" t="s">
        <v>151</v>
      </c>
      <c r="J28" s="1" t="s">
        <v>219</v>
      </c>
      <c r="K28" s="1" t="s">
        <v>186</v>
      </c>
      <c r="L28" s="1">
        <v>5</v>
      </c>
      <c r="M28" s="1">
        <v>5</v>
      </c>
      <c r="N28" s="1">
        <v>11</v>
      </c>
      <c r="O28" s="1">
        <v>0.313</v>
      </c>
      <c r="P28" s="1">
        <v>0</v>
      </c>
      <c r="Q28" s="1" t="s">
        <v>386</v>
      </c>
      <c r="R28" s="1" t="s">
        <v>262</v>
      </c>
      <c r="S28" s="1" t="s">
        <v>312</v>
      </c>
      <c r="T28" s="1" t="s">
        <v>320</v>
      </c>
      <c r="U28" s="1" t="s">
        <v>262</v>
      </c>
      <c r="V28" s="1" t="s">
        <v>341</v>
      </c>
      <c r="W28" s="1" t="s">
        <v>157</v>
      </c>
      <c r="X28" s="1" t="s">
        <v>224</v>
      </c>
      <c r="Y28" s="1" t="s">
        <v>224</v>
      </c>
      <c r="Z28" s="1">
        <v>-3</v>
      </c>
      <c r="AA28" s="1" t="s">
        <v>301</v>
      </c>
      <c r="AB28" s="1">
        <v>-3</v>
      </c>
      <c r="AC28" s="1" t="s">
        <v>301</v>
      </c>
      <c r="AD28" s="1">
        <v>2</v>
      </c>
      <c r="AE28" s="1">
        <v>4</v>
      </c>
      <c r="AF28" s="1">
        <v>-1</v>
      </c>
      <c r="AG28" s="1" t="s">
        <v>207</v>
      </c>
      <c r="AH28" s="1">
        <v>-3</v>
      </c>
      <c r="AI28" s="1" t="s">
        <v>301</v>
      </c>
      <c r="AJ28" s="1">
        <v>-3</v>
      </c>
      <c r="AK28" s="1" t="s">
        <v>301</v>
      </c>
      <c r="AL28" s="1">
        <v>8</v>
      </c>
      <c r="AM28" s="1">
        <v>6.5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309</v>
      </c>
      <c r="AT28" s="1" t="s">
        <v>328</v>
      </c>
      <c r="AU28" s="1" t="s">
        <v>157</v>
      </c>
      <c r="AV28" s="1" t="s">
        <v>339</v>
      </c>
      <c r="AW28" s="1" t="s">
        <v>320</v>
      </c>
      <c r="AX28" s="1" t="s">
        <v>163</v>
      </c>
      <c r="AY28" s="1" t="s">
        <v>378</v>
      </c>
      <c r="AZ28" s="1" t="s">
        <v>387</v>
      </c>
      <c r="BA28" s="1" t="s">
        <v>332</v>
      </c>
      <c r="BB28" s="1" t="s">
        <v>235</v>
      </c>
      <c r="BC28" s="1" t="s">
        <v>153</v>
      </c>
      <c r="BD28" s="1" t="s">
        <v>304</v>
      </c>
      <c r="BE28" s="1">
        <v>113</v>
      </c>
      <c r="BF28" s="1">
        <v>116.7</v>
      </c>
      <c r="BG28" s="1">
        <v>-3.7</v>
      </c>
      <c r="BH28" s="1" t="s">
        <v>344</v>
      </c>
      <c r="BI28" s="1" t="s">
        <v>356</v>
      </c>
      <c r="BJ28" s="1" t="s">
        <v>170</v>
      </c>
      <c r="BK28" s="1" t="s">
        <v>171</v>
      </c>
      <c r="BL28" s="1" t="s">
        <v>388</v>
      </c>
      <c r="BM28" s="1" t="s">
        <v>195</v>
      </c>
      <c r="BN28" s="1" t="s">
        <v>282</v>
      </c>
      <c r="BO28" s="1" t="s">
        <v>275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228</v>
      </c>
      <c r="BZ28" s="1" t="s">
        <v>379</v>
      </c>
      <c r="CA28" s="1"/>
      <c r="CB28" s="1" t="s">
        <v>386</v>
      </c>
      <c r="CC28" s="1"/>
    </row>
    <row r="29" spans="1:81" x14ac:dyDescent="0.25">
      <c r="A29" s="1" t="s">
        <v>145</v>
      </c>
      <c r="B29" s="1" t="s">
        <v>146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382</v>
      </c>
      <c r="H29" s="1">
        <v>14</v>
      </c>
      <c r="I29" s="1" t="s">
        <v>151</v>
      </c>
      <c r="J29" s="1" t="s">
        <v>181</v>
      </c>
      <c r="K29" s="1" t="s">
        <v>224</v>
      </c>
      <c r="L29" s="1">
        <v>4</v>
      </c>
      <c r="M29" s="1">
        <v>4</v>
      </c>
      <c r="N29" s="1">
        <v>10</v>
      </c>
      <c r="O29" s="1">
        <v>0.28599999999999998</v>
      </c>
      <c r="P29" s="1">
        <v>0</v>
      </c>
      <c r="Q29" s="1" t="s">
        <v>371</v>
      </c>
      <c r="R29" s="1" t="s">
        <v>292</v>
      </c>
      <c r="S29" s="1" t="s">
        <v>311</v>
      </c>
      <c r="T29" s="1" t="s">
        <v>320</v>
      </c>
      <c r="U29" s="1" t="s">
        <v>292</v>
      </c>
      <c r="V29" s="1" t="s">
        <v>311</v>
      </c>
      <c r="W29" s="1" t="s">
        <v>161</v>
      </c>
      <c r="X29" s="1" t="s">
        <v>185</v>
      </c>
      <c r="Y29" s="1" t="s">
        <v>333</v>
      </c>
      <c r="Z29" s="1">
        <v>-4</v>
      </c>
      <c r="AA29" s="1" t="s">
        <v>263</v>
      </c>
      <c r="AB29" s="1">
        <v>-3</v>
      </c>
      <c r="AC29" s="1" t="s">
        <v>301</v>
      </c>
      <c r="AD29" s="1">
        <v>2</v>
      </c>
      <c r="AE29" s="1">
        <v>5</v>
      </c>
      <c r="AF29" s="1">
        <v>-4</v>
      </c>
      <c r="AG29" s="1" t="s">
        <v>263</v>
      </c>
      <c r="AH29" s="1">
        <v>-3</v>
      </c>
      <c r="AI29" s="1" t="s">
        <v>301</v>
      </c>
      <c r="AJ29" s="1">
        <v>-5</v>
      </c>
      <c r="AK29" s="1" t="s">
        <v>272</v>
      </c>
      <c r="AL29" s="1">
        <v>7.5</v>
      </c>
      <c r="AM29" s="1">
        <v>7.5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232</v>
      </c>
      <c r="AT29" s="1" t="s">
        <v>391</v>
      </c>
      <c r="AU29" s="1" t="s">
        <v>161</v>
      </c>
      <c r="AV29" s="1" t="s">
        <v>232</v>
      </c>
      <c r="AW29" s="1" t="s">
        <v>391</v>
      </c>
      <c r="AX29" s="1" t="s">
        <v>161</v>
      </c>
      <c r="AY29" s="1" t="s">
        <v>271</v>
      </c>
      <c r="AZ29" s="1" t="s">
        <v>320</v>
      </c>
      <c r="BA29" s="1" t="s">
        <v>392</v>
      </c>
      <c r="BB29" s="1" t="s">
        <v>153</v>
      </c>
      <c r="BC29" s="1" t="s">
        <v>153</v>
      </c>
      <c r="BD29" s="1" t="s">
        <v>292</v>
      </c>
      <c r="BE29" s="1">
        <v>104.1</v>
      </c>
      <c r="BF29" s="1">
        <v>109.9</v>
      </c>
      <c r="BG29" s="1">
        <v>-5.8</v>
      </c>
      <c r="BH29" s="1" t="s">
        <v>383</v>
      </c>
      <c r="BI29" s="1" t="s">
        <v>344</v>
      </c>
      <c r="BJ29" s="1" t="s">
        <v>199</v>
      </c>
      <c r="BK29" s="1" t="s">
        <v>282</v>
      </c>
      <c r="BL29" s="1" t="s">
        <v>170</v>
      </c>
      <c r="BM29" s="1" t="s">
        <v>215</v>
      </c>
      <c r="BN29" s="1" t="s">
        <v>215</v>
      </c>
      <c r="BO29" s="1" t="s">
        <v>170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199</v>
      </c>
      <c r="BZ29" s="1" t="s">
        <v>393</v>
      </c>
      <c r="CA29" s="1"/>
      <c r="CB29" s="1" t="s">
        <v>371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DE9F-09C9-4776-97DF-367DBECE25ED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762</v>
      </c>
      <c r="C2" s="1">
        <v>1610612744</v>
      </c>
      <c r="D2" s="1" t="s">
        <v>399</v>
      </c>
      <c r="E2" s="1" t="s">
        <v>400</v>
      </c>
      <c r="F2" s="1" t="s">
        <v>149</v>
      </c>
      <c r="G2" s="1" t="s">
        <v>763</v>
      </c>
      <c r="H2" s="1">
        <v>1</v>
      </c>
      <c r="I2" s="1" t="s">
        <v>764</v>
      </c>
      <c r="J2" s="1" t="s">
        <v>152</v>
      </c>
      <c r="K2" s="1" t="s">
        <v>765</v>
      </c>
      <c r="L2" s="1">
        <v>1</v>
      </c>
      <c r="M2" s="1">
        <v>57</v>
      </c>
      <c r="N2" s="1">
        <v>25</v>
      </c>
      <c r="O2" s="1">
        <v>0.69499999999999995</v>
      </c>
      <c r="P2" s="1">
        <v>0</v>
      </c>
      <c r="Q2" s="1" t="s">
        <v>766</v>
      </c>
      <c r="R2" s="1" t="s">
        <v>767</v>
      </c>
      <c r="S2" s="1" t="s">
        <v>768</v>
      </c>
      <c r="T2" s="1" t="s">
        <v>184</v>
      </c>
      <c r="U2" s="1" t="s">
        <v>193</v>
      </c>
      <c r="V2" s="1" t="s">
        <v>193</v>
      </c>
      <c r="W2" s="1" t="s">
        <v>319</v>
      </c>
      <c r="X2" s="1" t="s">
        <v>314</v>
      </c>
      <c r="Y2" s="1" t="s">
        <v>769</v>
      </c>
      <c r="Z2" s="1">
        <v>6</v>
      </c>
      <c r="AA2" s="1" t="s">
        <v>188</v>
      </c>
      <c r="AB2" s="1">
        <v>11</v>
      </c>
      <c r="AC2" s="1" t="s">
        <v>770</v>
      </c>
      <c r="AD2" s="1">
        <v>11</v>
      </c>
      <c r="AE2" s="1">
        <v>4</v>
      </c>
      <c r="AF2" s="1">
        <v>5</v>
      </c>
      <c r="AG2" s="1" t="s">
        <v>160</v>
      </c>
      <c r="AH2" s="1">
        <v>-1</v>
      </c>
      <c r="AI2" s="1" t="s">
        <v>207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771</v>
      </c>
      <c r="AT2" s="1" t="s">
        <v>772</v>
      </c>
      <c r="AU2" s="1" t="s">
        <v>232</v>
      </c>
      <c r="AV2" s="1" t="s">
        <v>773</v>
      </c>
      <c r="AW2" s="1" t="s">
        <v>774</v>
      </c>
      <c r="AX2" s="1" t="s">
        <v>185</v>
      </c>
      <c r="AY2" s="1" t="s">
        <v>775</v>
      </c>
      <c r="AZ2" s="1" t="s">
        <v>776</v>
      </c>
      <c r="BA2" s="1" t="s">
        <v>777</v>
      </c>
      <c r="BB2" s="1" t="s">
        <v>778</v>
      </c>
      <c r="BC2" s="1" t="s">
        <v>779</v>
      </c>
      <c r="BD2" s="1" t="s">
        <v>780</v>
      </c>
      <c r="BE2" s="1">
        <v>117.7</v>
      </c>
      <c r="BF2" s="1">
        <v>111.2</v>
      </c>
      <c r="BG2" s="1">
        <v>6.5</v>
      </c>
      <c r="BH2" s="1" t="s">
        <v>781</v>
      </c>
      <c r="BI2" s="1" t="s">
        <v>266</v>
      </c>
      <c r="BJ2" s="1" t="s">
        <v>216</v>
      </c>
      <c r="BK2" s="1" t="s">
        <v>216</v>
      </c>
      <c r="BL2" s="1" t="s">
        <v>763</v>
      </c>
      <c r="BM2" s="1" t="s">
        <v>782</v>
      </c>
      <c r="BN2" s="1" t="s">
        <v>783</v>
      </c>
      <c r="BO2" s="1" t="s">
        <v>784</v>
      </c>
      <c r="BP2" s="1" t="s">
        <v>785</v>
      </c>
      <c r="BQ2" s="1" t="s">
        <v>786</v>
      </c>
      <c r="BR2" s="1" t="s">
        <v>270</v>
      </c>
      <c r="BS2" s="1" t="s">
        <v>198</v>
      </c>
      <c r="BT2" s="1"/>
      <c r="BU2" s="1"/>
      <c r="BV2" s="1"/>
      <c r="BW2" s="1"/>
      <c r="BX2" s="1"/>
      <c r="BY2" s="1" t="s">
        <v>173</v>
      </c>
      <c r="BZ2" s="1" t="s">
        <v>326</v>
      </c>
      <c r="CA2" s="1" t="s">
        <v>261</v>
      </c>
      <c r="CB2" s="1" t="s">
        <v>787</v>
      </c>
      <c r="CC2" s="1" t="s">
        <v>788</v>
      </c>
    </row>
    <row r="3" spans="1:81" x14ac:dyDescent="0.25">
      <c r="A3" s="1" t="s">
        <v>145</v>
      </c>
      <c r="B3" s="1" t="s">
        <v>762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789</v>
      </c>
      <c r="H3" s="1">
        <v>1</v>
      </c>
      <c r="I3" s="1" t="s">
        <v>790</v>
      </c>
      <c r="J3" s="1" t="s">
        <v>181</v>
      </c>
      <c r="K3" s="1" t="s">
        <v>791</v>
      </c>
      <c r="L3" s="1">
        <v>1</v>
      </c>
      <c r="M3" s="1">
        <v>60</v>
      </c>
      <c r="N3" s="1">
        <v>22</v>
      </c>
      <c r="O3" s="1">
        <v>0.73199999999999998</v>
      </c>
      <c r="P3" s="1">
        <v>0</v>
      </c>
      <c r="Q3" s="1" t="s">
        <v>792</v>
      </c>
      <c r="R3" s="1" t="s">
        <v>793</v>
      </c>
      <c r="S3" s="1" t="s">
        <v>768</v>
      </c>
      <c r="T3" s="1" t="s">
        <v>193</v>
      </c>
      <c r="U3" s="1" t="s">
        <v>193</v>
      </c>
      <c r="V3" s="1" t="s">
        <v>265</v>
      </c>
      <c r="W3" s="1" t="s">
        <v>339</v>
      </c>
      <c r="X3" s="1" t="s">
        <v>340</v>
      </c>
      <c r="Y3" s="1" t="s">
        <v>794</v>
      </c>
      <c r="Z3" s="1">
        <v>6</v>
      </c>
      <c r="AA3" s="1" t="s">
        <v>188</v>
      </c>
      <c r="AB3" s="1">
        <v>10</v>
      </c>
      <c r="AC3" s="1" t="s">
        <v>795</v>
      </c>
      <c r="AD3" s="1">
        <v>7</v>
      </c>
      <c r="AE3" s="1">
        <v>2</v>
      </c>
      <c r="AF3" s="1">
        <v>-1</v>
      </c>
      <c r="AG3" s="1" t="s">
        <v>207</v>
      </c>
      <c r="AH3" s="1">
        <v>2</v>
      </c>
      <c r="AI3" s="1" t="s">
        <v>222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796</v>
      </c>
      <c r="AT3" s="1" t="s">
        <v>797</v>
      </c>
      <c r="AU3" s="1" t="s">
        <v>161</v>
      </c>
      <c r="AV3" s="1" t="s">
        <v>798</v>
      </c>
      <c r="AW3" s="1" t="s">
        <v>799</v>
      </c>
      <c r="AX3" s="1" t="s">
        <v>186</v>
      </c>
      <c r="AY3" s="1" t="s">
        <v>800</v>
      </c>
      <c r="AZ3" s="1" t="s">
        <v>801</v>
      </c>
      <c r="BA3" s="1" t="s">
        <v>802</v>
      </c>
      <c r="BB3" s="1" t="s">
        <v>803</v>
      </c>
      <c r="BC3" s="1" t="s">
        <v>804</v>
      </c>
      <c r="BD3" s="1" t="s">
        <v>805</v>
      </c>
      <c r="BE3" s="1">
        <v>118.1</v>
      </c>
      <c r="BF3" s="1">
        <v>109.3</v>
      </c>
      <c r="BG3" s="1">
        <v>8.9</v>
      </c>
      <c r="BH3" s="1" t="s">
        <v>789</v>
      </c>
      <c r="BI3" s="1" t="s">
        <v>806</v>
      </c>
      <c r="BJ3" s="1" t="s">
        <v>807</v>
      </c>
      <c r="BK3" s="1" t="s">
        <v>806</v>
      </c>
      <c r="BL3" s="1" t="s">
        <v>808</v>
      </c>
      <c r="BM3" s="1" t="s">
        <v>266</v>
      </c>
      <c r="BN3" s="1" t="s">
        <v>266</v>
      </c>
      <c r="BO3" s="1" t="s">
        <v>216</v>
      </c>
      <c r="BP3" s="1" t="s">
        <v>183</v>
      </c>
      <c r="BQ3" s="1" t="s">
        <v>200</v>
      </c>
      <c r="BR3" s="1" t="s">
        <v>809</v>
      </c>
      <c r="BS3" s="1" t="s">
        <v>228</v>
      </c>
      <c r="BT3" s="1"/>
      <c r="BU3" s="1"/>
      <c r="BV3" s="1"/>
      <c r="BW3" s="1"/>
      <c r="BX3" s="1"/>
      <c r="BY3" s="1" t="s">
        <v>761</v>
      </c>
      <c r="BZ3" s="1" t="s">
        <v>291</v>
      </c>
      <c r="CA3" s="1" t="s">
        <v>253</v>
      </c>
      <c r="CB3" s="1" t="s">
        <v>810</v>
      </c>
      <c r="CC3" s="1" t="s">
        <v>811</v>
      </c>
    </row>
    <row r="4" spans="1:81" x14ac:dyDescent="0.25">
      <c r="A4" s="1" t="s">
        <v>145</v>
      </c>
      <c r="B4" s="1" t="s">
        <v>762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812</v>
      </c>
      <c r="H4" s="1">
        <v>2</v>
      </c>
      <c r="I4" s="1" t="s">
        <v>813</v>
      </c>
      <c r="J4" s="1" t="s">
        <v>203</v>
      </c>
      <c r="K4" s="1" t="s">
        <v>814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815</v>
      </c>
      <c r="R4" s="1" t="s">
        <v>816</v>
      </c>
      <c r="S4" s="1" t="s">
        <v>817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818</v>
      </c>
      <c r="Y4" s="1" t="s">
        <v>819</v>
      </c>
      <c r="Z4" s="1">
        <v>10</v>
      </c>
      <c r="AA4" s="1" t="s">
        <v>795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820</v>
      </c>
      <c r="AT4" s="1" t="s">
        <v>821</v>
      </c>
      <c r="AU4" s="1" t="s">
        <v>185</v>
      </c>
      <c r="AV4" s="1" t="s">
        <v>822</v>
      </c>
      <c r="AW4" s="1" t="s">
        <v>823</v>
      </c>
      <c r="AX4" s="1" t="s">
        <v>157</v>
      </c>
      <c r="AY4" s="1" t="s">
        <v>824</v>
      </c>
      <c r="AZ4" s="1" t="s">
        <v>825</v>
      </c>
      <c r="BA4" s="1" t="s">
        <v>826</v>
      </c>
      <c r="BB4" s="1" t="s">
        <v>827</v>
      </c>
      <c r="BC4" s="1" t="s">
        <v>828</v>
      </c>
      <c r="BD4" s="1" t="s">
        <v>829</v>
      </c>
      <c r="BE4" s="1">
        <v>114.4</v>
      </c>
      <c r="BF4" s="1">
        <v>108.4</v>
      </c>
      <c r="BG4" s="1">
        <v>6.1</v>
      </c>
      <c r="BH4" s="1" t="s">
        <v>812</v>
      </c>
      <c r="BI4" s="1" t="s">
        <v>830</v>
      </c>
      <c r="BJ4" s="1" t="s">
        <v>784</v>
      </c>
      <c r="BK4" s="1" t="s">
        <v>831</v>
      </c>
      <c r="BL4" s="1" t="s">
        <v>781</v>
      </c>
      <c r="BM4" s="1" t="s">
        <v>266</v>
      </c>
      <c r="BN4" s="1" t="s">
        <v>832</v>
      </c>
      <c r="BO4" s="1" t="s">
        <v>266</v>
      </c>
      <c r="BP4" s="1" t="s">
        <v>261</v>
      </c>
      <c r="BQ4" s="1" t="s">
        <v>173</v>
      </c>
      <c r="BR4" s="1" t="s">
        <v>833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834</v>
      </c>
      <c r="CC4" s="1" t="s">
        <v>835</v>
      </c>
    </row>
    <row r="5" spans="1:81" x14ac:dyDescent="0.25">
      <c r="A5" s="1" t="s">
        <v>145</v>
      </c>
      <c r="B5" s="1" t="s">
        <v>762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836</v>
      </c>
      <c r="H5" s="1">
        <v>2</v>
      </c>
      <c r="I5" s="1" t="s">
        <v>837</v>
      </c>
      <c r="J5" s="1" t="s">
        <v>219</v>
      </c>
      <c r="K5" s="1" t="s">
        <v>814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838</v>
      </c>
      <c r="R5" s="1" t="s">
        <v>839</v>
      </c>
      <c r="S5" s="1" t="s">
        <v>840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765</v>
      </c>
      <c r="Y5" s="1" t="s">
        <v>841</v>
      </c>
      <c r="Z5" s="1">
        <v>12</v>
      </c>
      <c r="AA5" s="1" t="s">
        <v>842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843</v>
      </c>
      <c r="AT5" s="1" t="s">
        <v>844</v>
      </c>
      <c r="AU5" s="1" t="s">
        <v>185</v>
      </c>
      <c r="AV5" s="1" t="s">
        <v>845</v>
      </c>
      <c r="AW5" s="1" t="s">
        <v>846</v>
      </c>
      <c r="AX5" s="1" t="s">
        <v>155</v>
      </c>
      <c r="AY5" s="1" t="s">
        <v>847</v>
      </c>
      <c r="AZ5" s="1" t="s">
        <v>848</v>
      </c>
      <c r="BA5" s="1" t="s">
        <v>849</v>
      </c>
      <c r="BB5" s="1" t="s">
        <v>850</v>
      </c>
      <c r="BC5" s="1" t="s">
        <v>851</v>
      </c>
      <c r="BD5" s="1" t="s">
        <v>852</v>
      </c>
      <c r="BE5" s="1">
        <v>110.7</v>
      </c>
      <c r="BF5" s="1">
        <v>106.7</v>
      </c>
      <c r="BG5" s="1">
        <v>4</v>
      </c>
      <c r="BH5" s="1" t="s">
        <v>808</v>
      </c>
      <c r="BI5" s="1" t="s">
        <v>296</v>
      </c>
      <c r="BJ5" s="1" t="s">
        <v>266</v>
      </c>
      <c r="BK5" s="1" t="s">
        <v>296</v>
      </c>
      <c r="BL5" s="1" t="s">
        <v>836</v>
      </c>
      <c r="BM5" s="1" t="s">
        <v>830</v>
      </c>
      <c r="BN5" s="1" t="s">
        <v>782</v>
      </c>
      <c r="BO5" s="1" t="s">
        <v>784</v>
      </c>
      <c r="BP5" s="1" t="s">
        <v>830</v>
      </c>
      <c r="BQ5" s="1" t="s">
        <v>786</v>
      </c>
      <c r="BR5" s="1" t="s">
        <v>833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833</v>
      </c>
      <c r="CA5" s="1" t="s">
        <v>853</v>
      </c>
      <c r="CB5" s="1" t="s">
        <v>854</v>
      </c>
      <c r="CC5" s="1" t="s">
        <v>855</v>
      </c>
    </row>
    <row r="6" spans="1:81" x14ac:dyDescent="0.25">
      <c r="A6" s="1" t="s">
        <v>145</v>
      </c>
      <c r="B6" s="1" t="s">
        <v>762</v>
      </c>
      <c r="C6" s="1">
        <v>1610612755</v>
      </c>
      <c r="D6" s="1" t="s">
        <v>268</v>
      </c>
      <c r="E6" s="1" t="s">
        <v>269</v>
      </c>
      <c r="F6" s="1" t="s">
        <v>179</v>
      </c>
      <c r="G6" s="1" t="s">
        <v>856</v>
      </c>
      <c r="H6" s="1">
        <v>3</v>
      </c>
      <c r="I6" s="1" t="s">
        <v>857</v>
      </c>
      <c r="J6" s="1" t="s">
        <v>203</v>
      </c>
      <c r="K6" s="1" t="s">
        <v>858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859</v>
      </c>
      <c r="R6" s="1" t="s">
        <v>860</v>
      </c>
      <c r="S6" s="1" t="s">
        <v>840</v>
      </c>
      <c r="T6" s="1" t="s">
        <v>310</v>
      </c>
      <c r="U6" s="1" t="s">
        <v>193</v>
      </c>
      <c r="V6" s="1" t="s">
        <v>310</v>
      </c>
      <c r="W6" s="1" t="s">
        <v>236</v>
      </c>
      <c r="X6" s="1" t="s">
        <v>861</v>
      </c>
      <c r="Y6" s="1" t="s">
        <v>862</v>
      </c>
      <c r="Z6" s="1">
        <v>10</v>
      </c>
      <c r="AA6" s="1" t="s">
        <v>795</v>
      </c>
      <c r="AB6" s="1">
        <v>-5</v>
      </c>
      <c r="AC6" s="1" t="s">
        <v>272</v>
      </c>
      <c r="AD6" s="1">
        <v>6</v>
      </c>
      <c r="AE6" s="1">
        <v>3</v>
      </c>
      <c r="AF6" s="1">
        <v>1</v>
      </c>
      <c r="AG6" s="1" t="s">
        <v>246</v>
      </c>
      <c r="AH6" s="1">
        <v>-1</v>
      </c>
      <c r="AI6" s="1" t="s">
        <v>207</v>
      </c>
      <c r="AJ6" s="1">
        <v>1</v>
      </c>
      <c r="AK6" s="1" t="s">
        <v>246</v>
      </c>
      <c r="AL6" s="1">
        <v>9</v>
      </c>
      <c r="AM6" s="1">
        <v>7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863</v>
      </c>
      <c r="AT6" s="1" t="s">
        <v>864</v>
      </c>
      <c r="AU6" s="1" t="s">
        <v>208</v>
      </c>
      <c r="AV6" s="1" t="s">
        <v>771</v>
      </c>
      <c r="AW6" s="1" t="s">
        <v>865</v>
      </c>
      <c r="AX6" s="1" t="s">
        <v>186</v>
      </c>
      <c r="AY6" s="1" t="s">
        <v>866</v>
      </c>
      <c r="AZ6" s="1" t="s">
        <v>867</v>
      </c>
      <c r="BA6" s="1" t="s">
        <v>868</v>
      </c>
      <c r="BB6" s="1" t="s">
        <v>851</v>
      </c>
      <c r="BC6" s="1" t="s">
        <v>787</v>
      </c>
      <c r="BD6" s="1" t="s">
        <v>869</v>
      </c>
      <c r="BE6" s="1">
        <v>115.2</v>
      </c>
      <c r="BF6" s="1">
        <v>112.5</v>
      </c>
      <c r="BG6" s="1">
        <v>2.7</v>
      </c>
      <c r="BH6" s="1" t="s">
        <v>856</v>
      </c>
      <c r="BI6" s="1" t="s">
        <v>870</v>
      </c>
      <c r="BJ6" s="1" t="s">
        <v>782</v>
      </c>
      <c r="BK6" s="1" t="s">
        <v>871</v>
      </c>
      <c r="BL6" s="1" t="s">
        <v>808</v>
      </c>
      <c r="BM6" s="1" t="s">
        <v>266</v>
      </c>
      <c r="BN6" s="1" t="s">
        <v>216</v>
      </c>
      <c r="BO6" s="1" t="s">
        <v>266</v>
      </c>
      <c r="BP6" s="1" t="s">
        <v>233</v>
      </c>
      <c r="BQ6" s="1" t="s">
        <v>266</v>
      </c>
      <c r="BR6" s="1" t="s">
        <v>270</v>
      </c>
      <c r="BS6" s="1" t="s">
        <v>274</v>
      </c>
      <c r="BT6" s="1"/>
      <c r="BU6" s="1"/>
      <c r="BV6" s="1"/>
      <c r="BW6" s="1"/>
      <c r="BX6" s="1"/>
      <c r="BY6" s="1" t="s">
        <v>343</v>
      </c>
      <c r="BZ6" s="1" t="s">
        <v>830</v>
      </c>
      <c r="CA6" s="1" t="s">
        <v>872</v>
      </c>
      <c r="CB6" s="1" t="s">
        <v>873</v>
      </c>
      <c r="CC6" s="1" t="s">
        <v>874</v>
      </c>
    </row>
    <row r="7" spans="1:81" x14ac:dyDescent="0.25">
      <c r="A7" s="1" t="s">
        <v>145</v>
      </c>
      <c r="B7" s="1" t="s">
        <v>762</v>
      </c>
      <c r="C7" s="1">
        <v>1610612757</v>
      </c>
      <c r="D7" s="1" t="s">
        <v>384</v>
      </c>
      <c r="E7" s="1" t="s">
        <v>385</v>
      </c>
      <c r="F7" s="1" t="s">
        <v>149</v>
      </c>
      <c r="G7" s="1" t="s">
        <v>875</v>
      </c>
      <c r="H7" s="1">
        <v>3</v>
      </c>
      <c r="I7" s="1" t="s">
        <v>857</v>
      </c>
      <c r="J7" s="1" t="s">
        <v>219</v>
      </c>
      <c r="K7" s="1" t="s">
        <v>876</v>
      </c>
      <c r="L7" s="1">
        <v>2</v>
      </c>
      <c r="M7" s="1">
        <v>53</v>
      </c>
      <c r="N7" s="1">
        <v>29</v>
      </c>
      <c r="O7" s="1">
        <v>0.64600000000000002</v>
      </c>
      <c r="P7" s="1">
        <v>0</v>
      </c>
      <c r="Q7" s="1" t="s">
        <v>877</v>
      </c>
      <c r="R7" s="1" t="s">
        <v>816</v>
      </c>
      <c r="S7" s="1" t="s">
        <v>878</v>
      </c>
      <c r="T7" s="1" t="s">
        <v>184</v>
      </c>
      <c r="U7" s="1" t="s">
        <v>156</v>
      </c>
      <c r="V7" s="1" t="s">
        <v>259</v>
      </c>
      <c r="W7" s="1" t="s">
        <v>235</v>
      </c>
      <c r="X7" s="1" t="s">
        <v>310</v>
      </c>
      <c r="Y7" s="1" t="s">
        <v>879</v>
      </c>
      <c r="Z7" s="1">
        <v>8</v>
      </c>
      <c r="AA7" s="1" t="s">
        <v>880</v>
      </c>
      <c r="AB7" s="1">
        <v>-6</v>
      </c>
      <c r="AC7" s="1" t="s">
        <v>367</v>
      </c>
      <c r="AD7" s="1">
        <v>6</v>
      </c>
      <c r="AE7" s="1">
        <v>3</v>
      </c>
      <c r="AF7" s="1">
        <v>8</v>
      </c>
      <c r="AG7" s="1" t="s">
        <v>880</v>
      </c>
      <c r="AH7" s="1">
        <v>1</v>
      </c>
      <c r="AI7" s="1" t="s">
        <v>246</v>
      </c>
      <c r="AJ7" s="1">
        <v>3</v>
      </c>
      <c r="AK7" s="1" t="s">
        <v>223</v>
      </c>
      <c r="AL7" s="1">
        <v>4</v>
      </c>
      <c r="AM7" s="1">
        <v>1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881</v>
      </c>
      <c r="AT7" s="1" t="s">
        <v>882</v>
      </c>
      <c r="AU7" s="1" t="s">
        <v>260</v>
      </c>
      <c r="AV7" s="1" t="s">
        <v>883</v>
      </c>
      <c r="AW7" s="1" t="s">
        <v>884</v>
      </c>
      <c r="AX7" s="1" t="s">
        <v>161</v>
      </c>
      <c r="AY7" s="1" t="s">
        <v>885</v>
      </c>
      <c r="AZ7" s="1" t="s">
        <v>886</v>
      </c>
      <c r="BA7" s="1" t="s">
        <v>887</v>
      </c>
      <c r="BB7" s="1" t="s">
        <v>888</v>
      </c>
      <c r="BC7" s="1" t="s">
        <v>889</v>
      </c>
      <c r="BD7" s="1" t="s">
        <v>890</v>
      </c>
      <c r="BE7" s="1">
        <v>114.7</v>
      </c>
      <c r="BF7" s="1">
        <v>110.5</v>
      </c>
      <c r="BG7" s="1">
        <v>4.2</v>
      </c>
      <c r="BH7" s="1" t="s">
        <v>891</v>
      </c>
      <c r="BI7" s="1" t="s">
        <v>176</v>
      </c>
      <c r="BJ7" s="1" t="s">
        <v>216</v>
      </c>
      <c r="BK7" s="1" t="s">
        <v>296</v>
      </c>
      <c r="BL7" s="1" t="s">
        <v>875</v>
      </c>
      <c r="BM7" s="1" t="s">
        <v>410</v>
      </c>
      <c r="BN7" s="1" t="s">
        <v>782</v>
      </c>
      <c r="BO7" s="1" t="s">
        <v>871</v>
      </c>
      <c r="BP7" s="1" t="s">
        <v>233</v>
      </c>
      <c r="BQ7" s="1" t="s">
        <v>256</v>
      </c>
      <c r="BR7" s="1" t="s">
        <v>261</v>
      </c>
      <c r="BS7" s="1" t="s">
        <v>198</v>
      </c>
      <c r="BT7" s="1"/>
      <c r="BU7" s="1"/>
      <c r="BV7" s="1"/>
      <c r="BW7" s="1"/>
      <c r="BX7" s="1"/>
      <c r="BY7" s="1" t="s">
        <v>255</v>
      </c>
      <c r="BZ7" s="1" t="s">
        <v>308</v>
      </c>
      <c r="CA7" s="1" t="s">
        <v>308</v>
      </c>
      <c r="CB7" s="1" t="s">
        <v>892</v>
      </c>
      <c r="CC7" s="1" t="s">
        <v>893</v>
      </c>
    </row>
    <row r="8" spans="1:81" x14ac:dyDescent="0.25">
      <c r="A8" s="1" t="s">
        <v>145</v>
      </c>
      <c r="B8" s="1" t="s">
        <v>762</v>
      </c>
      <c r="C8" s="1">
        <v>1610612745</v>
      </c>
      <c r="D8" s="1" t="s">
        <v>229</v>
      </c>
      <c r="E8" s="1" t="s">
        <v>230</v>
      </c>
      <c r="F8" s="1" t="s">
        <v>149</v>
      </c>
      <c r="G8" s="1" t="s">
        <v>894</v>
      </c>
      <c r="H8" s="1">
        <v>4</v>
      </c>
      <c r="I8" s="1" t="s">
        <v>895</v>
      </c>
      <c r="J8" s="1" t="s">
        <v>231</v>
      </c>
      <c r="K8" s="1" t="s">
        <v>896</v>
      </c>
      <c r="L8" s="1">
        <v>1</v>
      </c>
      <c r="M8" s="1">
        <v>53</v>
      </c>
      <c r="N8" s="1">
        <v>29</v>
      </c>
      <c r="O8" s="1">
        <v>0.64600000000000002</v>
      </c>
      <c r="P8" s="1">
        <v>0</v>
      </c>
      <c r="Q8" s="1" t="s">
        <v>877</v>
      </c>
      <c r="R8" s="1" t="s">
        <v>860</v>
      </c>
      <c r="S8" s="1" t="s">
        <v>897</v>
      </c>
      <c r="T8" s="1" t="s">
        <v>184</v>
      </c>
      <c r="U8" s="1" t="s">
        <v>156</v>
      </c>
      <c r="V8" s="1" t="s">
        <v>193</v>
      </c>
      <c r="W8" s="1" t="s">
        <v>292</v>
      </c>
      <c r="X8" s="1" t="s">
        <v>898</v>
      </c>
      <c r="Y8" s="1" t="s">
        <v>899</v>
      </c>
      <c r="Z8" s="1">
        <v>10</v>
      </c>
      <c r="AA8" s="1" t="s">
        <v>795</v>
      </c>
      <c r="AB8" s="1">
        <v>6</v>
      </c>
      <c r="AC8" s="1" t="s">
        <v>188</v>
      </c>
      <c r="AD8" s="1">
        <v>9</v>
      </c>
      <c r="AE8" s="1">
        <v>4</v>
      </c>
      <c r="AF8" s="1">
        <v>7</v>
      </c>
      <c r="AG8" s="1" t="s">
        <v>900</v>
      </c>
      <c r="AH8" s="1">
        <v>-1</v>
      </c>
      <c r="AI8" s="1" t="s">
        <v>207</v>
      </c>
      <c r="AJ8" s="1">
        <v>-1</v>
      </c>
      <c r="AK8" s="1" t="s">
        <v>207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901</v>
      </c>
      <c r="AT8" s="1" t="s">
        <v>902</v>
      </c>
      <c r="AU8" s="1" t="s">
        <v>157</v>
      </c>
      <c r="AV8" s="1" t="s">
        <v>903</v>
      </c>
      <c r="AW8" s="1" t="s">
        <v>904</v>
      </c>
      <c r="AX8" s="1" t="s">
        <v>190</v>
      </c>
      <c r="AY8" s="1" t="s">
        <v>847</v>
      </c>
      <c r="AZ8" s="1" t="s">
        <v>905</v>
      </c>
      <c r="BA8" s="1" t="s">
        <v>826</v>
      </c>
      <c r="BB8" s="1" t="s">
        <v>906</v>
      </c>
      <c r="BC8" s="1" t="s">
        <v>907</v>
      </c>
      <c r="BD8" s="1" t="s">
        <v>908</v>
      </c>
      <c r="BE8" s="1">
        <v>113.9</v>
      </c>
      <c r="BF8" s="1">
        <v>109.1</v>
      </c>
      <c r="BG8" s="1">
        <v>4.8</v>
      </c>
      <c r="BH8" s="1" t="s">
        <v>909</v>
      </c>
      <c r="BI8" s="1" t="s">
        <v>216</v>
      </c>
      <c r="BJ8" s="1" t="s">
        <v>266</v>
      </c>
      <c r="BK8" s="1" t="s">
        <v>296</v>
      </c>
      <c r="BL8" s="1" t="s">
        <v>894</v>
      </c>
      <c r="BM8" s="1" t="s">
        <v>910</v>
      </c>
      <c r="BN8" s="1" t="s">
        <v>831</v>
      </c>
      <c r="BO8" s="1" t="s">
        <v>809</v>
      </c>
      <c r="BP8" s="1" t="s">
        <v>291</v>
      </c>
      <c r="BQ8" s="1" t="s">
        <v>853</v>
      </c>
      <c r="BR8" s="1" t="s">
        <v>183</v>
      </c>
      <c r="BS8" s="1" t="s">
        <v>169</v>
      </c>
      <c r="BT8" s="1"/>
      <c r="BU8" s="1"/>
      <c r="BV8" s="1"/>
      <c r="BW8" s="1"/>
      <c r="BX8" s="1"/>
      <c r="BY8" s="1" t="s">
        <v>911</v>
      </c>
      <c r="BZ8" s="1" t="s">
        <v>833</v>
      </c>
      <c r="CA8" s="1" t="s">
        <v>233</v>
      </c>
      <c r="CB8" s="1" t="s">
        <v>912</v>
      </c>
      <c r="CC8" s="1" t="s">
        <v>913</v>
      </c>
    </row>
    <row r="9" spans="1:81" x14ac:dyDescent="0.25">
      <c r="A9" s="1" t="s">
        <v>145</v>
      </c>
      <c r="B9" s="1" t="s">
        <v>762</v>
      </c>
      <c r="C9" s="1">
        <v>1610612738</v>
      </c>
      <c r="D9" s="1" t="s">
        <v>201</v>
      </c>
      <c r="E9" s="1" t="s">
        <v>202</v>
      </c>
      <c r="F9" s="1" t="s">
        <v>179</v>
      </c>
      <c r="G9" s="1" t="s">
        <v>763</v>
      </c>
      <c r="H9" s="1">
        <v>4</v>
      </c>
      <c r="I9" s="1" t="s">
        <v>857</v>
      </c>
      <c r="J9" s="1" t="s">
        <v>203</v>
      </c>
      <c r="K9" s="1" t="s">
        <v>896</v>
      </c>
      <c r="L9" s="1">
        <v>3</v>
      </c>
      <c r="M9" s="1">
        <v>49</v>
      </c>
      <c r="N9" s="1">
        <v>33</v>
      </c>
      <c r="O9" s="1">
        <v>0.59799999999999998</v>
      </c>
      <c r="P9" s="1">
        <v>0</v>
      </c>
      <c r="Q9" s="1" t="s">
        <v>914</v>
      </c>
      <c r="R9" s="1" t="s">
        <v>915</v>
      </c>
      <c r="S9" s="1" t="s">
        <v>878</v>
      </c>
      <c r="T9" s="1" t="s">
        <v>259</v>
      </c>
      <c r="U9" s="1" t="s">
        <v>265</v>
      </c>
      <c r="V9" s="1" t="s">
        <v>259</v>
      </c>
      <c r="W9" s="1" t="s">
        <v>182</v>
      </c>
      <c r="X9" s="1" t="s">
        <v>340</v>
      </c>
      <c r="Y9" s="1" t="s">
        <v>916</v>
      </c>
      <c r="Z9" s="1">
        <v>10</v>
      </c>
      <c r="AA9" s="1" t="s">
        <v>795</v>
      </c>
      <c r="AB9" s="1">
        <v>4</v>
      </c>
      <c r="AC9" s="1" t="s">
        <v>159</v>
      </c>
      <c r="AD9" s="1">
        <v>8</v>
      </c>
      <c r="AE9" s="1">
        <v>4</v>
      </c>
      <c r="AF9" s="1">
        <v>-1</v>
      </c>
      <c r="AG9" s="1" t="s">
        <v>207</v>
      </c>
      <c r="AH9" s="1">
        <v>3</v>
      </c>
      <c r="AI9" s="1" t="s">
        <v>223</v>
      </c>
      <c r="AJ9" s="1">
        <v>1</v>
      </c>
      <c r="AK9" s="1" t="s">
        <v>246</v>
      </c>
      <c r="AL9" s="1">
        <v>11</v>
      </c>
      <c r="AM9" s="1">
        <v>9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917</v>
      </c>
      <c r="AT9" s="1" t="s">
        <v>918</v>
      </c>
      <c r="AU9" s="1" t="s">
        <v>260</v>
      </c>
      <c r="AV9" s="1" t="s">
        <v>919</v>
      </c>
      <c r="AW9" s="1" t="s">
        <v>846</v>
      </c>
      <c r="AX9" s="1" t="s">
        <v>164</v>
      </c>
      <c r="AY9" s="1" t="s">
        <v>920</v>
      </c>
      <c r="AZ9" s="1" t="s">
        <v>921</v>
      </c>
      <c r="BA9" s="1" t="s">
        <v>922</v>
      </c>
      <c r="BB9" s="1" t="s">
        <v>923</v>
      </c>
      <c r="BC9" s="1" t="s">
        <v>805</v>
      </c>
      <c r="BD9" s="1" t="s">
        <v>924</v>
      </c>
      <c r="BE9" s="1">
        <v>112.4</v>
      </c>
      <c r="BF9" s="1">
        <v>108</v>
      </c>
      <c r="BG9" s="1">
        <v>4.4000000000000004</v>
      </c>
      <c r="BH9" s="1" t="s">
        <v>763</v>
      </c>
      <c r="BI9" s="1" t="s">
        <v>809</v>
      </c>
      <c r="BJ9" s="1" t="s">
        <v>806</v>
      </c>
      <c r="BK9" s="1" t="s">
        <v>782</v>
      </c>
      <c r="BL9" s="1" t="s">
        <v>925</v>
      </c>
      <c r="BM9" s="1" t="s">
        <v>323</v>
      </c>
      <c r="BN9" s="1" t="s">
        <v>276</v>
      </c>
      <c r="BO9" s="1" t="s">
        <v>276</v>
      </c>
      <c r="BP9" s="1" t="s">
        <v>233</v>
      </c>
      <c r="BQ9" s="1" t="s">
        <v>316</v>
      </c>
      <c r="BR9" s="1" t="s">
        <v>308</v>
      </c>
      <c r="BS9" s="1" t="s">
        <v>169</v>
      </c>
      <c r="BT9" s="1"/>
      <c r="BU9" s="1"/>
      <c r="BV9" s="1"/>
      <c r="BW9" s="1"/>
      <c r="BX9" s="1"/>
      <c r="BY9" s="1" t="s">
        <v>255</v>
      </c>
      <c r="BZ9" s="1" t="s">
        <v>926</v>
      </c>
      <c r="CA9" s="1" t="s">
        <v>270</v>
      </c>
      <c r="CB9" s="1" t="s">
        <v>873</v>
      </c>
      <c r="CC9" s="1" t="s">
        <v>927</v>
      </c>
    </row>
    <row r="10" spans="1:81" x14ac:dyDescent="0.25">
      <c r="A10" s="1" t="s">
        <v>145</v>
      </c>
      <c r="B10" s="1" t="s">
        <v>762</v>
      </c>
      <c r="C10" s="1">
        <v>1610612754</v>
      </c>
      <c r="D10" s="1" t="s">
        <v>288</v>
      </c>
      <c r="E10" s="1" t="s">
        <v>289</v>
      </c>
      <c r="F10" s="1" t="s">
        <v>179</v>
      </c>
      <c r="G10" s="1" t="s">
        <v>928</v>
      </c>
      <c r="H10" s="1">
        <v>5</v>
      </c>
      <c r="I10" s="1" t="s">
        <v>857</v>
      </c>
      <c r="J10" s="1" t="s">
        <v>181</v>
      </c>
      <c r="K10" s="1" t="s">
        <v>929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930</v>
      </c>
      <c r="R10" s="1" t="s">
        <v>899</v>
      </c>
      <c r="S10" s="1" t="s">
        <v>931</v>
      </c>
      <c r="T10" s="1" t="s">
        <v>310</v>
      </c>
      <c r="U10" s="1" t="s">
        <v>259</v>
      </c>
      <c r="V10" s="1" t="s">
        <v>320</v>
      </c>
      <c r="W10" s="1" t="s">
        <v>157</v>
      </c>
      <c r="X10" s="1" t="s">
        <v>302</v>
      </c>
      <c r="Y10" s="1" t="s">
        <v>932</v>
      </c>
      <c r="Z10" s="1">
        <v>5</v>
      </c>
      <c r="AA10" s="1" t="s">
        <v>160</v>
      </c>
      <c r="AB10" s="1">
        <v>-10</v>
      </c>
      <c r="AC10" s="1" t="s">
        <v>933</v>
      </c>
      <c r="AD10" s="1">
        <v>7</v>
      </c>
      <c r="AE10" s="1">
        <v>4</v>
      </c>
      <c r="AF10" s="1">
        <v>-2</v>
      </c>
      <c r="AG10" s="1" t="s">
        <v>279</v>
      </c>
      <c r="AH10" s="1">
        <v>2</v>
      </c>
      <c r="AI10" s="1" t="s">
        <v>222</v>
      </c>
      <c r="AJ10" s="1">
        <v>1</v>
      </c>
      <c r="AK10" s="1" t="s">
        <v>246</v>
      </c>
      <c r="AL10" s="1">
        <v>12</v>
      </c>
      <c r="AM10" s="1">
        <v>12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934</v>
      </c>
      <c r="AT10" s="1" t="s">
        <v>935</v>
      </c>
      <c r="AU10" s="1" t="s">
        <v>190</v>
      </c>
      <c r="AV10" s="1" t="s">
        <v>936</v>
      </c>
      <c r="AW10" s="1" t="s">
        <v>937</v>
      </c>
      <c r="AX10" s="1" t="s">
        <v>157</v>
      </c>
      <c r="AY10" s="1" t="s">
        <v>938</v>
      </c>
      <c r="AZ10" s="1" t="s">
        <v>939</v>
      </c>
      <c r="BA10" s="1" t="s">
        <v>940</v>
      </c>
      <c r="BB10" s="1" t="s">
        <v>941</v>
      </c>
      <c r="BC10" s="1" t="s">
        <v>942</v>
      </c>
      <c r="BD10" s="1" t="s">
        <v>943</v>
      </c>
      <c r="BE10" s="1">
        <v>108</v>
      </c>
      <c r="BF10" s="1">
        <v>104.7</v>
      </c>
      <c r="BG10" s="1">
        <v>3.3</v>
      </c>
      <c r="BH10" s="1" t="s">
        <v>928</v>
      </c>
      <c r="BI10" s="1" t="s">
        <v>944</v>
      </c>
      <c r="BJ10" s="1" t="s">
        <v>945</v>
      </c>
      <c r="BK10" s="1" t="s">
        <v>806</v>
      </c>
      <c r="BL10" s="1" t="s">
        <v>946</v>
      </c>
      <c r="BM10" s="1" t="s">
        <v>276</v>
      </c>
      <c r="BN10" s="1" t="s">
        <v>276</v>
      </c>
      <c r="BO10" s="1" t="s">
        <v>276</v>
      </c>
      <c r="BP10" s="1" t="s">
        <v>326</v>
      </c>
      <c r="BQ10" s="1" t="s">
        <v>947</v>
      </c>
      <c r="BR10" s="1" t="s">
        <v>371</v>
      </c>
      <c r="BS10" s="1" t="s">
        <v>228</v>
      </c>
      <c r="BT10" s="1"/>
      <c r="BU10" s="1"/>
      <c r="BV10" s="1"/>
      <c r="BW10" s="1"/>
      <c r="BX10" s="1"/>
      <c r="BY10" s="1" t="s">
        <v>315</v>
      </c>
      <c r="BZ10" s="1" t="s">
        <v>291</v>
      </c>
      <c r="CA10" s="1" t="s">
        <v>183</v>
      </c>
      <c r="CB10" s="1" t="s">
        <v>948</v>
      </c>
      <c r="CC10" s="1" t="s">
        <v>949</v>
      </c>
    </row>
    <row r="11" spans="1:81" x14ac:dyDescent="0.25">
      <c r="A11" s="1" t="s">
        <v>145</v>
      </c>
      <c r="B11" s="1" t="s">
        <v>762</v>
      </c>
      <c r="C11" s="1">
        <v>1610612762</v>
      </c>
      <c r="D11" s="1" t="s">
        <v>283</v>
      </c>
      <c r="E11" s="1" t="s">
        <v>284</v>
      </c>
      <c r="F11" s="1" t="s">
        <v>149</v>
      </c>
      <c r="G11" s="1" t="s">
        <v>950</v>
      </c>
      <c r="H11" s="1">
        <v>5</v>
      </c>
      <c r="I11" s="1" t="s">
        <v>857</v>
      </c>
      <c r="J11" s="1" t="s">
        <v>219</v>
      </c>
      <c r="K11" s="1" t="s">
        <v>858</v>
      </c>
      <c r="L11" s="1">
        <v>3</v>
      </c>
      <c r="M11" s="1">
        <v>50</v>
      </c>
      <c r="N11" s="1">
        <v>32</v>
      </c>
      <c r="O11" s="1">
        <v>0.61</v>
      </c>
      <c r="P11" s="1">
        <v>0</v>
      </c>
      <c r="Q11" s="1" t="s">
        <v>951</v>
      </c>
      <c r="R11" s="1" t="s">
        <v>899</v>
      </c>
      <c r="S11" s="1" t="s">
        <v>878</v>
      </c>
      <c r="T11" s="1" t="s">
        <v>184</v>
      </c>
      <c r="U11" s="1" t="s">
        <v>184</v>
      </c>
      <c r="V11" s="1" t="s">
        <v>259</v>
      </c>
      <c r="W11" s="1" t="s">
        <v>164</v>
      </c>
      <c r="X11" s="1" t="s">
        <v>359</v>
      </c>
      <c r="Y11" s="1" t="s">
        <v>952</v>
      </c>
      <c r="Z11" s="1">
        <v>8</v>
      </c>
      <c r="AA11" s="1" t="s">
        <v>880</v>
      </c>
      <c r="AB11" s="1">
        <v>-5</v>
      </c>
      <c r="AC11" s="1" t="s">
        <v>272</v>
      </c>
      <c r="AD11" s="1">
        <v>7</v>
      </c>
      <c r="AE11" s="1">
        <v>4</v>
      </c>
      <c r="AF11" s="1">
        <v>8</v>
      </c>
      <c r="AG11" s="1" t="s">
        <v>880</v>
      </c>
      <c r="AH11" s="1">
        <v>-2</v>
      </c>
      <c r="AI11" s="1" t="s">
        <v>279</v>
      </c>
      <c r="AJ11" s="1">
        <v>-1</v>
      </c>
      <c r="AK11" s="1" t="s">
        <v>207</v>
      </c>
      <c r="AL11" s="1">
        <v>7</v>
      </c>
      <c r="AM11" s="1">
        <v>4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953</v>
      </c>
      <c r="AT11" s="1" t="s">
        <v>954</v>
      </c>
      <c r="AU11" s="1" t="s">
        <v>185</v>
      </c>
      <c r="AV11" s="1" t="s">
        <v>955</v>
      </c>
      <c r="AW11" s="1" t="s">
        <v>956</v>
      </c>
      <c r="AX11" s="1" t="s">
        <v>157</v>
      </c>
      <c r="AY11" s="1" t="s">
        <v>957</v>
      </c>
      <c r="AZ11" s="1" t="s">
        <v>958</v>
      </c>
      <c r="BA11" s="1" t="s">
        <v>959</v>
      </c>
      <c r="BB11" s="1" t="s">
        <v>960</v>
      </c>
      <c r="BC11" s="1" t="s">
        <v>917</v>
      </c>
      <c r="BD11" s="1" t="s">
        <v>961</v>
      </c>
      <c r="BE11" s="1">
        <v>111.7</v>
      </c>
      <c r="BF11" s="1">
        <v>106.5</v>
      </c>
      <c r="BG11" s="1">
        <v>5.3</v>
      </c>
      <c r="BH11" s="1" t="s">
        <v>808</v>
      </c>
      <c r="BI11" s="1" t="s">
        <v>266</v>
      </c>
      <c r="BJ11" s="1" t="s">
        <v>296</v>
      </c>
      <c r="BK11" s="1" t="s">
        <v>296</v>
      </c>
      <c r="BL11" s="1" t="s">
        <v>950</v>
      </c>
      <c r="BM11" s="1" t="s">
        <v>870</v>
      </c>
      <c r="BN11" s="1" t="s">
        <v>782</v>
      </c>
      <c r="BO11" s="1" t="s">
        <v>784</v>
      </c>
      <c r="BP11" s="1" t="s">
        <v>233</v>
      </c>
      <c r="BQ11" s="1" t="s">
        <v>256</v>
      </c>
      <c r="BR11" s="1" t="s">
        <v>233</v>
      </c>
      <c r="BS11" s="1" t="s">
        <v>214</v>
      </c>
      <c r="BT11" s="1"/>
      <c r="BU11" s="1"/>
      <c r="BV11" s="1"/>
      <c r="BW11" s="1"/>
      <c r="BX11" s="1"/>
      <c r="BY11" s="1" t="s">
        <v>249</v>
      </c>
      <c r="BZ11" s="1" t="s">
        <v>962</v>
      </c>
      <c r="CA11" s="1" t="s">
        <v>326</v>
      </c>
      <c r="CB11" s="1" t="s">
        <v>963</v>
      </c>
      <c r="CC11" s="1" t="s">
        <v>964</v>
      </c>
    </row>
    <row r="12" spans="1:81" x14ac:dyDescent="0.25">
      <c r="A12" s="1" t="s">
        <v>145</v>
      </c>
      <c r="B12" s="1" t="s">
        <v>762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965</v>
      </c>
      <c r="H12" s="1">
        <v>6</v>
      </c>
      <c r="I12" s="1" t="s">
        <v>857</v>
      </c>
      <c r="J12" s="1" t="s">
        <v>219</v>
      </c>
      <c r="K12" s="1" t="s">
        <v>966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914</v>
      </c>
      <c r="R12" s="1" t="s">
        <v>768</v>
      </c>
      <c r="S12" s="1" t="s">
        <v>897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967</v>
      </c>
      <c r="Y12" s="1" t="s">
        <v>968</v>
      </c>
      <c r="Z12" s="1">
        <v>7</v>
      </c>
      <c r="AA12" s="1" t="s">
        <v>900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969</v>
      </c>
      <c r="AT12" s="1" t="s">
        <v>970</v>
      </c>
      <c r="AU12" s="1" t="s">
        <v>186</v>
      </c>
      <c r="AV12" s="1" t="s">
        <v>971</v>
      </c>
      <c r="AW12" s="1" t="s">
        <v>972</v>
      </c>
      <c r="AX12" s="1" t="s">
        <v>157</v>
      </c>
      <c r="AY12" s="1" t="s">
        <v>973</v>
      </c>
      <c r="AZ12" s="1" t="s">
        <v>974</v>
      </c>
      <c r="BA12" s="1" t="s">
        <v>975</v>
      </c>
      <c r="BB12" s="1" t="s">
        <v>976</v>
      </c>
      <c r="BC12" s="1" t="s">
        <v>899</v>
      </c>
      <c r="BD12" s="1" t="s">
        <v>977</v>
      </c>
      <c r="BE12" s="1">
        <v>114.5</v>
      </c>
      <c r="BF12" s="1">
        <v>111.1</v>
      </c>
      <c r="BG12" s="1">
        <v>3.4</v>
      </c>
      <c r="BH12" s="1" t="s">
        <v>909</v>
      </c>
      <c r="BI12" s="1" t="s">
        <v>266</v>
      </c>
      <c r="BJ12" s="1" t="s">
        <v>216</v>
      </c>
      <c r="BK12" s="1" t="s">
        <v>296</v>
      </c>
      <c r="BL12" s="1" t="s">
        <v>965</v>
      </c>
      <c r="BM12" s="1" t="s">
        <v>978</v>
      </c>
      <c r="BN12" s="1" t="s">
        <v>784</v>
      </c>
      <c r="BO12" s="1" t="s">
        <v>944</v>
      </c>
      <c r="BP12" s="1" t="s">
        <v>270</v>
      </c>
      <c r="BQ12" s="1" t="s">
        <v>286</v>
      </c>
      <c r="BR12" s="1" t="s">
        <v>410</v>
      </c>
      <c r="BS12" s="1" t="s">
        <v>979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833</v>
      </c>
      <c r="CB12" s="1" t="s">
        <v>980</v>
      </c>
      <c r="CC12" s="1" t="s">
        <v>981</v>
      </c>
    </row>
    <row r="13" spans="1:81" x14ac:dyDescent="0.25">
      <c r="A13" s="1" t="s">
        <v>145</v>
      </c>
      <c r="B13" s="1" t="s">
        <v>762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875</v>
      </c>
      <c r="H13" s="1">
        <v>6</v>
      </c>
      <c r="I13" s="1" t="s">
        <v>857</v>
      </c>
      <c r="J13" s="1" t="s">
        <v>203</v>
      </c>
      <c r="K13" s="1" t="s">
        <v>858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982</v>
      </c>
      <c r="R13" s="1" t="s">
        <v>983</v>
      </c>
      <c r="S13" s="1" t="s">
        <v>931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984</v>
      </c>
      <c r="Y13" s="1" t="s">
        <v>985</v>
      </c>
      <c r="Z13" s="1">
        <v>9</v>
      </c>
      <c r="AA13" s="1" t="s">
        <v>986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879</v>
      </c>
      <c r="AT13" s="1" t="s">
        <v>987</v>
      </c>
      <c r="AU13" s="1" t="s">
        <v>273</v>
      </c>
      <c r="AV13" s="1" t="s">
        <v>988</v>
      </c>
      <c r="AW13" s="1" t="s">
        <v>989</v>
      </c>
      <c r="AX13" s="1" t="s">
        <v>224</v>
      </c>
      <c r="AY13" s="1" t="s">
        <v>990</v>
      </c>
      <c r="AZ13" s="1" t="s">
        <v>991</v>
      </c>
      <c r="BA13" s="1" t="s">
        <v>992</v>
      </c>
      <c r="BB13" s="1" t="s">
        <v>993</v>
      </c>
      <c r="BC13" s="1" t="s">
        <v>852</v>
      </c>
      <c r="BD13" s="1" t="s">
        <v>994</v>
      </c>
      <c r="BE13" s="1">
        <v>112.2</v>
      </c>
      <c r="BF13" s="1">
        <v>112.3</v>
      </c>
      <c r="BG13" s="1">
        <v>-0.1</v>
      </c>
      <c r="BH13" s="1" t="s">
        <v>875</v>
      </c>
      <c r="BI13" s="1" t="s">
        <v>870</v>
      </c>
      <c r="BJ13" s="1" t="s">
        <v>784</v>
      </c>
      <c r="BK13" s="1" t="s">
        <v>871</v>
      </c>
      <c r="BL13" s="1" t="s">
        <v>995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833</v>
      </c>
      <c r="CB13" s="1" t="s">
        <v>996</v>
      </c>
      <c r="CC13" s="1" t="s">
        <v>997</v>
      </c>
    </row>
    <row r="14" spans="1:81" x14ac:dyDescent="0.25">
      <c r="A14" s="1" t="s">
        <v>145</v>
      </c>
      <c r="B14" s="1" t="s">
        <v>762</v>
      </c>
      <c r="C14" s="1">
        <v>1610612753</v>
      </c>
      <c r="D14" s="1" t="s">
        <v>317</v>
      </c>
      <c r="E14" s="1" t="s">
        <v>318</v>
      </c>
      <c r="F14" s="1" t="s">
        <v>179</v>
      </c>
      <c r="G14" s="1" t="s">
        <v>950</v>
      </c>
      <c r="H14" s="1">
        <v>7</v>
      </c>
      <c r="I14" s="1" t="s">
        <v>998</v>
      </c>
      <c r="J14" s="1" t="s">
        <v>244</v>
      </c>
      <c r="K14" s="1" t="s">
        <v>896</v>
      </c>
      <c r="L14" s="1">
        <v>1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982</v>
      </c>
      <c r="R14" s="1" t="s">
        <v>999</v>
      </c>
      <c r="S14" s="1" t="s">
        <v>1000</v>
      </c>
      <c r="T14" s="1" t="s">
        <v>184</v>
      </c>
      <c r="U14" s="1" t="s">
        <v>156</v>
      </c>
      <c r="V14" s="1" t="s">
        <v>310</v>
      </c>
      <c r="W14" s="1" t="s">
        <v>339</v>
      </c>
      <c r="X14" s="1" t="s">
        <v>340</v>
      </c>
      <c r="Y14" s="1" t="s">
        <v>1001</v>
      </c>
      <c r="Z14" s="1">
        <v>9</v>
      </c>
      <c r="AA14" s="1" t="s">
        <v>986</v>
      </c>
      <c r="AB14" s="1">
        <v>-5</v>
      </c>
      <c r="AC14" s="1" t="s">
        <v>272</v>
      </c>
      <c r="AD14" s="1">
        <v>6</v>
      </c>
      <c r="AE14" s="1">
        <v>4</v>
      </c>
      <c r="AF14" s="1">
        <v>9</v>
      </c>
      <c r="AG14" s="1" t="s">
        <v>986</v>
      </c>
      <c r="AH14" s="1">
        <v>2</v>
      </c>
      <c r="AI14" s="1" t="s">
        <v>222</v>
      </c>
      <c r="AJ14" s="1">
        <v>4</v>
      </c>
      <c r="AK14" s="1" t="s">
        <v>159</v>
      </c>
      <c r="AL14" s="1">
        <v>18</v>
      </c>
      <c r="AM14" s="1">
        <v>0</v>
      </c>
      <c r="AN14" s="1">
        <v>0</v>
      </c>
      <c r="AO14" s="1">
        <v>1</v>
      </c>
      <c r="AP14" s="1">
        <v>1</v>
      </c>
      <c r="AQ14" s="1">
        <v>0</v>
      </c>
      <c r="AR14" s="1">
        <v>0</v>
      </c>
      <c r="AS14" s="1" t="s">
        <v>767</v>
      </c>
      <c r="AT14" s="1" t="s">
        <v>1002</v>
      </c>
      <c r="AU14" s="1" t="s">
        <v>164</v>
      </c>
      <c r="AV14" s="1" t="s">
        <v>1003</v>
      </c>
      <c r="AW14" s="1" t="s">
        <v>1004</v>
      </c>
      <c r="AX14" s="1" t="s">
        <v>185</v>
      </c>
      <c r="AY14" s="1" t="s">
        <v>1005</v>
      </c>
      <c r="AZ14" s="1" t="s">
        <v>1006</v>
      </c>
      <c r="BA14" s="1" t="s">
        <v>1007</v>
      </c>
      <c r="BB14" s="1" t="s">
        <v>1003</v>
      </c>
      <c r="BC14" s="1" t="s">
        <v>915</v>
      </c>
      <c r="BD14" s="1" t="s">
        <v>916</v>
      </c>
      <c r="BE14" s="1">
        <v>107.3</v>
      </c>
      <c r="BF14" s="1">
        <v>106.6</v>
      </c>
      <c r="BG14" s="1">
        <v>0.7</v>
      </c>
      <c r="BH14" s="1" t="s">
        <v>950</v>
      </c>
      <c r="BI14" s="1" t="s">
        <v>871</v>
      </c>
      <c r="BJ14" s="1" t="s">
        <v>944</v>
      </c>
      <c r="BK14" s="1" t="s">
        <v>809</v>
      </c>
      <c r="BL14" s="1" t="s">
        <v>1008</v>
      </c>
      <c r="BM14" s="1" t="s">
        <v>393</v>
      </c>
      <c r="BN14" s="1" t="s">
        <v>323</v>
      </c>
      <c r="BO14" s="1" t="s">
        <v>266</v>
      </c>
      <c r="BP14" s="1" t="s">
        <v>386</v>
      </c>
      <c r="BQ14" s="1" t="s">
        <v>240</v>
      </c>
      <c r="BR14" s="1" t="s">
        <v>270</v>
      </c>
      <c r="BS14" s="1" t="s">
        <v>169</v>
      </c>
      <c r="BT14" s="1"/>
      <c r="BU14" s="1"/>
      <c r="BV14" s="1"/>
      <c r="BW14" s="1"/>
      <c r="BX14" s="1"/>
      <c r="BY14" s="1" t="s">
        <v>345</v>
      </c>
      <c r="BZ14" s="1" t="s">
        <v>978</v>
      </c>
      <c r="CA14" s="1" t="s">
        <v>1009</v>
      </c>
      <c r="CB14" s="1" t="s">
        <v>1010</v>
      </c>
      <c r="CC14" s="1" t="s">
        <v>835</v>
      </c>
    </row>
    <row r="15" spans="1:81" x14ac:dyDescent="0.25">
      <c r="A15" s="1" t="s">
        <v>145</v>
      </c>
      <c r="B15" s="1" t="s">
        <v>762</v>
      </c>
      <c r="C15" s="1">
        <v>1610612759</v>
      </c>
      <c r="D15" s="1" t="s">
        <v>374</v>
      </c>
      <c r="E15" s="1" t="s">
        <v>375</v>
      </c>
      <c r="F15" s="1" t="s">
        <v>149</v>
      </c>
      <c r="G15" s="1" t="s">
        <v>950</v>
      </c>
      <c r="H15" s="1">
        <v>7</v>
      </c>
      <c r="I15" s="1" t="s">
        <v>857</v>
      </c>
      <c r="J15" s="1" t="s">
        <v>231</v>
      </c>
      <c r="K15" s="1" t="s">
        <v>896</v>
      </c>
      <c r="L15" s="1">
        <v>2</v>
      </c>
      <c r="M15" s="1">
        <v>48</v>
      </c>
      <c r="N15" s="1">
        <v>34</v>
      </c>
      <c r="O15" s="1">
        <v>0.58499999999999996</v>
      </c>
      <c r="P15" s="1">
        <v>0</v>
      </c>
      <c r="Q15" s="1" t="s">
        <v>930</v>
      </c>
      <c r="R15" s="1" t="s">
        <v>816</v>
      </c>
      <c r="S15" s="1" t="s">
        <v>1011</v>
      </c>
      <c r="T15" s="1" t="s">
        <v>259</v>
      </c>
      <c r="U15" s="1" t="s">
        <v>184</v>
      </c>
      <c r="V15" s="1" t="s">
        <v>265</v>
      </c>
      <c r="W15" s="1" t="s">
        <v>153</v>
      </c>
      <c r="X15" s="1" t="s">
        <v>1012</v>
      </c>
      <c r="Y15" s="1" t="s">
        <v>999</v>
      </c>
      <c r="Z15" s="1">
        <v>11</v>
      </c>
      <c r="AA15" s="1" t="s">
        <v>770</v>
      </c>
      <c r="AB15" s="1">
        <v>-5</v>
      </c>
      <c r="AC15" s="1" t="s">
        <v>272</v>
      </c>
      <c r="AD15" s="1">
        <v>9</v>
      </c>
      <c r="AE15" s="1">
        <v>4</v>
      </c>
      <c r="AF15" s="1">
        <v>2</v>
      </c>
      <c r="AG15" s="1" t="s">
        <v>222</v>
      </c>
      <c r="AH15" s="1">
        <v>2</v>
      </c>
      <c r="AI15" s="1" t="s">
        <v>222</v>
      </c>
      <c r="AJ15" s="1">
        <v>3</v>
      </c>
      <c r="AK15" s="1" t="s">
        <v>223</v>
      </c>
      <c r="AL15" s="1">
        <v>9</v>
      </c>
      <c r="AM15" s="1">
        <v>5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1013</v>
      </c>
      <c r="AT15" s="1" t="s">
        <v>1014</v>
      </c>
      <c r="AU15" s="1" t="s">
        <v>163</v>
      </c>
      <c r="AV15" s="1" t="s">
        <v>1015</v>
      </c>
      <c r="AW15" s="1" t="s">
        <v>1014</v>
      </c>
      <c r="AX15" s="1" t="s">
        <v>164</v>
      </c>
      <c r="AY15" s="1" t="s">
        <v>1016</v>
      </c>
      <c r="AZ15" s="1" t="s">
        <v>1017</v>
      </c>
      <c r="BA15" s="1" t="s">
        <v>1001</v>
      </c>
      <c r="BB15" s="1" t="s">
        <v>771</v>
      </c>
      <c r="BC15" s="1" t="s">
        <v>1018</v>
      </c>
      <c r="BD15" s="1" t="s">
        <v>1019</v>
      </c>
      <c r="BE15" s="1">
        <v>111.7</v>
      </c>
      <c r="BF15" s="1">
        <v>110</v>
      </c>
      <c r="BG15" s="1">
        <v>1.7</v>
      </c>
      <c r="BH15" s="1" t="s">
        <v>1020</v>
      </c>
      <c r="BI15" s="1" t="s">
        <v>266</v>
      </c>
      <c r="BJ15" s="1" t="s">
        <v>296</v>
      </c>
      <c r="BK15" s="1" t="s">
        <v>276</v>
      </c>
      <c r="BL15" s="1" t="s">
        <v>950</v>
      </c>
      <c r="BM15" s="1" t="s">
        <v>784</v>
      </c>
      <c r="BN15" s="1" t="s">
        <v>784</v>
      </c>
      <c r="BO15" s="1" t="s">
        <v>809</v>
      </c>
      <c r="BP15" s="1" t="s">
        <v>261</v>
      </c>
      <c r="BQ15" s="1" t="s">
        <v>398</v>
      </c>
      <c r="BR15" s="1" t="s">
        <v>253</v>
      </c>
      <c r="BS15" s="1" t="s">
        <v>169</v>
      </c>
      <c r="BT15" s="1"/>
      <c r="BU15" s="1"/>
      <c r="BV15" s="1"/>
      <c r="BW15" s="1"/>
      <c r="BX15" s="1"/>
      <c r="BY15" s="1" t="s">
        <v>255</v>
      </c>
      <c r="BZ15" s="1" t="s">
        <v>349</v>
      </c>
      <c r="CA15" s="1" t="s">
        <v>945</v>
      </c>
      <c r="CB15" s="1" t="s">
        <v>1021</v>
      </c>
      <c r="CC15" s="1" t="s">
        <v>835</v>
      </c>
    </row>
    <row r="16" spans="1:81" x14ac:dyDescent="0.25">
      <c r="A16" s="1" t="s">
        <v>145</v>
      </c>
      <c r="B16" s="1" t="s">
        <v>762</v>
      </c>
      <c r="C16" s="1">
        <v>1610612765</v>
      </c>
      <c r="D16" s="1" t="s">
        <v>380</v>
      </c>
      <c r="E16" s="1" t="s">
        <v>381</v>
      </c>
      <c r="F16" s="1" t="s">
        <v>179</v>
      </c>
      <c r="G16" s="1" t="s">
        <v>1022</v>
      </c>
      <c r="H16" s="1">
        <v>8</v>
      </c>
      <c r="I16" s="1" t="s">
        <v>857</v>
      </c>
      <c r="J16" s="1" t="s">
        <v>181</v>
      </c>
      <c r="K16" s="1" t="s">
        <v>858</v>
      </c>
      <c r="L16" s="1">
        <v>3</v>
      </c>
      <c r="M16" s="1">
        <v>41</v>
      </c>
      <c r="N16" s="1">
        <v>41</v>
      </c>
      <c r="O16" s="1">
        <v>0.5</v>
      </c>
      <c r="P16" s="1">
        <v>0</v>
      </c>
      <c r="Q16" s="1" t="s">
        <v>1023</v>
      </c>
      <c r="R16" s="1" t="s">
        <v>817</v>
      </c>
      <c r="S16" s="1" t="s">
        <v>1024</v>
      </c>
      <c r="T16" s="1" t="s">
        <v>310</v>
      </c>
      <c r="U16" s="1" t="s">
        <v>184</v>
      </c>
      <c r="V16" s="1" t="s">
        <v>320</v>
      </c>
      <c r="W16" s="1" t="s">
        <v>221</v>
      </c>
      <c r="X16" s="1" t="s">
        <v>355</v>
      </c>
      <c r="Y16" s="1" t="s">
        <v>1025</v>
      </c>
      <c r="Z16" s="1">
        <v>11</v>
      </c>
      <c r="AA16" s="1" t="s">
        <v>770</v>
      </c>
      <c r="AB16" s="1">
        <v>-5</v>
      </c>
      <c r="AC16" s="1" t="s">
        <v>272</v>
      </c>
      <c r="AD16" s="1">
        <v>5</v>
      </c>
      <c r="AE16" s="1">
        <v>6</v>
      </c>
      <c r="AF16" s="1">
        <v>1</v>
      </c>
      <c r="AG16" s="1" t="s">
        <v>246</v>
      </c>
      <c r="AH16" s="1">
        <v>1</v>
      </c>
      <c r="AI16" s="1" t="s">
        <v>246</v>
      </c>
      <c r="AJ16" s="1">
        <v>2</v>
      </c>
      <c r="AK16" s="1" t="s">
        <v>222</v>
      </c>
      <c r="AL16" s="1">
        <v>19</v>
      </c>
      <c r="AM16" s="1">
        <v>19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1026</v>
      </c>
      <c r="AT16" s="1" t="s">
        <v>1027</v>
      </c>
      <c r="AU16" s="1" t="s">
        <v>186</v>
      </c>
      <c r="AV16" s="1" t="s">
        <v>879</v>
      </c>
      <c r="AW16" s="1" t="s">
        <v>1028</v>
      </c>
      <c r="AX16" s="1" t="s">
        <v>161</v>
      </c>
      <c r="AY16" s="1" t="s">
        <v>1029</v>
      </c>
      <c r="AZ16" s="1" t="s">
        <v>1030</v>
      </c>
      <c r="BA16" s="1" t="s">
        <v>1031</v>
      </c>
      <c r="BB16" s="1" t="s">
        <v>1032</v>
      </c>
      <c r="BC16" s="1" t="s">
        <v>1033</v>
      </c>
      <c r="BD16" s="1" t="s">
        <v>1034</v>
      </c>
      <c r="BE16" s="1">
        <v>107</v>
      </c>
      <c r="BF16" s="1">
        <v>107.3</v>
      </c>
      <c r="BG16" s="1">
        <v>-0.2</v>
      </c>
      <c r="BH16" s="1" t="s">
        <v>1022</v>
      </c>
      <c r="BI16" s="1" t="s">
        <v>784</v>
      </c>
      <c r="BJ16" s="1" t="s">
        <v>870</v>
      </c>
      <c r="BK16" s="1" t="s">
        <v>944</v>
      </c>
      <c r="BL16" s="1" t="s">
        <v>925</v>
      </c>
      <c r="BM16" s="1" t="s">
        <v>323</v>
      </c>
      <c r="BN16" s="1" t="s">
        <v>276</v>
      </c>
      <c r="BO16" s="1" t="s">
        <v>276</v>
      </c>
      <c r="BP16" s="1" t="s">
        <v>410</v>
      </c>
      <c r="BQ16" s="1" t="s">
        <v>296</v>
      </c>
      <c r="BR16" s="1" t="s">
        <v>809</v>
      </c>
      <c r="BS16" s="1" t="s">
        <v>274</v>
      </c>
      <c r="BT16" s="1"/>
      <c r="BU16" s="1"/>
      <c r="BV16" s="1"/>
      <c r="BW16" s="1"/>
      <c r="BX16" s="1"/>
      <c r="BY16" s="1" t="s">
        <v>249</v>
      </c>
      <c r="BZ16" s="1" t="s">
        <v>853</v>
      </c>
      <c r="CA16" s="1" t="s">
        <v>397</v>
      </c>
      <c r="CB16" s="1" t="s">
        <v>1035</v>
      </c>
      <c r="CC16" s="1" t="s">
        <v>1036</v>
      </c>
    </row>
    <row r="17" spans="1:81" x14ac:dyDescent="0.25">
      <c r="A17" s="1" t="s">
        <v>145</v>
      </c>
      <c r="B17" s="1" t="s">
        <v>762</v>
      </c>
      <c r="C17" s="1">
        <v>1610612746</v>
      </c>
      <c r="D17" s="1" t="s">
        <v>257</v>
      </c>
      <c r="E17" s="1" t="s">
        <v>258</v>
      </c>
      <c r="F17" s="1" t="s">
        <v>149</v>
      </c>
      <c r="G17" s="1" t="s">
        <v>965</v>
      </c>
      <c r="H17" s="1">
        <v>8</v>
      </c>
      <c r="I17" s="1" t="s">
        <v>857</v>
      </c>
      <c r="J17" s="1" t="s">
        <v>152</v>
      </c>
      <c r="K17" s="1" t="s">
        <v>929</v>
      </c>
      <c r="L17" s="1">
        <v>2</v>
      </c>
      <c r="M17" s="1">
        <v>48</v>
      </c>
      <c r="N17" s="1">
        <v>34</v>
      </c>
      <c r="O17" s="1">
        <v>0.58499999999999996</v>
      </c>
      <c r="P17" s="1">
        <v>0</v>
      </c>
      <c r="Q17" s="1" t="s">
        <v>930</v>
      </c>
      <c r="R17" s="1" t="s">
        <v>817</v>
      </c>
      <c r="S17" s="1" t="s">
        <v>897</v>
      </c>
      <c r="T17" s="1" t="s">
        <v>259</v>
      </c>
      <c r="U17" s="1" t="s">
        <v>193</v>
      </c>
      <c r="V17" s="1" t="s">
        <v>259</v>
      </c>
      <c r="W17" s="1" t="s">
        <v>158</v>
      </c>
      <c r="X17" s="1" t="s">
        <v>166</v>
      </c>
      <c r="Y17" s="1" t="s">
        <v>983</v>
      </c>
      <c r="Z17" s="1">
        <v>9</v>
      </c>
      <c r="AA17" s="1" t="s">
        <v>986</v>
      </c>
      <c r="AB17" s="1">
        <v>5</v>
      </c>
      <c r="AC17" s="1" t="s">
        <v>160</v>
      </c>
      <c r="AD17" s="1">
        <v>6</v>
      </c>
      <c r="AE17" s="1">
        <v>5</v>
      </c>
      <c r="AF17" s="1">
        <v>1</v>
      </c>
      <c r="AG17" s="1" t="s">
        <v>246</v>
      </c>
      <c r="AH17" s="1">
        <v>-2</v>
      </c>
      <c r="AI17" s="1" t="s">
        <v>279</v>
      </c>
      <c r="AJ17" s="1">
        <v>1</v>
      </c>
      <c r="AK17" s="1" t="s">
        <v>246</v>
      </c>
      <c r="AL17" s="1">
        <v>9</v>
      </c>
      <c r="AM17" s="1">
        <v>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1003</v>
      </c>
      <c r="AT17" s="1" t="s">
        <v>1037</v>
      </c>
      <c r="AU17" s="1" t="s">
        <v>260</v>
      </c>
      <c r="AV17" s="1" t="s">
        <v>1038</v>
      </c>
      <c r="AW17" s="1" t="s">
        <v>1039</v>
      </c>
      <c r="AX17" s="1" t="s">
        <v>190</v>
      </c>
      <c r="AY17" s="1" t="s">
        <v>1040</v>
      </c>
      <c r="AZ17" s="1" t="s">
        <v>1041</v>
      </c>
      <c r="BA17" s="1" t="s">
        <v>1042</v>
      </c>
      <c r="BB17" s="1" t="s">
        <v>1043</v>
      </c>
      <c r="BC17" s="1" t="s">
        <v>1044</v>
      </c>
      <c r="BD17" s="1" t="s">
        <v>1045</v>
      </c>
      <c r="BE17" s="1">
        <v>115.1</v>
      </c>
      <c r="BF17" s="1">
        <v>114.3</v>
      </c>
      <c r="BG17" s="1">
        <v>0.9</v>
      </c>
      <c r="BH17" s="1" t="s">
        <v>808</v>
      </c>
      <c r="BI17" s="1" t="s">
        <v>266</v>
      </c>
      <c r="BJ17" s="1" t="s">
        <v>296</v>
      </c>
      <c r="BK17" s="1" t="s">
        <v>296</v>
      </c>
      <c r="BL17" s="1" t="s">
        <v>965</v>
      </c>
      <c r="BM17" s="1" t="s">
        <v>1046</v>
      </c>
      <c r="BN17" s="1" t="s">
        <v>945</v>
      </c>
      <c r="BO17" s="1" t="s">
        <v>784</v>
      </c>
      <c r="BP17" s="1" t="s">
        <v>962</v>
      </c>
      <c r="BQ17" s="1" t="s">
        <v>286</v>
      </c>
      <c r="BR17" s="1" t="s">
        <v>1047</v>
      </c>
      <c r="BS17" s="1" t="s">
        <v>282</v>
      </c>
      <c r="BT17" s="1"/>
      <c r="BU17" s="1"/>
      <c r="BV17" s="1"/>
      <c r="BW17" s="1"/>
      <c r="BX17" s="1"/>
      <c r="BY17" s="1" t="s">
        <v>249</v>
      </c>
      <c r="BZ17" s="1" t="s">
        <v>204</v>
      </c>
      <c r="CA17" s="1" t="s">
        <v>337</v>
      </c>
      <c r="CB17" s="1" t="s">
        <v>1048</v>
      </c>
      <c r="CC17" s="1" t="s">
        <v>1049</v>
      </c>
    </row>
    <row r="18" spans="1:81" x14ac:dyDescent="0.25">
      <c r="A18" s="1" t="s">
        <v>145</v>
      </c>
      <c r="B18" s="1" t="s">
        <v>762</v>
      </c>
      <c r="C18" s="1">
        <v>1610612766</v>
      </c>
      <c r="D18" s="1" t="s">
        <v>335</v>
      </c>
      <c r="E18" s="1" t="s">
        <v>336</v>
      </c>
      <c r="F18" s="1" t="s">
        <v>179</v>
      </c>
      <c r="G18" s="1" t="s">
        <v>875</v>
      </c>
      <c r="H18" s="1">
        <v>9</v>
      </c>
      <c r="I18" s="1" t="s">
        <v>1050</v>
      </c>
      <c r="J18" s="1" t="s">
        <v>244</v>
      </c>
      <c r="K18" s="1" t="s">
        <v>896</v>
      </c>
      <c r="L18" s="1">
        <v>2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1051</v>
      </c>
      <c r="R18" s="1" t="s">
        <v>999</v>
      </c>
      <c r="S18" s="1" t="s">
        <v>1052</v>
      </c>
      <c r="T18" s="1" t="s">
        <v>259</v>
      </c>
      <c r="U18" s="1" t="s">
        <v>265</v>
      </c>
      <c r="V18" s="1" t="s">
        <v>265</v>
      </c>
      <c r="W18" s="1" t="s">
        <v>262</v>
      </c>
      <c r="X18" s="1" t="s">
        <v>876</v>
      </c>
      <c r="Y18" s="1" t="s">
        <v>878</v>
      </c>
      <c r="Z18" s="1">
        <v>5</v>
      </c>
      <c r="AA18" s="1" t="s">
        <v>160</v>
      </c>
      <c r="AB18" s="1">
        <v>-4</v>
      </c>
      <c r="AC18" s="1" t="s">
        <v>263</v>
      </c>
      <c r="AD18" s="1">
        <v>4</v>
      </c>
      <c r="AE18" s="1">
        <v>3</v>
      </c>
      <c r="AF18" s="1">
        <v>-1</v>
      </c>
      <c r="AG18" s="1" t="s">
        <v>207</v>
      </c>
      <c r="AH18" s="1">
        <v>3</v>
      </c>
      <c r="AI18" s="1" t="s">
        <v>223</v>
      </c>
      <c r="AJ18" s="1">
        <v>-1</v>
      </c>
      <c r="AK18" s="1" t="s">
        <v>207</v>
      </c>
      <c r="AL18" s="1">
        <v>21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1053</v>
      </c>
      <c r="AT18" s="1" t="s">
        <v>1054</v>
      </c>
      <c r="AU18" s="1" t="s">
        <v>190</v>
      </c>
      <c r="AV18" s="1" t="s">
        <v>793</v>
      </c>
      <c r="AW18" s="1" t="s">
        <v>1055</v>
      </c>
      <c r="AX18" s="1" t="s">
        <v>186</v>
      </c>
      <c r="AY18" s="1" t="s">
        <v>1056</v>
      </c>
      <c r="AZ18" s="1" t="s">
        <v>1057</v>
      </c>
      <c r="BA18" s="1" t="s">
        <v>970</v>
      </c>
      <c r="BB18" s="1" t="s">
        <v>1058</v>
      </c>
      <c r="BC18" s="1" t="s">
        <v>1059</v>
      </c>
      <c r="BD18" s="1" t="s">
        <v>1060</v>
      </c>
      <c r="BE18" s="1">
        <v>110.7</v>
      </c>
      <c r="BF18" s="1">
        <v>111.8</v>
      </c>
      <c r="BG18" s="1">
        <v>-1.1000000000000001</v>
      </c>
      <c r="BH18" s="1" t="s">
        <v>875</v>
      </c>
      <c r="BI18" s="1" t="s">
        <v>910</v>
      </c>
      <c r="BJ18" s="1" t="s">
        <v>871</v>
      </c>
      <c r="BK18" s="1" t="s">
        <v>809</v>
      </c>
      <c r="BL18" s="1" t="s">
        <v>1061</v>
      </c>
      <c r="BM18" s="1" t="s">
        <v>393</v>
      </c>
      <c r="BN18" s="1" t="s">
        <v>398</v>
      </c>
      <c r="BO18" s="1" t="s">
        <v>276</v>
      </c>
      <c r="BP18" s="1" t="s">
        <v>299</v>
      </c>
      <c r="BQ18" s="1" t="s">
        <v>388</v>
      </c>
      <c r="BR18" s="1" t="s">
        <v>926</v>
      </c>
      <c r="BS18" s="1" t="s">
        <v>214</v>
      </c>
      <c r="BT18" s="1"/>
      <c r="BU18" s="1"/>
      <c r="BV18" s="1"/>
      <c r="BW18" s="1"/>
      <c r="BX18" s="1"/>
      <c r="BY18" s="1" t="s">
        <v>343</v>
      </c>
      <c r="BZ18" s="1" t="s">
        <v>326</v>
      </c>
      <c r="CA18" s="1" t="s">
        <v>326</v>
      </c>
      <c r="CB18" s="1" t="s">
        <v>1062</v>
      </c>
      <c r="CC18" s="1" t="s">
        <v>981</v>
      </c>
    </row>
    <row r="19" spans="1:81" x14ac:dyDescent="0.25">
      <c r="A19" s="1" t="s">
        <v>145</v>
      </c>
      <c r="B19" s="1" t="s">
        <v>762</v>
      </c>
      <c r="C19" s="1">
        <v>1610612758</v>
      </c>
      <c r="D19" s="1" t="s">
        <v>329</v>
      </c>
      <c r="E19" s="1" t="s">
        <v>330</v>
      </c>
      <c r="F19" s="1" t="s">
        <v>149</v>
      </c>
      <c r="G19" s="1" t="s">
        <v>1063</v>
      </c>
      <c r="H19" s="1">
        <v>9</v>
      </c>
      <c r="I19" s="1" t="s">
        <v>1050</v>
      </c>
      <c r="J19" s="1" t="s">
        <v>152</v>
      </c>
      <c r="K19" s="1" t="s">
        <v>1064</v>
      </c>
      <c r="L19" s="1">
        <v>3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1051</v>
      </c>
      <c r="R19" s="1" t="s">
        <v>1065</v>
      </c>
      <c r="S19" s="1" t="s">
        <v>1024</v>
      </c>
      <c r="T19" s="1" t="s">
        <v>341</v>
      </c>
      <c r="U19" s="1" t="s">
        <v>265</v>
      </c>
      <c r="V19" s="1" t="s">
        <v>320</v>
      </c>
      <c r="W19" s="1" t="s">
        <v>164</v>
      </c>
      <c r="X19" s="1" t="s">
        <v>967</v>
      </c>
      <c r="Y19" s="1" t="s">
        <v>1066</v>
      </c>
      <c r="Z19" s="1">
        <v>7</v>
      </c>
      <c r="AA19" s="1" t="s">
        <v>900</v>
      </c>
      <c r="AB19" s="1">
        <v>-5</v>
      </c>
      <c r="AC19" s="1" t="s">
        <v>272</v>
      </c>
      <c r="AD19" s="1">
        <v>5</v>
      </c>
      <c r="AE19" s="1">
        <v>4</v>
      </c>
      <c r="AF19" s="1">
        <v>-1</v>
      </c>
      <c r="AG19" s="1" t="s">
        <v>207</v>
      </c>
      <c r="AH19" s="1">
        <v>-2</v>
      </c>
      <c r="AI19" s="1" t="s">
        <v>279</v>
      </c>
      <c r="AJ19" s="1">
        <v>-3</v>
      </c>
      <c r="AK19" s="1" t="s">
        <v>301</v>
      </c>
      <c r="AL19" s="1">
        <v>18</v>
      </c>
      <c r="AM19" s="1">
        <v>18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1067</v>
      </c>
      <c r="AT19" s="1" t="s">
        <v>1068</v>
      </c>
      <c r="AU19" s="1" t="s">
        <v>260</v>
      </c>
      <c r="AV19" s="1" t="s">
        <v>1069</v>
      </c>
      <c r="AW19" s="1" t="s">
        <v>1070</v>
      </c>
      <c r="AX19" s="1" t="s">
        <v>339</v>
      </c>
      <c r="AY19" s="1" t="s">
        <v>1071</v>
      </c>
      <c r="AZ19" s="1" t="s">
        <v>1072</v>
      </c>
      <c r="BA19" s="1" t="s">
        <v>1073</v>
      </c>
      <c r="BB19" s="1" t="s">
        <v>1074</v>
      </c>
      <c r="BC19" s="1" t="s">
        <v>1045</v>
      </c>
      <c r="BD19" s="1" t="s">
        <v>1075</v>
      </c>
      <c r="BE19" s="1">
        <v>114.2</v>
      </c>
      <c r="BF19" s="1">
        <v>115.3</v>
      </c>
      <c r="BG19" s="1">
        <v>-1.1000000000000001</v>
      </c>
      <c r="BH19" s="1" t="s">
        <v>1020</v>
      </c>
      <c r="BI19" s="1" t="s">
        <v>398</v>
      </c>
      <c r="BJ19" s="1" t="s">
        <v>296</v>
      </c>
      <c r="BK19" s="1" t="s">
        <v>216</v>
      </c>
      <c r="BL19" s="1" t="s">
        <v>1063</v>
      </c>
      <c r="BM19" s="1" t="s">
        <v>1046</v>
      </c>
      <c r="BN19" s="1" t="s">
        <v>1076</v>
      </c>
      <c r="BO19" s="1" t="s">
        <v>784</v>
      </c>
      <c r="BP19" s="1" t="s">
        <v>926</v>
      </c>
      <c r="BQ19" s="1" t="s">
        <v>276</v>
      </c>
      <c r="BR19" s="1" t="s">
        <v>962</v>
      </c>
      <c r="BS19" s="1" t="s">
        <v>344</v>
      </c>
      <c r="BT19" s="1"/>
      <c r="BU19" s="1"/>
      <c r="BV19" s="1"/>
      <c r="BW19" s="1"/>
      <c r="BX19" s="1"/>
      <c r="BY19" s="1" t="s">
        <v>315</v>
      </c>
      <c r="BZ19" s="1" t="s">
        <v>1009</v>
      </c>
      <c r="CA19" s="1" t="s">
        <v>833</v>
      </c>
      <c r="CB19" s="1" t="s">
        <v>1077</v>
      </c>
      <c r="CC19" s="1" t="s">
        <v>1078</v>
      </c>
    </row>
    <row r="20" spans="1:81" x14ac:dyDescent="0.25">
      <c r="A20" s="1" t="s">
        <v>145</v>
      </c>
      <c r="B20" s="1" t="s">
        <v>762</v>
      </c>
      <c r="C20" s="1">
        <v>1610612747</v>
      </c>
      <c r="D20" s="1" t="s">
        <v>147</v>
      </c>
      <c r="E20" s="1" t="s">
        <v>148</v>
      </c>
      <c r="F20" s="1" t="s">
        <v>149</v>
      </c>
      <c r="G20" s="1" t="s">
        <v>1079</v>
      </c>
      <c r="H20" s="1">
        <v>10</v>
      </c>
      <c r="I20" s="1" t="s">
        <v>1050</v>
      </c>
      <c r="J20" s="1" t="s">
        <v>152</v>
      </c>
      <c r="K20" s="1" t="s">
        <v>966</v>
      </c>
      <c r="L20" s="1">
        <v>4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1080</v>
      </c>
      <c r="R20" s="1" t="s">
        <v>897</v>
      </c>
      <c r="S20" s="1" t="s">
        <v>1024</v>
      </c>
      <c r="T20" s="1" t="s">
        <v>259</v>
      </c>
      <c r="U20" s="1" t="s">
        <v>310</v>
      </c>
      <c r="V20" s="1" t="s">
        <v>341</v>
      </c>
      <c r="W20" s="1" t="s">
        <v>224</v>
      </c>
      <c r="X20" s="1" t="s">
        <v>273</v>
      </c>
      <c r="Y20" s="1" t="s">
        <v>1011</v>
      </c>
      <c r="Z20" s="1">
        <v>6</v>
      </c>
      <c r="AA20" s="1" t="s">
        <v>188</v>
      </c>
      <c r="AB20" s="1">
        <v>-5</v>
      </c>
      <c r="AC20" s="1" t="s">
        <v>272</v>
      </c>
      <c r="AD20" s="1">
        <v>4</v>
      </c>
      <c r="AE20" s="1">
        <v>5</v>
      </c>
      <c r="AF20" s="1">
        <v>-1</v>
      </c>
      <c r="AG20" s="1" t="s">
        <v>207</v>
      </c>
      <c r="AH20" s="1">
        <v>1</v>
      </c>
      <c r="AI20" s="1" t="s">
        <v>246</v>
      </c>
      <c r="AJ20" s="1">
        <v>-1</v>
      </c>
      <c r="AK20" s="1" t="s">
        <v>207</v>
      </c>
      <c r="AL20" s="1">
        <v>20</v>
      </c>
      <c r="AM20" s="1">
        <v>20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1081</v>
      </c>
      <c r="AT20" s="1" t="s">
        <v>1082</v>
      </c>
      <c r="AU20" s="1" t="s">
        <v>157</v>
      </c>
      <c r="AV20" s="1" t="s">
        <v>1083</v>
      </c>
      <c r="AW20" s="1" t="s">
        <v>1084</v>
      </c>
      <c r="AX20" s="1" t="s">
        <v>157</v>
      </c>
      <c r="AY20" s="1" t="s">
        <v>1085</v>
      </c>
      <c r="AZ20" s="1" t="s">
        <v>1086</v>
      </c>
      <c r="BA20" s="1" t="s">
        <v>1087</v>
      </c>
      <c r="BB20" s="1" t="s">
        <v>1088</v>
      </c>
      <c r="BC20" s="1" t="s">
        <v>1089</v>
      </c>
      <c r="BD20" s="1" t="s">
        <v>1090</v>
      </c>
      <c r="BE20" s="1">
        <v>111.8</v>
      </c>
      <c r="BF20" s="1">
        <v>113.5</v>
      </c>
      <c r="BG20" s="1">
        <v>-1.7</v>
      </c>
      <c r="BH20" s="1" t="s">
        <v>1008</v>
      </c>
      <c r="BI20" s="1" t="s">
        <v>1091</v>
      </c>
      <c r="BJ20" s="1" t="s">
        <v>276</v>
      </c>
      <c r="BK20" s="1" t="s">
        <v>266</v>
      </c>
      <c r="BL20" s="1" t="s">
        <v>1079</v>
      </c>
      <c r="BM20" s="1" t="s">
        <v>1046</v>
      </c>
      <c r="BN20" s="1" t="s">
        <v>978</v>
      </c>
      <c r="BO20" s="1" t="s">
        <v>944</v>
      </c>
      <c r="BP20" s="1" t="s">
        <v>337</v>
      </c>
      <c r="BQ20" s="1" t="s">
        <v>364</v>
      </c>
      <c r="BR20" s="1" t="s">
        <v>386</v>
      </c>
      <c r="BS20" s="1" t="s">
        <v>275</v>
      </c>
      <c r="BT20" s="1"/>
      <c r="BU20" s="1"/>
      <c r="BV20" s="1"/>
      <c r="BW20" s="1"/>
      <c r="BX20" s="1"/>
      <c r="BY20" s="1" t="s">
        <v>305</v>
      </c>
      <c r="BZ20" s="1" t="s">
        <v>253</v>
      </c>
      <c r="CA20" s="1" t="s">
        <v>308</v>
      </c>
      <c r="CB20" s="1" t="s">
        <v>1092</v>
      </c>
      <c r="CC20" s="1" t="s">
        <v>1078</v>
      </c>
    </row>
    <row r="21" spans="1:81" x14ac:dyDescent="0.25">
      <c r="A21" s="1" t="s">
        <v>145</v>
      </c>
      <c r="B21" s="1" t="s">
        <v>762</v>
      </c>
      <c r="C21" s="1">
        <v>1610612748</v>
      </c>
      <c r="D21" s="1" t="s">
        <v>241</v>
      </c>
      <c r="E21" s="1" t="s">
        <v>242</v>
      </c>
      <c r="F21" s="1" t="s">
        <v>179</v>
      </c>
      <c r="G21" s="1" t="s">
        <v>1093</v>
      </c>
      <c r="H21" s="1">
        <v>10</v>
      </c>
      <c r="I21" s="1" t="s">
        <v>1050</v>
      </c>
      <c r="J21" s="1" t="s">
        <v>244</v>
      </c>
      <c r="K21" s="1" t="s">
        <v>1094</v>
      </c>
      <c r="L21" s="1">
        <v>3</v>
      </c>
      <c r="M21" s="1">
        <v>39</v>
      </c>
      <c r="N21" s="1">
        <v>43</v>
      </c>
      <c r="O21" s="1">
        <v>0.47599999999999998</v>
      </c>
      <c r="P21" s="1">
        <v>0</v>
      </c>
      <c r="Q21" s="1" t="s">
        <v>1051</v>
      </c>
      <c r="R21" s="1" t="s">
        <v>931</v>
      </c>
      <c r="S21" s="1" t="s">
        <v>840</v>
      </c>
      <c r="T21" s="1" t="s">
        <v>310</v>
      </c>
      <c r="U21" s="1" t="s">
        <v>259</v>
      </c>
      <c r="V21" s="1" t="s">
        <v>265</v>
      </c>
      <c r="W21" s="1" t="s">
        <v>186</v>
      </c>
      <c r="X21" s="1" t="s">
        <v>355</v>
      </c>
      <c r="Y21" s="1" t="s">
        <v>1095</v>
      </c>
      <c r="Z21" s="1">
        <v>-6</v>
      </c>
      <c r="AA21" s="1" t="s">
        <v>367</v>
      </c>
      <c r="AB21" s="1">
        <v>4</v>
      </c>
      <c r="AC21" s="1" t="s">
        <v>159</v>
      </c>
      <c r="AD21" s="1">
        <v>5</v>
      </c>
      <c r="AE21" s="1">
        <v>4</v>
      </c>
      <c r="AF21" s="1">
        <v>1</v>
      </c>
      <c r="AG21" s="1" t="s">
        <v>246</v>
      </c>
      <c r="AH21" s="1">
        <v>-4</v>
      </c>
      <c r="AI21" s="1" t="s">
        <v>263</v>
      </c>
      <c r="AJ21" s="1">
        <v>-1</v>
      </c>
      <c r="AK21" s="1" t="s">
        <v>207</v>
      </c>
      <c r="AL21" s="1">
        <v>21</v>
      </c>
      <c r="AM21" s="1">
        <v>3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932</v>
      </c>
      <c r="AT21" s="1" t="s">
        <v>1096</v>
      </c>
      <c r="AU21" s="1" t="s">
        <v>234</v>
      </c>
      <c r="AV21" s="1" t="s">
        <v>1097</v>
      </c>
      <c r="AW21" s="1" t="s">
        <v>1098</v>
      </c>
      <c r="AX21" s="1" t="s">
        <v>260</v>
      </c>
      <c r="AY21" s="1" t="s">
        <v>1099</v>
      </c>
      <c r="AZ21" s="1" t="s">
        <v>1100</v>
      </c>
      <c r="BA21" s="1" t="s">
        <v>1101</v>
      </c>
      <c r="BB21" s="1" t="s">
        <v>1102</v>
      </c>
      <c r="BC21" s="1" t="s">
        <v>1103</v>
      </c>
      <c r="BD21" s="1" t="s">
        <v>1104</v>
      </c>
      <c r="BE21" s="1">
        <v>105.7</v>
      </c>
      <c r="BF21" s="1">
        <v>105.9</v>
      </c>
      <c r="BG21" s="1">
        <v>-0.2</v>
      </c>
      <c r="BH21" s="1" t="s">
        <v>1093</v>
      </c>
      <c r="BI21" s="1" t="s">
        <v>1046</v>
      </c>
      <c r="BJ21" s="1" t="s">
        <v>944</v>
      </c>
      <c r="BK21" s="1" t="s">
        <v>962</v>
      </c>
      <c r="BL21" s="1" t="s">
        <v>1105</v>
      </c>
      <c r="BM21" s="1" t="s">
        <v>323</v>
      </c>
      <c r="BN21" s="1" t="s">
        <v>398</v>
      </c>
      <c r="BO21" s="1" t="s">
        <v>176</v>
      </c>
      <c r="BP21" s="1" t="s">
        <v>326</v>
      </c>
      <c r="BQ21" s="1" t="s">
        <v>1106</v>
      </c>
      <c r="BR21" s="1" t="s">
        <v>233</v>
      </c>
      <c r="BS21" s="1" t="s">
        <v>911</v>
      </c>
      <c r="BT21" s="1"/>
      <c r="BU21" s="1"/>
      <c r="BV21" s="1"/>
      <c r="BW21" s="1"/>
      <c r="BX21" s="1"/>
      <c r="BY21" s="1" t="s">
        <v>295</v>
      </c>
      <c r="BZ21" s="1" t="s">
        <v>363</v>
      </c>
      <c r="CA21" s="1" t="s">
        <v>270</v>
      </c>
      <c r="CB21" s="1" t="s">
        <v>1035</v>
      </c>
      <c r="CC21" s="1" t="s">
        <v>1107</v>
      </c>
    </row>
    <row r="22" spans="1:81" x14ac:dyDescent="0.25">
      <c r="A22" s="1" t="s">
        <v>145</v>
      </c>
      <c r="B22" s="1" t="s">
        <v>762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1108</v>
      </c>
      <c r="H22" s="1">
        <v>11</v>
      </c>
      <c r="I22" s="1" t="s">
        <v>1050</v>
      </c>
      <c r="J22" s="1" t="s">
        <v>244</v>
      </c>
      <c r="K22" s="1" t="s">
        <v>1094</v>
      </c>
      <c r="L22" s="1">
        <v>4</v>
      </c>
      <c r="M22" s="1">
        <v>32</v>
      </c>
      <c r="N22" s="1">
        <v>50</v>
      </c>
      <c r="O22" s="1">
        <v>0.39</v>
      </c>
      <c r="P22" s="1">
        <v>0</v>
      </c>
      <c r="Q22" s="1" t="s">
        <v>1109</v>
      </c>
      <c r="R22" s="1" t="s">
        <v>897</v>
      </c>
      <c r="S22" s="1" t="s">
        <v>1004</v>
      </c>
      <c r="T22" s="1" t="s">
        <v>320</v>
      </c>
      <c r="U22" s="1" t="s">
        <v>341</v>
      </c>
      <c r="V22" s="1" t="s">
        <v>341</v>
      </c>
      <c r="W22" s="1" t="s">
        <v>264</v>
      </c>
      <c r="X22" s="1" t="s">
        <v>340</v>
      </c>
      <c r="Y22" s="1" t="s">
        <v>1110</v>
      </c>
      <c r="Z22" s="1">
        <v>-6</v>
      </c>
      <c r="AA22" s="1" t="s">
        <v>367</v>
      </c>
      <c r="AB22" s="1">
        <v>-8</v>
      </c>
      <c r="AC22" s="1" t="s">
        <v>1111</v>
      </c>
      <c r="AD22" s="1">
        <v>3</v>
      </c>
      <c r="AE22" s="1">
        <v>5</v>
      </c>
      <c r="AF22" s="1">
        <v>-6</v>
      </c>
      <c r="AG22" s="1" t="s">
        <v>367</v>
      </c>
      <c r="AH22" s="1">
        <v>-1</v>
      </c>
      <c r="AI22" s="1" t="s">
        <v>207</v>
      </c>
      <c r="AJ22" s="1">
        <v>-4</v>
      </c>
      <c r="AK22" s="1" t="s">
        <v>263</v>
      </c>
      <c r="AL22" s="1">
        <v>28</v>
      </c>
      <c r="AM22" s="1">
        <v>10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1112</v>
      </c>
      <c r="AT22" s="1" t="s">
        <v>1113</v>
      </c>
      <c r="AU22" s="1" t="s">
        <v>158</v>
      </c>
      <c r="AV22" s="1" t="s">
        <v>1114</v>
      </c>
      <c r="AW22" s="1" t="s">
        <v>1115</v>
      </c>
      <c r="AX22" s="1" t="s">
        <v>190</v>
      </c>
      <c r="AY22" s="1" t="s">
        <v>1116</v>
      </c>
      <c r="AZ22" s="1" t="s">
        <v>1117</v>
      </c>
      <c r="BA22" s="1" t="s">
        <v>1118</v>
      </c>
      <c r="BB22" s="1" t="s">
        <v>1119</v>
      </c>
      <c r="BC22" s="1" t="s">
        <v>1120</v>
      </c>
      <c r="BD22" s="1" t="s">
        <v>1093</v>
      </c>
      <c r="BE22" s="1">
        <v>114</v>
      </c>
      <c r="BF22" s="1">
        <v>116.9</v>
      </c>
      <c r="BG22" s="1">
        <v>-2.9</v>
      </c>
      <c r="BH22" s="1" t="s">
        <v>1108</v>
      </c>
      <c r="BI22" s="1" t="s">
        <v>1121</v>
      </c>
      <c r="BJ22" s="1" t="s">
        <v>1121</v>
      </c>
      <c r="BK22" s="1" t="s">
        <v>962</v>
      </c>
      <c r="BL22" s="1" t="s">
        <v>995</v>
      </c>
      <c r="BM22" s="1" t="s">
        <v>323</v>
      </c>
      <c r="BN22" s="1" t="s">
        <v>276</v>
      </c>
      <c r="BO22" s="1" t="s">
        <v>323</v>
      </c>
      <c r="BP22" s="1" t="s">
        <v>291</v>
      </c>
      <c r="BQ22" s="1" t="s">
        <v>398</v>
      </c>
      <c r="BR22" s="1" t="s">
        <v>1122</v>
      </c>
      <c r="BS22" s="1" t="s">
        <v>372</v>
      </c>
      <c r="BT22" s="1"/>
      <c r="BU22" s="1"/>
      <c r="BV22" s="1"/>
      <c r="BW22" s="1"/>
      <c r="BX22" s="1"/>
      <c r="BY22" s="1" t="s">
        <v>1123</v>
      </c>
      <c r="BZ22" s="1" t="s">
        <v>926</v>
      </c>
      <c r="CA22" s="1" t="s">
        <v>337</v>
      </c>
      <c r="CB22" s="1" t="s">
        <v>1124</v>
      </c>
      <c r="CC22" s="1" t="s">
        <v>1125</v>
      </c>
    </row>
    <row r="23" spans="1:81" x14ac:dyDescent="0.25">
      <c r="A23" s="1" t="s">
        <v>145</v>
      </c>
      <c r="B23" s="1" t="s">
        <v>762</v>
      </c>
      <c r="C23" s="1">
        <v>1610612750</v>
      </c>
      <c r="D23" s="1" t="s">
        <v>306</v>
      </c>
      <c r="E23" s="1" t="s">
        <v>307</v>
      </c>
      <c r="F23" s="1" t="s">
        <v>149</v>
      </c>
      <c r="G23" s="1" t="s">
        <v>1126</v>
      </c>
      <c r="H23" s="1">
        <v>11</v>
      </c>
      <c r="I23" s="1" t="s">
        <v>1050</v>
      </c>
      <c r="J23" s="1" t="s">
        <v>219</v>
      </c>
      <c r="K23" s="1" t="s">
        <v>1127</v>
      </c>
      <c r="L23" s="1">
        <v>5</v>
      </c>
      <c r="M23" s="1">
        <v>36</v>
      </c>
      <c r="N23" s="1">
        <v>46</v>
      </c>
      <c r="O23" s="1">
        <v>0.439</v>
      </c>
      <c r="P23" s="1">
        <v>0</v>
      </c>
      <c r="Q23" s="1" t="s">
        <v>1128</v>
      </c>
      <c r="R23" s="1" t="s">
        <v>999</v>
      </c>
      <c r="S23" s="1" t="s">
        <v>1129</v>
      </c>
      <c r="T23" s="1" t="s">
        <v>310</v>
      </c>
      <c r="U23" s="1" t="s">
        <v>310</v>
      </c>
      <c r="V23" s="1" t="s">
        <v>320</v>
      </c>
      <c r="W23" s="1" t="s">
        <v>226</v>
      </c>
      <c r="X23" s="1" t="s">
        <v>281</v>
      </c>
      <c r="Y23" s="1" t="s">
        <v>931</v>
      </c>
      <c r="Z23" s="1">
        <v>6</v>
      </c>
      <c r="AA23" s="1" t="s">
        <v>188</v>
      </c>
      <c r="AB23" s="1">
        <v>-9</v>
      </c>
      <c r="AC23" s="1" t="s">
        <v>1130</v>
      </c>
      <c r="AD23" s="1">
        <v>4</v>
      </c>
      <c r="AE23" s="1">
        <v>5</v>
      </c>
      <c r="AF23" s="1">
        <v>-2</v>
      </c>
      <c r="AG23" s="1" t="s">
        <v>279</v>
      </c>
      <c r="AH23" s="1">
        <v>-1</v>
      </c>
      <c r="AI23" s="1" t="s">
        <v>207</v>
      </c>
      <c r="AJ23" s="1">
        <v>-3</v>
      </c>
      <c r="AK23" s="1" t="s">
        <v>301</v>
      </c>
      <c r="AL23" s="1">
        <v>21</v>
      </c>
      <c r="AM23" s="1">
        <v>18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1131</v>
      </c>
      <c r="AT23" s="1" t="s">
        <v>1132</v>
      </c>
      <c r="AU23" s="1" t="s">
        <v>226</v>
      </c>
      <c r="AV23" s="1" t="s">
        <v>1133</v>
      </c>
      <c r="AW23" s="1" t="s">
        <v>1134</v>
      </c>
      <c r="AX23" s="1" t="s">
        <v>260</v>
      </c>
      <c r="AY23" s="1" t="s">
        <v>1135</v>
      </c>
      <c r="AZ23" s="1" t="s">
        <v>1136</v>
      </c>
      <c r="BA23" s="1" t="s">
        <v>1137</v>
      </c>
      <c r="BB23" s="1" t="s">
        <v>1138</v>
      </c>
      <c r="BC23" s="1" t="s">
        <v>1139</v>
      </c>
      <c r="BD23" s="1" t="s">
        <v>1140</v>
      </c>
      <c r="BE23" s="1">
        <v>112.5</v>
      </c>
      <c r="BF23" s="1">
        <v>114</v>
      </c>
      <c r="BG23" s="1">
        <v>-1.5</v>
      </c>
      <c r="BH23" s="1" t="s">
        <v>925</v>
      </c>
      <c r="BI23" s="1" t="s">
        <v>323</v>
      </c>
      <c r="BJ23" s="1" t="s">
        <v>276</v>
      </c>
      <c r="BK23" s="1" t="s">
        <v>276</v>
      </c>
      <c r="BL23" s="1" t="s">
        <v>1126</v>
      </c>
      <c r="BM23" s="1" t="s">
        <v>386</v>
      </c>
      <c r="BN23" s="1" t="s">
        <v>944</v>
      </c>
      <c r="BO23" s="1" t="s">
        <v>910</v>
      </c>
      <c r="BP23" s="1" t="s">
        <v>291</v>
      </c>
      <c r="BQ23" s="1" t="s">
        <v>388</v>
      </c>
      <c r="BR23" s="1" t="s">
        <v>363</v>
      </c>
      <c r="BS23" s="1" t="s">
        <v>274</v>
      </c>
      <c r="BT23" s="1"/>
      <c r="BU23" s="1"/>
      <c r="BV23" s="1"/>
      <c r="BW23" s="1"/>
      <c r="BX23" s="1"/>
      <c r="BY23" s="1" t="s">
        <v>343</v>
      </c>
      <c r="BZ23" s="1" t="s">
        <v>326</v>
      </c>
      <c r="CA23" s="1" t="s">
        <v>337</v>
      </c>
      <c r="CB23" s="1" t="s">
        <v>1062</v>
      </c>
      <c r="CC23" s="1" t="s">
        <v>1078</v>
      </c>
    </row>
    <row r="24" spans="1:81" x14ac:dyDescent="0.25">
      <c r="A24" s="1" t="s">
        <v>145</v>
      </c>
      <c r="B24" s="1" t="s">
        <v>762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1141</v>
      </c>
      <c r="H24" s="1">
        <v>12</v>
      </c>
      <c r="I24" s="1" t="s">
        <v>1050</v>
      </c>
      <c r="J24" s="1" t="s">
        <v>231</v>
      </c>
      <c r="K24" s="1" t="s">
        <v>858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1142</v>
      </c>
      <c r="R24" s="1" t="s">
        <v>878</v>
      </c>
      <c r="S24" s="1" t="s">
        <v>1143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1144</v>
      </c>
      <c r="Z24" s="1">
        <v>5</v>
      </c>
      <c r="AA24" s="1" t="s">
        <v>160</v>
      </c>
      <c r="AB24" s="1">
        <v>-9</v>
      </c>
      <c r="AC24" s="1" t="s">
        <v>1130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1145</v>
      </c>
      <c r="AT24" s="1" t="s">
        <v>1146</v>
      </c>
      <c r="AU24" s="1" t="s">
        <v>262</v>
      </c>
      <c r="AV24" s="1" t="s">
        <v>1147</v>
      </c>
      <c r="AW24" s="1" t="s">
        <v>1148</v>
      </c>
      <c r="AX24" s="1" t="s">
        <v>153</v>
      </c>
      <c r="AY24" s="1" t="s">
        <v>922</v>
      </c>
      <c r="AZ24" s="1" t="s">
        <v>1149</v>
      </c>
      <c r="BA24" s="1" t="s">
        <v>1101</v>
      </c>
      <c r="BB24" s="1" t="s">
        <v>1150</v>
      </c>
      <c r="BC24" s="1" t="s">
        <v>1151</v>
      </c>
      <c r="BD24" s="1" t="s">
        <v>1152</v>
      </c>
      <c r="BE24" s="1">
        <v>103.5</v>
      </c>
      <c r="BF24" s="1">
        <v>106.1</v>
      </c>
      <c r="BG24" s="1">
        <v>-2.6</v>
      </c>
      <c r="BH24" s="1" t="s">
        <v>1153</v>
      </c>
      <c r="BI24" s="1" t="s">
        <v>398</v>
      </c>
      <c r="BJ24" s="1" t="s">
        <v>398</v>
      </c>
      <c r="BK24" s="1" t="s">
        <v>398</v>
      </c>
      <c r="BL24" s="1" t="s">
        <v>1141</v>
      </c>
      <c r="BM24" s="1" t="s">
        <v>944</v>
      </c>
      <c r="BN24" s="1" t="s">
        <v>1046</v>
      </c>
      <c r="BO24" s="1" t="s">
        <v>870</v>
      </c>
      <c r="BP24" s="1" t="s">
        <v>1154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833</v>
      </c>
      <c r="CA24" s="1" t="s">
        <v>349</v>
      </c>
      <c r="CB24" s="1" t="s">
        <v>1155</v>
      </c>
      <c r="CC24" s="1" t="s">
        <v>1156</v>
      </c>
    </row>
    <row r="25" spans="1:81" x14ac:dyDescent="0.25">
      <c r="A25" s="1" t="s">
        <v>145</v>
      </c>
      <c r="B25" s="1" t="s">
        <v>762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1157</v>
      </c>
      <c r="H25" s="1">
        <v>12</v>
      </c>
      <c r="I25" s="1" t="s">
        <v>1050</v>
      </c>
      <c r="J25" s="1" t="s">
        <v>244</v>
      </c>
      <c r="K25" s="1" t="s">
        <v>876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1158</v>
      </c>
      <c r="R25" s="1" t="s">
        <v>1000</v>
      </c>
      <c r="S25" s="1" t="s">
        <v>1143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1159</v>
      </c>
      <c r="Y25" s="1" t="s">
        <v>1160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1161</v>
      </c>
      <c r="AT25" s="1" t="s">
        <v>1054</v>
      </c>
      <c r="AU25" s="1" t="s">
        <v>327</v>
      </c>
      <c r="AV25" s="1" t="s">
        <v>869</v>
      </c>
      <c r="AW25" s="1" t="s">
        <v>1162</v>
      </c>
      <c r="AX25" s="1" t="s">
        <v>153</v>
      </c>
      <c r="AY25" s="1" t="s">
        <v>1163</v>
      </c>
      <c r="AZ25" s="1" t="s">
        <v>1164</v>
      </c>
      <c r="BA25" s="1" t="s">
        <v>1165</v>
      </c>
      <c r="BB25" s="1" t="s">
        <v>994</v>
      </c>
      <c r="BC25" s="1" t="s">
        <v>1166</v>
      </c>
      <c r="BD25" s="1" t="s">
        <v>1167</v>
      </c>
      <c r="BE25" s="1">
        <v>113.3</v>
      </c>
      <c r="BF25" s="1">
        <v>119.4</v>
      </c>
      <c r="BG25" s="1">
        <v>-6</v>
      </c>
      <c r="BH25" s="1" t="s">
        <v>1157</v>
      </c>
      <c r="BI25" s="1" t="s">
        <v>1168</v>
      </c>
      <c r="BJ25" s="1" t="s">
        <v>1121</v>
      </c>
      <c r="BK25" s="1" t="s">
        <v>410</v>
      </c>
      <c r="BL25" s="1" t="s">
        <v>995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1169</v>
      </c>
      <c r="BR25" s="1" t="s">
        <v>926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1170</v>
      </c>
      <c r="CC25" s="1" t="s">
        <v>949</v>
      </c>
    </row>
    <row r="26" spans="1:81" x14ac:dyDescent="0.25">
      <c r="A26" s="1" t="s">
        <v>145</v>
      </c>
      <c r="B26" s="1" t="s">
        <v>762</v>
      </c>
      <c r="C26" s="1">
        <v>1610612740</v>
      </c>
      <c r="D26" s="1" t="s">
        <v>352</v>
      </c>
      <c r="E26" s="1" t="s">
        <v>353</v>
      </c>
      <c r="F26" s="1" t="s">
        <v>149</v>
      </c>
      <c r="G26" s="1" t="s">
        <v>1093</v>
      </c>
      <c r="H26" s="1">
        <v>13</v>
      </c>
      <c r="I26" s="1" t="s">
        <v>1050</v>
      </c>
      <c r="J26" s="1" t="s">
        <v>231</v>
      </c>
      <c r="K26" s="1" t="s">
        <v>858</v>
      </c>
      <c r="L26" s="1">
        <v>4</v>
      </c>
      <c r="M26" s="1">
        <v>33</v>
      </c>
      <c r="N26" s="1">
        <v>49</v>
      </c>
      <c r="O26" s="1">
        <v>0.40200000000000002</v>
      </c>
      <c r="P26" s="1">
        <v>0</v>
      </c>
      <c r="Q26" s="1" t="s">
        <v>1142</v>
      </c>
      <c r="R26" s="1" t="s">
        <v>931</v>
      </c>
      <c r="S26" s="1" t="s">
        <v>1052</v>
      </c>
      <c r="T26" s="1" t="s">
        <v>341</v>
      </c>
      <c r="U26" s="1" t="s">
        <v>376</v>
      </c>
      <c r="V26" s="1" t="s">
        <v>265</v>
      </c>
      <c r="W26" s="1" t="s">
        <v>190</v>
      </c>
      <c r="X26" s="1" t="s">
        <v>310</v>
      </c>
      <c r="Y26" s="1" t="s">
        <v>1171</v>
      </c>
      <c r="Z26" s="1">
        <v>-8</v>
      </c>
      <c r="AA26" s="1" t="s">
        <v>1111</v>
      </c>
      <c r="AB26" s="1">
        <v>-6</v>
      </c>
      <c r="AC26" s="1" t="s">
        <v>367</v>
      </c>
      <c r="AD26" s="1">
        <v>4</v>
      </c>
      <c r="AE26" s="1">
        <v>6</v>
      </c>
      <c r="AF26" s="1">
        <v>-3</v>
      </c>
      <c r="AG26" s="1" t="s">
        <v>301</v>
      </c>
      <c r="AH26" s="1">
        <v>1</v>
      </c>
      <c r="AI26" s="1" t="s">
        <v>246</v>
      </c>
      <c r="AJ26" s="1">
        <v>-1</v>
      </c>
      <c r="AK26" s="1" t="s">
        <v>207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1172</v>
      </c>
      <c r="AT26" s="1" t="s">
        <v>1173</v>
      </c>
      <c r="AU26" s="1" t="s">
        <v>190</v>
      </c>
      <c r="AV26" s="1" t="s">
        <v>1174</v>
      </c>
      <c r="AW26" s="1" t="s">
        <v>1175</v>
      </c>
      <c r="AX26" s="1" t="s">
        <v>186</v>
      </c>
      <c r="AY26" s="1" t="s">
        <v>1176</v>
      </c>
      <c r="AZ26" s="1" t="s">
        <v>1177</v>
      </c>
      <c r="BA26" s="1" t="s">
        <v>1178</v>
      </c>
      <c r="BB26" s="1" t="s">
        <v>1179</v>
      </c>
      <c r="BC26" s="1" t="s">
        <v>1180</v>
      </c>
      <c r="BD26" s="1" t="s">
        <v>1181</v>
      </c>
      <c r="BE26" s="1">
        <v>115.4</v>
      </c>
      <c r="BF26" s="1">
        <v>116.8</v>
      </c>
      <c r="BG26" s="1">
        <v>-1.3</v>
      </c>
      <c r="BH26" s="1" t="s">
        <v>1061</v>
      </c>
      <c r="BI26" s="1" t="s">
        <v>398</v>
      </c>
      <c r="BJ26" s="1" t="s">
        <v>276</v>
      </c>
      <c r="BK26" s="1" t="s">
        <v>393</v>
      </c>
      <c r="BL26" s="1" t="s">
        <v>1093</v>
      </c>
      <c r="BM26" s="1" t="s">
        <v>1046</v>
      </c>
      <c r="BN26" s="1" t="s">
        <v>910</v>
      </c>
      <c r="BO26" s="1" t="s">
        <v>870</v>
      </c>
      <c r="BP26" s="1" t="s">
        <v>299</v>
      </c>
      <c r="BQ26" s="1" t="s">
        <v>388</v>
      </c>
      <c r="BR26" s="1" t="s">
        <v>349</v>
      </c>
      <c r="BS26" s="1" t="s">
        <v>282</v>
      </c>
      <c r="BT26" s="1"/>
      <c r="BU26" s="1"/>
      <c r="BV26" s="1"/>
      <c r="BW26" s="1"/>
      <c r="BX26" s="1"/>
      <c r="BY26" s="1" t="s">
        <v>249</v>
      </c>
      <c r="BZ26" s="1" t="s">
        <v>962</v>
      </c>
      <c r="CA26" s="1" t="s">
        <v>337</v>
      </c>
      <c r="CB26" s="1" t="s">
        <v>1182</v>
      </c>
      <c r="CC26" s="1" t="s">
        <v>1183</v>
      </c>
    </row>
    <row r="27" spans="1:81" x14ac:dyDescent="0.25">
      <c r="A27" s="1" t="s">
        <v>145</v>
      </c>
      <c r="B27" s="1" t="s">
        <v>762</v>
      </c>
      <c r="C27" s="1">
        <v>1610612741</v>
      </c>
      <c r="D27" s="1" t="s">
        <v>346</v>
      </c>
      <c r="E27" s="1" t="s">
        <v>347</v>
      </c>
      <c r="F27" s="1" t="s">
        <v>179</v>
      </c>
      <c r="G27" s="1" t="s">
        <v>1157</v>
      </c>
      <c r="H27" s="1">
        <v>13</v>
      </c>
      <c r="I27" s="1" t="s">
        <v>1050</v>
      </c>
      <c r="J27" s="1" t="s">
        <v>181</v>
      </c>
      <c r="K27" s="1" t="s">
        <v>1184</v>
      </c>
      <c r="L27" s="1">
        <v>4</v>
      </c>
      <c r="M27" s="1">
        <v>22</v>
      </c>
      <c r="N27" s="1">
        <v>60</v>
      </c>
      <c r="O27" s="1">
        <v>0.26800000000000002</v>
      </c>
      <c r="P27" s="1">
        <v>0</v>
      </c>
      <c r="Q27" s="1" t="s">
        <v>1185</v>
      </c>
      <c r="R27" s="1" t="s">
        <v>1054</v>
      </c>
      <c r="S27" s="1" t="s">
        <v>1186</v>
      </c>
      <c r="T27" s="1" t="s">
        <v>320</v>
      </c>
      <c r="U27" s="1" t="s">
        <v>320</v>
      </c>
      <c r="V27" s="1" t="s">
        <v>341</v>
      </c>
      <c r="W27" s="1" t="s">
        <v>208</v>
      </c>
      <c r="X27" s="1" t="s">
        <v>858</v>
      </c>
      <c r="Y27" s="1" t="s">
        <v>1187</v>
      </c>
      <c r="Z27" s="1">
        <v>-11</v>
      </c>
      <c r="AA27" s="1" t="s">
        <v>1188</v>
      </c>
      <c r="AB27" s="1">
        <v>-9</v>
      </c>
      <c r="AC27" s="1" t="s">
        <v>1130</v>
      </c>
      <c r="AD27" s="1">
        <v>3</v>
      </c>
      <c r="AE27" s="1">
        <v>10</v>
      </c>
      <c r="AF27" s="1">
        <v>-5</v>
      </c>
      <c r="AG27" s="1" t="s">
        <v>272</v>
      </c>
      <c r="AH27" s="1">
        <v>-1</v>
      </c>
      <c r="AI27" s="1" t="s">
        <v>207</v>
      </c>
      <c r="AJ27" s="1">
        <v>-3</v>
      </c>
      <c r="AK27" s="1" t="s">
        <v>301</v>
      </c>
      <c r="AL27" s="1">
        <v>38</v>
      </c>
      <c r="AM27" s="1">
        <v>38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1189</v>
      </c>
      <c r="AT27" s="1" t="s">
        <v>1190</v>
      </c>
      <c r="AU27" s="1" t="s">
        <v>158</v>
      </c>
      <c r="AV27" s="1" t="s">
        <v>1191</v>
      </c>
      <c r="AW27" s="1" t="s">
        <v>1192</v>
      </c>
      <c r="AX27" s="1" t="s">
        <v>164</v>
      </c>
      <c r="AY27" s="1" t="s">
        <v>1193</v>
      </c>
      <c r="AZ27" s="1" t="s">
        <v>1194</v>
      </c>
      <c r="BA27" s="1" t="s">
        <v>1195</v>
      </c>
      <c r="BB27" s="1" t="s">
        <v>1196</v>
      </c>
      <c r="BC27" s="1" t="s">
        <v>874</v>
      </c>
      <c r="BD27" s="1" t="s">
        <v>1197</v>
      </c>
      <c r="BE27" s="1">
        <v>104.9</v>
      </c>
      <c r="BF27" s="1">
        <v>113.4</v>
      </c>
      <c r="BG27" s="1">
        <v>-8.4</v>
      </c>
      <c r="BH27" s="1" t="s">
        <v>1157</v>
      </c>
      <c r="BI27" s="1" t="s">
        <v>1168</v>
      </c>
      <c r="BJ27" s="1" t="s">
        <v>402</v>
      </c>
      <c r="BK27" s="1" t="s">
        <v>944</v>
      </c>
      <c r="BL27" s="1" t="s">
        <v>1198</v>
      </c>
      <c r="BM27" s="1" t="s">
        <v>1091</v>
      </c>
      <c r="BN27" s="1" t="s">
        <v>393</v>
      </c>
      <c r="BO27" s="1" t="s">
        <v>398</v>
      </c>
      <c r="BP27" s="1" t="s">
        <v>1199</v>
      </c>
      <c r="BQ27" s="1" t="s">
        <v>276</v>
      </c>
      <c r="BR27" s="1" t="s">
        <v>397</v>
      </c>
      <c r="BS27" s="1" t="s">
        <v>344</v>
      </c>
      <c r="BT27" s="1"/>
      <c r="BU27" s="1"/>
      <c r="BV27" s="1"/>
      <c r="BW27" s="1"/>
      <c r="BX27" s="1"/>
      <c r="BY27" s="1" t="s">
        <v>1200</v>
      </c>
      <c r="BZ27" s="1" t="s">
        <v>1201</v>
      </c>
      <c r="CA27" s="1" t="s">
        <v>363</v>
      </c>
      <c r="CB27" s="1" t="s">
        <v>1202</v>
      </c>
      <c r="CC27" s="1" t="s">
        <v>1125</v>
      </c>
    </row>
    <row r="28" spans="1:81" x14ac:dyDescent="0.25">
      <c r="A28" s="1" t="s">
        <v>145</v>
      </c>
      <c r="B28" s="1" t="s">
        <v>762</v>
      </c>
      <c r="C28" s="1">
        <v>1610612739</v>
      </c>
      <c r="D28" s="1" t="s">
        <v>389</v>
      </c>
      <c r="E28" s="1" t="s">
        <v>390</v>
      </c>
      <c r="F28" s="1" t="s">
        <v>179</v>
      </c>
      <c r="G28" s="1" t="s">
        <v>1203</v>
      </c>
      <c r="H28" s="1">
        <v>14</v>
      </c>
      <c r="I28" s="1" t="s">
        <v>1050</v>
      </c>
      <c r="J28" s="1" t="s">
        <v>181</v>
      </c>
      <c r="K28" s="1" t="s">
        <v>1064</v>
      </c>
      <c r="L28" s="1">
        <v>5</v>
      </c>
      <c r="M28" s="1">
        <v>19</v>
      </c>
      <c r="N28" s="1">
        <v>63</v>
      </c>
      <c r="O28" s="1">
        <v>0.23200000000000001</v>
      </c>
      <c r="P28" s="1">
        <v>0</v>
      </c>
      <c r="Q28" s="1" t="s">
        <v>1204</v>
      </c>
      <c r="R28" s="1" t="s">
        <v>1186</v>
      </c>
      <c r="S28" s="1" t="s">
        <v>1205</v>
      </c>
      <c r="T28" s="1" t="s">
        <v>404</v>
      </c>
      <c r="U28" s="1" t="s">
        <v>310</v>
      </c>
      <c r="V28" s="1" t="s">
        <v>404</v>
      </c>
      <c r="W28" s="1" t="s">
        <v>185</v>
      </c>
      <c r="X28" s="1" t="s">
        <v>273</v>
      </c>
      <c r="Y28" s="1" t="s">
        <v>1206</v>
      </c>
      <c r="Z28" s="1">
        <v>-9</v>
      </c>
      <c r="AA28" s="1" t="s">
        <v>1130</v>
      </c>
      <c r="AB28" s="1">
        <v>-11</v>
      </c>
      <c r="AC28" s="1" t="s">
        <v>1188</v>
      </c>
      <c r="AD28" s="1">
        <v>2</v>
      </c>
      <c r="AE28" s="1">
        <v>12</v>
      </c>
      <c r="AF28" s="1">
        <v>-4</v>
      </c>
      <c r="AG28" s="1" t="s">
        <v>263</v>
      </c>
      <c r="AH28" s="1">
        <v>-11</v>
      </c>
      <c r="AI28" s="1" t="s">
        <v>1188</v>
      </c>
      <c r="AJ28" s="1">
        <v>-10</v>
      </c>
      <c r="AK28" s="1" t="s">
        <v>933</v>
      </c>
      <c r="AL28" s="1">
        <v>41</v>
      </c>
      <c r="AM28" s="1">
        <v>41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855</v>
      </c>
      <c r="AT28" s="1" t="s">
        <v>1207</v>
      </c>
      <c r="AU28" s="1" t="s">
        <v>304</v>
      </c>
      <c r="AV28" s="1" t="s">
        <v>1208</v>
      </c>
      <c r="AW28" s="1" t="s">
        <v>1209</v>
      </c>
      <c r="AX28" s="1" t="s">
        <v>208</v>
      </c>
      <c r="AY28" s="1" t="s">
        <v>1137</v>
      </c>
      <c r="AZ28" s="1" t="s">
        <v>1210</v>
      </c>
      <c r="BA28" s="1" t="s">
        <v>1211</v>
      </c>
      <c r="BB28" s="1" t="s">
        <v>1212</v>
      </c>
      <c r="BC28" s="1" t="s">
        <v>1095</v>
      </c>
      <c r="BD28" s="1" t="s">
        <v>1213</v>
      </c>
      <c r="BE28" s="1">
        <v>104.5</v>
      </c>
      <c r="BF28" s="1">
        <v>114.1</v>
      </c>
      <c r="BG28" s="1">
        <v>-9.6</v>
      </c>
      <c r="BH28" s="1" t="s">
        <v>1203</v>
      </c>
      <c r="BI28" s="1" t="s">
        <v>1121</v>
      </c>
      <c r="BJ28" s="1" t="s">
        <v>1076</v>
      </c>
      <c r="BK28" s="1" t="s">
        <v>1214</v>
      </c>
      <c r="BL28" s="1" t="s">
        <v>1215</v>
      </c>
      <c r="BM28" s="1" t="s">
        <v>1216</v>
      </c>
      <c r="BN28" s="1" t="s">
        <v>393</v>
      </c>
      <c r="BO28" s="1" t="s">
        <v>393</v>
      </c>
      <c r="BP28" s="1" t="s">
        <v>1201</v>
      </c>
      <c r="BQ28" s="1" t="s">
        <v>323</v>
      </c>
      <c r="BR28" s="1" t="s">
        <v>397</v>
      </c>
      <c r="BS28" s="1" t="s">
        <v>334</v>
      </c>
      <c r="BT28" s="1"/>
      <c r="BU28" s="1"/>
      <c r="BV28" s="1"/>
      <c r="BW28" s="1"/>
      <c r="BX28" s="1"/>
      <c r="BY28" s="1" t="s">
        <v>1123</v>
      </c>
      <c r="BZ28" s="1" t="s">
        <v>407</v>
      </c>
      <c r="CA28" s="1" t="s">
        <v>1076</v>
      </c>
      <c r="CB28" s="1" t="s">
        <v>1217</v>
      </c>
      <c r="CC28" s="1" t="s">
        <v>1218</v>
      </c>
    </row>
    <row r="29" spans="1:81" x14ac:dyDescent="0.25">
      <c r="A29" s="1" t="s">
        <v>145</v>
      </c>
      <c r="B29" s="1" t="s">
        <v>762</v>
      </c>
      <c r="C29" s="1">
        <v>1610612742</v>
      </c>
      <c r="D29" s="1" t="s">
        <v>277</v>
      </c>
      <c r="E29" s="1" t="s">
        <v>278</v>
      </c>
      <c r="F29" s="1" t="s">
        <v>149</v>
      </c>
      <c r="G29" s="1" t="s">
        <v>1219</v>
      </c>
      <c r="H29" s="1">
        <v>14</v>
      </c>
      <c r="I29" s="1" t="s">
        <v>1050</v>
      </c>
      <c r="J29" s="1" t="s">
        <v>231</v>
      </c>
      <c r="K29" s="1" t="s">
        <v>1064</v>
      </c>
      <c r="L29" s="1">
        <v>5</v>
      </c>
      <c r="M29" s="1">
        <v>33</v>
      </c>
      <c r="N29" s="1">
        <v>49</v>
      </c>
      <c r="O29" s="1">
        <v>0.40200000000000002</v>
      </c>
      <c r="P29" s="1">
        <v>0</v>
      </c>
      <c r="Q29" s="1" t="s">
        <v>1142</v>
      </c>
      <c r="R29" s="1" t="s">
        <v>1065</v>
      </c>
      <c r="S29" s="1" t="s">
        <v>1054</v>
      </c>
      <c r="T29" s="1" t="s">
        <v>265</v>
      </c>
      <c r="U29" s="1" t="s">
        <v>341</v>
      </c>
      <c r="V29" s="1" t="s">
        <v>341</v>
      </c>
      <c r="W29" s="1" t="s">
        <v>339</v>
      </c>
      <c r="X29" s="1" t="s">
        <v>314</v>
      </c>
      <c r="Y29" s="1" t="s">
        <v>1220</v>
      </c>
      <c r="Z29" s="1">
        <v>11</v>
      </c>
      <c r="AA29" s="1" t="s">
        <v>770</v>
      </c>
      <c r="AB29" s="1">
        <v>-9</v>
      </c>
      <c r="AC29" s="1" t="s">
        <v>1130</v>
      </c>
      <c r="AD29" s="1">
        <v>4</v>
      </c>
      <c r="AE29" s="1">
        <v>7</v>
      </c>
      <c r="AF29" s="1">
        <v>1</v>
      </c>
      <c r="AG29" s="1" t="s">
        <v>246</v>
      </c>
      <c r="AH29" s="1">
        <v>-1</v>
      </c>
      <c r="AI29" s="1" t="s">
        <v>207</v>
      </c>
      <c r="AJ29" s="1">
        <v>-1</v>
      </c>
      <c r="AK29" s="1" t="s">
        <v>207</v>
      </c>
      <c r="AL29" s="1">
        <v>24</v>
      </c>
      <c r="AM29" s="1">
        <v>20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1221</v>
      </c>
      <c r="AT29" s="1" t="s">
        <v>1084</v>
      </c>
      <c r="AU29" s="1" t="s">
        <v>260</v>
      </c>
      <c r="AV29" s="1" t="s">
        <v>1058</v>
      </c>
      <c r="AW29" s="1" t="s">
        <v>1222</v>
      </c>
      <c r="AX29" s="1" t="s">
        <v>186</v>
      </c>
      <c r="AY29" s="1" t="s">
        <v>1223</v>
      </c>
      <c r="AZ29" s="1" t="s">
        <v>1224</v>
      </c>
      <c r="BA29" s="1" t="s">
        <v>1225</v>
      </c>
      <c r="BB29" s="1" t="s">
        <v>1226</v>
      </c>
      <c r="BC29" s="1" t="s">
        <v>1139</v>
      </c>
      <c r="BD29" s="1" t="s">
        <v>1227</v>
      </c>
      <c r="BE29" s="1">
        <v>108.9</v>
      </c>
      <c r="BF29" s="1">
        <v>110.1</v>
      </c>
      <c r="BG29" s="1">
        <v>-1.3</v>
      </c>
      <c r="BH29" s="1" t="s">
        <v>946</v>
      </c>
      <c r="BI29" s="1" t="s">
        <v>323</v>
      </c>
      <c r="BJ29" s="1" t="s">
        <v>266</v>
      </c>
      <c r="BK29" s="1" t="s">
        <v>276</v>
      </c>
      <c r="BL29" s="1" t="s">
        <v>1219</v>
      </c>
      <c r="BM29" s="1" t="s">
        <v>910</v>
      </c>
      <c r="BN29" s="1" t="s">
        <v>1121</v>
      </c>
      <c r="BO29" s="1" t="s">
        <v>1076</v>
      </c>
      <c r="BP29" s="1" t="s">
        <v>337</v>
      </c>
      <c r="BQ29" s="1" t="s">
        <v>323</v>
      </c>
      <c r="BR29" s="1" t="s">
        <v>1201</v>
      </c>
      <c r="BS29" s="1" t="s">
        <v>239</v>
      </c>
      <c r="BT29" s="1"/>
      <c r="BU29" s="1"/>
      <c r="BV29" s="1"/>
      <c r="BW29" s="1"/>
      <c r="BX29" s="1"/>
      <c r="BY29" s="1" t="s">
        <v>1200</v>
      </c>
      <c r="BZ29" s="1" t="s">
        <v>853</v>
      </c>
      <c r="CA29" s="1" t="s">
        <v>962</v>
      </c>
      <c r="CB29" s="1" t="s">
        <v>1228</v>
      </c>
      <c r="CC29" s="1" t="s">
        <v>1229</v>
      </c>
    </row>
    <row r="30" spans="1:81" x14ac:dyDescent="0.25">
      <c r="A30" s="1" t="s">
        <v>145</v>
      </c>
      <c r="B30" s="1" t="s">
        <v>762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1230</v>
      </c>
      <c r="H30" s="1">
        <v>15</v>
      </c>
      <c r="I30" s="1" t="s">
        <v>1050</v>
      </c>
      <c r="J30" s="1" t="s">
        <v>203</v>
      </c>
      <c r="K30" s="1" t="s">
        <v>1231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1232</v>
      </c>
      <c r="R30" s="1" t="s">
        <v>1054</v>
      </c>
      <c r="S30" s="1" t="s">
        <v>1233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1234</v>
      </c>
      <c r="Z30" s="1">
        <v>-18</v>
      </c>
      <c r="AA30" s="1" t="s">
        <v>1235</v>
      </c>
      <c r="AB30" s="1">
        <v>-9</v>
      </c>
      <c r="AC30" s="1" t="s">
        <v>1130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1236</v>
      </c>
      <c r="AT30" s="1" t="s">
        <v>1237</v>
      </c>
      <c r="AU30" s="1" t="s">
        <v>327</v>
      </c>
      <c r="AV30" s="1" t="s">
        <v>861</v>
      </c>
      <c r="AW30" s="1" t="s">
        <v>1238</v>
      </c>
      <c r="AX30" s="1" t="s">
        <v>327</v>
      </c>
      <c r="AY30" s="1" t="s">
        <v>1239</v>
      </c>
      <c r="AZ30" s="1" t="s">
        <v>1240</v>
      </c>
      <c r="BA30" s="1" t="s">
        <v>1241</v>
      </c>
      <c r="BB30" s="1" t="s">
        <v>1242</v>
      </c>
      <c r="BC30" s="1" t="s">
        <v>1243</v>
      </c>
      <c r="BD30" s="1" t="s">
        <v>1244</v>
      </c>
      <c r="BE30" s="1">
        <v>104.6</v>
      </c>
      <c r="BF30" s="1">
        <v>113.8</v>
      </c>
      <c r="BG30" s="1">
        <v>-9.1999999999999993</v>
      </c>
      <c r="BH30" s="1" t="s">
        <v>1230</v>
      </c>
      <c r="BI30" s="1" t="s">
        <v>1154</v>
      </c>
      <c r="BJ30" s="1" t="s">
        <v>1245</v>
      </c>
      <c r="BK30" s="1" t="s">
        <v>1121</v>
      </c>
      <c r="BL30" s="1" t="s">
        <v>1198</v>
      </c>
      <c r="BM30" s="1" t="s">
        <v>1216</v>
      </c>
      <c r="BN30" s="1" t="s">
        <v>393</v>
      </c>
      <c r="BO30" s="1" t="s">
        <v>323</v>
      </c>
      <c r="BP30" s="1" t="s">
        <v>1246</v>
      </c>
      <c r="BQ30" s="1" t="s">
        <v>1106</v>
      </c>
      <c r="BR30" s="1" t="s">
        <v>1247</v>
      </c>
      <c r="BS30" s="1" t="s">
        <v>239</v>
      </c>
      <c r="BT30" s="1"/>
      <c r="BU30" s="1"/>
      <c r="BV30" s="1"/>
      <c r="BW30" s="1"/>
      <c r="BX30" s="1"/>
      <c r="BY30" s="1" t="s">
        <v>1200</v>
      </c>
      <c r="BZ30" s="1" t="s">
        <v>349</v>
      </c>
      <c r="CA30" s="1" t="s">
        <v>1248</v>
      </c>
      <c r="CB30" s="1" t="s">
        <v>1249</v>
      </c>
      <c r="CC30" s="1" t="s">
        <v>1250</v>
      </c>
    </row>
    <row r="31" spans="1:81" x14ac:dyDescent="0.25">
      <c r="A31" s="1" t="s">
        <v>145</v>
      </c>
      <c r="B31" s="1" t="s">
        <v>762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1230</v>
      </c>
      <c r="H31" s="1">
        <v>15</v>
      </c>
      <c r="I31" s="1" t="s">
        <v>1050</v>
      </c>
      <c r="J31" s="1" t="s">
        <v>152</v>
      </c>
      <c r="K31" s="1" t="s">
        <v>1184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1204</v>
      </c>
      <c r="R31" s="1" t="s">
        <v>1143</v>
      </c>
      <c r="S31" s="1" t="s">
        <v>1251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1222</v>
      </c>
      <c r="Z31" s="1">
        <v>-6</v>
      </c>
      <c r="AA31" s="1" t="s">
        <v>367</v>
      </c>
      <c r="AB31" s="1">
        <v>-13</v>
      </c>
      <c r="AC31" s="1" t="s">
        <v>1252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1253</v>
      </c>
      <c r="AT31" s="1" t="s">
        <v>1254</v>
      </c>
      <c r="AU31" s="1" t="s">
        <v>327</v>
      </c>
      <c r="AV31" s="1" t="s">
        <v>1255</v>
      </c>
      <c r="AW31" s="1" t="s">
        <v>1256</v>
      </c>
      <c r="AX31" s="1" t="s">
        <v>157</v>
      </c>
      <c r="AY31" s="1" t="s">
        <v>1257</v>
      </c>
      <c r="AZ31" s="1" t="s">
        <v>1258</v>
      </c>
      <c r="BA31" s="1" t="s">
        <v>1259</v>
      </c>
      <c r="BB31" s="1" t="s">
        <v>1260</v>
      </c>
      <c r="BC31" s="1" t="s">
        <v>1261</v>
      </c>
      <c r="BD31" s="1" t="s">
        <v>1262</v>
      </c>
      <c r="BE31" s="1">
        <v>107.5</v>
      </c>
      <c r="BF31" s="1">
        <v>116.8</v>
      </c>
      <c r="BG31" s="1">
        <v>-9.3000000000000007</v>
      </c>
      <c r="BH31" s="1" t="s">
        <v>1263</v>
      </c>
      <c r="BI31" s="1" t="s">
        <v>398</v>
      </c>
      <c r="BJ31" s="1" t="s">
        <v>398</v>
      </c>
      <c r="BK31" s="1" t="s">
        <v>393</v>
      </c>
      <c r="BL31" s="1" t="s">
        <v>1230</v>
      </c>
      <c r="BM31" s="1" t="s">
        <v>1264</v>
      </c>
      <c r="BN31" s="1" t="s">
        <v>402</v>
      </c>
      <c r="BO31" s="1" t="s">
        <v>1121</v>
      </c>
      <c r="BP31" s="1" t="s">
        <v>1199</v>
      </c>
      <c r="BQ31" s="1" t="s">
        <v>1265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1123</v>
      </c>
      <c r="BZ31" s="1" t="s">
        <v>1201</v>
      </c>
      <c r="CA31" s="1" t="s">
        <v>386</v>
      </c>
      <c r="CB31" s="1" t="s">
        <v>1266</v>
      </c>
      <c r="CC31" s="1" t="s">
        <v>1267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19E0-B1C4-43CA-A1FC-A333449C269F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1268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1269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1270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1271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1272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1273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1274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1275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1276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1277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1278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1279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1280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1281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1278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1282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1281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1283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1281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1284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1277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1276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1270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1285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1281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1286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1287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1271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1288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B63-2DD2-4C8A-A0B9-02EC77D0F2C8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0CB1-96B4-493A-A323-2D41F003109A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8B7C-0AB0-41AF-B8DB-A307773D7DCB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14C8A-5862-4A3F-A1DF-5C168494D09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C9EE4-7A20-4B7B-977F-82E124A3A732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1289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1290</v>
      </c>
      <c r="T4" s="1">
        <v>23.7</v>
      </c>
      <c r="U4" s="1" t="s">
        <v>1273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1291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1292</v>
      </c>
      <c r="T5" s="1">
        <v>26</v>
      </c>
      <c r="U5" s="1" t="s">
        <v>1273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1293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1294</v>
      </c>
      <c r="T7" s="1">
        <v>25.7</v>
      </c>
      <c r="U7" s="1" t="s">
        <v>1295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1296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1297</v>
      </c>
      <c r="T8" s="1">
        <v>24.5</v>
      </c>
      <c r="U8" s="1" t="s">
        <v>1298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1299</v>
      </c>
      <c r="T9" s="1">
        <v>24.6</v>
      </c>
      <c r="U9" s="1" t="s">
        <v>1273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1271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1300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1273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1301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1302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1303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1304</v>
      </c>
      <c r="T14" s="1">
        <v>24.1</v>
      </c>
      <c r="U14" s="1" t="s">
        <v>1284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1305</v>
      </c>
      <c r="T15" s="1">
        <v>25</v>
      </c>
      <c r="U15" s="1" t="s">
        <v>1275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1306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1271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1300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1276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1307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1292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1308</v>
      </c>
      <c r="T21" s="1">
        <v>25.6</v>
      </c>
      <c r="U21" s="1" t="s">
        <v>1284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1309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1304</v>
      </c>
      <c r="T22" s="1">
        <v>24.9</v>
      </c>
      <c r="U22" s="1" t="s">
        <v>1310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1298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1311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1312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1313</v>
      </c>
      <c r="T26" s="1">
        <v>23.2</v>
      </c>
      <c r="U26" s="1" t="s">
        <v>1314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1315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1316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1317</v>
      </c>
      <c r="T28" s="1">
        <v>24.7</v>
      </c>
      <c r="U28" s="1" t="s">
        <v>1269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1297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1318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1319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1320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4D5F0-1803-4C39-B55F-D7EDEA7661D5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1321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1268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1270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1321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1300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1300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1270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1270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1291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1291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1E61-2D7F-4B4A-B9C7-FF5E7CE07306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1321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1291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1322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1321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1278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1278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1268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1268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1270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1279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1A0D-7EC1-448C-9011-00CDD84EE91B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2019-11-22T13:45:11Z</dcterms:modified>
</cp:coreProperties>
</file>