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89529940-D762-4A18-BCCD-F8F6C37281EC}" xr6:coauthVersionLast="45" xr6:coauthVersionMax="45" xr10:uidLastSave="{00000000-0000-0000-0000-000000000000}"/>
  <bookViews>
    <workbookView xWindow="5486" yWindow="1157" windowWidth="16457" windowHeight="8520" activeTab="1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<sst xmlns="http://schemas.openxmlformats.org/spreadsheetml/2006/main" count="5930" uniqueCount="1414">
  <si>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</si>
  <si>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</si>
  <si>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</si>
  <si>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</si>
  <si>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</si>
  <si>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</si>
  <si>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</si>
  <si>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</si>
  <si>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</si>
  <si>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</si>
  <si>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</si>
  <si>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</si>
  <si>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</si>
  <si>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</si>
  <si>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</si>
  <si>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</si>
  <si>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</si>
  <si>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</si>
  <si>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</si>
  <si>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</si>
  <si>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</si>
  <si>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</si>
  <si>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</si>
  <si>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</si>
  <si>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</si>
  <si>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</si>
  <si>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</si>
  <si>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</si>
  <si>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</si>
  <si>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</si>
  <si>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</si>
  <si>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</si>
  <si>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</si>
  <si>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</si>
  <si>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</si>
  <si>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</si>
  <si>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</si>
  <si>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</si>
  <si>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</si>
  <si>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</si>
  <si>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</si>
  <si>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</si>
  <si>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</si>
  <si>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</si>
  <si>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</si>
  <si>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</si>
  <si>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</si>
  <si>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</si>
  <si>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</si>
  <si>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</si>
  <si>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</si>
  <si>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</si>
  <si>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</si>
  <si>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</si>
  <si>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</si>
  <si>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</si>
  <si>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</si>
  <si>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</si>
  <si>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</si>
  <si>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</si>
  <si>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</si>
  <si>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</si>
  <si>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</si>
  <si>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</si>
  <si>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</si>
  <si>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</si>
  <si>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</si>
  <si>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</si>
  <si>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</si>
  <si>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</si>
  <si>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</si>
  <si>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</si>
  <si>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</si>
  <si>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</si>
  <si>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</si>
  <si>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</si>
  <si>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</si>
  <si>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</si>
  <si>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</si>
  <si>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</si>
  <si>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</si>
  <si>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</si>
  <si>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</si>
  <si>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</si>
  <si>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</si>
  <si>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</si>
  <si>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</si>
  <si>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</si>
  <si>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</si>
  <si>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</si>
  <si>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</si>
  <si>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</si>
  <si>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</si>
  <si>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</si>
  <si>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</si>
  <si>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</si>
  <si>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</si>
  <si>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</si>
  <si>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</si>
  <si>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</si>
  <si>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</si>
  <si>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</si>
  <si>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</si>
  <si>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</si>
  <si>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</si>
  <si>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</si>
  <si>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</si>
  <si>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</si>
  <si>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</si>
  <si>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</si>
  <si>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</si>
  <si>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</si>
  <si>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</si>
  <si>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</si>
  <si>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</si>
  <si>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</si>
  <si>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</si>
  <si>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</si>
  <si>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</si>
  <si>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</si>
  <si>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</si>
  <si>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</si>
  <si>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</si>
  <si>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</si>
  <si>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</si>
  <si>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</si>
  <si>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</si>
  <si>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</si>
  <si>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</si>
  <si>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</si>
  <si>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</si>
  <si>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</si>
  <si>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</si>
  <si>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</si>
  <si>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</si>
  <si>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</si>
  <si>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</si>
  <si>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</si>
  <si>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</si>
  <si>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</si>
  <si>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</si>
  <si>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</si>
  <si>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</si>
  <si>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</si>
  <si>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</si>
  <si>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</si>
  <si>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</si>
  <si>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</si>
  <si>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</si>
  <si>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</si>
  <si>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</si>
  <si>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</si>
  <si>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</si>
  <si>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</si>
  <si>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</si>
  <si>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</si>
  <si>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</si>
  <si>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</si>
  <si>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</si>
  <si>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</si>
  <si>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</si>
  <si>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</si>
  <si>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</si>
  <si>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</si>
  <si>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</si>
  <si>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</si>
  <si>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</si>
  <si>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</si>
  <si>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</si>
  <si>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</si>
  <si>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</si>
  <si>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</si>
  <si>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</si>
  <si>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</si>
  <si>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</si>
  <si>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</si>
  <si>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</si>
  <si>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</si>
  <si>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</si>
  <si>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</si>
  <si>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</si>
  <si>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</si>
  <si>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</si>
  <si>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</si>
  <si>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</si>
  <si>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</si>
  <si>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</si>
  <si>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</si>
  <si>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</si>
  <si>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</si>
  <si>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</si>
  <si>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</si>
  <si>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</si>
  <si>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</si>
  <si>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</si>
  <si>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</si>
  <si>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</si>
  <si>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</si>
  <si>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</si>
  <si>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</si>
  <si>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</si>
  <si>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</si>
  <si>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</si>
  <si>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</si>
  <si>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</si>
  <si>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</si>
  <si>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</si>
  <si>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</si>
  <si>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</si>
  <si>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</si>
  <si>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</si>
  <si>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</si>
  <si>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</si>
  <si>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</si>
  <si>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</si>
  <si>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</si>
  <si>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</si>
  <si>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</si>
  <si>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</si>
  <si>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</si>
  <si>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</si>
  <si>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</si>
  <si>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</si>
  <si>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</si>
  <si>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</si>
  <si>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</si>
  <si>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</si>
  <si>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</si>
  <si>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</si>
  <si>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</si>
  <si>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</si>
  <si>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</si>
  <si>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</si>
  <si>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</si>
  <si>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</si>
  <si>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</si>
  <si>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</si>
  <si>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</si>
  <si>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</si>
  <si>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</si>
  <si>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</si>
  <si>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</si>
  <si>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</si>
  <si>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</si>
  <si>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</si>
  <si>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</si>
  <si>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</si>
  <si>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</si>
  <si>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</si>
  <si>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</si>
  <si>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</si>
  <si>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</si>
  <si>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</si>
  <si>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</si>
  <si>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</si>
  <si>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</si>
  <si>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</si>
  <si>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</si>
  <si>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</si>
  <si>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</si>
  <si>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</si>
  <si>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</si>
  <si>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</si>
  <si>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</si>
  <si>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</si>
  <si>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</si>
  <si>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</si>
  <si>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</si>
  <si>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</si>
  <si>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</si>
  <si>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</si>
  <si>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</si>
  <si>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</si>
  <si>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</si>
  <si>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</si>
  <si>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</si>
  <si>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</si>
  <si>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</si>
  <si>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</si>
  <si>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</si>
  <si>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</si>
  <si>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</si>
  <si>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</si>
  <si>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</si>
  <si>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</si>
  <si>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</si>
  <si>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</si>
  <si>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</si>
  <si>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</si>
  <si>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</si>
  <si>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</si>
  <si>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</si>
  <si>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</si>
  <si>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</si>
  <si>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</si>
  <si>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</si>
  <si>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</si>
  <si>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</si>
  <si>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</si>
  <si>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</si>
  <si>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</si>
  <si>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</si>
  <si>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</si>
  <si>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</si>
  <si>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</si>
  <si>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</si>
  <si>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</si>
  <si>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</si>
  <si>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</si>
  <si>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</si>
  <si>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</si>
  <si>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</si>
  <si>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</si>
  <si>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</si>
  <si>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</si>
  <si>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</si>
  <si>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</si>
  <si>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</si>
  <si>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</si>
  <si>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</si>
  <si>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</si>
  <si>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</si>
  <si>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</si>
  <si>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</si>
  <si>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</si>
  <si>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</si>
  <si>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</si>
  <si>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</si>
  <si>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</si>
  <si>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</si>
  <si>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</si>
  <si>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</si>
  <si>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</si>
  <si>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</si>
  <si>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</si>
  <si>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</si>
  <si>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</si>
  <si>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</si>
  <si>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</si>
  <si>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</si>
  <si>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</si>
  <si>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</si>
  <si>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</si>
  <si>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</si>
  <si>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</si>
  <si>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</si>
  <si>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</si>
  <si>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</si>
  <si>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</si>
  <si>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</si>
  <si>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</si>
  <si>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</si>
  <si>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</si>
  <si>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</si>
  <si>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</si>
  <si>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</si>
  <si>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</si>
  <si>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</si>
  <si>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</si>
  <si>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</si>
  <si>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</si>
  <si>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</si>
  <si>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</si>
  <si>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</si>
  <si>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</si>
  <si>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</si>
  <si>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</si>
  <si>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</si>
  <si>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</si>
  <si>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</si>
  <si>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</si>
  <si>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</si>
  <si>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</si>
  <si>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</si>
  <si>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</si>
  <si>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</si>
  <si>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</si>
  <si>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</si>
  <si>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</si>
  <si>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</si>
  <si>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</si>
  <si>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</si>
  <si>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</si>
  <si>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</si>
  <si>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</si>
  <si>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</si>
  <si>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</si>
  <si>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</si>
  <si>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</si>
  <si>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</si>
  <si>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</si>
  <si>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</si>
  <si>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</si>
  <si>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</si>
  <si>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</si>
  <si>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</si>
  <si>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</si>
  <si>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</si>
  <si>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</si>
  <si>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</si>
  <si>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</si>
  <si>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</si>
  <si>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</si>
  <si>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</si>
  <si>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</si>
  <si>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</si>
  <si>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</si>
  <si>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</si>
  <si>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</si>
  <si>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</si>
  <si>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</si>
  <si>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</si>
  <si>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</si>
  <si>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</si>
  <si>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</si>
  <si>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</si>
  <si>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</si>
  <si>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</si>
  <si>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</si>
  <si>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</si>
  <si>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</si>
  <si>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</si>
  <si>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</si>
  <si>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</si>
  <si>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</si>
  <si>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</si>
  <si>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</si>
  <si>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</si>
  <si>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</si>
  <si>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</si>
  <si>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</si>
  <si>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</si>
  <si>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</si>
  <si>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</si>
  <si>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</si>
  <si>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</si>
  <si>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</si>
  <si>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</si>
  <si>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</si>
  <si>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</si>
  <si>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</si>
  <si>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</si>
  <si>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</si>
  <si>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</si>
  <si>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</si>
  <si>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</si>
  <si>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</si>
  <si>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</si>
  <si>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</si>
  <si>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</si>
  <si>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</si>
  <si>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</si>
  <si>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</si>
  <si>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</si>
  <si>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</si>
  <si>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</si>
  <si>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</si>
  <si>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</si>
  <si>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</si>
  <si>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</si>
  <si>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</si>
  <si>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</si>
  <si>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</si>
  <si>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</si>
  <si>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</si>
  <si>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</si>
  <si>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</si>
  <si>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</si>
  <si>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</si>
  <si>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</si>
  <si>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</si>
  <si>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</si>
  <si>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</si>
  <si>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</si>
  <si>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</si>
  <si>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</si>
  <si>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</si>
  <si>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</si>
  <si>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</si>
  <si>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</si>
  <si>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</si>
  <si>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</si>
  <si>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</si>
  <si>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</si>
  <si>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</si>
  <si>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</si>
  <si>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</si>
  <si>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</si>
  <si>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</si>
  <si>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</si>
  <si>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</si>
  <si>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</si>
  <si>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</si>
  <si>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</si>
  <si>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</si>
  <si>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</si>
  <si>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</si>
  <si>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</si>
  <si>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</si>
  <si>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</si>
  <si>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</si>
  <si>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</si>
  <si>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</si>
  <si>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</si>
  <si>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</si>
  <si>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</si>
  <si>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</si>
  <si>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</si>
  <si>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</si>
  <si>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</si>
  <si>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</si>
  <si>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</si>
  <si>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</si>
  <si>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</si>
  <si>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</si>
  <si>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</si>
  <si>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</si>
  <si>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</si>
  <si>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</si>
  <si>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</si>
  <si>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</si>
  <si>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</si>
  <si>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</si>
  <si>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</si>
  <si>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</si>
  <si>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</si>
  <si>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</si>
  <si>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</si>
  <si>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</si>
  <si>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</si>
  <si>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</si>
  <si>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</si>
  <si>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</si>
  <si>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</si>
  <si>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</si>
  <si>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</si>
  <si>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</si>
  <si>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</si>
  <si>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</si>
  <si>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</si>
  <si>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</si>
  <si>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</si>
  <si>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</si>
  <si>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</si>
  <si>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</si>
  <si>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</si>
  <si>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</si>
  <si>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</si>
  <si>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</si>
  <si>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</si>
  <si>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</si>
  <si>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</si>
  <si>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</si>
  <si>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</si>
  <si>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</si>
  <si>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</si>
  <si>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</si>
  <si>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</si>
  <si>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</si>
  <si>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</si>
  <si>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</si>
  <si>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</si>
  <si>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</si>
  <si>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</si>
  <si>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</si>
  <si>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</si>
  <si>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</si>
  <si>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</si>
  <si>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</si>
  <si>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</si>
  <si>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</si>
  <si>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</si>
  <si>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</si>
  <si>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</si>
  <si>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</si>
  <si>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</si>
  <si>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</si>
  <si>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</si>
  <si>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</si>
  <si>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</si>
  <si>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</si>
  <si>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</si>
  <si>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</si>
  <si>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</si>
  <si>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</si>
  <si>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</si>
  <si>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</si>
  <si>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</si>
  <si>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</si>
  <si>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</si>
  <si>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</si>
  <si>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</si>
  <si>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</si>
  <si>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</si>
  <si>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</si>
  <si>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</si>
  <si>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</si>
  <si>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</si>
  <si>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</si>
  <si>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</si>
  <si>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</si>
  <si>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</si>
  <si>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</si>
  <si>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</si>
  <si>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</si>
  <si>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</si>
  <si>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</si>
  <si>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</si>
  <si>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</si>
  <si>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</si>
  <si>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</si>
  <si>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</si>
  <si>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</si>
  <si>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</si>
  <si>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</si>
  <si>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</si>
  <si>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</si>
  <si>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</si>
  <si>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</si>
  <si>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</si>
  <si>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</si>
  <si>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</si>
  <si>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</si>
  <si>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</si>
  <si>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</si>
  <si>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</si>
  <si>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</si>
  <si>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</si>
  <si>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</si>
  <si>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</si>
  <si>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</si>
  <si>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</si>
  <si>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</si>
  <si>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</si>
  <si>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</si>
  <si>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</si>
  <si>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</si>
  <si>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</si>
  <si>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</si>
  <si>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</si>
  <si>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</si>
  <si>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</si>
  <si>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</si>
  <si>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</si>
  <si>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</si>
  <si>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</si>
  <si>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</si>
  <si>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</si>
  <si>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</si>
  <si>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</si>
  <si>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</si>
  <si>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</si>
  <si>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</si>
  <si>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</si>
  <si>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</si>
  <si>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</si>
  <si>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</si>
  <si>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</si>
  <si>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</si>
  <si>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</si>
  <si>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</si>
  <si>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</si>
  <si>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</si>
  <si>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</si>
  <si>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</si>
  <si>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</si>
  <si>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</si>
  <si>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</si>
  <si>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</si>
  <si>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</si>
  <si>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</si>
  <si>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</si>
  <si>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</si>
  <si>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</si>
  <si>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</si>
  <si>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</si>
  <si>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</si>
  <si>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</si>
  <si>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</si>
  <si>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</si>
  <si>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</si>
  <si>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</si>
  <si>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</si>
  <si>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</si>
  <si>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</si>
  <si>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</si>
  <si>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</si>
  <si>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</si>
  <si>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</si>
  <si>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</si>
  <si>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</si>
  <si>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</si>
  <si>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</si>
  <si>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</si>
  <si>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</si>
  <si>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</si>
  <si>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</si>
  <si>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</si>
  <si>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</si>
  <si>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</si>
  <si>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</si>
  <si>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</si>
  <si>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</si>
  <si>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</si>
  <si>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</si>
  <si>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</si>
  <si>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</si>
  <si>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</si>
  <si>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</si>
  <si>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</si>
  <si>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</si>
  <si>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</si>
  <si>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</si>
  <si>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</si>
  <si>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</si>
  <si>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</si>
  <si>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</si>
  <si>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</si>
  <si>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</si>
  <si>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</si>
  <si>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</si>
  <si>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</si>
  <si>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</si>
  <si>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</si>
  <si>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</si>
  <si>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</si>
  <si>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</si>
  <si>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</si>
  <si>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</si>
  <si>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</si>
  <si>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</si>
  <si>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</si>
  <si>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</si>
  <si>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</si>
  <si>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</si>
  <si>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</si>
  <si>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</si>
  <si>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</si>
  <si>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</si>
  <si>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</si>
  <si>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</si>
  <si>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</si>
  <si>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</si>
  <si>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</si>
  <si>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</si>
  <si>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</si>
  <si>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</si>
  <si>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</si>
  <si>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</si>
  <si>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</si>
  <si>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</si>
  <si>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</si>
  <si>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</si>
  <si>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</si>
  <si>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</si>
  <si>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</si>
  <si>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</si>
  <si>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</si>
  <si>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</si>
  <si>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</si>
  <si>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</si>
  <si>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</si>
  <si>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</si>
  <si>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</si>
  <si>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</si>
  <si>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</si>
  <si>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</si>
  <si>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</si>
  <si>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</si>
  <si>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</si>
  <si>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</si>
  <si>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</si>
  <si>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</si>
  <si>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</si>
  <si>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</si>
  <si>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</si>
  <si>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</si>
  <si>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</si>
  <si>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</si>
  <si>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</si>
  <si>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</si>
  <si>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</si>
  <si>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</si>
  <si>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</si>
  <si>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</si>
  <si>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</si>
  <si>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</si>
  <si>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</si>
  <si>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</si>
  <si>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</si>
  <si>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</si>
  <si>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</si>
  <si>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</si>
  <si>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</si>
  <si>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</si>
  <si>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</si>
  <si>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</si>
  <si>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</si>
  <si>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</si>
  <si>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</si>
  <si>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</si>
  <si>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</si>
  <si>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</si>
  <si>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</si>
  <si>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</si>
  <si>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</si>
  <si>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</si>
  <si>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</si>
  <si>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</si>
  <si>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</si>
  <si>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</si>
  <si>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</si>
  <si>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</si>
  <si>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</si>
  <si>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</si>
  <si>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</si>
  <si>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</si>
  <si>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</si>
  <si>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</si>
  <si>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</si>
  <si>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</si>
  <si>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</si>
  <si>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</si>
  <si>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</si>
  <si>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</si>
  <si>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</si>
  <si>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</si>
  <si>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</si>
  <si>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</si>
  <si>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</si>
  <si>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</si>
  <si>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</si>
  <si>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</si>
  <si>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</si>
  <si>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</si>
  <si>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</si>
  <si>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</si>
  <si>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</si>
  <si>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</si>
  <si>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</si>
  <si>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</si>
  <si>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</si>
  <si>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</si>
  <si>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</si>
  <si>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</si>
  <si>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</si>
  <si>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</si>
  <si>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</si>
  <si>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</si>
  <si>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</si>
  <si>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</si>
  <si>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</si>
  <si>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</si>
  <si>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</si>
  <si>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</si>
  <si>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</si>
  <si>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</si>
  <si>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</si>
  <si>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</si>
  <si>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</si>
  <si>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</si>
  <si>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</si>
  <si>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</si>
  <si>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</si>
  <si>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</si>
  <si>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</si>
  <si>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</si>
  <si>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</si>
  <si>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</si>
  <si>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</si>
  <si>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</si>
  <si>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</si>
  <si>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</si>
  <si>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</si>
  <si>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</si>
  <si>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</si>
  <si>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</si>
  <si>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</si>
  <si>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</si>
  <si>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</si>
  <si>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</si>
  <si>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</si>
  <si>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</si>
  <si>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</si>
  <si>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</si>
  <si>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</si>
  <si>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</si>
  <si>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</si>
  <si>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</si>
  <si>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</si>
  <si>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</si>
  <si>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</si>
  <si>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</si>
  <si>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</si>
  <si>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</si>
  <si>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</si>
  <si>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</si>
  <si>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</si>
  <si>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</si>
  <si>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</si>
  <si>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</si>
  <si>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</si>
  <si>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</si>
  <si>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</si>
  <si>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</si>
  <si>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</si>
  <si>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</si>
  <si>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</si>
  <si>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</si>
  <si>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</si>
  <si>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</si>
  <si>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</si>
  <si>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</si>
  <si>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</si>
  <si>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</si>
  <si>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</si>
  <si>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</si>
  <si>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</si>
  <si>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</si>
  <si>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</si>
  <si>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</si>
  <si>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</si>
  <si>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</si>
  <si>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</si>
  <si>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</si>
  <si>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</si>
  <si>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</si>
  <si>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</si>
  <si>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</si>
  <si>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</si>
  <si>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</si>
  <si>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</si>
  <si>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</si>
  <si>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</si>
  <si>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</si>
  <si>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</si>
  <si>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</si>
  <si>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</si>
  <si>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</si>
  <si>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</si>
  <si>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</si>
  <si>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</si>
  <si>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</si>
  <si>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</si>
  <si>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</si>
  <si>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</si>
  <si>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</si>
  <si>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</si>
  <si>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</si>
  <si>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</si>
  <si>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</si>
  <si>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</si>
  <si>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</si>
  <si>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</si>
  <si>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</si>
  <si>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</si>
  <si>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</si>
  <si>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</si>
  <si>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</si>
  <si>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</si>
  <si>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</si>
  <si>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</si>
  <si>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</si>
  <si>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</si>
  <si>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</si>
  <si>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</si>
  <si>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</si>
  <si>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</si>
  <si>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</si>
  <si>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</si>
  <si>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</si>
  <si>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</si>
  <si>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</si>
  <si>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</si>
  <si>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</si>
  <si>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</si>
  <si>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</si>
  <si>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</si>
  <si>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</si>
  <si>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</si>
  <si>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</si>
  <si>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</si>
  <si>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</si>
  <si>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</si>
  <si>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</si>
  <si>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</si>
  <si>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</si>
  <si>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</si>
  <si>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</si>
  <si>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</si>
  <si>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</si>
  <si>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</si>
  <si>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</si>
  <si>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</si>
  <si>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</si>
  <si>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</si>
  <si>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</si>
  <si>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</si>
  <si>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</si>
  <si>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</si>
  <si>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</si>
  <si>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</si>
  <si>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</si>
  <si>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</si>
  <si>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</si>
  <si>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</si>
  <si>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</si>
  <si>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</si>
  <si>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</si>
  <si>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</si>
  <si>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</si>
  <si>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</si>
  <si>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</si>
  <si>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</si>
  <si>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</si>
  <si>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</si>
  <si>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</si>
  <si>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</si>
  <si>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</si>
  <si>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</si>
  <si>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</si>
  <si>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</si>
  <si>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</si>
  <si>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</si>
  <si>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</si>
  <si>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</si>
  <si>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</si>
  <si>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</si>
  <si>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</si>
  <si>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</si>
  <si>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</si>
  <si>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</si>
  <si>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</si>
  <si>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</si>
  <si>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</si>
  <si>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</si>
  <si>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</si>
  <si>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</si>
  <si>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</si>
  <si>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</si>
  <si>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</si>
  <si>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</si>
  <si>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</si>
  <si>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</si>
  <si>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</si>
  <si>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</si>
  <si>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</si>
  <si>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</si>
  <si>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</si>
  <si>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</si>
  <si>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</si>
  <si>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</si>
  <si>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</si>
  <si>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</si>
  <si>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</si>
  <si>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</si>
  <si>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</si>
  <si>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</si>
  <si>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</si>
  <si>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</si>
  <si>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</si>
  <si>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</si>
  <si>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</si>
  <si>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</si>
  <si>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</si>
  <si>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</si>
  <si>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</si>
  <si>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</si>
  <si>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</si>
  <si>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</si>
  <si>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</si>
  <si>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</si>
  <si>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</si>
  <si>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</si>
  <si>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</si>
  <si>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</si>
  <si>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</si>
  <si>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</si>
  <si>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</si>
  <si>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</si>
  <si>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</si>
  <si>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</si>
  <si>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</si>
  <si>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</si>
  <si>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</si>
  <si>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</si>
  <si>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</si>
  <si>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</si>
  <si>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</si>
  <si>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</si>
  <si>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</si>
  <si>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</si>
  <si>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</si>
  <si>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</si>
  <si>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</si>
  <si>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</si>
  <si>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</si>
  <si>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</si>
  <si>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</si>
  <si>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</si>
  <si>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</si>
  <si>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</si>
  <si>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</si>
  <si>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</si>
  <si>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</si>
  <si>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</si>
  <si>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</si>
  <si>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</si>
  <si>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</si>
  <si>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</si>
  <si>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</si>
  <si>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</si>
  <si>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</si>
  <si>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</si>
  <si>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</si>
  <si>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</si>
  <si>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</si>
  <si>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</si>
  <si>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</si>
  <si>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</si>
  <si>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</si>
  <si>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</si>
  <si>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</si>
  <si>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</si>
  <si>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</si>
  <si>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</si>
  <si>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</si>
  <si>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</si>
  <si>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</si>
  <si>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</si>
  <si>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</si>
  <si>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</si>
  <si>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</si>
  <si>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</si>
  <si>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</si>
  <si>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</si>
  <si>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</si>
  <si>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</si>
  <si>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</si>
  <si>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</si>
  <si>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</si>
  <si>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</si>
  <si>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</si>
  <si>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</si>
  <si>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</si>
  <si>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</si>
  <si>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</si>
  <si>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</si>
  <si>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</si>
  <si>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</si>
  <si>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</si>
  <si>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</si>
  <si>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</si>
  <si>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</si>
  <si>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</si>
  <si>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</si>
  <si>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</si>
  <si>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</si>
  <si>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</si>
  <si>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</si>
  <si>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</si>
  <si>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</si>
  <si>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</si>
  <si>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</si>
  <si>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</si>
  <si>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</si>
  <si>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</si>
  <si>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</si>
  <si>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</si>
  <si>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</si>
  <si>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</si>
  <si>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</si>
  <si>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</si>
  <si>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</si>
  <si>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</si>
  <si>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</si>
  <si>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</si>
  <si>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</si>
  <si>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</si>
  <si>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</si>
  <si>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</si>
  <si>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</si>
  <si>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</si>
  <si>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</si>
  <si>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</si>
  <si>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</si>
  <si>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</si>
  <si>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</si>
  <si>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</si>
  <si>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</si>
  <si>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</si>
  <si>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</si>
  <si>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</si>
  <si>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</si>
  <si>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</si>
  <si>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</si>
  <si>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</si>
  <si>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</si>
  <si>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</si>
  <si>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</si>
  <si>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</si>
  <si>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</si>
  <si>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</si>
  <si>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</si>
  <si>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</si>
  <si>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</si>
  <si>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</si>
  <si>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</si>
  <si>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</si>
  <si>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</si>
  <si>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</si>
  <si>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</si>
  <si>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</si>
  <si>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</si>
  <si>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</si>
  <si>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</si>
  <si>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</si>
  <si>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</si>
  <si>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</si>
  <si>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</si>
  <si>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</si>
  <si>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</si>
  <si>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</si>
  <si>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</si>
  <si>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</si>
  <si>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</si>
  <si>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</si>
  <si>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</si>
  <si>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</si>
  <si>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</si>
  <si>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</si>
  <si>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</si>
  <si>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</si>
  <si>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</si>
  <si>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</si>
  <si>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</si>
  <si>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</si>
  <si>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</si>
  <si>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</si>
  <si>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</si>
  <si>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</si>
  <si>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</si>
  <si>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</si>
  <si>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</si>
  <si>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</si>
  <si>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</si>
  <si>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</si>
  <si>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</si>
  <si>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</si>
  <si>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</si>
  <si>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</si>
  <si>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</si>
  <si>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</si>
  <si>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</si>
  <si>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</si>
  <si>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</si>
  <si>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</si>
  <si>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</si>
  <si>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</si>
  <si>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</si>
  <si>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</si>
  <si>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</si>
  <si>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</si>
  <si>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</si>
  <si>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</si>
  <si>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</si>
  <si>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</si>
  <si>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</si>
  <si>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</si>
  <si>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</si>
  <si>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</si>
  <si>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</si>
  <si>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</si>
  <si>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</si>
  <si>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</si>
  <si>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</si>
  <si>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</si>
  <si>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</si>
  <si>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</si>
  <si>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</si>
  <si>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</si>
  <si>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</si>
  <si>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</si>
  <si>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</si>
  <si>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</si>
  <si>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</si>
  <si>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</si>
  <si>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</si>
  <si>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</si>
  <si>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</si>
  <si>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</si>
  <si>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</si>
  <si>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</si>
  <si>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</si>
  <si>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</si>
  <si>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</si>
  <si>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</si>
  <si>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</si>
  <si>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</si>
  <si>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</si>
  <si>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</si>
  <si>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</si>
  <si>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</si>
  <si>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</si>
  <si>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</si>
  <si>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</si>
  <si>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</si>
  <si>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</si>
  <si>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</si>
  <si>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</si>
  <si>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</si>
  <si>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</si>
  <si>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</si>
  <si>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</si>
  <si>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</si>
  <si>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</si>
  <si>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</si>
  <si>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</si>
  <si>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</si>
  <si>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</si>
  <si>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</si>
  <si>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</si>
  <si>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2</t>
  </si>
  <si>
    <t>G-F</t>
  </si>
  <si>
    <t xml:space="preserve"> </t>
  </si>
  <si>
    <t>7</t>
  </si>
  <si>
    <t>3</t>
  </si>
  <si>
    <t>R</t>
  </si>
  <si>
    <t>190</t>
  </si>
  <si>
    <t>C</t>
  </si>
  <si>
    <t>220</t>
  </si>
  <si>
    <t>F-C</t>
  </si>
  <si>
    <t>Kentucky</t>
  </si>
  <si>
    <t>6-11</t>
  </si>
  <si>
    <t>215</t>
  </si>
  <si>
    <t>8</t>
  </si>
  <si>
    <t>6-6</t>
  </si>
  <si>
    <t>10</t>
  </si>
  <si>
    <t>13</t>
  </si>
  <si>
    <t>22</t>
  </si>
  <si>
    <t>225</t>
  </si>
  <si>
    <t>F-G</t>
  </si>
  <si>
    <t>Colorado</t>
  </si>
  <si>
    <t>180</t>
  </si>
  <si>
    <t>11</t>
  </si>
  <si>
    <t>12</t>
  </si>
  <si>
    <t>C-F</t>
  </si>
  <si>
    <t>14</t>
  </si>
  <si>
    <t>Shai Gilgeous-Alexander</t>
  </si>
  <si>
    <t>JUL 12, 1998</t>
  </si>
  <si>
    <t>Chris Paul</t>
  </si>
  <si>
    <t>175</t>
  </si>
  <si>
    <t>MAY 06, 1985</t>
  </si>
  <si>
    <t>Wake Forest</t>
  </si>
  <si>
    <t>Luguentz Dort</t>
  </si>
  <si>
    <t>APR 19, 1999</t>
  </si>
  <si>
    <t>Arizona State</t>
  </si>
  <si>
    <t>Hamidou Diallo</t>
  </si>
  <si>
    <t>6</t>
  </si>
  <si>
    <t>202</t>
  </si>
  <si>
    <t>JUL 31, 1998</t>
  </si>
  <si>
    <t>Darius Bazley</t>
  </si>
  <si>
    <t>208</t>
  </si>
  <si>
    <t>JUN 12, 2000</t>
  </si>
  <si>
    <t>Danilo Gallinari</t>
  </si>
  <si>
    <t>233</t>
  </si>
  <si>
    <t>AUG 08, 1988</t>
  </si>
  <si>
    <t>Nerlens Noel</t>
  </si>
  <si>
    <t>9</t>
  </si>
  <si>
    <t>APR 10, 1994</t>
  </si>
  <si>
    <t>Abdel Nader</t>
  </si>
  <si>
    <t>SEP 25, 1993</t>
  </si>
  <si>
    <t>Iowa State</t>
  </si>
  <si>
    <t>Steven Adams</t>
  </si>
  <si>
    <t>265</t>
  </si>
  <si>
    <t>JUL 20, 1993</t>
  </si>
  <si>
    <t>Pittsburgh</t>
  </si>
  <si>
    <t>Justin Patton</t>
  </si>
  <si>
    <t>241</t>
  </si>
  <si>
    <t>JUN 14, 1997</t>
  </si>
  <si>
    <t>Creighton</t>
  </si>
  <si>
    <t>Dennis Schroder</t>
  </si>
  <si>
    <t>17</t>
  </si>
  <si>
    <t>172</t>
  </si>
  <si>
    <t>SEP 15, 1993</t>
  </si>
  <si>
    <t>Andre Roberson</t>
  </si>
  <si>
    <t>21</t>
  </si>
  <si>
    <t>210</t>
  </si>
  <si>
    <t>DEC 04, 1991</t>
  </si>
  <si>
    <t>Devon Hall</t>
  </si>
  <si>
    <t>JUL 07, 1995</t>
  </si>
  <si>
    <t>Virginia</t>
  </si>
  <si>
    <t>Terrance Ferguson</t>
  </si>
  <si>
    <t>23</t>
  </si>
  <si>
    <t>MAY 17, 1998</t>
  </si>
  <si>
    <t>Deonte Burton</t>
  </si>
  <si>
    <t>30</t>
  </si>
  <si>
    <t>240</t>
  </si>
  <si>
    <t>JAN 31, 1994</t>
  </si>
  <si>
    <t>Mike Muscala</t>
  </si>
  <si>
    <t>33</t>
  </si>
  <si>
    <t>JUL 01, 1991</t>
  </si>
  <si>
    <t>Bucknell</t>
  </si>
  <si>
    <t>Thunder</t>
    <phoneticPr fontId="1"/>
  </si>
  <si>
    <t>5-9</t>
    <phoneticPr fontId="1"/>
  </si>
  <si>
    <t xml:space="preserve">4-6  </t>
    <phoneticPr fontId="1"/>
  </si>
  <si>
    <t xml:space="preserve">5-3  </t>
    <phoneticPr fontId="1"/>
  </si>
  <si>
    <t xml:space="preserve">0-6  </t>
    <phoneticPr fontId="1"/>
  </si>
  <si>
    <t>49-33</t>
    <phoneticPr fontId="1"/>
  </si>
  <si>
    <t xml:space="preserve">7-3  </t>
    <phoneticPr fontId="1"/>
  </si>
  <si>
    <t>27-14</t>
    <phoneticPr fontId="1"/>
  </si>
  <si>
    <t>22-19</t>
    <phoneticPr fontId="1"/>
  </si>
  <si>
    <t>37-20</t>
    <phoneticPr fontId="1"/>
  </si>
  <si>
    <t>12-13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</si>
</sst>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513F82-D462-4147-AC29-7DCCE772720C}" name="TableRoster" displayName="TableRoster" ref="A1:M17" totalsRowShown="0" headerRowDxfId="1074">
  <autoFilter ref="A1:M17" xr:uid="{BC2CFBED-3AC0-4486-9BA4-A0DD71B6B2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A12A5E5A-37E4-47DB-B204-B8D00DE2F461}" name="TeamID" dataDxfId="1087"/>
    <tableColumn id="2" xr3:uid="{B3E6944E-6B1C-44FE-8B9C-744828600476}" name="SEASON" dataDxfId="1086"/>
    <tableColumn id="3" xr3:uid="{9EB545D3-4318-4E62-9B08-FAB34FB56AD1}" name="LeagueID" dataDxfId="1085"/>
    <tableColumn id="4" xr3:uid="{00AE881B-9FFE-4DCA-B9BF-EF3ABE98EEAA}" name="PLAYER" dataDxfId="1084"/>
    <tableColumn id="5" xr3:uid="{03929C9D-3124-468B-8280-454982330CAF}" name="NUM" dataDxfId="1083"/>
    <tableColumn id="6" xr3:uid="{EE831690-7043-4201-95ED-0BA4BBECE8D9}" name="POSITION" dataDxfId="1082"/>
    <tableColumn id="7" xr3:uid="{5C6AB2B3-E801-4C2D-B4EF-64DDDBBFBA30}" name="HEIGHT" dataDxfId="1081"/>
    <tableColumn id="8" xr3:uid="{F2FC0B4B-A2FD-4B62-B7F6-ADB4EE3CBEB6}" name="WEIGHT" dataDxfId="1080"/>
    <tableColumn id="9" xr3:uid="{A919C578-7A27-40F6-88DE-7198FDFB5EC1}" name="BIRTH_DATE" dataDxfId="1079"/>
    <tableColumn id="10" xr3:uid="{6CC136CC-2C72-4289-B5D6-68AC69FA4B30}" name="AGE" dataDxfId="1078"/>
    <tableColumn id="11" xr3:uid="{CC6E500E-23A0-4943-8B63-88EEA8E450F4}" name="EXP" dataDxfId="1077"/>
    <tableColumn id="12" xr3:uid="{51813A30-3598-4B52-94F6-FABB0DD87F73}" name="SCHOOL" dataDxfId="1076"/>
    <tableColumn id="13" xr3:uid="{A54E6E7D-4DA5-47A2-8CD8-4A4A1FED8DEE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4734B4-B19A-4E51-BC08-B89ECD2514F1}" name="TableStandingsN" displayName="TableStandingsN" ref="A1:CC31" totalsRowShown="0" headerRowDxfId="992">
  <autoFilter ref="A1:CC31" xr:uid="{CCD432D3-4FC4-485A-9D9C-9BD278DF0DA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60C0642E-3D32-471E-ABD8-738A96100EA0}" name="LeagueID" dataDxfId="1073"/>
    <tableColumn id="2" xr3:uid="{DEBC082C-DA40-4B63-BACA-DF3CD1BE139C}" name="SeasonID" dataDxfId="1072"/>
    <tableColumn id="3" xr3:uid="{CEA1003F-B589-45FB-BD27-4D822F9FAE61}" name="TeamID" dataDxfId="1071"/>
    <tableColumn id="4" xr3:uid="{25CEC2C5-0720-462F-B575-63A35C46A36B}" name="TeamCity" dataDxfId="1070"/>
    <tableColumn id="5" xr3:uid="{06D6159B-E5A4-45A5-BA07-88DD2E67B628}" name="TeamName" dataDxfId="1069"/>
    <tableColumn id="6" xr3:uid="{345155EC-9552-4B0D-B7E6-55A192082EF2}" name="Conference" dataDxfId="1068"/>
    <tableColumn id="7" xr3:uid="{FAB494E5-00CD-4E3C-A295-F381598AA931}" name="ConferenceRecord" dataDxfId="1067"/>
    <tableColumn id="8" xr3:uid="{FE347BA2-C376-445B-8B5C-7A7B7272CA3B}" name="PlayoffRank" dataDxfId="1066"/>
    <tableColumn id="9" xr3:uid="{7293530B-6580-4FE5-8BB8-DEA46315D175}" name="ClinchIndicator" dataDxfId="1065"/>
    <tableColumn id="10" xr3:uid="{C2D41BB5-5DBF-4A68-A09E-7DA9B69F221C}" name="Division" dataDxfId="1064"/>
    <tableColumn id="11" xr3:uid="{3F96EA4A-7AF9-460A-AA81-2171C4953977}" name="DivisionRecord" dataDxfId="1063"/>
    <tableColumn id="12" xr3:uid="{63801D85-D5F4-4CCE-A4D4-AB6274985D8F}" name="DivisionRank" dataDxfId="1062"/>
    <tableColumn id="13" xr3:uid="{ACFC4FE6-A79D-4218-9EB3-C46B05BCB27F}" name="WINS" dataDxfId="1061"/>
    <tableColumn id="14" xr3:uid="{191B43C3-22B7-442C-BC9D-33BCECC2FE71}" name="LOSSES" dataDxfId="1060"/>
    <tableColumn id="15" xr3:uid="{1D928841-39F8-4E21-A1BE-7E0CDBCE0474}" name="WinPCT" dataDxfId="1059"/>
    <tableColumn id="16" xr3:uid="{A6C259C3-89E4-4A85-84F4-B0BED8BF3735}" name="LeagueRank" dataDxfId="1058"/>
    <tableColumn id="17" xr3:uid="{88ED7EFC-5280-4151-B688-8554B00C80F4}" name="Record" dataDxfId="1057"/>
    <tableColumn id="18" xr3:uid="{0C533362-531F-4444-A65F-B60E5DE20593}" name="HOME" dataDxfId="1056"/>
    <tableColumn id="19" xr3:uid="{187A6091-BB29-4485-BF8B-46A7110F6F52}" name="ROAD" dataDxfId="1055"/>
    <tableColumn id="20" xr3:uid="{8961D067-A452-45DA-B8F3-1EE949994BC2}" name="L10" dataDxfId="1054"/>
    <tableColumn id="21" xr3:uid="{1C6A35B2-1727-4BF3-B416-6385B4058741}" name="Last10Home" dataDxfId="1053"/>
    <tableColumn id="22" xr3:uid="{8D4E45E3-F0D7-4AC0-B122-0CC30DDAD4FD}" name="Last10Road" dataDxfId="1052"/>
    <tableColumn id="23" xr3:uid="{5C526E9F-EED7-4A32-8880-FFC93B2BC909}" name="OT" dataDxfId="1051"/>
    <tableColumn id="24" xr3:uid="{2E7F5995-9F31-4A2E-B7A8-B7F638963B3D}" name="ThreePTSOrLess" dataDxfId="1050"/>
    <tableColumn id="25" xr3:uid="{2480666E-C8F5-4102-8E9F-F2253FAA5DE1}" name="TenPTSOrMore" dataDxfId="1049"/>
    <tableColumn id="26" xr3:uid="{EBA3C4EA-AED5-4A8C-9A4B-7B4678720E5F}" name="LongHomeStreak" dataDxfId="1048"/>
    <tableColumn id="27" xr3:uid="{95281C87-A2F2-4FF1-8454-C7087890A687}" name="strLongHomeStreak" dataDxfId="1047"/>
    <tableColumn id="28" xr3:uid="{7AE2A5A1-8F6F-464C-A888-A66E1A5CF98B}" name="LongRoadStreak" dataDxfId="1046"/>
    <tableColumn id="29" xr3:uid="{C2B86463-A048-453C-8493-ACE8378D4C87}" name="strLongRoadStreak" dataDxfId="1045"/>
    <tableColumn id="30" xr3:uid="{490F1291-A421-46B0-A45E-219A0DB4A5E8}" name="LongWinStreak" dataDxfId="1044"/>
    <tableColumn id="31" xr3:uid="{FEE62539-88B2-49E5-B22D-03DCF5666A36}" name="LongLossStreak" dataDxfId="1043"/>
    <tableColumn id="32" xr3:uid="{3F9DF270-7356-432D-88E9-93A14490D2CF}" name="CurrentHomeStreak" dataDxfId="1042"/>
    <tableColumn id="33" xr3:uid="{4D25DD1A-D00E-4B5B-ADAF-37DBC33284D4}" name="strCurrentHomeStreak" dataDxfId="1041"/>
    <tableColumn id="34" xr3:uid="{581D44F4-C0A0-4221-9D89-3B33118DE595}" name="CurrentRoadStreak" dataDxfId="1040"/>
    <tableColumn id="35" xr3:uid="{B37D11D5-52F7-45A1-86BA-C63228A8BD14}" name="strCurrentRoadStreak" dataDxfId="1039"/>
    <tableColumn id="36" xr3:uid="{B5FCECC7-899B-450B-9DC8-7F78AEB14367}" name="CurrentStreak" dataDxfId="1038"/>
    <tableColumn id="37" xr3:uid="{762CA894-CCA4-4621-9A3B-E3D3F49E646A}" name="strCurrentStreak" dataDxfId="1037"/>
    <tableColumn id="38" xr3:uid="{180C1166-D683-447B-8A9B-9E51B6A2A372}" name="ConferenceGamesBack" dataDxfId="1036"/>
    <tableColumn id="39" xr3:uid="{C8E8ED88-0C01-4C45-A398-2EFE3D678952}" name="DivisionGamesBack" dataDxfId="1035"/>
    <tableColumn id="40" xr3:uid="{80D21437-1EAC-4752-9BA6-9C6A85A3375A}" name="ClinchedConferenceTitle" dataDxfId="1034"/>
    <tableColumn id="41" xr3:uid="{476E14B8-459D-436B-A34A-EDB910909349}" name="ClinchedDivisionTitle" dataDxfId="1033"/>
    <tableColumn id="42" xr3:uid="{D3E57BBF-7B4E-4B3D-8A1F-C15497766047}" name="ClinchedPlayoffBirth" dataDxfId="1032"/>
    <tableColumn id="43" xr3:uid="{064543D6-4012-4BA5-846A-39C9F364944B}" name="EliminatedConference" dataDxfId="1031"/>
    <tableColumn id="44" xr3:uid="{7854A478-4B86-4E6E-870C-B4F3F3636D89}" name="EliminatedDivision" dataDxfId="1030"/>
    <tableColumn id="45" xr3:uid="{7A343896-D8E0-43F0-89CE-4C3A529FDD33}" name="AheadAtHalf" dataDxfId="1029"/>
    <tableColumn id="46" xr3:uid="{A5C17225-E3BA-432D-BEDD-2965D19810A9}" name="BehindAtHalf" dataDxfId="1028"/>
    <tableColumn id="47" xr3:uid="{EB170851-665E-437F-82FE-FCFD531C9C54}" name="TiedAtHalf" dataDxfId="1027"/>
    <tableColumn id="48" xr3:uid="{CC77345B-9E19-4D56-BEA3-604F736AE7DC}" name="AheadAtThird" dataDxfId="1026"/>
    <tableColumn id="49" xr3:uid="{D6A9091E-FE2A-498F-BE89-55183D2F94E5}" name="BehindAtThird" dataDxfId="1025"/>
    <tableColumn id="50" xr3:uid="{44D7694B-DBBA-417B-8509-462236E5D74A}" name="TiedAtThird" dataDxfId="1024"/>
    <tableColumn id="51" xr3:uid="{15A47A61-E50A-4415-90A5-56A64D3C9CC0}" name="Score100PTS" dataDxfId="1023"/>
    <tableColumn id="52" xr3:uid="{5ACE9945-0227-4B7E-9C8A-4B0DF43B82A8}" name="OppScore100PTS" dataDxfId="1022"/>
    <tableColumn id="53" xr3:uid="{9202E4FF-FF25-4A70-AD76-B9537220D3B2}" name="OppOver500" dataDxfId="1021"/>
    <tableColumn id="54" xr3:uid="{94A2F71C-ECAF-46E5-9E25-A9B87CA616DB}" name="LeadInFGPCT" dataDxfId="1020"/>
    <tableColumn id="55" xr3:uid="{152E3998-A9B8-44E8-9229-B84CFA12600A}" name="LeadInReb" dataDxfId="1019"/>
    <tableColumn id="56" xr3:uid="{6FD1E855-874A-4874-957F-9C8D6DA65FC7}" name="FewerTurnovers" dataDxfId="1018"/>
    <tableColumn id="57" xr3:uid="{5998C5E3-5FAE-499A-9A23-978278E6A5E9}" name="PointsPG" dataDxfId="1017"/>
    <tableColumn id="58" xr3:uid="{3F562A2F-2B31-4052-AB4A-72EEF4B9DC47}" name="OppPointsPG" dataDxfId="1016"/>
    <tableColumn id="59" xr3:uid="{6C12BD9F-66AD-44A5-BE77-A75000691E52}" name="DiffPointsPG" dataDxfId="1015"/>
    <tableColumn id="60" xr3:uid="{A4EE03ED-E598-4C73-B862-53F4443FF2C5}" name="vsEast" dataDxfId="1014"/>
    <tableColumn id="61" xr3:uid="{20B74135-AE5A-4BEC-A5C5-AA93FA2A8204}" name="vsAtlantic" dataDxfId="1013"/>
    <tableColumn id="62" xr3:uid="{432B842D-0A74-4166-9021-185A832FDA92}" name="vsCentral" dataDxfId="1012"/>
    <tableColumn id="63" xr3:uid="{0B0F2A62-9711-4061-A69A-F8B22F22BA64}" name="vsSoutheast" dataDxfId="1011"/>
    <tableColumn id="64" xr3:uid="{ADE58191-3893-4E69-9012-1F667F8516BD}" name="vsWest" dataDxfId="1010"/>
    <tableColumn id="65" xr3:uid="{0910221E-1E1D-401E-AF20-82322AEAF9B4}" name="vsNorthwest" dataDxfId="1009"/>
    <tableColumn id="66" xr3:uid="{25CB21D3-B4F0-4E33-A190-241E10FFE015}" name="vsPacific" dataDxfId="1008"/>
    <tableColumn id="67" xr3:uid="{BBF7B924-4FF9-4D42-B1A3-DA62C6AA0DD4}" name="vsSouthwest" dataDxfId="1007"/>
    <tableColumn id="68" xr3:uid="{2618A981-24AE-473A-8B73-A8BC68110C54}" name="Jan" dataDxfId="1006"/>
    <tableColumn id="69" xr3:uid="{851FD2B7-005A-4694-A723-9453DB74E035}" name="Feb" dataDxfId="1005"/>
    <tableColumn id="70" xr3:uid="{BE65935B-F7FF-4B02-B412-6C428834EB19}" name="Mar" dataDxfId="1004"/>
    <tableColumn id="71" xr3:uid="{8024D018-8FE8-4B9E-9D83-46D0CEC4D1CE}" name="Apr" dataDxfId="1003"/>
    <tableColumn id="72" xr3:uid="{1806B058-3B9F-4B7D-9082-A44EDEA616C7}" name="May" dataDxfId="1002"/>
    <tableColumn id="73" xr3:uid="{9771FBDE-82BD-4A82-8663-7C5F7CCFF903}" name="Jun" dataDxfId="1001"/>
    <tableColumn id="74" xr3:uid="{E19BE4F9-5988-4343-8DF8-3DB48B1BF48A}" name="Jul" dataDxfId="1000"/>
    <tableColumn id="75" xr3:uid="{7F107FA3-AABF-4A13-A74E-4ADD2B7670CF}" name="Aug" dataDxfId="999"/>
    <tableColumn id="76" xr3:uid="{855F3A9B-0FC1-45DA-9EEA-845CB4D25740}" name="Sep" dataDxfId="998"/>
    <tableColumn id="77" xr3:uid="{FF147B20-3D71-4B1C-8189-4096F9A70C21}" name="Oct" dataDxfId="997"/>
    <tableColumn id="78" xr3:uid="{40CCBE8F-60F1-4B93-87F4-70ECBE598289}" name="Nov" dataDxfId="996"/>
    <tableColumn id="79" xr3:uid="{AC8448A2-47AC-4F39-A3DA-A73BFA104045}" name="Dec" dataDxfId="995"/>
    <tableColumn id="80" xr3:uid="{2AE1D9E8-77A5-46B2-B090-39CD5A4A3859}" name="PreAS" dataDxfId="994"/>
    <tableColumn id="81" xr3:uid="{1E8CF31E-197F-442A-A9B2-CBF38EC586EC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3479F2-8AC8-4FD8-81B6-D274FA2B808D}" name="TableBaseN" displayName="TableBaseN" ref="A1:BD31" totalsRowShown="0" headerRowDxfId="853">
  <autoFilter ref="A1:BD31" xr:uid="{AA0A7E6E-FD61-4983-B56F-E50D94611C2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4A24F3A6-3929-43B8-B00A-2370CD5E5999}" name="TEAM_ID" dataDxfId="909"/>
    <tableColumn id="2" xr3:uid="{0ED098AE-96DB-4EDE-B588-B305359811CD}" name="TEAM_NAME" dataDxfId="908"/>
    <tableColumn id="3" xr3:uid="{262381AC-F5EF-4EFD-9C21-9F0963818878}" name="GP" dataDxfId="907"/>
    <tableColumn id="4" xr3:uid="{68E3D62A-B4F0-4782-B3CC-77740497FA77}" name="W" dataDxfId="906"/>
    <tableColumn id="5" xr3:uid="{15CD65A6-4619-4CAD-B96C-224F091F23C5}" name="L" dataDxfId="905"/>
    <tableColumn id="6" xr3:uid="{BEBDC65C-B2FB-45D7-B684-B776D481564B}" name="W_PCT" dataDxfId="904"/>
    <tableColumn id="7" xr3:uid="{4A5FE5DE-A721-4A6C-96CC-D81880469E55}" name="MIN" dataDxfId="903"/>
    <tableColumn id="8" xr3:uid="{4D3470A3-FC3F-4794-888E-A5003478ECD1}" name="FGM" dataDxfId="902"/>
    <tableColumn id="9" xr3:uid="{96FA0045-F2B8-4465-A1F5-506C16FDBF4C}" name="FGA" dataDxfId="901"/>
    <tableColumn id="10" xr3:uid="{61327784-3FCC-4A6C-9649-132439F1BA71}" name="FG_PCT" dataDxfId="900"/>
    <tableColumn id="11" xr3:uid="{7C3D37A8-9B47-4883-A8FD-F413D6E219F9}" name="FG3M" dataDxfId="899"/>
    <tableColumn id="12" xr3:uid="{383EC98F-9410-45EB-9DC0-966A06F3D9E2}" name="FG3A" dataDxfId="898"/>
    <tableColumn id="13" xr3:uid="{D531CA8D-320D-48C7-832B-CBD6A5B84983}" name="FG3_PCT" dataDxfId="897"/>
    <tableColumn id="14" xr3:uid="{831E781A-7B5C-4494-9CB0-7906CA338B63}" name="FTM" dataDxfId="896"/>
    <tableColumn id="15" xr3:uid="{A24ECFFA-6D8A-4585-A966-DC52B0CF36B2}" name="FTA" dataDxfId="895"/>
    <tableColumn id="16" xr3:uid="{D39CC7BA-6ECF-4458-A2CB-52FE60EE02E5}" name="FT_PCT" dataDxfId="894"/>
    <tableColumn id="17" xr3:uid="{441CE40A-AAEA-401F-9608-2BDAA11BCD33}" name="OREB" dataDxfId="893"/>
    <tableColumn id="18" xr3:uid="{40ADC500-27C9-4291-BC8C-048DBD2E15CB}" name="DREB" dataDxfId="892"/>
    <tableColumn id="19" xr3:uid="{24F380F3-DB7B-4191-97CC-9A09FD5D0A62}" name="REB" dataDxfId="891"/>
    <tableColumn id="20" xr3:uid="{1BFBFFE9-47D8-4734-A024-AFBE634E0358}" name="AST" dataDxfId="890"/>
    <tableColumn id="21" xr3:uid="{8CCE5A28-683A-4CFE-A327-72490F358471}" name="TOV" dataDxfId="889"/>
    <tableColumn id="22" xr3:uid="{559FED99-FC81-4966-9010-DFEE5B0AB887}" name="STL" dataDxfId="888"/>
    <tableColumn id="23" xr3:uid="{8E9F5528-31A7-414E-BB78-2DFE7A14D293}" name="BLK" dataDxfId="887"/>
    <tableColumn id="24" xr3:uid="{2FAF8DFD-03A7-4D4A-AE96-42B552944F12}" name="BLKA" dataDxfId="886"/>
    <tableColumn id="25" xr3:uid="{BB45B503-E3BA-47A9-A86A-A0A93F31D985}" name="PF" dataDxfId="885"/>
    <tableColumn id="26" xr3:uid="{963647D6-5003-4DE5-AFDC-7DC56A8E9C8D}" name="PFD" dataDxfId="884"/>
    <tableColumn id="27" xr3:uid="{EA532257-7B75-4BE4-B736-1B1E5BB71AF2}" name="PTS" dataDxfId="883"/>
    <tableColumn id="28" xr3:uid="{10044688-4F2B-4173-AED5-C4B89E66824D}" name="PLUS_MINUS" dataDxfId="882"/>
    <tableColumn id="29" xr3:uid="{03A8D6AA-5BD4-468B-9D2D-3221BF2C45D3}" name="GP_RANK" dataDxfId="881"/>
    <tableColumn id="30" xr3:uid="{B6CAF998-0AC7-42CE-BF80-F25444FC4563}" name="W_RANK" dataDxfId="880"/>
    <tableColumn id="31" xr3:uid="{E2CF1C39-0D60-44DE-AA75-88AD7FB87CDF}" name="L_RANK" dataDxfId="879"/>
    <tableColumn id="32" xr3:uid="{75E142E0-FFB2-409A-959F-53014E8FE8B3}" name="W_PCT_RANK" dataDxfId="878"/>
    <tableColumn id="33" xr3:uid="{A374562D-3688-481A-A8BA-877F751D498D}" name="MIN_RANK" dataDxfId="877"/>
    <tableColumn id="34" xr3:uid="{AA80E42A-0C8E-4CFF-AD67-A06A923445E8}" name="FGM_RANK" dataDxfId="876"/>
    <tableColumn id="35" xr3:uid="{2EF6538F-DBDA-4DBC-B272-72B79F82603D}" name="FGA_RANK" dataDxfId="875"/>
    <tableColumn id="36" xr3:uid="{C70A19AC-5BDB-42C5-AD12-AD624C976C6B}" name="FG_PCT_RANK" dataDxfId="874"/>
    <tableColumn id="37" xr3:uid="{FA314091-7803-4DCB-B5A6-DB0D472EFB58}" name="FG3M_RANK" dataDxfId="873"/>
    <tableColumn id="38" xr3:uid="{DEAD7CFD-C9F5-494F-BEC9-443241C2D677}" name="FG3A_RANK" dataDxfId="872"/>
    <tableColumn id="39" xr3:uid="{872DD5A5-1871-447F-993E-D4554EFDDC4A}" name="FG3_PCT_RANK" dataDxfId="871"/>
    <tableColumn id="40" xr3:uid="{956DC0D2-3625-4434-874D-55D2C03439E3}" name="FTM_RANK" dataDxfId="870"/>
    <tableColumn id="41" xr3:uid="{16F9CA10-FC8F-4EA1-B565-B6EEA190E059}" name="FTA_RANK" dataDxfId="869"/>
    <tableColumn id="42" xr3:uid="{6FE19C13-7DA1-496C-AC51-E3F48555C1A6}" name="FT_PCT_RANK" dataDxfId="868"/>
    <tableColumn id="43" xr3:uid="{212D240E-7694-4CAE-849B-D9D06474658A}" name="OREB_RANK" dataDxfId="867"/>
    <tableColumn id="44" xr3:uid="{11FC9B74-8BA6-4564-AEB9-FEEB87862530}" name="DREB_RANK" dataDxfId="866"/>
    <tableColumn id="45" xr3:uid="{30A5E1AD-B600-4F30-9CE3-B56D7FA7F90E}" name="REB_RANK" dataDxfId="865"/>
    <tableColumn id="46" xr3:uid="{534AF69C-A830-449F-8CAE-8CE1D906E926}" name="AST_RANK" dataDxfId="864"/>
    <tableColumn id="47" xr3:uid="{C114DE5B-3FC4-452A-A69C-CC394283C20E}" name="TOV_RANK" dataDxfId="863"/>
    <tableColumn id="48" xr3:uid="{9A95250E-855A-4418-A7E9-C945887F559C}" name="STL_RANK" dataDxfId="862"/>
    <tableColumn id="49" xr3:uid="{50BE68FF-6450-4D4E-A77E-448A6C4CF51E}" name="BLK_RANK" dataDxfId="861"/>
    <tableColumn id="50" xr3:uid="{3F62C92B-A530-4E18-8415-40B04EA64287}" name="BLKA_RANK" dataDxfId="860"/>
    <tableColumn id="51" xr3:uid="{41DAE586-5C7A-47CC-8433-4478BBE44D2C}" name="PF_RANK" dataDxfId="859"/>
    <tableColumn id="52" xr3:uid="{D962CACA-79E1-494A-8067-161D13915A3A}" name="PFD_RANK" dataDxfId="858"/>
    <tableColumn id="53" xr3:uid="{000C3CCB-1A8B-4C41-B7A8-C4333F3BECEF}" name="PTS_RANK" dataDxfId="857"/>
    <tableColumn id="54" xr3:uid="{39828623-4F0F-4997-B771-768E82722D2B}" name="PLUS_MINUS_RANK" dataDxfId="856"/>
    <tableColumn id="55" xr3:uid="{E89C6B14-9547-4F07-969B-9459D1FCD2C9}" name="CFID" dataDxfId="855"/>
    <tableColumn id="56" xr3:uid="{5D3B5CCD-7744-4DF5-8519-0C7045D22C91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49A00B-DC79-46F6-98A2-633215DD2F2F}" name="TableAdvancedN" displayName="TableAdvancedN" ref="A1:AV31" totalsRowShown="0" headerRowDxfId="747">
  <autoFilter ref="A1:AV31" xr:uid="{0FD5718A-C970-40BE-B5F7-D49E83681F8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FDC9696-4636-4D21-B2BA-A11EAD5FC1CA}" name="TEAM_ID" dataDxfId="795"/>
    <tableColumn id="2" xr3:uid="{EF084A00-16F9-44CF-ADFD-24B7A90FDBC2}" name="TEAM_NAME" dataDxfId="794"/>
    <tableColumn id="3" xr3:uid="{96967F83-722E-4E3C-B6DA-CAB82573CA24}" name="GP" dataDxfId="793"/>
    <tableColumn id="4" xr3:uid="{B3069356-AE18-4439-BF50-98FB78600EB8}" name="W" dataDxfId="792"/>
    <tableColumn id="5" xr3:uid="{4553DDB8-1B85-4E30-A318-EEC8C423564B}" name="L" dataDxfId="791"/>
    <tableColumn id="6" xr3:uid="{F69B98E7-317D-4ABE-8FF4-331AED7DD51A}" name="W_PCT" dataDxfId="790"/>
    <tableColumn id="7" xr3:uid="{2FF5D3BD-6238-49A9-BE24-736670EA5436}" name="MIN" dataDxfId="789"/>
    <tableColumn id="8" xr3:uid="{9B8BBC78-9253-4544-BD50-F50B8DD6BDA4}" name="E_OFF_RATING" dataDxfId="788"/>
    <tableColumn id="9" xr3:uid="{F4A432D4-0FEE-45B0-8E22-28F66FE57058}" name="OFF_RATING" dataDxfId="787"/>
    <tableColumn id="10" xr3:uid="{FEFB01A4-982D-4006-A4DE-F4A470A5F1D8}" name="E_DEF_RATING" dataDxfId="786"/>
    <tableColumn id="11" xr3:uid="{1B06B973-960D-4884-A574-51EC3DBC7652}" name="DEF_RATING" dataDxfId="785"/>
    <tableColumn id="12" xr3:uid="{C8C79573-A014-44D6-A115-A801C5C35C53}" name="E_NET_RATING" dataDxfId="784"/>
    <tableColumn id="13" xr3:uid="{445D0666-DAC6-4D33-B636-BB69C291D9CF}" name="NET_RATING" dataDxfId="783"/>
    <tableColumn id="14" xr3:uid="{7378372D-6C01-4F4F-82EA-330A0CA41451}" name="AST_PCT" dataDxfId="782"/>
    <tableColumn id="15" xr3:uid="{4ACE6A7A-1541-43DB-820D-CAC340AA23C7}" name="AST_TO" dataDxfId="781"/>
    <tableColumn id="16" xr3:uid="{F9CDA7CA-23A8-4F2D-B73D-8E076E778AFB}" name="AST_RATIO" dataDxfId="780"/>
    <tableColumn id="17" xr3:uid="{798228AC-2A4B-4FBF-9757-EFCEC4F55A81}" name="OREB_PCT" dataDxfId="779"/>
    <tableColumn id="18" xr3:uid="{3A43013C-8F0A-411B-9EE8-FB5827D66750}" name="DREB_PCT" dataDxfId="778"/>
    <tableColumn id="19" xr3:uid="{78658CDE-7A94-4D56-BDA9-791C0343B8B7}" name="REB_PCT" dataDxfId="777"/>
    <tableColumn id="20" xr3:uid="{3B8BD58F-19A5-4E1B-B654-D6BA99937A2A}" name="TM_TOV_PCT" dataDxfId="776"/>
    <tableColumn id="21" xr3:uid="{AB8B14DA-C2EF-4709-AB6F-00911CD5FB70}" name="EFG_PCT" dataDxfId="775"/>
    <tableColumn id="22" xr3:uid="{98A09211-FF20-4661-B211-96C5BBE87325}" name="TS_PCT" dataDxfId="774"/>
    <tableColumn id="23" xr3:uid="{7C9EC13E-3826-4063-B54A-889789251A8A}" name="E_PACE" dataDxfId="773"/>
    <tableColumn id="24" xr3:uid="{ECA60568-3D3E-44AA-B61F-33A47AE80A4E}" name="PACE" dataDxfId="772"/>
    <tableColumn id="25" xr3:uid="{96428D7C-5FB8-43FC-9B8A-C7C68EEF6A1A}" name="PACE_PER40" dataDxfId="771"/>
    <tableColumn id="26" xr3:uid="{D6FBC539-34CA-421E-B8FF-F0FC23665132}" name="POSS" dataDxfId="770"/>
    <tableColumn id="27" xr3:uid="{5CED9F1E-45F3-43E3-AB94-58A1FFE3A16E}" name="PIE" dataDxfId="769"/>
    <tableColumn id="28" xr3:uid="{E261B628-7F38-4AB2-94AD-CB967DFB060C}" name="GP_RANK" dataDxfId="768"/>
    <tableColumn id="29" xr3:uid="{F67C1E35-2C4D-437A-BB64-52393F324F35}" name="W_RANK" dataDxfId="767"/>
    <tableColumn id="30" xr3:uid="{F7A9CC4D-1E4D-4B2C-A3F4-996FB208EBCA}" name="L_RANK" dataDxfId="766"/>
    <tableColumn id="31" xr3:uid="{8ABFD068-5A2A-4B3C-8221-3A443ED1ED88}" name="W_PCT_RANK" dataDxfId="765"/>
    <tableColumn id="32" xr3:uid="{F8D8C025-A1E6-44DB-9133-46732BCBB663}" name="MIN_RANK" dataDxfId="764"/>
    <tableColumn id="33" xr3:uid="{CEA5A2D6-5A26-498F-AE90-FC343EEFFD9E}" name="OFF_RATING_RANK" dataDxfId="763"/>
    <tableColumn id="34" xr3:uid="{C8430F25-259A-4371-933B-85EA63DC6B89}" name="DEF_RATING_RANK" dataDxfId="762"/>
    <tableColumn id="35" xr3:uid="{9818A31F-405D-4F43-AD52-067B2F052825}" name="NET_RATING_RANK" dataDxfId="761"/>
    <tableColumn id="36" xr3:uid="{92AF6C18-9EC1-45CC-B18B-F2E14478C9BA}" name="AST_PCT_RANK" dataDxfId="760"/>
    <tableColumn id="37" xr3:uid="{03E47D65-EAAD-47C1-8B12-5555AD2BCB51}" name="AST_TO_RANK" dataDxfId="759"/>
    <tableColumn id="38" xr3:uid="{01122899-FC17-4662-A23F-F71C3F5D84DB}" name="AST_RATIO_RANK" dataDxfId="758"/>
    <tableColumn id="39" xr3:uid="{A7196823-235D-4ACF-B8EA-CFDF7EF8DDB4}" name="OREB_PCT_RANK" dataDxfId="757"/>
    <tableColumn id="40" xr3:uid="{84836110-6773-45FA-B561-CC8C646E20EA}" name="DREB_PCT_RANK" dataDxfId="756"/>
    <tableColumn id="41" xr3:uid="{60DD020B-E689-4EC5-8443-E25E1F20EC33}" name="REB_PCT_RANK" dataDxfId="755"/>
    <tableColumn id="42" xr3:uid="{AA8B1B3B-ABC2-41D3-A875-664BFD918B49}" name="TM_TOV_PCT_RANK" dataDxfId="754"/>
    <tableColumn id="43" xr3:uid="{54AA8069-574F-4BA5-B1BA-978E1E6A524B}" name="EFG_PCT_RANK" dataDxfId="753"/>
    <tableColumn id="44" xr3:uid="{8E207747-511E-4EA6-B819-003C7AD394E8}" name="TS_PCT_RANK" dataDxfId="752"/>
    <tableColumn id="45" xr3:uid="{835228B9-FC75-459E-98C4-C7AF128C8E64}" name="PACE_RANK" dataDxfId="751"/>
    <tableColumn id="46" xr3:uid="{3D1164C5-2141-4144-A031-D979BE3C77FD}" name="PIE_RANK" dataDxfId="750"/>
    <tableColumn id="47" xr3:uid="{6BDA173E-8C74-4F0D-8778-F339EECB37B9}" name="CFID" dataDxfId="749"/>
    <tableColumn id="48" xr3:uid="{3442976E-4322-4DC9-9480-6BFA172AFFAA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2AF82-0D9E-49CE-9E7D-B3DDEFC50471}" name="TableAdvancedNStarters" displayName="TableAdvancedNStarters" ref="A1:AV31" totalsRowShown="0" headerRowDxfId="649">
  <autoFilter ref="A1:AV31" xr:uid="{41A162B7-27BA-4032-A24C-3435DF375A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7D04B4F-8C7C-4AAC-A787-1D20F33EF53F}" name="TEAM_ID" dataDxfId="697"/>
    <tableColumn id="2" xr3:uid="{A07A0159-3269-4ED6-A662-29193D1F35E9}" name="TEAM_NAME" dataDxfId="696"/>
    <tableColumn id="3" xr3:uid="{156F9889-C92F-4008-9D8A-CC5F51950A0D}" name="GP" dataDxfId="695"/>
    <tableColumn id="4" xr3:uid="{DD00AC19-4033-41FB-9DE9-05DAD49ABD0B}" name="W" dataDxfId="694"/>
    <tableColumn id="5" xr3:uid="{B4043EBA-56BB-4D90-A950-38E1F7ED8124}" name="L" dataDxfId="693"/>
    <tableColumn id="6" xr3:uid="{5F3500AB-70E9-429B-A04E-B461DC2864E6}" name="W_PCT" dataDxfId="692"/>
    <tableColumn id="7" xr3:uid="{AD789BE1-E907-4EC7-A4A4-09F54111D1C0}" name="MIN" dataDxfId="691"/>
    <tableColumn id="8" xr3:uid="{661BA281-1B24-4E41-9D10-37365F089173}" name="E_OFF_RATING" dataDxfId="690"/>
    <tableColumn id="9" xr3:uid="{8B3A9EB5-CDD5-4A0A-9FDC-94730CD34322}" name="OFF_RATING" dataDxfId="689"/>
    <tableColumn id="10" xr3:uid="{A11423ED-5CFC-4FB5-AC14-0A29AD7C9B86}" name="E_DEF_RATING" dataDxfId="688"/>
    <tableColumn id="11" xr3:uid="{02E66F8C-DB65-4355-A68F-F9A686203A3A}" name="DEF_RATING" dataDxfId="687"/>
    <tableColumn id="12" xr3:uid="{123B2832-AE19-4357-B803-9947BE057A14}" name="E_NET_RATING" dataDxfId="686"/>
    <tableColumn id="13" xr3:uid="{2886C39D-374C-4A22-96AC-F823A5EC37B3}" name="NET_RATING" dataDxfId="685"/>
    <tableColumn id="14" xr3:uid="{CFDB5053-3C76-44C9-8386-70C4F82BFB6C}" name="AST_PCT" dataDxfId="684"/>
    <tableColumn id="15" xr3:uid="{BFC0582F-693B-44AD-9D08-D4976A0A452E}" name="AST_TO" dataDxfId="683"/>
    <tableColumn id="16" xr3:uid="{9C4D6117-19C7-4B45-BE81-061E88BC2FC3}" name="AST_RATIO" dataDxfId="682"/>
    <tableColumn id="17" xr3:uid="{689BE639-C42A-42D2-A2FF-ED1BEDC37583}" name="OREB_PCT" dataDxfId="681"/>
    <tableColumn id="18" xr3:uid="{541C9915-264F-40F1-B35A-5EEC928EC4E0}" name="DREB_PCT" dataDxfId="680"/>
    <tableColumn id="19" xr3:uid="{D825E7AE-1A33-4440-8A00-08A4562B01DA}" name="REB_PCT" dataDxfId="679"/>
    <tableColumn id="20" xr3:uid="{91B61C88-B0DA-478C-90BD-9A0D88C33C49}" name="TM_TOV_PCT" dataDxfId="678"/>
    <tableColumn id="21" xr3:uid="{1FD76BF1-EBA7-4B79-B0C0-1BB57169C9A8}" name="EFG_PCT" dataDxfId="677"/>
    <tableColumn id="22" xr3:uid="{985C6CDC-EB6A-40BE-9C31-3A4FCBB58A5B}" name="TS_PCT" dataDxfId="676"/>
    <tableColumn id="23" xr3:uid="{C4E4E581-0B12-4B91-86CE-AEF946DDBCBD}" name="E_PACE" dataDxfId="675"/>
    <tableColumn id="24" xr3:uid="{A63A3D75-1E5B-4CB3-B5AF-DE98DBC9EFD4}" name="PACE" dataDxfId="674"/>
    <tableColumn id="25" xr3:uid="{AEEFF1D2-60CB-43FA-B4EA-2B6BEBEF6199}" name="PACE_PER40" dataDxfId="673"/>
    <tableColumn id="26" xr3:uid="{33E20861-FF4E-458E-A63F-249E5978E8CB}" name="POSS" dataDxfId="672"/>
    <tableColumn id="27" xr3:uid="{EC0101F3-55D7-40DD-A7E5-F4EEC03B308C}" name="PIE" dataDxfId="671"/>
    <tableColumn id="28" xr3:uid="{921ABF04-6A57-4F56-A619-E7CBA5FAE277}" name="GP_RANK" dataDxfId="670"/>
    <tableColumn id="29" xr3:uid="{5788B223-58B1-4A94-BA95-F2227AABCAB0}" name="W_RANK" dataDxfId="669"/>
    <tableColumn id="30" xr3:uid="{6A2F2EEC-D9BA-464D-9693-8741526E6FBE}" name="L_RANK" dataDxfId="668"/>
    <tableColumn id="31" xr3:uid="{E948310A-6D75-4029-AE89-6A22EBE924C6}" name="W_PCT_RANK" dataDxfId="667"/>
    <tableColumn id="32" xr3:uid="{4B4ADF59-4968-4ED7-BCEE-BFFD879705F4}" name="MIN_RANK" dataDxfId="666"/>
    <tableColumn id="33" xr3:uid="{630B4FAA-2CAE-4AD1-BF1C-145C291AC1F2}" name="OFF_RATING_RANK" dataDxfId="665"/>
    <tableColumn id="34" xr3:uid="{6AB85287-9DBA-4063-9EC9-B02C9DDDEA4A}" name="DEF_RATING_RANK" dataDxfId="664"/>
    <tableColumn id="35" xr3:uid="{B37B7BE3-2849-4B14-B805-C85E602D6D00}" name="NET_RATING_RANK" dataDxfId="663"/>
    <tableColumn id="36" xr3:uid="{F9896582-DCFD-49D7-B38C-A454E2182059}" name="AST_PCT_RANK" dataDxfId="662"/>
    <tableColumn id="37" xr3:uid="{A7AB178F-4230-4376-BA4C-B00B7E7191A9}" name="AST_TO_RANK" dataDxfId="661"/>
    <tableColumn id="38" xr3:uid="{96BE3588-072A-4C41-8FB5-96E450CB2312}" name="AST_RATIO_RANK" dataDxfId="660"/>
    <tableColumn id="39" xr3:uid="{18E289EB-E126-4FBD-AA2E-46EB996A266E}" name="OREB_PCT_RANK" dataDxfId="659"/>
    <tableColumn id="40" xr3:uid="{A540D4B6-C252-46E3-B51E-CE824E72CB57}" name="DREB_PCT_RANK" dataDxfId="658"/>
    <tableColumn id="41" xr3:uid="{0E891570-0098-4FFA-8EC5-509EDFDFE003}" name="REB_PCT_RANK" dataDxfId="657"/>
    <tableColumn id="42" xr3:uid="{A98863F9-9454-4D23-A740-5D3DCFD7ED75}" name="TM_TOV_PCT_RANK" dataDxfId="656"/>
    <tableColumn id="43" xr3:uid="{E2D87F4A-6DB0-4C28-AF6F-2116EA47D6ED}" name="EFG_PCT_RANK" dataDxfId="655"/>
    <tableColumn id="44" xr3:uid="{97D2A186-E0AB-44D9-A25B-5608F6061D7F}" name="TS_PCT_RANK" dataDxfId="654"/>
    <tableColumn id="45" xr3:uid="{1F67DBB7-4795-4DB2-AC4F-98EE801B2760}" name="PACE_RANK" dataDxfId="653"/>
    <tableColumn id="46" xr3:uid="{9AB84FAC-BF89-4B08-B42C-5307E39DDC5E}" name="PIE_RANK" dataDxfId="652"/>
    <tableColumn id="47" xr3:uid="{5E118425-0218-45C8-9E6B-74AEC185EAEF}" name="CFID" dataDxfId="651"/>
    <tableColumn id="48" xr3:uid="{5C0E0E95-DBB3-4B58-82D2-CC4DA511FA39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F6F02EC-4DEC-4383-BEDD-A14E211A4B13}" name="TableAdvancedNBench" displayName="TableAdvancedNBench" ref="A1:AV31" totalsRowShown="0" headerRowDxfId="551">
  <autoFilter ref="A1:AV31" xr:uid="{3C3176B0-188B-4636-869B-B40CC459DFB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81F58E0-5F63-41E4-A477-8167E3D9FF84}" name="TEAM_ID" dataDxfId="599"/>
    <tableColumn id="2" xr3:uid="{740FC622-FF00-4AEC-A161-01DD4206801C}" name="TEAM_NAME" dataDxfId="598"/>
    <tableColumn id="3" xr3:uid="{DE6FD795-E28B-40F1-BE6E-225564FB04CF}" name="GP" dataDxfId="597"/>
    <tableColumn id="4" xr3:uid="{909EB019-CA20-4BFA-8AFC-3148CCBE924C}" name="W" dataDxfId="596"/>
    <tableColumn id="5" xr3:uid="{EC4FF081-4D07-43B1-A927-4B3C61E145B1}" name="L" dataDxfId="595"/>
    <tableColumn id="6" xr3:uid="{DD99BF63-7827-4E36-ABB9-65698F165441}" name="W_PCT" dataDxfId="594"/>
    <tableColumn id="7" xr3:uid="{8A393C5B-A23D-4193-AF71-3576568C5CE1}" name="MIN" dataDxfId="593"/>
    <tableColumn id="8" xr3:uid="{91DD9A20-4214-4311-AB31-D656FE1AC0F6}" name="E_OFF_RATING" dataDxfId="592"/>
    <tableColumn id="9" xr3:uid="{E43FAD9F-C860-4707-BCAD-E1E370046908}" name="OFF_RATING" dataDxfId="591"/>
    <tableColumn id="10" xr3:uid="{E05871C3-A9F8-4DBD-9232-F8E3F44C3F7F}" name="E_DEF_RATING" dataDxfId="590"/>
    <tableColumn id="11" xr3:uid="{24BACC7B-6FE1-4F11-B2E4-42419BB42D06}" name="DEF_RATING" dataDxfId="589"/>
    <tableColumn id="12" xr3:uid="{FE3794C7-A703-4414-993E-36D63C42A189}" name="E_NET_RATING" dataDxfId="588"/>
    <tableColumn id="13" xr3:uid="{6C9BA1E4-23A9-4161-AF8B-64AD58F4CCAD}" name="NET_RATING" dataDxfId="587"/>
    <tableColumn id="14" xr3:uid="{78EC2881-7091-457F-A8B2-D26D8FBB2869}" name="AST_PCT" dataDxfId="586"/>
    <tableColumn id="15" xr3:uid="{13CE2C29-AB7A-47F8-8EC5-9D497D202037}" name="AST_TO" dataDxfId="585"/>
    <tableColumn id="16" xr3:uid="{424C901E-C44C-470A-8857-C4289B4B3C69}" name="AST_RATIO" dataDxfId="584"/>
    <tableColumn id="17" xr3:uid="{6B3A37A3-3B0D-4D54-9A73-5DB5048D3789}" name="OREB_PCT" dataDxfId="583"/>
    <tableColumn id="18" xr3:uid="{C9A3F932-BFEB-4464-8312-38221CCD3C69}" name="DREB_PCT" dataDxfId="582"/>
    <tableColumn id="19" xr3:uid="{FAB0AEEE-75EA-4D31-9EC6-EEE57D109070}" name="REB_PCT" dataDxfId="581"/>
    <tableColumn id="20" xr3:uid="{B43458FF-0DB9-4AED-BC2B-F7A42EA3F653}" name="TM_TOV_PCT" dataDxfId="580"/>
    <tableColumn id="21" xr3:uid="{871A4D16-26D2-4C93-A5BB-A36013E472FA}" name="EFG_PCT" dataDxfId="579"/>
    <tableColumn id="22" xr3:uid="{0D68D3A0-753F-43AE-8726-1B0AE341144B}" name="TS_PCT" dataDxfId="578"/>
    <tableColumn id="23" xr3:uid="{A39658A0-8A1B-4131-8C10-27E444216765}" name="E_PACE" dataDxfId="577"/>
    <tableColumn id="24" xr3:uid="{FA8B7B97-3AF8-4F60-811C-2F09A987B59B}" name="PACE" dataDxfId="576"/>
    <tableColumn id="25" xr3:uid="{EE63F752-1812-4492-97A9-50FFFF31A2F5}" name="PACE_PER40" dataDxfId="575"/>
    <tableColumn id="26" xr3:uid="{A0CE539F-DA6C-4AEA-869C-AB3F3D64A9E5}" name="POSS" dataDxfId="574"/>
    <tableColumn id="27" xr3:uid="{661D058C-7379-43BD-90D0-2F35FB4F6FBA}" name="PIE" dataDxfId="573"/>
    <tableColumn id="28" xr3:uid="{F13D1D82-1AA4-4961-9E0D-E0EDA2F5452E}" name="GP_RANK" dataDxfId="572"/>
    <tableColumn id="29" xr3:uid="{30C7EAB9-EB6D-424E-A9A6-8B26ADCBA71C}" name="W_RANK" dataDxfId="571"/>
    <tableColumn id="30" xr3:uid="{86CA429A-9FF4-4385-93A5-D4501BA1251C}" name="L_RANK" dataDxfId="570"/>
    <tableColumn id="31" xr3:uid="{915962F6-635C-4E74-B253-BE5D6AC099CC}" name="W_PCT_RANK" dataDxfId="569"/>
    <tableColumn id="32" xr3:uid="{127F9F07-FDFA-480C-9BD9-C025B6D56CCE}" name="MIN_RANK" dataDxfId="568"/>
    <tableColumn id="33" xr3:uid="{E1154E2C-6538-4D35-BDC3-04299E663083}" name="OFF_RATING_RANK" dataDxfId="567"/>
    <tableColumn id="34" xr3:uid="{217C1A91-9BE5-4CE5-A6A7-4BDE88718C67}" name="DEF_RATING_RANK" dataDxfId="566"/>
    <tableColumn id="35" xr3:uid="{A7AAE423-8B8F-4BDC-8C14-48AD3B9FC09D}" name="NET_RATING_RANK" dataDxfId="565"/>
    <tableColumn id="36" xr3:uid="{C8916679-5FC1-4DB5-8CAB-ABC096A2D8DF}" name="AST_PCT_RANK" dataDxfId="564"/>
    <tableColumn id="37" xr3:uid="{5FB0B4B7-B6E0-4E8F-98BF-E0A7FBCCD365}" name="AST_TO_RANK" dataDxfId="563"/>
    <tableColumn id="38" xr3:uid="{7E8DA377-5B52-4153-B164-3A04F7DD12F1}" name="AST_RATIO_RANK" dataDxfId="562"/>
    <tableColumn id="39" xr3:uid="{31557018-C964-4EA3-922C-D52F2F44409B}" name="OREB_PCT_RANK" dataDxfId="561"/>
    <tableColumn id="40" xr3:uid="{5ED733B8-5691-4A0F-966F-F2AC447EAC17}" name="DREB_PCT_RANK" dataDxfId="560"/>
    <tableColumn id="41" xr3:uid="{41FC609E-53AA-4FA3-BCAF-32657A9497B1}" name="REB_PCT_RANK" dataDxfId="559"/>
    <tableColumn id="42" xr3:uid="{AD146EE1-279A-470C-BEFF-A496527E501C}" name="TM_TOV_PCT_RANK" dataDxfId="558"/>
    <tableColumn id="43" xr3:uid="{F34C60C3-604B-43BF-B076-94A1AB800787}" name="EFG_PCT_RANK" dataDxfId="557"/>
    <tableColumn id="44" xr3:uid="{9C52A398-BD10-4BA7-B79E-F909992AEE42}" name="TS_PCT_RANK" dataDxfId="556"/>
    <tableColumn id="45" xr3:uid="{FA91E2C9-1CC3-40A0-A8D3-EB5F8E899A6E}" name="PACE_RANK" dataDxfId="555"/>
    <tableColumn id="46" xr3:uid="{DD117298-49BC-40AB-8643-ABB365B23AC7}" name="PIE_RANK" dataDxfId="554"/>
    <tableColumn id="47" xr3:uid="{EE5891CF-8F47-4199-957B-1B87147C6618}" name="CFID" dataDxfId="553"/>
    <tableColumn id="48" xr3:uid="{75F9738D-2937-4C95-95E1-2193214D0861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91F097E-4572-475C-B63F-A6F76A457AB4}" name="TableMiscN" displayName="TableMiscN" ref="A1:AD31" totalsRowShown="0" headerRowDxfId="471">
  <autoFilter ref="A1:AD31" xr:uid="{1246E636-54E2-4C9E-9DED-EB893BB560D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7007D431-BF91-46C7-A0A0-DE42946C27A3}" name="TEAM_ID" dataDxfId="501"/>
    <tableColumn id="2" xr3:uid="{E2DD40C2-48A1-4319-9354-DE05C001F664}" name="TEAM_NAME" dataDxfId="500"/>
    <tableColumn id="3" xr3:uid="{B3A144BB-B67D-4859-B83C-91C4C90805E7}" name="GP" dataDxfId="499"/>
    <tableColumn id="4" xr3:uid="{BC0D0AC4-3B3D-4FF6-B039-2CC81A5B676C}" name="W" dataDxfId="498"/>
    <tableColumn id="5" xr3:uid="{53692145-8B1F-4567-95C2-471A4B381CCA}" name="L" dataDxfId="497"/>
    <tableColumn id="6" xr3:uid="{D18B932B-DF39-4E7C-8C3C-2ADEADCEB285}" name="W_PCT" dataDxfId="496"/>
    <tableColumn id="7" xr3:uid="{80BC6437-468A-4ADD-8840-96CBEDA7052E}" name="MIN" dataDxfId="495"/>
    <tableColumn id="8" xr3:uid="{B6AE89E6-DC54-4E2E-97E6-877A0C1361B4}" name="PTS_OFF_TOV" dataDxfId="494"/>
    <tableColumn id="9" xr3:uid="{ED11AB72-CBCB-4383-8415-FE54A687A27B}" name="PTS_2ND_CHANCE" dataDxfId="493"/>
    <tableColumn id="10" xr3:uid="{45725CDB-3B43-4CE0-932F-E60B6050F82D}" name="PTS_FB" dataDxfId="492"/>
    <tableColumn id="11" xr3:uid="{E39752C1-A07B-4121-B804-11939ED9458B}" name="PTS_PAINT" dataDxfId="491"/>
    <tableColumn id="12" xr3:uid="{378A7091-1726-4D9F-9BA0-390163B0264A}" name="OPP_PTS_OFF_TOV" dataDxfId="490"/>
    <tableColumn id="13" xr3:uid="{03439087-AE51-43C9-A8DA-BC0C31E1A9AF}" name="OPP_PTS_2ND_CHANCE" dataDxfId="489"/>
    <tableColumn id="14" xr3:uid="{8981CB90-49D0-4039-8F16-E4E607A33558}" name="OPP_PTS_FB" dataDxfId="488"/>
    <tableColumn id="15" xr3:uid="{8FB0A961-9AD4-47F8-A0FC-030FE1D2F054}" name="OPP_PTS_PAINT" dataDxfId="487"/>
    <tableColumn id="16" xr3:uid="{0D5C910F-D18E-4D65-8FB4-3D7DE67236C2}" name="GP_RANK" dataDxfId="486"/>
    <tableColumn id="17" xr3:uid="{EE7B4A4A-BC00-4C7A-88E0-ABC1E0A3C73B}" name="W_RANK" dataDxfId="485"/>
    <tableColumn id="18" xr3:uid="{7C8409CC-E9EA-427F-8AD3-22FD35B94614}" name="L_RANK" dataDxfId="484"/>
    <tableColumn id="19" xr3:uid="{9B817DA9-CB1F-4282-BF75-C6499BF3B222}" name="W_PCT_RANK" dataDxfId="483"/>
    <tableColumn id="20" xr3:uid="{B61F770A-4CE7-49D9-B898-1750A8D90F0A}" name="MIN_RANK" dataDxfId="482"/>
    <tableColumn id="21" xr3:uid="{D71E7196-D092-43B0-BB4B-288D4E603DF4}" name="PTS_OFF_TOV_RANK" dataDxfId="481"/>
    <tableColumn id="22" xr3:uid="{3D88629B-B55C-4A65-B3F1-217467FF2F8D}" name="PTS_2ND_CHANCE_RANK" dataDxfId="480"/>
    <tableColumn id="23" xr3:uid="{008A9510-C831-49AF-95FF-10FFCA3CF2E5}" name="PTS_FB_RANK" dataDxfId="479"/>
    <tableColumn id="24" xr3:uid="{1C40BF42-C2AA-4C9A-B0AD-C27AE5E633C2}" name="PTS_PAINT_RANK" dataDxfId="478"/>
    <tableColumn id="25" xr3:uid="{B6093771-3851-429B-8190-A365AE93C8A1}" name="OPP_PTS_OFF_TOV_RANK" dataDxfId="477"/>
    <tableColumn id="26" xr3:uid="{B6DCB223-D7AB-4FEC-AEC3-11704051D676}" name="OPP_PTS_2ND_CHANCE_RANK" dataDxfId="476"/>
    <tableColumn id="27" xr3:uid="{F5512ECC-CBC8-4C2A-892B-1D164A3409E4}" name="OPP_PTS_FB_RANK" dataDxfId="475"/>
    <tableColumn id="28" xr3:uid="{0016BF39-219E-480F-A2B8-64DF2A76AFAA}" name="OPP_PTS_PAINT_RANK" dataDxfId="474"/>
    <tableColumn id="29" xr3:uid="{22E10B42-1A65-416D-9781-BAF7BFC7713E}" name="CFID" dataDxfId="473"/>
    <tableColumn id="30" xr3:uid="{8E7DACED-ECE7-4453-BE75-B7E1CBE46729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BF5852B-C665-4221-8E70-E9F68540F80E}" name="TableOppBaseN" displayName="TableOppBaseN" ref="A1:BD31" totalsRowShown="0" headerRowDxfId="383">
  <autoFilter ref="A1:BD31" xr:uid="{2BA608E9-FE50-43A2-93C8-98B3A9F665F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52588E6-61DC-4EAC-A9C5-64CDC8C9B058}" name="TEAM_ID" dataDxfId="439"/>
    <tableColumn id="2" xr3:uid="{DC4672C1-9B01-4159-B936-ADA85C90A116}" name="TEAM_NAME" dataDxfId="438"/>
    <tableColumn id="3" xr3:uid="{82B79624-DB19-45E4-AA8D-12A094A1E2AD}" name="GP" dataDxfId="437"/>
    <tableColumn id="4" xr3:uid="{78E4A587-B054-4D80-BDE9-EB87C6F78414}" name="W" dataDxfId="436"/>
    <tableColumn id="5" xr3:uid="{1F4CFC47-FA1F-4272-8374-23D5710C3D91}" name="L" dataDxfId="435"/>
    <tableColumn id="6" xr3:uid="{BE9AD781-7401-4769-B6B3-275A6A64B3B6}" name="W_PCT" dataDxfId="434"/>
    <tableColumn id="7" xr3:uid="{6820FA14-1228-494D-A78C-65D9088478AB}" name="MIN" dataDxfId="433"/>
    <tableColumn id="8" xr3:uid="{9AC99B21-4BA3-4610-A716-597E0080B0F8}" name="OPP_FGM" dataDxfId="432"/>
    <tableColumn id="9" xr3:uid="{79AA816D-E493-4490-B8BC-6002CB367877}" name="OPP_FGA" dataDxfId="431"/>
    <tableColumn id="10" xr3:uid="{67D316C5-75C3-4409-B85E-20D63EB7CEF1}" name="OPP_FG_PCT" dataDxfId="430"/>
    <tableColumn id="11" xr3:uid="{A16B7FE1-CB2F-41FE-BAA3-DFC63A9C4AF1}" name="OPP_FG3M" dataDxfId="429"/>
    <tableColumn id="12" xr3:uid="{BB2911E1-1BE0-48C2-93AA-EB3AA539404F}" name="OPP_FG3A" dataDxfId="428"/>
    <tableColumn id="13" xr3:uid="{97BFBEC5-CB14-495F-9E2B-03FD0724CEEC}" name="OPP_FG3_PCT" dataDxfId="427"/>
    <tableColumn id="14" xr3:uid="{CEA87DFE-6B14-4A95-AAEA-DFFE2D97194F}" name="OPP_FTM" dataDxfId="426"/>
    <tableColumn id="15" xr3:uid="{09A473A4-2D71-49CB-9A57-06C607D579D9}" name="OPP_FTA" dataDxfId="425"/>
    <tableColumn id="16" xr3:uid="{32C3B28C-B1DD-4486-B30C-F492F3D53D0A}" name="OPP_FT_PCT" dataDxfId="424"/>
    <tableColumn id="17" xr3:uid="{5A30EFC7-E051-4B20-948B-D4E5A2D041A5}" name="OPP_OREB" dataDxfId="423"/>
    <tableColumn id="18" xr3:uid="{133F76F6-565D-4AD0-BC8E-E338103BD77B}" name="OPP_DREB" dataDxfId="422"/>
    <tableColumn id="19" xr3:uid="{8A753F17-3B7D-4E68-A5E1-97A80686F235}" name="OPP_REB" dataDxfId="421"/>
    <tableColumn id="20" xr3:uid="{874782A2-B83F-4439-9B57-D1CB90567D9F}" name="OPP_AST" dataDxfId="420"/>
    <tableColumn id="21" xr3:uid="{7C22879D-3A50-45E1-8942-7D7E34DBA5AD}" name="OPP_TOV" dataDxfId="419"/>
    <tableColumn id="22" xr3:uid="{E82B1E7D-522E-4A9B-9F25-7A581AB03359}" name="OPP_STL" dataDxfId="418"/>
    <tableColumn id="23" xr3:uid="{A7F9B643-2236-4BAA-9C8E-1470DF1E94AC}" name="OPP_BLK" dataDxfId="417"/>
    <tableColumn id="24" xr3:uid="{70FCB616-85C5-44AA-9636-CFB7D8050059}" name="OPP_BLKA" dataDxfId="416"/>
    <tableColumn id="25" xr3:uid="{F3A59CDF-471C-4782-A827-F9A07C83249C}" name="OPP_PF" dataDxfId="415"/>
    <tableColumn id="26" xr3:uid="{F04AD073-8D6F-4253-879F-9CB36B5E00AC}" name="OPP_PFD" dataDxfId="414"/>
    <tableColumn id="27" xr3:uid="{CB4AEC56-6322-4A3C-9EBA-7C9C76679F4A}" name="OPP_PTS" dataDxfId="413"/>
    <tableColumn id="28" xr3:uid="{AC7B2A89-4F62-490F-98B1-3F57210B1C15}" name="PLUS_MINUS" dataDxfId="412"/>
    <tableColumn id="29" xr3:uid="{AD2DBCD0-5F80-473B-A6D4-68654D13BFDE}" name="GP_RANK" dataDxfId="411"/>
    <tableColumn id="30" xr3:uid="{3FBF84B2-F510-4284-AAF5-EC2436EFDEAC}" name="W_RANK" dataDxfId="410"/>
    <tableColumn id="31" xr3:uid="{F6E3E32A-1A14-4D74-9806-2C53B09AB2F2}" name="L_RANK" dataDxfId="409"/>
    <tableColumn id="32" xr3:uid="{B4533612-D7CB-47ED-A5B5-8ECDEF2C3D7E}" name="W_PCT_RANK" dataDxfId="408"/>
    <tableColumn id="33" xr3:uid="{DE8E5DF6-AF26-4B6F-8493-ADB5A8BC9767}" name="MIN_RANK" dataDxfId="407"/>
    <tableColumn id="34" xr3:uid="{EC8C7BAD-0346-4E56-A060-52499AAC291A}" name="OPP_FGM_RANK" dataDxfId="406"/>
    <tableColumn id="35" xr3:uid="{7E15D71F-77A9-4610-895F-42498BFC0527}" name="OPP_FGA_RANK" dataDxfId="405"/>
    <tableColumn id="36" xr3:uid="{34471AB9-A174-4AE2-AE9F-7D4451389937}" name="OPP_FG_PCT_RANK" dataDxfId="404"/>
    <tableColumn id="37" xr3:uid="{80ADC2B5-A422-49C8-9389-5BEB1E541AD1}" name="OPP_FG3M_RANK" dataDxfId="403"/>
    <tableColumn id="38" xr3:uid="{04FA7195-86ED-47C5-AE21-AFD66D66DF52}" name="OPP_FG3A_RANK" dataDxfId="402"/>
    <tableColumn id="39" xr3:uid="{C9D1F3A5-A44D-407B-BCCB-B380FDF92DAE}" name="OPP_FG3_PCT_RANK" dataDxfId="401"/>
    <tableColumn id="40" xr3:uid="{957B51E1-826E-4581-A0C3-76D7E4E53BC6}" name="OPP_FTM_RANK" dataDxfId="400"/>
    <tableColumn id="41" xr3:uid="{64B1F556-B0D7-40AF-867D-8A5F80631E63}" name="OPP_FTA_RANK" dataDxfId="399"/>
    <tableColumn id="42" xr3:uid="{F1968295-B518-4204-B483-6D1EC0222499}" name="OPP_FT_PCT_RANK" dataDxfId="398"/>
    <tableColumn id="43" xr3:uid="{5DFBD46F-E4AB-4FC9-8133-8CFC0CEF0F58}" name="OPP_OREB_RANK" dataDxfId="397"/>
    <tableColumn id="44" xr3:uid="{2FE41590-5B1D-44B0-93D4-DD98FAF87431}" name="OPP_DREB_RANK" dataDxfId="396"/>
    <tableColumn id="45" xr3:uid="{5B596562-D41A-4E7B-AE97-70343B566A2D}" name="OPP_REB_RANK" dataDxfId="395"/>
    <tableColumn id="46" xr3:uid="{D8F62DBB-6384-4F54-87FE-D78B60D87990}" name="OPP_AST_RANK" dataDxfId="394"/>
    <tableColumn id="47" xr3:uid="{32BE4261-A930-41E1-90A0-D35067BCC907}" name="OPP_TOV_RANK" dataDxfId="393"/>
    <tableColumn id="48" xr3:uid="{580B7A9D-E17D-489A-BDDE-CCC5C1F51FDE}" name="OPP_STL_RANK" dataDxfId="392"/>
    <tableColumn id="49" xr3:uid="{C582E9E3-B86C-41A6-86F0-6215029DFFEF}" name="OPP_BLK_RANK" dataDxfId="391"/>
    <tableColumn id="50" xr3:uid="{9392052C-FA44-49F0-8CC5-4F10241A1D17}" name="OPP_BLKA_RANK" dataDxfId="390"/>
    <tableColumn id="51" xr3:uid="{E185A78C-5BFE-4C16-97EF-6432DDDD4E50}" name="OPP_PF_RANK" dataDxfId="389"/>
    <tableColumn id="52" xr3:uid="{71FFAADB-FBE9-4BAE-A34F-557D7DF360BD}" name="OPP_PFD_RANK" dataDxfId="388"/>
    <tableColumn id="53" xr3:uid="{2312E36F-E00C-4D52-895E-3927EA21ABE4}" name="OPP_PTS_RANK" dataDxfId="387"/>
    <tableColumn id="54" xr3:uid="{FCB22650-D87A-42F7-AF04-61CCD537C2A2}" name="PLUS_MINUS_RANK" dataDxfId="386"/>
    <tableColumn id="55" xr3:uid="{28FD4A50-9D1E-4FE5-AC98-491A57B822C1}" name="CFID" dataDxfId="385"/>
    <tableColumn id="56" xr3:uid="{86AFF9E9-2721-427E-9F93-94BDA3BE497E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6055593-3A34-4054-8CED-1D3CCF5E41E2}" name="TableClutchBaseN" displayName="TableClutchBaseN" ref="A1:BD31" totalsRowShown="0" headerRowDxfId="269">
  <autoFilter ref="A1:BD31" xr:uid="{038EB245-A6A8-48FD-BCBE-F1B4A69E20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33A040D-612E-4A18-9E7C-9A8C6A82C973}" name="TEAM_ID" dataDxfId="325"/>
    <tableColumn id="2" xr3:uid="{AA0A1B5C-4F65-4E25-AD02-5637F14F37D2}" name="TEAM_NAME" dataDxfId="324"/>
    <tableColumn id="3" xr3:uid="{FDD9A8F3-2014-4235-A3D4-030E0DA4E338}" name="GP" dataDxfId="323"/>
    <tableColumn id="4" xr3:uid="{A8E7A18A-15E5-4C6C-B1FC-8286DBB67021}" name="W" dataDxfId="322"/>
    <tableColumn id="5" xr3:uid="{6EE72BBB-BA05-4BE9-9C94-6879A93D4BBF}" name="L" dataDxfId="321"/>
    <tableColumn id="6" xr3:uid="{8B73DC31-FE35-41A7-88A3-770D64DF1C6B}" name="W_PCT" dataDxfId="320"/>
    <tableColumn id="7" xr3:uid="{962C4F69-8B8A-468D-9A6B-A087F6428605}" name="MIN" dataDxfId="319"/>
    <tableColumn id="8" xr3:uid="{ACAEA777-2984-403F-B5E6-51A5EA27D288}" name="FGM" dataDxfId="318"/>
    <tableColumn id="9" xr3:uid="{A01A5482-B978-4AE8-9475-718F337AEB94}" name="FGA" dataDxfId="317"/>
    <tableColumn id="10" xr3:uid="{F76C4FCB-2552-4A32-9E40-B678F8281467}" name="FG_PCT" dataDxfId="316"/>
    <tableColumn id="11" xr3:uid="{E2A949EF-3ECE-4C88-83E0-34C5BDA42FE2}" name="FG3M" dataDxfId="315"/>
    <tableColumn id="12" xr3:uid="{E22068F0-5173-4F78-9C38-D782D727EE12}" name="FG3A" dataDxfId="314"/>
    <tableColumn id="13" xr3:uid="{007EBE6B-A165-4920-ACCA-9D40C1A46F02}" name="FG3_PCT" dataDxfId="313"/>
    <tableColumn id="14" xr3:uid="{066D5E11-DF31-4A12-A70E-B3C0B44898C2}" name="FTM" dataDxfId="312"/>
    <tableColumn id="15" xr3:uid="{367B434D-153A-48A9-99F8-C5AF773EBB3F}" name="FTA" dataDxfId="311"/>
    <tableColumn id="16" xr3:uid="{3228C42C-FFF7-4F82-9EED-34C47CD2E275}" name="FT_PCT" dataDxfId="310"/>
    <tableColumn id="17" xr3:uid="{3D067895-7B08-45CF-A277-2A0F48B95138}" name="OREB" dataDxfId="309"/>
    <tableColumn id="18" xr3:uid="{CAD304A5-2D71-41F4-AAD1-ED5173B32741}" name="DREB" dataDxfId="308"/>
    <tableColumn id="19" xr3:uid="{20092F35-B06A-499E-81D9-40851F99B931}" name="REB" dataDxfId="307"/>
    <tableColumn id="20" xr3:uid="{EB05BABC-07BB-4801-97DA-C518E5D466D6}" name="AST" dataDxfId="306"/>
    <tableColumn id="21" xr3:uid="{ED2D1CBE-7B9B-49C5-810E-6D5FED1B2B43}" name="TOV" dataDxfId="305"/>
    <tableColumn id="22" xr3:uid="{F836DE00-6EFA-4595-B34F-755688759B30}" name="STL" dataDxfId="304"/>
    <tableColumn id="23" xr3:uid="{BBBCE2F3-5F17-4E33-8596-36E71C040531}" name="BLK" dataDxfId="303"/>
    <tableColumn id="24" xr3:uid="{B4AA08B1-8B14-485A-A31C-F322C3EC407B}" name="BLKA" dataDxfId="302"/>
    <tableColumn id="25" xr3:uid="{FE4A87A6-2F36-454B-8409-0E9507EB1B68}" name="PF" dataDxfId="301"/>
    <tableColumn id="26" xr3:uid="{91AFAFD3-826D-45B9-BCAD-8DA7BD967957}" name="PFD" dataDxfId="300"/>
    <tableColumn id="27" xr3:uid="{5F73EAAC-8866-4064-9E00-A64071B2B436}" name="PTS" dataDxfId="299"/>
    <tableColumn id="28" xr3:uid="{2F4C0FA7-66E8-4ACB-AE34-35AD4E98B38A}" name="PLUS_MINUS" dataDxfId="298"/>
    <tableColumn id="29" xr3:uid="{56171C18-657D-4FCE-9986-EA24F2B6DD30}" name="GP_RANK" dataDxfId="297"/>
    <tableColumn id="30" xr3:uid="{F9EB7BAC-A2FE-47CB-891F-3007BCD0793C}" name="W_RANK" dataDxfId="296"/>
    <tableColumn id="31" xr3:uid="{76BFC0F2-E042-41E9-BEC5-BAA2145E6DA2}" name="L_RANK" dataDxfId="295"/>
    <tableColumn id="32" xr3:uid="{F1A02E4D-7AAC-42CA-A361-12CBB3E4C475}" name="W_PCT_RANK" dataDxfId="294"/>
    <tableColumn id="33" xr3:uid="{77E38B57-2A72-46B6-A209-7178A5CBD766}" name="MIN_RANK" dataDxfId="293"/>
    <tableColumn id="34" xr3:uid="{6984EF1E-9102-4D0B-87EF-F46D29AB2A30}" name="FGM_RANK" dataDxfId="292"/>
    <tableColumn id="35" xr3:uid="{B058D24D-B91E-4146-B2CE-DC117191A751}" name="FGA_RANK" dataDxfId="291"/>
    <tableColumn id="36" xr3:uid="{ED880414-4391-43A4-AAF3-D57CFACC49F7}" name="FG_PCT_RANK" dataDxfId="290"/>
    <tableColumn id="37" xr3:uid="{BAA2E659-D175-43AB-BC9F-C3EDDA9A6C63}" name="FG3M_RANK" dataDxfId="289"/>
    <tableColumn id="38" xr3:uid="{714BF936-78CC-4CC6-BC6A-40E646D72BAD}" name="FG3A_RANK" dataDxfId="288"/>
    <tableColumn id="39" xr3:uid="{554AF986-F117-4665-80ED-2D452011DC40}" name="FG3_PCT_RANK" dataDxfId="287"/>
    <tableColumn id="40" xr3:uid="{06764AF8-F506-4A1C-887D-6A1C52AADB6E}" name="FTM_RANK" dataDxfId="286"/>
    <tableColumn id="41" xr3:uid="{B7BE3E9A-7A41-40FC-BAB1-7D8F9E71C784}" name="FTA_RANK" dataDxfId="285"/>
    <tableColumn id="42" xr3:uid="{5FF15B1D-707C-4EA1-8A13-2C5B7A30A4BF}" name="FT_PCT_RANK" dataDxfId="284"/>
    <tableColumn id="43" xr3:uid="{1D5A219F-442E-475C-84B8-0AC21F9CB393}" name="OREB_RANK" dataDxfId="283"/>
    <tableColumn id="44" xr3:uid="{C8444102-DE58-464F-AB32-B4A97C7CF07E}" name="DREB_RANK" dataDxfId="282"/>
    <tableColumn id="45" xr3:uid="{96260388-0BCD-49C1-909D-1F13DAFFED33}" name="REB_RANK" dataDxfId="281"/>
    <tableColumn id="46" xr3:uid="{3170D919-1D32-438F-ACA9-DE9925594E7F}" name="AST_RANK" dataDxfId="280"/>
    <tableColumn id="47" xr3:uid="{F8E73539-2F83-40B7-A438-E11FA1FA3BC0}" name="TOV_RANK" dataDxfId="279"/>
    <tableColumn id="48" xr3:uid="{8E1765F7-BCE2-4672-AA36-FC8CBBF84C1E}" name="STL_RANK" dataDxfId="278"/>
    <tableColumn id="49" xr3:uid="{CA408A46-773B-4ABA-BA34-1F3DF23A89AA}" name="BLK_RANK" dataDxfId="277"/>
    <tableColumn id="50" xr3:uid="{0569586B-34C6-4ED1-8941-F8B15A646EDF}" name="BLKA_RANK" dataDxfId="276"/>
    <tableColumn id="51" xr3:uid="{DD5DF542-2AAF-459B-8B82-709DB4C69DD1}" name="PF_RANK" dataDxfId="275"/>
    <tableColumn id="52" xr3:uid="{3DC7EEBE-9E7B-439B-9CCA-B50BEFD68576}" name="PFD_RANK" dataDxfId="274"/>
    <tableColumn id="53" xr3:uid="{B8D618BB-F2DF-4AAA-8234-4B6C2849F960}" name="PTS_RANK" dataDxfId="273"/>
    <tableColumn id="54" xr3:uid="{6346BCA4-F694-42E7-B023-B9E2701C0F23}" name="PLUS_MINUS_RANK" dataDxfId="272"/>
    <tableColumn id="55" xr3:uid="{D5A1FF1D-3639-42C4-A324-4B6E3F069FFC}" name="CFID" dataDxfId="271"/>
    <tableColumn id="56" xr3:uid="{2CFE477D-5ED6-42B1-87BF-2BFA540D416B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D7F19E-43AF-4CAD-B0AE-D28952A92CD4}" name="TableClutchOpponentN" displayName="TableClutchOpponentN" ref="A1:BD31" totalsRowShown="0" headerRowDxfId="155">
  <autoFilter ref="A1:BD31" xr:uid="{02D295B1-A41C-4051-BDC2-2A3588A4C53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E877A78-F638-4B85-9736-C4C17FBB7FBA}" name="TEAM_ID" dataDxfId="211"/>
    <tableColumn id="2" xr3:uid="{71D9A948-016D-4E75-9503-DEA596CD9BBB}" name="TEAM_NAME" dataDxfId="210"/>
    <tableColumn id="3" xr3:uid="{2D6F0336-6BF0-4702-A581-EC1397FC1B25}" name="GP" dataDxfId="209"/>
    <tableColumn id="4" xr3:uid="{F19BF0E9-FEFE-4518-846E-5C4ACA68C0C4}" name="W" dataDxfId="208"/>
    <tableColumn id="5" xr3:uid="{6D649E0C-4604-41B2-877E-9CDFCBE676EA}" name="L" dataDxfId="207"/>
    <tableColumn id="6" xr3:uid="{A19003D4-9969-4236-B012-610C0D8CCFA3}" name="W_PCT" dataDxfId="206"/>
    <tableColumn id="7" xr3:uid="{01A26300-5550-4146-AC83-8C68A54824B3}" name="MIN" dataDxfId="205"/>
    <tableColumn id="8" xr3:uid="{AE402FA4-4D97-409C-8A5D-01007AAEB5EA}" name="OPP_FGM" dataDxfId="204"/>
    <tableColumn id="9" xr3:uid="{DBDB5D8D-D089-4D0A-AF66-82F958339D3F}" name="OPP_FGA" dataDxfId="203"/>
    <tableColumn id="10" xr3:uid="{9A50EA56-4F9C-4DB5-BD06-CFA1DF868792}" name="OPP_FG_PCT" dataDxfId="202"/>
    <tableColumn id="11" xr3:uid="{DB96D1A8-321B-4682-ACB8-B784B873A203}" name="OPP_FG3M" dataDxfId="201"/>
    <tableColumn id="12" xr3:uid="{3E173C49-0C95-43EB-BF9E-A5A094B9D61E}" name="OPP_FG3A" dataDxfId="200"/>
    <tableColumn id="13" xr3:uid="{17EB3FDC-EE78-4F39-A680-8D902F3F9CA7}" name="OPP_FG3_PCT" dataDxfId="199"/>
    <tableColumn id="14" xr3:uid="{8E975A72-1E5A-459B-8C72-2D365B389408}" name="OPP_FTM" dataDxfId="198"/>
    <tableColumn id="15" xr3:uid="{832FE7A4-20D7-49E5-9051-4C5A8C30F819}" name="OPP_FTA" dataDxfId="197"/>
    <tableColumn id="16" xr3:uid="{ADA5A7BA-7BCA-4BC1-B31D-62D261133CA8}" name="OPP_FT_PCT" dataDxfId="196"/>
    <tableColumn id="17" xr3:uid="{FE3479F0-7549-48B6-89C8-C85CFFFE6CB5}" name="OPP_OREB" dataDxfId="195"/>
    <tableColumn id="18" xr3:uid="{06AD1959-10A4-4D1B-916F-1BA2A2E3835D}" name="OPP_DREB" dataDxfId="194"/>
    <tableColumn id="19" xr3:uid="{4A99476E-F1B2-4FF7-9BB5-AB3C0FE79D19}" name="OPP_REB" dataDxfId="193"/>
    <tableColumn id="20" xr3:uid="{64D565C1-69A0-4F1E-8712-DE7E95C4FED5}" name="OPP_AST" dataDxfId="192"/>
    <tableColumn id="21" xr3:uid="{94B4E804-763F-4A35-9FF9-998CB35D5749}" name="OPP_TOV" dataDxfId="191"/>
    <tableColumn id="22" xr3:uid="{BC3CEED3-3223-4530-8522-96ABAAD6D2AE}" name="OPP_STL" dataDxfId="190"/>
    <tableColumn id="23" xr3:uid="{9D77A909-B7B4-4721-8A10-3E39D1CE89EB}" name="OPP_BLK" dataDxfId="189"/>
    <tableColumn id="24" xr3:uid="{5C8D0D10-2479-4E6E-B220-CB7D45F780DE}" name="OPP_BLKA" dataDxfId="188"/>
    <tableColumn id="25" xr3:uid="{942AEC4C-5809-4BBA-AD90-8EB6632A605E}" name="OPP_PF" dataDxfId="187"/>
    <tableColumn id="26" xr3:uid="{02A0C5A6-1D43-4F05-B889-F1A9DE7D61D4}" name="OPP_PFD" dataDxfId="186"/>
    <tableColumn id="27" xr3:uid="{C4B66AED-FAF8-4D32-AD22-BBD9E2CC1B87}" name="OPP_PTS" dataDxfId="185"/>
    <tableColumn id="28" xr3:uid="{66922DD6-24AF-4637-B3D8-E64B4240C16F}" name="PLUS_MINUS" dataDxfId="184"/>
    <tableColumn id="29" xr3:uid="{AE92DEE8-B9D5-43ED-BCB0-C396063CE1ED}" name="GP_RANK" dataDxfId="183"/>
    <tableColumn id="30" xr3:uid="{45147817-922F-4A03-9AB6-81E1FCB58473}" name="W_RANK" dataDxfId="182"/>
    <tableColumn id="31" xr3:uid="{4B1A7A16-B79C-4D0B-847E-5A08E67BDA8A}" name="L_RANK" dataDxfId="181"/>
    <tableColumn id="32" xr3:uid="{F1C7CF24-79C8-43B6-AFF8-45343F9F3664}" name="W_PCT_RANK" dataDxfId="180"/>
    <tableColumn id="33" xr3:uid="{8BF539FC-E90E-4071-9B6C-4AD3DCE3FFFF}" name="MIN_RANK" dataDxfId="179"/>
    <tableColumn id="34" xr3:uid="{93B82F39-041B-44CE-A8C6-BE6EBCF3858F}" name="OPP_FGM_RANK" dataDxfId="178"/>
    <tableColumn id="35" xr3:uid="{390A4405-3090-408E-A864-8F90FA1BD8DA}" name="OPP_FGA_RANK" dataDxfId="177"/>
    <tableColumn id="36" xr3:uid="{8533A603-ED8C-4B2D-9BEB-23356EBC1F2A}" name="OPP_FG_PCT_RANK" dataDxfId="176"/>
    <tableColumn id="37" xr3:uid="{5DCE5919-D955-4FB5-A00E-F0B61DD4FD76}" name="OPP_FG3M_RANK" dataDxfId="175"/>
    <tableColumn id="38" xr3:uid="{C60060A8-541B-46BF-ACA1-B76EC687D1F5}" name="OPP_FG3A_RANK" dataDxfId="174"/>
    <tableColumn id="39" xr3:uid="{B4C4790A-5EB2-47BA-8220-F11E29916361}" name="OPP_FG3_PCT_RANK" dataDxfId="173"/>
    <tableColumn id="40" xr3:uid="{EB119CEE-1D43-4C2D-AA16-EC4D955D7FBA}" name="OPP_FTM_RANK" dataDxfId="172"/>
    <tableColumn id="41" xr3:uid="{987CF125-F8F5-43D2-9D27-2D8BFCA7D1B0}" name="OPP_FTA_RANK" dataDxfId="171"/>
    <tableColumn id="42" xr3:uid="{6F162C5A-8A3A-4284-8F46-59479A51E2C5}" name="OPP_FT_PCT_RANK" dataDxfId="170"/>
    <tableColumn id="43" xr3:uid="{B51C166F-A5F7-43BE-99C0-2B36899B22F2}" name="OPP_OREB_RANK" dataDxfId="169"/>
    <tableColumn id="44" xr3:uid="{5E7E17A8-DEFB-4BAD-BF9D-E76D40DF5448}" name="OPP_DREB_RANK" dataDxfId="168"/>
    <tableColumn id="45" xr3:uid="{51A41651-CF42-4FE0-ABAB-B7ED0FBCFCD7}" name="OPP_REB_RANK" dataDxfId="167"/>
    <tableColumn id="46" xr3:uid="{731D9DE7-1BD5-4BD1-89C9-2CBCA6F2A79D}" name="OPP_AST_RANK" dataDxfId="166"/>
    <tableColumn id="47" xr3:uid="{4DA69405-14FE-4C09-ADA4-4504EBB7CD38}" name="OPP_TOV_RANK" dataDxfId="165"/>
    <tableColumn id="48" xr3:uid="{358A6EC0-66F5-413B-8C18-3DA5AC8D0D2F}" name="OPP_STL_RANK" dataDxfId="164"/>
    <tableColumn id="49" xr3:uid="{2C548EFF-C971-4195-9FE0-D62B4D79F1F5}" name="OPP_BLK_RANK" dataDxfId="163"/>
    <tableColumn id="50" xr3:uid="{F15D138E-369C-4F66-ACFC-53319D55A507}" name="OPP_BLKA_RANK" dataDxfId="162"/>
    <tableColumn id="51" xr3:uid="{9395C674-1B22-45D4-9519-34B7800C8EB4}" name="OPP_PF_RANK" dataDxfId="161"/>
    <tableColumn id="52" xr3:uid="{F06AD843-C2E7-43CB-A011-2C360C6310BB}" name="OPP_PFD_RANK" dataDxfId="160"/>
    <tableColumn id="53" xr3:uid="{57764D67-7B63-45D4-9CDF-5CAB769F28D5}" name="OPP_PTS_RANK" dataDxfId="159"/>
    <tableColumn id="54" xr3:uid="{0736AC60-DB69-4CFF-8DCF-7AE3E8892142}" name="PLUS_MINUS_RANK" dataDxfId="158"/>
    <tableColumn id="55" xr3:uid="{BE6334C5-7302-4CFD-BB34-8BE94BA090E8}" name="CFID" dataDxfId="157"/>
    <tableColumn id="56" xr3:uid="{2DAC3659-094A-460F-AD19-9E34F59E1607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D33639A-583E-4E5A-8B43-92CA12331553}" name="TableClutchAdvancedN" displayName="TableClutchAdvancedN" ref="A1:AV31" totalsRowShown="0" headerRowDxfId="49">
  <autoFilter ref="A1:AV31" xr:uid="{9A366720-9B63-4FB6-B45B-93C5C452DC7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6DC5507-E476-4E4F-B779-3C0F9A18BD10}" name="TEAM_ID" dataDxfId="97"/>
    <tableColumn id="2" xr3:uid="{0E8BF4CB-EB90-4615-99DE-212FD1ABB700}" name="TEAM_NAME" dataDxfId="96"/>
    <tableColumn id="3" xr3:uid="{48ACE5FF-D68A-4235-9920-57B26D777A86}" name="GP" dataDxfId="95"/>
    <tableColumn id="4" xr3:uid="{57E599D1-047F-43B0-9543-1696DA23460D}" name="W" dataDxfId="94"/>
    <tableColumn id="5" xr3:uid="{996A332C-2D95-4292-A5C2-F73343B97216}" name="L" dataDxfId="93"/>
    <tableColumn id="6" xr3:uid="{8E0CDB19-8605-43F5-A531-FF16D71A4233}" name="W_PCT" dataDxfId="92"/>
    <tableColumn id="7" xr3:uid="{EEC304CB-4176-41EF-8125-0E326834D505}" name="MIN" dataDxfId="91"/>
    <tableColumn id="8" xr3:uid="{DC2EC50F-45C1-4EA9-B46C-035158A77A54}" name="E_OFF_RATING" dataDxfId="90"/>
    <tableColumn id="9" xr3:uid="{88E661DC-5B13-4113-9911-A757B48604BC}" name="OFF_RATING" dataDxfId="89"/>
    <tableColumn id="10" xr3:uid="{256A68DA-98FB-4BFD-BC89-0ECCBEFF3CB4}" name="E_DEF_RATING" dataDxfId="88"/>
    <tableColumn id="11" xr3:uid="{7556E5D9-B6C1-42C1-8A06-336739ABF728}" name="DEF_RATING" dataDxfId="87"/>
    <tableColumn id="12" xr3:uid="{4C81A2FC-2624-41DE-A72D-2AD2E5454899}" name="E_NET_RATING" dataDxfId="86"/>
    <tableColumn id="13" xr3:uid="{C86BDC7E-AB5E-4688-B3A2-0DED3501CA7E}" name="NET_RATING" dataDxfId="85"/>
    <tableColumn id="14" xr3:uid="{93D5B067-F515-43D0-AFBD-6F4A2F377950}" name="AST_PCT" dataDxfId="84"/>
    <tableColumn id="15" xr3:uid="{E8E90EED-C42E-4080-B1BC-7DFECFD7BDFB}" name="AST_TO" dataDxfId="83"/>
    <tableColumn id="16" xr3:uid="{6853132E-F699-4D84-87BE-BD3DDC1476A8}" name="AST_RATIO" dataDxfId="82"/>
    <tableColumn id="17" xr3:uid="{73B23869-E5DF-4CD8-8681-4D90980C7A8D}" name="OREB_PCT" dataDxfId="81"/>
    <tableColumn id="18" xr3:uid="{DC465D25-9C8A-4ECD-85DF-529E14E1335F}" name="DREB_PCT" dataDxfId="80"/>
    <tableColumn id="19" xr3:uid="{931BB4D3-AA8F-41DF-8AF1-22897EA2C7BD}" name="REB_PCT" dataDxfId="79"/>
    <tableColumn id="20" xr3:uid="{585E7DF0-AFEB-4B79-82B8-50A94D65FF8B}" name="TM_TOV_PCT" dataDxfId="78"/>
    <tableColumn id="21" xr3:uid="{2699C52E-D306-42A3-89F6-F3F6B6B07290}" name="EFG_PCT" dataDxfId="77"/>
    <tableColumn id="22" xr3:uid="{13BB64F6-DE3E-465A-9CBC-22D2EADCAA03}" name="TS_PCT" dataDxfId="76"/>
    <tableColumn id="23" xr3:uid="{F74A8734-F52C-4486-B0FA-29F3F42D2B3E}" name="E_PACE" dataDxfId="75"/>
    <tableColumn id="24" xr3:uid="{06EBDCAC-C7F5-4FB5-AE08-4B02848DF4DB}" name="PACE" dataDxfId="74"/>
    <tableColumn id="25" xr3:uid="{83835F41-197B-4375-929E-7A3E8ED8DF68}" name="PACE_PER40" dataDxfId="73"/>
    <tableColumn id="26" xr3:uid="{1293D213-90B4-42FE-97FB-EBFF33120DF6}" name="POSS" dataDxfId="72"/>
    <tableColumn id="27" xr3:uid="{1A784436-D0C2-435C-8C40-E84D17953E81}" name="PIE" dataDxfId="71"/>
    <tableColumn id="28" xr3:uid="{C47FA78D-C020-49F6-A418-EAEB785CF4D8}" name="GP_RANK" dataDxfId="70"/>
    <tableColumn id="29" xr3:uid="{F3F1503C-A012-435D-AABF-CB92EB91446B}" name="W_RANK" dataDxfId="69"/>
    <tableColumn id="30" xr3:uid="{D1D80788-48FD-4E94-B922-4089DC30FC02}" name="L_RANK" dataDxfId="68"/>
    <tableColumn id="31" xr3:uid="{C2651C3C-7498-4612-A6C2-30D34429CA5A}" name="W_PCT_RANK" dataDxfId="67"/>
    <tableColumn id="32" xr3:uid="{57D82167-5C88-4064-8E82-C096C7E5794D}" name="MIN_RANK" dataDxfId="66"/>
    <tableColumn id="33" xr3:uid="{697B0444-F101-48F5-9C6E-12584C9964FD}" name="OFF_RATING_RANK" dataDxfId="65"/>
    <tableColumn id="34" xr3:uid="{00177545-45AE-49B7-980F-D7D90C4180F7}" name="DEF_RATING_RANK" dataDxfId="64"/>
    <tableColumn id="35" xr3:uid="{0F01961A-A0E1-4303-BFA3-CC0D24B9E1AE}" name="NET_RATING_RANK" dataDxfId="63"/>
    <tableColumn id="36" xr3:uid="{C5806103-9FF0-48DA-9F57-07CFFE0C5073}" name="AST_PCT_RANK" dataDxfId="62"/>
    <tableColumn id="37" xr3:uid="{10D9F621-15E4-4BA9-8272-21057AC5D16B}" name="AST_TO_RANK" dataDxfId="61"/>
    <tableColumn id="38" xr3:uid="{CFEB18F7-2A6A-4300-BCB6-63891139557F}" name="AST_RATIO_RANK" dataDxfId="60"/>
    <tableColumn id="39" xr3:uid="{840FB526-FD0A-46CD-84F9-3BF015125330}" name="OREB_PCT_RANK" dataDxfId="59"/>
    <tableColumn id="40" xr3:uid="{1CD117F3-F517-4CF5-AC24-1548A41F0D2B}" name="DREB_PCT_RANK" dataDxfId="58"/>
    <tableColumn id="41" xr3:uid="{BA10521A-0A35-4A84-83AE-AA23759A8D46}" name="REB_PCT_RANK" dataDxfId="57"/>
    <tableColumn id="42" xr3:uid="{0AA4EEF8-D609-4B15-B017-0E9BD64229E3}" name="TM_TOV_PCT_RANK" dataDxfId="56"/>
    <tableColumn id="43" xr3:uid="{F6C8C7E7-8522-4CB4-A31A-429A7D08E324}" name="EFG_PCT_RANK" dataDxfId="55"/>
    <tableColumn id="44" xr3:uid="{F8CD748C-008B-4967-B3ED-3D0DA4D13848}" name="TS_PCT_RANK" dataDxfId="54"/>
    <tableColumn id="45" xr3:uid="{95B70805-396D-43A5-9FA0-90AAE6AA6F77}" name="PACE_RANK" dataDxfId="53"/>
    <tableColumn id="46" xr3:uid="{D5D21C0B-C200-4A56-A2C3-44C662454CE2}" name="PIE_RANK" dataDxfId="52"/>
    <tableColumn id="47" xr3:uid="{9215099B-F28F-49D3-A787-DCCB9C409F6B}" name="CFID" dataDxfId="51"/>
    <tableColumn id="48" xr3:uid="{428A698D-31D1-4285-9226-D52A1CC1C434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8663D5-7617-41E6-A56D-7A56E20EC6AA}" name="TableStandingsN1" displayName="TableStandingsN1" ref="A1:CC31" totalsRowShown="0" headerRowDxfId="910">
  <autoFilter ref="A1:CC31" xr:uid="{FFF814DD-F9A0-4328-AD39-86BB766420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20CCDD33-7BC3-498E-BBD2-853E4635AFB1}" name="LeagueID" dataDxfId="991"/>
    <tableColumn id="2" xr3:uid="{DEE4D95A-C540-4149-ACB0-ED9E4E3CCE21}" name="SeasonID" dataDxfId="990"/>
    <tableColumn id="3" xr3:uid="{1FCCDF9D-AEC5-410D-B231-35237D51251B}" name="TeamID" dataDxfId="989"/>
    <tableColumn id="4" xr3:uid="{DADB2A7F-C347-4DD1-8C8C-9CE54CC926D7}" name="TeamCity" dataDxfId="988"/>
    <tableColumn id="5" xr3:uid="{CD140296-BAA5-4B36-AB9E-CB6EEA7B8DB8}" name="TeamName" dataDxfId="987"/>
    <tableColumn id="6" xr3:uid="{40E98360-D8E4-4838-B835-2CDBE5D4C58E}" name="Conference" dataDxfId="986"/>
    <tableColumn id="7" xr3:uid="{1BA3A365-40EF-442B-BE52-AEF4C8A6B4F2}" name="ConferenceRecord" dataDxfId="985"/>
    <tableColumn id="8" xr3:uid="{FEA48147-BDFE-4E58-BBED-132DF498182D}" name="PlayoffRank" dataDxfId="984"/>
    <tableColumn id="9" xr3:uid="{D7E722B2-4A24-4B1E-9E19-A233AD57941D}" name="ClinchIndicator" dataDxfId="983"/>
    <tableColumn id="10" xr3:uid="{006F94DD-5CEA-4C8A-9074-44DFE1FE5F85}" name="Division" dataDxfId="982"/>
    <tableColumn id="11" xr3:uid="{970BCDF3-16B5-4237-8BE9-1D4BC173E47A}" name="DivisionRecord" dataDxfId="981"/>
    <tableColumn id="12" xr3:uid="{67A0F998-734B-4211-A0CF-EDC5DF53B962}" name="DivisionRank" dataDxfId="980"/>
    <tableColumn id="13" xr3:uid="{D00B731E-8FDD-4CDF-B585-957AAF9EBA4D}" name="WINS" dataDxfId="979"/>
    <tableColumn id="14" xr3:uid="{323B6A80-DDEB-4B50-A76B-B3B53CB85931}" name="LOSSES" dataDxfId="978"/>
    <tableColumn id="15" xr3:uid="{728E2996-DCCD-4D27-9388-4FA4D4B848BE}" name="WinPCT" dataDxfId="977"/>
    <tableColumn id="16" xr3:uid="{5F7C958E-2AF1-48D0-82E9-760CD80CE0CA}" name="LeagueRank" dataDxfId="976"/>
    <tableColumn id="17" xr3:uid="{731484C0-5261-4CD3-8E4C-45F7C64A59BB}" name="Record" dataDxfId="975"/>
    <tableColumn id="18" xr3:uid="{F4FADC68-9C9B-4E01-BAEA-C8CF731BE455}" name="HOME" dataDxfId="974"/>
    <tableColumn id="19" xr3:uid="{3FCB3FEA-FF45-40D8-B56D-042F869095CD}" name="ROAD" dataDxfId="973"/>
    <tableColumn id="20" xr3:uid="{EB0EC8FC-6A69-422D-B0E8-86D904FC6B95}" name="L10" dataDxfId="972"/>
    <tableColumn id="21" xr3:uid="{816F6CC8-7D84-449F-995F-7A6DE6B49E0D}" name="Last10Home" dataDxfId="971"/>
    <tableColumn id="22" xr3:uid="{E75C2057-DFFF-49A2-8B6D-0364BC0B1B0A}" name="Last10Road" dataDxfId="970"/>
    <tableColumn id="23" xr3:uid="{D01CD5CE-DA9E-4F7F-858C-88B3F8B170EF}" name="OT" dataDxfId="969"/>
    <tableColumn id="24" xr3:uid="{D20EB4A2-E2DB-4D59-8CAB-180162313ADB}" name="ThreePTSOrLess" dataDxfId="968"/>
    <tableColumn id="25" xr3:uid="{3DB0C68D-AF91-4FB5-8111-733D9481EC20}" name="TenPTSOrMore" dataDxfId="967"/>
    <tableColumn id="26" xr3:uid="{57D33895-F8B4-4D04-87C6-1D869401D50D}" name="LongHomeStreak" dataDxfId="966"/>
    <tableColumn id="27" xr3:uid="{91C44D5E-4432-48AF-A7BD-587C86320233}" name="strLongHomeStreak" dataDxfId="965"/>
    <tableColumn id="28" xr3:uid="{3C1B6EBC-AACB-4003-989E-BDFC365D3F85}" name="LongRoadStreak" dataDxfId="964"/>
    <tableColumn id="29" xr3:uid="{532E3C89-77AB-4E67-96B3-C0AE7FA20F36}" name="strLongRoadStreak" dataDxfId="963"/>
    <tableColumn id="30" xr3:uid="{9B79D12E-D5E5-4486-8DAB-374A5A190855}" name="LongWinStreak" dataDxfId="962"/>
    <tableColumn id="31" xr3:uid="{3478D6FE-A48A-4FD6-8E5A-9EC28BFA5BE7}" name="LongLossStreak" dataDxfId="961"/>
    <tableColumn id="32" xr3:uid="{1469EB0C-924B-4057-90A5-0927B6FCA67C}" name="CurrentHomeStreak" dataDxfId="960"/>
    <tableColumn id="33" xr3:uid="{E2F46BCF-3A1B-4EA5-82B4-A2A2871904F8}" name="strCurrentHomeStreak" dataDxfId="959"/>
    <tableColumn id="34" xr3:uid="{636148EF-FB2B-410D-B94F-5116BB999B90}" name="CurrentRoadStreak" dataDxfId="958"/>
    <tableColumn id="35" xr3:uid="{7BC7DE2D-8031-4C94-ABCB-786ECA61FB5D}" name="strCurrentRoadStreak" dataDxfId="957"/>
    <tableColumn id="36" xr3:uid="{246D0540-22BF-4DC3-BFE2-97675F440320}" name="CurrentStreak" dataDxfId="956"/>
    <tableColumn id="37" xr3:uid="{81CB2814-DACA-472C-ABC6-258A55AABE68}" name="strCurrentStreak" dataDxfId="955"/>
    <tableColumn id="38" xr3:uid="{1942A516-4C93-4C1A-9578-2E5B66489CA9}" name="ConferenceGamesBack" dataDxfId="954"/>
    <tableColumn id="39" xr3:uid="{3082CC9A-197F-4327-87F6-4DEC3709BB36}" name="DivisionGamesBack" dataDxfId="953"/>
    <tableColumn id="40" xr3:uid="{39564A12-214C-4FEF-81FA-F60A25D6CB14}" name="ClinchedConferenceTitle" dataDxfId="952"/>
    <tableColumn id="41" xr3:uid="{E0388828-F52A-4EC6-B4F9-0F356D20BF2F}" name="ClinchedDivisionTitle" dataDxfId="951"/>
    <tableColumn id="42" xr3:uid="{7B66EDF1-B483-4F49-BF21-2AF1F7CD6B79}" name="ClinchedPlayoffBirth" dataDxfId="950"/>
    <tableColumn id="43" xr3:uid="{D6CFEB52-5D1F-403E-8A97-BB0EEAF15B06}" name="EliminatedConference" dataDxfId="949"/>
    <tableColumn id="44" xr3:uid="{B6AA9CB5-6168-4C3A-9398-BA62481AB8E0}" name="EliminatedDivision" dataDxfId="948"/>
    <tableColumn id="45" xr3:uid="{0600D640-8780-4B18-B430-F8ADC1DC08F3}" name="AheadAtHalf" dataDxfId="947"/>
    <tableColumn id="46" xr3:uid="{5747A458-DA8D-435E-84F9-C417017972E8}" name="BehindAtHalf" dataDxfId="946"/>
    <tableColumn id="47" xr3:uid="{4794341C-51E6-4C73-852D-D848512B1BB8}" name="TiedAtHalf" dataDxfId="945"/>
    <tableColumn id="48" xr3:uid="{E5AC48DA-9ACE-4111-8E9D-8EF152AA69AB}" name="AheadAtThird" dataDxfId="944"/>
    <tableColumn id="49" xr3:uid="{F1B0EF70-FA08-40B7-8D36-64293ECADB0C}" name="BehindAtThird" dataDxfId="943"/>
    <tableColumn id="50" xr3:uid="{69F2C5C0-8512-40D2-B9AE-FE977D4DDA3D}" name="TiedAtThird" dataDxfId="942"/>
    <tableColumn id="51" xr3:uid="{E170710F-9BA4-4EAB-A572-D9EECD5C43CD}" name="Score100PTS" dataDxfId="941"/>
    <tableColumn id="52" xr3:uid="{D9834890-9538-43BF-AAB6-5311F524DC60}" name="OppScore100PTS" dataDxfId="940"/>
    <tableColumn id="53" xr3:uid="{7DA67558-1107-4B3F-B749-71BCF6619236}" name="OppOver500" dataDxfId="939"/>
    <tableColumn id="54" xr3:uid="{DFA89D17-954B-4460-8965-3AEA5ED0D6B0}" name="LeadInFGPCT" dataDxfId="938"/>
    <tableColumn id="55" xr3:uid="{16D9BB44-5D0D-4F22-AE8F-FF45B411E4F9}" name="LeadInReb" dataDxfId="937"/>
    <tableColumn id="56" xr3:uid="{A58F78A0-9641-4AF5-BB71-20B426F15116}" name="FewerTurnovers" dataDxfId="936"/>
    <tableColumn id="57" xr3:uid="{EEF1D9F8-D84F-42E0-90C8-B5976117B4C4}" name="PointsPG" dataDxfId="935"/>
    <tableColumn id="58" xr3:uid="{772B6787-940D-4179-9451-89A4090EB5FB}" name="OppPointsPG" dataDxfId="934"/>
    <tableColumn id="59" xr3:uid="{A318A80C-E3F3-4517-934F-A52721739CDB}" name="DiffPointsPG" dataDxfId="933"/>
    <tableColumn id="60" xr3:uid="{17DC15F3-A1F0-411C-A87A-3C222042322B}" name="vsEast" dataDxfId="932"/>
    <tableColumn id="61" xr3:uid="{2774B36E-C7D0-413F-8A92-30CA76466BD8}" name="vsAtlantic" dataDxfId="931"/>
    <tableColumn id="62" xr3:uid="{9D822A47-A710-4422-9852-7DBCDA98318C}" name="vsCentral" dataDxfId="930"/>
    <tableColumn id="63" xr3:uid="{2803AA85-9916-4683-9855-6424ACEB7984}" name="vsSoutheast" dataDxfId="929"/>
    <tableColumn id="64" xr3:uid="{F0FFD76D-D5BD-4A6F-A78A-B35E698DBB4E}" name="vsWest" dataDxfId="928"/>
    <tableColumn id="65" xr3:uid="{679EE7E8-3C83-4EEF-A38B-F05B6F4B99CD}" name="vsNorthwest" dataDxfId="927"/>
    <tableColumn id="66" xr3:uid="{08A38BEE-DB59-4D17-9011-4AA3F471CF18}" name="vsPacific" dataDxfId="926"/>
    <tableColumn id="67" xr3:uid="{AC755FFE-1204-42BC-9063-8D0A43023852}" name="vsSouthwest" dataDxfId="925"/>
    <tableColumn id="68" xr3:uid="{976A2DEB-185D-44DC-A47F-3EDC7D6268C1}" name="Jan" dataDxfId="924"/>
    <tableColumn id="69" xr3:uid="{8FDAD753-B0BD-41C0-8296-608BF8E9276E}" name="Feb" dataDxfId="923"/>
    <tableColumn id="70" xr3:uid="{C733495A-21B6-4122-A836-323255BF119A}" name="Mar" dataDxfId="922"/>
    <tableColumn id="71" xr3:uid="{B3D1709C-A5C8-483D-BF1E-A697AB5E6565}" name="Apr" dataDxfId="921"/>
    <tableColumn id="72" xr3:uid="{422AC906-D32B-421E-AFC7-824C6308221F}" name="May" dataDxfId="920"/>
    <tableColumn id="73" xr3:uid="{A09DD44B-E192-4980-A3EA-0838AA1B2D40}" name="Jun" dataDxfId="919"/>
    <tableColumn id="74" xr3:uid="{267F13D3-DE10-4340-9B6F-97245B2FC65D}" name="Jul" dataDxfId="918"/>
    <tableColumn id="75" xr3:uid="{71DA5733-623E-40A3-A441-831392425380}" name="Aug" dataDxfId="917"/>
    <tableColumn id="76" xr3:uid="{54177D75-3488-46C1-96B6-2F484B37CC11}" name="Sep" dataDxfId="916"/>
    <tableColumn id="77" xr3:uid="{3B651DE5-5BA2-45E9-B542-536C74AEEE21}" name="Oct" dataDxfId="915"/>
    <tableColumn id="78" xr3:uid="{19C9C42F-404F-458F-A99C-C9E08E307A4A}" name="Nov" dataDxfId="914"/>
    <tableColumn id="79" xr3:uid="{F5475409-DDB3-4663-9BA9-E86BAABC48B3}" name="Dec" dataDxfId="913"/>
    <tableColumn id="80" xr3:uid="{7AC9FF31-214C-41BA-897A-4F09B8063E8B}" name="PreAS" dataDxfId="912"/>
    <tableColumn id="81" xr3:uid="{C7C14944-F522-4B4E-B63B-95F46CA588A2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6E46CCD-DE3C-49D0-8FB3-633A0C8A695F}" name="TableBaseN1" displayName="TableBaseN1" ref="A1:BD31" totalsRowShown="0" headerRowDxfId="796">
  <autoFilter ref="A1:BD31" xr:uid="{565917F4-E579-4837-8AFE-83CF52F5CDD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C8BDFDE-76AC-4563-B207-069AF9756E85}" name="TEAM_ID" dataDxfId="852"/>
    <tableColumn id="2" xr3:uid="{7A1D96D0-0EA3-429A-8823-A9952DBAD530}" name="TEAM_NAME" dataDxfId="851"/>
    <tableColumn id="3" xr3:uid="{1AAC83A7-642F-4AD9-A0A2-F4622F68DA1D}" name="GP" dataDxfId="850"/>
    <tableColumn id="4" xr3:uid="{5231B248-830D-424C-B431-ED3BF7A4BF59}" name="W" dataDxfId="849"/>
    <tableColumn id="5" xr3:uid="{954B46A3-46AF-4BE0-AB10-42075A09FE5F}" name="L" dataDxfId="848"/>
    <tableColumn id="6" xr3:uid="{5A5A0923-4357-423E-9C8F-72753FEE3A92}" name="W_PCT" dataDxfId="847"/>
    <tableColumn id="7" xr3:uid="{274BB6A0-1913-492C-98CB-DC1A48457BEE}" name="MIN" dataDxfId="846"/>
    <tableColumn id="8" xr3:uid="{E1370044-1F34-4ECE-BBAC-154D3624E4D9}" name="FGM" dataDxfId="845"/>
    <tableColumn id="9" xr3:uid="{D5DE357C-74CE-46BC-B88F-18088FE1A4A7}" name="FGA" dataDxfId="844"/>
    <tableColumn id="10" xr3:uid="{A8E36539-6BD2-449A-9D10-7956BEB2E9A4}" name="FG_PCT" dataDxfId="843"/>
    <tableColumn id="11" xr3:uid="{79C191D8-C19A-48DA-B22C-F2E0E0B137FA}" name="FG3M" dataDxfId="842"/>
    <tableColumn id="12" xr3:uid="{95684742-07B3-4DB1-A781-D2BA990A6A93}" name="FG3A" dataDxfId="841"/>
    <tableColumn id="13" xr3:uid="{11084EC0-434C-4D27-9F19-FA5C54AA8CC5}" name="FG3_PCT" dataDxfId="840"/>
    <tableColumn id="14" xr3:uid="{E60CE91F-9480-4E23-A568-6B7A01B4EBB5}" name="FTM" dataDxfId="839"/>
    <tableColumn id="15" xr3:uid="{5CEE4DD1-F488-4542-8FA4-235CB338343A}" name="FTA" dataDxfId="838"/>
    <tableColumn id="16" xr3:uid="{20390602-2F24-4129-960B-52FD307E4F1B}" name="FT_PCT" dataDxfId="837"/>
    <tableColumn id="17" xr3:uid="{F87683AD-5613-4B94-919F-9919A6B36A29}" name="OREB" dataDxfId="836"/>
    <tableColumn id="18" xr3:uid="{2DF58DCE-2E4D-43F8-9E5A-6B257F5C8543}" name="DREB" dataDxfId="835"/>
    <tableColumn id="19" xr3:uid="{F5BAA815-8FF4-4360-8DE8-F158C36299B7}" name="REB" dataDxfId="834"/>
    <tableColumn id="20" xr3:uid="{3B963DBC-24C1-4967-AFAB-E09A7B2E32B3}" name="AST" dataDxfId="833"/>
    <tableColumn id="21" xr3:uid="{570A5380-2F44-4339-A31A-8AC3ECA0BF84}" name="TOV" dataDxfId="832"/>
    <tableColumn id="22" xr3:uid="{6A8B348A-903F-42F5-9A8E-8CCA5A04B170}" name="STL" dataDxfId="831"/>
    <tableColumn id="23" xr3:uid="{CAC54777-5C25-4DDA-B78A-1D3B8F49BA9C}" name="BLK" dataDxfId="830"/>
    <tableColumn id="24" xr3:uid="{F87615F1-BC00-4C68-B188-A4DB3BDE2729}" name="BLKA" dataDxfId="829"/>
    <tableColumn id="25" xr3:uid="{09854430-DD09-4380-93B3-BF1EB81D9552}" name="PF" dataDxfId="828"/>
    <tableColumn id="26" xr3:uid="{60CAC9D9-D3BA-47C7-B1B9-46EE4DC841B7}" name="PFD" dataDxfId="827"/>
    <tableColumn id="27" xr3:uid="{C1703FF2-FAF3-466E-B0BD-D583766D29EA}" name="PTS" dataDxfId="826"/>
    <tableColumn id="28" xr3:uid="{AC035853-FCEF-4686-96A9-D2C30D48EE9D}" name="PLUS_MINUS" dataDxfId="825"/>
    <tableColumn id="29" xr3:uid="{3609E9DF-7CEE-4B97-89EA-BCD0470B4825}" name="GP_RANK" dataDxfId="824"/>
    <tableColumn id="30" xr3:uid="{803136E8-636A-4FC0-AE1D-EBE9F18FBE80}" name="W_RANK" dataDxfId="823"/>
    <tableColumn id="31" xr3:uid="{D49DCAEC-AAB0-4F3D-9792-37F0C2B1B51F}" name="L_RANK" dataDxfId="822"/>
    <tableColumn id="32" xr3:uid="{858C3406-449E-48C2-B50B-72953A128F6E}" name="W_PCT_RANK" dataDxfId="821"/>
    <tableColumn id="33" xr3:uid="{7E7781BA-E7CB-47BC-9F81-00DC227C4ED3}" name="MIN_RANK" dataDxfId="820"/>
    <tableColumn id="34" xr3:uid="{2E02CF00-D0AB-4E80-9B28-BAD4588345AA}" name="FGM_RANK" dataDxfId="819"/>
    <tableColumn id="35" xr3:uid="{7ACA3119-9E7E-48BB-B0BA-48358FF267E7}" name="FGA_RANK" dataDxfId="818"/>
    <tableColumn id="36" xr3:uid="{A88FF291-7823-46ED-848B-B9E8B46D0ABC}" name="FG_PCT_RANK" dataDxfId="817"/>
    <tableColumn id="37" xr3:uid="{EA0DFB51-6A5B-4CD6-900A-052AB2BE9DDF}" name="FG3M_RANK" dataDxfId="816"/>
    <tableColumn id="38" xr3:uid="{3EEF9FC1-F3CF-4394-87DD-F339F262AD68}" name="FG3A_RANK" dataDxfId="815"/>
    <tableColumn id="39" xr3:uid="{4C817302-98F0-4D78-915D-D04D0A916596}" name="FG3_PCT_RANK" dataDxfId="814"/>
    <tableColumn id="40" xr3:uid="{3CD47822-BB2A-4024-A520-ADC97DAAA07A}" name="FTM_RANK" dataDxfId="813"/>
    <tableColumn id="41" xr3:uid="{BB1E99FA-B49B-42E9-B8FF-653F69CFD046}" name="FTA_RANK" dataDxfId="812"/>
    <tableColumn id="42" xr3:uid="{B83410F1-D61B-4023-828B-95B45EDA7880}" name="FT_PCT_RANK" dataDxfId="811"/>
    <tableColumn id="43" xr3:uid="{3188768D-0FA4-461F-967B-10A3365ADB3D}" name="OREB_RANK" dataDxfId="810"/>
    <tableColumn id="44" xr3:uid="{222849A8-9B07-468D-B2E6-D6CC414499D5}" name="DREB_RANK" dataDxfId="809"/>
    <tableColumn id="45" xr3:uid="{4269F0AB-07CA-47D6-9E0B-3BC36A11BBEC}" name="REB_RANK" dataDxfId="808"/>
    <tableColumn id="46" xr3:uid="{E77668FE-A5AD-4E6F-809A-056DBFF5772D}" name="AST_RANK" dataDxfId="807"/>
    <tableColumn id="47" xr3:uid="{DDB6DCA2-41A2-4795-A8BE-7C882DD93937}" name="TOV_RANK" dataDxfId="806"/>
    <tableColumn id="48" xr3:uid="{A432F2D2-A588-47CB-B0E0-A41519A2B86E}" name="STL_RANK" dataDxfId="805"/>
    <tableColumn id="49" xr3:uid="{74CB70AB-D9AC-4113-A85F-E372AEEBDDC2}" name="BLK_RANK" dataDxfId="804"/>
    <tableColumn id="50" xr3:uid="{A746A62A-0B30-46B1-B183-4392A6D78E0F}" name="BLKA_RANK" dataDxfId="803"/>
    <tableColumn id="51" xr3:uid="{6074E5CD-52D6-495C-8E39-9DAA1800848C}" name="PF_RANK" dataDxfId="802"/>
    <tableColumn id="52" xr3:uid="{9B54101C-9DE0-422A-9A0B-811FF0E9CA16}" name="PFD_RANK" dataDxfId="801"/>
    <tableColumn id="53" xr3:uid="{3776789D-DFFE-4DAC-9CA4-2CF0B2246F88}" name="PTS_RANK" dataDxfId="800"/>
    <tableColumn id="54" xr3:uid="{392363D9-617C-479A-A440-C6A59A5A886A}" name="PLUS_MINUS_RANK" dataDxfId="799"/>
    <tableColumn id="55" xr3:uid="{A7839105-D59B-49B9-83FD-ACF6A85682FC}" name="CFID" dataDxfId="798"/>
    <tableColumn id="56" xr3:uid="{585A503A-A22A-46E9-B922-CA4882788A4E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C916A6F-9684-4719-9D3A-0166E250BE7E}" name="TableAdvancedN1" displayName="TableAdvancedN1" ref="A1:AV31" totalsRowShown="0" headerRowDxfId="698">
  <autoFilter ref="A1:AV31" xr:uid="{99E3FBDF-A06B-49D0-92E3-37F370CFC1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13F46A0-5EA1-4DCB-A4A9-FA6C57476AAF}" name="TEAM_ID" dataDxfId="746"/>
    <tableColumn id="2" xr3:uid="{B1F6F47B-3D4A-4195-A538-0A42E9E05742}" name="TEAM_NAME" dataDxfId="745"/>
    <tableColumn id="3" xr3:uid="{F3AC63AA-2C9B-4584-AD2B-63516B60C335}" name="GP" dataDxfId="744"/>
    <tableColumn id="4" xr3:uid="{2DB94CDA-9713-4134-A998-52B039AEB98F}" name="W" dataDxfId="743"/>
    <tableColumn id="5" xr3:uid="{CF314356-F497-4332-92C4-EC1366A1CBDE}" name="L" dataDxfId="742"/>
    <tableColumn id="6" xr3:uid="{EAF70027-6A67-47C7-B257-0F467A8A6788}" name="W_PCT" dataDxfId="741"/>
    <tableColumn id="7" xr3:uid="{00B29B6C-C5CE-4995-A8D6-9F6105A5ECE5}" name="MIN" dataDxfId="740"/>
    <tableColumn id="8" xr3:uid="{7FE92466-95EE-42D7-AB80-6377781AEB68}" name="E_OFF_RATING" dataDxfId="739"/>
    <tableColumn id="9" xr3:uid="{4D974F1C-63A9-4D12-BEEA-CE6D1E87BEB7}" name="OFF_RATING" dataDxfId="738"/>
    <tableColumn id="10" xr3:uid="{F2F0CC4D-DDC3-46B0-8C65-A9D9A98C59D7}" name="E_DEF_RATING" dataDxfId="737"/>
    <tableColumn id="11" xr3:uid="{14D422A2-30C9-483B-9822-A105D75392E1}" name="DEF_RATING" dataDxfId="736"/>
    <tableColumn id="12" xr3:uid="{D67D167E-3914-486F-A26C-F57190569D2D}" name="E_NET_RATING" dataDxfId="735"/>
    <tableColumn id="13" xr3:uid="{13E56903-B2E0-47AC-B2AB-AAAF1E18939A}" name="NET_RATING" dataDxfId="734"/>
    <tableColumn id="14" xr3:uid="{0B8ABDC6-52E4-4AC6-9810-DBF56479356F}" name="AST_PCT" dataDxfId="733"/>
    <tableColumn id="15" xr3:uid="{DD9BC0D2-BD75-453C-BFA1-0A20C4D9A0FD}" name="AST_TO" dataDxfId="732"/>
    <tableColumn id="16" xr3:uid="{C2A9FE64-931C-4671-88DF-FAEF4B50777F}" name="AST_RATIO" dataDxfId="731"/>
    <tableColumn id="17" xr3:uid="{927507ED-A2F7-4877-B5E0-D193C47A9A94}" name="OREB_PCT" dataDxfId="730"/>
    <tableColumn id="18" xr3:uid="{96E1201E-80FB-4F38-B14C-48F3972BA305}" name="DREB_PCT" dataDxfId="729"/>
    <tableColumn id="19" xr3:uid="{3A0DBDB0-A82D-4D3D-8202-2C0EA04B30D3}" name="REB_PCT" dataDxfId="728"/>
    <tableColumn id="20" xr3:uid="{2323CDA4-338D-4546-8099-801A194E291E}" name="TM_TOV_PCT" dataDxfId="727"/>
    <tableColumn id="21" xr3:uid="{B4CD0C0E-8F7E-45A4-A601-8FF43E5E12F5}" name="EFG_PCT" dataDxfId="726"/>
    <tableColumn id="22" xr3:uid="{C69B7C11-B3E3-4DE9-A502-D91D89598FD7}" name="TS_PCT" dataDxfId="725"/>
    <tableColumn id="23" xr3:uid="{EE25BA37-F7AA-4B54-8702-F57200F65BC1}" name="E_PACE" dataDxfId="724"/>
    <tableColumn id="24" xr3:uid="{EFC8965A-F894-46D0-9B4A-6BBE99F1A3C5}" name="PACE" dataDxfId="723"/>
    <tableColumn id="25" xr3:uid="{0F29BBDE-6FCE-4BFD-8777-6362D3D8B345}" name="PACE_PER40" dataDxfId="722"/>
    <tableColumn id="26" xr3:uid="{FD113FCC-EC7E-4D97-A98E-F7DF991BD960}" name="POSS" dataDxfId="721"/>
    <tableColumn id="27" xr3:uid="{A3E12809-1016-4A89-A811-A4EBD38C33B8}" name="PIE" dataDxfId="720"/>
    <tableColumn id="28" xr3:uid="{FCB660C4-1E24-4BCB-94BC-ACF87D911238}" name="GP_RANK" dataDxfId="719"/>
    <tableColumn id="29" xr3:uid="{B321D2FA-6152-474E-9D12-6A57A7CFD043}" name="W_RANK" dataDxfId="718"/>
    <tableColumn id="30" xr3:uid="{50E85E14-96FC-4583-AC14-56C0F118A2DD}" name="L_RANK" dataDxfId="717"/>
    <tableColumn id="31" xr3:uid="{6B00ECEA-D14B-4D51-A6A2-FFF8209252F5}" name="W_PCT_RANK" dataDxfId="716"/>
    <tableColumn id="32" xr3:uid="{6B9A2407-E880-4733-8A5F-8EFAB22D7EB2}" name="MIN_RANK" dataDxfId="715"/>
    <tableColumn id="33" xr3:uid="{78389F26-4F4C-4D3B-8D21-DF899294258A}" name="OFF_RATING_RANK" dataDxfId="714"/>
    <tableColumn id="34" xr3:uid="{6C9BC2B5-CAA9-4BBF-9382-0348C209C627}" name="DEF_RATING_RANK" dataDxfId="713"/>
    <tableColumn id="35" xr3:uid="{9298B631-4DC8-47F5-88B2-1147176159EF}" name="NET_RATING_RANK" dataDxfId="712"/>
    <tableColumn id="36" xr3:uid="{2CCD7D1C-D8F8-4EBF-A696-80B534F0A85C}" name="AST_PCT_RANK" dataDxfId="711"/>
    <tableColumn id="37" xr3:uid="{81BC3C31-1E1A-44B7-A25E-F3551C505A4C}" name="AST_TO_RANK" dataDxfId="710"/>
    <tableColumn id="38" xr3:uid="{36D026EC-051F-4C07-845D-2F72892E3B61}" name="AST_RATIO_RANK" dataDxfId="709"/>
    <tableColumn id="39" xr3:uid="{898FAFE1-69AA-4F96-B95D-94A56688413F}" name="OREB_PCT_RANK" dataDxfId="708"/>
    <tableColumn id="40" xr3:uid="{6963FDD0-AB60-48B8-83F6-DA1406A13F2F}" name="DREB_PCT_RANK" dataDxfId="707"/>
    <tableColumn id="41" xr3:uid="{8F7F8CF4-5AC1-449A-B3F2-D2E1A95B7C09}" name="REB_PCT_RANK" dataDxfId="706"/>
    <tableColumn id="42" xr3:uid="{C7EC2EA2-C56E-448E-9DB5-372BE981F9E4}" name="TM_TOV_PCT_RANK" dataDxfId="705"/>
    <tableColumn id="43" xr3:uid="{4EF94E61-8CCB-44A5-A04C-28BF5F08C730}" name="EFG_PCT_RANK" dataDxfId="704"/>
    <tableColumn id="44" xr3:uid="{1EF4343D-6311-4646-BBBD-64E79E640B8A}" name="TS_PCT_RANK" dataDxfId="703"/>
    <tableColumn id="45" xr3:uid="{BFAA978F-E909-4104-A099-B90F2CBB591C}" name="PACE_RANK" dataDxfId="702"/>
    <tableColumn id="46" xr3:uid="{685BC43C-66CF-4EDA-825D-8ACFF90997F1}" name="PIE_RANK" dataDxfId="701"/>
    <tableColumn id="47" xr3:uid="{E1446FE5-AF4E-4776-BE55-6FB2D3F85590}" name="CFID" dataDxfId="700"/>
    <tableColumn id="48" xr3:uid="{65F7FFE9-C0B9-42DD-A87F-9DEC83200114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B4BECA9-6274-4E2E-AF87-D862D3B8FBE3}" name="TableAdvancedN1Starters" displayName="TableAdvancedN1Starters" ref="A1:AV31" totalsRowShown="0" headerRowDxfId="600">
  <autoFilter ref="A1:AV31" xr:uid="{914DE041-BD84-4398-804D-09F519928F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F6F2D5A-D9DA-41E4-AAD3-8B6479A04660}" name="TEAM_ID" dataDxfId="648"/>
    <tableColumn id="2" xr3:uid="{C81596CB-293F-45E8-9687-0BF980DB965E}" name="TEAM_NAME" dataDxfId="647"/>
    <tableColumn id="3" xr3:uid="{08D2B1FD-400E-4A82-9524-8F838E6E6578}" name="GP" dataDxfId="646"/>
    <tableColumn id="4" xr3:uid="{393DF05F-24B0-4838-B36D-2C23662C009E}" name="W" dataDxfId="645"/>
    <tableColumn id="5" xr3:uid="{BC7EB72C-93D9-4EAE-A88D-6E7F09A2020C}" name="L" dataDxfId="644"/>
    <tableColumn id="6" xr3:uid="{5324A561-4531-4969-BCE0-F9C2AE929905}" name="W_PCT" dataDxfId="643"/>
    <tableColumn id="7" xr3:uid="{9ACD0A19-D350-4400-971B-BF49207A7873}" name="MIN" dataDxfId="642"/>
    <tableColumn id="8" xr3:uid="{427C3386-1322-48C4-A8E8-3F7C61486C8F}" name="E_OFF_RATING" dataDxfId="641"/>
    <tableColumn id="9" xr3:uid="{9061BCDF-9EB5-4BAB-9348-4DE7ED22A65B}" name="OFF_RATING" dataDxfId="640"/>
    <tableColumn id="10" xr3:uid="{2294B952-E9A8-4BBE-A749-28CA6AE59F81}" name="E_DEF_RATING" dataDxfId="639"/>
    <tableColumn id="11" xr3:uid="{E39307A8-3F77-444E-B701-B0559150B768}" name="DEF_RATING" dataDxfId="638"/>
    <tableColumn id="12" xr3:uid="{7101A0E1-7AA6-4841-81D5-16BC88CC11C6}" name="E_NET_RATING" dataDxfId="637"/>
    <tableColumn id="13" xr3:uid="{F17418D9-7261-493D-891C-A3B0FEE73187}" name="NET_RATING" dataDxfId="636"/>
    <tableColumn id="14" xr3:uid="{19D7404D-2FD9-4167-9CE6-A10690614A44}" name="AST_PCT" dataDxfId="635"/>
    <tableColumn id="15" xr3:uid="{9BFFB12F-2EDC-46DF-81CF-BBD7C9569E12}" name="AST_TO" dataDxfId="634"/>
    <tableColumn id="16" xr3:uid="{2568CD90-9679-4CB9-9168-FE82857A34CF}" name="AST_RATIO" dataDxfId="633"/>
    <tableColumn id="17" xr3:uid="{97E81FFE-1583-4B25-B248-748EC11B644D}" name="OREB_PCT" dataDxfId="632"/>
    <tableColumn id="18" xr3:uid="{1FD3E545-422B-477F-AC53-AB8D79DCDF50}" name="DREB_PCT" dataDxfId="631"/>
    <tableColumn id="19" xr3:uid="{F8A83424-52BE-46BC-8DDE-878C6C437E2E}" name="REB_PCT" dataDxfId="630"/>
    <tableColumn id="20" xr3:uid="{150AED40-8FC4-4596-94D4-79D7B282027B}" name="TM_TOV_PCT" dataDxfId="629"/>
    <tableColumn id="21" xr3:uid="{8EE924E1-FCD7-49D6-8561-162ED3DA1E85}" name="EFG_PCT" dataDxfId="628"/>
    <tableColumn id="22" xr3:uid="{A25A4349-9902-4C22-8949-7037DA787BA2}" name="TS_PCT" dataDxfId="627"/>
    <tableColumn id="23" xr3:uid="{1EF2FC11-CFA2-40FB-B7CD-B9AFB6E9F44A}" name="E_PACE" dataDxfId="626"/>
    <tableColumn id="24" xr3:uid="{457BACC1-86B1-410E-93CC-AF0DDD881AA7}" name="PACE" dataDxfId="625"/>
    <tableColumn id="25" xr3:uid="{75E3C6C6-9606-408F-B432-E8DCAA173323}" name="PACE_PER40" dataDxfId="624"/>
    <tableColumn id="26" xr3:uid="{0807D107-AC69-4EDA-9EAF-20AAB1513FDA}" name="POSS" dataDxfId="623"/>
    <tableColumn id="27" xr3:uid="{BAD5F3DC-A35F-4393-87BD-527608EF16B9}" name="PIE" dataDxfId="622"/>
    <tableColumn id="28" xr3:uid="{12A5FD7F-8F52-4291-A36A-DC64ADD02090}" name="GP_RANK" dataDxfId="621"/>
    <tableColumn id="29" xr3:uid="{6C53F1BB-800E-4DAC-878B-E3DEDFABE269}" name="W_RANK" dataDxfId="620"/>
    <tableColumn id="30" xr3:uid="{3C2EE23C-EECB-46CA-BBA5-72B5D4895B4C}" name="L_RANK" dataDxfId="619"/>
    <tableColumn id="31" xr3:uid="{79BFA89F-5E5E-4B74-9FF9-AFFF89FF3914}" name="W_PCT_RANK" dataDxfId="618"/>
    <tableColumn id="32" xr3:uid="{A2496B5E-62A3-40A9-8D00-7116346E791B}" name="MIN_RANK" dataDxfId="617"/>
    <tableColumn id="33" xr3:uid="{3C8ED802-E981-4490-BFC3-2028911691E6}" name="OFF_RATING_RANK" dataDxfId="616"/>
    <tableColumn id="34" xr3:uid="{F4678D90-A07B-4EC9-B09C-73490E4DB80E}" name="DEF_RATING_RANK" dataDxfId="615"/>
    <tableColumn id="35" xr3:uid="{7880F2D2-5F28-4E97-B871-C22AD241393F}" name="NET_RATING_RANK" dataDxfId="614"/>
    <tableColumn id="36" xr3:uid="{EFD82711-8606-44F6-B2EB-0581EEF7B3D9}" name="AST_PCT_RANK" dataDxfId="613"/>
    <tableColumn id="37" xr3:uid="{B6C3CA13-31A1-46EC-A047-FC9A47C2E878}" name="AST_TO_RANK" dataDxfId="612"/>
    <tableColumn id="38" xr3:uid="{E9E6891B-8AF3-4D3F-B1E9-68463E3301BC}" name="AST_RATIO_RANK" dataDxfId="611"/>
    <tableColumn id="39" xr3:uid="{5DE446FF-E180-43B0-876F-58DF72B43ABB}" name="OREB_PCT_RANK" dataDxfId="610"/>
    <tableColumn id="40" xr3:uid="{5581C932-42EA-4533-8084-E31771EC534F}" name="DREB_PCT_RANK" dataDxfId="609"/>
    <tableColumn id="41" xr3:uid="{A224B09B-28D1-477B-A513-FD4B55F69F84}" name="REB_PCT_RANK" dataDxfId="608"/>
    <tableColumn id="42" xr3:uid="{76BBDDB5-19FF-4FFD-8D59-AAB27334E332}" name="TM_TOV_PCT_RANK" dataDxfId="607"/>
    <tableColumn id="43" xr3:uid="{538DF45F-5098-4DBA-9CF0-D5899F337C24}" name="EFG_PCT_RANK" dataDxfId="606"/>
    <tableColumn id="44" xr3:uid="{499B8C01-FFC0-4F9E-83F9-CE81BBA5A179}" name="TS_PCT_RANK" dataDxfId="605"/>
    <tableColumn id="45" xr3:uid="{289B1E10-B8C0-4DA1-B018-C874EF6FA964}" name="PACE_RANK" dataDxfId="604"/>
    <tableColumn id="46" xr3:uid="{AE5E19DD-B7D3-4C93-B143-691FDF2D6E67}" name="PIE_RANK" dataDxfId="603"/>
    <tableColumn id="47" xr3:uid="{2B0B7E2B-F071-4C69-85BA-7E52134AD2C4}" name="CFID" dataDxfId="602"/>
    <tableColumn id="48" xr3:uid="{E58DC9C0-EB49-4882-AD0E-CCE6DAAA9CD5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596333-90E0-48F8-8779-B8F14A61E3E8}" name="TableAdvancedN1Bench" displayName="TableAdvancedN1Bench" ref="A1:AV31" totalsRowShown="0" headerRowDxfId="502">
  <autoFilter ref="A1:AV31" xr:uid="{891F0065-C9B2-4193-99C3-11623A6DA4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DC552B7-0C11-49DE-A410-D52C1B5A4560}" name="TEAM_ID" dataDxfId="550"/>
    <tableColumn id="2" xr3:uid="{13559E46-78C7-4BE4-A641-2206061EE624}" name="TEAM_NAME" dataDxfId="549"/>
    <tableColumn id="3" xr3:uid="{50E48F0A-B5D8-4FC5-88E7-4412601A003A}" name="GP" dataDxfId="548"/>
    <tableColumn id="4" xr3:uid="{FFD80004-FE26-4C79-B655-1A355AA87ADE}" name="W" dataDxfId="547"/>
    <tableColumn id="5" xr3:uid="{022D725E-279F-4E33-A2F5-0F6CA7F7C013}" name="L" dataDxfId="546"/>
    <tableColumn id="6" xr3:uid="{248266F6-9CB4-4B35-ACEC-717DBCB7967F}" name="W_PCT" dataDxfId="545"/>
    <tableColumn id="7" xr3:uid="{B6F6E1E9-0E73-4E5D-97B9-55596C9359B0}" name="MIN" dataDxfId="544"/>
    <tableColumn id="8" xr3:uid="{304A2B9E-C8C5-4368-96DF-43B5090FECE8}" name="E_OFF_RATING" dataDxfId="543"/>
    <tableColumn id="9" xr3:uid="{6526768C-FFB0-4AED-96A8-1CCBD1BE4534}" name="OFF_RATING" dataDxfId="542"/>
    <tableColumn id="10" xr3:uid="{BD191686-8621-4B37-9FCC-CAB5D973A0BE}" name="E_DEF_RATING" dataDxfId="541"/>
    <tableColumn id="11" xr3:uid="{BC2F8584-D987-4CBD-8AA6-ED0618517C2E}" name="DEF_RATING" dataDxfId="540"/>
    <tableColumn id="12" xr3:uid="{EB82ABC9-4C31-48DC-B11E-8A1DE4476510}" name="E_NET_RATING" dataDxfId="539"/>
    <tableColumn id="13" xr3:uid="{9B29629A-3F12-4764-B72D-B1D5386D8DCE}" name="NET_RATING" dataDxfId="538"/>
    <tableColumn id="14" xr3:uid="{7A3DE85A-7D76-4325-8A7A-F095C1A813BF}" name="AST_PCT" dataDxfId="537"/>
    <tableColumn id="15" xr3:uid="{8350BE4A-35BC-42C3-942E-DEB397453FC1}" name="AST_TO" dataDxfId="536"/>
    <tableColumn id="16" xr3:uid="{5F5B751C-07FE-4684-AD08-45988E5CF99A}" name="AST_RATIO" dataDxfId="535"/>
    <tableColumn id="17" xr3:uid="{590775A7-CFD0-4722-85F5-4CC85A2054C8}" name="OREB_PCT" dataDxfId="534"/>
    <tableColumn id="18" xr3:uid="{9058FDFC-645D-4730-A68E-AE54BE5C64C3}" name="DREB_PCT" dataDxfId="533"/>
    <tableColumn id="19" xr3:uid="{416A5683-5D43-4E85-8C69-10D8CF9FDDE2}" name="REB_PCT" dataDxfId="532"/>
    <tableColumn id="20" xr3:uid="{04262AFE-596A-463C-8A2E-3CE446FD3014}" name="TM_TOV_PCT" dataDxfId="531"/>
    <tableColumn id="21" xr3:uid="{D57D61CA-247F-4CEC-A146-F05D8055E915}" name="EFG_PCT" dataDxfId="530"/>
    <tableColumn id="22" xr3:uid="{3E5C8717-5771-4960-8D6E-03CC8F03EB33}" name="TS_PCT" dataDxfId="529"/>
    <tableColumn id="23" xr3:uid="{7D94063B-C328-4EE1-B184-FED2F638A686}" name="E_PACE" dataDxfId="528"/>
    <tableColumn id="24" xr3:uid="{E9D3CB0F-D99A-46B9-8EDF-2CF6C2234503}" name="PACE" dataDxfId="527"/>
    <tableColumn id="25" xr3:uid="{373015A2-019D-48D7-8233-027A4ADBEF4B}" name="PACE_PER40" dataDxfId="526"/>
    <tableColumn id="26" xr3:uid="{1423B588-B13D-4692-864D-317830A76DC3}" name="POSS" dataDxfId="525"/>
    <tableColumn id="27" xr3:uid="{D340C03D-CB3A-4D2F-A87B-53506A327BAC}" name="PIE" dataDxfId="524"/>
    <tableColumn id="28" xr3:uid="{2F83CDAA-473F-4D39-B4B0-EF6DA098C596}" name="GP_RANK" dataDxfId="523"/>
    <tableColumn id="29" xr3:uid="{94CF34C7-5E45-431D-A3EB-BEB23676073B}" name="W_RANK" dataDxfId="522"/>
    <tableColumn id="30" xr3:uid="{9DEF83A0-6AB3-4669-9059-BF90C6BC690A}" name="L_RANK" dataDxfId="521"/>
    <tableColumn id="31" xr3:uid="{F0AE46E5-CB45-4C00-8E11-C06D9B182F52}" name="W_PCT_RANK" dataDxfId="520"/>
    <tableColumn id="32" xr3:uid="{9E9AD35C-D6CB-44B1-81EF-E2E002CA5267}" name="MIN_RANK" dataDxfId="519"/>
    <tableColumn id="33" xr3:uid="{10283D65-761D-40B8-A6A0-BAC5CDD2D77F}" name="OFF_RATING_RANK" dataDxfId="518"/>
    <tableColumn id="34" xr3:uid="{832DC824-3024-4B60-A7A4-E4D5CBC0ED37}" name="DEF_RATING_RANK" dataDxfId="517"/>
    <tableColumn id="35" xr3:uid="{6B9F3D73-CEBF-4E74-B1F8-E8B44F24BE2D}" name="NET_RATING_RANK" dataDxfId="516"/>
    <tableColumn id="36" xr3:uid="{84F9911F-7A56-4918-8A10-2834D5F924FB}" name="AST_PCT_RANK" dataDxfId="515"/>
    <tableColumn id="37" xr3:uid="{CEC74C7D-F8BF-465B-BB49-33C17039ACA0}" name="AST_TO_RANK" dataDxfId="514"/>
    <tableColumn id="38" xr3:uid="{CF331907-89B1-4BEC-83DA-5370DF00EDCB}" name="AST_RATIO_RANK" dataDxfId="513"/>
    <tableColumn id="39" xr3:uid="{01FA616C-1553-45CA-AC88-9DA98179531F}" name="OREB_PCT_RANK" dataDxfId="512"/>
    <tableColumn id="40" xr3:uid="{2372C069-D883-4E06-B11F-E5668F04252A}" name="DREB_PCT_RANK" dataDxfId="511"/>
    <tableColumn id="41" xr3:uid="{9AD17993-5077-43B4-AB90-915B4EAF1ED2}" name="REB_PCT_RANK" dataDxfId="510"/>
    <tableColumn id="42" xr3:uid="{299858EB-026B-411F-AC2B-CFE2311BED64}" name="TM_TOV_PCT_RANK" dataDxfId="509"/>
    <tableColumn id="43" xr3:uid="{335EC885-F6A5-4266-99CD-CBA8269B6F7D}" name="EFG_PCT_RANK" dataDxfId="508"/>
    <tableColumn id="44" xr3:uid="{40420746-5B96-42F7-A4A9-9F0ACB318AAD}" name="TS_PCT_RANK" dataDxfId="507"/>
    <tableColumn id="45" xr3:uid="{C229A1BE-DCA6-42C4-8C6E-D18F106B5437}" name="PACE_RANK" dataDxfId="506"/>
    <tableColumn id="46" xr3:uid="{44C4347C-0C65-46EC-A491-F7FBC0DEFF89}" name="PIE_RANK" dataDxfId="505"/>
    <tableColumn id="47" xr3:uid="{8355E036-DBA6-4A93-B443-D8E3FD15E819}" name="CFID" dataDxfId="504"/>
    <tableColumn id="48" xr3:uid="{2F3F2CB1-F4AD-4EC1-98AC-431D73175FD6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FC1D9C7-7057-4489-8D82-6CA58C65C725}" name="TableMiscN1" displayName="TableMiscN1" ref="A1:AD31" totalsRowShown="0" headerRowDxfId="440">
  <autoFilter ref="A1:AD31" xr:uid="{3B3A4CFB-1C6F-460F-B4DD-C6510C09DC8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C80E4B83-BC85-4A0C-878E-756EE19F6188}" name="TEAM_ID" dataDxfId="470"/>
    <tableColumn id="2" xr3:uid="{49028956-7470-44D8-B97C-9C91F5528ED5}" name="TEAM_NAME" dataDxfId="469"/>
    <tableColumn id="3" xr3:uid="{55A876C0-4765-4878-8C13-48B9AF9EBFA5}" name="GP" dataDxfId="468"/>
    <tableColumn id="4" xr3:uid="{7251CBCE-FC9A-46D0-82BA-F11ACEB0BBC8}" name="W" dataDxfId="467"/>
    <tableColumn id="5" xr3:uid="{0D759213-193C-42D9-BA5E-424551FBEA85}" name="L" dataDxfId="466"/>
    <tableColumn id="6" xr3:uid="{DE597D99-7E55-46C0-BF2A-F41081443817}" name="W_PCT" dataDxfId="465"/>
    <tableColumn id="7" xr3:uid="{5901E5E5-AB57-401D-A2BF-9AF8E313C1E1}" name="MIN" dataDxfId="464"/>
    <tableColumn id="8" xr3:uid="{3C53BEA0-0192-42DC-A270-836E00AC37C8}" name="PTS_OFF_TOV" dataDxfId="463"/>
    <tableColumn id="9" xr3:uid="{7DB98BDE-6FFB-4163-842F-2B3738ED21C1}" name="PTS_2ND_CHANCE" dataDxfId="462"/>
    <tableColumn id="10" xr3:uid="{E50DC715-DE06-4DC7-A0FE-62B1E68E22DD}" name="PTS_FB" dataDxfId="461"/>
    <tableColumn id="11" xr3:uid="{E07EF914-E74E-4AD9-83A5-C6822FB2A023}" name="PTS_PAINT" dataDxfId="460"/>
    <tableColumn id="12" xr3:uid="{4EE48B5D-731B-4D23-9D9C-8B1A9C27FBD9}" name="OPP_PTS_OFF_TOV" dataDxfId="459"/>
    <tableColumn id="13" xr3:uid="{3C731159-F12F-4736-B83F-234D99204C3C}" name="OPP_PTS_2ND_CHANCE" dataDxfId="458"/>
    <tableColumn id="14" xr3:uid="{5DEEB2AE-F0CA-448F-94ED-EAF32399085F}" name="OPP_PTS_FB" dataDxfId="457"/>
    <tableColumn id="15" xr3:uid="{A4502CD8-969F-4BC9-8609-0E8488FA1F87}" name="OPP_PTS_PAINT" dataDxfId="456"/>
    <tableColumn id="16" xr3:uid="{3CF10D0A-7AA4-4D6D-A8D4-995B0F998D45}" name="GP_RANK" dataDxfId="455"/>
    <tableColumn id="17" xr3:uid="{8D65DBCE-8D48-4190-925B-2DABB911578D}" name="W_RANK" dataDxfId="454"/>
    <tableColumn id="18" xr3:uid="{C364427B-D817-4484-881E-690D77F6B3A4}" name="L_RANK" dataDxfId="453"/>
    <tableColumn id="19" xr3:uid="{C086812F-DD2A-4D0B-A9E3-1DCEEC524DD6}" name="W_PCT_RANK" dataDxfId="452"/>
    <tableColumn id="20" xr3:uid="{EE307B66-4CCA-4257-A369-8C98B9AFFA71}" name="MIN_RANK" dataDxfId="451"/>
    <tableColumn id="21" xr3:uid="{E37A520D-77E7-43A8-9047-317A4CEFC94B}" name="PTS_OFF_TOV_RANK" dataDxfId="450"/>
    <tableColumn id="22" xr3:uid="{89B987FC-CFDB-45D7-B520-050898BBA5B3}" name="PTS_2ND_CHANCE_RANK" dataDxfId="449"/>
    <tableColumn id="23" xr3:uid="{FE22C5B0-FCA4-4F2F-9ACE-2E547ABA6CAC}" name="PTS_FB_RANK" dataDxfId="448"/>
    <tableColumn id="24" xr3:uid="{54AB326D-D2F6-40BB-A504-2FA6653514D4}" name="PTS_PAINT_RANK" dataDxfId="447"/>
    <tableColumn id="25" xr3:uid="{5121CAC6-3FCF-4107-A49D-DD3D6C042BCA}" name="OPP_PTS_OFF_TOV_RANK" dataDxfId="446"/>
    <tableColumn id="26" xr3:uid="{9383E0BD-0935-4452-AAA6-AEED688AB66E}" name="OPP_PTS_2ND_CHANCE_RANK" dataDxfId="445"/>
    <tableColumn id="27" xr3:uid="{3671D4D1-7C30-41F1-B716-75321FB15A69}" name="OPP_PTS_FB_RANK" dataDxfId="444"/>
    <tableColumn id="28" xr3:uid="{3605BCC5-6AE7-45C0-89D7-461A66779878}" name="OPP_PTS_PAINT_RANK" dataDxfId="443"/>
    <tableColumn id="29" xr3:uid="{4400C771-6345-42A4-A32B-ECFF9B5A98BB}" name="CFID" dataDxfId="442"/>
    <tableColumn id="30" xr3:uid="{223D932F-874C-4B01-88F3-32BB6F79AD6D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94C0748-55F6-4484-A9BD-CAC5DA23BAE2}" name="TableOppBaseN1" displayName="TableOppBaseN1" ref="A1:BD31" totalsRowShown="0" headerRowDxfId="326">
  <autoFilter ref="A1:BD31" xr:uid="{A18BF5E3-5B37-4A04-9971-D6998EA05C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625A079-B866-416A-89F7-E8422BB6EDA7}" name="TEAM_ID" dataDxfId="382"/>
    <tableColumn id="2" xr3:uid="{B62313E2-BD5F-4CD4-8619-EFE1C2FC61AB}" name="TEAM_NAME" dataDxfId="381"/>
    <tableColumn id="3" xr3:uid="{73F49FD7-8A4C-4FE6-AC24-82C76D1F84BD}" name="GP" dataDxfId="380"/>
    <tableColumn id="4" xr3:uid="{8A5CE60B-B498-4BBC-B007-01ADC15B6E73}" name="W" dataDxfId="379"/>
    <tableColumn id="5" xr3:uid="{AE6F8E73-0CD3-43F5-8BB9-9406B477B863}" name="L" dataDxfId="378"/>
    <tableColumn id="6" xr3:uid="{2D27222B-13BD-48C0-8CD8-FB5A170693EC}" name="W_PCT" dataDxfId="377"/>
    <tableColumn id="7" xr3:uid="{DB00EF68-2101-478A-AE84-6EB8EC0DD8F6}" name="MIN" dataDxfId="376"/>
    <tableColumn id="8" xr3:uid="{95F5C964-65EB-4E88-98EA-3209863C0123}" name="OPP_FGM" dataDxfId="375"/>
    <tableColumn id="9" xr3:uid="{AC4873E3-8CEF-4004-B931-C6CE18E7E5C7}" name="OPP_FGA" dataDxfId="374"/>
    <tableColumn id="10" xr3:uid="{22C1B1E7-521F-400F-B2BD-D8F85622FF6B}" name="OPP_FG_PCT" dataDxfId="373"/>
    <tableColumn id="11" xr3:uid="{C321234C-2A69-4471-AABC-127F7546DC11}" name="OPP_FG3M" dataDxfId="372"/>
    <tableColumn id="12" xr3:uid="{58DD087F-2E54-4D77-B0E8-E551697FA593}" name="OPP_FG3A" dataDxfId="371"/>
    <tableColumn id="13" xr3:uid="{CC031E65-5D0C-45A2-BD62-978661796158}" name="OPP_FG3_PCT" dataDxfId="370"/>
    <tableColumn id="14" xr3:uid="{B910F6F9-6189-4FB1-AF33-85E9097DC17B}" name="OPP_FTM" dataDxfId="369"/>
    <tableColumn id="15" xr3:uid="{AA8E4611-2072-4D3B-859E-34413DA461FE}" name="OPP_FTA" dataDxfId="368"/>
    <tableColumn id="16" xr3:uid="{1A02E3BE-5A62-4F84-9D68-8A1D4EBDDB02}" name="OPP_FT_PCT" dataDxfId="367"/>
    <tableColumn id="17" xr3:uid="{3A5C5BB2-DEB1-4B16-8F61-06A2591E3B99}" name="OPP_OREB" dataDxfId="366"/>
    <tableColumn id="18" xr3:uid="{744C876C-7978-4C18-9F10-F43C74C7F873}" name="OPP_DREB" dataDxfId="365"/>
    <tableColumn id="19" xr3:uid="{4D777197-8796-4A7B-B41E-DF898AA7F5BD}" name="OPP_REB" dataDxfId="364"/>
    <tableColumn id="20" xr3:uid="{B2AAEF80-B696-443E-8332-D27CF4835FF9}" name="OPP_AST" dataDxfId="363"/>
    <tableColumn id="21" xr3:uid="{ED78296F-28D0-4218-B929-6F10C25421BF}" name="OPP_TOV" dataDxfId="362"/>
    <tableColumn id="22" xr3:uid="{4AF88257-F54D-4660-89FA-3AA0EE5827DE}" name="OPP_STL" dataDxfId="361"/>
    <tableColumn id="23" xr3:uid="{09B6E628-5645-4742-A764-212CBB0174A3}" name="OPP_BLK" dataDxfId="360"/>
    <tableColumn id="24" xr3:uid="{28CBAC01-3908-4A43-B1E7-930031CEA6FC}" name="OPP_BLKA" dataDxfId="359"/>
    <tableColumn id="25" xr3:uid="{E976B7D1-FB22-4E78-81D6-372A951B2042}" name="OPP_PF" dataDxfId="358"/>
    <tableColumn id="26" xr3:uid="{F656D950-8E1C-46E6-B456-AB809D258B7E}" name="OPP_PFD" dataDxfId="357"/>
    <tableColumn id="27" xr3:uid="{52AE380C-EDB2-4895-A814-9198FB5560E1}" name="OPP_PTS" dataDxfId="356"/>
    <tableColumn id="28" xr3:uid="{E6FF7BCA-6B1D-4A04-81DC-D6332795D7A5}" name="PLUS_MINUS" dataDxfId="355"/>
    <tableColumn id="29" xr3:uid="{E718B528-2206-4627-9A35-B7E3ED01906A}" name="GP_RANK" dataDxfId="354"/>
    <tableColumn id="30" xr3:uid="{62AB950C-D32A-4BDD-9699-51E83BCA2BDE}" name="W_RANK" dataDxfId="353"/>
    <tableColumn id="31" xr3:uid="{2F12F505-502B-44A1-9B62-879FD13DE2A9}" name="L_RANK" dataDxfId="352"/>
    <tableColumn id="32" xr3:uid="{C21C7F25-EC84-4B86-8D70-3C79CDB36A53}" name="W_PCT_RANK" dataDxfId="351"/>
    <tableColumn id="33" xr3:uid="{F21DB554-FF67-4FCC-B94F-D171C4010B58}" name="MIN_RANK" dataDxfId="350"/>
    <tableColumn id="34" xr3:uid="{083BEAF8-2F8E-4D98-A0A6-76E7B1853D2E}" name="OPP_FGM_RANK" dataDxfId="349"/>
    <tableColumn id="35" xr3:uid="{D1A87A4B-7A11-4757-B94A-E324CE3CE26B}" name="OPP_FGA_RANK" dataDxfId="348"/>
    <tableColumn id="36" xr3:uid="{775F2BAE-80FE-4306-A49A-5540155DB44C}" name="OPP_FG_PCT_RANK" dataDxfId="347"/>
    <tableColumn id="37" xr3:uid="{582CB75A-513A-4709-821A-256F209E93CE}" name="OPP_FG3M_RANK" dataDxfId="346"/>
    <tableColumn id="38" xr3:uid="{9075CC43-A522-4245-8969-C559A57593E4}" name="OPP_FG3A_RANK" dataDxfId="345"/>
    <tableColumn id="39" xr3:uid="{E4EC54E6-8864-40B3-AA8B-55773EC5D1B9}" name="OPP_FG3_PCT_RANK" dataDxfId="344"/>
    <tableColumn id="40" xr3:uid="{71357629-A0F5-4F2F-91AC-6ADEAD92516A}" name="OPP_FTM_RANK" dataDxfId="343"/>
    <tableColumn id="41" xr3:uid="{3708901C-5835-4550-ACB6-941959552CB8}" name="OPP_FTA_RANK" dataDxfId="342"/>
    <tableColumn id="42" xr3:uid="{B5631BEF-6F49-465E-BBA5-FAED2EBCD87E}" name="OPP_FT_PCT_RANK" dataDxfId="341"/>
    <tableColumn id="43" xr3:uid="{F08746DE-75DA-4E9C-9924-B4BCA67C7FE0}" name="OPP_OREB_RANK" dataDxfId="340"/>
    <tableColumn id="44" xr3:uid="{687848D8-E1A4-484F-88BE-8BCEFF57FF47}" name="OPP_DREB_RANK" dataDxfId="339"/>
    <tableColumn id="45" xr3:uid="{BA68E13C-9B6A-4286-AA4C-6B01D8845910}" name="OPP_REB_RANK" dataDxfId="338"/>
    <tableColumn id="46" xr3:uid="{7DBF7991-A6A5-4FC9-A1AE-4A15FC3213AC}" name="OPP_AST_RANK" dataDxfId="337"/>
    <tableColumn id="47" xr3:uid="{4546F9DD-6A68-4D08-BDC9-52E63622F39A}" name="OPP_TOV_RANK" dataDxfId="336"/>
    <tableColumn id="48" xr3:uid="{8FBEE32A-F427-4087-BDEF-A8BC4C6BBBF5}" name="OPP_STL_RANK" dataDxfId="335"/>
    <tableColumn id="49" xr3:uid="{45000231-35A9-4DF7-B77E-69D8422D8B3B}" name="OPP_BLK_RANK" dataDxfId="334"/>
    <tableColumn id="50" xr3:uid="{48F772FE-5F7B-494B-97B0-4ED7D343B03E}" name="OPP_BLKA_RANK" dataDxfId="333"/>
    <tableColumn id="51" xr3:uid="{AA6E9D67-8BA7-44DD-98B0-4E9E062F3A0C}" name="OPP_PF_RANK" dataDxfId="332"/>
    <tableColumn id="52" xr3:uid="{FDA8E07C-7814-4201-80DF-874EA29B8AC5}" name="OPP_PFD_RANK" dataDxfId="331"/>
    <tableColumn id="53" xr3:uid="{497C21AE-25C8-4FDB-A10B-B19315B49A49}" name="OPP_PTS_RANK" dataDxfId="330"/>
    <tableColumn id="54" xr3:uid="{45059619-C370-4183-9E8A-D81D92EFFEEA}" name="PLUS_MINUS_RANK" dataDxfId="329"/>
    <tableColumn id="55" xr3:uid="{47E8C41F-AB1E-4B17-B3C6-F028CCD1B696}" name="CFID" dataDxfId="328"/>
    <tableColumn id="56" xr3:uid="{39919D9C-491B-43E4-A222-0AA7B41293D3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1A69F93-B975-40DE-A585-3209D8D5A239}" name="TableClutchBaseN1" displayName="TableClutchBaseN1" ref="A1:BD31" totalsRowShown="0" headerRowDxfId="212">
  <autoFilter ref="A1:BD31" xr:uid="{38D7E492-B29D-49BC-A890-DB4AE758245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BC05A88-BEF4-4697-B88B-157B10F1EF39}" name="TEAM_ID" dataDxfId="268"/>
    <tableColumn id="2" xr3:uid="{6A465E67-C46F-4B49-8D8E-9DDCEC257C98}" name="TEAM_NAME" dataDxfId="267"/>
    <tableColumn id="3" xr3:uid="{FBA70BBF-0934-4C61-BB12-79AF0C2B2810}" name="GP" dataDxfId="266"/>
    <tableColumn id="4" xr3:uid="{9E33BF74-606B-4882-9262-95CE0ED53C87}" name="W" dataDxfId="265"/>
    <tableColumn id="5" xr3:uid="{FFC52F58-81DE-438A-B0F3-C818795D7D67}" name="L" dataDxfId="264"/>
    <tableColumn id="6" xr3:uid="{BA786D56-09B3-4345-B9EF-BDC310DA3848}" name="W_PCT" dataDxfId="263"/>
    <tableColumn id="7" xr3:uid="{C6738AAC-63B3-45DF-A46D-4238126A8AE3}" name="MIN" dataDxfId="262"/>
    <tableColumn id="8" xr3:uid="{3E783861-29AC-40E2-924D-E0BAA5B8F425}" name="FGM" dataDxfId="261"/>
    <tableColumn id="9" xr3:uid="{088DDC3B-D29E-45E1-B93A-E4C0C7EC1773}" name="FGA" dataDxfId="260"/>
    <tableColumn id="10" xr3:uid="{6678A140-ECE4-4776-95DE-B2D4D35398A6}" name="FG_PCT" dataDxfId="259"/>
    <tableColumn id="11" xr3:uid="{14C4083C-B980-45CD-839A-33E54C3A5839}" name="FG3M" dataDxfId="258"/>
    <tableColumn id="12" xr3:uid="{D01BF669-0B1C-47AA-97E6-BAD019D11A5E}" name="FG3A" dataDxfId="257"/>
    <tableColumn id="13" xr3:uid="{09BB146B-1CFC-4FB2-9736-25A8E3B5E525}" name="FG3_PCT" dataDxfId="256"/>
    <tableColumn id="14" xr3:uid="{D6512240-48E2-4587-8746-CE1FD47BCBDF}" name="FTM" dataDxfId="255"/>
    <tableColumn id="15" xr3:uid="{D03A4EE7-52EB-408C-9F4B-C5F25BFE87FA}" name="FTA" dataDxfId="254"/>
    <tableColumn id="16" xr3:uid="{5693DDA3-3D0B-45CF-A069-F2577BBA02DC}" name="FT_PCT" dataDxfId="253"/>
    <tableColumn id="17" xr3:uid="{B37610DB-E6D9-4894-836E-CC0078C146AF}" name="OREB" dataDxfId="252"/>
    <tableColumn id="18" xr3:uid="{FC235505-9BD0-4961-AF6D-468227C3B5FE}" name="DREB" dataDxfId="251"/>
    <tableColumn id="19" xr3:uid="{EA9BBC2F-0E78-4B6D-88E8-04D749704F85}" name="REB" dataDxfId="250"/>
    <tableColumn id="20" xr3:uid="{C6516683-7B34-4DBE-8D5F-169278A5DAB7}" name="AST" dataDxfId="249"/>
    <tableColumn id="21" xr3:uid="{7C03154E-8568-4198-AEDF-FCAB13223BE0}" name="TOV" dataDxfId="248"/>
    <tableColumn id="22" xr3:uid="{A6344A14-EEDB-44CF-9098-C46F66B6F911}" name="STL" dataDxfId="247"/>
    <tableColumn id="23" xr3:uid="{2F8836BF-D247-4A6E-83C3-F2935D0D0607}" name="BLK" dataDxfId="246"/>
    <tableColumn id="24" xr3:uid="{7B3ED9EA-5130-47D8-B85F-483E7AAADC0B}" name="BLKA" dataDxfId="245"/>
    <tableColumn id="25" xr3:uid="{BFF825FA-5223-4F3D-8148-D3DC04251C9C}" name="PF" dataDxfId="244"/>
    <tableColumn id="26" xr3:uid="{1769721C-21E3-4F1E-B73B-617158C8550B}" name="PFD" dataDxfId="243"/>
    <tableColumn id="27" xr3:uid="{C937CE15-71BE-48B7-97D7-353909AA0715}" name="PTS" dataDxfId="242"/>
    <tableColumn id="28" xr3:uid="{1382D750-04EA-44E1-84E1-4198D93F1656}" name="PLUS_MINUS" dataDxfId="241"/>
    <tableColumn id="29" xr3:uid="{78A14B43-3578-45FD-8A4F-FD07880C3114}" name="GP_RANK" dataDxfId="240"/>
    <tableColumn id="30" xr3:uid="{4457DE37-0041-405D-8D78-55C75800CCD5}" name="W_RANK" dataDxfId="239"/>
    <tableColumn id="31" xr3:uid="{46CF0303-AC8D-409C-AF48-E188BB1F9158}" name="L_RANK" dataDxfId="238"/>
    <tableColumn id="32" xr3:uid="{1E17EBF9-C0F2-438D-9A36-8C26CEAB090A}" name="W_PCT_RANK" dataDxfId="237"/>
    <tableColumn id="33" xr3:uid="{19FDA097-A299-411C-8031-D9F0D9F42941}" name="MIN_RANK" dataDxfId="236"/>
    <tableColumn id="34" xr3:uid="{E2A6EA95-7DA1-48EE-A6F0-452FA513F8AF}" name="FGM_RANK" dataDxfId="235"/>
    <tableColumn id="35" xr3:uid="{809DFF15-9F8A-4505-8DC9-4A18C805878C}" name="FGA_RANK" dataDxfId="234"/>
    <tableColumn id="36" xr3:uid="{ED237AD4-6C3D-43F0-8294-30D09E08B37E}" name="FG_PCT_RANK" dataDxfId="233"/>
    <tableColumn id="37" xr3:uid="{2E9BC11A-A186-4F45-9C2C-15B50A94BE89}" name="FG3M_RANK" dataDxfId="232"/>
    <tableColumn id="38" xr3:uid="{4BA6BBAC-44F7-4F0E-9599-8EF2BEA7CFB8}" name="FG3A_RANK" dataDxfId="231"/>
    <tableColumn id="39" xr3:uid="{72384707-C579-4A93-96DE-D14782C50006}" name="FG3_PCT_RANK" dataDxfId="230"/>
    <tableColumn id="40" xr3:uid="{690322BC-9652-415F-9D05-50548CB58252}" name="FTM_RANK" dataDxfId="229"/>
    <tableColumn id="41" xr3:uid="{95D46836-ECEF-410B-803A-6F7B174BE4D7}" name="FTA_RANK" dataDxfId="228"/>
    <tableColumn id="42" xr3:uid="{6E071CDF-F110-4533-8517-6635ABDBD7B2}" name="FT_PCT_RANK" dataDxfId="227"/>
    <tableColumn id="43" xr3:uid="{DB1A9DE9-A2CF-4AEA-B117-4B3AB41D7FE9}" name="OREB_RANK" dataDxfId="226"/>
    <tableColumn id="44" xr3:uid="{07A354BC-EB50-4C27-A533-FAC48D76AE04}" name="DREB_RANK" dataDxfId="225"/>
    <tableColumn id="45" xr3:uid="{479396BD-EAF4-40CA-9B1D-29E6DF358AFD}" name="REB_RANK" dataDxfId="224"/>
    <tableColumn id="46" xr3:uid="{A4D4473D-B775-4554-9830-980D8368857D}" name="AST_RANK" dataDxfId="223"/>
    <tableColumn id="47" xr3:uid="{853654AC-46E9-4E94-A849-D7A9CF941DF9}" name="TOV_RANK" dataDxfId="222"/>
    <tableColumn id="48" xr3:uid="{F6DB283F-C61B-47CE-B113-1F5B241B29DB}" name="STL_RANK" dataDxfId="221"/>
    <tableColumn id="49" xr3:uid="{055F3847-A53C-479F-937B-9DBDC2B81340}" name="BLK_RANK" dataDxfId="220"/>
    <tableColumn id="50" xr3:uid="{96C38313-8334-4645-B230-AE40DF641E34}" name="BLKA_RANK" dataDxfId="219"/>
    <tableColumn id="51" xr3:uid="{86C85047-7ABA-4AE1-8449-258985CC7807}" name="PF_RANK" dataDxfId="218"/>
    <tableColumn id="52" xr3:uid="{0B58A265-A7A3-431F-B0F3-2A164CD722B4}" name="PFD_RANK" dataDxfId="217"/>
    <tableColumn id="53" xr3:uid="{845F921D-C107-4910-9C80-366FC69D33B5}" name="PTS_RANK" dataDxfId="216"/>
    <tableColumn id="54" xr3:uid="{56665B42-54AC-43DB-9B88-FE389CCDA743}" name="PLUS_MINUS_RANK" dataDxfId="215"/>
    <tableColumn id="55" xr3:uid="{B3C2EBAB-D3A4-454F-837F-A3467D4F33E7}" name="CFID" dataDxfId="214"/>
    <tableColumn id="56" xr3:uid="{4344197D-D53A-4099-9E60-C3282B84F997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D8CEA18-024A-4FE5-9A8F-000696D64D00}" name="TableClutchOpponentN1" displayName="TableClutchOpponentN1" ref="A1:BD31" totalsRowShown="0" headerRowDxfId="98">
  <autoFilter ref="A1:BD31" xr:uid="{78A66EC8-E124-4BC2-880D-9081E6B633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56245839-6C2E-4040-B707-801FE552FC84}" name="TEAM_ID" dataDxfId="154"/>
    <tableColumn id="2" xr3:uid="{2CC267EE-2999-4611-8575-F7EFB8EC3AD5}" name="TEAM_NAME" dataDxfId="153"/>
    <tableColumn id="3" xr3:uid="{893DD46D-1FFD-40C9-AD84-04018EBA5EC8}" name="GP" dataDxfId="152"/>
    <tableColumn id="4" xr3:uid="{90EFA0A2-9408-41D2-AF4A-F7CD8C64A509}" name="W" dataDxfId="151"/>
    <tableColumn id="5" xr3:uid="{1FFF9731-CB6C-469F-8C69-B5C2122F8BA0}" name="L" dataDxfId="150"/>
    <tableColumn id="6" xr3:uid="{2C66C42A-34A3-4B56-AB09-BC69FD796111}" name="W_PCT" dataDxfId="149"/>
    <tableColumn id="7" xr3:uid="{BE5D7971-10BB-4CC0-A176-DD3F0F667F6E}" name="MIN" dataDxfId="148"/>
    <tableColumn id="8" xr3:uid="{91321981-CD1D-4E0E-ABAB-2E3E2E4D8784}" name="OPP_FGM" dataDxfId="147"/>
    <tableColumn id="9" xr3:uid="{DDAD40F9-8B34-48F5-AE30-88511CD49646}" name="OPP_FGA" dataDxfId="146"/>
    <tableColumn id="10" xr3:uid="{3B63F505-7F66-470E-8588-E1C8B3B56154}" name="OPP_FG_PCT" dataDxfId="145"/>
    <tableColumn id="11" xr3:uid="{ED17C3A2-FB6B-446E-AEB0-917785B3218A}" name="OPP_FG3M" dataDxfId="144"/>
    <tableColumn id="12" xr3:uid="{7E777C50-46AE-42EE-9D50-88F64BDF8536}" name="OPP_FG3A" dataDxfId="143"/>
    <tableColumn id="13" xr3:uid="{14FA511C-D06E-4A76-9DBA-BC8A1E928A98}" name="OPP_FG3_PCT" dataDxfId="142"/>
    <tableColumn id="14" xr3:uid="{011E273B-4E5E-4076-88C8-74D895FABB41}" name="OPP_FTM" dataDxfId="141"/>
    <tableColumn id="15" xr3:uid="{773A52EF-84E5-47F8-997F-EEFDF0787DB0}" name="OPP_FTA" dataDxfId="140"/>
    <tableColumn id="16" xr3:uid="{0CD9084A-7080-4906-B3BD-D0FE38569487}" name="OPP_FT_PCT" dataDxfId="139"/>
    <tableColumn id="17" xr3:uid="{F7672733-FA1E-4750-A788-D98F38CE57C7}" name="OPP_OREB" dataDxfId="138"/>
    <tableColumn id="18" xr3:uid="{96A72C18-C2BE-41FD-B8B6-6F782BAE430D}" name="OPP_DREB" dataDxfId="137"/>
    <tableColumn id="19" xr3:uid="{576E7399-CDCF-498A-B38E-82F3C7DD1B35}" name="OPP_REB" dataDxfId="136"/>
    <tableColumn id="20" xr3:uid="{ED81E2D5-3A79-4518-8EB2-9FE2C97F164B}" name="OPP_AST" dataDxfId="135"/>
    <tableColumn id="21" xr3:uid="{7E3AD0D8-31DE-4085-AEBE-DD223FF58AA2}" name="OPP_TOV" dataDxfId="134"/>
    <tableColumn id="22" xr3:uid="{52A96614-43A1-48EB-8830-8434E88C04BF}" name="OPP_STL" dataDxfId="133"/>
    <tableColumn id="23" xr3:uid="{42AF5C13-5324-4182-930F-BF097636C0CB}" name="OPP_BLK" dataDxfId="132"/>
    <tableColumn id="24" xr3:uid="{24E2E0D2-2885-45DB-AA05-54E4D1EBA053}" name="OPP_BLKA" dataDxfId="131"/>
    <tableColumn id="25" xr3:uid="{8FC9ACB4-A9BD-42F1-99E9-63CFA4A0C42B}" name="OPP_PF" dataDxfId="130"/>
    <tableColumn id="26" xr3:uid="{C69E1EC5-5B6C-4C90-8852-E7BD2404AD4D}" name="OPP_PFD" dataDxfId="129"/>
    <tableColumn id="27" xr3:uid="{87110A1D-3F22-4FB7-B562-FE4A432D8212}" name="OPP_PTS" dataDxfId="128"/>
    <tableColumn id="28" xr3:uid="{91D08DD5-9E86-407E-B455-35B6A92CE54B}" name="PLUS_MINUS" dataDxfId="127"/>
    <tableColumn id="29" xr3:uid="{8327505D-0A21-4D9A-AA66-D08920F011DD}" name="GP_RANK" dataDxfId="126"/>
    <tableColumn id="30" xr3:uid="{61682BCF-67B3-4CC1-B4EB-EC0E93B55033}" name="W_RANK" dataDxfId="125"/>
    <tableColumn id="31" xr3:uid="{DBE4B4F1-CA31-416F-9D84-0AFB777D4C8D}" name="L_RANK" dataDxfId="124"/>
    <tableColumn id="32" xr3:uid="{BC7C8662-2850-4D55-A25B-9DB07249EF37}" name="W_PCT_RANK" dataDxfId="123"/>
    <tableColumn id="33" xr3:uid="{CA316E23-79DA-46F1-A2CC-68386742EFF3}" name="MIN_RANK" dataDxfId="122"/>
    <tableColumn id="34" xr3:uid="{4896FB72-38B5-4B93-9A35-644992446838}" name="OPP_FGM_RANK" dataDxfId="121"/>
    <tableColumn id="35" xr3:uid="{8C647EB2-2E24-4F7E-A888-A3A92C89E9EF}" name="OPP_FGA_RANK" dataDxfId="120"/>
    <tableColumn id="36" xr3:uid="{63D639E3-5B93-4619-9512-4B71D974ECA9}" name="OPP_FG_PCT_RANK" dataDxfId="119"/>
    <tableColumn id="37" xr3:uid="{69A44158-CA48-4BA8-A422-7DAC49809DAF}" name="OPP_FG3M_RANK" dataDxfId="118"/>
    <tableColumn id="38" xr3:uid="{8B6AF44F-CFF0-4F65-A8D0-CD39BD579FEB}" name="OPP_FG3A_RANK" dataDxfId="117"/>
    <tableColumn id="39" xr3:uid="{AB7065D3-E38F-4C12-9506-4DDA0066BAF0}" name="OPP_FG3_PCT_RANK" dataDxfId="116"/>
    <tableColumn id="40" xr3:uid="{8F95DA90-2821-403E-9D5E-74697316557C}" name="OPP_FTM_RANK" dataDxfId="115"/>
    <tableColumn id="41" xr3:uid="{16167295-7DB2-460F-A6DD-0D543F39DBF2}" name="OPP_FTA_RANK" dataDxfId="114"/>
    <tableColumn id="42" xr3:uid="{82D429A2-22F5-4F25-962F-5508353EB2CC}" name="OPP_FT_PCT_RANK" dataDxfId="113"/>
    <tableColumn id="43" xr3:uid="{F80D0286-AAE5-4E50-A08B-DC9EAD904B18}" name="OPP_OREB_RANK" dataDxfId="112"/>
    <tableColumn id="44" xr3:uid="{5409EB60-5AFF-4A19-8844-4F34CA463272}" name="OPP_DREB_RANK" dataDxfId="111"/>
    <tableColumn id="45" xr3:uid="{76FFAA45-818E-4AB6-A593-0C73C2D4C82F}" name="OPP_REB_RANK" dataDxfId="110"/>
    <tableColumn id="46" xr3:uid="{E18482CA-7631-46CF-A7E3-ADEDB49D42B9}" name="OPP_AST_RANK" dataDxfId="109"/>
    <tableColumn id="47" xr3:uid="{38B2DCD9-196F-4B38-A340-F7A50C6C9753}" name="OPP_TOV_RANK" dataDxfId="108"/>
    <tableColumn id="48" xr3:uid="{363EF5BA-C881-45B3-82F6-B760BFB5B5FC}" name="OPP_STL_RANK" dataDxfId="107"/>
    <tableColumn id="49" xr3:uid="{E49BB0F8-6D96-4CDD-8836-4DAE8460BD00}" name="OPP_BLK_RANK" dataDxfId="106"/>
    <tableColumn id="50" xr3:uid="{BC6E0D8A-E0A5-4375-AA22-1F08F9926EA1}" name="OPP_BLKA_RANK" dataDxfId="105"/>
    <tableColumn id="51" xr3:uid="{D89E0A40-1F97-4F15-859D-4387E0CA6D44}" name="OPP_PF_RANK" dataDxfId="104"/>
    <tableColumn id="52" xr3:uid="{877A222C-591A-48A4-B585-68CA48BA063E}" name="OPP_PFD_RANK" dataDxfId="103"/>
    <tableColumn id="53" xr3:uid="{50653F4C-61B4-40EC-A198-C666EEDFD9BB}" name="OPP_PTS_RANK" dataDxfId="102"/>
    <tableColumn id="54" xr3:uid="{06E33D68-F9BA-43DB-BB48-C651CEE16717}" name="PLUS_MINUS_RANK" dataDxfId="101"/>
    <tableColumn id="55" xr3:uid="{DA9CB5E9-4F42-4235-93CC-076DD4FEA167}" name="CFID" dataDxfId="100"/>
    <tableColumn id="56" xr3:uid="{D17B1FBD-5417-4EB4-8F13-22732F63F963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39E24C8-5181-4CF1-BF54-92BBF3B40605}" name="TableClutchAdvancedN1" displayName="TableClutchAdvancedN1" ref="A1:AV31" totalsRowShown="0" headerRowDxfId="0">
  <autoFilter ref="A1:AV31" xr:uid="{DBE9D065-293B-4639-9544-34830672C5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3B034A9-DFFB-4A51-8E3F-684B608F45B4}" name="TEAM_ID" dataDxfId="48"/>
    <tableColumn id="2" xr3:uid="{77E79A6C-6462-4786-B80D-0C0A9293B968}" name="TEAM_NAME" dataDxfId="47"/>
    <tableColumn id="3" xr3:uid="{C1FB3724-8C2B-4856-BF85-5D62D79D549C}" name="GP" dataDxfId="46"/>
    <tableColumn id="4" xr3:uid="{09A2E08A-7681-4A85-B2C9-1498F2C7BA51}" name="W" dataDxfId="45"/>
    <tableColumn id="5" xr3:uid="{5F9F10CD-8EE7-43E4-A832-819F3852044B}" name="L" dataDxfId="44"/>
    <tableColumn id="6" xr3:uid="{B056E94B-B948-407E-AEA1-1BDE4F281F28}" name="W_PCT" dataDxfId="43"/>
    <tableColumn id="7" xr3:uid="{4D68C02C-DF3A-4E3D-81F1-85AAF9B9DF98}" name="MIN" dataDxfId="42"/>
    <tableColumn id="8" xr3:uid="{9F0C83E2-7D65-42CB-83EE-CFE4E532604A}" name="E_OFF_RATING" dataDxfId="41"/>
    <tableColumn id="9" xr3:uid="{A5B3044A-2F9F-4FE8-8B4A-83F71E6EE274}" name="OFF_RATING" dataDxfId="40"/>
    <tableColumn id="10" xr3:uid="{81EBC9AE-CF8E-4FD6-9090-F63722BD730E}" name="E_DEF_RATING" dataDxfId="39"/>
    <tableColumn id="11" xr3:uid="{A0478D2C-4EF9-4B50-9773-8EE046E6102C}" name="DEF_RATING" dataDxfId="38"/>
    <tableColumn id="12" xr3:uid="{CBC27F28-062E-457E-98CC-5C75ED945B83}" name="E_NET_RATING" dataDxfId="37"/>
    <tableColumn id="13" xr3:uid="{FB70853F-35AD-4E2C-8F45-5F3368CD2186}" name="NET_RATING" dataDxfId="36"/>
    <tableColumn id="14" xr3:uid="{B9CE2793-477D-47AA-A378-97FC3D292170}" name="AST_PCT" dataDxfId="35"/>
    <tableColumn id="15" xr3:uid="{A7E2A8E8-17B2-45ED-A39E-74F34FAF16C0}" name="AST_TO" dataDxfId="34"/>
    <tableColumn id="16" xr3:uid="{1A7B9407-AD2D-4EC8-94B0-61CB2A7978AC}" name="AST_RATIO" dataDxfId="33"/>
    <tableColumn id="17" xr3:uid="{ACDEFA28-197C-4D8E-AA47-0A3403341BBC}" name="OREB_PCT" dataDxfId="32"/>
    <tableColumn id="18" xr3:uid="{E0D98711-D113-411F-8A5E-C88F37F3088D}" name="DREB_PCT" dataDxfId="31"/>
    <tableColumn id="19" xr3:uid="{A9AC158E-25B8-4DC3-AAA5-7564F100211E}" name="REB_PCT" dataDxfId="30"/>
    <tableColumn id="20" xr3:uid="{93DAA654-D848-4F20-B315-108332289CBC}" name="TM_TOV_PCT" dataDxfId="29"/>
    <tableColumn id="21" xr3:uid="{5BAC9756-3F80-49DB-909F-1E1A7B6B40DF}" name="EFG_PCT" dataDxfId="28"/>
    <tableColumn id="22" xr3:uid="{8D658D5C-F28A-4D4C-8794-C04A052427D8}" name="TS_PCT" dataDxfId="27"/>
    <tableColumn id="23" xr3:uid="{3EC24F24-6FC8-4AA3-A779-FDE9CE414DA6}" name="E_PACE" dataDxfId="26"/>
    <tableColumn id="24" xr3:uid="{F11A6852-7E54-4761-9FC9-85374A1CB219}" name="PACE" dataDxfId="25"/>
    <tableColumn id="25" xr3:uid="{D362E97A-3B5F-41C2-AF0A-9FC0702D3AD5}" name="PACE_PER40" dataDxfId="24"/>
    <tableColumn id="26" xr3:uid="{9379B104-1502-453D-90B9-F3BFBEF55823}" name="POSS" dataDxfId="23"/>
    <tableColumn id="27" xr3:uid="{F7DA3A0B-4A32-4C12-8588-130EC1B64F69}" name="PIE" dataDxfId="22"/>
    <tableColumn id="28" xr3:uid="{C6BD9292-F0DB-4F2E-B581-AFA3EF718970}" name="GP_RANK" dataDxfId="21"/>
    <tableColumn id="29" xr3:uid="{2DF3A9CE-0F95-4E6D-AE10-ED3803FA0CE9}" name="W_RANK" dataDxfId="20"/>
    <tableColumn id="30" xr3:uid="{CA230D7E-3402-482B-8156-339EC774A3CB}" name="L_RANK" dataDxfId="19"/>
    <tableColumn id="31" xr3:uid="{2D7D1364-B4E1-41C0-BF69-6C58323C916F}" name="W_PCT_RANK" dataDxfId="18"/>
    <tableColumn id="32" xr3:uid="{E29E0C1E-8084-403E-B2B0-53CA1261FA94}" name="MIN_RANK" dataDxfId="17"/>
    <tableColumn id="33" xr3:uid="{0376117C-D935-4A11-80EA-6E0498F5E4FE}" name="OFF_RATING_RANK" dataDxfId="16"/>
    <tableColumn id="34" xr3:uid="{8BC14A5D-4047-410D-B657-299E7D86AFC9}" name="DEF_RATING_RANK" dataDxfId="15"/>
    <tableColumn id="35" xr3:uid="{D12FD2C4-0C6E-4745-9C16-D8FD83B21E7C}" name="NET_RATING_RANK" dataDxfId="14"/>
    <tableColumn id="36" xr3:uid="{B1316FEB-F7A3-4301-8904-DE0329F5C916}" name="AST_PCT_RANK" dataDxfId="13"/>
    <tableColumn id="37" xr3:uid="{3D0AB08F-D11B-40F5-B224-B3BD1C143575}" name="AST_TO_RANK" dataDxfId="12"/>
    <tableColumn id="38" xr3:uid="{E79F5086-8663-42D2-B81F-5A7F77C23E15}" name="AST_RATIO_RANK" dataDxfId="11"/>
    <tableColumn id="39" xr3:uid="{E9B872E3-56B4-43FE-B495-E87D36C52614}" name="OREB_PCT_RANK" dataDxfId="10"/>
    <tableColumn id="40" xr3:uid="{7EE107C3-670D-4510-9AC6-A9CFCF238887}" name="DREB_PCT_RANK" dataDxfId="9"/>
    <tableColumn id="41" xr3:uid="{9C2C74F9-1F06-4597-B076-C50869D4A7AF}" name="REB_PCT_RANK" dataDxfId="8"/>
    <tableColumn id="42" xr3:uid="{1F22BF61-BDA0-4491-B65E-E10A8CABBDB0}" name="TM_TOV_PCT_RANK" dataDxfId="7"/>
    <tableColumn id="43" xr3:uid="{C3969557-9D53-46EF-9BBB-212C394BB0C5}" name="EFG_PCT_RANK" dataDxfId="6"/>
    <tableColumn id="44" xr3:uid="{C2C9761D-3D04-41D5-864F-9A6163C969C3}" name="TS_PCT_RANK" dataDxfId="5"/>
    <tableColumn id="45" xr3:uid="{A47879F2-2B4C-453F-A18D-E68596B00B72}" name="PACE_RANK" dataDxfId="4"/>
    <tableColumn id="46" xr3:uid="{3CDBD438-41A7-40F0-B97A-0B746A8EB2D6}" name="PIE_RANK" dataDxfId="3"/>
    <tableColumn id="47" xr3:uid="{48288C10-327B-4209-B86B-2B8C3FD3C651}" name="CFID" dataDxfId="2"/>
    <tableColumn id="48" xr3:uid="{B4B2CF5C-B102-44BA-8250-F8DDE0C03C47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abSelected="1" topLeftCell="A55" workbookViewId="0">
      <selection activeCell="C22" sqref="C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1403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1408</v>
      </c>
      <c r="D3" s="2">
        <v>6</v>
      </c>
      <c r="F3" s="1" t="s">
        <v>1404</v>
      </c>
      <c r="G3" s="2">
        <v>12</v>
      </c>
    </row>
    <row r="4" spans="1:7" x14ac:dyDescent="0.25">
      <c r="A4" s="23"/>
      <c r="B4" s="5" t="s">
        <v>6</v>
      </c>
      <c r="C4" s="11">
        <v>0.59799999999999998</v>
      </c>
      <c r="F4" s="11">
        <v>0.35699999999999998</v>
      </c>
    </row>
    <row r="5" spans="1:7" x14ac:dyDescent="0.25">
      <c r="A5" s="23"/>
      <c r="B5" s="5" t="s">
        <v>7</v>
      </c>
      <c r="C5" s="1" t="s">
        <v>1409</v>
      </c>
      <c r="F5" s="1" t="s">
        <v>1405</v>
      </c>
    </row>
    <row r="6" spans="1:7" x14ac:dyDescent="0.25">
      <c r="A6" s="23"/>
      <c r="B6" s="5" t="s">
        <v>2</v>
      </c>
      <c r="C6" s="1" t="s">
        <v>1410</v>
      </c>
      <c r="F6" s="1" t="s">
        <v>1406</v>
      </c>
    </row>
    <row r="7" spans="1:7" x14ac:dyDescent="0.25">
      <c r="A7" s="23"/>
      <c r="B7" s="5" t="s">
        <v>3</v>
      </c>
      <c r="C7" s="1" t="s">
        <v>1411</v>
      </c>
      <c r="F7" s="1" t="s">
        <v>1407</v>
      </c>
    </row>
    <row r="8" spans="1:7" x14ac:dyDescent="0.25">
      <c r="A8" s="23"/>
      <c r="B8" s="5" t="s">
        <v>0</v>
      </c>
      <c r="C8" s="1" t="s">
        <v>1412</v>
      </c>
      <c r="F8" s="1" t="s">
        <v>1404</v>
      </c>
    </row>
    <row r="9" spans="1:7" x14ac:dyDescent="0.25">
      <c r="A9" s="23"/>
      <c r="B9" s="5" t="s">
        <v>1</v>
      </c>
      <c r="C9" s="1" t="s">
        <v>1413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0.45400000000000001</v>
      </c>
      <c r="D11" s="3">
        <v>19</v>
      </c>
      <c r="F11" s="9">
        <v>0.45400000000000001</v>
      </c>
      <c r="G11" s="3">
        <v>15</v>
      </c>
    </row>
    <row r="12" spans="1:7" x14ac:dyDescent="0.25">
      <c r="A12" s="23"/>
      <c r="B12" s="14" t="s">
        <v>36</v>
      </c>
      <c r="C12" s="8">
        <v>42.6</v>
      </c>
      <c r="D12" s="3">
        <v>5</v>
      </c>
      <c r="F12" s="8">
        <v>37.6</v>
      </c>
      <c r="G12" s="3">
        <v>27</v>
      </c>
    </row>
    <row r="13" spans="1:7" x14ac:dyDescent="0.25">
      <c r="A13" s="23"/>
      <c r="B13" s="14" t="s">
        <v>37</v>
      </c>
      <c r="C13" s="8">
        <v>94</v>
      </c>
      <c r="D13" s="3">
        <v>1</v>
      </c>
      <c r="F13" s="8">
        <v>82.9</v>
      </c>
      <c r="G13" s="3">
        <v>28</v>
      </c>
    </row>
    <row r="14" spans="1:7" x14ac:dyDescent="0.25">
      <c r="A14" s="23"/>
      <c r="B14" s="14" t="s">
        <v>27</v>
      </c>
      <c r="C14" s="9">
        <v>0.34799999999999998</v>
      </c>
      <c r="D14" s="3">
        <v>22</v>
      </c>
      <c r="F14" s="9">
        <v>0.35799999999999998</v>
      </c>
      <c r="G14" s="3">
        <v>13</v>
      </c>
    </row>
    <row r="15" spans="1:7" x14ac:dyDescent="0.25">
      <c r="A15" s="23"/>
      <c r="B15" s="14" t="s">
        <v>38</v>
      </c>
      <c r="C15" s="8">
        <v>11.4</v>
      </c>
      <c r="D15" s="3">
        <v>13</v>
      </c>
      <c r="F15" s="8">
        <v>10.5</v>
      </c>
      <c r="G15" s="3">
        <v>20</v>
      </c>
    </row>
    <row r="16" spans="1:7" x14ac:dyDescent="0.25">
      <c r="A16" s="23"/>
      <c r="B16" s="14" t="s">
        <v>39</v>
      </c>
      <c r="C16" s="8">
        <v>32.6</v>
      </c>
      <c r="D16" s="3">
        <v>13</v>
      </c>
      <c r="F16" s="8">
        <v>29.4</v>
      </c>
      <c r="G16" s="3">
        <v>27</v>
      </c>
    </row>
    <row r="17" spans="1:7" x14ac:dyDescent="0.25">
      <c r="A17" s="23"/>
      <c r="B17" s="14" t="s">
        <v>28</v>
      </c>
      <c r="C17" s="9">
        <v>0.71299999999999997</v>
      </c>
      <c r="D17" s="3">
        <v>28</v>
      </c>
      <c r="F17" s="9">
        <v>0.78600000000000003</v>
      </c>
      <c r="G17" s="3">
        <v>9</v>
      </c>
    </row>
    <row r="18" spans="1:7" x14ac:dyDescent="0.25">
      <c r="A18" s="23"/>
      <c r="B18" s="14" t="s">
        <v>41</v>
      </c>
      <c r="C18" s="8">
        <v>17.8</v>
      </c>
      <c r="D18" s="3">
        <v>14</v>
      </c>
      <c r="F18" s="8">
        <v>19.899999999999999</v>
      </c>
      <c r="G18" s="3">
        <v>6</v>
      </c>
    </row>
    <row r="19" spans="1:7" x14ac:dyDescent="0.25">
      <c r="A19" s="23"/>
      <c r="B19" s="14" t="s">
        <v>40</v>
      </c>
      <c r="C19" s="8">
        <v>25</v>
      </c>
      <c r="D19" s="3">
        <v>6</v>
      </c>
      <c r="F19" s="8">
        <v>25.4</v>
      </c>
      <c r="G19" s="3">
        <v>10</v>
      </c>
    </row>
    <row r="20" spans="1:7" x14ac:dyDescent="0.25">
      <c r="A20" s="23"/>
      <c r="B20" s="14" t="s">
        <v>29</v>
      </c>
      <c r="C20" s="8">
        <v>23.4</v>
      </c>
      <c r="D20" s="3">
        <v>23</v>
      </c>
      <c r="F20" s="8">
        <v>21.3</v>
      </c>
      <c r="G20" s="3">
        <v>25</v>
      </c>
    </row>
    <row r="21" spans="1:7" x14ac:dyDescent="0.25">
      <c r="A21" s="23"/>
      <c r="B21" s="14" t="s">
        <v>30</v>
      </c>
      <c r="C21" s="8">
        <v>14</v>
      </c>
      <c r="D21" s="3">
        <v>14</v>
      </c>
      <c r="F21" s="8">
        <v>15.9</v>
      </c>
      <c r="G21" s="3">
        <v>18</v>
      </c>
    </row>
    <row r="22" spans="1:7" x14ac:dyDescent="0.25">
      <c r="A22" s="23"/>
      <c r="B22" s="14" t="s">
        <v>32</v>
      </c>
      <c r="C22" s="8">
        <v>48.1</v>
      </c>
      <c r="D22" s="3">
        <v>2</v>
      </c>
      <c r="F22" s="8">
        <v>43.1</v>
      </c>
      <c r="G22" s="3">
        <v>25</v>
      </c>
    </row>
    <row r="23" spans="1:7" x14ac:dyDescent="0.25">
      <c r="A23" s="23"/>
      <c r="B23" s="14" t="s">
        <v>31</v>
      </c>
      <c r="C23" s="8">
        <v>12.6</v>
      </c>
      <c r="D23" s="3">
        <v>1</v>
      </c>
      <c r="F23" s="8">
        <v>8.1</v>
      </c>
      <c r="G23" s="3">
        <v>28</v>
      </c>
    </row>
    <row r="24" spans="1:7" x14ac:dyDescent="0.25">
      <c r="A24" s="23"/>
      <c r="B24" s="14" t="s">
        <v>33</v>
      </c>
      <c r="C24" s="8">
        <v>35.5</v>
      </c>
      <c r="D24" s="3">
        <v>11</v>
      </c>
      <c r="F24" s="8">
        <v>35</v>
      </c>
      <c r="G24" s="3">
        <v>19</v>
      </c>
    </row>
    <row r="25" spans="1:7" x14ac:dyDescent="0.25">
      <c r="A25" s="23"/>
      <c r="B25" s="14" t="s">
        <v>34</v>
      </c>
      <c r="C25" s="8">
        <v>9.3000000000000007</v>
      </c>
      <c r="D25" s="3">
        <v>1</v>
      </c>
      <c r="F25" s="8">
        <v>8.1999999999999993</v>
      </c>
      <c r="G25" s="3">
        <v>11</v>
      </c>
    </row>
    <row r="26" spans="1:7" x14ac:dyDescent="0.25">
      <c r="A26" s="23"/>
      <c r="B26" s="14" t="s">
        <v>35</v>
      </c>
      <c r="C26" s="8">
        <v>5.2</v>
      </c>
      <c r="D26" s="3">
        <v>12</v>
      </c>
      <c r="F26" s="8">
        <v>4.3</v>
      </c>
      <c r="G26" s="3">
        <v>24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0.46</v>
      </c>
      <c r="D28" s="3">
        <v>17</v>
      </c>
      <c r="F28" s="9">
        <v>0.44900000000000001</v>
      </c>
      <c r="G28" s="3">
        <v>13</v>
      </c>
    </row>
    <row r="29" spans="1:7" x14ac:dyDescent="0.25">
      <c r="A29" s="23"/>
      <c r="B29" s="18" t="s">
        <v>43</v>
      </c>
      <c r="C29" s="9">
        <v>0.35599999999999998</v>
      </c>
      <c r="D29" s="3">
        <v>16</v>
      </c>
      <c r="F29" s="9">
        <v>0.31900000000000001</v>
      </c>
      <c r="G29" s="3">
        <v>3</v>
      </c>
    </row>
    <row r="30" spans="1:7" x14ac:dyDescent="0.25">
      <c r="A30" s="23"/>
      <c r="B30" s="18" t="s">
        <v>44</v>
      </c>
      <c r="C30" s="8">
        <v>11.2</v>
      </c>
      <c r="D30" s="3">
        <v>13</v>
      </c>
      <c r="F30" s="8">
        <v>9.6</v>
      </c>
      <c r="G30" s="3">
        <v>1</v>
      </c>
    </row>
    <row r="31" spans="1:7" x14ac:dyDescent="0.25">
      <c r="A31" s="23"/>
      <c r="B31" s="17" t="s">
        <v>45</v>
      </c>
      <c r="C31" s="8">
        <v>31.6</v>
      </c>
      <c r="D31" s="3">
        <v>12</v>
      </c>
      <c r="F31" s="8">
        <v>30.2</v>
      </c>
      <c r="G31" s="3">
        <v>3</v>
      </c>
    </row>
    <row r="32" spans="1:7" x14ac:dyDescent="0.25">
      <c r="A32" s="23"/>
      <c r="B32" s="17" t="s">
        <v>46</v>
      </c>
      <c r="C32" s="8">
        <v>16.7</v>
      </c>
      <c r="D32" s="3">
        <v>1</v>
      </c>
      <c r="F32" s="8">
        <v>15.6</v>
      </c>
      <c r="G32" s="3">
        <v>14</v>
      </c>
    </row>
    <row r="33" spans="1:7" x14ac:dyDescent="0.25">
      <c r="A33" s="23"/>
      <c r="B33" s="17" t="s">
        <v>47</v>
      </c>
      <c r="C33" s="8">
        <v>9.9</v>
      </c>
      <c r="D33" s="3">
        <v>8</v>
      </c>
      <c r="F33" s="8">
        <v>11.1</v>
      </c>
      <c r="G33" s="3">
        <v>23</v>
      </c>
    </row>
    <row r="35" spans="1:7" x14ac:dyDescent="0.25">
      <c r="A35" s="23" t="s">
        <v>60</v>
      </c>
      <c r="B35" s="4" t="s">
        <v>8</v>
      </c>
      <c r="C35" s="8">
        <v>109.8</v>
      </c>
      <c r="D35" s="3">
        <v>16</v>
      </c>
      <c r="F35" s="8">
        <v>104.3</v>
      </c>
      <c r="G35" s="3">
        <v>22</v>
      </c>
    </row>
    <row r="36" spans="1:7" x14ac:dyDescent="0.25">
      <c r="A36" s="23"/>
      <c r="B36" s="4" t="s">
        <v>9</v>
      </c>
      <c r="C36" s="8">
        <v>106.5</v>
      </c>
      <c r="D36" s="3">
        <v>4</v>
      </c>
      <c r="F36" s="8">
        <v>104.7</v>
      </c>
      <c r="G36" s="3">
        <v>12</v>
      </c>
    </row>
    <row r="37" spans="1:7" x14ac:dyDescent="0.25">
      <c r="A37" s="23"/>
      <c r="B37" s="4" t="s">
        <v>10</v>
      </c>
      <c r="C37" s="8">
        <v>3.4</v>
      </c>
      <c r="D37" s="3">
        <v>10</v>
      </c>
      <c r="F37" s="8">
        <v>-0.4</v>
      </c>
      <c r="G37" s="3">
        <v>14</v>
      </c>
    </row>
    <row r="38" spans="1:7" x14ac:dyDescent="0.25">
      <c r="A38" s="23"/>
      <c r="B38" s="4" t="s">
        <v>11</v>
      </c>
      <c r="C38" s="13">
        <v>103.38</v>
      </c>
      <c r="D38" s="3">
        <v>6</v>
      </c>
      <c r="F38" s="13">
        <v>100.64</v>
      </c>
      <c r="G38" s="3">
        <v>19</v>
      </c>
    </row>
    <row r="39" spans="1:7" x14ac:dyDescent="0.25">
      <c r="A39" s="23"/>
      <c r="B39" s="4" t="s">
        <v>12</v>
      </c>
      <c r="C39" s="10">
        <v>0.51400000000000001</v>
      </c>
      <c r="D39" s="3">
        <v>22</v>
      </c>
      <c r="F39" s="9">
        <v>0.51700000000000002</v>
      </c>
      <c r="G39" s="3">
        <v>15</v>
      </c>
    </row>
    <row r="40" spans="1:7" x14ac:dyDescent="0.25">
      <c r="A40" s="23"/>
      <c r="B40" s="4" t="s">
        <v>13</v>
      </c>
      <c r="C40" s="10">
        <v>0.54800000000000004</v>
      </c>
      <c r="D40" s="3">
        <v>26</v>
      </c>
      <c r="F40" s="9">
        <v>0.56499999999999995</v>
      </c>
      <c r="G40" s="3">
        <v>21</v>
      </c>
    </row>
    <row r="41" spans="1:7" x14ac:dyDescent="0.25">
      <c r="A41" s="23"/>
      <c r="B41" s="4" t="s">
        <v>14</v>
      </c>
      <c r="C41" s="10">
        <v>0.50900000000000001</v>
      </c>
      <c r="D41" s="3">
        <v>7</v>
      </c>
      <c r="F41" s="9">
        <v>0.47899999999999998</v>
      </c>
      <c r="G41" s="3">
        <v>29</v>
      </c>
    </row>
    <row r="42" spans="1:7" x14ac:dyDescent="0.25">
      <c r="A42" s="23"/>
      <c r="B42" s="4" t="s">
        <v>15</v>
      </c>
      <c r="C42" s="10">
        <v>0.29799999999999999</v>
      </c>
      <c r="D42" s="3">
        <v>3</v>
      </c>
      <c r="F42" s="9">
        <v>0.222</v>
      </c>
      <c r="G42" s="3">
        <v>30</v>
      </c>
    </row>
    <row r="43" spans="1:7" x14ac:dyDescent="0.25">
      <c r="A43" s="23"/>
      <c r="B43" s="4" t="s">
        <v>16</v>
      </c>
      <c r="C43" s="10">
        <v>0.73799999999999999</v>
      </c>
      <c r="D43" s="3">
        <v>9</v>
      </c>
      <c r="F43" s="9">
        <v>0.71899999999999997</v>
      </c>
      <c r="G43" s="3">
        <v>22</v>
      </c>
    </row>
    <row r="44" spans="1:7" x14ac:dyDescent="0.25">
      <c r="A44" s="23"/>
      <c r="B44" s="4" t="s">
        <v>17</v>
      </c>
      <c r="C44" s="10">
        <v>0.13400000000000001</v>
      </c>
      <c r="D44" s="3">
        <v>8</v>
      </c>
      <c r="F44" s="9">
        <v>0.156</v>
      </c>
      <c r="G44" s="3">
        <v>20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80.2</v>
      </c>
      <c r="D46" s="3">
        <v>4</v>
      </c>
      <c r="F46" s="8">
        <v>70</v>
      </c>
      <c r="G46" s="3">
        <v>18</v>
      </c>
    </row>
    <row r="47" spans="1:7" x14ac:dyDescent="0.25">
      <c r="A47" s="23"/>
      <c r="B47" s="20" t="s">
        <v>49</v>
      </c>
      <c r="C47" s="8">
        <v>75.900000000000006</v>
      </c>
      <c r="D47" s="3">
        <v>23</v>
      </c>
      <c r="F47" s="8">
        <v>69.400000000000006</v>
      </c>
      <c r="G47" s="3">
        <v>11</v>
      </c>
    </row>
    <row r="48" spans="1:7" x14ac:dyDescent="0.25">
      <c r="A48" s="23"/>
      <c r="B48" s="20" t="s">
        <v>50</v>
      </c>
      <c r="C48" s="8">
        <v>4.4000000000000004</v>
      </c>
      <c r="D48" s="3">
        <v>6</v>
      </c>
      <c r="F48" s="8">
        <v>0.5</v>
      </c>
      <c r="G48" s="3">
        <v>15</v>
      </c>
    </row>
    <row r="49" spans="1:7" x14ac:dyDescent="0.25">
      <c r="A49" s="23"/>
      <c r="B49" s="20" t="s">
        <v>51</v>
      </c>
      <c r="C49" s="8">
        <v>49.2</v>
      </c>
      <c r="D49" s="3">
        <v>30</v>
      </c>
      <c r="F49" s="8">
        <v>51.8</v>
      </c>
      <c r="G49" s="3">
        <v>21</v>
      </c>
    </row>
    <row r="50" spans="1:7" x14ac:dyDescent="0.25">
      <c r="A50" s="23"/>
      <c r="B50" s="20" t="s">
        <v>52</v>
      </c>
      <c r="C50" s="8">
        <v>50.4</v>
      </c>
      <c r="D50" s="3">
        <v>3</v>
      </c>
      <c r="F50" s="8">
        <v>52.4</v>
      </c>
      <c r="G50" s="3">
        <v>8</v>
      </c>
    </row>
    <row r="51" spans="1:7" x14ac:dyDescent="0.25">
      <c r="A51" s="23"/>
      <c r="B51" s="20" t="s">
        <v>53</v>
      </c>
      <c r="C51" s="8">
        <v>-1.2</v>
      </c>
      <c r="D51" s="3">
        <v>16</v>
      </c>
      <c r="F51" s="8">
        <v>-0.6</v>
      </c>
      <c r="G51" s="3">
        <v>14</v>
      </c>
    </row>
    <row r="53" spans="1:7" x14ac:dyDescent="0.25">
      <c r="A53" s="23" t="s">
        <v>57</v>
      </c>
      <c r="B53" s="6" t="s">
        <v>18</v>
      </c>
      <c r="C53" s="7">
        <v>19.2</v>
      </c>
      <c r="D53" s="3">
        <v>2</v>
      </c>
      <c r="F53" s="7">
        <v>15.7</v>
      </c>
      <c r="G53" s="3">
        <v>24</v>
      </c>
    </row>
    <row r="54" spans="1:7" x14ac:dyDescent="0.25">
      <c r="A54" s="23"/>
      <c r="B54" s="6" t="s">
        <v>19</v>
      </c>
      <c r="C54" s="7">
        <v>16</v>
      </c>
      <c r="D54" s="3">
        <v>12</v>
      </c>
      <c r="F54" s="7">
        <v>17.600000000000001</v>
      </c>
      <c r="G54" s="3">
        <v>16</v>
      </c>
    </row>
    <row r="55" spans="1:7" x14ac:dyDescent="0.25">
      <c r="A55" s="23"/>
      <c r="B55" s="6" t="s">
        <v>20</v>
      </c>
      <c r="C55" s="7">
        <v>15.5</v>
      </c>
      <c r="D55" s="3">
        <v>2</v>
      </c>
      <c r="F55" s="7">
        <v>9.6</v>
      </c>
      <c r="G55" s="3">
        <v>29</v>
      </c>
    </row>
    <row r="56" spans="1:7" x14ac:dyDescent="0.25">
      <c r="A56" s="23"/>
      <c r="B56" s="6" t="s">
        <v>21</v>
      </c>
      <c r="C56" s="7">
        <v>12.5</v>
      </c>
      <c r="D56" s="3">
        <v>8</v>
      </c>
      <c r="F56" s="7">
        <v>13.3</v>
      </c>
      <c r="G56" s="3">
        <v>17</v>
      </c>
    </row>
    <row r="57" spans="1:7" x14ac:dyDescent="0.25">
      <c r="A57" s="23"/>
      <c r="B57" s="6" t="s">
        <v>22</v>
      </c>
      <c r="C57" s="7">
        <v>18.2</v>
      </c>
      <c r="D57" s="3">
        <v>18.2</v>
      </c>
      <c r="F57" s="7">
        <v>9.6</v>
      </c>
      <c r="G57" s="3">
        <v>9.6</v>
      </c>
    </row>
    <row r="58" spans="1:7" x14ac:dyDescent="0.25">
      <c r="A58" s="23"/>
      <c r="B58" s="6" t="s">
        <v>23</v>
      </c>
      <c r="C58" s="7">
        <v>12.3</v>
      </c>
      <c r="D58" s="3">
        <v>12.3</v>
      </c>
      <c r="F58" s="7">
        <v>11.6</v>
      </c>
      <c r="G58" s="3">
        <v>11.6</v>
      </c>
    </row>
    <row r="59" spans="1:7" x14ac:dyDescent="0.25">
      <c r="A59" s="23"/>
      <c r="B59" s="6" t="s">
        <v>24</v>
      </c>
      <c r="C59" s="7">
        <v>51.8</v>
      </c>
      <c r="D59" s="3">
        <v>6</v>
      </c>
      <c r="F59" s="7">
        <v>42.6</v>
      </c>
      <c r="G59" s="3">
        <v>27</v>
      </c>
    </row>
    <row r="60" spans="1:7" x14ac:dyDescent="0.25">
      <c r="A60" s="23"/>
      <c r="B60" s="6" t="s">
        <v>25</v>
      </c>
      <c r="C60" s="7">
        <v>48.4</v>
      </c>
      <c r="D60" s="3">
        <v>13</v>
      </c>
      <c r="F60" s="7">
        <v>48.4</v>
      </c>
      <c r="G60" s="3">
        <v>17</v>
      </c>
    </row>
    <row r="62" spans="1:7" x14ac:dyDescent="0.25">
      <c r="A62" s="23" t="s">
        <v>58</v>
      </c>
      <c r="B62" s="21" t="s">
        <v>54</v>
      </c>
      <c r="C62" s="22">
        <v>3.8</v>
      </c>
      <c r="D62" s="3">
        <v>15</v>
      </c>
      <c r="F62" s="22">
        <v>3.3</v>
      </c>
      <c r="G62" s="3">
        <v>22</v>
      </c>
    </row>
    <row r="63" spans="1:7" x14ac:dyDescent="0.25">
      <c r="A63" s="23"/>
      <c r="B63" s="21" t="s">
        <v>55</v>
      </c>
      <c r="C63" s="3">
        <v>22</v>
      </c>
      <c r="D63" s="3">
        <v>11</v>
      </c>
      <c r="F63" s="3">
        <v>4</v>
      </c>
      <c r="G63" s="3">
        <v>12</v>
      </c>
    </row>
    <row r="64" spans="1:7" x14ac:dyDescent="0.25">
      <c r="A64" s="23"/>
      <c r="B64" s="21" t="s">
        <v>56</v>
      </c>
      <c r="C64" s="3">
        <v>24</v>
      </c>
      <c r="D64" s="3">
        <v>21</v>
      </c>
      <c r="F64" s="3">
        <v>7</v>
      </c>
      <c r="G64" s="3">
        <v>29</v>
      </c>
    </row>
    <row r="65" spans="1:7" x14ac:dyDescent="0.25">
      <c r="A65" s="23"/>
      <c r="B65" s="21" t="s">
        <v>26</v>
      </c>
      <c r="C65" s="9">
        <v>0.38200000000000001</v>
      </c>
      <c r="D65" s="3">
        <v>30</v>
      </c>
      <c r="F65" s="9">
        <v>0.52600000000000002</v>
      </c>
      <c r="G65" s="3">
        <v>2</v>
      </c>
    </row>
    <row r="66" spans="1:7" x14ac:dyDescent="0.25">
      <c r="A66" s="23"/>
      <c r="B66" s="21" t="s">
        <v>42</v>
      </c>
      <c r="C66" s="9">
        <v>0.44900000000000001</v>
      </c>
      <c r="D66" s="3">
        <v>23</v>
      </c>
      <c r="F66" s="9">
        <v>0.52500000000000002</v>
      </c>
      <c r="G66" s="3">
        <v>29</v>
      </c>
    </row>
    <row r="67" spans="1:7" x14ac:dyDescent="0.25">
      <c r="A67" s="23"/>
      <c r="B67" s="21" t="s">
        <v>8</v>
      </c>
      <c r="C67" s="8">
        <v>108.2</v>
      </c>
      <c r="D67" s="3">
        <v>17</v>
      </c>
      <c r="F67" s="8">
        <v>125.3</v>
      </c>
      <c r="G67" s="3">
        <v>4</v>
      </c>
    </row>
    <row r="68" spans="1:7" x14ac:dyDescent="0.25">
      <c r="A68" s="23"/>
      <c r="B68" s="21" t="s">
        <v>9</v>
      </c>
      <c r="C68" s="8">
        <v>106.8</v>
      </c>
      <c r="D68" s="3">
        <v>10</v>
      </c>
      <c r="F68" s="8">
        <v>122</v>
      </c>
      <c r="G68" s="3">
        <v>25</v>
      </c>
    </row>
    <row r="69" spans="1:7" x14ac:dyDescent="0.25">
      <c r="A69" s="23"/>
      <c r="B69" s="21" t="s">
        <v>10</v>
      </c>
      <c r="C69" s="8">
        <v>1.4</v>
      </c>
      <c r="D69" s="3">
        <v>12</v>
      </c>
      <c r="F69" s="8">
        <v>3.3</v>
      </c>
      <c r="G69" s="3">
        <v>13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workbookViewId="0">
      <selection activeCell="D7" sqref="D7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1610612760</v>
      </c>
      <c r="B2" s="1" t="s">
        <v>755</v>
      </c>
      <c r="C2" s="1" t="s">
        <v>145</v>
      </c>
      <c r="D2" s="1" t="s">
        <v>1348</v>
      </c>
      <c r="E2" s="1" t="s">
        <v>1322</v>
      </c>
      <c r="F2" s="1" t="s">
        <v>1323</v>
      </c>
      <c r="G2" s="1" t="s">
        <v>286</v>
      </c>
      <c r="H2" s="1" t="s">
        <v>1343</v>
      </c>
      <c r="I2" s="1" t="s">
        <v>1349</v>
      </c>
      <c r="J2" s="1">
        <v>21</v>
      </c>
      <c r="K2" s="1" t="s">
        <v>756</v>
      </c>
      <c r="L2" s="1" t="s">
        <v>1332</v>
      </c>
      <c r="M2" s="1">
        <v>1628983</v>
      </c>
    </row>
    <row r="3" spans="1:13" x14ac:dyDescent="0.25">
      <c r="A3" s="1">
        <v>1610612760</v>
      </c>
      <c r="B3" s="1" t="s">
        <v>755</v>
      </c>
      <c r="C3" s="1" t="s">
        <v>145</v>
      </c>
      <c r="D3" s="1" t="s">
        <v>1350</v>
      </c>
      <c r="E3" s="1" t="s">
        <v>1326</v>
      </c>
      <c r="F3" s="1" t="s">
        <v>757</v>
      </c>
      <c r="G3" s="1" t="s">
        <v>409</v>
      </c>
      <c r="H3" s="1" t="s">
        <v>1351</v>
      </c>
      <c r="I3" s="1" t="s">
        <v>1352</v>
      </c>
      <c r="J3" s="1">
        <v>34</v>
      </c>
      <c r="K3" s="1" t="s">
        <v>1347</v>
      </c>
      <c r="L3" s="1" t="s">
        <v>1353</v>
      </c>
      <c r="M3" s="1">
        <v>101108</v>
      </c>
    </row>
    <row r="4" spans="1:13" x14ac:dyDescent="0.25">
      <c r="A4" s="1">
        <v>1610612760</v>
      </c>
      <c r="B4" s="1" t="s">
        <v>755</v>
      </c>
      <c r="C4" s="1" t="s">
        <v>145</v>
      </c>
      <c r="D4" s="1" t="s">
        <v>1354</v>
      </c>
      <c r="E4" s="1" t="s">
        <v>758</v>
      </c>
      <c r="F4" s="1" t="s">
        <v>757</v>
      </c>
      <c r="G4" s="1" t="s">
        <v>256</v>
      </c>
      <c r="H4" s="1" t="s">
        <v>1334</v>
      </c>
      <c r="I4" s="1" t="s">
        <v>1355</v>
      </c>
      <c r="J4" s="1">
        <v>20</v>
      </c>
      <c r="K4" s="1" t="s">
        <v>1327</v>
      </c>
      <c r="L4" s="1" t="s">
        <v>1356</v>
      </c>
      <c r="M4" s="1">
        <v>1629652</v>
      </c>
    </row>
    <row r="5" spans="1:13" x14ac:dyDescent="0.25">
      <c r="A5" s="1">
        <v>1610612760</v>
      </c>
      <c r="B5" s="1" t="s">
        <v>755</v>
      </c>
      <c r="C5" s="1" t="s">
        <v>145</v>
      </c>
      <c r="D5" s="1" t="s">
        <v>1357</v>
      </c>
      <c r="E5" s="1" t="s">
        <v>1358</v>
      </c>
      <c r="F5" s="1" t="s">
        <v>757</v>
      </c>
      <c r="G5" s="1" t="s">
        <v>286</v>
      </c>
      <c r="H5" s="1" t="s">
        <v>1359</v>
      </c>
      <c r="I5" s="1" t="s">
        <v>1360</v>
      </c>
      <c r="J5" s="1">
        <v>21</v>
      </c>
      <c r="K5" s="1" t="s">
        <v>756</v>
      </c>
      <c r="L5" s="1" t="s">
        <v>1332</v>
      </c>
      <c r="M5" s="1">
        <v>1628977</v>
      </c>
    </row>
    <row r="6" spans="1:13" x14ac:dyDescent="0.25">
      <c r="A6" s="1">
        <v>1610612760</v>
      </c>
      <c r="B6" s="1" t="s">
        <v>755</v>
      </c>
      <c r="C6" s="1" t="s">
        <v>145</v>
      </c>
      <c r="D6" s="1" t="s">
        <v>1361</v>
      </c>
      <c r="E6" s="1" t="s">
        <v>1325</v>
      </c>
      <c r="F6" s="1" t="s">
        <v>1341</v>
      </c>
      <c r="G6" s="1" t="s">
        <v>299</v>
      </c>
      <c r="H6" s="1" t="s">
        <v>1362</v>
      </c>
      <c r="I6" s="1" t="s">
        <v>1363</v>
      </c>
      <c r="J6" s="1">
        <v>19</v>
      </c>
      <c r="K6" s="1" t="s">
        <v>1327</v>
      </c>
      <c r="L6" s="1" t="s">
        <v>1324</v>
      </c>
      <c r="M6" s="1">
        <v>1629647</v>
      </c>
    </row>
    <row r="7" spans="1:13" x14ac:dyDescent="0.25">
      <c r="A7" s="1">
        <v>1610612760</v>
      </c>
      <c r="B7" s="1" t="s">
        <v>755</v>
      </c>
      <c r="C7" s="1" t="s">
        <v>145</v>
      </c>
      <c r="D7" s="1" t="s">
        <v>1364</v>
      </c>
      <c r="E7" s="1" t="s">
        <v>1335</v>
      </c>
      <c r="F7" s="1" t="s">
        <v>759</v>
      </c>
      <c r="G7" s="1" t="s">
        <v>410</v>
      </c>
      <c r="H7" s="1" t="s">
        <v>1365</v>
      </c>
      <c r="I7" s="1" t="s">
        <v>1366</v>
      </c>
      <c r="J7" s="1">
        <v>31</v>
      </c>
      <c r="K7" s="1" t="s">
        <v>1337</v>
      </c>
      <c r="L7" s="1" t="s">
        <v>1324</v>
      </c>
      <c r="M7" s="1">
        <v>201568</v>
      </c>
    </row>
    <row r="8" spans="1:13" x14ac:dyDescent="0.25">
      <c r="A8" s="1">
        <v>1610612760</v>
      </c>
      <c r="B8" s="1" t="s">
        <v>755</v>
      </c>
      <c r="C8" s="1" t="s">
        <v>145</v>
      </c>
      <c r="D8" s="1" t="s">
        <v>1367</v>
      </c>
      <c r="E8" s="1" t="s">
        <v>1368</v>
      </c>
      <c r="F8" s="1" t="s">
        <v>1346</v>
      </c>
      <c r="G8" s="1" t="s">
        <v>410</v>
      </c>
      <c r="H8" s="1" t="s">
        <v>1330</v>
      </c>
      <c r="I8" s="1" t="s">
        <v>1369</v>
      </c>
      <c r="J8" s="1">
        <v>25</v>
      </c>
      <c r="K8" s="1" t="s">
        <v>758</v>
      </c>
      <c r="L8" s="1" t="s">
        <v>1332</v>
      </c>
      <c r="M8" s="1">
        <v>203457</v>
      </c>
    </row>
    <row r="9" spans="1:13" x14ac:dyDescent="0.25">
      <c r="A9" s="1">
        <v>1610612760</v>
      </c>
      <c r="B9" s="1" t="s">
        <v>755</v>
      </c>
      <c r="C9" s="1" t="s">
        <v>145</v>
      </c>
      <c r="D9" s="1" t="s">
        <v>1370</v>
      </c>
      <c r="E9" s="1" t="s">
        <v>1344</v>
      </c>
      <c r="F9" s="1" t="s">
        <v>759</v>
      </c>
      <c r="G9" s="1" t="s">
        <v>286</v>
      </c>
      <c r="H9" s="1" t="s">
        <v>1340</v>
      </c>
      <c r="I9" s="1" t="s">
        <v>1371</v>
      </c>
      <c r="J9" s="1">
        <v>26</v>
      </c>
      <c r="K9" s="1" t="s">
        <v>1322</v>
      </c>
      <c r="L9" s="1" t="s">
        <v>1372</v>
      </c>
      <c r="M9" s="1">
        <v>1627846</v>
      </c>
    </row>
    <row r="10" spans="1:13" x14ac:dyDescent="0.25">
      <c r="A10" s="1">
        <v>1610612760</v>
      </c>
      <c r="B10" s="1" t="s">
        <v>755</v>
      </c>
      <c r="C10" s="1" t="s">
        <v>145</v>
      </c>
      <c r="D10" s="1" t="s">
        <v>1373</v>
      </c>
      <c r="E10" s="1" t="s">
        <v>1345</v>
      </c>
      <c r="F10" s="1" t="s">
        <v>1329</v>
      </c>
      <c r="G10" s="1" t="s">
        <v>1333</v>
      </c>
      <c r="H10" s="1" t="s">
        <v>1374</v>
      </c>
      <c r="I10" s="1" t="s">
        <v>1375</v>
      </c>
      <c r="J10" s="1">
        <v>26</v>
      </c>
      <c r="K10" s="1" t="s">
        <v>1358</v>
      </c>
      <c r="L10" s="1" t="s">
        <v>1376</v>
      </c>
      <c r="M10" s="1">
        <v>203500</v>
      </c>
    </row>
    <row r="11" spans="1:13" x14ac:dyDescent="0.25">
      <c r="A11" s="1">
        <v>1610612760</v>
      </c>
      <c r="B11" s="1" t="s">
        <v>755</v>
      </c>
      <c r="C11" s="1" t="s">
        <v>145</v>
      </c>
      <c r="D11" s="1" t="s">
        <v>1377</v>
      </c>
      <c r="E11" s="1" t="s">
        <v>1338</v>
      </c>
      <c r="F11" s="1" t="s">
        <v>1329</v>
      </c>
      <c r="G11" s="1" t="s">
        <v>1333</v>
      </c>
      <c r="H11" s="1" t="s">
        <v>1378</v>
      </c>
      <c r="I11" s="1" t="s">
        <v>1379</v>
      </c>
      <c r="J11" s="1">
        <v>22</v>
      </c>
      <c r="K11" s="1" t="s">
        <v>1322</v>
      </c>
      <c r="L11" s="1" t="s">
        <v>1380</v>
      </c>
      <c r="M11" s="1">
        <v>1628383</v>
      </c>
    </row>
    <row r="12" spans="1:13" x14ac:dyDescent="0.25">
      <c r="A12" s="1">
        <v>1610612760</v>
      </c>
      <c r="B12" s="1" t="s">
        <v>755</v>
      </c>
      <c r="C12" s="1" t="s">
        <v>145</v>
      </c>
      <c r="D12" s="1" t="s">
        <v>1381</v>
      </c>
      <c r="E12" s="1" t="s">
        <v>1382</v>
      </c>
      <c r="F12" s="1" t="s">
        <v>757</v>
      </c>
      <c r="G12" s="1" t="s">
        <v>409</v>
      </c>
      <c r="H12" s="1" t="s">
        <v>1383</v>
      </c>
      <c r="I12" s="1" t="s">
        <v>1384</v>
      </c>
      <c r="J12" s="1">
        <v>26</v>
      </c>
      <c r="K12" s="1" t="s">
        <v>1358</v>
      </c>
      <c r="L12" s="1" t="s">
        <v>1324</v>
      </c>
      <c r="M12" s="1">
        <v>203471</v>
      </c>
    </row>
    <row r="13" spans="1:13" x14ac:dyDescent="0.25">
      <c r="A13" s="1">
        <v>1610612760</v>
      </c>
      <c r="B13" s="1" t="s">
        <v>755</v>
      </c>
      <c r="C13" s="1" t="s">
        <v>145</v>
      </c>
      <c r="D13" s="1" t="s">
        <v>1385</v>
      </c>
      <c r="E13" s="1" t="s">
        <v>1386</v>
      </c>
      <c r="F13" s="1" t="s">
        <v>1323</v>
      </c>
      <c r="G13" s="1" t="s">
        <v>331</v>
      </c>
      <c r="H13" s="1" t="s">
        <v>1387</v>
      </c>
      <c r="I13" s="1" t="s">
        <v>1388</v>
      </c>
      <c r="J13" s="1">
        <v>27</v>
      </c>
      <c r="K13" s="1" t="s">
        <v>758</v>
      </c>
      <c r="L13" s="1" t="s">
        <v>1342</v>
      </c>
      <c r="M13" s="1">
        <v>203460</v>
      </c>
    </row>
    <row r="14" spans="1:13" x14ac:dyDescent="0.25">
      <c r="A14" s="1">
        <v>1610612760</v>
      </c>
      <c r="B14" s="1" t="s">
        <v>755</v>
      </c>
      <c r="C14" s="1" t="s">
        <v>145</v>
      </c>
      <c r="D14" s="1" t="s">
        <v>1389</v>
      </c>
      <c r="E14" s="1" t="s">
        <v>1339</v>
      </c>
      <c r="F14" s="1" t="s">
        <v>757</v>
      </c>
      <c r="G14" s="1" t="s">
        <v>227</v>
      </c>
      <c r="H14" s="1" t="s">
        <v>1334</v>
      </c>
      <c r="I14" s="1" t="s">
        <v>1390</v>
      </c>
      <c r="J14" s="1">
        <v>24</v>
      </c>
      <c r="K14" s="1" t="s">
        <v>1327</v>
      </c>
      <c r="L14" s="1" t="s">
        <v>1391</v>
      </c>
      <c r="M14" s="1">
        <v>1628985</v>
      </c>
    </row>
    <row r="15" spans="1:13" x14ac:dyDescent="0.25">
      <c r="A15" s="1">
        <v>1610612760</v>
      </c>
      <c r="B15" s="1" t="s">
        <v>755</v>
      </c>
      <c r="C15" s="1" t="s">
        <v>145</v>
      </c>
      <c r="D15" s="1" t="s">
        <v>1392</v>
      </c>
      <c r="E15" s="1" t="s">
        <v>1393</v>
      </c>
      <c r="F15" s="1" t="s">
        <v>757</v>
      </c>
      <c r="G15" s="1" t="s">
        <v>1336</v>
      </c>
      <c r="H15" s="1" t="s">
        <v>1328</v>
      </c>
      <c r="I15" s="1" t="s">
        <v>1394</v>
      </c>
      <c r="J15" s="1">
        <v>21</v>
      </c>
      <c r="K15" s="1" t="s">
        <v>1322</v>
      </c>
      <c r="L15" s="1" t="s">
        <v>1324</v>
      </c>
      <c r="M15" s="1">
        <v>1628390</v>
      </c>
    </row>
    <row r="16" spans="1:13" x14ac:dyDescent="0.25">
      <c r="A16" s="1">
        <v>1610612760</v>
      </c>
      <c r="B16" s="1" t="s">
        <v>755</v>
      </c>
      <c r="C16" s="1" t="s">
        <v>145</v>
      </c>
      <c r="D16" s="1" t="s">
        <v>1395</v>
      </c>
      <c r="E16" s="1" t="s">
        <v>1396</v>
      </c>
      <c r="F16" s="1" t="s">
        <v>1323</v>
      </c>
      <c r="G16" s="1" t="s">
        <v>266</v>
      </c>
      <c r="H16" s="1" t="s">
        <v>1397</v>
      </c>
      <c r="I16" s="1" t="s">
        <v>1398</v>
      </c>
      <c r="J16" s="1">
        <v>25</v>
      </c>
      <c r="K16" s="1" t="s">
        <v>756</v>
      </c>
      <c r="L16" s="1" t="s">
        <v>1372</v>
      </c>
      <c r="M16" s="1">
        <v>1629126</v>
      </c>
    </row>
    <row r="17" spans="1:13" x14ac:dyDescent="0.25">
      <c r="A17" s="1">
        <v>1610612760</v>
      </c>
      <c r="B17" s="1" t="s">
        <v>755</v>
      </c>
      <c r="C17" s="1" t="s">
        <v>145</v>
      </c>
      <c r="D17" s="1" t="s">
        <v>1399</v>
      </c>
      <c r="E17" s="1" t="s">
        <v>1400</v>
      </c>
      <c r="F17" s="1" t="s">
        <v>1331</v>
      </c>
      <c r="G17" s="1" t="s">
        <v>410</v>
      </c>
      <c r="H17" s="1" t="s">
        <v>1397</v>
      </c>
      <c r="I17" s="1" t="s">
        <v>1401</v>
      </c>
      <c r="J17" s="1">
        <v>28</v>
      </c>
      <c r="K17" s="1" t="s">
        <v>1358</v>
      </c>
      <c r="L17" s="1" t="s">
        <v>1402</v>
      </c>
      <c r="M17" s="1">
        <v>203488</v>
      </c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180</v>
      </c>
      <c r="H2" s="1">
        <v>1</v>
      </c>
      <c r="I2" s="1" t="s">
        <v>151</v>
      </c>
      <c r="J2" s="1" t="s">
        <v>181</v>
      </c>
      <c r="K2" s="1" t="s">
        <v>182</v>
      </c>
      <c r="L2" s="1">
        <v>1</v>
      </c>
      <c r="M2" s="1">
        <v>12</v>
      </c>
      <c r="N2" s="1">
        <v>3</v>
      </c>
      <c r="O2" s="1">
        <v>0.8</v>
      </c>
      <c r="P2" s="1">
        <v>0</v>
      </c>
      <c r="Q2" s="1" t="s">
        <v>183</v>
      </c>
      <c r="R2" s="1" t="s">
        <v>155</v>
      </c>
      <c r="S2" s="1" t="s">
        <v>184</v>
      </c>
      <c r="T2" s="1" t="s">
        <v>156</v>
      </c>
      <c r="U2" s="1" t="s">
        <v>155</v>
      </c>
      <c r="V2" s="1" t="s">
        <v>184</v>
      </c>
      <c r="W2" s="1" t="s">
        <v>185</v>
      </c>
      <c r="X2" s="1" t="s">
        <v>186</v>
      </c>
      <c r="Y2" s="1" t="s">
        <v>187</v>
      </c>
      <c r="Z2" s="1">
        <v>4</v>
      </c>
      <c r="AA2" s="1" t="s">
        <v>159</v>
      </c>
      <c r="AB2" s="1">
        <v>4</v>
      </c>
      <c r="AC2" s="1" t="s">
        <v>159</v>
      </c>
      <c r="AD2" s="1">
        <v>6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6</v>
      </c>
      <c r="AK2" s="1" t="s">
        <v>188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184</v>
      </c>
      <c r="AT2" s="1" t="s">
        <v>155</v>
      </c>
      <c r="AU2" s="1" t="s">
        <v>161</v>
      </c>
      <c r="AV2" s="1" t="s">
        <v>189</v>
      </c>
      <c r="AW2" s="1" t="s">
        <v>190</v>
      </c>
      <c r="AX2" s="1" t="s">
        <v>161</v>
      </c>
      <c r="AY2" s="1" t="s">
        <v>191</v>
      </c>
      <c r="AZ2" s="1" t="s">
        <v>192</v>
      </c>
      <c r="BA2" s="1" t="s">
        <v>193</v>
      </c>
      <c r="BB2" s="1" t="s">
        <v>189</v>
      </c>
      <c r="BC2" s="1" t="s">
        <v>167</v>
      </c>
      <c r="BD2" s="1" t="s">
        <v>155</v>
      </c>
      <c r="BE2" s="1">
        <v>120.8</v>
      </c>
      <c r="BF2" s="1">
        <v>111.5</v>
      </c>
      <c r="BG2" s="1">
        <v>9.3000000000000007</v>
      </c>
      <c r="BH2" s="1" t="s">
        <v>194</v>
      </c>
      <c r="BI2" s="1" t="s">
        <v>195</v>
      </c>
      <c r="BJ2" s="1" t="s">
        <v>196</v>
      </c>
      <c r="BK2" s="1" t="s">
        <v>197</v>
      </c>
      <c r="BL2" s="1" t="s">
        <v>198</v>
      </c>
      <c r="BM2" s="1" t="s">
        <v>175</v>
      </c>
      <c r="BN2" s="1" t="s">
        <v>171</v>
      </c>
      <c r="BO2" s="1" t="s">
        <v>171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199</v>
      </c>
      <c r="BZ2" s="1" t="s">
        <v>200</v>
      </c>
      <c r="CA2" s="1"/>
      <c r="CB2" s="1" t="s">
        <v>183</v>
      </c>
      <c r="CC2" s="1"/>
    </row>
    <row r="3" spans="1:81" x14ac:dyDescent="0.25">
      <c r="A3" s="1" t="s">
        <v>145</v>
      </c>
      <c r="B3" s="1" t="s">
        <v>146</v>
      </c>
      <c r="C3" s="1">
        <v>1610612747</v>
      </c>
      <c r="D3" s="1" t="s">
        <v>147</v>
      </c>
      <c r="E3" s="1" t="s">
        <v>148</v>
      </c>
      <c r="F3" s="1" t="s">
        <v>149</v>
      </c>
      <c r="G3" s="1" t="s">
        <v>150</v>
      </c>
      <c r="H3" s="1">
        <v>1</v>
      </c>
      <c r="I3" s="1" t="s">
        <v>151</v>
      </c>
      <c r="J3" s="1" t="s">
        <v>152</v>
      </c>
      <c r="K3" s="1" t="s">
        <v>153</v>
      </c>
      <c r="L3" s="1">
        <v>1</v>
      </c>
      <c r="M3" s="1">
        <v>12</v>
      </c>
      <c r="N3" s="1">
        <v>2</v>
      </c>
      <c r="O3" s="1">
        <v>0.85699999999999998</v>
      </c>
      <c r="P3" s="1">
        <v>0</v>
      </c>
      <c r="Q3" s="1" t="s">
        <v>154</v>
      </c>
      <c r="R3" s="1" t="s">
        <v>150</v>
      </c>
      <c r="S3" s="1" t="s">
        <v>155</v>
      </c>
      <c r="T3" s="1" t="s">
        <v>156</v>
      </c>
      <c r="U3" s="1" t="s">
        <v>150</v>
      </c>
      <c r="V3" s="1" t="s">
        <v>155</v>
      </c>
      <c r="W3" s="1" t="s">
        <v>157</v>
      </c>
      <c r="X3" s="1" t="s">
        <v>157</v>
      </c>
      <c r="Y3" s="1" t="s">
        <v>158</v>
      </c>
      <c r="Z3" s="1">
        <v>4</v>
      </c>
      <c r="AA3" s="1" t="s">
        <v>159</v>
      </c>
      <c r="AB3" s="1">
        <v>4</v>
      </c>
      <c r="AC3" s="1" t="s">
        <v>159</v>
      </c>
      <c r="AD3" s="1">
        <v>7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5</v>
      </c>
      <c r="AK3" s="1" t="s">
        <v>160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156</v>
      </c>
      <c r="AT3" s="1" t="s">
        <v>153</v>
      </c>
      <c r="AU3" s="1" t="s">
        <v>161</v>
      </c>
      <c r="AV3" s="1" t="s">
        <v>162</v>
      </c>
      <c r="AW3" s="1" t="s">
        <v>163</v>
      </c>
      <c r="AX3" s="1" t="s">
        <v>164</v>
      </c>
      <c r="AY3" s="1" t="s">
        <v>165</v>
      </c>
      <c r="AZ3" s="1" t="s">
        <v>166</v>
      </c>
      <c r="BA3" s="1" t="s">
        <v>166</v>
      </c>
      <c r="BB3" s="1" t="s">
        <v>167</v>
      </c>
      <c r="BC3" s="1" t="s">
        <v>156</v>
      </c>
      <c r="BD3" s="1" t="s">
        <v>168</v>
      </c>
      <c r="BE3" s="1">
        <v>110.9</v>
      </c>
      <c r="BF3" s="1">
        <v>101.1</v>
      </c>
      <c r="BG3" s="1">
        <v>9.8000000000000007</v>
      </c>
      <c r="BH3" s="1" t="s">
        <v>169</v>
      </c>
      <c r="BI3" s="1" t="s">
        <v>170</v>
      </c>
      <c r="BJ3" s="1" t="s">
        <v>171</v>
      </c>
      <c r="BK3" s="1" t="s">
        <v>172</v>
      </c>
      <c r="BL3" s="1" t="s">
        <v>173</v>
      </c>
      <c r="BM3" s="1" t="s">
        <v>174</v>
      </c>
      <c r="BN3" s="1" t="s">
        <v>175</v>
      </c>
      <c r="BO3" s="1" t="s">
        <v>172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175</v>
      </c>
      <c r="BZ3" s="1" t="s">
        <v>176</v>
      </c>
      <c r="CA3" s="1"/>
      <c r="CB3" s="1" t="s">
        <v>154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1610612748</v>
      </c>
      <c r="D6" s="1" t="s">
        <v>241</v>
      </c>
      <c r="E6" s="1" t="s">
        <v>242</v>
      </c>
      <c r="F6" s="1" t="s">
        <v>179</v>
      </c>
      <c r="G6" s="1" t="s">
        <v>243</v>
      </c>
      <c r="H6" s="1">
        <v>3</v>
      </c>
      <c r="I6" s="1" t="s">
        <v>151</v>
      </c>
      <c r="J6" s="1" t="s">
        <v>244</v>
      </c>
      <c r="K6" s="1" t="s">
        <v>163</v>
      </c>
      <c r="L6" s="1">
        <v>1</v>
      </c>
      <c r="M6" s="1">
        <v>10</v>
      </c>
      <c r="N6" s="1">
        <v>3</v>
      </c>
      <c r="O6" s="1">
        <v>0.76900000000000002</v>
      </c>
      <c r="P6" s="1">
        <v>0</v>
      </c>
      <c r="Q6" s="1" t="s">
        <v>220</v>
      </c>
      <c r="R6" s="1" t="s">
        <v>243</v>
      </c>
      <c r="S6" s="1" t="s">
        <v>245</v>
      </c>
      <c r="T6" s="1" t="s">
        <v>184</v>
      </c>
      <c r="U6" s="1" t="s">
        <v>243</v>
      </c>
      <c r="V6" s="1" t="s">
        <v>245</v>
      </c>
      <c r="W6" s="1" t="s">
        <v>157</v>
      </c>
      <c r="X6" s="1" t="s">
        <v>161</v>
      </c>
      <c r="Y6" s="1" t="s">
        <v>180</v>
      </c>
      <c r="Z6" s="1">
        <v>6</v>
      </c>
      <c r="AA6" s="1" t="s">
        <v>188</v>
      </c>
      <c r="AB6" s="1">
        <v>1</v>
      </c>
      <c r="AC6" s="1" t="s">
        <v>246</v>
      </c>
      <c r="AD6" s="1">
        <v>4</v>
      </c>
      <c r="AE6" s="1">
        <v>1</v>
      </c>
      <c r="AF6" s="1">
        <v>6</v>
      </c>
      <c r="AG6" s="1" t="s">
        <v>188</v>
      </c>
      <c r="AH6" s="1">
        <v>1</v>
      </c>
      <c r="AI6" s="1" t="s">
        <v>246</v>
      </c>
      <c r="AJ6" s="1">
        <v>4</v>
      </c>
      <c r="AK6" s="1" t="s">
        <v>159</v>
      </c>
      <c r="AL6" s="1">
        <v>1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224</v>
      </c>
      <c r="AU6" s="1" t="s">
        <v>161</v>
      </c>
      <c r="AV6" s="1" t="s">
        <v>150</v>
      </c>
      <c r="AW6" s="1" t="s">
        <v>224</v>
      </c>
      <c r="AX6" s="1" t="s">
        <v>161</v>
      </c>
      <c r="AY6" s="1" t="s">
        <v>210</v>
      </c>
      <c r="AZ6" s="1" t="s">
        <v>166</v>
      </c>
      <c r="BA6" s="1" t="s">
        <v>206</v>
      </c>
      <c r="BB6" s="1" t="s">
        <v>210</v>
      </c>
      <c r="BC6" s="1" t="s">
        <v>247</v>
      </c>
      <c r="BD6" s="1" t="s">
        <v>208</v>
      </c>
      <c r="BE6" s="1">
        <v>112.2</v>
      </c>
      <c r="BF6" s="1">
        <v>103.7</v>
      </c>
      <c r="BG6" s="1">
        <v>8.5</v>
      </c>
      <c r="BH6" s="1" t="s">
        <v>248</v>
      </c>
      <c r="BI6" s="1" t="s">
        <v>215</v>
      </c>
      <c r="BJ6" s="1" t="s">
        <v>196</v>
      </c>
      <c r="BK6" s="1" t="s">
        <v>174</v>
      </c>
      <c r="BL6" s="1" t="s">
        <v>249</v>
      </c>
      <c r="BM6" s="1" t="s">
        <v>250</v>
      </c>
      <c r="BN6" s="1" t="s">
        <v>195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169</v>
      </c>
      <c r="BZ6" s="1" t="s">
        <v>227</v>
      </c>
      <c r="CA6" s="1"/>
      <c r="CB6" s="1" t="s">
        <v>220</v>
      </c>
      <c r="CC6" s="1"/>
    </row>
    <row r="7" spans="1:81" x14ac:dyDescent="0.25">
      <c r="A7" s="1" t="s">
        <v>145</v>
      </c>
      <c r="B7" s="1" t="s">
        <v>146</v>
      </c>
      <c r="C7" s="1">
        <v>1610612745</v>
      </c>
      <c r="D7" s="1" t="s">
        <v>229</v>
      </c>
      <c r="E7" s="1" t="s">
        <v>230</v>
      </c>
      <c r="F7" s="1" t="s">
        <v>149</v>
      </c>
      <c r="G7" s="1" t="s">
        <v>150</v>
      </c>
      <c r="H7" s="1">
        <v>3</v>
      </c>
      <c r="I7" s="1" t="s">
        <v>151</v>
      </c>
      <c r="J7" s="1" t="s">
        <v>231</v>
      </c>
      <c r="K7" s="1" t="s">
        <v>232</v>
      </c>
      <c r="L7" s="1">
        <v>1</v>
      </c>
      <c r="M7" s="1">
        <v>11</v>
      </c>
      <c r="N7" s="1">
        <v>4</v>
      </c>
      <c r="O7" s="1">
        <v>0.73299999999999998</v>
      </c>
      <c r="P7" s="1">
        <v>0</v>
      </c>
      <c r="Q7" s="1" t="s">
        <v>233</v>
      </c>
      <c r="R7" s="1" t="s">
        <v>187</v>
      </c>
      <c r="S7" s="1" t="s">
        <v>234</v>
      </c>
      <c r="T7" s="1" t="s">
        <v>184</v>
      </c>
      <c r="U7" s="1" t="s">
        <v>187</v>
      </c>
      <c r="V7" s="1" t="s">
        <v>234</v>
      </c>
      <c r="W7" s="1" t="s">
        <v>161</v>
      </c>
      <c r="X7" s="1" t="s">
        <v>163</v>
      </c>
      <c r="Y7" s="1" t="s">
        <v>235</v>
      </c>
      <c r="Z7" s="1">
        <v>6</v>
      </c>
      <c r="AA7" s="1" t="s">
        <v>188</v>
      </c>
      <c r="AB7" s="1">
        <v>4</v>
      </c>
      <c r="AC7" s="1" t="s">
        <v>159</v>
      </c>
      <c r="AD7" s="1">
        <v>8</v>
      </c>
      <c r="AE7" s="1">
        <v>2</v>
      </c>
      <c r="AF7" s="1">
        <v>6</v>
      </c>
      <c r="AG7" s="1" t="s">
        <v>188</v>
      </c>
      <c r="AH7" s="1">
        <v>-1</v>
      </c>
      <c r="AI7" s="1" t="s">
        <v>207</v>
      </c>
      <c r="AJ7" s="1">
        <v>-1</v>
      </c>
      <c r="AK7" s="1" t="s">
        <v>207</v>
      </c>
      <c r="AL7" s="1">
        <v>1.5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236</v>
      </c>
      <c r="AU7" s="1" t="s">
        <v>157</v>
      </c>
      <c r="AV7" s="1" t="s">
        <v>156</v>
      </c>
      <c r="AW7" s="1" t="s">
        <v>236</v>
      </c>
      <c r="AX7" s="1" t="s">
        <v>161</v>
      </c>
      <c r="AY7" s="1" t="s">
        <v>237</v>
      </c>
      <c r="AZ7" s="1" t="s">
        <v>238</v>
      </c>
      <c r="BA7" s="1" t="s">
        <v>226</v>
      </c>
      <c r="BB7" s="1" t="s">
        <v>205</v>
      </c>
      <c r="BC7" s="1" t="s">
        <v>187</v>
      </c>
      <c r="BD7" s="1" t="s">
        <v>187</v>
      </c>
      <c r="BE7" s="1">
        <v>117.9</v>
      </c>
      <c r="BF7" s="1">
        <v>113.1</v>
      </c>
      <c r="BG7" s="1">
        <v>4.7</v>
      </c>
      <c r="BH7" s="1" t="s">
        <v>239</v>
      </c>
      <c r="BI7" s="1" t="s">
        <v>170</v>
      </c>
      <c r="BJ7" s="1" t="s">
        <v>197</v>
      </c>
      <c r="BK7" s="1" t="s">
        <v>195</v>
      </c>
      <c r="BL7" s="1" t="s">
        <v>173</v>
      </c>
      <c r="BM7" s="1" t="s">
        <v>175</v>
      </c>
      <c r="BN7" s="1" t="s">
        <v>174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175</v>
      </c>
      <c r="BZ7" s="1" t="s">
        <v>240</v>
      </c>
      <c r="CA7" s="1"/>
      <c r="CB7" s="1" t="s">
        <v>233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1610612763</v>
      </c>
      <c r="D22" s="1" t="s">
        <v>361</v>
      </c>
      <c r="E22" s="1" t="s">
        <v>362</v>
      </c>
      <c r="F22" s="1" t="s">
        <v>149</v>
      </c>
      <c r="G22" s="1" t="s">
        <v>333</v>
      </c>
      <c r="H22" s="1">
        <v>11</v>
      </c>
      <c r="I22" s="1" t="s">
        <v>151</v>
      </c>
      <c r="J22" s="1" t="s">
        <v>231</v>
      </c>
      <c r="K22" s="1" t="s">
        <v>190</v>
      </c>
      <c r="L22" s="1">
        <v>4</v>
      </c>
      <c r="M22" s="1">
        <v>5</v>
      </c>
      <c r="N22" s="1">
        <v>9</v>
      </c>
      <c r="O22" s="1">
        <v>0.35699999999999998</v>
      </c>
      <c r="P22" s="1">
        <v>0</v>
      </c>
      <c r="Q22" s="1" t="s">
        <v>363</v>
      </c>
      <c r="R22" s="1" t="s">
        <v>333</v>
      </c>
      <c r="S22" s="1" t="s">
        <v>236</v>
      </c>
      <c r="T22" s="1" t="s">
        <v>310</v>
      </c>
      <c r="U22" s="1" t="s">
        <v>333</v>
      </c>
      <c r="V22" s="1" t="s">
        <v>236</v>
      </c>
      <c r="W22" s="1" t="s">
        <v>157</v>
      </c>
      <c r="X22" s="1" t="s">
        <v>232</v>
      </c>
      <c r="Y22" s="1" t="s">
        <v>328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3</v>
      </c>
      <c r="AE22" s="1">
        <v>3</v>
      </c>
      <c r="AF22" s="1">
        <v>-2</v>
      </c>
      <c r="AG22" s="1" t="s">
        <v>279</v>
      </c>
      <c r="AH22" s="1">
        <v>2</v>
      </c>
      <c r="AI22" s="1" t="s">
        <v>222</v>
      </c>
      <c r="AJ22" s="1">
        <v>-2</v>
      </c>
      <c r="AK22" s="1" t="s">
        <v>279</v>
      </c>
      <c r="AL22" s="1">
        <v>7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245</v>
      </c>
      <c r="AT22" s="1" t="s">
        <v>328</v>
      </c>
      <c r="AU22" s="1" t="s">
        <v>161</v>
      </c>
      <c r="AV22" s="1" t="s">
        <v>224</v>
      </c>
      <c r="AW22" s="1" t="s">
        <v>341</v>
      </c>
      <c r="AX22" s="1" t="s">
        <v>161</v>
      </c>
      <c r="AY22" s="1" t="s">
        <v>340</v>
      </c>
      <c r="AZ22" s="1" t="s">
        <v>342</v>
      </c>
      <c r="BA22" s="1" t="s">
        <v>310</v>
      </c>
      <c r="BB22" s="1" t="s">
        <v>158</v>
      </c>
      <c r="BC22" s="1" t="s">
        <v>245</v>
      </c>
      <c r="BD22" s="1" t="s">
        <v>208</v>
      </c>
      <c r="BE22" s="1">
        <v>109</v>
      </c>
      <c r="BF22" s="1">
        <v>118.4</v>
      </c>
      <c r="BG22" s="1">
        <v>-9.4</v>
      </c>
      <c r="BH22" s="1" t="s">
        <v>275</v>
      </c>
      <c r="BI22" s="1" t="s">
        <v>171</v>
      </c>
      <c r="BJ22" s="1" t="s">
        <v>170</v>
      </c>
      <c r="BK22" s="1" t="s">
        <v>267</v>
      </c>
      <c r="BL22" s="1" t="s">
        <v>364</v>
      </c>
      <c r="BM22" s="1" t="s">
        <v>197</v>
      </c>
      <c r="BN22" s="1" t="s">
        <v>356</v>
      </c>
      <c r="BO22" s="1" t="s">
        <v>267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323</v>
      </c>
      <c r="CA22" s="1"/>
      <c r="CB22" s="1" t="s">
        <v>363</v>
      </c>
      <c r="CC22" s="1"/>
    </row>
    <row r="23" spans="1:81" x14ac:dyDescent="0.25">
      <c r="A23" s="1" t="s">
        <v>145</v>
      </c>
      <c r="B23" s="1" t="s">
        <v>146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262</v>
      </c>
      <c r="H23" s="1">
        <v>11</v>
      </c>
      <c r="I23" s="1" t="s">
        <v>151</v>
      </c>
      <c r="J23" s="1" t="s">
        <v>244</v>
      </c>
      <c r="K23" s="1" t="s">
        <v>185</v>
      </c>
      <c r="L23" s="1">
        <v>4</v>
      </c>
      <c r="M23" s="1">
        <v>4</v>
      </c>
      <c r="N23" s="1">
        <v>8</v>
      </c>
      <c r="O23" s="1">
        <v>0.33300000000000002</v>
      </c>
      <c r="P23" s="1">
        <v>0</v>
      </c>
      <c r="Q23" s="1" t="s">
        <v>351</v>
      </c>
      <c r="R23" s="1" t="s">
        <v>236</v>
      </c>
      <c r="S23" s="1" t="s">
        <v>300</v>
      </c>
      <c r="T23" s="1" t="s">
        <v>341</v>
      </c>
      <c r="U23" s="1" t="s">
        <v>236</v>
      </c>
      <c r="V23" s="1" t="s">
        <v>300</v>
      </c>
      <c r="W23" s="1" t="s">
        <v>161</v>
      </c>
      <c r="X23" s="1" t="s">
        <v>164</v>
      </c>
      <c r="Y23" s="1" t="s">
        <v>226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1</v>
      </c>
      <c r="AE23" s="1">
        <v>3</v>
      </c>
      <c r="AF23" s="1">
        <v>1</v>
      </c>
      <c r="AG23" s="1" t="s">
        <v>246</v>
      </c>
      <c r="AH23" s="1">
        <v>-1</v>
      </c>
      <c r="AI23" s="1" t="s">
        <v>207</v>
      </c>
      <c r="AJ23" s="1">
        <v>1</v>
      </c>
      <c r="AK23" s="1" t="s">
        <v>246</v>
      </c>
      <c r="AL23" s="1">
        <v>6.5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153</v>
      </c>
      <c r="AT23" s="1" t="s">
        <v>328</v>
      </c>
      <c r="AU23" s="1" t="s">
        <v>185</v>
      </c>
      <c r="AV23" s="1" t="s">
        <v>155</v>
      </c>
      <c r="AW23" s="1" t="s">
        <v>359</v>
      </c>
      <c r="AX23" s="1" t="s">
        <v>161</v>
      </c>
      <c r="AY23" s="1" t="s">
        <v>360</v>
      </c>
      <c r="AZ23" s="1" t="s">
        <v>320</v>
      </c>
      <c r="BA23" s="1" t="s">
        <v>304</v>
      </c>
      <c r="BB23" s="1" t="s">
        <v>254</v>
      </c>
      <c r="BC23" s="1" t="s">
        <v>186</v>
      </c>
      <c r="BD23" s="1" t="s">
        <v>264</v>
      </c>
      <c r="BE23" s="1">
        <v>119.7</v>
      </c>
      <c r="BF23" s="1">
        <v>121.1</v>
      </c>
      <c r="BG23" s="1">
        <v>-1.4</v>
      </c>
      <c r="BH23" s="1" t="s">
        <v>344</v>
      </c>
      <c r="BI23" s="1" t="s">
        <v>170</v>
      </c>
      <c r="BJ23" s="1" t="s">
        <v>267</v>
      </c>
      <c r="BK23" s="1" t="s">
        <v>170</v>
      </c>
      <c r="BL23" s="1" t="s">
        <v>295</v>
      </c>
      <c r="BM23" s="1" t="s">
        <v>197</v>
      </c>
      <c r="BN23" s="1" t="s">
        <v>215</v>
      </c>
      <c r="BO23" s="1" t="s">
        <v>282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305</v>
      </c>
      <c r="CA23" s="1"/>
      <c r="CB23" s="1" t="s">
        <v>351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1610612765</v>
      </c>
      <c r="D26" s="1" t="s">
        <v>380</v>
      </c>
      <c r="E26" s="1" t="s">
        <v>381</v>
      </c>
      <c r="F26" s="1" t="s">
        <v>179</v>
      </c>
      <c r="G26" s="1" t="s">
        <v>382</v>
      </c>
      <c r="H26" s="1">
        <v>13</v>
      </c>
      <c r="I26" s="1" t="s">
        <v>151</v>
      </c>
      <c r="J26" s="1" t="s">
        <v>181</v>
      </c>
      <c r="K26" s="1" t="s">
        <v>236</v>
      </c>
      <c r="L26" s="1">
        <v>5</v>
      </c>
      <c r="M26" s="1">
        <v>4</v>
      </c>
      <c r="N26" s="1">
        <v>10</v>
      </c>
      <c r="O26" s="1">
        <v>0.28599999999999998</v>
      </c>
      <c r="P26" s="1">
        <v>0</v>
      </c>
      <c r="Q26" s="1" t="s">
        <v>371</v>
      </c>
      <c r="R26" s="1" t="s">
        <v>226</v>
      </c>
      <c r="S26" s="1" t="s">
        <v>332</v>
      </c>
      <c r="T26" s="1" t="s">
        <v>320</v>
      </c>
      <c r="U26" s="1" t="s">
        <v>226</v>
      </c>
      <c r="V26" s="1" t="s">
        <v>332</v>
      </c>
      <c r="W26" s="1" t="s">
        <v>161</v>
      </c>
      <c r="X26" s="1" t="s">
        <v>186</v>
      </c>
      <c r="Y26" s="1" t="s">
        <v>262</v>
      </c>
      <c r="Z26" s="1">
        <v>3</v>
      </c>
      <c r="AA26" s="1" t="s">
        <v>223</v>
      </c>
      <c r="AB26" s="1">
        <v>-7</v>
      </c>
      <c r="AC26" s="1" t="s">
        <v>377</v>
      </c>
      <c r="AD26" s="1">
        <v>1</v>
      </c>
      <c r="AE26" s="1">
        <v>5</v>
      </c>
      <c r="AF26" s="1">
        <v>-1</v>
      </c>
      <c r="AG26" s="1" t="s">
        <v>207</v>
      </c>
      <c r="AH26" s="1">
        <v>-7</v>
      </c>
      <c r="AI26" s="1" t="s">
        <v>377</v>
      </c>
      <c r="AJ26" s="1">
        <v>-5</v>
      </c>
      <c r="AK26" s="1" t="s">
        <v>272</v>
      </c>
      <c r="AL26" s="1">
        <v>7.5</v>
      </c>
      <c r="AM26" s="1">
        <v>7.5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161</v>
      </c>
      <c r="AV26" s="1" t="s">
        <v>232</v>
      </c>
      <c r="AW26" s="1" t="s">
        <v>368</v>
      </c>
      <c r="AX26" s="1" t="s">
        <v>164</v>
      </c>
      <c r="AY26" s="1" t="s">
        <v>360</v>
      </c>
      <c r="AZ26" s="1" t="s">
        <v>350</v>
      </c>
      <c r="BA26" s="1" t="s">
        <v>328</v>
      </c>
      <c r="BB26" s="1" t="s">
        <v>226</v>
      </c>
      <c r="BC26" s="1" t="s">
        <v>264</v>
      </c>
      <c r="BD26" s="1" t="s">
        <v>190</v>
      </c>
      <c r="BE26" s="1">
        <v>107.3</v>
      </c>
      <c r="BF26" s="1">
        <v>112</v>
      </c>
      <c r="BG26" s="1">
        <v>-4.7</v>
      </c>
      <c r="BH26" s="1" t="s">
        <v>383</v>
      </c>
      <c r="BI26" s="1" t="s">
        <v>199</v>
      </c>
      <c r="BJ26" s="1" t="s">
        <v>275</v>
      </c>
      <c r="BK26" s="1" t="s">
        <v>372</v>
      </c>
      <c r="BL26" s="1" t="s">
        <v>170</v>
      </c>
      <c r="BM26" s="1" t="s">
        <v>170</v>
      </c>
      <c r="BN26" s="1" t="s">
        <v>215</v>
      </c>
      <c r="BO26" s="1" t="s">
        <v>215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275</v>
      </c>
      <c r="BZ26" s="1" t="s">
        <v>373</v>
      </c>
      <c r="CA26" s="1"/>
      <c r="CB26" s="1" t="s">
        <v>371</v>
      </c>
      <c r="CC26" s="1"/>
    </row>
    <row r="27" spans="1:81" x14ac:dyDescent="0.25">
      <c r="A27" s="1" t="s">
        <v>145</v>
      </c>
      <c r="B27" s="1" t="s">
        <v>146</v>
      </c>
      <c r="C27" s="1">
        <v>1610612759</v>
      </c>
      <c r="D27" s="1" t="s">
        <v>374</v>
      </c>
      <c r="E27" s="1" t="s">
        <v>375</v>
      </c>
      <c r="F27" s="1" t="s">
        <v>149</v>
      </c>
      <c r="G27" s="1" t="s">
        <v>333</v>
      </c>
      <c r="H27" s="1">
        <v>13</v>
      </c>
      <c r="I27" s="1" t="s">
        <v>151</v>
      </c>
      <c r="J27" s="1" t="s">
        <v>231</v>
      </c>
      <c r="K27" s="1" t="s">
        <v>164</v>
      </c>
      <c r="L27" s="1">
        <v>5</v>
      </c>
      <c r="M27" s="1">
        <v>5</v>
      </c>
      <c r="N27" s="1">
        <v>10</v>
      </c>
      <c r="O27" s="1">
        <v>0.33300000000000002</v>
      </c>
      <c r="P27" s="1">
        <v>0</v>
      </c>
      <c r="Q27" s="1" t="s">
        <v>349</v>
      </c>
      <c r="R27" s="1" t="s">
        <v>254</v>
      </c>
      <c r="S27" s="1" t="s">
        <v>328</v>
      </c>
      <c r="T27" s="1" t="s">
        <v>376</v>
      </c>
      <c r="U27" s="1" t="s">
        <v>254</v>
      </c>
      <c r="V27" s="1" t="s">
        <v>328</v>
      </c>
      <c r="W27" s="1" t="s">
        <v>161</v>
      </c>
      <c r="X27" s="1" t="s">
        <v>260</v>
      </c>
      <c r="Y27" s="1" t="s">
        <v>190</v>
      </c>
      <c r="Z27" s="1">
        <v>3</v>
      </c>
      <c r="AA27" s="1" t="s">
        <v>223</v>
      </c>
      <c r="AB27" s="1">
        <v>-5</v>
      </c>
      <c r="AC27" s="1" t="s">
        <v>272</v>
      </c>
      <c r="AD27" s="1">
        <v>3</v>
      </c>
      <c r="AE27" s="1">
        <v>7</v>
      </c>
      <c r="AF27" s="1">
        <v>-3</v>
      </c>
      <c r="AG27" s="1" t="s">
        <v>301</v>
      </c>
      <c r="AH27" s="1">
        <v>-5</v>
      </c>
      <c r="AI27" s="1" t="s">
        <v>272</v>
      </c>
      <c r="AJ27" s="1">
        <v>-7</v>
      </c>
      <c r="AK27" s="1" t="s">
        <v>377</v>
      </c>
      <c r="AL27" s="1">
        <v>7.5</v>
      </c>
      <c r="AM27" s="1">
        <v>6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157</v>
      </c>
      <c r="AV27" s="1" t="s">
        <v>245</v>
      </c>
      <c r="AW27" s="1" t="s">
        <v>332</v>
      </c>
      <c r="AX27" s="1" t="s">
        <v>161</v>
      </c>
      <c r="AY27" s="1" t="s">
        <v>303</v>
      </c>
      <c r="AZ27" s="1" t="s">
        <v>378</v>
      </c>
      <c r="BA27" s="1" t="s">
        <v>309</v>
      </c>
      <c r="BB27" s="1" t="s">
        <v>245</v>
      </c>
      <c r="BC27" s="1" t="s">
        <v>265</v>
      </c>
      <c r="BD27" s="1" t="s">
        <v>262</v>
      </c>
      <c r="BE27" s="1">
        <v>113.5</v>
      </c>
      <c r="BF27" s="1">
        <v>116.2</v>
      </c>
      <c r="BG27" s="1">
        <v>-2.7</v>
      </c>
      <c r="BH27" s="1" t="s">
        <v>274</v>
      </c>
      <c r="BI27" s="1" t="s">
        <v>195</v>
      </c>
      <c r="BJ27" s="1" t="s">
        <v>215</v>
      </c>
      <c r="BK27" s="1" t="s">
        <v>282</v>
      </c>
      <c r="BL27" s="1" t="s">
        <v>364</v>
      </c>
      <c r="BM27" s="1" t="s">
        <v>199</v>
      </c>
      <c r="BN27" s="1" t="s">
        <v>267</v>
      </c>
      <c r="BO27" s="1" t="s">
        <v>250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175</v>
      </c>
      <c r="BZ27" s="1" t="s">
        <v>379</v>
      </c>
      <c r="CA27" s="1"/>
      <c r="CB27" s="1" t="s">
        <v>349</v>
      </c>
      <c r="CC27" s="1"/>
    </row>
    <row r="28" spans="1:81" x14ac:dyDescent="0.25">
      <c r="A28" s="1" t="s">
        <v>145</v>
      </c>
      <c r="B28" s="1" t="s">
        <v>146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382</v>
      </c>
      <c r="H28" s="1">
        <v>14</v>
      </c>
      <c r="I28" s="1" t="s">
        <v>151</v>
      </c>
      <c r="J28" s="1" t="s">
        <v>181</v>
      </c>
      <c r="K28" s="1" t="s">
        <v>224</v>
      </c>
      <c r="L28" s="1">
        <v>4</v>
      </c>
      <c r="M28" s="1">
        <v>4</v>
      </c>
      <c r="N28" s="1">
        <v>10</v>
      </c>
      <c r="O28" s="1">
        <v>0.28599999999999998</v>
      </c>
      <c r="P28" s="1">
        <v>0</v>
      </c>
      <c r="Q28" s="1" t="s">
        <v>371</v>
      </c>
      <c r="R28" s="1" t="s">
        <v>292</v>
      </c>
      <c r="S28" s="1" t="s">
        <v>311</v>
      </c>
      <c r="T28" s="1" t="s">
        <v>320</v>
      </c>
      <c r="U28" s="1" t="s">
        <v>292</v>
      </c>
      <c r="V28" s="1" t="s">
        <v>311</v>
      </c>
      <c r="W28" s="1" t="s">
        <v>161</v>
      </c>
      <c r="X28" s="1" t="s">
        <v>185</v>
      </c>
      <c r="Y28" s="1" t="s">
        <v>333</v>
      </c>
      <c r="Z28" s="1">
        <v>-4</v>
      </c>
      <c r="AA28" s="1" t="s">
        <v>263</v>
      </c>
      <c r="AB28" s="1">
        <v>-3</v>
      </c>
      <c r="AC28" s="1" t="s">
        <v>301</v>
      </c>
      <c r="AD28" s="1">
        <v>2</v>
      </c>
      <c r="AE28" s="1">
        <v>5</v>
      </c>
      <c r="AF28" s="1">
        <v>-4</v>
      </c>
      <c r="AG28" s="1" t="s">
        <v>263</v>
      </c>
      <c r="AH28" s="1">
        <v>-3</v>
      </c>
      <c r="AI28" s="1" t="s">
        <v>301</v>
      </c>
      <c r="AJ28" s="1">
        <v>-5</v>
      </c>
      <c r="AK28" s="1" t="s">
        <v>272</v>
      </c>
      <c r="AL28" s="1">
        <v>7.5</v>
      </c>
      <c r="AM28" s="1">
        <v>7.5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232</v>
      </c>
      <c r="AT28" s="1" t="s">
        <v>391</v>
      </c>
      <c r="AU28" s="1" t="s">
        <v>161</v>
      </c>
      <c r="AV28" s="1" t="s">
        <v>232</v>
      </c>
      <c r="AW28" s="1" t="s">
        <v>391</v>
      </c>
      <c r="AX28" s="1" t="s">
        <v>161</v>
      </c>
      <c r="AY28" s="1" t="s">
        <v>271</v>
      </c>
      <c r="AZ28" s="1" t="s">
        <v>320</v>
      </c>
      <c r="BA28" s="1" t="s">
        <v>392</v>
      </c>
      <c r="BB28" s="1" t="s">
        <v>153</v>
      </c>
      <c r="BC28" s="1" t="s">
        <v>153</v>
      </c>
      <c r="BD28" s="1" t="s">
        <v>292</v>
      </c>
      <c r="BE28" s="1">
        <v>104.1</v>
      </c>
      <c r="BF28" s="1">
        <v>109.9</v>
      </c>
      <c r="BG28" s="1">
        <v>-5.8</v>
      </c>
      <c r="BH28" s="1" t="s">
        <v>383</v>
      </c>
      <c r="BI28" s="1" t="s">
        <v>344</v>
      </c>
      <c r="BJ28" s="1" t="s">
        <v>199</v>
      </c>
      <c r="BK28" s="1" t="s">
        <v>282</v>
      </c>
      <c r="BL28" s="1" t="s">
        <v>170</v>
      </c>
      <c r="BM28" s="1" t="s">
        <v>215</v>
      </c>
      <c r="BN28" s="1" t="s">
        <v>215</v>
      </c>
      <c r="BO28" s="1" t="s">
        <v>170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199</v>
      </c>
      <c r="BZ28" s="1" t="s">
        <v>393</v>
      </c>
      <c r="CA28" s="1"/>
      <c r="CB28" s="1" t="s">
        <v>371</v>
      </c>
      <c r="CC28" s="1"/>
    </row>
    <row r="29" spans="1:81" x14ac:dyDescent="0.25">
      <c r="A29" s="1" t="s">
        <v>145</v>
      </c>
      <c r="B29" s="1" t="s">
        <v>146</v>
      </c>
      <c r="C29" s="1">
        <v>1610612757</v>
      </c>
      <c r="D29" s="1" t="s">
        <v>384</v>
      </c>
      <c r="E29" s="1" t="s">
        <v>385</v>
      </c>
      <c r="F29" s="1" t="s">
        <v>149</v>
      </c>
      <c r="G29" s="1" t="s">
        <v>312</v>
      </c>
      <c r="H29" s="1">
        <v>14</v>
      </c>
      <c r="I29" s="1" t="s">
        <v>151</v>
      </c>
      <c r="J29" s="1" t="s">
        <v>219</v>
      </c>
      <c r="K29" s="1" t="s">
        <v>186</v>
      </c>
      <c r="L29" s="1">
        <v>5</v>
      </c>
      <c r="M29" s="1">
        <v>5</v>
      </c>
      <c r="N29" s="1">
        <v>11</v>
      </c>
      <c r="O29" s="1">
        <v>0.313</v>
      </c>
      <c r="P29" s="1">
        <v>0</v>
      </c>
      <c r="Q29" s="1" t="s">
        <v>386</v>
      </c>
      <c r="R29" s="1" t="s">
        <v>262</v>
      </c>
      <c r="S29" s="1" t="s">
        <v>312</v>
      </c>
      <c r="T29" s="1" t="s">
        <v>320</v>
      </c>
      <c r="U29" s="1" t="s">
        <v>262</v>
      </c>
      <c r="V29" s="1" t="s">
        <v>341</v>
      </c>
      <c r="W29" s="1" t="s">
        <v>157</v>
      </c>
      <c r="X29" s="1" t="s">
        <v>224</v>
      </c>
      <c r="Y29" s="1" t="s">
        <v>224</v>
      </c>
      <c r="Z29" s="1">
        <v>-3</v>
      </c>
      <c r="AA29" s="1" t="s">
        <v>301</v>
      </c>
      <c r="AB29" s="1">
        <v>-3</v>
      </c>
      <c r="AC29" s="1" t="s">
        <v>301</v>
      </c>
      <c r="AD29" s="1">
        <v>2</v>
      </c>
      <c r="AE29" s="1">
        <v>4</v>
      </c>
      <c r="AF29" s="1">
        <v>-1</v>
      </c>
      <c r="AG29" s="1" t="s">
        <v>207</v>
      </c>
      <c r="AH29" s="1">
        <v>-3</v>
      </c>
      <c r="AI29" s="1" t="s">
        <v>301</v>
      </c>
      <c r="AJ29" s="1">
        <v>-3</v>
      </c>
      <c r="AK29" s="1" t="s">
        <v>301</v>
      </c>
      <c r="AL29" s="1">
        <v>8</v>
      </c>
      <c r="AM29" s="1">
        <v>6.5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309</v>
      </c>
      <c r="AT29" s="1" t="s">
        <v>328</v>
      </c>
      <c r="AU29" s="1" t="s">
        <v>157</v>
      </c>
      <c r="AV29" s="1" t="s">
        <v>339</v>
      </c>
      <c r="AW29" s="1" t="s">
        <v>320</v>
      </c>
      <c r="AX29" s="1" t="s">
        <v>163</v>
      </c>
      <c r="AY29" s="1" t="s">
        <v>378</v>
      </c>
      <c r="AZ29" s="1" t="s">
        <v>387</v>
      </c>
      <c r="BA29" s="1" t="s">
        <v>332</v>
      </c>
      <c r="BB29" s="1" t="s">
        <v>235</v>
      </c>
      <c r="BC29" s="1" t="s">
        <v>153</v>
      </c>
      <c r="BD29" s="1" t="s">
        <v>304</v>
      </c>
      <c r="BE29" s="1">
        <v>113</v>
      </c>
      <c r="BF29" s="1">
        <v>116.7</v>
      </c>
      <c r="BG29" s="1">
        <v>-3.7</v>
      </c>
      <c r="BH29" s="1" t="s">
        <v>344</v>
      </c>
      <c r="BI29" s="1" t="s">
        <v>356</v>
      </c>
      <c r="BJ29" s="1" t="s">
        <v>170</v>
      </c>
      <c r="BK29" s="1" t="s">
        <v>171</v>
      </c>
      <c r="BL29" s="1" t="s">
        <v>388</v>
      </c>
      <c r="BM29" s="1" t="s">
        <v>195</v>
      </c>
      <c r="BN29" s="1" t="s">
        <v>282</v>
      </c>
      <c r="BO29" s="1" t="s">
        <v>275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228</v>
      </c>
      <c r="BZ29" s="1" t="s">
        <v>379</v>
      </c>
      <c r="CA29" s="1"/>
      <c r="CB29" s="1" t="s">
        <v>386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761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762</v>
      </c>
      <c r="H2" s="1">
        <v>1</v>
      </c>
      <c r="I2" s="1" t="s">
        <v>763</v>
      </c>
      <c r="J2" s="1" t="s">
        <v>152</v>
      </c>
      <c r="K2" s="1" t="s">
        <v>764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765</v>
      </c>
      <c r="R2" s="1" t="s">
        <v>766</v>
      </c>
      <c r="S2" s="1" t="s">
        <v>767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768</v>
      </c>
      <c r="Z2" s="1">
        <v>6</v>
      </c>
      <c r="AA2" s="1" t="s">
        <v>188</v>
      </c>
      <c r="AB2" s="1">
        <v>11</v>
      </c>
      <c r="AC2" s="1" t="s">
        <v>769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770</v>
      </c>
      <c r="AT2" s="1" t="s">
        <v>771</v>
      </c>
      <c r="AU2" s="1" t="s">
        <v>232</v>
      </c>
      <c r="AV2" s="1" t="s">
        <v>772</v>
      </c>
      <c r="AW2" s="1" t="s">
        <v>773</v>
      </c>
      <c r="AX2" s="1" t="s">
        <v>185</v>
      </c>
      <c r="AY2" s="1" t="s">
        <v>774</v>
      </c>
      <c r="AZ2" s="1" t="s">
        <v>775</v>
      </c>
      <c r="BA2" s="1" t="s">
        <v>776</v>
      </c>
      <c r="BB2" s="1" t="s">
        <v>777</v>
      </c>
      <c r="BC2" s="1" t="s">
        <v>778</v>
      </c>
      <c r="BD2" s="1" t="s">
        <v>779</v>
      </c>
      <c r="BE2" s="1">
        <v>117.7</v>
      </c>
      <c r="BF2" s="1">
        <v>111.2</v>
      </c>
      <c r="BG2" s="1">
        <v>6.5</v>
      </c>
      <c r="BH2" s="1" t="s">
        <v>780</v>
      </c>
      <c r="BI2" s="1" t="s">
        <v>266</v>
      </c>
      <c r="BJ2" s="1" t="s">
        <v>216</v>
      </c>
      <c r="BK2" s="1" t="s">
        <v>216</v>
      </c>
      <c r="BL2" s="1" t="s">
        <v>762</v>
      </c>
      <c r="BM2" s="1" t="s">
        <v>781</v>
      </c>
      <c r="BN2" s="1" t="s">
        <v>782</v>
      </c>
      <c r="BO2" s="1" t="s">
        <v>783</v>
      </c>
      <c r="BP2" s="1" t="s">
        <v>784</v>
      </c>
      <c r="BQ2" s="1" t="s">
        <v>785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786</v>
      </c>
      <c r="CC2" s="1" t="s">
        <v>787</v>
      </c>
    </row>
    <row r="3" spans="1:81" x14ac:dyDescent="0.25">
      <c r="A3" s="1" t="s">
        <v>145</v>
      </c>
      <c r="B3" s="1" t="s">
        <v>761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788</v>
      </c>
      <c r="H3" s="1">
        <v>1</v>
      </c>
      <c r="I3" s="1" t="s">
        <v>789</v>
      </c>
      <c r="J3" s="1" t="s">
        <v>181</v>
      </c>
      <c r="K3" s="1" t="s">
        <v>790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791</v>
      </c>
      <c r="R3" s="1" t="s">
        <v>792</v>
      </c>
      <c r="S3" s="1" t="s">
        <v>767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793</v>
      </c>
      <c r="Z3" s="1">
        <v>6</v>
      </c>
      <c r="AA3" s="1" t="s">
        <v>188</v>
      </c>
      <c r="AB3" s="1">
        <v>10</v>
      </c>
      <c r="AC3" s="1" t="s">
        <v>794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795</v>
      </c>
      <c r="AT3" s="1" t="s">
        <v>796</v>
      </c>
      <c r="AU3" s="1" t="s">
        <v>161</v>
      </c>
      <c r="AV3" s="1" t="s">
        <v>797</v>
      </c>
      <c r="AW3" s="1" t="s">
        <v>798</v>
      </c>
      <c r="AX3" s="1" t="s">
        <v>186</v>
      </c>
      <c r="AY3" s="1" t="s">
        <v>799</v>
      </c>
      <c r="AZ3" s="1" t="s">
        <v>800</v>
      </c>
      <c r="BA3" s="1" t="s">
        <v>801</v>
      </c>
      <c r="BB3" s="1" t="s">
        <v>802</v>
      </c>
      <c r="BC3" s="1" t="s">
        <v>803</v>
      </c>
      <c r="BD3" s="1" t="s">
        <v>804</v>
      </c>
      <c r="BE3" s="1">
        <v>118.1</v>
      </c>
      <c r="BF3" s="1">
        <v>109.3</v>
      </c>
      <c r="BG3" s="1">
        <v>8.9</v>
      </c>
      <c r="BH3" s="1" t="s">
        <v>788</v>
      </c>
      <c r="BI3" s="1" t="s">
        <v>805</v>
      </c>
      <c r="BJ3" s="1" t="s">
        <v>806</v>
      </c>
      <c r="BK3" s="1" t="s">
        <v>805</v>
      </c>
      <c r="BL3" s="1" t="s">
        <v>807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808</v>
      </c>
      <c r="BS3" s="1" t="s">
        <v>228</v>
      </c>
      <c r="BT3" s="1"/>
      <c r="BU3" s="1"/>
      <c r="BV3" s="1"/>
      <c r="BW3" s="1"/>
      <c r="BX3" s="1"/>
      <c r="BY3" s="1" t="s">
        <v>760</v>
      </c>
      <c r="BZ3" s="1" t="s">
        <v>291</v>
      </c>
      <c r="CA3" s="1" t="s">
        <v>253</v>
      </c>
      <c r="CB3" s="1" t="s">
        <v>809</v>
      </c>
      <c r="CC3" s="1" t="s">
        <v>810</v>
      </c>
    </row>
    <row r="4" spans="1:81" x14ac:dyDescent="0.25">
      <c r="A4" s="1" t="s">
        <v>145</v>
      </c>
      <c r="B4" s="1" t="s">
        <v>761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811</v>
      </c>
      <c r="H4" s="1">
        <v>2</v>
      </c>
      <c r="I4" s="1" t="s">
        <v>812</v>
      </c>
      <c r="J4" s="1" t="s">
        <v>203</v>
      </c>
      <c r="K4" s="1" t="s">
        <v>813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814</v>
      </c>
      <c r="R4" s="1" t="s">
        <v>815</v>
      </c>
      <c r="S4" s="1" t="s">
        <v>816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817</v>
      </c>
      <c r="Y4" s="1" t="s">
        <v>818</v>
      </c>
      <c r="Z4" s="1">
        <v>10</v>
      </c>
      <c r="AA4" s="1" t="s">
        <v>794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819</v>
      </c>
      <c r="AT4" s="1" t="s">
        <v>820</v>
      </c>
      <c r="AU4" s="1" t="s">
        <v>185</v>
      </c>
      <c r="AV4" s="1" t="s">
        <v>821</v>
      </c>
      <c r="AW4" s="1" t="s">
        <v>822</v>
      </c>
      <c r="AX4" s="1" t="s">
        <v>157</v>
      </c>
      <c r="AY4" s="1" t="s">
        <v>823</v>
      </c>
      <c r="AZ4" s="1" t="s">
        <v>824</v>
      </c>
      <c r="BA4" s="1" t="s">
        <v>825</v>
      </c>
      <c r="BB4" s="1" t="s">
        <v>826</v>
      </c>
      <c r="BC4" s="1" t="s">
        <v>827</v>
      </c>
      <c r="BD4" s="1" t="s">
        <v>828</v>
      </c>
      <c r="BE4" s="1">
        <v>114.4</v>
      </c>
      <c r="BF4" s="1">
        <v>108.4</v>
      </c>
      <c r="BG4" s="1">
        <v>6.1</v>
      </c>
      <c r="BH4" s="1" t="s">
        <v>811</v>
      </c>
      <c r="BI4" s="1" t="s">
        <v>829</v>
      </c>
      <c r="BJ4" s="1" t="s">
        <v>783</v>
      </c>
      <c r="BK4" s="1" t="s">
        <v>830</v>
      </c>
      <c r="BL4" s="1" t="s">
        <v>780</v>
      </c>
      <c r="BM4" s="1" t="s">
        <v>266</v>
      </c>
      <c r="BN4" s="1" t="s">
        <v>831</v>
      </c>
      <c r="BO4" s="1" t="s">
        <v>266</v>
      </c>
      <c r="BP4" s="1" t="s">
        <v>261</v>
      </c>
      <c r="BQ4" s="1" t="s">
        <v>173</v>
      </c>
      <c r="BR4" s="1" t="s">
        <v>832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833</v>
      </c>
      <c r="CC4" s="1" t="s">
        <v>834</v>
      </c>
    </row>
    <row r="5" spans="1:81" x14ac:dyDescent="0.25">
      <c r="A5" s="1" t="s">
        <v>145</v>
      </c>
      <c r="B5" s="1" t="s">
        <v>761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835</v>
      </c>
      <c r="H5" s="1">
        <v>2</v>
      </c>
      <c r="I5" s="1" t="s">
        <v>836</v>
      </c>
      <c r="J5" s="1" t="s">
        <v>219</v>
      </c>
      <c r="K5" s="1" t="s">
        <v>813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837</v>
      </c>
      <c r="R5" s="1" t="s">
        <v>838</v>
      </c>
      <c r="S5" s="1" t="s">
        <v>839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764</v>
      </c>
      <c r="Y5" s="1" t="s">
        <v>840</v>
      </c>
      <c r="Z5" s="1">
        <v>12</v>
      </c>
      <c r="AA5" s="1" t="s">
        <v>841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842</v>
      </c>
      <c r="AT5" s="1" t="s">
        <v>843</v>
      </c>
      <c r="AU5" s="1" t="s">
        <v>185</v>
      </c>
      <c r="AV5" s="1" t="s">
        <v>844</v>
      </c>
      <c r="AW5" s="1" t="s">
        <v>845</v>
      </c>
      <c r="AX5" s="1" t="s">
        <v>155</v>
      </c>
      <c r="AY5" s="1" t="s">
        <v>846</v>
      </c>
      <c r="AZ5" s="1" t="s">
        <v>847</v>
      </c>
      <c r="BA5" s="1" t="s">
        <v>848</v>
      </c>
      <c r="BB5" s="1" t="s">
        <v>849</v>
      </c>
      <c r="BC5" s="1" t="s">
        <v>850</v>
      </c>
      <c r="BD5" s="1" t="s">
        <v>851</v>
      </c>
      <c r="BE5" s="1">
        <v>110.7</v>
      </c>
      <c r="BF5" s="1">
        <v>106.7</v>
      </c>
      <c r="BG5" s="1">
        <v>4</v>
      </c>
      <c r="BH5" s="1" t="s">
        <v>807</v>
      </c>
      <c r="BI5" s="1" t="s">
        <v>296</v>
      </c>
      <c r="BJ5" s="1" t="s">
        <v>266</v>
      </c>
      <c r="BK5" s="1" t="s">
        <v>296</v>
      </c>
      <c r="BL5" s="1" t="s">
        <v>835</v>
      </c>
      <c r="BM5" s="1" t="s">
        <v>829</v>
      </c>
      <c r="BN5" s="1" t="s">
        <v>781</v>
      </c>
      <c r="BO5" s="1" t="s">
        <v>783</v>
      </c>
      <c r="BP5" s="1" t="s">
        <v>829</v>
      </c>
      <c r="BQ5" s="1" t="s">
        <v>785</v>
      </c>
      <c r="BR5" s="1" t="s">
        <v>832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832</v>
      </c>
      <c r="CA5" s="1" t="s">
        <v>852</v>
      </c>
      <c r="CB5" s="1" t="s">
        <v>853</v>
      </c>
      <c r="CC5" s="1" t="s">
        <v>854</v>
      </c>
    </row>
    <row r="6" spans="1:81" x14ac:dyDescent="0.25">
      <c r="A6" s="1" t="s">
        <v>145</v>
      </c>
      <c r="B6" s="1" t="s">
        <v>761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855</v>
      </c>
      <c r="H6" s="1">
        <v>3</v>
      </c>
      <c r="I6" s="1" t="s">
        <v>856</v>
      </c>
      <c r="J6" s="1" t="s">
        <v>203</v>
      </c>
      <c r="K6" s="1" t="s">
        <v>857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858</v>
      </c>
      <c r="R6" s="1" t="s">
        <v>859</v>
      </c>
      <c r="S6" s="1" t="s">
        <v>839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860</v>
      </c>
      <c r="Y6" s="1" t="s">
        <v>861</v>
      </c>
      <c r="Z6" s="1">
        <v>10</v>
      </c>
      <c r="AA6" s="1" t="s">
        <v>794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862</v>
      </c>
      <c r="AT6" s="1" t="s">
        <v>863</v>
      </c>
      <c r="AU6" s="1" t="s">
        <v>208</v>
      </c>
      <c r="AV6" s="1" t="s">
        <v>770</v>
      </c>
      <c r="AW6" s="1" t="s">
        <v>864</v>
      </c>
      <c r="AX6" s="1" t="s">
        <v>186</v>
      </c>
      <c r="AY6" s="1" t="s">
        <v>865</v>
      </c>
      <c r="AZ6" s="1" t="s">
        <v>866</v>
      </c>
      <c r="BA6" s="1" t="s">
        <v>867</v>
      </c>
      <c r="BB6" s="1" t="s">
        <v>850</v>
      </c>
      <c r="BC6" s="1" t="s">
        <v>786</v>
      </c>
      <c r="BD6" s="1" t="s">
        <v>868</v>
      </c>
      <c r="BE6" s="1">
        <v>115.2</v>
      </c>
      <c r="BF6" s="1">
        <v>112.5</v>
      </c>
      <c r="BG6" s="1">
        <v>2.7</v>
      </c>
      <c r="BH6" s="1" t="s">
        <v>855</v>
      </c>
      <c r="BI6" s="1" t="s">
        <v>869</v>
      </c>
      <c r="BJ6" s="1" t="s">
        <v>781</v>
      </c>
      <c r="BK6" s="1" t="s">
        <v>870</v>
      </c>
      <c r="BL6" s="1" t="s">
        <v>807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829</v>
      </c>
      <c r="CA6" s="1" t="s">
        <v>871</v>
      </c>
      <c r="CB6" s="1" t="s">
        <v>872</v>
      </c>
      <c r="CC6" s="1" t="s">
        <v>873</v>
      </c>
    </row>
    <row r="7" spans="1:81" x14ac:dyDescent="0.25">
      <c r="A7" s="1" t="s">
        <v>145</v>
      </c>
      <c r="B7" s="1" t="s">
        <v>761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874</v>
      </c>
      <c r="H7" s="1">
        <v>3</v>
      </c>
      <c r="I7" s="1" t="s">
        <v>856</v>
      </c>
      <c r="J7" s="1" t="s">
        <v>219</v>
      </c>
      <c r="K7" s="1" t="s">
        <v>875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876</v>
      </c>
      <c r="R7" s="1" t="s">
        <v>815</v>
      </c>
      <c r="S7" s="1" t="s">
        <v>877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878</v>
      </c>
      <c r="Z7" s="1">
        <v>8</v>
      </c>
      <c r="AA7" s="1" t="s">
        <v>879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879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880</v>
      </c>
      <c r="AT7" s="1" t="s">
        <v>881</v>
      </c>
      <c r="AU7" s="1" t="s">
        <v>260</v>
      </c>
      <c r="AV7" s="1" t="s">
        <v>882</v>
      </c>
      <c r="AW7" s="1" t="s">
        <v>883</v>
      </c>
      <c r="AX7" s="1" t="s">
        <v>161</v>
      </c>
      <c r="AY7" s="1" t="s">
        <v>884</v>
      </c>
      <c r="AZ7" s="1" t="s">
        <v>885</v>
      </c>
      <c r="BA7" s="1" t="s">
        <v>886</v>
      </c>
      <c r="BB7" s="1" t="s">
        <v>887</v>
      </c>
      <c r="BC7" s="1" t="s">
        <v>888</v>
      </c>
      <c r="BD7" s="1" t="s">
        <v>889</v>
      </c>
      <c r="BE7" s="1">
        <v>114.7</v>
      </c>
      <c r="BF7" s="1">
        <v>110.5</v>
      </c>
      <c r="BG7" s="1">
        <v>4.2</v>
      </c>
      <c r="BH7" s="1" t="s">
        <v>890</v>
      </c>
      <c r="BI7" s="1" t="s">
        <v>176</v>
      </c>
      <c r="BJ7" s="1" t="s">
        <v>216</v>
      </c>
      <c r="BK7" s="1" t="s">
        <v>296</v>
      </c>
      <c r="BL7" s="1" t="s">
        <v>874</v>
      </c>
      <c r="BM7" s="1" t="s">
        <v>410</v>
      </c>
      <c r="BN7" s="1" t="s">
        <v>781</v>
      </c>
      <c r="BO7" s="1" t="s">
        <v>870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891</v>
      </c>
      <c r="CC7" s="1" t="s">
        <v>892</v>
      </c>
    </row>
    <row r="8" spans="1:81" x14ac:dyDescent="0.25">
      <c r="A8" s="1" t="s">
        <v>145</v>
      </c>
      <c r="B8" s="1" t="s">
        <v>761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893</v>
      </c>
      <c r="H8" s="1">
        <v>4</v>
      </c>
      <c r="I8" s="1" t="s">
        <v>894</v>
      </c>
      <c r="J8" s="1" t="s">
        <v>231</v>
      </c>
      <c r="K8" s="1" t="s">
        <v>895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876</v>
      </c>
      <c r="R8" s="1" t="s">
        <v>859</v>
      </c>
      <c r="S8" s="1" t="s">
        <v>896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897</v>
      </c>
      <c r="Y8" s="1" t="s">
        <v>898</v>
      </c>
      <c r="Z8" s="1">
        <v>10</v>
      </c>
      <c r="AA8" s="1" t="s">
        <v>794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899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900</v>
      </c>
      <c r="AT8" s="1" t="s">
        <v>901</v>
      </c>
      <c r="AU8" s="1" t="s">
        <v>157</v>
      </c>
      <c r="AV8" s="1" t="s">
        <v>902</v>
      </c>
      <c r="AW8" s="1" t="s">
        <v>903</v>
      </c>
      <c r="AX8" s="1" t="s">
        <v>190</v>
      </c>
      <c r="AY8" s="1" t="s">
        <v>846</v>
      </c>
      <c r="AZ8" s="1" t="s">
        <v>904</v>
      </c>
      <c r="BA8" s="1" t="s">
        <v>825</v>
      </c>
      <c r="BB8" s="1" t="s">
        <v>905</v>
      </c>
      <c r="BC8" s="1" t="s">
        <v>906</v>
      </c>
      <c r="BD8" s="1" t="s">
        <v>907</v>
      </c>
      <c r="BE8" s="1">
        <v>113.9</v>
      </c>
      <c r="BF8" s="1">
        <v>109.1</v>
      </c>
      <c r="BG8" s="1">
        <v>4.8</v>
      </c>
      <c r="BH8" s="1" t="s">
        <v>908</v>
      </c>
      <c r="BI8" s="1" t="s">
        <v>216</v>
      </c>
      <c r="BJ8" s="1" t="s">
        <v>266</v>
      </c>
      <c r="BK8" s="1" t="s">
        <v>296</v>
      </c>
      <c r="BL8" s="1" t="s">
        <v>893</v>
      </c>
      <c r="BM8" s="1" t="s">
        <v>909</v>
      </c>
      <c r="BN8" s="1" t="s">
        <v>830</v>
      </c>
      <c r="BO8" s="1" t="s">
        <v>808</v>
      </c>
      <c r="BP8" s="1" t="s">
        <v>291</v>
      </c>
      <c r="BQ8" s="1" t="s">
        <v>852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910</v>
      </c>
      <c r="BZ8" s="1" t="s">
        <v>832</v>
      </c>
      <c r="CA8" s="1" t="s">
        <v>233</v>
      </c>
      <c r="CB8" s="1" t="s">
        <v>911</v>
      </c>
      <c r="CC8" s="1" t="s">
        <v>912</v>
      </c>
    </row>
    <row r="9" spans="1:81" x14ac:dyDescent="0.25">
      <c r="A9" s="1" t="s">
        <v>145</v>
      </c>
      <c r="B9" s="1" t="s">
        <v>761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762</v>
      </c>
      <c r="H9" s="1">
        <v>4</v>
      </c>
      <c r="I9" s="1" t="s">
        <v>856</v>
      </c>
      <c r="J9" s="1" t="s">
        <v>203</v>
      </c>
      <c r="K9" s="1" t="s">
        <v>895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913</v>
      </c>
      <c r="R9" s="1" t="s">
        <v>914</v>
      </c>
      <c r="S9" s="1" t="s">
        <v>877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915</v>
      </c>
      <c r="Z9" s="1">
        <v>10</v>
      </c>
      <c r="AA9" s="1" t="s">
        <v>794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916</v>
      </c>
      <c r="AT9" s="1" t="s">
        <v>917</v>
      </c>
      <c r="AU9" s="1" t="s">
        <v>260</v>
      </c>
      <c r="AV9" s="1" t="s">
        <v>918</v>
      </c>
      <c r="AW9" s="1" t="s">
        <v>845</v>
      </c>
      <c r="AX9" s="1" t="s">
        <v>164</v>
      </c>
      <c r="AY9" s="1" t="s">
        <v>919</v>
      </c>
      <c r="AZ9" s="1" t="s">
        <v>920</v>
      </c>
      <c r="BA9" s="1" t="s">
        <v>921</v>
      </c>
      <c r="BB9" s="1" t="s">
        <v>922</v>
      </c>
      <c r="BC9" s="1" t="s">
        <v>804</v>
      </c>
      <c r="BD9" s="1" t="s">
        <v>923</v>
      </c>
      <c r="BE9" s="1">
        <v>112.4</v>
      </c>
      <c r="BF9" s="1">
        <v>108</v>
      </c>
      <c r="BG9" s="1">
        <v>4.4000000000000004</v>
      </c>
      <c r="BH9" s="1" t="s">
        <v>762</v>
      </c>
      <c r="BI9" s="1" t="s">
        <v>808</v>
      </c>
      <c r="BJ9" s="1" t="s">
        <v>805</v>
      </c>
      <c r="BK9" s="1" t="s">
        <v>781</v>
      </c>
      <c r="BL9" s="1" t="s">
        <v>924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925</v>
      </c>
      <c r="CA9" s="1" t="s">
        <v>270</v>
      </c>
      <c r="CB9" s="1" t="s">
        <v>872</v>
      </c>
      <c r="CC9" s="1" t="s">
        <v>926</v>
      </c>
    </row>
    <row r="10" spans="1:81" x14ac:dyDescent="0.25">
      <c r="A10" s="1" t="s">
        <v>145</v>
      </c>
      <c r="B10" s="1" t="s">
        <v>761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927</v>
      </c>
      <c r="H10" s="1">
        <v>5</v>
      </c>
      <c r="I10" s="1" t="s">
        <v>856</v>
      </c>
      <c r="J10" s="1" t="s">
        <v>181</v>
      </c>
      <c r="K10" s="1" t="s">
        <v>928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929</v>
      </c>
      <c r="R10" s="1" t="s">
        <v>898</v>
      </c>
      <c r="S10" s="1" t="s">
        <v>930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931</v>
      </c>
      <c r="Z10" s="1">
        <v>5</v>
      </c>
      <c r="AA10" s="1" t="s">
        <v>160</v>
      </c>
      <c r="AB10" s="1">
        <v>-10</v>
      </c>
      <c r="AC10" s="1" t="s">
        <v>932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933</v>
      </c>
      <c r="AT10" s="1" t="s">
        <v>934</v>
      </c>
      <c r="AU10" s="1" t="s">
        <v>190</v>
      </c>
      <c r="AV10" s="1" t="s">
        <v>935</v>
      </c>
      <c r="AW10" s="1" t="s">
        <v>936</v>
      </c>
      <c r="AX10" s="1" t="s">
        <v>157</v>
      </c>
      <c r="AY10" s="1" t="s">
        <v>937</v>
      </c>
      <c r="AZ10" s="1" t="s">
        <v>938</v>
      </c>
      <c r="BA10" s="1" t="s">
        <v>939</v>
      </c>
      <c r="BB10" s="1" t="s">
        <v>940</v>
      </c>
      <c r="BC10" s="1" t="s">
        <v>941</v>
      </c>
      <c r="BD10" s="1" t="s">
        <v>942</v>
      </c>
      <c r="BE10" s="1">
        <v>108</v>
      </c>
      <c r="BF10" s="1">
        <v>104.7</v>
      </c>
      <c r="BG10" s="1">
        <v>3.3</v>
      </c>
      <c r="BH10" s="1" t="s">
        <v>927</v>
      </c>
      <c r="BI10" s="1" t="s">
        <v>943</v>
      </c>
      <c r="BJ10" s="1" t="s">
        <v>944</v>
      </c>
      <c r="BK10" s="1" t="s">
        <v>805</v>
      </c>
      <c r="BL10" s="1" t="s">
        <v>945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946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947</v>
      </c>
      <c r="CC10" s="1" t="s">
        <v>948</v>
      </c>
    </row>
    <row r="11" spans="1:81" x14ac:dyDescent="0.25">
      <c r="A11" s="1" t="s">
        <v>145</v>
      </c>
      <c r="B11" s="1" t="s">
        <v>761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949</v>
      </c>
      <c r="H11" s="1">
        <v>5</v>
      </c>
      <c r="I11" s="1" t="s">
        <v>856</v>
      </c>
      <c r="J11" s="1" t="s">
        <v>219</v>
      </c>
      <c r="K11" s="1" t="s">
        <v>857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950</v>
      </c>
      <c r="R11" s="1" t="s">
        <v>898</v>
      </c>
      <c r="S11" s="1" t="s">
        <v>877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951</v>
      </c>
      <c r="Z11" s="1">
        <v>8</v>
      </c>
      <c r="AA11" s="1" t="s">
        <v>879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879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952</v>
      </c>
      <c r="AT11" s="1" t="s">
        <v>953</v>
      </c>
      <c r="AU11" s="1" t="s">
        <v>185</v>
      </c>
      <c r="AV11" s="1" t="s">
        <v>954</v>
      </c>
      <c r="AW11" s="1" t="s">
        <v>955</v>
      </c>
      <c r="AX11" s="1" t="s">
        <v>157</v>
      </c>
      <c r="AY11" s="1" t="s">
        <v>956</v>
      </c>
      <c r="AZ11" s="1" t="s">
        <v>957</v>
      </c>
      <c r="BA11" s="1" t="s">
        <v>958</v>
      </c>
      <c r="BB11" s="1" t="s">
        <v>959</v>
      </c>
      <c r="BC11" s="1" t="s">
        <v>916</v>
      </c>
      <c r="BD11" s="1" t="s">
        <v>960</v>
      </c>
      <c r="BE11" s="1">
        <v>111.7</v>
      </c>
      <c r="BF11" s="1">
        <v>106.5</v>
      </c>
      <c r="BG11" s="1">
        <v>5.3</v>
      </c>
      <c r="BH11" s="1" t="s">
        <v>807</v>
      </c>
      <c r="BI11" s="1" t="s">
        <v>266</v>
      </c>
      <c r="BJ11" s="1" t="s">
        <v>296</v>
      </c>
      <c r="BK11" s="1" t="s">
        <v>296</v>
      </c>
      <c r="BL11" s="1" t="s">
        <v>949</v>
      </c>
      <c r="BM11" s="1" t="s">
        <v>869</v>
      </c>
      <c r="BN11" s="1" t="s">
        <v>781</v>
      </c>
      <c r="BO11" s="1" t="s">
        <v>783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961</v>
      </c>
      <c r="CA11" s="1" t="s">
        <v>326</v>
      </c>
      <c r="CB11" s="1" t="s">
        <v>962</v>
      </c>
      <c r="CC11" s="1" t="s">
        <v>963</v>
      </c>
    </row>
    <row r="12" spans="1:81" x14ac:dyDescent="0.25">
      <c r="A12" s="1" t="s">
        <v>145</v>
      </c>
      <c r="B12" s="1" t="s">
        <v>761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964</v>
      </c>
      <c r="H12" s="1">
        <v>6</v>
      </c>
      <c r="I12" s="1" t="s">
        <v>856</v>
      </c>
      <c r="J12" s="1" t="s">
        <v>219</v>
      </c>
      <c r="K12" s="1" t="s">
        <v>965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913</v>
      </c>
      <c r="R12" s="1" t="s">
        <v>767</v>
      </c>
      <c r="S12" s="1" t="s">
        <v>896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966</v>
      </c>
      <c r="Y12" s="1" t="s">
        <v>967</v>
      </c>
      <c r="Z12" s="1">
        <v>7</v>
      </c>
      <c r="AA12" s="1" t="s">
        <v>899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968</v>
      </c>
      <c r="AT12" s="1" t="s">
        <v>969</v>
      </c>
      <c r="AU12" s="1" t="s">
        <v>186</v>
      </c>
      <c r="AV12" s="1" t="s">
        <v>970</v>
      </c>
      <c r="AW12" s="1" t="s">
        <v>971</v>
      </c>
      <c r="AX12" s="1" t="s">
        <v>157</v>
      </c>
      <c r="AY12" s="1" t="s">
        <v>972</v>
      </c>
      <c r="AZ12" s="1" t="s">
        <v>973</v>
      </c>
      <c r="BA12" s="1" t="s">
        <v>974</v>
      </c>
      <c r="BB12" s="1" t="s">
        <v>975</v>
      </c>
      <c r="BC12" s="1" t="s">
        <v>898</v>
      </c>
      <c r="BD12" s="1" t="s">
        <v>976</v>
      </c>
      <c r="BE12" s="1">
        <v>114.5</v>
      </c>
      <c r="BF12" s="1">
        <v>111.1</v>
      </c>
      <c r="BG12" s="1">
        <v>3.4</v>
      </c>
      <c r="BH12" s="1" t="s">
        <v>908</v>
      </c>
      <c r="BI12" s="1" t="s">
        <v>266</v>
      </c>
      <c r="BJ12" s="1" t="s">
        <v>216</v>
      </c>
      <c r="BK12" s="1" t="s">
        <v>296</v>
      </c>
      <c r="BL12" s="1" t="s">
        <v>964</v>
      </c>
      <c r="BM12" s="1" t="s">
        <v>977</v>
      </c>
      <c r="BN12" s="1" t="s">
        <v>783</v>
      </c>
      <c r="BO12" s="1" t="s">
        <v>943</v>
      </c>
      <c r="BP12" s="1" t="s">
        <v>270</v>
      </c>
      <c r="BQ12" s="1" t="s">
        <v>286</v>
      </c>
      <c r="BR12" s="1" t="s">
        <v>410</v>
      </c>
      <c r="BS12" s="1" t="s">
        <v>978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832</v>
      </c>
      <c r="CB12" s="1" t="s">
        <v>979</v>
      </c>
      <c r="CC12" s="1" t="s">
        <v>980</v>
      </c>
    </row>
    <row r="13" spans="1:81" x14ac:dyDescent="0.25">
      <c r="A13" s="1" t="s">
        <v>145</v>
      </c>
      <c r="B13" s="1" t="s">
        <v>761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874</v>
      </c>
      <c r="H13" s="1">
        <v>6</v>
      </c>
      <c r="I13" s="1" t="s">
        <v>856</v>
      </c>
      <c r="J13" s="1" t="s">
        <v>203</v>
      </c>
      <c r="K13" s="1" t="s">
        <v>857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981</v>
      </c>
      <c r="R13" s="1" t="s">
        <v>982</v>
      </c>
      <c r="S13" s="1" t="s">
        <v>930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983</v>
      </c>
      <c r="Y13" s="1" t="s">
        <v>984</v>
      </c>
      <c r="Z13" s="1">
        <v>9</v>
      </c>
      <c r="AA13" s="1" t="s">
        <v>985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878</v>
      </c>
      <c r="AT13" s="1" t="s">
        <v>986</v>
      </c>
      <c r="AU13" s="1" t="s">
        <v>273</v>
      </c>
      <c r="AV13" s="1" t="s">
        <v>987</v>
      </c>
      <c r="AW13" s="1" t="s">
        <v>988</v>
      </c>
      <c r="AX13" s="1" t="s">
        <v>224</v>
      </c>
      <c r="AY13" s="1" t="s">
        <v>989</v>
      </c>
      <c r="AZ13" s="1" t="s">
        <v>990</v>
      </c>
      <c r="BA13" s="1" t="s">
        <v>991</v>
      </c>
      <c r="BB13" s="1" t="s">
        <v>992</v>
      </c>
      <c r="BC13" s="1" t="s">
        <v>851</v>
      </c>
      <c r="BD13" s="1" t="s">
        <v>993</v>
      </c>
      <c r="BE13" s="1">
        <v>112.2</v>
      </c>
      <c r="BF13" s="1">
        <v>112.3</v>
      </c>
      <c r="BG13" s="1">
        <v>-0.1</v>
      </c>
      <c r="BH13" s="1" t="s">
        <v>874</v>
      </c>
      <c r="BI13" s="1" t="s">
        <v>869</v>
      </c>
      <c r="BJ13" s="1" t="s">
        <v>783</v>
      </c>
      <c r="BK13" s="1" t="s">
        <v>870</v>
      </c>
      <c r="BL13" s="1" t="s">
        <v>994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832</v>
      </c>
      <c r="CB13" s="1" t="s">
        <v>995</v>
      </c>
      <c r="CC13" s="1" t="s">
        <v>996</v>
      </c>
    </row>
    <row r="14" spans="1:81" x14ac:dyDescent="0.25">
      <c r="A14" s="1" t="s">
        <v>145</v>
      </c>
      <c r="B14" s="1" t="s">
        <v>761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949</v>
      </c>
      <c r="H14" s="1">
        <v>7</v>
      </c>
      <c r="I14" s="1" t="s">
        <v>997</v>
      </c>
      <c r="J14" s="1" t="s">
        <v>244</v>
      </c>
      <c r="K14" s="1" t="s">
        <v>895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981</v>
      </c>
      <c r="R14" s="1" t="s">
        <v>998</v>
      </c>
      <c r="S14" s="1" t="s">
        <v>999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1000</v>
      </c>
      <c r="Z14" s="1">
        <v>9</v>
      </c>
      <c r="AA14" s="1" t="s">
        <v>985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985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766</v>
      </c>
      <c r="AT14" s="1" t="s">
        <v>1001</v>
      </c>
      <c r="AU14" s="1" t="s">
        <v>164</v>
      </c>
      <c r="AV14" s="1" t="s">
        <v>1002</v>
      </c>
      <c r="AW14" s="1" t="s">
        <v>1003</v>
      </c>
      <c r="AX14" s="1" t="s">
        <v>185</v>
      </c>
      <c r="AY14" s="1" t="s">
        <v>1004</v>
      </c>
      <c r="AZ14" s="1" t="s">
        <v>1005</v>
      </c>
      <c r="BA14" s="1" t="s">
        <v>1006</v>
      </c>
      <c r="BB14" s="1" t="s">
        <v>1002</v>
      </c>
      <c r="BC14" s="1" t="s">
        <v>914</v>
      </c>
      <c r="BD14" s="1" t="s">
        <v>915</v>
      </c>
      <c r="BE14" s="1">
        <v>107.3</v>
      </c>
      <c r="BF14" s="1">
        <v>106.6</v>
      </c>
      <c r="BG14" s="1">
        <v>0.7</v>
      </c>
      <c r="BH14" s="1" t="s">
        <v>949</v>
      </c>
      <c r="BI14" s="1" t="s">
        <v>870</v>
      </c>
      <c r="BJ14" s="1" t="s">
        <v>943</v>
      </c>
      <c r="BK14" s="1" t="s">
        <v>808</v>
      </c>
      <c r="BL14" s="1" t="s">
        <v>1007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977</v>
      </c>
      <c r="CA14" s="1" t="s">
        <v>1008</v>
      </c>
      <c r="CB14" s="1" t="s">
        <v>1009</v>
      </c>
      <c r="CC14" s="1" t="s">
        <v>834</v>
      </c>
    </row>
    <row r="15" spans="1:81" x14ac:dyDescent="0.25">
      <c r="A15" s="1" t="s">
        <v>145</v>
      </c>
      <c r="B15" s="1" t="s">
        <v>761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949</v>
      </c>
      <c r="H15" s="1">
        <v>7</v>
      </c>
      <c r="I15" s="1" t="s">
        <v>856</v>
      </c>
      <c r="J15" s="1" t="s">
        <v>231</v>
      </c>
      <c r="K15" s="1" t="s">
        <v>895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929</v>
      </c>
      <c r="R15" s="1" t="s">
        <v>815</v>
      </c>
      <c r="S15" s="1" t="s">
        <v>1010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1011</v>
      </c>
      <c r="Y15" s="1" t="s">
        <v>998</v>
      </c>
      <c r="Z15" s="1">
        <v>11</v>
      </c>
      <c r="AA15" s="1" t="s">
        <v>769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1012</v>
      </c>
      <c r="AT15" s="1" t="s">
        <v>1013</v>
      </c>
      <c r="AU15" s="1" t="s">
        <v>163</v>
      </c>
      <c r="AV15" s="1" t="s">
        <v>1014</v>
      </c>
      <c r="AW15" s="1" t="s">
        <v>1013</v>
      </c>
      <c r="AX15" s="1" t="s">
        <v>164</v>
      </c>
      <c r="AY15" s="1" t="s">
        <v>1015</v>
      </c>
      <c r="AZ15" s="1" t="s">
        <v>1016</v>
      </c>
      <c r="BA15" s="1" t="s">
        <v>1000</v>
      </c>
      <c r="BB15" s="1" t="s">
        <v>770</v>
      </c>
      <c r="BC15" s="1" t="s">
        <v>1017</v>
      </c>
      <c r="BD15" s="1" t="s">
        <v>1018</v>
      </c>
      <c r="BE15" s="1">
        <v>111.7</v>
      </c>
      <c r="BF15" s="1">
        <v>110</v>
      </c>
      <c r="BG15" s="1">
        <v>1.7</v>
      </c>
      <c r="BH15" s="1" t="s">
        <v>1019</v>
      </c>
      <c r="BI15" s="1" t="s">
        <v>266</v>
      </c>
      <c r="BJ15" s="1" t="s">
        <v>296</v>
      </c>
      <c r="BK15" s="1" t="s">
        <v>276</v>
      </c>
      <c r="BL15" s="1" t="s">
        <v>949</v>
      </c>
      <c r="BM15" s="1" t="s">
        <v>783</v>
      </c>
      <c r="BN15" s="1" t="s">
        <v>783</v>
      </c>
      <c r="BO15" s="1" t="s">
        <v>808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944</v>
      </c>
      <c r="CB15" s="1" t="s">
        <v>1020</v>
      </c>
      <c r="CC15" s="1" t="s">
        <v>834</v>
      </c>
    </row>
    <row r="16" spans="1:81" x14ac:dyDescent="0.25">
      <c r="A16" s="1" t="s">
        <v>145</v>
      </c>
      <c r="B16" s="1" t="s">
        <v>761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1021</v>
      </c>
      <c r="H16" s="1">
        <v>8</v>
      </c>
      <c r="I16" s="1" t="s">
        <v>856</v>
      </c>
      <c r="J16" s="1" t="s">
        <v>181</v>
      </c>
      <c r="K16" s="1" t="s">
        <v>857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1022</v>
      </c>
      <c r="R16" s="1" t="s">
        <v>816</v>
      </c>
      <c r="S16" s="1" t="s">
        <v>1023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1024</v>
      </c>
      <c r="Z16" s="1">
        <v>11</v>
      </c>
      <c r="AA16" s="1" t="s">
        <v>769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1025</v>
      </c>
      <c r="AT16" s="1" t="s">
        <v>1026</v>
      </c>
      <c r="AU16" s="1" t="s">
        <v>186</v>
      </c>
      <c r="AV16" s="1" t="s">
        <v>878</v>
      </c>
      <c r="AW16" s="1" t="s">
        <v>1027</v>
      </c>
      <c r="AX16" s="1" t="s">
        <v>161</v>
      </c>
      <c r="AY16" s="1" t="s">
        <v>1028</v>
      </c>
      <c r="AZ16" s="1" t="s">
        <v>1029</v>
      </c>
      <c r="BA16" s="1" t="s">
        <v>1030</v>
      </c>
      <c r="BB16" s="1" t="s">
        <v>1031</v>
      </c>
      <c r="BC16" s="1" t="s">
        <v>1032</v>
      </c>
      <c r="BD16" s="1" t="s">
        <v>1033</v>
      </c>
      <c r="BE16" s="1">
        <v>107</v>
      </c>
      <c r="BF16" s="1">
        <v>107.3</v>
      </c>
      <c r="BG16" s="1">
        <v>-0.2</v>
      </c>
      <c r="BH16" s="1" t="s">
        <v>1021</v>
      </c>
      <c r="BI16" s="1" t="s">
        <v>783</v>
      </c>
      <c r="BJ16" s="1" t="s">
        <v>869</v>
      </c>
      <c r="BK16" s="1" t="s">
        <v>943</v>
      </c>
      <c r="BL16" s="1" t="s">
        <v>924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808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852</v>
      </c>
      <c r="CA16" s="1" t="s">
        <v>397</v>
      </c>
      <c r="CB16" s="1" t="s">
        <v>1034</v>
      </c>
      <c r="CC16" s="1" t="s">
        <v>1035</v>
      </c>
    </row>
    <row r="17" spans="1:81" x14ac:dyDescent="0.25">
      <c r="A17" s="1" t="s">
        <v>145</v>
      </c>
      <c r="B17" s="1" t="s">
        <v>761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964</v>
      </c>
      <c r="H17" s="1">
        <v>8</v>
      </c>
      <c r="I17" s="1" t="s">
        <v>856</v>
      </c>
      <c r="J17" s="1" t="s">
        <v>152</v>
      </c>
      <c r="K17" s="1" t="s">
        <v>928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929</v>
      </c>
      <c r="R17" s="1" t="s">
        <v>816</v>
      </c>
      <c r="S17" s="1" t="s">
        <v>896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982</v>
      </c>
      <c r="Z17" s="1">
        <v>9</v>
      </c>
      <c r="AA17" s="1" t="s">
        <v>985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1002</v>
      </c>
      <c r="AT17" s="1" t="s">
        <v>1036</v>
      </c>
      <c r="AU17" s="1" t="s">
        <v>260</v>
      </c>
      <c r="AV17" s="1" t="s">
        <v>1037</v>
      </c>
      <c r="AW17" s="1" t="s">
        <v>1038</v>
      </c>
      <c r="AX17" s="1" t="s">
        <v>190</v>
      </c>
      <c r="AY17" s="1" t="s">
        <v>1039</v>
      </c>
      <c r="AZ17" s="1" t="s">
        <v>1040</v>
      </c>
      <c r="BA17" s="1" t="s">
        <v>1041</v>
      </c>
      <c r="BB17" s="1" t="s">
        <v>1042</v>
      </c>
      <c r="BC17" s="1" t="s">
        <v>1043</v>
      </c>
      <c r="BD17" s="1" t="s">
        <v>1044</v>
      </c>
      <c r="BE17" s="1">
        <v>115.1</v>
      </c>
      <c r="BF17" s="1">
        <v>114.3</v>
      </c>
      <c r="BG17" s="1">
        <v>0.9</v>
      </c>
      <c r="BH17" s="1" t="s">
        <v>807</v>
      </c>
      <c r="BI17" s="1" t="s">
        <v>266</v>
      </c>
      <c r="BJ17" s="1" t="s">
        <v>296</v>
      </c>
      <c r="BK17" s="1" t="s">
        <v>296</v>
      </c>
      <c r="BL17" s="1" t="s">
        <v>964</v>
      </c>
      <c r="BM17" s="1" t="s">
        <v>1045</v>
      </c>
      <c r="BN17" s="1" t="s">
        <v>944</v>
      </c>
      <c r="BO17" s="1" t="s">
        <v>783</v>
      </c>
      <c r="BP17" s="1" t="s">
        <v>961</v>
      </c>
      <c r="BQ17" s="1" t="s">
        <v>286</v>
      </c>
      <c r="BR17" s="1" t="s">
        <v>1046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1047</v>
      </c>
      <c r="CC17" s="1" t="s">
        <v>1048</v>
      </c>
    </row>
    <row r="18" spans="1:81" x14ac:dyDescent="0.25">
      <c r="A18" s="1" t="s">
        <v>145</v>
      </c>
      <c r="B18" s="1" t="s">
        <v>761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874</v>
      </c>
      <c r="H18" s="1">
        <v>9</v>
      </c>
      <c r="I18" s="1" t="s">
        <v>1049</v>
      </c>
      <c r="J18" s="1" t="s">
        <v>244</v>
      </c>
      <c r="K18" s="1" t="s">
        <v>895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1050</v>
      </c>
      <c r="R18" s="1" t="s">
        <v>998</v>
      </c>
      <c r="S18" s="1" t="s">
        <v>1051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875</v>
      </c>
      <c r="Y18" s="1" t="s">
        <v>877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1052</v>
      </c>
      <c r="AT18" s="1" t="s">
        <v>1053</v>
      </c>
      <c r="AU18" s="1" t="s">
        <v>190</v>
      </c>
      <c r="AV18" s="1" t="s">
        <v>792</v>
      </c>
      <c r="AW18" s="1" t="s">
        <v>1054</v>
      </c>
      <c r="AX18" s="1" t="s">
        <v>186</v>
      </c>
      <c r="AY18" s="1" t="s">
        <v>1055</v>
      </c>
      <c r="AZ18" s="1" t="s">
        <v>1056</v>
      </c>
      <c r="BA18" s="1" t="s">
        <v>969</v>
      </c>
      <c r="BB18" s="1" t="s">
        <v>1057</v>
      </c>
      <c r="BC18" s="1" t="s">
        <v>1058</v>
      </c>
      <c r="BD18" s="1" t="s">
        <v>1059</v>
      </c>
      <c r="BE18" s="1">
        <v>110.7</v>
      </c>
      <c r="BF18" s="1">
        <v>111.8</v>
      </c>
      <c r="BG18" s="1">
        <v>-1.1000000000000001</v>
      </c>
      <c r="BH18" s="1" t="s">
        <v>874</v>
      </c>
      <c r="BI18" s="1" t="s">
        <v>909</v>
      </c>
      <c r="BJ18" s="1" t="s">
        <v>870</v>
      </c>
      <c r="BK18" s="1" t="s">
        <v>808</v>
      </c>
      <c r="BL18" s="1" t="s">
        <v>1060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925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1061</v>
      </c>
      <c r="CC18" s="1" t="s">
        <v>980</v>
      </c>
    </row>
    <row r="19" spans="1:81" x14ac:dyDescent="0.25">
      <c r="A19" s="1" t="s">
        <v>145</v>
      </c>
      <c r="B19" s="1" t="s">
        <v>761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1062</v>
      </c>
      <c r="H19" s="1">
        <v>9</v>
      </c>
      <c r="I19" s="1" t="s">
        <v>1049</v>
      </c>
      <c r="J19" s="1" t="s">
        <v>152</v>
      </c>
      <c r="K19" s="1" t="s">
        <v>1063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1050</v>
      </c>
      <c r="R19" s="1" t="s">
        <v>1064</v>
      </c>
      <c r="S19" s="1" t="s">
        <v>1023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966</v>
      </c>
      <c r="Y19" s="1" t="s">
        <v>1065</v>
      </c>
      <c r="Z19" s="1">
        <v>7</v>
      </c>
      <c r="AA19" s="1" t="s">
        <v>899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1066</v>
      </c>
      <c r="AT19" s="1" t="s">
        <v>1067</v>
      </c>
      <c r="AU19" s="1" t="s">
        <v>260</v>
      </c>
      <c r="AV19" s="1" t="s">
        <v>1068</v>
      </c>
      <c r="AW19" s="1" t="s">
        <v>1069</v>
      </c>
      <c r="AX19" s="1" t="s">
        <v>339</v>
      </c>
      <c r="AY19" s="1" t="s">
        <v>1070</v>
      </c>
      <c r="AZ19" s="1" t="s">
        <v>1071</v>
      </c>
      <c r="BA19" s="1" t="s">
        <v>1072</v>
      </c>
      <c r="BB19" s="1" t="s">
        <v>1073</v>
      </c>
      <c r="BC19" s="1" t="s">
        <v>1044</v>
      </c>
      <c r="BD19" s="1" t="s">
        <v>1074</v>
      </c>
      <c r="BE19" s="1">
        <v>114.2</v>
      </c>
      <c r="BF19" s="1">
        <v>115.3</v>
      </c>
      <c r="BG19" s="1">
        <v>-1.1000000000000001</v>
      </c>
      <c r="BH19" s="1" t="s">
        <v>1019</v>
      </c>
      <c r="BI19" s="1" t="s">
        <v>398</v>
      </c>
      <c r="BJ19" s="1" t="s">
        <v>296</v>
      </c>
      <c r="BK19" s="1" t="s">
        <v>216</v>
      </c>
      <c r="BL19" s="1" t="s">
        <v>1062</v>
      </c>
      <c r="BM19" s="1" t="s">
        <v>1045</v>
      </c>
      <c r="BN19" s="1" t="s">
        <v>1075</v>
      </c>
      <c r="BO19" s="1" t="s">
        <v>783</v>
      </c>
      <c r="BP19" s="1" t="s">
        <v>925</v>
      </c>
      <c r="BQ19" s="1" t="s">
        <v>276</v>
      </c>
      <c r="BR19" s="1" t="s">
        <v>961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1008</v>
      </c>
      <c r="CA19" s="1" t="s">
        <v>832</v>
      </c>
      <c r="CB19" s="1" t="s">
        <v>1076</v>
      </c>
      <c r="CC19" s="1" t="s">
        <v>1077</v>
      </c>
    </row>
    <row r="20" spans="1:81" x14ac:dyDescent="0.25">
      <c r="A20" s="1" t="s">
        <v>145</v>
      </c>
      <c r="B20" s="1" t="s">
        <v>761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1078</v>
      </c>
      <c r="H20" s="1">
        <v>10</v>
      </c>
      <c r="I20" s="1" t="s">
        <v>1049</v>
      </c>
      <c r="J20" s="1" t="s">
        <v>152</v>
      </c>
      <c r="K20" s="1" t="s">
        <v>965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1079</v>
      </c>
      <c r="R20" s="1" t="s">
        <v>896</v>
      </c>
      <c r="S20" s="1" t="s">
        <v>1023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1010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1080</v>
      </c>
      <c r="AT20" s="1" t="s">
        <v>1081</v>
      </c>
      <c r="AU20" s="1" t="s">
        <v>157</v>
      </c>
      <c r="AV20" s="1" t="s">
        <v>1082</v>
      </c>
      <c r="AW20" s="1" t="s">
        <v>1083</v>
      </c>
      <c r="AX20" s="1" t="s">
        <v>157</v>
      </c>
      <c r="AY20" s="1" t="s">
        <v>1084</v>
      </c>
      <c r="AZ20" s="1" t="s">
        <v>1085</v>
      </c>
      <c r="BA20" s="1" t="s">
        <v>1086</v>
      </c>
      <c r="BB20" s="1" t="s">
        <v>1087</v>
      </c>
      <c r="BC20" s="1" t="s">
        <v>1088</v>
      </c>
      <c r="BD20" s="1" t="s">
        <v>1089</v>
      </c>
      <c r="BE20" s="1">
        <v>111.8</v>
      </c>
      <c r="BF20" s="1">
        <v>113.5</v>
      </c>
      <c r="BG20" s="1">
        <v>-1.7</v>
      </c>
      <c r="BH20" s="1" t="s">
        <v>1007</v>
      </c>
      <c r="BI20" s="1" t="s">
        <v>1090</v>
      </c>
      <c r="BJ20" s="1" t="s">
        <v>276</v>
      </c>
      <c r="BK20" s="1" t="s">
        <v>266</v>
      </c>
      <c r="BL20" s="1" t="s">
        <v>1078</v>
      </c>
      <c r="BM20" s="1" t="s">
        <v>1045</v>
      </c>
      <c r="BN20" s="1" t="s">
        <v>977</v>
      </c>
      <c r="BO20" s="1" t="s">
        <v>943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1091</v>
      </c>
      <c r="CC20" s="1" t="s">
        <v>1077</v>
      </c>
    </row>
    <row r="21" spans="1:81" x14ac:dyDescent="0.25">
      <c r="A21" s="1" t="s">
        <v>145</v>
      </c>
      <c r="B21" s="1" t="s">
        <v>761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1092</v>
      </c>
      <c r="H21" s="1">
        <v>10</v>
      </c>
      <c r="I21" s="1" t="s">
        <v>1049</v>
      </c>
      <c r="J21" s="1" t="s">
        <v>244</v>
      </c>
      <c r="K21" s="1" t="s">
        <v>1093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1050</v>
      </c>
      <c r="R21" s="1" t="s">
        <v>930</v>
      </c>
      <c r="S21" s="1" t="s">
        <v>839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1094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931</v>
      </c>
      <c r="AT21" s="1" t="s">
        <v>1095</v>
      </c>
      <c r="AU21" s="1" t="s">
        <v>234</v>
      </c>
      <c r="AV21" s="1" t="s">
        <v>1096</v>
      </c>
      <c r="AW21" s="1" t="s">
        <v>1097</v>
      </c>
      <c r="AX21" s="1" t="s">
        <v>260</v>
      </c>
      <c r="AY21" s="1" t="s">
        <v>1098</v>
      </c>
      <c r="AZ21" s="1" t="s">
        <v>1099</v>
      </c>
      <c r="BA21" s="1" t="s">
        <v>1100</v>
      </c>
      <c r="BB21" s="1" t="s">
        <v>1101</v>
      </c>
      <c r="BC21" s="1" t="s">
        <v>1102</v>
      </c>
      <c r="BD21" s="1" t="s">
        <v>1103</v>
      </c>
      <c r="BE21" s="1">
        <v>105.7</v>
      </c>
      <c r="BF21" s="1">
        <v>105.9</v>
      </c>
      <c r="BG21" s="1">
        <v>-0.2</v>
      </c>
      <c r="BH21" s="1" t="s">
        <v>1092</v>
      </c>
      <c r="BI21" s="1" t="s">
        <v>1045</v>
      </c>
      <c r="BJ21" s="1" t="s">
        <v>943</v>
      </c>
      <c r="BK21" s="1" t="s">
        <v>961</v>
      </c>
      <c r="BL21" s="1" t="s">
        <v>1104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1105</v>
      </c>
      <c r="BR21" s="1" t="s">
        <v>233</v>
      </c>
      <c r="BS21" s="1" t="s">
        <v>910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1034</v>
      </c>
      <c r="CC21" s="1" t="s">
        <v>1106</v>
      </c>
    </row>
    <row r="22" spans="1:81" x14ac:dyDescent="0.25">
      <c r="A22" s="1" t="s">
        <v>145</v>
      </c>
      <c r="B22" s="1" t="s">
        <v>761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1107</v>
      </c>
      <c r="H22" s="1">
        <v>11</v>
      </c>
      <c r="I22" s="1" t="s">
        <v>1049</v>
      </c>
      <c r="J22" s="1" t="s">
        <v>244</v>
      </c>
      <c r="K22" s="1" t="s">
        <v>1093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1108</v>
      </c>
      <c r="R22" s="1" t="s">
        <v>896</v>
      </c>
      <c r="S22" s="1" t="s">
        <v>1003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1109</v>
      </c>
      <c r="Z22" s="1">
        <v>-6</v>
      </c>
      <c r="AA22" s="1" t="s">
        <v>367</v>
      </c>
      <c r="AB22" s="1">
        <v>-8</v>
      </c>
      <c r="AC22" s="1" t="s">
        <v>1110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1111</v>
      </c>
      <c r="AT22" s="1" t="s">
        <v>1112</v>
      </c>
      <c r="AU22" s="1" t="s">
        <v>158</v>
      </c>
      <c r="AV22" s="1" t="s">
        <v>1113</v>
      </c>
      <c r="AW22" s="1" t="s">
        <v>1114</v>
      </c>
      <c r="AX22" s="1" t="s">
        <v>190</v>
      </c>
      <c r="AY22" s="1" t="s">
        <v>1115</v>
      </c>
      <c r="AZ22" s="1" t="s">
        <v>1116</v>
      </c>
      <c r="BA22" s="1" t="s">
        <v>1117</v>
      </c>
      <c r="BB22" s="1" t="s">
        <v>1118</v>
      </c>
      <c r="BC22" s="1" t="s">
        <v>1119</v>
      </c>
      <c r="BD22" s="1" t="s">
        <v>1092</v>
      </c>
      <c r="BE22" s="1">
        <v>114</v>
      </c>
      <c r="BF22" s="1">
        <v>116.9</v>
      </c>
      <c r="BG22" s="1">
        <v>-2.9</v>
      </c>
      <c r="BH22" s="1" t="s">
        <v>1107</v>
      </c>
      <c r="BI22" s="1" t="s">
        <v>1120</v>
      </c>
      <c r="BJ22" s="1" t="s">
        <v>1120</v>
      </c>
      <c r="BK22" s="1" t="s">
        <v>961</v>
      </c>
      <c r="BL22" s="1" t="s">
        <v>994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1121</v>
      </c>
      <c r="BS22" s="1" t="s">
        <v>372</v>
      </c>
      <c r="BT22" s="1"/>
      <c r="BU22" s="1"/>
      <c r="BV22" s="1"/>
      <c r="BW22" s="1"/>
      <c r="BX22" s="1"/>
      <c r="BY22" s="1" t="s">
        <v>1122</v>
      </c>
      <c r="BZ22" s="1" t="s">
        <v>925</v>
      </c>
      <c r="CA22" s="1" t="s">
        <v>337</v>
      </c>
      <c r="CB22" s="1" t="s">
        <v>1123</v>
      </c>
      <c r="CC22" s="1" t="s">
        <v>1124</v>
      </c>
    </row>
    <row r="23" spans="1:81" x14ac:dyDescent="0.25">
      <c r="A23" s="1" t="s">
        <v>145</v>
      </c>
      <c r="B23" s="1" t="s">
        <v>761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1125</v>
      </c>
      <c r="H23" s="1">
        <v>11</v>
      </c>
      <c r="I23" s="1" t="s">
        <v>1049</v>
      </c>
      <c r="J23" s="1" t="s">
        <v>219</v>
      </c>
      <c r="K23" s="1" t="s">
        <v>1126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1127</v>
      </c>
      <c r="R23" s="1" t="s">
        <v>998</v>
      </c>
      <c r="S23" s="1" t="s">
        <v>1128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930</v>
      </c>
      <c r="Z23" s="1">
        <v>6</v>
      </c>
      <c r="AA23" s="1" t="s">
        <v>188</v>
      </c>
      <c r="AB23" s="1">
        <v>-9</v>
      </c>
      <c r="AC23" s="1" t="s">
        <v>1129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1130</v>
      </c>
      <c r="AT23" s="1" t="s">
        <v>1131</v>
      </c>
      <c r="AU23" s="1" t="s">
        <v>226</v>
      </c>
      <c r="AV23" s="1" t="s">
        <v>1132</v>
      </c>
      <c r="AW23" s="1" t="s">
        <v>1133</v>
      </c>
      <c r="AX23" s="1" t="s">
        <v>260</v>
      </c>
      <c r="AY23" s="1" t="s">
        <v>1134</v>
      </c>
      <c r="AZ23" s="1" t="s">
        <v>1135</v>
      </c>
      <c r="BA23" s="1" t="s">
        <v>1136</v>
      </c>
      <c r="BB23" s="1" t="s">
        <v>1137</v>
      </c>
      <c r="BC23" s="1" t="s">
        <v>1138</v>
      </c>
      <c r="BD23" s="1" t="s">
        <v>1139</v>
      </c>
      <c r="BE23" s="1">
        <v>112.5</v>
      </c>
      <c r="BF23" s="1">
        <v>114</v>
      </c>
      <c r="BG23" s="1">
        <v>-1.5</v>
      </c>
      <c r="BH23" s="1" t="s">
        <v>924</v>
      </c>
      <c r="BI23" s="1" t="s">
        <v>323</v>
      </c>
      <c r="BJ23" s="1" t="s">
        <v>276</v>
      </c>
      <c r="BK23" s="1" t="s">
        <v>276</v>
      </c>
      <c r="BL23" s="1" t="s">
        <v>1125</v>
      </c>
      <c r="BM23" s="1" t="s">
        <v>386</v>
      </c>
      <c r="BN23" s="1" t="s">
        <v>943</v>
      </c>
      <c r="BO23" s="1" t="s">
        <v>909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1061</v>
      </c>
      <c r="CC23" s="1" t="s">
        <v>1077</v>
      </c>
    </row>
    <row r="24" spans="1:81" x14ac:dyDescent="0.25">
      <c r="A24" s="1" t="s">
        <v>145</v>
      </c>
      <c r="B24" s="1" t="s">
        <v>761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1140</v>
      </c>
      <c r="H24" s="1">
        <v>12</v>
      </c>
      <c r="I24" s="1" t="s">
        <v>1049</v>
      </c>
      <c r="J24" s="1" t="s">
        <v>231</v>
      </c>
      <c r="K24" s="1" t="s">
        <v>857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1141</v>
      </c>
      <c r="R24" s="1" t="s">
        <v>877</v>
      </c>
      <c r="S24" s="1" t="s">
        <v>1142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1143</v>
      </c>
      <c r="Z24" s="1">
        <v>5</v>
      </c>
      <c r="AA24" s="1" t="s">
        <v>160</v>
      </c>
      <c r="AB24" s="1">
        <v>-9</v>
      </c>
      <c r="AC24" s="1" t="s">
        <v>1129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1144</v>
      </c>
      <c r="AT24" s="1" t="s">
        <v>1145</v>
      </c>
      <c r="AU24" s="1" t="s">
        <v>262</v>
      </c>
      <c r="AV24" s="1" t="s">
        <v>1146</v>
      </c>
      <c r="AW24" s="1" t="s">
        <v>1147</v>
      </c>
      <c r="AX24" s="1" t="s">
        <v>153</v>
      </c>
      <c r="AY24" s="1" t="s">
        <v>921</v>
      </c>
      <c r="AZ24" s="1" t="s">
        <v>1148</v>
      </c>
      <c r="BA24" s="1" t="s">
        <v>1100</v>
      </c>
      <c r="BB24" s="1" t="s">
        <v>1149</v>
      </c>
      <c r="BC24" s="1" t="s">
        <v>1150</v>
      </c>
      <c r="BD24" s="1" t="s">
        <v>1151</v>
      </c>
      <c r="BE24" s="1">
        <v>103.5</v>
      </c>
      <c r="BF24" s="1">
        <v>106.1</v>
      </c>
      <c r="BG24" s="1">
        <v>-2.6</v>
      </c>
      <c r="BH24" s="1" t="s">
        <v>1152</v>
      </c>
      <c r="BI24" s="1" t="s">
        <v>398</v>
      </c>
      <c r="BJ24" s="1" t="s">
        <v>398</v>
      </c>
      <c r="BK24" s="1" t="s">
        <v>398</v>
      </c>
      <c r="BL24" s="1" t="s">
        <v>1140</v>
      </c>
      <c r="BM24" s="1" t="s">
        <v>943</v>
      </c>
      <c r="BN24" s="1" t="s">
        <v>1045</v>
      </c>
      <c r="BO24" s="1" t="s">
        <v>869</v>
      </c>
      <c r="BP24" s="1" t="s">
        <v>1153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832</v>
      </c>
      <c r="CA24" s="1" t="s">
        <v>349</v>
      </c>
      <c r="CB24" s="1" t="s">
        <v>1154</v>
      </c>
      <c r="CC24" s="1" t="s">
        <v>1155</v>
      </c>
    </row>
    <row r="25" spans="1:81" x14ac:dyDescent="0.25">
      <c r="A25" s="1" t="s">
        <v>145</v>
      </c>
      <c r="B25" s="1" t="s">
        <v>761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1156</v>
      </c>
      <c r="H25" s="1">
        <v>12</v>
      </c>
      <c r="I25" s="1" t="s">
        <v>1049</v>
      </c>
      <c r="J25" s="1" t="s">
        <v>244</v>
      </c>
      <c r="K25" s="1" t="s">
        <v>875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1157</v>
      </c>
      <c r="R25" s="1" t="s">
        <v>999</v>
      </c>
      <c r="S25" s="1" t="s">
        <v>1142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1158</v>
      </c>
      <c r="Y25" s="1" t="s">
        <v>1159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1160</v>
      </c>
      <c r="AT25" s="1" t="s">
        <v>1053</v>
      </c>
      <c r="AU25" s="1" t="s">
        <v>327</v>
      </c>
      <c r="AV25" s="1" t="s">
        <v>868</v>
      </c>
      <c r="AW25" s="1" t="s">
        <v>1161</v>
      </c>
      <c r="AX25" s="1" t="s">
        <v>153</v>
      </c>
      <c r="AY25" s="1" t="s">
        <v>1162</v>
      </c>
      <c r="AZ25" s="1" t="s">
        <v>1163</v>
      </c>
      <c r="BA25" s="1" t="s">
        <v>1164</v>
      </c>
      <c r="BB25" s="1" t="s">
        <v>993</v>
      </c>
      <c r="BC25" s="1" t="s">
        <v>1165</v>
      </c>
      <c r="BD25" s="1" t="s">
        <v>1166</v>
      </c>
      <c r="BE25" s="1">
        <v>113.3</v>
      </c>
      <c r="BF25" s="1">
        <v>119.4</v>
      </c>
      <c r="BG25" s="1">
        <v>-6</v>
      </c>
      <c r="BH25" s="1" t="s">
        <v>1156</v>
      </c>
      <c r="BI25" s="1" t="s">
        <v>1167</v>
      </c>
      <c r="BJ25" s="1" t="s">
        <v>1120</v>
      </c>
      <c r="BK25" s="1" t="s">
        <v>410</v>
      </c>
      <c r="BL25" s="1" t="s">
        <v>994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1168</v>
      </c>
      <c r="BR25" s="1" t="s">
        <v>925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1169</v>
      </c>
      <c r="CC25" s="1" t="s">
        <v>948</v>
      </c>
    </row>
    <row r="26" spans="1:81" x14ac:dyDescent="0.25">
      <c r="A26" s="1" t="s">
        <v>145</v>
      </c>
      <c r="B26" s="1" t="s">
        <v>761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1092</v>
      </c>
      <c r="H26" s="1">
        <v>13</v>
      </c>
      <c r="I26" s="1" t="s">
        <v>1049</v>
      </c>
      <c r="J26" s="1" t="s">
        <v>231</v>
      </c>
      <c r="K26" s="1" t="s">
        <v>857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1141</v>
      </c>
      <c r="R26" s="1" t="s">
        <v>930</v>
      </c>
      <c r="S26" s="1" t="s">
        <v>1051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1170</v>
      </c>
      <c r="Z26" s="1">
        <v>-8</v>
      </c>
      <c r="AA26" s="1" t="s">
        <v>1110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1171</v>
      </c>
      <c r="AT26" s="1" t="s">
        <v>1172</v>
      </c>
      <c r="AU26" s="1" t="s">
        <v>190</v>
      </c>
      <c r="AV26" s="1" t="s">
        <v>1173</v>
      </c>
      <c r="AW26" s="1" t="s">
        <v>1174</v>
      </c>
      <c r="AX26" s="1" t="s">
        <v>186</v>
      </c>
      <c r="AY26" s="1" t="s">
        <v>1175</v>
      </c>
      <c r="AZ26" s="1" t="s">
        <v>1176</v>
      </c>
      <c r="BA26" s="1" t="s">
        <v>1177</v>
      </c>
      <c r="BB26" s="1" t="s">
        <v>1178</v>
      </c>
      <c r="BC26" s="1" t="s">
        <v>1179</v>
      </c>
      <c r="BD26" s="1" t="s">
        <v>1180</v>
      </c>
      <c r="BE26" s="1">
        <v>115.4</v>
      </c>
      <c r="BF26" s="1">
        <v>116.8</v>
      </c>
      <c r="BG26" s="1">
        <v>-1.3</v>
      </c>
      <c r="BH26" s="1" t="s">
        <v>1060</v>
      </c>
      <c r="BI26" s="1" t="s">
        <v>398</v>
      </c>
      <c r="BJ26" s="1" t="s">
        <v>276</v>
      </c>
      <c r="BK26" s="1" t="s">
        <v>393</v>
      </c>
      <c r="BL26" s="1" t="s">
        <v>1092</v>
      </c>
      <c r="BM26" s="1" t="s">
        <v>1045</v>
      </c>
      <c r="BN26" s="1" t="s">
        <v>909</v>
      </c>
      <c r="BO26" s="1" t="s">
        <v>869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961</v>
      </c>
      <c r="CA26" s="1" t="s">
        <v>337</v>
      </c>
      <c r="CB26" s="1" t="s">
        <v>1181</v>
      </c>
      <c r="CC26" s="1" t="s">
        <v>1182</v>
      </c>
    </row>
    <row r="27" spans="1:81" x14ac:dyDescent="0.25">
      <c r="A27" s="1" t="s">
        <v>145</v>
      </c>
      <c r="B27" s="1" t="s">
        <v>761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1156</v>
      </c>
      <c r="H27" s="1">
        <v>13</v>
      </c>
      <c r="I27" s="1" t="s">
        <v>1049</v>
      </c>
      <c r="J27" s="1" t="s">
        <v>181</v>
      </c>
      <c r="K27" s="1" t="s">
        <v>1183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1184</v>
      </c>
      <c r="R27" s="1" t="s">
        <v>1053</v>
      </c>
      <c r="S27" s="1" t="s">
        <v>1185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857</v>
      </c>
      <c r="Y27" s="1" t="s">
        <v>1186</v>
      </c>
      <c r="Z27" s="1">
        <v>-11</v>
      </c>
      <c r="AA27" s="1" t="s">
        <v>1187</v>
      </c>
      <c r="AB27" s="1">
        <v>-9</v>
      </c>
      <c r="AC27" s="1" t="s">
        <v>1129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1188</v>
      </c>
      <c r="AT27" s="1" t="s">
        <v>1189</v>
      </c>
      <c r="AU27" s="1" t="s">
        <v>158</v>
      </c>
      <c r="AV27" s="1" t="s">
        <v>1190</v>
      </c>
      <c r="AW27" s="1" t="s">
        <v>1191</v>
      </c>
      <c r="AX27" s="1" t="s">
        <v>164</v>
      </c>
      <c r="AY27" s="1" t="s">
        <v>1192</v>
      </c>
      <c r="AZ27" s="1" t="s">
        <v>1193</v>
      </c>
      <c r="BA27" s="1" t="s">
        <v>1194</v>
      </c>
      <c r="BB27" s="1" t="s">
        <v>1195</v>
      </c>
      <c r="BC27" s="1" t="s">
        <v>873</v>
      </c>
      <c r="BD27" s="1" t="s">
        <v>1196</v>
      </c>
      <c r="BE27" s="1">
        <v>104.9</v>
      </c>
      <c r="BF27" s="1">
        <v>113.4</v>
      </c>
      <c r="BG27" s="1">
        <v>-8.4</v>
      </c>
      <c r="BH27" s="1" t="s">
        <v>1156</v>
      </c>
      <c r="BI27" s="1" t="s">
        <v>1167</v>
      </c>
      <c r="BJ27" s="1" t="s">
        <v>402</v>
      </c>
      <c r="BK27" s="1" t="s">
        <v>943</v>
      </c>
      <c r="BL27" s="1" t="s">
        <v>1197</v>
      </c>
      <c r="BM27" s="1" t="s">
        <v>1090</v>
      </c>
      <c r="BN27" s="1" t="s">
        <v>393</v>
      </c>
      <c r="BO27" s="1" t="s">
        <v>398</v>
      </c>
      <c r="BP27" s="1" t="s">
        <v>1198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1199</v>
      </c>
      <c r="BZ27" s="1" t="s">
        <v>1200</v>
      </c>
      <c r="CA27" s="1" t="s">
        <v>363</v>
      </c>
      <c r="CB27" s="1" t="s">
        <v>1201</v>
      </c>
      <c r="CC27" s="1" t="s">
        <v>1124</v>
      </c>
    </row>
    <row r="28" spans="1:81" x14ac:dyDescent="0.25">
      <c r="A28" s="1" t="s">
        <v>145</v>
      </c>
      <c r="B28" s="1" t="s">
        <v>761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1202</v>
      </c>
      <c r="H28" s="1">
        <v>14</v>
      </c>
      <c r="I28" s="1" t="s">
        <v>1049</v>
      </c>
      <c r="J28" s="1" t="s">
        <v>181</v>
      </c>
      <c r="K28" s="1" t="s">
        <v>1063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1203</v>
      </c>
      <c r="R28" s="1" t="s">
        <v>1185</v>
      </c>
      <c r="S28" s="1" t="s">
        <v>1204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1205</v>
      </c>
      <c r="Z28" s="1">
        <v>-9</v>
      </c>
      <c r="AA28" s="1" t="s">
        <v>1129</v>
      </c>
      <c r="AB28" s="1">
        <v>-11</v>
      </c>
      <c r="AC28" s="1" t="s">
        <v>1187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1187</v>
      </c>
      <c r="AJ28" s="1">
        <v>-10</v>
      </c>
      <c r="AK28" s="1" t="s">
        <v>932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854</v>
      </c>
      <c r="AT28" s="1" t="s">
        <v>1206</v>
      </c>
      <c r="AU28" s="1" t="s">
        <v>304</v>
      </c>
      <c r="AV28" s="1" t="s">
        <v>1207</v>
      </c>
      <c r="AW28" s="1" t="s">
        <v>1208</v>
      </c>
      <c r="AX28" s="1" t="s">
        <v>208</v>
      </c>
      <c r="AY28" s="1" t="s">
        <v>1136</v>
      </c>
      <c r="AZ28" s="1" t="s">
        <v>1209</v>
      </c>
      <c r="BA28" s="1" t="s">
        <v>1210</v>
      </c>
      <c r="BB28" s="1" t="s">
        <v>1211</v>
      </c>
      <c r="BC28" s="1" t="s">
        <v>1094</v>
      </c>
      <c r="BD28" s="1" t="s">
        <v>1212</v>
      </c>
      <c r="BE28" s="1">
        <v>104.5</v>
      </c>
      <c r="BF28" s="1">
        <v>114.1</v>
      </c>
      <c r="BG28" s="1">
        <v>-9.6</v>
      </c>
      <c r="BH28" s="1" t="s">
        <v>1202</v>
      </c>
      <c r="BI28" s="1" t="s">
        <v>1120</v>
      </c>
      <c r="BJ28" s="1" t="s">
        <v>1075</v>
      </c>
      <c r="BK28" s="1" t="s">
        <v>1213</v>
      </c>
      <c r="BL28" s="1" t="s">
        <v>1214</v>
      </c>
      <c r="BM28" s="1" t="s">
        <v>1215</v>
      </c>
      <c r="BN28" s="1" t="s">
        <v>393</v>
      </c>
      <c r="BO28" s="1" t="s">
        <v>393</v>
      </c>
      <c r="BP28" s="1" t="s">
        <v>1200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1122</v>
      </c>
      <c r="BZ28" s="1" t="s">
        <v>407</v>
      </c>
      <c r="CA28" s="1" t="s">
        <v>1075</v>
      </c>
      <c r="CB28" s="1" t="s">
        <v>1216</v>
      </c>
      <c r="CC28" s="1" t="s">
        <v>1217</v>
      </c>
    </row>
    <row r="29" spans="1:81" x14ac:dyDescent="0.25">
      <c r="A29" s="1" t="s">
        <v>145</v>
      </c>
      <c r="B29" s="1" t="s">
        <v>761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1218</v>
      </c>
      <c r="H29" s="1">
        <v>14</v>
      </c>
      <c r="I29" s="1" t="s">
        <v>1049</v>
      </c>
      <c r="J29" s="1" t="s">
        <v>231</v>
      </c>
      <c r="K29" s="1" t="s">
        <v>1063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1141</v>
      </c>
      <c r="R29" s="1" t="s">
        <v>1064</v>
      </c>
      <c r="S29" s="1" t="s">
        <v>1053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1219</v>
      </c>
      <c r="Z29" s="1">
        <v>11</v>
      </c>
      <c r="AA29" s="1" t="s">
        <v>769</v>
      </c>
      <c r="AB29" s="1">
        <v>-9</v>
      </c>
      <c r="AC29" s="1" t="s">
        <v>1129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1220</v>
      </c>
      <c r="AT29" s="1" t="s">
        <v>1083</v>
      </c>
      <c r="AU29" s="1" t="s">
        <v>260</v>
      </c>
      <c r="AV29" s="1" t="s">
        <v>1057</v>
      </c>
      <c r="AW29" s="1" t="s">
        <v>1221</v>
      </c>
      <c r="AX29" s="1" t="s">
        <v>186</v>
      </c>
      <c r="AY29" s="1" t="s">
        <v>1222</v>
      </c>
      <c r="AZ29" s="1" t="s">
        <v>1223</v>
      </c>
      <c r="BA29" s="1" t="s">
        <v>1224</v>
      </c>
      <c r="BB29" s="1" t="s">
        <v>1225</v>
      </c>
      <c r="BC29" s="1" t="s">
        <v>1138</v>
      </c>
      <c r="BD29" s="1" t="s">
        <v>1226</v>
      </c>
      <c r="BE29" s="1">
        <v>108.9</v>
      </c>
      <c r="BF29" s="1">
        <v>110.1</v>
      </c>
      <c r="BG29" s="1">
        <v>-1.3</v>
      </c>
      <c r="BH29" s="1" t="s">
        <v>945</v>
      </c>
      <c r="BI29" s="1" t="s">
        <v>323</v>
      </c>
      <c r="BJ29" s="1" t="s">
        <v>266</v>
      </c>
      <c r="BK29" s="1" t="s">
        <v>276</v>
      </c>
      <c r="BL29" s="1" t="s">
        <v>1218</v>
      </c>
      <c r="BM29" s="1" t="s">
        <v>909</v>
      </c>
      <c r="BN29" s="1" t="s">
        <v>1120</v>
      </c>
      <c r="BO29" s="1" t="s">
        <v>1075</v>
      </c>
      <c r="BP29" s="1" t="s">
        <v>337</v>
      </c>
      <c r="BQ29" s="1" t="s">
        <v>323</v>
      </c>
      <c r="BR29" s="1" t="s">
        <v>1200</v>
      </c>
      <c r="BS29" s="1" t="s">
        <v>239</v>
      </c>
      <c r="BT29" s="1"/>
      <c r="BU29" s="1"/>
      <c r="BV29" s="1"/>
      <c r="BW29" s="1"/>
      <c r="BX29" s="1"/>
      <c r="BY29" s="1" t="s">
        <v>1199</v>
      </c>
      <c r="BZ29" s="1" t="s">
        <v>852</v>
      </c>
      <c r="CA29" s="1" t="s">
        <v>961</v>
      </c>
      <c r="CB29" s="1" t="s">
        <v>1227</v>
      </c>
      <c r="CC29" s="1" t="s">
        <v>1228</v>
      </c>
    </row>
    <row r="30" spans="1:81" x14ac:dyDescent="0.25">
      <c r="A30" s="1" t="s">
        <v>145</v>
      </c>
      <c r="B30" s="1" t="s">
        <v>761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1229</v>
      </c>
      <c r="H30" s="1">
        <v>15</v>
      </c>
      <c r="I30" s="1" t="s">
        <v>1049</v>
      </c>
      <c r="J30" s="1" t="s">
        <v>203</v>
      </c>
      <c r="K30" s="1" t="s">
        <v>1230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1231</v>
      </c>
      <c r="R30" s="1" t="s">
        <v>1053</v>
      </c>
      <c r="S30" s="1" t="s">
        <v>1232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1233</v>
      </c>
      <c r="Z30" s="1">
        <v>-18</v>
      </c>
      <c r="AA30" s="1" t="s">
        <v>1234</v>
      </c>
      <c r="AB30" s="1">
        <v>-9</v>
      </c>
      <c r="AC30" s="1" t="s">
        <v>1129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1235</v>
      </c>
      <c r="AT30" s="1" t="s">
        <v>1236</v>
      </c>
      <c r="AU30" s="1" t="s">
        <v>327</v>
      </c>
      <c r="AV30" s="1" t="s">
        <v>860</v>
      </c>
      <c r="AW30" s="1" t="s">
        <v>1237</v>
      </c>
      <c r="AX30" s="1" t="s">
        <v>327</v>
      </c>
      <c r="AY30" s="1" t="s">
        <v>1238</v>
      </c>
      <c r="AZ30" s="1" t="s">
        <v>1239</v>
      </c>
      <c r="BA30" s="1" t="s">
        <v>1240</v>
      </c>
      <c r="BB30" s="1" t="s">
        <v>1241</v>
      </c>
      <c r="BC30" s="1" t="s">
        <v>1242</v>
      </c>
      <c r="BD30" s="1" t="s">
        <v>1243</v>
      </c>
      <c r="BE30" s="1">
        <v>104.6</v>
      </c>
      <c r="BF30" s="1">
        <v>113.8</v>
      </c>
      <c r="BG30" s="1">
        <v>-9.1999999999999993</v>
      </c>
      <c r="BH30" s="1" t="s">
        <v>1229</v>
      </c>
      <c r="BI30" s="1" t="s">
        <v>1153</v>
      </c>
      <c r="BJ30" s="1" t="s">
        <v>1244</v>
      </c>
      <c r="BK30" s="1" t="s">
        <v>1120</v>
      </c>
      <c r="BL30" s="1" t="s">
        <v>1197</v>
      </c>
      <c r="BM30" s="1" t="s">
        <v>1215</v>
      </c>
      <c r="BN30" s="1" t="s">
        <v>393</v>
      </c>
      <c r="BO30" s="1" t="s">
        <v>323</v>
      </c>
      <c r="BP30" s="1" t="s">
        <v>1245</v>
      </c>
      <c r="BQ30" s="1" t="s">
        <v>1105</v>
      </c>
      <c r="BR30" s="1" t="s">
        <v>1246</v>
      </c>
      <c r="BS30" s="1" t="s">
        <v>239</v>
      </c>
      <c r="BT30" s="1"/>
      <c r="BU30" s="1"/>
      <c r="BV30" s="1"/>
      <c r="BW30" s="1"/>
      <c r="BX30" s="1"/>
      <c r="BY30" s="1" t="s">
        <v>1199</v>
      </c>
      <c r="BZ30" s="1" t="s">
        <v>349</v>
      </c>
      <c r="CA30" s="1" t="s">
        <v>1247</v>
      </c>
      <c r="CB30" s="1" t="s">
        <v>1248</v>
      </c>
      <c r="CC30" s="1" t="s">
        <v>1249</v>
      </c>
    </row>
    <row r="31" spans="1:81" x14ac:dyDescent="0.25">
      <c r="A31" s="1" t="s">
        <v>145</v>
      </c>
      <c r="B31" s="1" t="s">
        <v>761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1229</v>
      </c>
      <c r="H31" s="1">
        <v>15</v>
      </c>
      <c r="I31" s="1" t="s">
        <v>1049</v>
      </c>
      <c r="J31" s="1" t="s">
        <v>152</v>
      </c>
      <c r="K31" s="1" t="s">
        <v>1183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1203</v>
      </c>
      <c r="R31" s="1" t="s">
        <v>1142</v>
      </c>
      <c r="S31" s="1" t="s">
        <v>1250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1221</v>
      </c>
      <c r="Z31" s="1">
        <v>-6</v>
      </c>
      <c r="AA31" s="1" t="s">
        <v>367</v>
      </c>
      <c r="AB31" s="1">
        <v>-13</v>
      </c>
      <c r="AC31" s="1" t="s">
        <v>1251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1252</v>
      </c>
      <c r="AT31" s="1" t="s">
        <v>1253</v>
      </c>
      <c r="AU31" s="1" t="s">
        <v>327</v>
      </c>
      <c r="AV31" s="1" t="s">
        <v>1254</v>
      </c>
      <c r="AW31" s="1" t="s">
        <v>1255</v>
      </c>
      <c r="AX31" s="1" t="s">
        <v>157</v>
      </c>
      <c r="AY31" s="1" t="s">
        <v>1256</v>
      </c>
      <c r="AZ31" s="1" t="s">
        <v>1257</v>
      </c>
      <c r="BA31" s="1" t="s">
        <v>1258</v>
      </c>
      <c r="BB31" s="1" t="s">
        <v>1259</v>
      </c>
      <c r="BC31" s="1" t="s">
        <v>1260</v>
      </c>
      <c r="BD31" s="1" t="s">
        <v>1261</v>
      </c>
      <c r="BE31" s="1">
        <v>107.5</v>
      </c>
      <c r="BF31" s="1">
        <v>116.8</v>
      </c>
      <c r="BG31" s="1">
        <v>-9.3000000000000007</v>
      </c>
      <c r="BH31" s="1" t="s">
        <v>1262</v>
      </c>
      <c r="BI31" s="1" t="s">
        <v>398</v>
      </c>
      <c r="BJ31" s="1" t="s">
        <v>398</v>
      </c>
      <c r="BK31" s="1" t="s">
        <v>393</v>
      </c>
      <c r="BL31" s="1" t="s">
        <v>1229</v>
      </c>
      <c r="BM31" s="1" t="s">
        <v>1263</v>
      </c>
      <c r="BN31" s="1" t="s">
        <v>402</v>
      </c>
      <c r="BO31" s="1" t="s">
        <v>1120</v>
      </c>
      <c r="BP31" s="1" t="s">
        <v>1198</v>
      </c>
      <c r="BQ31" s="1" t="s">
        <v>1264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1122</v>
      </c>
      <c r="BZ31" s="1" t="s">
        <v>1200</v>
      </c>
      <c r="CA31" s="1" t="s">
        <v>386</v>
      </c>
      <c r="CB31" s="1" t="s">
        <v>1265</v>
      </c>
      <c r="CC31" s="1" t="s">
        <v>1266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1267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1268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1269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1270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1271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1272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1273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1274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1275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1276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1277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1278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1279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1280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1277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1281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1280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1282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1280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1283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1276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1275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1269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1284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1280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1285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1286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1270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1287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1288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1289</v>
      </c>
      <c r="T4" s="1">
        <v>23.7</v>
      </c>
      <c r="U4" s="1" t="s">
        <v>1272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1290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1291</v>
      </c>
      <c r="T5" s="1">
        <v>26</v>
      </c>
      <c r="U5" s="1" t="s">
        <v>1272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1292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1293</v>
      </c>
      <c r="T7" s="1">
        <v>25.7</v>
      </c>
      <c r="U7" s="1" t="s">
        <v>1294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1295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1296</v>
      </c>
      <c r="T8" s="1">
        <v>24.5</v>
      </c>
      <c r="U8" s="1" t="s">
        <v>1297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1298</v>
      </c>
      <c r="T9" s="1">
        <v>24.6</v>
      </c>
      <c r="U9" s="1" t="s">
        <v>1272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1270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1299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1272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1300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1301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1302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1303</v>
      </c>
      <c r="T14" s="1">
        <v>24.1</v>
      </c>
      <c r="U14" s="1" t="s">
        <v>1283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1304</v>
      </c>
      <c r="T15" s="1">
        <v>25</v>
      </c>
      <c r="U15" s="1" t="s">
        <v>1274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1305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1270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1299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1275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1306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1291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1307</v>
      </c>
      <c r="T21" s="1">
        <v>25.6</v>
      </c>
      <c r="U21" s="1" t="s">
        <v>1283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1308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1303</v>
      </c>
      <c r="T22" s="1">
        <v>24.9</v>
      </c>
      <c r="U22" s="1" t="s">
        <v>1309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1297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1310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1311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1312</v>
      </c>
      <c r="T26" s="1">
        <v>23.2</v>
      </c>
      <c r="U26" s="1" t="s">
        <v>1313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1314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1315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1316</v>
      </c>
      <c r="T28" s="1">
        <v>24.7</v>
      </c>
      <c r="U28" s="1" t="s">
        <v>1268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1296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1317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1318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1319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1320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1267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1269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1320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1299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1299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1269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1269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1290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1290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1320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1290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1321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1320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1277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1277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1267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1267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1269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1278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2019-11-22T13:46:49Z</dcterms:modified>
</cp:coreProperties>
</file>