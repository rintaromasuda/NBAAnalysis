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15C3394B-A6E2-46B7-9408-581C3615FC13}" xr6:coauthVersionLast="45" xr6:coauthVersionMax="45" xr10:uidLastSave="{00000000-0000-0000-0000-000000000000}"/>
  <bookViews>
    <workbookView xWindow="4911" yWindow="1174" windowWidth="16458" windowHeight="8520" activeTab="1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<sst xmlns="http://schemas.openxmlformats.org/spreadsheetml/2006/main" count="5930" uniqueCount="1414">
  <si>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</si>
  <si>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</si>
  <si>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</si>
  <si>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</si>
  <si>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</si>
  <si>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</si>
  <si>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</si>
  <si>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</si>
  <si>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</si>
  <si>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</si>
  <si>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</si>
  <si>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</si>
  <si>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</si>
  <si>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</si>
  <si>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</si>
  <si>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</si>
  <si>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</si>
  <si>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</si>
  <si>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</si>
  <si>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</si>
  <si>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</si>
  <si>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</si>
  <si>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</si>
  <si>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</si>
  <si>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</si>
  <si>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</si>
  <si>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</si>
  <si>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</si>
  <si>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</si>
  <si>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</si>
  <si>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</si>
  <si>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</si>
  <si>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</si>
  <si>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</si>
  <si>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</si>
  <si>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</si>
  <si>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</si>
  <si>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</si>
  <si>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</si>
  <si>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</si>
  <si>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</si>
  <si>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</si>
  <si>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</si>
  <si>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</si>
  <si>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</si>
  <si>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</si>
  <si>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</si>
  <si>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</si>
  <si>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</si>
  <si>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</si>
  <si>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</si>
  <si>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</si>
  <si>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</si>
  <si>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</si>
  <si>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</si>
  <si>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</si>
  <si>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</si>
  <si>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</si>
  <si>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</si>
  <si>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</si>
  <si>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</si>
  <si>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</si>
  <si>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</si>
  <si>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</si>
  <si>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</si>
  <si>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</si>
  <si>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</si>
  <si>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</si>
  <si>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</si>
  <si>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</si>
  <si>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</si>
  <si>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</si>
  <si>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</si>
  <si>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</si>
  <si>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</si>
  <si>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</si>
  <si>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</si>
  <si>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</si>
  <si>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</si>
  <si>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</si>
  <si>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</si>
  <si>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</si>
  <si>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</si>
  <si>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</si>
  <si>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</si>
  <si>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</si>
  <si>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</si>
  <si>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</si>
  <si>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</si>
  <si>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</si>
  <si>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</si>
  <si>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</si>
  <si>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</si>
  <si>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</si>
  <si>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</si>
  <si>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</si>
  <si>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</si>
  <si>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</si>
  <si>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</si>
  <si>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</si>
  <si>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</si>
  <si>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</si>
  <si>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</si>
  <si>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</si>
  <si>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</si>
  <si>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</si>
  <si>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</si>
  <si>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</si>
  <si>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</si>
  <si>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</si>
  <si>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</si>
  <si>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</si>
  <si>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</si>
  <si>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</si>
  <si>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</si>
  <si>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</si>
  <si>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</si>
  <si>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</si>
  <si>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</si>
  <si>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</si>
  <si>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</si>
  <si>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</si>
  <si>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</si>
  <si>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</si>
  <si>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</si>
  <si>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</si>
  <si>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</si>
  <si>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</si>
  <si>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</si>
  <si>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</si>
  <si>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</si>
  <si>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</si>
  <si>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</si>
  <si>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</si>
  <si>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</si>
  <si>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</si>
  <si>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</si>
  <si>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</si>
  <si>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</si>
  <si>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</si>
  <si>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</si>
  <si>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</si>
  <si>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</si>
  <si>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</si>
  <si>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</si>
  <si>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</si>
  <si>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</si>
  <si>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</si>
  <si>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</si>
  <si>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</si>
  <si>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</si>
  <si>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</si>
  <si>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</si>
  <si>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</si>
  <si>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</si>
  <si>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</si>
  <si>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</si>
  <si>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</si>
  <si>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</si>
  <si>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</si>
  <si>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</si>
  <si>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</si>
  <si>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</si>
  <si>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</si>
  <si>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</si>
  <si>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</si>
  <si>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</si>
  <si>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</si>
  <si>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</si>
  <si>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</si>
  <si>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</si>
  <si>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</si>
  <si>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</si>
  <si>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</si>
  <si>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</si>
  <si>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</si>
  <si>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</si>
  <si>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</si>
  <si>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</si>
  <si>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</si>
  <si>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</si>
  <si>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</si>
  <si>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</si>
  <si>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</si>
  <si>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</si>
  <si>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</si>
  <si>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</si>
  <si>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</si>
  <si>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</si>
  <si>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</si>
  <si>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</si>
  <si>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</si>
  <si>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</si>
  <si>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</si>
  <si>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</si>
  <si>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</si>
  <si>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</si>
  <si>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</si>
  <si>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</si>
  <si>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</si>
  <si>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</si>
  <si>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</si>
  <si>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</si>
  <si>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</si>
  <si>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</si>
  <si>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</si>
  <si>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</si>
  <si>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</si>
  <si>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</si>
  <si>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</si>
  <si>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</si>
  <si>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</si>
  <si>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</si>
  <si>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</si>
  <si>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</si>
  <si>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</si>
  <si>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</si>
  <si>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</si>
  <si>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</si>
  <si>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</si>
  <si>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</si>
  <si>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</si>
  <si>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</si>
  <si>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</si>
  <si>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</si>
  <si>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</si>
  <si>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</si>
  <si>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</si>
  <si>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</si>
  <si>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</si>
  <si>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</si>
  <si>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</si>
  <si>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</si>
  <si>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</si>
  <si>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</si>
  <si>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</si>
  <si>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</si>
  <si>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</si>
  <si>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</si>
  <si>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</si>
  <si>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</si>
  <si>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</si>
  <si>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</si>
  <si>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</si>
  <si>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</si>
  <si>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</si>
  <si>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</si>
  <si>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</si>
  <si>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</si>
  <si>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</si>
  <si>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</si>
  <si>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</si>
  <si>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</si>
  <si>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</si>
  <si>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</si>
  <si>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</si>
  <si>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</si>
  <si>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</si>
  <si>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</si>
  <si>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</si>
  <si>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</si>
  <si>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</si>
  <si>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</si>
  <si>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</si>
  <si>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</si>
  <si>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</si>
  <si>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</si>
  <si>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</si>
  <si>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</si>
  <si>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</si>
  <si>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</si>
  <si>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</si>
  <si>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</si>
  <si>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</si>
  <si>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</si>
  <si>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</si>
  <si>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</si>
  <si>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</si>
  <si>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</si>
  <si>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</si>
  <si>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</si>
  <si>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</si>
  <si>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</si>
  <si>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</si>
  <si>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</si>
  <si>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</si>
  <si>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</si>
  <si>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</si>
  <si>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</si>
  <si>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</si>
  <si>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</si>
  <si>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</si>
  <si>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</si>
  <si>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</si>
  <si>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</si>
  <si>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</si>
  <si>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</si>
  <si>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</si>
  <si>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</si>
  <si>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</si>
  <si>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</si>
  <si>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</si>
  <si>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</si>
  <si>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</si>
  <si>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</si>
  <si>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</si>
  <si>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</si>
  <si>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</si>
  <si>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</si>
  <si>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</si>
  <si>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</si>
  <si>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</si>
  <si>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</si>
  <si>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</si>
  <si>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</si>
  <si>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</si>
  <si>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</si>
  <si>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</si>
  <si>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</si>
  <si>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</si>
  <si>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</si>
  <si>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</si>
  <si>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</si>
  <si>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</si>
  <si>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</si>
  <si>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</si>
  <si>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</si>
  <si>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</si>
  <si>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</si>
  <si>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</si>
  <si>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</si>
  <si>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</si>
  <si>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</si>
  <si>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</si>
  <si>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</si>
  <si>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</si>
  <si>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</si>
  <si>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</si>
  <si>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</si>
  <si>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</si>
  <si>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</si>
  <si>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</si>
  <si>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</si>
  <si>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</si>
  <si>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</si>
  <si>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</si>
  <si>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</si>
  <si>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</si>
  <si>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</si>
  <si>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</si>
  <si>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</si>
  <si>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</si>
  <si>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</si>
  <si>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</si>
  <si>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</si>
  <si>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</si>
  <si>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</si>
  <si>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</si>
  <si>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</si>
  <si>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</si>
  <si>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</si>
  <si>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</si>
  <si>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</si>
  <si>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</si>
  <si>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</si>
  <si>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</si>
  <si>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</si>
  <si>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</si>
  <si>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</si>
  <si>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</si>
  <si>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</si>
  <si>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</si>
  <si>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</si>
  <si>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</si>
  <si>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</si>
  <si>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</si>
  <si>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</si>
  <si>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</si>
  <si>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</si>
  <si>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</si>
  <si>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</si>
  <si>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</si>
  <si>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</si>
  <si>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</si>
  <si>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</si>
  <si>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</si>
  <si>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</si>
  <si>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</si>
  <si>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</si>
  <si>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</si>
  <si>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</si>
  <si>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</si>
  <si>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</si>
  <si>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</si>
  <si>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</si>
  <si>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</si>
  <si>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</si>
  <si>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</si>
  <si>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</si>
  <si>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</si>
  <si>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</si>
  <si>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</si>
  <si>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</si>
  <si>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</si>
  <si>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</si>
  <si>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</si>
  <si>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</si>
  <si>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</si>
  <si>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</si>
  <si>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</si>
  <si>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</si>
  <si>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</si>
  <si>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</si>
  <si>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</si>
  <si>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</si>
  <si>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</si>
  <si>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</si>
  <si>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</si>
  <si>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</si>
  <si>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</si>
  <si>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</si>
  <si>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</si>
  <si>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</si>
  <si>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</si>
  <si>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</si>
  <si>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</si>
  <si>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</si>
  <si>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</si>
  <si>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</si>
  <si>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</si>
  <si>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</si>
  <si>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</si>
  <si>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</si>
  <si>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</si>
  <si>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</si>
  <si>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</si>
  <si>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</si>
  <si>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</si>
  <si>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</si>
  <si>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</si>
  <si>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</si>
  <si>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</si>
  <si>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</si>
  <si>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</si>
  <si>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</si>
  <si>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</si>
  <si>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</si>
  <si>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</si>
  <si>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</si>
  <si>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</si>
  <si>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</si>
  <si>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</si>
  <si>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</si>
  <si>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</si>
  <si>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</si>
  <si>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</si>
  <si>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</si>
  <si>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</si>
  <si>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</si>
  <si>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</si>
  <si>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</si>
  <si>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</si>
  <si>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</si>
  <si>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</si>
  <si>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</si>
  <si>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</si>
  <si>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</si>
  <si>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</si>
  <si>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</si>
  <si>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</si>
  <si>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</si>
  <si>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</si>
  <si>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</si>
  <si>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</si>
  <si>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</si>
  <si>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</si>
  <si>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</si>
  <si>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</si>
  <si>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</si>
  <si>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</si>
  <si>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</si>
  <si>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</si>
  <si>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</si>
  <si>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</si>
  <si>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</si>
  <si>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</si>
  <si>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</si>
  <si>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</si>
  <si>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</si>
  <si>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</si>
  <si>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</si>
  <si>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</si>
  <si>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</si>
  <si>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</si>
  <si>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</si>
  <si>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</si>
  <si>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</si>
  <si>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</si>
  <si>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</si>
  <si>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</si>
  <si>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</si>
  <si>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</si>
  <si>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</si>
  <si>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</si>
  <si>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</si>
  <si>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</si>
  <si>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</si>
  <si>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</si>
  <si>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</si>
  <si>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</si>
  <si>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</si>
  <si>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</si>
  <si>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</si>
  <si>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</si>
  <si>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</si>
  <si>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</si>
  <si>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</si>
  <si>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</si>
  <si>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</si>
  <si>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</si>
  <si>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</si>
  <si>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</si>
  <si>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</si>
  <si>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</si>
  <si>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</si>
  <si>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</si>
  <si>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</si>
  <si>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</si>
  <si>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</si>
  <si>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</si>
  <si>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</si>
  <si>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</si>
  <si>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</si>
  <si>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</si>
  <si>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</si>
  <si>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</si>
  <si>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</si>
  <si>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</si>
  <si>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</si>
  <si>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</si>
  <si>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</si>
  <si>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</si>
  <si>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</si>
  <si>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</si>
  <si>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</si>
  <si>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</si>
  <si>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</si>
  <si>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</si>
  <si>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</si>
  <si>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</si>
  <si>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</si>
  <si>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</si>
  <si>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</si>
  <si>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</si>
  <si>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</si>
  <si>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</si>
  <si>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</si>
  <si>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</si>
  <si>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</si>
  <si>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</si>
  <si>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</si>
  <si>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</si>
  <si>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</si>
  <si>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</si>
  <si>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</si>
  <si>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</si>
  <si>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</si>
  <si>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</si>
  <si>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</si>
  <si>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</si>
  <si>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</si>
  <si>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</si>
  <si>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</si>
  <si>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</si>
  <si>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</si>
  <si>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</si>
  <si>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</si>
  <si>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</si>
  <si>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</si>
  <si>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</si>
  <si>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</si>
  <si>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</si>
  <si>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</si>
  <si>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</si>
  <si>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</si>
  <si>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</si>
  <si>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</si>
  <si>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</si>
  <si>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</si>
  <si>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</si>
  <si>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</si>
  <si>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</si>
  <si>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</si>
  <si>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</si>
  <si>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</si>
  <si>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</si>
  <si>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</si>
  <si>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</si>
  <si>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</si>
  <si>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</si>
  <si>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</si>
  <si>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</si>
  <si>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</si>
  <si>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</si>
  <si>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</si>
  <si>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</si>
  <si>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</si>
  <si>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</si>
  <si>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</si>
  <si>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</si>
  <si>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</si>
  <si>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</si>
  <si>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</si>
  <si>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</si>
  <si>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</si>
  <si>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</si>
  <si>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</si>
  <si>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</si>
  <si>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</si>
  <si>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</si>
  <si>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</si>
  <si>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</si>
  <si>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</si>
  <si>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</si>
  <si>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</si>
  <si>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</si>
  <si>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</si>
  <si>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</si>
  <si>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</si>
  <si>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</si>
  <si>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</si>
  <si>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</si>
  <si>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</si>
  <si>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</si>
  <si>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</si>
  <si>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</si>
  <si>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</si>
  <si>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</si>
  <si>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</si>
  <si>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</si>
  <si>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</si>
  <si>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</si>
  <si>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</si>
  <si>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</si>
  <si>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</si>
  <si>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</si>
  <si>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</si>
  <si>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</si>
  <si>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</si>
  <si>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</si>
  <si>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</si>
  <si>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</si>
  <si>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</si>
  <si>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</si>
  <si>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</si>
  <si>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</si>
  <si>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</si>
  <si>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</si>
  <si>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</si>
  <si>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</si>
  <si>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</si>
  <si>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</si>
  <si>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</si>
  <si>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</si>
  <si>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</si>
  <si>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</si>
  <si>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</si>
  <si>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</si>
  <si>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</si>
  <si>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</si>
  <si>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</si>
  <si>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</si>
  <si>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</si>
  <si>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</si>
  <si>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</si>
  <si>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</si>
  <si>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</si>
  <si>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</si>
  <si>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</si>
  <si>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</si>
  <si>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</si>
  <si>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</si>
  <si>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</si>
  <si>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</si>
  <si>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</si>
  <si>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</si>
  <si>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</si>
  <si>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</si>
  <si>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</si>
  <si>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</si>
  <si>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</si>
  <si>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</si>
  <si>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</si>
  <si>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</si>
  <si>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</si>
  <si>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</si>
  <si>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</si>
  <si>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</si>
  <si>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</si>
  <si>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</si>
  <si>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</si>
  <si>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</si>
  <si>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</si>
  <si>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</si>
  <si>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</si>
  <si>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</si>
  <si>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</si>
  <si>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</si>
  <si>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</si>
  <si>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</si>
  <si>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</si>
  <si>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</si>
  <si>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</si>
  <si>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</si>
  <si>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</si>
  <si>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</si>
  <si>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</si>
  <si>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</si>
  <si>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</si>
  <si>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</si>
  <si>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</si>
  <si>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</si>
  <si>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</si>
  <si>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</si>
  <si>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</si>
  <si>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</si>
  <si>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</si>
  <si>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</si>
  <si>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</si>
  <si>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</si>
  <si>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</si>
  <si>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</si>
  <si>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</si>
  <si>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</si>
  <si>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</si>
  <si>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</si>
  <si>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</si>
  <si>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</si>
  <si>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</si>
  <si>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</si>
  <si>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</si>
  <si>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</si>
  <si>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</si>
  <si>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</si>
  <si>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</si>
  <si>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</si>
  <si>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</si>
  <si>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</si>
  <si>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</si>
  <si>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</si>
  <si>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</si>
  <si>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</si>
  <si>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</si>
  <si>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</si>
  <si>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</si>
  <si>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</si>
  <si>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</si>
  <si>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G-F</t>
  </si>
  <si>
    <t>R</t>
  </si>
  <si>
    <t>G</t>
  </si>
  <si>
    <t>3</t>
  </si>
  <si>
    <t>4</t>
  </si>
  <si>
    <t>5</t>
  </si>
  <si>
    <t>6-6</t>
  </si>
  <si>
    <t>F</t>
  </si>
  <si>
    <t>220</t>
  </si>
  <si>
    <t>Duke</t>
  </si>
  <si>
    <t>7-0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</si>
  <si>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</si>
  <si>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</si>
  <si>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</si>
  <si>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</si>
  <si>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</si>
  <si>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</si>
  <si>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</si>
  <si>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</si>
  <si>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</si>
  <si>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</si>
  <si>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</si>
  <si>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</si>
  <si>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</si>
  <si>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</si>
  <si>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</si>
  <si>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</si>
  <si>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</si>
  <si>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</si>
  <si>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</si>
  <si>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</si>
  <si>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</si>
  <si>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</si>
  <si>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</si>
  <si>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</si>
  <si>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</si>
  <si>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</si>
  <si>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</si>
  <si>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</si>
  <si>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</si>
  <si>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</si>
  <si>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</si>
  <si>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</si>
  <si>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</si>
  <si>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</si>
  <si>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</si>
  <si>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</si>
  <si>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</si>
  <si>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</si>
  <si>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</si>
  <si>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</si>
  <si>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</si>
  <si>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</si>
  <si>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</si>
  <si>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</si>
  <si>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</si>
  <si>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</si>
  <si>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</si>
  <si>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</si>
  <si>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</si>
  <si>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</si>
  <si>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</si>
  <si>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</si>
  <si>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</si>
  <si>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</si>
  <si>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</si>
  <si>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</si>
  <si>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</si>
  <si>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</si>
  <si>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</si>
  <si>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</si>
  <si>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</si>
  <si>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</si>
  <si>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</si>
  <si>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</si>
  <si>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</si>
  <si>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</si>
  <si>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</si>
  <si>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</si>
  <si>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</si>
  <si>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</si>
  <si>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</si>
  <si>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</si>
  <si>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</si>
  <si>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</si>
  <si>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</si>
  <si>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</si>
  <si>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</si>
  <si>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</si>
  <si>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</si>
  <si>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</si>
  <si>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</si>
  <si>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</si>
  <si>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</si>
  <si>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</si>
  <si>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</si>
  <si>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</si>
  <si>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</si>
  <si>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</si>
  <si>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</si>
  <si>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</si>
  <si>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</si>
  <si>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</si>
  <si>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</si>
  <si>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</si>
  <si>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</si>
  <si>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</si>
  <si>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</si>
  <si>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</si>
  <si>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</si>
  <si>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</si>
  <si>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</si>
  <si>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</si>
  <si>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</si>
  <si>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</si>
  <si>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</si>
  <si>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</si>
  <si>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</si>
  <si>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</si>
  <si>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</si>
  <si>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</si>
  <si>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</si>
  <si>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</si>
  <si>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</si>
  <si>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</si>
  <si>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</si>
  <si>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</si>
  <si>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</si>
  <si>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</si>
  <si>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</si>
  <si>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</si>
  <si>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</si>
  <si>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</si>
  <si>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</si>
  <si>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</si>
  <si>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</si>
  <si>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</si>
  <si>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</si>
  <si>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</si>
  <si>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</si>
  <si>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</si>
  <si>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</si>
  <si>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</si>
  <si>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</si>
  <si>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</si>
  <si>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</si>
  <si>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</si>
  <si>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</si>
  <si>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</si>
  <si>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</si>
  <si>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</si>
  <si>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</si>
  <si>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</si>
  <si>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</si>
  <si>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</si>
  <si>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</si>
  <si>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</si>
  <si>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</si>
  <si>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</si>
  <si>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</si>
  <si>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</si>
  <si>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</si>
  <si>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</si>
  <si>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</si>
  <si>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</si>
  <si>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</si>
  <si>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</si>
  <si>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</si>
  <si>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</si>
  <si>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</si>
  <si>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</si>
  <si>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</si>
  <si>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</si>
  <si>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</si>
  <si>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</si>
  <si>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</si>
  <si>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</si>
  <si>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</si>
  <si>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</si>
  <si>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</si>
  <si>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</si>
  <si>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</si>
  <si>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</si>
  <si>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</si>
  <si>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</si>
  <si>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</si>
  <si>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</si>
  <si>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</si>
  <si>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</si>
  <si>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</si>
  <si>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</si>
  <si>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</si>
  <si>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</si>
  <si>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</si>
  <si>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</si>
  <si>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</si>
  <si>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</si>
  <si>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</si>
  <si>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</si>
  <si>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</si>
  <si>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</si>
  <si>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</si>
  <si>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</si>
  <si>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</si>
  <si>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</si>
  <si>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</si>
  <si>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</si>
  <si>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</si>
  <si>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</si>
  <si>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</si>
  <si>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</si>
  <si>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</si>
  <si>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</si>
  <si>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</si>
  <si>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</si>
  <si>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</si>
  <si>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</si>
  <si>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</si>
  <si>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</si>
  <si>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</si>
  <si>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</si>
  <si>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</si>
  <si>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</si>
  <si>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</si>
  <si>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</si>
  <si>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</si>
  <si>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</si>
  <si>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</si>
  <si>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</si>
  <si>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</si>
  <si>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</si>
  <si>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</si>
  <si>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</si>
  <si>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</si>
  <si>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</si>
  <si>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</si>
  <si>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</si>
  <si>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</si>
  <si>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</si>
  <si>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</si>
  <si>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</si>
  <si>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</si>
  <si>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</si>
  <si>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</si>
  <si>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</si>
  <si>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</si>
  <si>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</si>
  <si>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</si>
  <si>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</si>
  <si>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</si>
  <si>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</si>
  <si>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</si>
  <si>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</si>
  <si>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</si>
  <si>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</si>
  <si>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</si>
  <si>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</si>
  <si>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</si>
  <si>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</si>
  <si>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</si>
  <si>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</si>
  <si>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</si>
  <si>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</si>
  <si>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</si>
  <si>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</si>
  <si>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</si>
  <si>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</si>
  <si>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</si>
  <si>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</si>
  <si>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</si>
  <si>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</si>
  <si>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</si>
  <si>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</si>
  <si>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</si>
  <si>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</si>
  <si>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</si>
  <si>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</si>
  <si>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</si>
  <si>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</si>
  <si>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</si>
  <si>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</si>
  <si>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</si>
  <si>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</si>
  <si>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</si>
  <si>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</si>
  <si>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</si>
  <si>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</si>
  <si>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</si>
  <si>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</si>
  <si>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</si>
  <si>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</si>
  <si>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</si>
  <si>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</si>
  <si>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</si>
  <si>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</si>
  <si>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</si>
  <si>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</si>
  <si>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</si>
  <si>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</si>
  <si>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</si>
  <si>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</si>
  <si>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</si>
  <si>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</si>
  <si>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</si>
  <si>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</si>
  <si>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</si>
  <si>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</si>
  <si>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</si>
  <si>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</si>
  <si>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</si>
  <si>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</si>
  <si>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</si>
  <si>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</si>
  <si>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</si>
  <si>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</si>
  <si>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</si>
  <si>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</si>
  <si>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</si>
  <si>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</si>
  <si>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</si>
  <si>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</si>
  <si>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</si>
  <si>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</si>
  <si>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</si>
  <si>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</si>
  <si>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</si>
  <si>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</si>
  <si>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</si>
  <si>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</si>
  <si>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</si>
  <si>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</si>
  <si>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</si>
  <si>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</si>
  <si>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</si>
  <si>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</si>
  <si>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</si>
  <si>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</si>
  <si>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</si>
  <si>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</si>
  <si>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</si>
  <si>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</si>
  <si>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</si>
  <si>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</si>
  <si>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</si>
  <si>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</si>
  <si>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</si>
  <si>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</si>
  <si>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</si>
  <si>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</si>
  <si>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</si>
  <si>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</si>
  <si>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</si>
  <si>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</si>
  <si>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</si>
  <si>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</si>
  <si>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</si>
  <si>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</si>
  <si>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</si>
  <si>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</si>
  <si>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</si>
  <si>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</si>
  <si>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</si>
  <si>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</si>
  <si>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</si>
  <si>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</si>
  <si>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</si>
  <si>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</si>
  <si>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</si>
  <si>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</si>
  <si>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</si>
  <si>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</si>
  <si>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</si>
  <si>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</si>
  <si>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</si>
  <si>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</si>
  <si>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</si>
  <si>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</si>
  <si>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</si>
  <si>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</si>
  <si>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</si>
  <si>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</si>
  <si>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</si>
  <si>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</si>
  <si>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</si>
  <si>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</si>
  <si>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</si>
  <si>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</si>
  <si>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</si>
  <si>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</si>
  <si>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</si>
  <si>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</si>
  <si>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</si>
  <si>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</si>
  <si>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</si>
  <si>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</si>
  <si>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</si>
  <si>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</si>
  <si>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</si>
  <si>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</si>
  <si>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</si>
  <si>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</si>
  <si>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</si>
  <si>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</si>
  <si>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</si>
  <si>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</si>
  <si>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</si>
  <si>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</si>
  <si>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</si>
  <si>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</si>
  <si>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</si>
  <si>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</si>
  <si>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</si>
  <si>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</si>
  <si>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</si>
  <si>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</si>
  <si>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</si>
  <si>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</si>
  <si>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</si>
  <si>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</si>
  <si>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</si>
  <si>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</si>
  <si>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</si>
  <si>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</si>
  <si>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</si>
  <si>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</si>
  <si>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</si>
  <si>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</si>
  <si>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</si>
  <si>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</si>
  <si>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</si>
  <si>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</si>
  <si>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</si>
  <si>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</si>
  <si>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</si>
  <si>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</si>
  <si>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</si>
  <si>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</si>
  <si>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</si>
  <si>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</si>
  <si>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</si>
  <si>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</si>
  <si>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</si>
  <si>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</si>
  <si>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</si>
  <si>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</si>
  <si>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</si>
  <si>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</si>
  <si>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</si>
  <si>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</si>
  <si>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</si>
  <si>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</si>
  <si>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</si>
  <si>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</si>
  <si>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</si>
  <si>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</si>
  <si>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</si>
  <si>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</si>
  <si>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</si>
  <si>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</si>
  <si>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</si>
  <si>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</si>
  <si>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</si>
  <si>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</si>
  <si>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</si>
  <si>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</si>
  <si>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</si>
  <si>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</si>
  <si>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</si>
  <si>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</si>
  <si>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</si>
  <si>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</si>
  <si>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</si>
  <si>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</si>
  <si>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</si>
  <si>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</si>
  <si>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</si>
  <si>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</si>
  <si>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</si>
  <si>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</si>
  <si>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</si>
  <si>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</si>
  <si>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</si>
  <si>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</si>
  <si>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</si>
  <si>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</si>
  <si>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</si>
  <si>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</si>
  <si>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</si>
  <si>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</si>
  <si>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</si>
  <si>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</si>
  <si>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</si>
  <si>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</si>
  <si>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</si>
  <si>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</si>
  <si>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</si>
  <si>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</si>
  <si>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</si>
  <si>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</si>
  <si>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</si>
  <si>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</si>
  <si>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</si>
  <si>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</si>
  <si>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</si>
  <si>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</si>
  <si>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</si>
  <si>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</si>
  <si>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</si>
  <si>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</si>
  <si>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</si>
  <si>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</si>
  <si>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</si>
  <si>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</si>
  <si>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</si>
  <si>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</si>
  <si>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</si>
  <si>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</si>
  <si>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</si>
  <si>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</si>
  <si>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</si>
  <si>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</si>
  <si>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</si>
  <si>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</si>
  <si>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</si>
  <si>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</si>
  <si>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</si>
  <si>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</si>
  <si>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</si>
  <si>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</si>
  <si>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</si>
  <si>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</si>
  <si>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</si>
  <si>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</si>
  <si>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</si>
  <si>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</si>
  <si>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</si>
  <si>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</si>
  <si>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</si>
  <si>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</si>
  <si>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</si>
  <si>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</si>
  <si>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</si>
  <si>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</si>
  <si>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</si>
  <si>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</si>
  <si>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</si>
  <si>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</si>
  <si>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</si>
  <si>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</si>
  <si>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</si>
  <si>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</si>
  <si>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</si>
  <si>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</si>
  <si>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</si>
  <si>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</si>
  <si>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</si>
  <si>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</si>
  <si>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</si>
  <si>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</si>
  <si>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</si>
  <si>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</si>
  <si>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</si>
  <si>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</si>
  <si>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</si>
  <si>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</si>
  <si>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</si>
  <si>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</si>
  <si>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</si>
  <si>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</si>
  <si>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</si>
  <si>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</si>
  <si>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</si>
  <si>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 xml:space="preserve"> </t>
  </si>
  <si>
    <t>205</t>
  </si>
  <si>
    <t>215</t>
  </si>
  <si>
    <t>6</t>
  </si>
  <si>
    <t>11</t>
  </si>
  <si>
    <t>13</t>
  </si>
  <si>
    <t>7</t>
  </si>
  <si>
    <t>10</t>
  </si>
  <si>
    <t>C</t>
  </si>
  <si>
    <t>8</t>
  </si>
  <si>
    <t>C-F</t>
  </si>
  <si>
    <t>14</t>
  </si>
  <si>
    <t>15</t>
  </si>
  <si>
    <t>6-11</t>
  </si>
  <si>
    <t>25</t>
  </si>
  <si>
    <t>Russell Westbrook</t>
  </si>
  <si>
    <t>0</t>
  </si>
  <si>
    <t>200</t>
  </si>
  <si>
    <t>NOV 12, 1988</t>
  </si>
  <si>
    <t>UCLA</t>
  </si>
  <si>
    <t>Chris Clemons</t>
  </si>
  <si>
    <t>180</t>
  </si>
  <si>
    <t>JUL 23, 1997</t>
  </si>
  <si>
    <t>Campbell University</t>
  </si>
  <si>
    <t>Danuel House Jr.</t>
  </si>
  <si>
    <t>F-G</t>
  </si>
  <si>
    <t>JUN 07, 1993</t>
  </si>
  <si>
    <t>Texas A&amp;M</t>
  </si>
  <si>
    <t>Gary Clark</t>
  </si>
  <si>
    <t>225</t>
  </si>
  <si>
    <t>NOV 16, 1994</t>
  </si>
  <si>
    <t>Cincinnati</t>
  </si>
  <si>
    <t>Eric Gordon</t>
  </si>
  <si>
    <t>DEC 25, 1988</t>
  </si>
  <si>
    <t>James Harden</t>
  </si>
  <si>
    <t>AUG 26, 1989</t>
  </si>
  <si>
    <t>Arizona State</t>
  </si>
  <si>
    <t>Gerald Green</t>
  </si>
  <si>
    <t>JAN 26, 1986</t>
  </si>
  <si>
    <t>12</t>
  </si>
  <si>
    <t>No College</t>
  </si>
  <si>
    <t>Clint Capela</t>
  </si>
  <si>
    <t>240</t>
  </si>
  <si>
    <t>MAY 18, 1994</t>
  </si>
  <si>
    <t>Switzerland</t>
  </si>
  <si>
    <t>Ben McLemore</t>
  </si>
  <si>
    <t>16</t>
  </si>
  <si>
    <t>195</t>
  </si>
  <si>
    <t>FEB 11, 1993</t>
  </si>
  <si>
    <t>Kansas</t>
  </si>
  <si>
    <t>P.J. Tucker</t>
  </si>
  <si>
    <t>17</t>
  </si>
  <si>
    <t>245</t>
  </si>
  <si>
    <t>MAY 05, 1985</t>
  </si>
  <si>
    <t>Texas</t>
  </si>
  <si>
    <t>Thabo Sefolosha</t>
  </si>
  <si>
    <t>18</t>
  </si>
  <si>
    <t>MAY 02, 1984</t>
  </si>
  <si>
    <t>Tyson Chandler</t>
  </si>
  <si>
    <t>19</t>
  </si>
  <si>
    <t>235</t>
  </si>
  <si>
    <t>OCT 02, 1982</t>
  </si>
  <si>
    <t>Michael Frazier</t>
  </si>
  <si>
    <t>21</t>
  </si>
  <si>
    <t>MAR 08, 1994</t>
  </si>
  <si>
    <t>Florida</t>
  </si>
  <si>
    <t>Austin Rivers</t>
  </si>
  <si>
    <t>AUG 01, 1992</t>
  </si>
  <si>
    <t>Nene</t>
  </si>
  <si>
    <t>42</t>
  </si>
  <si>
    <t>250</t>
  </si>
  <si>
    <t>SEP 13, 1982</t>
  </si>
  <si>
    <t>Isaiah Hartenstein</t>
  </si>
  <si>
    <t>55</t>
  </si>
  <si>
    <t>MAY 05, 1998</t>
  </si>
  <si>
    <t>Rockets</t>
    <phoneticPr fontId="1"/>
  </si>
  <si>
    <t>11-4</t>
    <phoneticPr fontId="1"/>
  </si>
  <si>
    <t xml:space="preserve">8-2  </t>
    <phoneticPr fontId="1"/>
  </si>
  <si>
    <t xml:space="preserve">6-1  </t>
    <phoneticPr fontId="1"/>
  </si>
  <si>
    <t xml:space="preserve">5-3  </t>
    <phoneticPr fontId="1"/>
  </si>
  <si>
    <t>53-29</t>
    <phoneticPr fontId="1"/>
  </si>
  <si>
    <t>31-10</t>
    <phoneticPr fontId="1"/>
  </si>
  <si>
    <t>22-19</t>
    <phoneticPr fontId="1"/>
  </si>
  <si>
    <t>33-24</t>
    <phoneticPr fontId="1"/>
  </si>
  <si>
    <t>20-5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</si>
</sst>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64822B-8D73-4956-ADCF-B4AFDEA07495}" name="TableRoster" displayName="TableRoster" ref="A1:M17" totalsRowShown="0" headerRowDxfId="1074">
  <autoFilter ref="A1:M17" xr:uid="{2CBA71C9-D970-4453-AA02-BC6E679E2D5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21CD5F7A-81F7-4821-894F-CA929E91FEC6}" name="TeamID" dataDxfId="1087"/>
    <tableColumn id="2" xr3:uid="{45400A2E-FA67-4FBB-AF98-F364E48F5C4B}" name="SEASON" dataDxfId="1086"/>
    <tableColumn id="3" xr3:uid="{8A4C3A0C-5D69-447E-9C1F-CDBED28D2A65}" name="LeagueID" dataDxfId="1085"/>
    <tableColumn id="4" xr3:uid="{C9E3D7F5-EC0A-4AFD-8D30-97954838A56F}" name="PLAYER" dataDxfId="1084"/>
    <tableColumn id="5" xr3:uid="{32E67D23-2783-4F04-B470-66528EBF435D}" name="NUM" dataDxfId="1083"/>
    <tableColumn id="6" xr3:uid="{9E734F89-E092-46BA-BE2F-0D31588A183A}" name="POSITION" dataDxfId="1082"/>
    <tableColumn id="7" xr3:uid="{2F34406D-594E-42EE-953F-07385303F00C}" name="HEIGHT" dataDxfId="1081"/>
    <tableColumn id="8" xr3:uid="{C790CF57-3273-4813-87A0-4C186419E8F3}" name="WEIGHT" dataDxfId="1080"/>
    <tableColumn id="9" xr3:uid="{A6133EC4-8D99-4CA2-9E34-86145ABA2445}" name="BIRTH_DATE" dataDxfId="1079"/>
    <tableColumn id="10" xr3:uid="{7190771F-5880-4F09-BCD4-029DF4A6225F}" name="AGE" dataDxfId="1078"/>
    <tableColumn id="11" xr3:uid="{335E8A39-82F0-4038-ADCD-57F198F78D4E}" name="EXP" dataDxfId="1077"/>
    <tableColumn id="12" xr3:uid="{6353B6B1-0468-4721-9D19-EE4EA094EB6B}" name="SCHOOL" dataDxfId="1076"/>
    <tableColumn id="13" xr3:uid="{A0BDD78C-6C6C-4287-BA20-12AAB634A8A5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13FB2BE-C3A3-4BE3-A412-34ED2C15E9E5}" name="TableStandingsN" displayName="TableStandingsN" ref="A1:CC31" totalsRowShown="0" headerRowDxfId="992">
  <autoFilter ref="A1:CC31" xr:uid="{8FFB88B3-60DA-4583-A69E-2F86A959F9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B07BD547-3BC7-42ED-9CFD-04143B8DE3EA}" name="LeagueID" dataDxfId="1073"/>
    <tableColumn id="2" xr3:uid="{3D6D0988-57FA-4EF6-BB8A-FB6326956F0D}" name="SeasonID" dataDxfId="1072"/>
    <tableColumn id="3" xr3:uid="{978E0079-7914-4AA6-AD1E-782C51F645B0}" name="TeamID" dataDxfId="1071"/>
    <tableColumn id="4" xr3:uid="{2F4DCE59-5BC2-43C3-8788-BF3748C17F05}" name="TeamCity" dataDxfId="1070"/>
    <tableColumn id="5" xr3:uid="{79657631-9279-4E13-989A-E00D5EC506F3}" name="TeamName" dataDxfId="1069"/>
    <tableColumn id="6" xr3:uid="{14323274-83F4-41B3-8458-0218F40942D2}" name="Conference" dataDxfId="1068"/>
    <tableColumn id="7" xr3:uid="{D138071C-8EFB-47C0-9407-EF3E2F2ACA60}" name="ConferenceRecord" dataDxfId="1067"/>
    <tableColumn id="8" xr3:uid="{3DB899AB-F18C-48B3-BFC5-7C83EEB4D65C}" name="PlayoffRank" dataDxfId="1066"/>
    <tableColumn id="9" xr3:uid="{7A8A66B9-1273-40A6-8250-06CFD7CC6CF6}" name="ClinchIndicator" dataDxfId="1065"/>
    <tableColumn id="10" xr3:uid="{D95A9A87-B158-421A-B25B-EFD547D362C6}" name="Division" dataDxfId="1064"/>
    <tableColumn id="11" xr3:uid="{24EA7461-8A8A-4965-B984-BB05C7E71DE3}" name="DivisionRecord" dataDxfId="1063"/>
    <tableColumn id="12" xr3:uid="{E8A60608-6BD3-4F06-BE77-66F07A083356}" name="DivisionRank" dataDxfId="1062"/>
    <tableColumn id="13" xr3:uid="{A0196958-8A52-48B9-AC7F-ADB9007E48F8}" name="WINS" dataDxfId="1061"/>
    <tableColumn id="14" xr3:uid="{6C1CA190-90D5-46E1-9CA6-A1231ACE9572}" name="LOSSES" dataDxfId="1060"/>
    <tableColumn id="15" xr3:uid="{02C82874-E1B6-4B7B-8424-0047E077CC35}" name="WinPCT" dataDxfId="1059"/>
    <tableColumn id="16" xr3:uid="{35AB7D39-BFAC-427A-8428-21F80A7331E1}" name="LeagueRank" dataDxfId="1058"/>
    <tableColumn id="17" xr3:uid="{B64D4827-DBA9-4EE5-AD1E-E7B82E1C4FAB}" name="Record" dataDxfId="1057"/>
    <tableColumn id="18" xr3:uid="{7E67FC81-F6A7-4B12-856F-C8475C0A0867}" name="HOME" dataDxfId="1056"/>
    <tableColumn id="19" xr3:uid="{A3CC138F-AC7B-4D22-983E-6357EB14BAD5}" name="ROAD" dataDxfId="1055"/>
    <tableColumn id="20" xr3:uid="{869C1475-CBCE-452F-B4F1-809D2DBB135C}" name="L10" dataDxfId="1054"/>
    <tableColumn id="21" xr3:uid="{F784596B-8F5D-42D2-A1C5-10EEC508E741}" name="Last10Home" dataDxfId="1053"/>
    <tableColumn id="22" xr3:uid="{703AEC83-37AB-454F-B97F-0C947A7FDCA0}" name="Last10Road" dataDxfId="1052"/>
    <tableColumn id="23" xr3:uid="{76DFFE37-7113-43BD-90D9-63CE5E7E931F}" name="OT" dataDxfId="1051"/>
    <tableColumn id="24" xr3:uid="{52FD16E0-CBA1-45F0-9711-F4D0A44A9D78}" name="ThreePTSOrLess" dataDxfId="1050"/>
    <tableColumn id="25" xr3:uid="{41A48CCB-087E-45C0-8828-E832F72FF4CE}" name="TenPTSOrMore" dataDxfId="1049"/>
    <tableColumn id="26" xr3:uid="{FC46AF78-A2AD-49BB-89FF-8C21AFB7325A}" name="LongHomeStreak" dataDxfId="1048"/>
    <tableColumn id="27" xr3:uid="{DFFBC70A-F2F2-418E-85EC-CEAEB258215B}" name="strLongHomeStreak" dataDxfId="1047"/>
    <tableColumn id="28" xr3:uid="{A5A34CCB-1575-43DA-9A4E-6D465B8D3F79}" name="LongRoadStreak" dataDxfId="1046"/>
    <tableColumn id="29" xr3:uid="{961C1A79-2A88-4E8C-99B3-F480E9DCD282}" name="strLongRoadStreak" dataDxfId="1045"/>
    <tableColumn id="30" xr3:uid="{047E1873-1490-4660-8A02-A99BF7DFAE10}" name="LongWinStreak" dataDxfId="1044"/>
    <tableColumn id="31" xr3:uid="{0AB8A4B5-FDA6-4E6F-A9DB-D7C4D8A2F6CF}" name="LongLossStreak" dataDxfId="1043"/>
    <tableColumn id="32" xr3:uid="{94395C8E-5D6E-45FC-B29F-ED6988CD2FD5}" name="CurrentHomeStreak" dataDxfId="1042"/>
    <tableColumn id="33" xr3:uid="{0BEE3B9A-9B7B-465D-872B-E13065C7EEAB}" name="strCurrentHomeStreak" dataDxfId="1041"/>
    <tableColumn id="34" xr3:uid="{3780A14D-573D-40C9-8DD5-19C237F502AA}" name="CurrentRoadStreak" dataDxfId="1040"/>
    <tableColumn id="35" xr3:uid="{8C55CA48-5E45-49A2-A42C-3672C6BCB983}" name="strCurrentRoadStreak" dataDxfId="1039"/>
    <tableColumn id="36" xr3:uid="{BF3D15D1-1840-47B4-BABC-7280B4F13279}" name="CurrentStreak" dataDxfId="1038"/>
    <tableColumn id="37" xr3:uid="{48DBF4B2-8CB7-4A7D-8B35-640AD1BAA744}" name="strCurrentStreak" dataDxfId="1037"/>
    <tableColumn id="38" xr3:uid="{7A2E721D-86E0-4263-AF7B-A39279445600}" name="ConferenceGamesBack" dataDxfId="1036"/>
    <tableColumn id="39" xr3:uid="{2775323A-ED17-442A-85EA-2D3BCAF644D7}" name="DivisionGamesBack" dataDxfId="1035"/>
    <tableColumn id="40" xr3:uid="{3C566154-E4DE-4ACC-ADFE-77E7EFA75709}" name="ClinchedConferenceTitle" dataDxfId="1034"/>
    <tableColumn id="41" xr3:uid="{3BAA33E0-5449-4EBF-816C-C66995ED4680}" name="ClinchedDivisionTitle" dataDxfId="1033"/>
    <tableColumn id="42" xr3:uid="{A67111EB-11CB-41E4-BFE4-A6CD8DAFD0FF}" name="ClinchedPlayoffBirth" dataDxfId="1032"/>
    <tableColumn id="43" xr3:uid="{DDA64AE6-EC20-4A33-9796-895D4603B8C7}" name="EliminatedConference" dataDxfId="1031"/>
    <tableColumn id="44" xr3:uid="{822A2EFC-6967-4259-8959-E41C373255B4}" name="EliminatedDivision" dataDxfId="1030"/>
    <tableColumn id="45" xr3:uid="{967254D1-A975-4FDE-B00C-193963CAAA8F}" name="AheadAtHalf" dataDxfId="1029"/>
    <tableColumn id="46" xr3:uid="{C83A4BBB-3042-47F2-9666-07AF86355105}" name="BehindAtHalf" dataDxfId="1028"/>
    <tableColumn id="47" xr3:uid="{E939E748-8B7B-4B19-816C-653EB03DB7B8}" name="TiedAtHalf" dataDxfId="1027"/>
    <tableColumn id="48" xr3:uid="{5347E08F-CC63-472B-AF73-ADDF585E6B20}" name="AheadAtThird" dataDxfId="1026"/>
    <tableColumn id="49" xr3:uid="{26285C04-BB0D-49F7-AD01-725A854E9405}" name="BehindAtThird" dataDxfId="1025"/>
    <tableColumn id="50" xr3:uid="{DC23CDBE-5F59-4C84-B7D3-8D14930F5CF2}" name="TiedAtThird" dataDxfId="1024"/>
    <tableColumn id="51" xr3:uid="{AAD00B24-596B-47D9-BAD3-73BB1E27401B}" name="Score100PTS" dataDxfId="1023"/>
    <tableColumn id="52" xr3:uid="{7BC15074-0A81-469C-A334-BD44BC41F104}" name="OppScore100PTS" dataDxfId="1022"/>
    <tableColumn id="53" xr3:uid="{B1202BAE-D637-48D6-9518-1EF3F2D681A3}" name="OppOver500" dataDxfId="1021"/>
    <tableColumn id="54" xr3:uid="{790A0E83-FAEB-45ED-8230-F38277104117}" name="LeadInFGPCT" dataDxfId="1020"/>
    <tableColumn id="55" xr3:uid="{1D340DB6-C6CB-4A46-AB29-A463D3D26BEB}" name="LeadInReb" dataDxfId="1019"/>
    <tableColumn id="56" xr3:uid="{082629F7-C027-4B92-87F4-F001EE10E5B3}" name="FewerTurnovers" dataDxfId="1018"/>
    <tableColumn id="57" xr3:uid="{5C8DC635-376B-4AEB-B5B3-7CCD155CC229}" name="PointsPG" dataDxfId="1017"/>
    <tableColumn id="58" xr3:uid="{4D83D877-7B81-4528-960F-3883A0F50D26}" name="OppPointsPG" dataDxfId="1016"/>
    <tableColumn id="59" xr3:uid="{C0C73146-2FE8-4CA0-9864-F04187E83D06}" name="DiffPointsPG" dataDxfId="1015"/>
    <tableColumn id="60" xr3:uid="{9A3322DB-086F-42A6-A66C-B2C86A4A846A}" name="vsEast" dataDxfId="1014"/>
    <tableColumn id="61" xr3:uid="{4080ED4B-B0FC-4E9E-88BA-A309DDB1E5A3}" name="vsAtlantic" dataDxfId="1013"/>
    <tableColumn id="62" xr3:uid="{57C269D4-DD48-4FF5-8D65-FE2F34C416CE}" name="vsCentral" dataDxfId="1012"/>
    <tableColumn id="63" xr3:uid="{30819505-D3F4-4973-9E96-C716F5E3F023}" name="vsSoutheast" dataDxfId="1011"/>
    <tableColumn id="64" xr3:uid="{E62EFF34-D2B4-4CF0-B9F2-EE943B908780}" name="vsWest" dataDxfId="1010"/>
    <tableColumn id="65" xr3:uid="{CE77BEEB-4AE7-49EE-A891-407600820327}" name="vsNorthwest" dataDxfId="1009"/>
    <tableColumn id="66" xr3:uid="{CF58ECA2-7AFB-47E0-B7C7-F03719F83EC8}" name="vsPacific" dataDxfId="1008"/>
    <tableColumn id="67" xr3:uid="{86F250DB-0F59-4C65-9E90-6B5D108112F7}" name="vsSouthwest" dataDxfId="1007"/>
    <tableColumn id="68" xr3:uid="{D27550E3-EC63-41CB-B2ED-CF84DC554307}" name="Jan" dataDxfId="1006"/>
    <tableColumn id="69" xr3:uid="{5E066848-4B43-4D8D-9F8B-9C9BE5138E5D}" name="Feb" dataDxfId="1005"/>
    <tableColumn id="70" xr3:uid="{C19E6CC9-1C39-4530-BA0B-9D68D9EB6799}" name="Mar" dataDxfId="1004"/>
    <tableColumn id="71" xr3:uid="{ED649D38-F139-44DA-9D06-9307987D342B}" name="Apr" dataDxfId="1003"/>
    <tableColumn id="72" xr3:uid="{2EA46331-7756-4B9F-A2BC-3167245B9F06}" name="May" dataDxfId="1002"/>
    <tableColumn id="73" xr3:uid="{E1971DA7-4A7A-4A51-BB5A-153CA2D1963A}" name="Jun" dataDxfId="1001"/>
    <tableColumn id="74" xr3:uid="{DDDF8AC1-034A-405B-945B-C4A231268F3F}" name="Jul" dataDxfId="1000"/>
    <tableColumn id="75" xr3:uid="{87E46EEC-CDF1-4082-8603-EEDCACF87556}" name="Aug" dataDxfId="999"/>
    <tableColumn id="76" xr3:uid="{74FB6848-5FBB-4651-A850-33D2264B0A7F}" name="Sep" dataDxfId="998"/>
    <tableColumn id="77" xr3:uid="{468AB429-2A55-4C20-A554-FA227F91C64E}" name="Oct" dataDxfId="997"/>
    <tableColumn id="78" xr3:uid="{E1736373-4C88-42D9-A0A0-BA28911A44B0}" name="Nov" dataDxfId="996"/>
    <tableColumn id="79" xr3:uid="{6E11304B-2FA1-42BE-97F3-C34E85E22B8A}" name="Dec" dataDxfId="995"/>
    <tableColumn id="80" xr3:uid="{08D7647A-0FD1-4453-A128-BC4EC55421A9}" name="PreAS" dataDxfId="994"/>
    <tableColumn id="81" xr3:uid="{F9AADBEF-03B6-4EBB-B8A8-75D19E5AD8FB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9568B5E-FC9D-40D1-AE2B-956CE8623A9A}" name="TableBaseN" displayName="TableBaseN" ref="A1:BD31" totalsRowShown="0" headerRowDxfId="853">
  <autoFilter ref="A1:BD31" xr:uid="{CB29ECC9-29D7-4729-B9BD-5FD938CF14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4B913DC2-9ED2-4B67-AFA8-221705ED9F9E}" name="TEAM_ID" dataDxfId="909"/>
    <tableColumn id="2" xr3:uid="{60919B62-28D6-4DA3-865C-E69DA7FBC7C2}" name="TEAM_NAME" dataDxfId="908"/>
    <tableColumn id="3" xr3:uid="{6F5CC4F6-A75D-4640-8A28-1A670180E8C6}" name="GP" dataDxfId="907"/>
    <tableColumn id="4" xr3:uid="{AAEA2BF1-622A-426C-BC9C-D1ABBC5B5BCC}" name="W" dataDxfId="906"/>
    <tableColumn id="5" xr3:uid="{1D1908FF-C6C1-4FF6-968B-4EBFD7F3032F}" name="L" dataDxfId="905"/>
    <tableColumn id="6" xr3:uid="{67AA0961-3D26-4084-A71C-378320A38EB2}" name="W_PCT" dataDxfId="904"/>
    <tableColumn id="7" xr3:uid="{4A9D50C0-11D6-43D0-90F6-2CF5C02E5131}" name="MIN" dataDxfId="903"/>
    <tableColumn id="8" xr3:uid="{B9C1E71B-6459-422F-A49E-23B3339441CA}" name="FGM" dataDxfId="902"/>
    <tableColumn id="9" xr3:uid="{018F359F-D2CB-4740-B1B0-7592E3F02DBF}" name="FGA" dataDxfId="901"/>
    <tableColumn id="10" xr3:uid="{01958910-7F07-49D8-B514-31C7913A892D}" name="FG_PCT" dataDxfId="900"/>
    <tableColumn id="11" xr3:uid="{24C16FDC-9001-4842-8D20-89EC32E99A17}" name="FG3M" dataDxfId="899"/>
    <tableColumn id="12" xr3:uid="{94C79684-AB39-4ED8-A030-E615234359B8}" name="FG3A" dataDxfId="898"/>
    <tableColumn id="13" xr3:uid="{88706112-7954-47BB-9D3E-8141A37D883D}" name="FG3_PCT" dataDxfId="897"/>
    <tableColumn id="14" xr3:uid="{D3173854-AD60-43B5-AC20-879623DC0957}" name="FTM" dataDxfId="896"/>
    <tableColumn id="15" xr3:uid="{375A24C8-A1EF-4316-992A-E46CC56EF23E}" name="FTA" dataDxfId="895"/>
    <tableColumn id="16" xr3:uid="{30FB94D3-D62B-4B35-8F86-B47B89151B42}" name="FT_PCT" dataDxfId="894"/>
    <tableColumn id="17" xr3:uid="{E08EFEB6-21B0-44A8-A9AB-4C8D44DDA2B5}" name="OREB" dataDxfId="893"/>
    <tableColumn id="18" xr3:uid="{22D446D7-1F14-4D90-9154-014537EB799D}" name="DREB" dataDxfId="892"/>
    <tableColumn id="19" xr3:uid="{96A78B01-30EF-423D-92C0-152D362FF1E5}" name="REB" dataDxfId="891"/>
    <tableColumn id="20" xr3:uid="{E1724AC8-F301-4B2E-8574-B3952ABCB87F}" name="AST" dataDxfId="890"/>
    <tableColumn id="21" xr3:uid="{AAAC3929-8737-45CC-9A60-0403D46A021E}" name="TOV" dataDxfId="889"/>
    <tableColumn id="22" xr3:uid="{A5448FC0-4DC3-490E-BF98-1BB090A31EDA}" name="STL" dataDxfId="888"/>
    <tableColumn id="23" xr3:uid="{65C97E1E-E400-4114-9120-EF90AF5BF042}" name="BLK" dataDxfId="887"/>
    <tableColumn id="24" xr3:uid="{53C3013C-E3E9-4FB1-AB2D-6D252B49FA30}" name="BLKA" dataDxfId="886"/>
    <tableColumn id="25" xr3:uid="{BC0B8FB8-76E0-446A-ABDE-389EB78B2A43}" name="PF" dataDxfId="885"/>
    <tableColumn id="26" xr3:uid="{9E4A41A8-1EAB-4841-8B89-FBDCD38B8FEC}" name="PFD" dataDxfId="884"/>
    <tableColumn id="27" xr3:uid="{EC8391B4-B82A-494E-B596-BBFF824BA4E8}" name="PTS" dataDxfId="883"/>
    <tableColumn id="28" xr3:uid="{DCF183D8-D2B0-4E76-B4C5-6EC0F3E7AE7F}" name="PLUS_MINUS" dataDxfId="882"/>
    <tableColumn id="29" xr3:uid="{20BF517B-330C-4279-B039-CAE81148B27C}" name="GP_RANK" dataDxfId="881"/>
    <tableColumn id="30" xr3:uid="{FE8BFE7F-062C-4204-8407-2EA009E47292}" name="W_RANK" dataDxfId="880"/>
    <tableColumn id="31" xr3:uid="{09A32A34-A0B6-467B-8F3A-BBCAC0225AF2}" name="L_RANK" dataDxfId="879"/>
    <tableColumn id="32" xr3:uid="{9734BA59-12F8-4521-9215-29F5650EE231}" name="W_PCT_RANK" dataDxfId="878"/>
    <tableColumn id="33" xr3:uid="{444DAAC0-19B4-4A0B-B02F-6BFED56C4E84}" name="MIN_RANK" dataDxfId="877"/>
    <tableColumn id="34" xr3:uid="{0DC10D94-06A4-41E7-A50B-D804F7BE230F}" name="FGM_RANK" dataDxfId="876"/>
    <tableColumn id="35" xr3:uid="{F134A101-0A6E-4B08-AE9F-7C668CA841B1}" name="FGA_RANK" dataDxfId="875"/>
    <tableColumn id="36" xr3:uid="{57FD6005-F586-4AB8-BDCF-92A864C03B80}" name="FG_PCT_RANK" dataDxfId="874"/>
    <tableColumn id="37" xr3:uid="{DDE5AFAF-70F5-472D-B9C4-16A8E47C544F}" name="FG3M_RANK" dataDxfId="873"/>
    <tableColumn id="38" xr3:uid="{D43111AC-EDEE-4AFD-BE5B-F5D4CE09B776}" name="FG3A_RANK" dataDxfId="872"/>
    <tableColumn id="39" xr3:uid="{88A0F328-D2B0-4617-B3D3-C0066676EFAC}" name="FG3_PCT_RANK" dataDxfId="871"/>
    <tableColumn id="40" xr3:uid="{64A4126A-F1BF-4E53-B8CF-9727DD81AFA6}" name="FTM_RANK" dataDxfId="870"/>
    <tableColumn id="41" xr3:uid="{E154BE5C-591E-4FA9-83E3-6FCCB65E330C}" name="FTA_RANK" dataDxfId="869"/>
    <tableColumn id="42" xr3:uid="{F8C41A67-B71F-4B8E-8E42-9B9F0D65EF43}" name="FT_PCT_RANK" dataDxfId="868"/>
    <tableColumn id="43" xr3:uid="{E2BE7A89-414F-4337-82BB-7840770F6FED}" name="OREB_RANK" dataDxfId="867"/>
    <tableColumn id="44" xr3:uid="{3422A54A-72F5-4877-90D1-7F424F6ADA96}" name="DREB_RANK" dataDxfId="866"/>
    <tableColumn id="45" xr3:uid="{C5A67779-DF4A-47D3-961D-655065FC6F61}" name="REB_RANK" dataDxfId="865"/>
    <tableColumn id="46" xr3:uid="{62F680D1-4E6F-403B-A9CB-872EE786BE22}" name="AST_RANK" dataDxfId="864"/>
    <tableColumn id="47" xr3:uid="{62F7FE35-90F3-4B5F-8F47-801C3F18577B}" name="TOV_RANK" dataDxfId="863"/>
    <tableColumn id="48" xr3:uid="{06A3C0A9-341A-48BE-93E1-BC4F0C51EA4A}" name="STL_RANK" dataDxfId="862"/>
    <tableColumn id="49" xr3:uid="{FFC9F0BD-F1CF-4805-83FE-6ED1269BB317}" name="BLK_RANK" dataDxfId="861"/>
    <tableColumn id="50" xr3:uid="{76A87300-BBA6-4E6C-869D-1EBDE5926188}" name="BLKA_RANK" dataDxfId="860"/>
    <tableColumn id="51" xr3:uid="{DBAA2484-6E94-41A0-894A-31874F310DEF}" name="PF_RANK" dataDxfId="859"/>
    <tableColumn id="52" xr3:uid="{DE707D79-DFD8-4411-BEF2-CD9FD230BAEE}" name="PFD_RANK" dataDxfId="858"/>
    <tableColumn id="53" xr3:uid="{9FD87FDB-C5AF-447B-A94B-200678627C43}" name="PTS_RANK" dataDxfId="857"/>
    <tableColumn id="54" xr3:uid="{2259F0B1-632B-4D45-9DA2-4F0899A5A52E}" name="PLUS_MINUS_RANK" dataDxfId="856"/>
    <tableColumn id="55" xr3:uid="{27E8C79B-EB02-4372-B241-731DE618F2BD}" name="CFID" dataDxfId="855"/>
    <tableColumn id="56" xr3:uid="{50A8DCE8-79B8-4270-9C35-863D6CBEF4F8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0853320-84F9-4F29-ADA5-76BCE98A4313}" name="TableAdvancedN" displayName="TableAdvancedN" ref="A1:AV31" totalsRowShown="0" headerRowDxfId="747">
  <autoFilter ref="A1:AV31" xr:uid="{16224125-E58B-42BA-99B6-A495074FE15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025538F-5F73-4119-BE15-BBD1DB604211}" name="TEAM_ID" dataDxfId="795"/>
    <tableColumn id="2" xr3:uid="{4759BCDB-91C7-498E-A9AD-964B7B00B6D4}" name="TEAM_NAME" dataDxfId="794"/>
    <tableColumn id="3" xr3:uid="{5B2C12DB-E352-4D87-A0D2-8AEDC518621F}" name="GP" dataDxfId="793"/>
    <tableColumn id="4" xr3:uid="{1116428C-EEE5-48A4-9FD5-FE5FACFB6C3A}" name="W" dataDxfId="792"/>
    <tableColumn id="5" xr3:uid="{8F1B2FC1-6296-4CF8-B402-3B5AB4DEB5BC}" name="L" dataDxfId="791"/>
    <tableColumn id="6" xr3:uid="{7EA6F3F9-F7A2-4694-8A95-5661C773EA13}" name="W_PCT" dataDxfId="790"/>
    <tableColumn id="7" xr3:uid="{478B8804-A0CE-48E2-A2A8-A7C3BB2A3349}" name="MIN" dataDxfId="789"/>
    <tableColumn id="8" xr3:uid="{C849D853-9D22-4E0C-AA5B-86C421B4847C}" name="E_OFF_RATING" dataDxfId="788"/>
    <tableColumn id="9" xr3:uid="{3589C0AD-017C-47EC-9AFC-EC8F3E0B1C48}" name="OFF_RATING" dataDxfId="787"/>
    <tableColumn id="10" xr3:uid="{84ACC8F5-89A3-403F-8F0A-9FC33FF9798E}" name="E_DEF_RATING" dataDxfId="786"/>
    <tableColumn id="11" xr3:uid="{8A5EFACE-7AF8-4595-883E-2064CFE75D0B}" name="DEF_RATING" dataDxfId="785"/>
    <tableColumn id="12" xr3:uid="{3EB6AFDF-9E81-45A1-BA16-93DC65BA654F}" name="E_NET_RATING" dataDxfId="784"/>
    <tableColumn id="13" xr3:uid="{D673E890-6854-425A-93CD-127D42EAA940}" name="NET_RATING" dataDxfId="783"/>
    <tableColumn id="14" xr3:uid="{AD364232-5AC2-4F43-BFBE-7CBD33E03504}" name="AST_PCT" dataDxfId="782"/>
    <tableColumn id="15" xr3:uid="{423F0C19-B233-4E91-A980-79834ADE307E}" name="AST_TO" dataDxfId="781"/>
    <tableColumn id="16" xr3:uid="{CAEF58FF-A332-4E71-9221-1E021238FCE3}" name="AST_RATIO" dataDxfId="780"/>
    <tableColumn id="17" xr3:uid="{C35A4478-191D-48FC-AEF5-B7D728B8E0B7}" name="OREB_PCT" dataDxfId="779"/>
    <tableColumn id="18" xr3:uid="{2DD0137D-1CD9-43BC-803E-093D3694A0D7}" name="DREB_PCT" dataDxfId="778"/>
    <tableColumn id="19" xr3:uid="{D2FEC7C0-E664-4519-9E2F-481AA3664B2D}" name="REB_PCT" dataDxfId="777"/>
    <tableColumn id="20" xr3:uid="{88F19507-FAA9-4FE4-9CF4-A93214273F45}" name="TM_TOV_PCT" dataDxfId="776"/>
    <tableColumn id="21" xr3:uid="{0002E7C2-79C8-4920-A359-C27945C54C1D}" name="EFG_PCT" dataDxfId="775"/>
    <tableColumn id="22" xr3:uid="{6D8194AE-AD78-489E-828E-559B7F9F0C47}" name="TS_PCT" dataDxfId="774"/>
    <tableColumn id="23" xr3:uid="{5CE0A185-CA80-4FD7-97A7-84708EDB0CBE}" name="E_PACE" dataDxfId="773"/>
    <tableColumn id="24" xr3:uid="{9E5F234F-7555-48ED-A641-9656947E7E52}" name="PACE" dataDxfId="772"/>
    <tableColumn id="25" xr3:uid="{4A0D99BC-9F93-4947-A20E-01D84CD72C32}" name="PACE_PER40" dataDxfId="771"/>
    <tableColumn id="26" xr3:uid="{EC4EFEA7-A0B8-4F33-A947-00EF7474BC84}" name="POSS" dataDxfId="770"/>
    <tableColumn id="27" xr3:uid="{8B0AC5EE-F158-406B-AFCA-CF3FCF4DDC8E}" name="PIE" dataDxfId="769"/>
    <tableColumn id="28" xr3:uid="{FDFB4DD9-A352-43E5-B7AA-22D805C7E35B}" name="GP_RANK" dataDxfId="768"/>
    <tableColumn id="29" xr3:uid="{61F1D6B8-D6FB-4176-AF89-C84B0D6944F5}" name="W_RANK" dataDxfId="767"/>
    <tableColumn id="30" xr3:uid="{D11E0F80-F74C-4E88-973D-004145DEFCBB}" name="L_RANK" dataDxfId="766"/>
    <tableColumn id="31" xr3:uid="{7FF57969-ED55-405E-B7A1-7B7D1DE4B7CD}" name="W_PCT_RANK" dataDxfId="765"/>
    <tableColumn id="32" xr3:uid="{EA4225AE-A7F1-48E2-9685-BAD312896EC9}" name="MIN_RANK" dataDxfId="764"/>
    <tableColumn id="33" xr3:uid="{D358B3AF-E5E5-4AB2-8DC3-BEAC079228CA}" name="OFF_RATING_RANK" dataDxfId="763"/>
    <tableColumn id="34" xr3:uid="{5BC3AEF2-521C-49C7-8668-9D38715CE514}" name="DEF_RATING_RANK" dataDxfId="762"/>
    <tableColumn id="35" xr3:uid="{BEE63468-272A-48EA-8FE4-84F7B47BF499}" name="NET_RATING_RANK" dataDxfId="761"/>
    <tableColumn id="36" xr3:uid="{0B3B9180-5AC6-48D5-9348-BFEFE7833814}" name="AST_PCT_RANK" dataDxfId="760"/>
    <tableColumn id="37" xr3:uid="{CC7C4D16-E63D-4D09-B412-3206CD700057}" name="AST_TO_RANK" dataDxfId="759"/>
    <tableColumn id="38" xr3:uid="{2A890DE1-B8E5-4FD6-9D80-D676DDEC67A9}" name="AST_RATIO_RANK" dataDxfId="758"/>
    <tableColumn id="39" xr3:uid="{734F55ED-26DB-42F1-93F9-F90AFEDA5D09}" name="OREB_PCT_RANK" dataDxfId="757"/>
    <tableColumn id="40" xr3:uid="{7DAAFCAD-7D4A-4302-8888-C0F5DDDCD1CD}" name="DREB_PCT_RANK" dataDxfId="756"/>
    <tableColumn id="41" xr3:uid="{486870E7-09F8-4A03-94FD-5246885AC6AD}" name="REB_PCT_RANK" dataDxfId="755"/>
    <tableColumn id="42" xr3:uid="{57D9096F-E836-41E6-99ED-C8ADAE40DC16}" name="TM_TOV_PCT_RANK" dataDxfId="754"/>
    <tableColumn id="43" xr3:uid="{497A23A6-07E1-49E9-A06E-081D8A2D85F6}" name="EFG_PCT_RANK" dataDxfId="753"/>
    <tableColumn id="44" xr3:uid="{A9B60B0D-1FCA-45BF-9317-17B6A49CD6B7}" name="TS_PCT_RANK" dataDxfId="752"/>
    <tableColumn id="45" xr3:uid="{C3939C57-06C4-410A-ACA1-6AD6B7F6258C}" name="PACE_RANK" dataDxfId="751"/>
    <tableColumn id="46" xr3:uid="{6466588B-CA75-4BCD-AD1B-538C42C79726}" name="PIE_RANK" dataDxfId="750"/>
    <tableColumn id="47" xr3:uid="{3CF30271-3952-4D74-9233-96094D533FEC}" name="CFID" dataDxfId="749"/>
    <tableColumn id="48" xr3:uid="{8A1F6F00-1055-410F-82BF-3C0810B55C39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B0B409-C6B1-4D30-90CB-5288CE848447}" name="TableAdvancedNStarters" displayName="TableAdvancedNStarters" ref="A1:AV31" totalsRowShown="0" headerRowDxfId="649">
  <autoFilter ref="A1:AV31" xr:uid="{94C4A5CE-7BC8-44F0-8974-76A0F705772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7105241A-771A-41B1-902E-AF96F220AA29}" name="TEAM_ID" dataDxfId="697"/>
    <tableColumn id="2" xr3:uid="{F74A80B3-47CB-4069-9807-1B8A3068C6B8}" name="TEAM_NAME" dataDxfId="696"/>
    <tableColumn id="3" xr3:uid="{B49A0DBC-47A3-431B-B52B-90F75F0B225D}" name="GP" dataDxfId="695"/>
    <tableColumn id="4" xr3:uid="{F8C3D2A4-7F10-443E-A5BF-CB6C81B33CB1}" name="W" dataDxfId="694"/>
    <tableColumn id="5" xr3:uid="{1ABFC581-CECA-4E7B-AA2D-7535ACFEEB5F}" name="L" dataDxfId="693"/>
    <tableColumn id="6" xr3:uid="{F67FA2F7-5675-44C8-B445-09525E381FE9}" name="W_PCT" dataDxfId="692"/>
    <tableColumn id="7" xr3:uid="{F2D8A80D-96E7-479C-BB29-77A9FABCE6BA}" name="MIN" dataDxfId="691"/>
    <tableColumn id="8" xr3:uid="{CBFE1DB9-9DDF-43DE-B1FB-0B27CF3E47E3}" name="E_OFF_RATING" dataDxfId="690"/>
    <tableColumn id="9" xr3:uid="{261E0E16-23FF-43E8-8983-F7D39CD75627}" name="OFF_RATING" dataDxfId="689"/>
    <tableColumn id="10" xr3:uid="{D0631B97-982E-47D5-9C68-623181583CA2}" name="E_DEF_RATING" dataDxfId="688"/>
    <tableColumn id="11" xr3:uid="{462F1ACB-71E7-466B-8167-3A84745A095E}" name="DEF_RATING" dataDxfId="687"/>
    <tableColumn id="12" xr3:uid="{E7C4877D-0CC5-4C91-AF20-3403982E4ACA}" name="E_NET_RATING" dataDxfId="686"/>
    <tableColumn id="13" xr3:uid="{49021F9F-9CC7-4D9A-A679-1632541C0933}" name="NET_RATING" dataDxfId="685"/>
    <tableColumn id="14" xr3:uid="{1301CE50-4B56-45B9-8A0C-49680303AB78}" name="AST_PCT" dataDxfId="684"/>
    <tableColumn id="15" xr3:uid="{B587F1AA-40E7-43FD-AB75-93E67841D5F8}" name="AST_TO" dataDxfId="683"/>
    <tableColumn id="16" xr3:uid="{591C31CC-D11D-4D3C-8E7D-3985301E3E94}" name="AST_RATIO" dataDxfId="682"/>
    <tableColumn id="17" xr3:uid="{1D236A4A-4FBC-4E9A-971C-549B94B60CAF}" name="OREB_PCT" dataDxfId="681"/>
    <tableColumn id="18" xr3:uid="{A86B9B30-5CFE-4433-BF01-AA7378EC1DDC}" name="DREB_PCT" dataDxfId="680"/>
    <tableColumn id="19" xr3:uid="{86CE2612-66B3-4FEF-AD4F-F8E6F5ECE5BB}" name="REB_PCT" dataDxfId="679"/>
    <tableColumn id="20" xr3:uid="{5CD32608-CEE5-4638-AB1A-3CABA22C335C}" name="TM_TOV_PCT" dataDxfId="678"/>
    <tableColumn id="21" xr3:uid="{D12C733F-0FEB-46E3-934C-9B1E8ED03689}" name="EFG_PCT" dataDxfId="677"/>
    <tableColumn id="22" xr3:uid="{F0C4C330-9B26-475A-A570-2AB751790572}" name="TS_PCT" dataDxfId="676"/>
    <tableColumn id="23" xr3:uid="{51238B18-91CD-46B5-A587-F3B9191491F3}" name="E_PACE" dataDxfId="675"/>
    <tableColumn id="24" xr3:uid="{87CF66CE-8390-4A44-9C4D-614E55BC8998}" name="PACE" dataDxfId="674"/>
    <tableColumn id="25" xr3:uid="{43B46505-7A2B-4006-B3A7-F6EAEEB08C5B}" name="PACE_PER40" dataDxfId="673"/>
    <tableColumn id="26" xr3:uid="{A307D3DD-6A81-4E02-8748-B9E5DF4EA64C}" name="POSS" dataDxfId="672"/>
    <tableColumn id="27" xr3:uid="{FF60E66F-1C2F-49B6-8ADA-337C1707808E}" name="PIE" dataDxfId="671"/>
    <tableColumn id="28" xr3:uid="{315C1D6B-CEF3-4999-ABE7-6F0BD5615533}" name="GP_RANK" dataDxfId="670"/>
    <tableColumn id="29" xr3:uid="{72269F8C-7912-4EFE-A1D9-95D8666D0C76}" name="W_RANK" dataDxfId="669"/>
    <tableColumn id="30" xr3:uid="{426EDFAF-C0FF-4BD8-B02D-87347442DC3F}" name="L_RANK" dataDxfId="668"/>
    <tableColumn id="31" xr3:uid="{AE9637EF-1181-4E4E-94BA-D3B29AEBF3EA}" name="W_PCT_RANK" dataDxfId="667"/>
    <tableColumn id="32" xr3:uid="{4BA09370-B4A3-4A16-9E00-37CD471C85C8}" name="MIN_RANK" dataDxfId="666"/>
    <tableColumn id="33" xr3:uid="{24DDC18A-517B-49D7-B241-74A46532B3A5}" name="OFF_RATING_RANK" dataDxfId="665"/>
    <tableColumn id="34" xr3:uid="{A698CEA1-5B9C-4219-B1BC-6509C739565B}" name="DEF_RATING_RANK" dataDxfId="664"/>
    <tableColumn id="35" xr3:uid="{A7218F3B-6017-4116-A530-A9C828EFA533}" name="NET_RATING_RANK" dataDxfId="663"/>
    <tableColumn id="36" xr3:uid="{030CB268-864C-4843-8DB0-28D908B59CD8}" name="AST_PCT_RANK" dataDxfId="662"/>
    <tableColumn id="37" xr3:uid="{F6E1AB4C-20E6-42B2-9650-0BDE3F6E565D}" name="AST_TO_RANK" dataDxfId="661"/>
    <tableColumn id="38" xr3:uid="{F8BFEF0A-72C7-45B8-8D49-382593BF7BEE}" name="AST_RATIO_RANK" dataDxfId="660"/>
    <tableColumn id="39" xr3:uid="{22E133FC-6644-4B6E-9A81-61FF30D85D12}" name="OREB_PCT_RANK" dataDxfId="659"/>
    <tableColumn id="40" xr3:uid="{1125C5FB-B8C4-43DE-B62E-0D3E515D5C18}" name="DREB_PCT_RANK" dataDxfId="658"/>
    <tableColumn id="41" xr3:uid="{D06C59A4-14CB-4B0E-85C1-EF3BE76A93F8}" name="REB_PCT_RANK" dataDxfId="657"/>
    <tableColumn id="42" xr3:uid="{13740C06-1F58-4768-9975-C942FFCAAD8E}" name="TM_TOV_PCT_RANK" dataDxfId="656"/>
    <tableColumn id="43" xr3:uid="{0FB16005-48B3-4112-862D-3BE11D63229F}" name="EFG_PCT_RANK" dataDxfId="655"/>
    <tableColumn id="44" xr3:uid="{13F09ADA-4B23-48C0-8072-18E22B843655}" name="TS_PCT_RANK" dataDxfId="654"/>
    <tableColumn id="45" xr3:uid="{DA959922-B6D9-452C-820A-183F5F502ED3}" name="PACE_RANK" dataDxfId="653"/>
    <tableColumn id="46" xr3:uid="{4D3B268F-27E2-4DB1-BDFB-C8FC97D1915A}" name="PIE_RANK" dataDxfId="652"/>
    <tableColumn id="47" xr3:uid="{3EEAB1D0-CB3B-4B55-A633-E0CDABCCAFAA}" name="CFID" dataDxfId="651"/>
    <tableColumn id="48" xr3:uid="{FE9886CD-97DF-4EF9-AD36-FB9949052344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569903-A8B2-4F30-A226-02596FAC263F}" name="TableAdvancedNBench" displayName="TableAdvancedNBench" ref="A1:AV31" totalsRowShown="0" headerRowDxfId="551">
  <autoFilter ref="A1:AV31" xr:uid="{E4E08408-12EA-4A93-AC76-14F3DFA21E2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F4A7B14-A5A7-44BA-B19F-2AD98976642A}" name="TEAM_ID" dataDxfId="599"/>
    <tableColumn id="2" xr3:uid="{5AA3A4C6-8408-482A-995D-88B3C7A60C5E}" name="TEAM_NAME" dataDxfId="598"/>
    <tableColumn id="3" xr3:uid="{1A6C3EF5-F515-49FF-935F-26C62E469627}" name="GP" dataDxfId="597"/>
    <tableColumn id="4" xr3:uid="{4CB6D855-E4F2-4744-A424-4DBF5BCCEB82}" name="W" dataDxfId="596"/>
    <tableColumn id="5" xr3:uid="{DB147CD3-732D-42DD-BDB4-0DA394EBFCCE}" name="L" dataDxfId="595"/>
    <tableColumn id="6" xr3:uid="{F221BC72-C742-4F73-BE6B-4A5B05A5BDD8}" name="W_PCT" dataDxfId="594"/>
    <tableColumn id="7" xr3:uid="{7346AD3D-05BC-4BAD-BC27-BFEEBCF9E904}" name="MIN" dataDxfId="593"/>
    <tableColumn id="8" xr3:uid="{51121276-C424-4315-B4B9-48FA06660321}" name="E_OFF_RATING" dataDxfId="592"/>
    <tableColumn id="9" xr3:uid="{B701393F-828C-4D7B-AE5B-5827000D2534}" name="OFF_RATING" dataDxfId="591"/>
    <tableColumn id="10" xr3:uid="{BB90478F-6675-42D0-9C83-ACD13D3A8F2A}" name="E_DEF_RATING" dataDxfId="590"/>
    <tableColumn id="11" xr3:uid="{34C3544A-7368-476F-A8F0-E48D227FB1B4}" name="DEF_RATING" dataDxfId="589"/>
    <tableColumn id="12" xr3:uid="{E53191D5-3912-46BC-86EB-6D5B47E6D6F8}" name="E_NET_RATING" dataDxfId="588"/>
    <tableColumn id="13" xr3:uid="{FC8A1A3B-4A67-4D34-B04D-2DD21C93962B}" name="NET_RATING" dataDxfId="587"/>
    <tableColumn id="14" xr3:uid="{81FCDC51-4450-49DD-9197-E9CBCF707F9D}" name="AST_PCT" dataDxfId="586"/>
    <tableColumn id="15" xr3:uid="{17E5122A-EBA6-4654-AB0F-6C41F621FE27}" name="AST_TO" dataDxfId="585"/>
    <tableColumn id="16" xr3:uid="{9EFFE014-3A73-48F2-B7D3-6B1D960950C5}" name="AST_RATIO" dataDxfId="584"/>
    <tableColumn id="17" xr3:uid="{18254460-A65A-41C9-BB63-682FB5698910}" name="OREB_PCT" dataDxfId="583"/>
    <tableColumn id="18" xr3:uid="{CA2DA640-9D1D-4DE4-8F58-371001D92435}" name="DREB_PCT" dataDxfId="582"/>
    <tableColumn id="19" xr3:uid="{B08C73E2-47BC-43DA-AA98-D610F73B5F46}" name="REB_PCT" dataDxfId="581"/>
    <tableColumn id="20" xr3:uid="{1A4CB3C2-4D16-49ED-BA5B-5DB4F0A941AA}" name="TM_TOV_PCT" dataDxfId="580"/>
    <tableColumn id="21" xr3:uid="{A02208F8-968E-482E-9AF4-B8ED5EB137AD}" name="EFG_PCT" dataDxfId="579"/>
    <tableColumn id="22" xr3:uid="{43DFC7BF-0BCF-4BAA-AD0C-550EBB412761}" name="TS_PCT" dataDxfId="578"/>
    <tableColumn id="23" xr3:uid="{BFC8CADF-D280-45FF-9BF1-89E86150769E}" name="E_PACE" dataDxfId="577"/>
    <tableColumn id="24" xr3:uid="{0930F375-E82A-42A3-AA2A-9907609A27EB}" name="PACE" dataDxfId="576"/>
    <tableColumn id="25" xr3:uid="{B990FDB7-237F-4F5B-964F-7D2ED9677E7C}" name="PACE_PER40" dataDxfId="575"/>
    <tableColumn id="26" xr3:uid="{6D8C9369-8AA7-4F88-9F7D-1CE202FB7C5F}" name="POSS" dataDxfId="574"/>
    <tableColumn id="27" xr3:uid="{3CB78E4F-9A43-49BB-9B21-0B8FD99258A7}" name="PIE" dataDxfId="573"/>
    <tableColumn id="28" xr3:uid="{E0EBC5BF-CC90-4218-8A79-3672A54A2290}" name="GP_RANK" dataDxfId="572"/>
    <tableColumn id="29" xr3:uid="{F94457E8-2DB6-428F-9093-24A197FFA5C3}" name="W_RANK" dataDxfId="571"/>
    <tableColumn id="30" xr3:uid="{4CCFC213-1A92-49D1-B0B4-F82DC06C439D}" name="L_RANK" dataDxfId="570"/>
    <tableColumn id="31" xr3:uid="{66CFBB5A-51F5-4D41-A4F5-5C7105087E1B}" name="W_PCT_RANK" dataDxfId="569"/>
    <tableColumn id="32" xr3:uid="{6EE356C1-DA68-4359-BA44-CFBF289DEA90}" name="MIN_RANK" dataDxfId="568"/>
    <tableColumn id="33" xr3:uid="{F55B175F-528A-4A5A-A3E1-305CDF4FF010}" name="OFF_RATING_RANK" dataDxfId="567"/>
    <tableColumn id="34" xr3:uid="{F960760D-D0C4-480E-A99E-1DA2BD1418DF}" name="DEF_RATING_RANK" dataDxfId="566"/>
    <tableColumn id="35" xr3:uid="{D69E3247-5824-4885-840D-5EEE5960ACE6}" name="NET_RATING_RANK" dataDxfId="565"/>
    <tableColumn id="36" xr3:uid="{B442B410-8CE2-47D2-BFA7-4F36F7DEC9EC}" name="AST_PCT_RANK" dataDxfId="564"/>
    <tableColumn id="37" xr3:uid="{1DEA360F-0D36-4E12-B335-8749F78E505F}" name="AST_TO_RANK" dataDxfId="563"/>
    <tableColumn id="38" xr3:uid="{1C30D341-81C8-4F75-9BA3-3DD55F6E3711}" name="AST_RATIO_RANK" dataDxfId="562"/>
    <tableColumn id="39" xr3:uid="{83AD446A-F926-4940-9F6B-C1DE46D89268}" name="OREB_PCT_RANK" dataDxfId="561"/>
    <tableColumn id="40" xr3:uid="{F6782EC4-CC02-409A-ABD0-9F7303BB1017}" name="DREB_PCT_RANK" dataDxfId="560"/>
    <tableColumn id="41" xr3:uid="{4EF25DFF-BF12-4C5A-AC1E-2C95AE95732F}" name="REB_PCT_RANK" dataDxfId="559"/>
    <tableColumn id="42" xr3:uid="{9CD418EC-1E70-4E21-8B5F-EFF7C62D60B7}" name="TM_TOV_PCT_RANK" dataDxfId="558"/>
    <tableColumn id="43" xr3:uid="{4BA6CAED-4202-4114-AB17-54A25AC1DA73}" name="EFG_PCT_RANK" dataDxfId="557"/>
    <tableColumn id="44" xr3:uid="{042FBC70-795E-4AB0-B8B8-EBBB952F6937}" name="TS_PCT_RANK" dataDxfId="556"/>
    <tableColumn id="45" xr3:uid="{2FF9E0EA-1D21-4A3F-9C49-8366BB731BB6}" name="PACE_RANK" dataDxfId="555"/>
    <tableColumn id="46" xr3:uid="{DE6B41FC-E867-4E18-B5DD-3EABC08C2EC8}" name="PIE_RANK" dataDxfId="554"/>
    <tableColumn id="47" xr3:uid="{044B7696-1BA4-4534-A216-2D9B779CA5ED}" name="CFID" dataDxfId="553"/>
    <tableColumn id="48" xr3:uid="{59D29756-8E5B-454D-82FE-8861ADB5934B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F1F140C-9EFD-41DA-AE39-96352E633F6B}" name="TableMiscN" displayName="TableMiscN" ref="A1:AD31" totalsRowShown="0" headerRowDxfId="471">
  <autoFilter ref="A1:AD31" xr:uid="{6AC35C66-61D9-44D7-B8CD-DB26E40071C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4BE34BD4-C921-4A69-9216-21323C83D0A4}" name="TEAM_ID" dataDxfId="501"/>
    <tableColumn id="2" xr3:uid="{8F75219E-7D03-462C-999C-6E90383F3C6F}" name="TEAM_NAME" dataDxfId="500"/>
    <tableColumn id="3" xr3:uid="{BF73BEB6-C8FC-4ACE-917E-907383A0C45F}" name="GP" dataDxfId="499"/>
    <tableColumn id="4" xr3:uid="{7AF51221-722D-4822-9F58-5FC7B7713661}" name="W" dataDxfId="498"/>
    <tableColumn id="5" xr3:uid="{2224ABBD-4145-4992-BD5E-9CA0A08D091C}" name="L" dataDxfId="497"/>
    <tableColumn id="6" xr3:uid="{775B56A9-A230-433E-BDBC-9ABA0839B9DE}" name="W_PCT" dataDxfId="496"/>
    <tableColumn id="7" xr3:uid="{02E8B333-B46C-42A1-B1A7-B9B7C5DCA3BA}" name="MIN" dataDxfId="495"/>
    <tableColumn id="8" xr3:uid="{E162A896-F9AE-4440-84A5-409E73EA4504}" name="PTS_OFF_TOV" dataDxfId="494"/>
    <tableColumn id="9" xr3:uid="{6C6B6300-1549-4943-A8AC-76AFF185774D}" name="PTS_2ND_CHANCE" dataDxfId="493"/>
    <tableColumn id="10" xr3:uid="{EC09005E-6CD1-4E30-A9C8-76E5D01804F4}" name="PTS_FB" dataDxfId="492"/>
    <tableColumn id="11" xr3:uid="{2A70BDA1-1B2A-4417-BF7C-F208D31EF7AE}" name="PTS_PAINT" dataDxfId="491"/>
    <tableColumn id="12" xr3:uid="{ECB3DCE7-4F72-4FE8-89EF-F7E71208C4B5}" name="OPP_PTS_OFF_TOV" dataDxfId="490"/>
    <tableColumn id="13" xr3:uid="{42E7A59B-052D-44B7-9479-7CDF8148577B}" name="OPP_PTS_2ND_CHANCE" dataDxfId="489"/>
    <tableColumn id="14" xr3:uid="{D57107B5-1A7E-454E-936E-3ABA10835635}" name="OPP_PTS_FB" dataDxfId="488"/>
    <tableColumn id="15" xr3:uid="{21087E89-2F13-418C-808A-B5958B15B2F9}" name="OPP_PTS_PAINT" dataDxfId="487"/>
    <tableColumn id="16" xr3:uid="{03BF84E1-C680-4B07-B0F9-E7B194588DAB}" name="GP_RANK" dataDxfId="486"/>
    <tableColumn id="17" xr3:uid="{C2BF5DA7-E988-49CA-B48C-62E1DE3E3C45}" name="W_RANK" dataDxfId="485"/>
    <tableColumn id="18" xr3:uid="{A0FDF933-5572-4678-8520-11BDA4CF6B8C}" name="L_RANK" dataDxfId="484"/>
    <tableColumn id="19" xr3:uid="{033C5922-4B6B-4DAD-BF13-AF25135B80B9}" name="W_PCT_RANK" dataDxfId="483"/>
    <tableColumn id="20" xr3:uid="{39675549-FFD5-4315-B4F8-08355AB973FB}" name="MIN_RANK" dataDxfId="482"/>
    <tableColumn id="21" xr3:uid="{947A2FBE-6E29-46E1-9B21-106A6D0D73C9}" name="PTS_OFF_TOV_RANK" dataDxfId="481"/>
    <tableColumn id="22" xr3:uid="{5232CDE7-3FAA-4162-88B0-3EC3DCF41AF6}" name="PTS_2ND_CHANCE_RANK" dataDxfId="480"/>
    <tableColumn id="23" xr3:uid="{F51A35AA-CEC4-4F22-ADFA-E2C79709D733}" name="PTS_FB_RANK" dataDxfId="479"/>
    <tableColumn id="24" xr3:uid="{82C02D38-AAD0-4E1E-8694-74C1B97B1A0C}" name="PTS_PAINT_RANK" dataDxfId="478"/>
    <tableColumn id="25" xr3:uid="{9AE24262-9919-49C6-A0A6-D3FFF5265FCC}" name="OPP_PTS_OFF_TOV_RANK" dataDxfId="477"/>
    <tableColumn id="26" xr3:uid="{0915089D-F864-41B3-8D42-147E3846BFD0}" name="OPP_PTS_2ND_CHANCE_RANK" dataDxfId="476"/>
    <tableColumn id="27" xr3:uid="{A2713F23-8D1F-409F-A5EB-394A930A24C5}" name="OPP_PTS_FB_RANK" dataDxfId="475"/>
    <tableColumn id="28" xr3:uid="{27D1FDD4-C83B-4B10-9F32-85906F0376BE}" name="OPP_PTS_PAINT_RANK" dataDxfId="474"/>
    <tableColumn id="29" xr3:uid="{297B6936-337D-4042-9D93-8024F408EBCC}" name="CFID" dataDxfId="473"/>
    <tableColumn id="30" xr3:uid="{7E8B5F90-DCEE-4A0B-9A61-866226F60224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14B6975-0850-4FEB-B938-308B7CBD3527}" name="TableOppBaseN" displayName="TableOppBaseN" ref="A1:BD31" totalsRowShown="0" headerRowDxfId="383">
  <autoFilter ref="A1:BD31" xr:uid="{252AEFBD-059D-4A1E-9FB4-15E9BB7DA0E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500049BF-6013-4EDC-87B1-39AD3B626305}" name="TEAM_ID" dataDxfId="439"/>
    <tableColumn id="2" xr3:uid="{F7AC238E-B1C0-4601-882E-E72ADA659517}" name="TEAM_NAME" dataDxfId="438"/>
    <tableColumn id="3" xr3:uid="{959783BE-62B1-4F3B-85E4-9C1A0998AE5B}" name="GP" dataDxfId="437"/>
    <tableColumn id="4" xr3:uid="{B46B0268-3471-482D-B36C-33A61B603165}" name="W" dataDxfId="436"/>
    <tableColumn id="5" xr3:uid="{2BF1CEC3-C070-44C7-BF64-BD6E7B906555}" name="L" dataDxfId="435"/>
    <tableColumn id="6" xr3:uid="{4F7D5A49-52FF-4CF6-B1F6-3BA147538C73}" name="W_PCT" dataDxfId="434"/>
    <tableColumn id="7" xr3:uid="{36BE690A-8EEB-4A3F-A90A-DEC8F6F6CA69}" name="MIN" dataDxfId="433"/>
    <tableColumn id="8" xr3:uid="{32E649B1-5034-4BD9-A212-6B7DF8A4C7D3}" name="OPP_FGM" dataDxfId="432"/>
    <tableColumn id="9" xr3:uid="{E856EE3B-8658-4260-9924-E4F3676C477B}" name="OPP_FGA" dataDxfId="431"/>
    <tableColumn id="10" xr3:uid="{6AFD938F-D335-4044-B8FE-38672C102E3B}" name="OPP_FG_PCT" dataDxfId="430"/>
    <tableColumn id="11" xr3:uid="{99FAB367-1F3C-4FF2-8B90-A71395347F92}" name="OPP_FG3M" dataDxfId="429"/>
    <tableColumn id="12" xr3:uid="{D7B6EE49-BA41-472F-9F88-7E1EECD073F7}" name="OPP_FG3A" dataDxfId="428"/>
    <tableColumn id="13" xr3:uid="{D0DC23FC-13E3-4DF9-8703-B786DBE0C272}" name="OPP_FG3_PCT" dataDxfId="427"/>
    <tableColumn id="14" xr3:uid="{CCEE6AA4-DBE9-4F8C-B096-9C8FCFA1CFA5}" name="OPP_FTM" dataDxfId="426"/>
    <tableColumn id="15" xr3:uid="{9CFE8789-733C-488C-A10F-551B67D1F1D5}" name="OPP_FTA" dataDxfId="425"/>
    <tableColumn id="16" xr3:uid="{6F11E455-48FA-4328-BD72-08EAD50A36CD}" name="OPP_FT_PCT" dataDxfId="424"/>
    <tableColumn id="17" xr3:uid="{4BB3D3D6-F262-4395-9927-7D6C0507CC03}" name="OPP_OREB" dataDxfId="423"/>
    <tableColumn id="18" xr3:uid="{435FC3A1-A0A7-4C4D-B8B9-D21F5D23E6C5}" name="OPP_DREB" dataDxfId="422"/>
    <tableColumn id="19" xr3:uid="{500C9EB5-C61B-4EAD-A788-76D0EECFE448}" name="OPP_REB" dataDxfId="421"/>
    <tableColumn id="20" xr3:uid="{2DDA2FE1-9E91-494B-9B8F-39AECCD00012}" name="OPP_AST" dataDxfId="420"/>
    <tableColumn id="21" xr3:uid="{BA57AE0A-345F-47F5-AB35-2A7FE7AF64F5}" name="OPP_TOV" dataDxfId="419"/>
    <tableColumn id="22" xr3:uid="{DA3F61CD-926C-4DF0-B3F6-7C1A846C3C27}" name="OPP_STL" dataDxfId="418"/>
    <tableColumn id="23" xr3:uid="{DF4F01CD-1795-4416-946C-99AAE636921B}" name="OPP_BLK" dataDxfId="417"/>
    <tableColumn id="24" xr3:uid="{E41C5723-E7EB-40BF-9AD2-71941AF3509C}" name="OPP_BLKA" dataDxfId="416"/>
    <tableColumn id="25" xr3:uid="{BDD74305-37F1-439C-9496-33B0D78BC792}" name="OPP_PF" dataDxfId="415"/>
    <tableColumn id="26" xr3:uid="{7562030F-74D2-4AE4-80F0-565D7E41FBB7}" name="OPP_PFD" dataDxfId="414"/>
    <tableColumn id="27" xr3:uid="{35DB921F-300F-466C-B08E-259B0D89DDB7}" name="OPP_PTS" dataDxfId="413"/>
    <tableColumn id="28" xr3:uid="{374A2725-E54D-4A18-9ABB-9F5EBA0F79BC}" name="PLUS_MINUS" dataDxfId="412"/>
    <tableColumn id="29" xr3:uid="{4764CE17-E2D6-4FCF-BFCB-751CF525F48F}" name="GP_RANK" dataDxfId="411"/>
    <tableColumn id="30" xr3:uid="{866D6582-312C-448D-9358-21E36AD45534}" name="W_RANK" dataDxfId="410"/>
    <tableColumn id="31" xr3:uid="{EE6F2376-A211-473E-AD90-CB78A39ECBC7}" name="L_RANK" dataDxfId="409"/>
    <tableColumn id="32" xr3:uid="{8DAA3458-0DC2-4EA2-93DA-E244E667FFC0}" name="W_PCT_RANK" dataDxfId="408"/>
    <tableColumn id="33" xr3:uid="{69D85981-C3F0-4E65-AC3F-E646774A9568}" name="MIN_RANK" dataDxfId="407"/>
    <tableColumn id="34" xr3:uid="{4B4A4883-354E-4E53-9FE7-1A3C88F1C704}" name="OPP_FGM_RANK" dataDxfId="406"/>
    <tableColumn id="35" xr3:uid="{A894F160-BB59-4C97-87B5-6C6C79CD6733}" name="OPP_FGA_RANK" dataDxfId="405"/>
    <tableColumn id="36" xr3:uid="{7091491C-7DFB-4F65-B643-2E512712390A}" name="OPP_FG_PCT_RANK" dataDxfId="404"/>
    <tableColumn id="37" xr3:uid="{CE2DB09F-84E3-48C0-92CC-A1BBD0E84285}" name="OPP_FG3M_RANK" dataDxfId="403"/>
    <tableColumn id="38" xr3:uid="{A04746CB-C78B-4245-B092-2A026DD55C89}" name="OPP_FG3A_RANK" dataDxfId="402"/>
    <tableColumn id="39" xr3:uid="{876E1161-8CB7-495C-9E1D-4171AB05CA5C}" name="OPP_FG3_PCT_RANK" dataDxfId="401"/>
    <tableColumn id="40" xr3:uid="{A05CA84A-9B24-466A-A9A2-AA4E6F37822C}" name="OPP_FTM_RANK" dataDxfId="400"/>
    <tableColumn id="41" xr3:uid="{0A25C5C3-D551-46BF-B34E-ED599E9A3067}" name="OPP_FTA_RANK" dataDxfId="399"/>
    <tableColumn id="42" xr3:uid="{3A1FF013-1DF6-4593-A176-DDC751901E1B}" name="OPP_FT_PCT_RANK" dataDxfId="398"/>
    <tableColumn id="43" xr3:uid="{F2998E4E-0C90-4263-AB84-182ECBEEEC7E}" name="OPP_OREB_RANK" dataDxfId="397"/>
    <tableColumn id="44" xr3:uid="{F0A68E99-947B-4B49-94E3-EE402B9D4D5B}" name="OPP_DREB_RANK" dataDxfId="396"/>
    <tableColumn id="45" xr3:uid="{E123BCD5-E771-49F5-B165-0DCF4D1CD77E}" name="OPP_REB_RANK" dataDxfId="395"/>
    <tableColumn id="46" xr3:uid="{B6209515-6DBC-400D-B2BE-5E715A68FC81}" name="OPP_AST_RANK" dataDxfId="394"/>
    <tableColumn id="47" xr3:uid="{E1CF8F06-8BB0-47D6-B092-9DB99C56369D}" name="OPP_TOV_RANK" dataDxfId="393"/>
    <tableColumn id="48" xr3:uid="{17580451-FED0-4702-A3CC-8C286131269B}" name="OPP_STL_RANK" dataDxfId="392"/>
    <tableColumn id="49" xr3:uid="{CE49BA33-82A8-459C-99FF-07B21B31942C}" name="OPP_BLK_RANK" dataDxfId="391"/>
    <tableColumn id="50" xr3:uid="{E4DF377A-05AD-49E6-8FE3-3FDC7B043324}" name="OPP_BLKA_RANK" dataDxfId="390"/>
    <tableColumn id="51" xr3:uid="{49118669-DCBA-46A3-987B-E7692573C833}" name="OPP_PF_RANK" dataDxfId="389"/>
    <tableColumn id="52" xr3:uid="{BC9A0032-94C7-439A-9291-D191DC427A75}" name="OPP_PFD_RANK" dataDxfId="388"/>
    <tableColumn id="53" xr3:uid="{CF7858B5-14BB-4213-A1A1-EB191B60E988}" name="OPP_PTS_RANK" dataDxfId="387"/>
    <tableColumn id="54" xr3:uid="{BF62A4EC-59F9-41C4-8F72-6AC274486837}" name="PLUS_MINUS_RANK" dataDxfId="386"/>
    <tableColumn id="55" xr3:uid="{6E70F920-4850-4606-9FFC-5594D38463DA}" name="CFID" dataDxfId="385"/>
    <tableColumn id="56" xr3:uid="{D6EEF8AA-24A4-4CA6-BBCC-FFC8DEAA6B8B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883D3C6-56C6-4B15-A894-AE1C69526122}" name="TableClutchBaseN" displayName="TableClutchBaseN" ref="A1:BD31" totalsRowShown="0" headerRowDxfId="269">
  <autoFilter ref="A1:BD31" xr:uid="{F95FC7BD-638C-46AF-8F3F-EE20E6CD39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CCDC74F1-FFCE-4C46-BC05-C7EB0505742E}" name="TEAM_ID" dataDxfId="325"/>
    <tableColumn id="2" xr3:uid="{6B46323B-C5F3-4ED5-8A6F-B409219479E5}" name="TEAM_NAME" dataDxfId="324"/>
    <tableColumn id="3" xr3:uid="{F8B52B53-CD6E-423E-BA16-AC6CCC0EB9E1}" name="GP" dataDxfId="323"/>
    <tableColumn id="4" xr3:uid="{820FD723-66C9-4B75-A30A-213EA3CE6E1C}" name="W" dataDxfId="322"/>
    <tableColumn id="5" xr3:uid="{BAD7526D-3A5D-446D-ABCD-FF3040CE3824}" name="L" dataDxfId="321"/>
    <tableColumn id="6" xr3:uid="{3614DF9C-07DB-4EF9-ACBD-3C4B83CA84E7}" name="W_PCT" dataDxfId="320"/>
    <tableColumn id="7" xr3:uid="{E684091C-EA2C-41B6-AC29-922A1498F1FA}" name="MIN" dataDxfId="319"/>
    <tableColumn id="8" xr3:uid="{34F13E08-43E1-4BC6-B828-EC97671D15C7}" name="FGM" dataDxfId="318"/>
    <tableColumn id="9" xr3:uid="{55FF6225-1AEC-42C1-8DCC-754C554DB19C}" name="FGA" dataDxfId="317"/>
    <tableColumn id="10" xr3:uid="{64CCB006-6A28-4D30-99EF-CA5554C5E5D9}" name="FG_PCT" dataDxfId="316"/>
    <tableColumn id="11" xr3:uid="{000A5C87-4E9D-4CBF-AE05-6C15C0FC066D}" name="FG3M" dataDxfId="315"/>
    <tableColumn id="12" xr3:uid="{58FC54E0-9790-403D-A0AA-AD1E462E2F43}" name="FG3A" dataDxfId="314"/>
    <tableColumn id="13" xr3:uid="{279CB70F-6BBC-4180-9D35-A062B3B08335}" name="FG3_PCT" dataDxfId="313"/>
    <tableColumn id="14" xr3:uid="{E069B2F7-E7BD-451F-BF1C-511DDAC5112A}" name="FTM" dataDxfId="312"/>
    <tableColumn id="15" xr3:uid="{258D6C81-97DF-4A3F-B82B-A6D2C0E12C90}" name="FTA" dataDxfId="311"/>
    <tableColumn id="16" xr3:uid="{1922D388-95D9-442B-B964-3E84D48C1AD7}" name="FT_PCT" dataDxfId="310"/>
    <tableColumn id="17" xr3:uid="{71DF7EF3-3DF6-4DD7-B24E-1AE71EF19069}" name="OREB" dataDxfId="309"/>
    <tableColumn id="18" xr3:uid="{5925DAE8-AE8C-46F0-9C1A-60C48BD25A09}" name="DREB" dataDxfId="308"/>
    <tableColumn id="19" xr3:uid="{58DE6CD3-36E0-4437-986B-0634761A87FD}" name="REB" dataDxfId="307"/>
    <tableColumn id="20" xr3:uid="{A7B4F691-95F1-48DD-A826-523622E9E078}" name="AST" dataDxfId="306"/>
    <tableColumn id="21" xr3:uid="{197D16D0-90DA-4860-8484-DEBCE8F04FD1}" name="TOV" dataDxfId="305"/>
    <tableColumn id="22" xr3:uid="{CAF7D742-3133-4E44-A6F1-7DB8A43055D1}" name="STL" dataDxfId="304"/>
    <tableColumn id="23" xr3:uid="{FD10BECD-F221-40E0-A67D-DAD1C4709746}" name="BLK" dataDxfId="303"/>
    <tableColumn id="24" xr3:uid="{1880AEE6-B804-465E-AAF8-CE5CF3035306}" name="BLKA" dataDxfId="302"/>
    <tableColumn id="25" xr3:uid="{5E4D7F77-0FDC-4269-8A5B-CF6239CAF1A7}" name="PF" dataDxfId="301"/>
    <tableColumn id="26" xr3:uid="{F1BF407B-9BBE-4505-A917-C913D1B21854}" name="PFD" dataDxfId="300"/>
    <tableColumn id="27" xr3:uid="{D532C0B2-A51C-4530-B98F-57EA4893D86B}" name="PTS" dataDxfId="299"/>
    <tableColumn id="28" xr3:uid="{20A77AF5-7C22-4789-92AD-36AD5EB33430}" name="PLUS_MINUS" dataDxfId="298"/>
    <tableColumn id="29" xr3:uid="{4CB234FE-B766-41D7-8231-E967CDDB0479}" name="GP_RANK" dataDxfId="297"/>
    <tableColumn id="30" xr3:uid="{9DB0809E-23C9-405F-B319-4EE45F33C89B}" name="W_RANK" dataDxfId="296"/>
    <tableColumn id="31" xr3:uid="{E40B56A6-6E45-4188-92AA-DB10DB781DD4}" name="L_RANK" dataDxfId="295"/>
    <tableColumn id="32" xr3:uid="{68569AA6-AB99-4DDE-9285-91E6B4A2A581}" name="W_PCT_RANK" dataDxfId="294"/>
    <tableColumn id="33" xr3:uid="{F6144ED4-61A0-4532-9D06-FE260E20A7CE}" name="MIN_RANK" dataDxfId="293"/>
    <tableColumn id="34" xr3:uid="{96B901F4-548A-4425-A0DB-0C099BF14039}" name="FGM_RANK" dataDxfId="292"/>
    <tableColumn id="35" xr3:uid="{1DB50480-0993-49D2-96DF-2E4D91DFB2A2}" name="FGA_RANK" dataDxfId="291"/>
    <tableColumn id="36" xr3:uid="{D01D97FC-F8CB-4759-B415-9C6EB4C867CD}" name="FG_PCT_RANK" dataDxfId="290"/>
    <tableColumn id="37" xr3:uid="{4BB263FF-008E-4041-9D5D-52199904DC5C}" name="FG3M_RANK" dataDxfId="289"/>
    <tableColumn id="38" xr3:uid="{F98704D7-FBC2-464C-8020-35CFED00CE00}" name="FG3A_RANK" dataDxfId="288"/>
    <tableColumn id="39" xr3:uid="{54BAB4C5-00DA-489C-9EB0-F84AA6243DB9}" name="FG3_PCT_RANK" dataDxfId="287"/>
    <tableColumn id="40" xr3:uid="{FF61872F-6D39-420E-890F-8E53B232FD1C}" name="FTM_RANK" dataDxfId="286"/>
    <tableColumn id="41" xr3:uid="{63FB1D85-D8FD-4F12-B3BB-A426FE4061FD}" name="FTA_RANK" dataDxfId="285"/>
    <tableColumn id="42" xr3:uid="{6B0BF1CE-5A1A-4C66-9DCB-839F1C3335ED}" name="FT_PCT_RANK" dataDxfId="284"/>
    <tableColumn id="43" xr3:uid="{972C65AC-19C8-486C-8C77-8641559EEDA1}" name="OREB_RANK" dataDxfId="283"/>
    <tableColumn id="44" xr3:uid="{92AF2D4A-C8A6-48B9-9532-7518516327AC}" name="DREB_RANK" dataDxfId="282"/>
    <tableColumn id="45" xr3:uid="{7BB97287-C935-4F24-A91F-BCBB7B043680}" name="REB_RANK" dataDxfId="281"/>
    <tableColumn id="46" xr3:uid="{D87C5651-405B-44CD-A997-81CB26E3C10A}" name="AST_RANK" dataDxfId="280"/>
    <tableColumn id="47" xr3:uid="{179E78DD-DFAB-4690-A982-E1AA7A01D6C6}" name="TOV_RANK" dataDxfId="279"/>
    <tableColumn id="48" xr3:uid="{8941B0B6-EA0C-4EFD-918F-E3E3DC1EF8DD}" name="STL_RANK" dataDxfId="278"/>
    <tableColumn id="49" xr3:uid="{FA3E1FBF-1E1F-413F-8176-8EFE6CF99390}" name="BLK_RANK" dataDxfId="277"/>
    <tableColumn id="50" xr3:uid="{26819793-E7EB-44A4-ABE1-873CCBEF4BEC}" name="BLKA_RANK" dataDxfId="276"/>
    <tableColumn id="51" xr3:uid="{9ACADA69-F91B-4DF6-ADF5-EF495435E984}" name="PF_RANK" dataDxfId="275"/>
    <tableColumn id="52" xr3:uid="{0E2DE0E4-866B-4A23-9513-1BF1FE5A66E5}" name="PFD_RANK" dataDxfId="274"/>
    <tableColumn id="53" xr3:uid="{0DBAB180-C2E4-4155-8F10-BDEE2383E7F1}" name="PTS_RANK" dataDxfId="273"/>
    <tableColumn id="54" xr3:uid="{54056A6C-23EF-45C1-9572-86D43581D5AD}" name="PLUS_MINUS_RANK" dataDxfId="272"/>
    <tableColumn id="55" xr3:uid="{57248356-04A4-4E63-89BC-8A77688FC61E}" name="CFID" dataDxfId="271"/>
    <tableColumn id="56" xr3:uid="{5051D3D3-71F6-4E56-9C17-82756FF15F15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7511591-1437-4E7E-99D8-F271F08221DD}" name="TableClutchOpponentN" displayName="TableClutchOpponentN" ref="A1:BD31" totalsRowShown="0" headerRowDxfId="155">
  <autoFilter ref="A1:BD31" xr:uid="{D61B470F-9D8E-4F15-9259-75E049944D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58E0F84-1D28-4A3B-9DD2-8EB11CCAE1B0}" name="TEAM_ID" dataDxfId="211"/>
    <tableColumn id="2" xr3:uid="{DC4AF271-5CB2-4AAE-BEE1-2EDFA45EFF3F}" name="TEAM_NAME" dataDxfId="210"/>
    <tableColumn id="3" xr3:uid="{189989B5-07E6-4F54-9262-D94AEB3ABD44}" name="GP" dataDxfId="209"/>
    <tableColumn id="4" xr3:uid="{4DCBC0F9-1331-416E-9E6D-3296135F5B09}" name="W" dataDxfId="208"/>
    <tableColumn id="5" xr3:uid="{B971CA27-77AA-4707-B5E2-A9CC6182492A}" name="L" dataDxfId="207"/>
    <tableColumn id="6" xr3:uid="{6953BE60-17B7-4533-990C-2D59255EFAD5}" name="W_PCT" dataDxfId="206"/>
    <tableColumn id="7" xr3:uid="{BDDEAF10-4BDD-4FD6-A3E6-1BF7296B31F4}" name="MIN" dataDxfId="205"/>
    <tableColumn id="8" xr3:uid="{C999E5F9-313E-4395-8AEC-B980970E9CDB}" name="OPP_FGM" dataDxfId="204"/>
    <tableColumn id="9" xr3:uid="{2D2A314C-8DDA-4800-9A47-1F1A81BE27BD}" name="OPP_FGA" dataDxfId="203"/>
    <tableColumn id="10" xr3:uid="{93B8FF8B-9445-4270-BC2F-12777A22C5E6}" name="OPP_FG_PCT" dataDxfId="202"/>
    <tableColumn id="11" xr3:uid="{9BAF6AE8-B9EA-4C90-BCCF-C12F7DFCB1CD}" name="OPP_FG3M" dataDxfId="201"/>
    <tableColumn id="12" xr3:uid="{25CE30F3-F529-40A8-982D-39F736B14032}" name="OPP_FG3A" dataDxfId="200"/>
    <tableColumn id="13" xr3:uid="{7CC1E79B-951C-4751-9610-7404E422CF35}" name="OPP_FG3_PCT" dataDxfId="199"/>
    <tableColumn id="14" xr3:uid="{C29508BB-1E0C-406A-BACA-7A4C2CA6F43B}" name="OPP_FTM" dataDxfId="198"/>
    <tableColumn id="15" xr3:uid="{3C4674E6-F43F-4DFC-962F-061AAC2283FA}" name="OPP_FTA" dataDxfId="197"/>
    <tableColumn id="16" xr3:uid="{B51AC79E-3105-4C6B-8247-DBED5491FD90}" name="OPP_FT_PCT" dataDxfId="196"/>
    <tableColumn id="17" xr3:uid="{D114A661-BDA7-4EBF-B80F-326320BE4FE2}" name="OPP_OREB" dataDxfId="195"/>
    <tableColumn id="18" xr3:uid="{DB8A9F43-9CFF-4FE4-A793-800712502DF6}" name="OPP_DREB" dataDxfId="194"/>
    <tableColumn id="19" xr3:uid="{92CE9DB5-53EC-49E6-B686-2BA90961E660}" name="OPP_REB" dataDxfId="193"/>
    <tableColumn id="20" xr3:uid="{041776E5-5B38-4314-8913-9001B69EB8D2}" name="OPP_AST" dataDxfId="192"/>
    <tableColumn id="21" xr3:uid="{E8154F19-636C-49A4-B4D5-99BABDCAD2BE}" name="OPP_TOV" dataDxfId="191"/>
    <tableColumn id="22" xr3:uid="{94211F81-7A45-41C8-A715-9222C01B8FD8}" name="OPP_STL" dataDxfId="190"/>
    <tableColumn id="23" xr3:uid="{CF3C5F60-0F3E-4583-BC93-5D226517405D}" name="OPP_BLK" dataDxfId="189"/>
    <tableColumn id="24" xr3:uid="{AB15421A-3EBB-4C37-8CDF-4FB56BA3AA63}" name="OPP_BLKA" dataDxfId="188"/>
    <tableColumn id="25" xr3:uid="{321DAC55-4291-4128-ABA2-5F0A613D9E6D}" name="OPP_PF" dataDxfId="187"/>
    <tableColumn id="26" xr3:uid="{DB8A8D86-D07C-4463-B157-EC898F0A3705}" name="OPP_PFD" dataDxfId="186"/>
    <tableColumn id="27" xr3:uid="{8DFDA986-5DC5-4429-8668-193C386E8549}" name="OPP_PTS" dataDxfId="185"/>
    <tableColumn id="28" xr3:uid="{62DBDA02-7548-4D08-9DBD-3EC75BFB274C}" name="PLUS_MINUS" dataDxfId="184"/>
    <tableColumn id="29" xr3:uid="{F73C9C1C-F9FF-41D3-8F9B-9697C94BC45A}" name="GP_RANK" dataDxfId="183"/>
    <tableColumn id="30" xr3:uid="{9D31BE0F-C7CD-4063-AFD9-710B1B7D19EE}" name="W_RANK" dataDxfId="182"/>
    <tableColumn id="31" xr3:uid="{1850F2E2-8C09-471E-821F-1D2A3F1623BA}" name="L_RANK" dataDxfId="181"/>
    <tableColumn id="32" xr3:uid="{D00ECC88-589D-4365-8F3E-80F57A88B80C}" name="W_PCT_RANK" dataDxfId="180"/>
    <tableColumn id="33" xr3:uid="{8AC043B5-EC9B-4039-B88F-A097D922321E}" name="MIN_RANK" dataDxfId="179"/>
    <tableColumn id="34" xr3:uid="{3948CE93-AC8D-4E7C-A9A9-A70307127299}" name="OPP_FGM_RANK" dataDxfId="178"/>
    <tableColumn id="35" xr3:uid="{5C492BEF-16E9-4E68-808A-1F5800A5EA32}" name="OPP_FGA_RANK" dataDxfId="177"/>
    <tableColumn id="36" xr3:uid="{2A10E67F-3D7C-4537-9EA0-00D4721546DE}" name="OPP_FG_PCT_RANK" dataDxfId="176"/>
    <tableColumn id="37" xr3:uid="{C3E3D58C-605F-43B3-8BE6-1F52CCE04406}" name="OPP_FG3M_RANK" dataDxfId="175"/>
    <tableColumn id="38" xr3:uid="{E57E8E37-C67F-4387-963B-92D9AA093111}" name="OPP_FG3A_RANK" dataDxfId="174"/>
    <tableColumn id="39" xr3:uid="{834DDFB8-99AA-48E3-A9A8-ED4BFA1E2BDF}" name="OPP_FG3_PCT_RANK" dataDxfId="173"/>
    <tableColumn id="40" xr3:uid="{3E0095AC-C91F-42A1-B0BF-33F4A05D96F6}" name="OPP_FTM_RANK" dataDxfId="172"/>
    <tableColumn id="41" xr3:uid="{71001BFF-04A9-4CD1-A7A8-DD961ACFE253}" name="OPP_FTA_RANK" dataDxfId="171"/>
    <tableColumn id="42" xr3:uid="{D5CF0A72-61B5-470D-BB50-A97B4146BCD9}" name="OPP_FT_PCT_RANK" dataDxfId="170"/>
    <tableColumn id="43" xr3:uid="{78851C74-987F-4585-A314-5C21C3F0D9AD}" name="OPP_OREB_RANK" dataDxfId="169"/>
    <tableColumn id="44" xr3:uid="{A3284B79-DDF9-4043-B016-4AD307FFCD5A}" name="OPP_DREB_RANK" dataDxfId="168"/>
    <tableColumn id="45" xr3:uid="{1779423A-7F5E-44F1-8EB1-01D5D08C6EFC}" name="OPP_REB_RANK" dataDxfId="167"/>
    <tableColumn id="46" xr3:uid="{1880EC46-5088-4ACD-9C15-5F8924820521}" name="OPP_AST_RANK" dataDxfId="166"/>
    <tableColumn id="47" xr3:uid="{C0DE0F83-0244-4FFC-8DFD-975F1F9C20A5}" name="OPP_TOV_RANK" dataDxfId="165"/>
    <tableColumn id="48" xr3:uid="{9C8D1E13-E3AD-4175-A7B1-6AB5F57FD7DC}" name="OPP_STL_RANK" dataDxfId="164"/>
    <tableColumn id="49" xr3:uid="{D80312E0-24BA-49CA-B062-461D5C608F35}" name="OPP_BLK_RANK" dataDxfId="163"/>
    <tableColumn id="50" xr3:uid="{C3ABFB3D-0574-4186-8175-28775EA6FDA9}" name="OPP_BLKA_RANK" dataDxfId="162"/>
    <tableColumn id="51" xr3:uid="{1BF591C9-B583-434E-8843-2EF8F2E80644}" name="OPP_PF_RANK" dataDxfId="161"/>
    <tableColumn id="52" xr3:uid="{8577B55D-F4BD-4412-B7E2-C3C5CD191DD6}" name="OPP_PFD_RANK" dataDxfId="160"/>
    <tableColumn id="53" xr3:uid="{350D8EE6-9FD4-4160-951F-F015EAE5D99C}" name="OPP_PTS_RANK" dataDxfId="159"/>
    <tableColumn id="54" xr3:uid="{C8E7B1D4-1C7C-4631-8922-F8B57C5DC723}" name="PLUS_MINUS_RANK" dataDxfId="158"/>
    <tableColumn id="55" xr3:uid="{53740FD0-7957-406A-B64B-BCD355DF47F9}" name="CFID" dataDxfId="157"/>
    <tableColumn id="56" xr3:uid="{D31BF76C-3E58-4437-82DF-79E03CE66965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1C9211E-C81A-4A3C-8C90-68DAA988C37B}" name="TableClutchAdvancedN" displayName="TableClutchAdvancedN" ref="A1:AV31" totalsRowShown="0" headerRowDxfId="49">
  <autoFilter ref="A1:AV31" xr:uid="{310BE442-1D95-4460-9C44-A8DF5A2DFB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43B86DB6-5C8F-4248-8114-282039E448F2}" name="TEAM_ID" dataDxfId="97"/>
    <tableColumn id="2" xr3:uid="{3997C0CE-C1EE-42AE-A04B-7899CD6D308F}" name="TEAM_NAME" dataDxfId="96"/>
    <tableColumn id="3" xr3:uid="{0B302B82-5053-4B7C-B32B-23D308A5751E}" name="GP" dataDxfId="95"/>
    <tableColumn id="4" xr3:uid="{E6A9FAA1-0CB2-43B1-A91B-031DFA01EE98}" name="W" dataDxfId="94"/>
    <tableColumn id="5" xr3:uid="{557C0A3D-DBC1-43D0-B17D-99B2A4469FAE}" name="L" dataDxfId="93"/>
    <tableColumn id="6" xr3:uid="{4BC3214C-4671-475B-86E9-40CBF95CFC95}" name="W_PCT" dataDxfId="92"/>
    <tableColumn id="7" xr3:uid="{6AE4396C-0435-4FCE-9F77-5A7C7E172D9C}" name="MIN" dataDxfId="91"/>
    <tableColumn id="8" xr3:uid="{F4811E2E-8FD8-4273-BB10-425CBDBB7A55}" name="E_OFF_RATING" dataDxfId="90"/>
    <tableColumn id="9" xr3:uid="{812110EC-288F-4265-BC06-8B58E80D9F0B}" name="OFF_RATING" dataDxfId="89"/>
    <tableColumn id="10" xr3:uid="{61801536-3A8B-440A-89D5-80A5EE494414}" name="E_DEF_RATING" dataDxfId="88"/>
    <tableColumn id="11" xr3:uid="{6276AFB4-7BF4-462F-A337-1AFB4BE2CFCF}" name="DEF_RATING" dataDxfId="87"/>
    <tableColumn id="12" xr3:uid="{CEC596D5-AAAB-4265-8C78-B24295EF7AF5}" name="E_NET_RATING" dataDxfId="86"/>
    <tableColumn id="13" xr3:uid="{04C63EDC-3613-44F1-A363-EAB32257C4F3}" name="NET_RATING" dataDxfId="85"/>
    <tableColumn id="14" xr3:uid="{1EC0D708-C00B-4520-912A-AFB6D5326786}" name="AST_PCT" dataDxfId="84"/>
    <tableColumn id="15" xr3:uid="{35C751A0-FAAB-4AD7-9A9E-D6133AC67832}" name="AST_TO" dataDxfId="83"/>
    <tableColumn id="16" xr3:uid="{95F2ABF0-0E4C-4C3D-8DA2-A47BAC608085}" name="AST_RATIO" dataDxfId="82"/>
    <tableColumn id="17" xr3:uid="{C8F17214-80C3-4547-8760-7462CB57B1D9}" name="OREB_PCT" dataDxfId="81"/>
    <tableColumn id="18" xr3:uid="{0232FAB1-2CE8-4F00-A1D8-E484AE81192D}" name="DREB_PCT" dataDxfId="80"/>
    <tableColumn id="19" xr3:uid="{09DD7E5A-762A-4C4A-8F7C-1239586AD55F}" name="REB_PCT" dataDxfId="79"/>
    <tableColumn id="20" xr3:uid="{6EE3C26E-9C9E-4FFB-830B-CF053EB52E66}" name="TM_TOV_PCT" dataDxfId="78"/>
    <tableColumn id="21" xr3:uid="{0E0E7131-CD3A-4AA8-8E7C-B1654F9FDF09}" name="EFG_PCT" dataDxfId="77"/>
    <tableColumn id="22" xr3:uid="{ADE916F8-4689-465D-8CED-E748B15EE616}" name="TS_PCT" dataDxfId="76"/>
    <tableColumn id="23" xr3:uid="{75B21B75-0571-42AC-AA3B-1F7612BCF7EB}" name="E_PACE" dataDxfId="75"/>
    <tableColumn id="24" xr3:uid="{5DE88FA5-F385-4A0F-80E5-53CBC6471D21}" name="PACE" dataDxfId="74"/>
    <tableColumn id="25" xr3:uid="{82432FF1-8310-483A-A111-32D8E4A3E204}" name="PACE_PER40" dataDxfId="73"/>
    <tableColumn id="26" xr3:uid="{A2377281-46FF-406E-A140-09CA85F16186}" name="POSS" dataDxfId="72"/>
    <tableColumn id="27" xr3:uid="{51BACD64-C4CC-4299-869A-B3115207388B}" name="PIE" dataDxfId="71"/>
    <tableColumn id="28" xr3:uid="{30B1AFEA-EC38-4919-9400-33A38BF722D5}" name="GP_RANK" dataDxfId="70"/>
    <tableColumn id="29" xr3:uid="{BEB22ED8-53B4-47AE-A5F3-2AAEF221D46C}" name="W_RANK" dataDxfId="69"/>
    <tableColumn id="30" xr3:uid="{CF21356D-43AA-4AB8-A335-7514D0914361}" name="L_RANK" dataDxfId="68"/>
    <tableColumn id="31" xr3:uid="{38A68221-E880-4995-A791-295EDF46DA44}" name="W_PCT_RANK" dataDxfId="67"/>
    <tableColumn id="32" xr3:uid="{07DB1C94-087D-437E-A097-AC2D890CC078}" name="MIN_RANK" dataDxfId="66"/>
    <tableColumn id="33" xr3:uid="{D9AB478A-063C-41D3-A931-C11E3034CC2B}" name="OFF_RATING_RANK" dataDxfId="65"/>
    <tableColumn id="34" xr3:uid="{EDAC113F-6B6E-4737-9213-C35DF1A4154A}" name="DEF_RATING_RANK" dataDxfId="64"/>
    <tableColumn id="35" xr3:uid="{CC4525EE-B880-4E02-B280-8A00BE7FCFA5}" name="NET_RATING_RANK" dataDxfId="63"/>
    <tableColumn id="36" xr3:uid="{7555F6D5-D53E-47E5-B811-98F93A310E1E}" name="AST_PCT_RANK" dataDxfId="62"/>
    <tableColumn id="37" xr3:uid="{5A17FF8D-6030-4D30-9C11-D1E40FEF85CE}" name="AST_TO_RANK" dataDxfId="61"/>
    <tableColumn id="38" xr3:uid="{35656AF1-FD89-4984-AB56-1C674806D64B}" name="AST_RATIO_RANK" dataDxfId="60"/>
    <tableColumn id="39" xr3:uid="{99250415-50FD-4520-9E5C-33D65E64EE2A}" name="OREB_PCT_RANK" dataDxfId="59"/>
    <tableColumn id="40" xr3:uid="{50F13FB6-AE24-4408-B9F9-2288A6876049}" name="DREB_PCT_RANK" dataDxfId="58"/>
    <tableColumn id="41" xr3:uid="{C899AAE7-00F4-4EC8-BF3F-74252813C1C6}" name="REB_PCT_RANK" dataDxfId="57"/>
    <tableColumn id="42" xr3:uid="{44C4757E-FD6E-4D36-8307-58DD85715826}" name="TM_TOV_PCT_RANK" dataDxfId="56"/>
    <tableColumn id="43" xr3:uid="{1F7274BA-E9DE-443A-8CB4-57DCFF625FBC}" name="EFG_PCT_RANK" dataDxfId="55"/>
    <tableColumn id="44" xr3:uid="{F5D17231-C3C9-49AE-8C23-E4FB627F1D27}" name="TS_PCT_RANK" dataDxfId="54"/>
    <tableColumn id="45" xr3:uid="{F26796D2-A767-435E-8874-25DEEC3D348F}" name="PACE_RANK" dataDxfId="53"/>
    <tableColumn id="46" xr3:uid="{B0FC4EC0-1C7D-44FB-BA85-21FBEFAFA1E3}" name="PIE_RANK" dataDxfId="52"/>
    <tableColumn id="47" xr3:uid="{C6602394-A493-44E8-8C88-CC1658A22D6A}" name="CFID" dataDxfId="51"/>
    <tableColumn id="48" xr3:uid="{0E6F5923-4DE1-4679-8A52-F28B25EA76A9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41DB07-2EBF-464F-AA7A-9329C232B382}" name="TableStandingsN1" displayName="TableStandingsN1" ref="A1:CC31" totalsRowShown="0" headerRowDxfId="910">
  <autoFilter ref="A1:CC31" xr:uid="{118BE3AB-2C05-45A5-8C46-9E9F6485919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F03F2C24-CEBC-4632-8AF2-9F690E413E37}" name="LeagueID" dataDxfId="991"/>
    <tableColumn id="2" xr3:uid="{50E1B6FE-A559-427F-90DF-BFCF150C7013}" name="SeasonID" dataDxfId="990"/>
    <tableColumn id="3" xr3:uid="{A2D61818-7463-4C6F-8EF5-811282F5FFA6}" name="TeamID" dataDxfId="989"/>
    <tableColumn id="4" xr3:uid="{421DD676-F26A-4C39-909B-4C9BBCE437B0}" name="TeamCity" dataDxfId="988"/>
    <tableColumn id="5" xr3:uid="{8B31A0DF-784E-443E-AAC9-9CD51284D00B}" name="TeamName" dataDxfId="987"/>
    <tableColumn id="6" xr3:uid="{89769036-85D7-4287-B822-905E7B5D1DC4}" name="Conference" dataDxfId="986"/>
    <tableColumn id="7" xr3:uid="{2FF73092-85A9-4E6F-888C-1B632A05773D}" name="ConferenceRecord" dataDxfId="985"/>
    <tableColumn id="8" xr3:uid="{885411BD-9744-4E7B-96A5-986F0F0A7EB2}" name="PlayoffRank" dataDxfId="984"/>
    <tableColumn id="9" xr3:uid="{253FEBBE-8711-47B2-8591-BE71F2215702}" name="ClinchIndicator" dataDxfId="983"/>
    <tableColumn id="10" xr3:uid="{26184E44-E9C7-42AE-86D2-9E8372BCBF53}" name="Division" dataDxfId="982"/>
    <tableColumn id="11" xr3:uid="{3044334C-0F45-4D57-B29F-482A6FC07851}" name="DivisionRecord" dataDxfId="981"/>
    <tableColumn id="12" xr3:uid="{AE3E028F-A10E-4950-8D16-0EF9ECA6BDAD}" name="DivisionRank" dataDxfId="980"/>
    <tableColumn id="13" xr3:uid="{4A1BC0BA-900E-4701-A4B9-6227B0621E0D}" name="WINS" dataDxfId="979"/>
    <tableColumn id="14" xr3:uid="{9B9A7E99-4A77-4D7D-A255-4878A455FDCF}" name="LOSSES" dataDxfId="978"/>
    <tableColumn id="15" xr3:uid="{8FDF4279-B4AC-441E-AFDC-4EA921E4FE91}" name="WinPCT" dataDxfId="977"/>
    <tableColumn id="16" xr3:uid="{F37A0AFA-023C-4509-BBC5-9AA11F05F06A}" name="LeagueRank" dataDxfId="976"/>
    <tableColumn id="17" xr3:uid="{4B8DBC7E-23E7-4E8E-9634-E5713CDD83EF}" name="Record" dataDxfId="975"/>
    <tableColumn id="18" xr3:uid="{97B17077-0EFB-431C-AF27-79EFF1775D6F}" name="HOME" dataDxfId="974"/>
    <tableColumn id="19" xr3:uid="{BC20732B-1A56-4230-AE49-02D66651B2E8}" name="ROAD" dataDxfId="973"/>
    <tableColumn id="20" xr3:uid="{771638C3-7241-43E4-8021-92F31861802D}" name="L10" dataDxfId="972"/>
    <tableColumn id="21" xr3:uid="{6E57534A-0FF5-4C39-BEAE-FA7C4AD54338}" name="Last10Home" dataDxfId="971"/>
    <tableColumn id="22" xr3:uid="{CCE8254C-6CA2-4158-BC3E-6F7BC9824043}" name="Last10Road" dataDxfId="970"/>
    <tableColumn id="23" xr3:uid="{47F34738-B634-4061-B3E3-6A78CA6586E7}" name="OT" dataDxfId="969"/>
    <tableColumn id="24" xr3:uid="{AE748255-6AF8-44AF-BC70-FB584FB5C6F2}" name="ThreePTSOrLess" dataDxfId="968"/>
    <tableColumn id="25" xr3:uid="{5E9DD444-561C-4186-9C08-954BA127E701}" name="TenPTSOrMore" dataDxfId="967"/>
    <tableColumn id="26" xr3:uid="{622765F8-8682-45F0-BBE9-6B54B65636C0}" name="LongHomeStreak" dataDxfId="966"/>
    <tableColumn id="27" xr3:uid="{FB3908E3-E23D-4B18-9781-B9418B0D42C0}" name="strLongHomeStreak" dataDxfId="965"/>
    <tableColumn id="28" xr3:uid="{6822AFF2-556A-4A3A-A832-30EE090AF9CC}" name="LongRoadStreak" dataDxfId="964"/>
    <tableColumn id="29" xr3:uid="{94F24EDD-CF98-4922-A267-A5102E8A5C53}" name="strLongRoadStreak" dataDxfId="963"/>
    <tableColumn id="30" xr3:uid="{46A7DFF5-01B6-425F-8CC9-21DBF97F7A9B}" name="LongWinStreak" dataDxfId="962"/>
    <tableColumn id="31" xr3:uid="{D776BE63-BF9B-4241-B8E4-71978A0342B9}" name="LongLossStreak" dataDxfId="961"/>
    <tableColumn id="32" xr3:uid="{EB7F2D7A-6749-4DC0-B8BA-AAEC2967C1D7}" name="CurrentHomeStreak" dataDxfId="960"/>
    <tableColumn id="33" xr3:uid="{6E06A53A-834F-4E1E-8669-B1ABB85199D2}" name="strCurrentHomeStreak" dataDxfId="959"/>
    <tableColumn id="34" xr3:uid="{A8DF117F-D9DA-4959-A64C-148CE1F92AAE}" name="CurrentRoadStreak" dataDxfId="958"/>
    <tableColumn id="35" xr3:uid="{54473B1F-1586-451F-91EC-1CCFFEF3401D}" name="strCurrentRoadStreak" dataDxfId="957"/>
    <tableColumn id="36" xr3:uid="{48D1EF31-C504-4E36-872B-103A3AF1F365}" name="CurrentStreak" dataDxfId="956"/>
    <tableColumn id="37" xr3:uid="{C3F48EDB-BB93-4AA4-9BCB-D35FC89A544D}" name="strCurrentStreak" dataDxfId="955"/>
    <tableColumn id="38" xr3:uid="{C3FA3B01-9D9C-4CCD-BF0D-7196DD5F8D2D}" name="ConferenceGamesBack" dataDxfId="954"/>
    <tableColumn id="39" xr3:uid="{E7FF46AB-DC07-4CE7-93B8-A27B012C0899}" name="DivisionGamesBack" dataDxfId="953"/>
    <tableColumn id="40" xr3:uid="{F994A81B-C8F7-47D4-9DE3-204C6B230739}" name="ClinchedConferenceTitle" dataDxfId="952"/>
    <tableColumn id="41" xr3:uid="{90BD49EA-B922-425A-9EE6-95471B288F39}" name="ClinchedDivisionTitle" dataDxfId="951"/>
    <tableColumn id="42" xr3:uid="{03D53FB4-5D5F-4AEE-9135-C3C7FA6CE2CE}" name="ClinchedPlayoffBirth" dataDxfId="950"/>
    <tableColumn id="43" xr3:uid="{A9BD5824-FF6B-4921-8F3E-6A2950D0A3C5}" name="EliminatedConference" dataDxfId="949"/>
    <tableColumn id="44" xr3:uid="{1F57C7A6-0D1C-47CD-9BF9-33FBA84FBCE0}" name="EliminatedDivision" dataDxfId="948"/>
    <tableColumn id="45" xr3:uid="{DB49AB6E-C1DD-443C-BA6B-58FCA83DFBCB}" name="AheadAtHalf" dataDxfId="947"/>
    <tableColumn id="46" xr3:uid="{F322E408-B261-4B39-9873-764F11D80FE0}" name="BehindAtHalf" dataDxfId="946"/>
    <tableColumn id="47" xr3:uid="{4325F530-A986-4A31-B4F6-D88EE077F3BA}" name="TiedAtHalf" dataDxfId="945"/>
    <tableColumn id="48" xr3:uid="{4139791A-0365-4067-B5BF-F5A49717D1AC}" name="AheadAtThird" dataDxfId="944"/>
    <tableColumn id="49" xr3:uid="{B392C4A4-9C0F-416B-9814-CD35873190B1}" name="BehindAtThird" dataDxfId="943"/>
    <tableColumn id="50" xr3:uid="{25F0EAF3-3857-4586-B9B8-737C8D464CC1}" name="TiedAtThird" dataDxfId="942"/>
    <tableColumn id="51" xr3:uid="{7CC1762D-220F-41DD-99F6-2825EEA1C1DB}" name="Score100PTS" dataDxfId="941"/>
    <tableColumn id="52" xr3:uid="{917C9713-011F-415F-9BF8-9061C1156DFB}" name="OppScore100PTS" dataDxfId="940"/>
    <tableColumn id="53" xr3:uid="{17D411D4-0135-48C3-91D5-3D59F0565F1B}" name="OppOver500" dataDxfId="939"/>
    <tableColumn id="54" xr3:uid="{7DDBC536-E587-4ACC-A039-2E8E2FC12B23}" name="LeadInFGPCT" dataDxfId="938"/>
    <tableColumn id="55" xr3:uid="{79CCB2E3-25E5-482C-9B7B-CBFD66C44A9F}" name="LeadInReb" dataDxfId="937"/>
    <tableColumn id="56" xr3:uid="{B7214034-D631-47BC-B82A-EBD13095A99F}" name="FewerTurnovers" dataDxfId="936"/>
    <tableColumn id="57" xr3:uid="{6012A7D5-2606-4E5F-A6FB-146A4B23CBA8}" name="PointsPG" dataDxfId="935"/>
    <tableColumn id="58" xr3:uid="{7253BE91-1C87-411C-B695-5F88997F14AA}" name="OppPointsPG" dataDxfId="934"/>
    <tableColumn id="59" xr3:uid="{BD94EFC0-5257-4E0A-BF64-F07093B21E0A}" name="DiffPointsPG" dataDxfId="933"/>
    <tableColumn id="60" xr3:uid="{C1996DC1-A133-47AD-BC7F-0850EB1947DA}" name="vsEast" dataDxfId="932"/>
    <tableColumn id="61" xr3:uid="{1D0A31CD-A737-4EA1-A04D-898DD978A1F0}" name="vsAtlantic" dataDxfId="931"/>
    <tableColumn id="62" xr3:uid="{8B79CC89-8918-404D-AD22-B9282D0ED706}" name="vsCentral" dataDxfId="930"/>
    <tableColumn id="63" xr3:uid="{581FD232-D1E2-4867-A56C-116D54905E33}" name="vsSoutheast" dataDxfId="929"/>
    <tableColumn id="64" xr3:uid="{A55C6F9E-4871-4EDC-83A5-E8E9139AD50F}" name="vsWest" dataDxfId="928"/>
    <tableColumn id="65" xr3:uid="{EC87161B-1610-4665-B104-3E691A45A333}" name="vsNorthwest" dataDxfId="927"/>
    <tableColumn id="66" xr3:uid="{8498DDAA-7B7C-4E2E-A432-67ECEDBF7ED9}" name="vsPacific" dataDxfId="926"/>
    <tableColumn id="67" xr3:uid="{4AEA6BC4-076C-454D-B225-E22C2D3CD200}" name="vsSouthwest" dataDxfId="925"/>
    <tableColumn id="68" xr3:uid="{282CD815-ED7C-4809-9B94-563DDE6D7CE4}" name="Jan" dataDxfId="924"/>
    <tableColumn id="69" xr3:uid="{FB2B9BF4-AF42-4EC0-AA61-B81F157F5C0B}" name="Feb" dataDxfId="923"/>
    <tableColumn id="70" xr3:uid="{85A4C5CE-01C0-4C10-8FF9-5A78C550CA57}" name="Mar" dataDxfId="922"/>
    <tableColumn id="71" xr3:uid="{0EFC2EDB-4E71-4F37-A8BD-A91C926C2F61}" name="Apr" dataDxfId="921"/>
    <tableColumn id="72" xr3:uid="{FA354C46-564F-4094-82A7-F47294A1DC49}" name="May" dataDxfId="920"/>
    <tableColumn id="73" xr3:uid="{77DD92E8-48E3-45B0-B39E-4107BBE13D37}" name="Jun" dataDxfId="919"/>
    <tableColumn id="74" xr3:uid="{47C83D18-5843-45B9-9320-2EB314410F7C}" name="Jul" dataDxfId="918"/>
    <tableColumn id="75" xr3:uid="{6ABF5C32-0CE5-430D-8FD6-8E68BAA56BEE}" name="Aug" dataDxfId="917"/>
    <tableColumn id="76" xr3:uid="{5C360722-6D12-40B9-A3AD-70EDED9A35A7}" name="Sep" dataDxfId="916"/>
    <tableColumn id="77" xr3:uid="{7D65090E-B6F5-4242-895F-A941F7C2B807}" name="Oct" dataDxfId="915"/>
    <tableColumn id="78" xr3:uid="{AF2F6846-7446-4B3A-8CFE-1BA3EDDF91FE}" name="Nov" dataDxfId="914"/>
    <tableColumn id="79" xr3:uid="{D2E925A0-F95B-4E12-A5B0-699FF13B053A}" name="Dec" dataDxfId="913"/>
    <tableColumn id="80" xr3:uid="{84B7C01A-0550-470B-ACBE-C537CEB6CDB2}" name="PreAS" dataDxfId="912"/>
    <tableColumn id="81" xr3:uid="{E458E417-DFAD-4389-8830-B7CD3B4BB1DA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8BB8B37-5DD7-4C02-9B1D-6C913F534976}" name="TableBaseN1" displayName="TableBaseN1" ref="A1:BD31" totalsRowShown="0" headerRowDxfId="796">
  <autoFilter ref="A1:BD31" xr:uid="{28EB4B5F-C57E-4F54-8E5B-A41D56FD8E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8B2FE6C-9AE9-4B8D-8D16-8CD6F40D9C74}" name="TEAM_ID" dataDxfId="852"/>
    <tableColumn id="2" xr3:uid="{28EDD6CB-D475-4773-83C6-0D2E990AD330}" name="TEAM_NAME" dataDxfId="851"/>
    <tableColumn id="3" xr3:uid="{6F7D2DEE-7A73-46E5-9C8E-2F70E5564DE2}" name="GP" dataDxfId="850"/>
    <tableColumn id="4" xr3:uid="{03341A75-5152-4618-8FCF-A61B40746F48}" name="W" dataDxfId="849"/>
    <tableColumn id="5" xr3:uid="{8B99A24B-B8D2-43F0-8ED5-AA5C8F956C06}" name="L" dataDxfId="848"/>
    <tableColumn id="6" xr3:uid="{392366B5-BCDB-4A70-BBC7-F3273DB37543}" name="W_PCT" dataDxfId="847"/>
    <tableColumn id="7" xr3:uid="{4B7EBD78-85E0-4B26-A437-547F1209FBEB}" name="MIN" dataDxfId="846"/>
    <tableColumn id="8" xr3:uid="{71B5549F-31FC-4F52-A102-4FF9F0BA736B}" name="FGM" dataDxfId="845"/>
    <tableColumn id="9" xr3:uid="{1E78332D-900C-474B-B100-77FF2215371E}" name="FGA" dataDxfId="844"/>
    <tableColumn id="10" xr3:uid="{5BBBA8D0-1AFF-47AB-9A22-E8A365E37A21}" name="FG_PCT" dataDxfId="843"/>
    <tableColumn id="11" xr3:uid="{4CA636EC-DFDD-435F-B7AC-649982E23FB6}" name="FG3M" dataDxfId="842"/>
    <tableColumn id="12" xr3:uid="{1D906871-C56F-47CE-846A-5BF5FF9A3BB9}" name="FG3A" dataDxfId="841"/>
    <tableColumn id="13" xr3:uid="{7ABADF09-5570-4EF8-8DCB-1D5E2884330E}" name="FG3_PCT" dataDxfId="840"/>
    <tableColumn id="14" xr3:uid="{45E27037-823A-4BA6-BDC4-D62C9D884071}" name="FTM" dataDxfId="839"/>
    <tableColumn id="15" xr3:uid="{42FBEA74-5222-44D4-B0C3-CB67F6F049B2}" name="FTA" dataDxfId="838"/>
    <tableColumn id="16" xr3:uid="{93FB125A-DE7B-421F-A9E6-DA7DEEFA046D}" name="FT_PCT" dataDxfId="837"/>
    <tableColumn id="17" xr3:uid="{C3240726-057D-4C35-B635-E4B782D33F9C}" name="OREB" dataDxfId="836"/>
    <tableColumn id="18" xr3:uid="{092068F5-CA96-476F-A5E8-91447B7DD048}" name="DREB" dataDxfId="835"/>
    <tableColumn id="19" xr3:uid="{A44FB355-2742-4E52-AE7D-E9D9DDA58671}" name="REB" dataDxfId="834"/>
    <tableColumn id="20" xr3:uid="{3CD8492C-9DD7-4071-B912-A99DE2307819}" name="AST" dataDxfId="833"/>
    <tableColumn id="21" xr3:uid="{DA4879C6-CD1D-4213-A420-3FD3606D971B}" name="TOV" dataDxfId="832"/>
    <tableColumn id="22" xr3:uid="{D082FE27-17D8-4B80-95A5-4F1CF65311F7}" name="STL" dataDxfId="831"/>
    <tableColumn id="23" xr3:uid="{5B5E23CF-9463-4847-814F-51D0283A60B5}" name="BLK" dataDxfId="830"/>
    <tableColumn id="24" xr3:uid="{71CF18E8-DCF9-42EA-AA6D-600AD6035448}" name="BLKA" dataDxfId="829"/>
    <tableColumn id="25" xr3:uid="{9600DA36-BAD7-4B2C-8D18-62C87D132E23}" name="PF" dataDxfId="828"/>
    <tableColumn id="26" xr3:uid="{ACF3ABE2-D1C8-4A4D-93A5-B94BB5F0E1F0}" name="PFD" dataDxfId="827"/>
    <tableColumn id="27" xr3:uid="{41CEC972-92BF-462C-A128-7881665CBC15}" name="PTS" dataDxfId="826"/>
    <tableColumn id="28" xr3:uid="{DD89D646-AC71-4A35-84AC-35414DBF6C3C}" name="PLUS_MINUS" dataDxfId="825"/>
    <tableColumn id="29" xr3:uid="{3DA172CC-1A40-41B3-9F98-48110EDD1D4E}" name="GP_RANK" dataDxfId="824"/>
    <tableColumn id="30" xr3:uid="{17304C94-4D98-4D3F-B97F-7B42A5E8A89D}" name="W_RANK" dataDxfId="823"/>
    <tableColumn id="31" xr3:uid="{F39093E5-F39C-4780-A3A6-ACC4F4385EC5}" name="L_RANK" dataDxfId="822"/>
    <tableColumn id="32" xr3:uid="{39E03287-4F7F-42C7-A841-65DC7860AF5D}" name="W_PCT_RANK" dataDxfId="821"/>
    <tableColumn id="33" xr3:uid="{FDC75B02-5DBB-498C-9465-30915FDAF496}" name="MIN_RANK" dataDxfId="820"/>
    <tableColumn id="34" xr3:uid="{496BA172-1F3E-411C-BFAA-F195EE3BC546}" name="FGM_RANK" dataDxfId="819"/>
    <tableColumn id="35" xr3:uid="{50419C24-25DE-4189-8EF5-45662BB00B64}" name="FGA_RANK" dataDxfId="818"/>
    <tableColumn id="36" xr3:uid="{CB36F672-E8D0-49D2-A8A5-70CF5DE20BD9}" name="FG_PCT_RANK" dataDxfId="817"/>
    <tableColumn id="37" xr3:uid="{8E28BF87-08AE-4E75-ACA3-43D0F6C1C3BD}" name="FG3M_RANK" dataDxfId="816"/>
    <tableColumn id="38" xr3:uid="{9E016333-5DC7-4E05-82A1-979589B196E5}" name="FG3A_RANK" dataDxfId="815"/>
    <tableColumn id="39" xr3:uid="{E083E841-F07B-40B2-9A89-15114DC09DEB}" name="FG3_PCT_RANK" dataDxfId="814"/>
    <tableColumn id="40" xr3:uid="{762E8379-10CB-46EA-8DBB-18EEB3B6B0CF}" name="FTM_RANK" dataDxfId="813"/>
    <tableColumn id="41" xr3:uid="{B87B639E-E0B2-4E02-99E9-1863A41C4DC3}" name="FTA_RANK" dataDxfId="812"/>
    <tableColumn id="42" xr3:uid="{28C89782-149D-4D0E-95AE-A2BC9EFEF155}" name="FT_PCT_RANK" dataDxfId="811"/>
    <tableColumn id="43" xr3:uid="{012C3309-222C-470D-A032-A803FF40255F}" name="OREB_RANK" dataDxfId="810"/>
    <tableColumn id="44" xr3:uid="{436F6ED4-56EA-4E8A-8C7C-B85583399F97}" name="DREB_RANK" dataDxfId="809"/>
    <tableColumn id="45" xr3:uid="{8FC27E12-1CA9-446A-A901-30A5E0DD4C9C}" name="REB_RANK" dataDxfId="808"/>
    <tableColumn id="46" xr3:uid="{D6D9F8F7-A9B9-4A82-A57D-E15521503B6F}" name="AST_RANK" dataDxfId="807"/>
    <tableColumn id="47" xr3:uid="{FC814778-A276-4EC6-8087-9518F6E3FB42}" name="TOV_RANK" dataDxfId="806"/>
    <tableColumn id="48" xr3:uid="{F5972477-4F9D-4DC6-BF21-857F89CBCD7F}" name="STL_RANK" dataDxfId="805"/>
    <tableColumn id="49" xr3:uid="{429D6D46-A4E0-48E9-AE53-9364ED25B9CF}" name="BLK_RANK" dataDxfId="804"/>
    <tableColumn id="50" xr3:uid="{04958B5D-414B-4311-981A-069A682708F3}" name="BLKA_RANK" dataDxfId="803"/>
    <tableColumn id="51" xr3:uid="{CF289F48-5B94-46AB-961B-257A7E157EE6}" name="PF_RANK" dataDxfId="802"/>
    <tableColumn id="52" xr3:uid="{41A3057A-ABD8-4F4C-99F6-CB5FE32DDFD1}" name="PFD_RANK" dataDxfId="801"/>
    <tableColumn id="53" xr3:uid="{B934B682-C3BE-44D1-9B4E-795D43B282CA}" name="PTS_RANK" dataDxfId="800"/>
    <tableColumn id="54" xr3:uid="{A224CCCD-63AA-4068-8337-6E3568F5C76B}" name="PLUS_MINUS_RANK" dataDxfId="799"/>
    <tableColumn id="55" xr3:uid="{E5553590-9F9B-44FA-B24E-FD734A4721EB}" name="CFID" dataDxfId="798"/>
    <tableColumn id="56" xr3:uid="{3FE5D79E-4C3B-43EA-940F-84B0A372350D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29FA08F-7289-4F50-9AC4-8150DB314D16}" name="TableAdvancedN1" displayName="TableAdvancedN1" ref="A1:AV31" totalsRowShown="0" headerRowDxfId="698">
  <autoFilter ref="A1:AV31" xr:uid="{975B983B-1DFF-4FB5-876B-0A30727E81B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7BCF2D15-F9CD-4899-916F-E6306A41ACDE}" name="TEAM_ID" dataDxfId="746"/>
    <tableColumn id="2" xr3:uid="{9BCF666A-F9D2-4C5E-98AF-75E714B5C5B3}" name="TEAM_NAME" dataDxfId="745"/>
    <tableColumn id="3" xr3:uid="{28A13DA5-EB1C-44DD-9325-C0F84B1861AA}" name="GP" dataDxfId="744"/>
    <tableColumn id="4" xr3:uid="{64DBC4B2-9B53-47E8-A0B9-C0C4505A1ABF}" name="W" dataDxfId="743"/>
    <tableColumn id="5" xr3:uid="{763EBE6E-F90C-4AA2-992D-11F75470D411}" name="L" dataDxfId="742"/>
    <tableColumn id="6" xr3:uid="{F3A6F91E-4EF3-4490-99BB-83856784C66C}" name="W_PCT" dataDxfId="741"/>
    <tableColumn id="7" xr3:uid="{DC97E7E8-4A77-4869-A585-E7DAA421F3C8}" name="MIN" dataDxfId="740"/>
    <tableColumn id="8" xr3:uid="{3E2F31D1-AD15-4185-8267-1762DE8EBEF9}" name="E_OFF_RATING" dataDxfId="739"/>
    <tableColumn id="9" xr3:uid="{C5F5CAAC-8268-4B7B-A743-6E6CE9D6CC9A}" name="OFF_RATING" dataDxfId="738"/>
    <tableColumn id="10" xr3:uid="{B8C93F61-7F69-4B85-8D7F-F86A58F70ED9}" name="E_DEF_RATING" dataDxfId="737"/>
    <tableColumn id="11" xr3:uid="{2EFC0900-45F7-434F-8270-32D4D8A38B7A}" name="DEF_RATING" dataDxfId="736"/>
    <tableColumn id="12" xr3:uid="{C1C5C649-8D9F-44AD-98C5-BD06C4C2E875}" name="E_NET_RATING" dataDxfId="735"/>
    <tableColumn id="13" xr3:uid="{7226BCD6-BFDB-4922-925F-E234275700BA}" name="NET_RATING" dataDxfId="734"/>
    <tableColumn id="14" xr3:uid="{24558E53-8CCC-4D3B-B875-44A7A163EA0E}" name="AST_PCT" dataDxfId="733"/>
    <tableColumn id="15" xr3:uid="{1D510611-26D2-4992-81CE-864CCE8A7C79}" name="AST_TO" dataDxfId="732"/>
    <tableColumn id="16" xr3:uid="{8D081F4D-0F33-46C0-BD39-D3C2FE69EE28}" name="AST_RATIO" dataDxfId="731"/>
    <tableColumn id="17" xr3:uid="{92DF5D92-DB34-42E9-B491-8DD521F50583}" name="OREB_PCT" dataDxfId="730"/>
    <tableColumn id="18" xr3:uid="{A7F0EEFA-08A9-4FD9-B512-16C7B4A230AE}" name="DREB_PCT" dataDxfId="729"/>
    <tableColumn id="19" xr3:uid="{3099CAE2-DAC1-4DBE-8C4C-B29D6C0CBD32}" name="REB_PCT" dataDxfId="728"/>
    <tableColumn id="20" xr3:uid="{69FCDCF1-060D-41FB-A794-D08DB6AD2C24}" name="TM_TOV_PCT" dataDxfId="727"/>
    <tableColumn id="21" xr3:uid="{2DD526B2-81BD-4E2F-B89B-923705F3D147}" name="EFG_PCT" dataDxfId="726"/>
    <tableColumn id="22" xr3:uid="{9D696F96-44ED-4196-AE97-FF3F17ECCA9D}" name="TS_PCT" dataDxfId="725"/>
    <tableColumn id="23" xr3:uid="{3717FEA7-6EEA-42A9-A068-2F3E908A4F59}" name="E_PACE" dataDxfId="724"/>
    <tableColumn id="24" xr3:uid="{8D74359A-6CFE-4F99-8D1E-8AF35E14EEA1}" name="PACE" dataDxfId="723"/>
    <tableColumn id="25" xr3:uid="{EF7857EB-2DF4-4EA7-A803-E0186492D6C6}" name="PACE_PER40" dataDxfId="722"/>
    <tableColumn id="26" xr3:uid="{CA93018F-CD9A-4D68-97B3-096C71CD6BE4}" name="POSS" dataDxfId="721"/>
    <tableColumn id="27" xr3:uid="{D337C0DA-53A1-4734-9A4C-D60B8C3D423B}" name="PIE" dataDxfId="720"/>
    <tableColumn id="28" xr3:uid="{00D52070-30F8-45B2-A98A-3BB40706BC0C}" name="GP_RANK" dataDxfId="719"/>
    <tableColumn id="29" xr3:uid="{D87003F1-3ED8-42B7-B11F-E0B0322DB321}" name="W_RANK" dataDxfId="718"/>
    <tableColumn id="30" xr3:uid="{9AC9CF4D-81BA-4D34-BD0C-DDAD56BC23CC}" name="L_RANK" dataDxfId="717"/>
    <tableColumn id="31" xr3:uid="{C73332C3-0F79-44C1-9C5D-7D86E93B65F9}" name="W_PCT_RANK" dataDxfId="716"/>
    <tableColumn id="32" xr3:uid="{45D0D983-D08D-4484-9953-D6C5089D0CB9}" name="MIN_RANK" dataDxfId="715"/>
    <tableColumn id="33" xr3:uid="{46ECDC8A-408D-4FD6-88A7-AE60C2B6075C}" name="OFF_RATING_RANK" dataDxfId="714"/>
    <tableColumn id="34" xr3:uid="{844CEE36-BD4D-4080-A43B-17EE72F88AA9}" name="DEF_RATING_RANK" dataDxfId="713"/>
    <tableColumn id="35" xr3:uid="{99059B22-B1AE-4C8A-A6FF-81AE00954ECD}" name="NET_RATING_RANK" dataDxfId="712"/>
    <tableColumn id="36" xr3:uid="{F7D5564C-99EF-4D21-86A0-DC74DBD6FBA2}" name="AST_PCT_RANK" dataDxfId="711"/>
    <tableColumn id="37" xr3:uid="{39F081B7-46B4-4121-818C-1F71AE0C1934}" name="AST_TO_RANK" dataDxfId="710"/>
    <tableColumn id="38" xr3:uid="{D92B1228-384C-40E5-B51C-7998EE44A612}" name="AST_RATIO_RANK" dataDxfId="709"/>
    <tableColumn id="39" xr3:uid="{4669D92C-BF13-47AD-A90B-522E2713948F}" name="OREB_PCT_RANK" dataDxfId="708"/>
    <tableColumn id="40" xr3:uid="{421FF81B-34D9-4671-B1AB-7F6E596C9F66}" name="DREB_PCT_RANK" dataDxfId="707"/>
    <tableColumn id="41" xr3:uid="{4280D00F-669C-4C9B-913D-D2A4E9A02789}" name="REB_PCT_RANK" dataDxfId="706"/>
    <tableColumn id="42" xr3:uid="{3FDBB3E8-071B-4B0D-A7E4-BC458C3F9AEF}" name="TM_TOV_PCT_RANK" dataDxfId="705"/>
    <tableColumn id="43" xr3:uid="{4E0E1301-2AB3-4CB7-BC1B-8D01188A61C5}" name="EFG_PCT_RANK" dataDxfId="704"/>
    <tableColumn id="44" xr3:uid="{1A907702-8CAD-4A49-B3B8-AB9C39D94934}" name="TS_PCT_RANK" dataDxfId="703"/>
    <tableColumn id="45" xr3:uid="{2C8B5C6F-FF74-4E9B-AAD3-32B3096C5EB5}" name="PACE_RANK" dataDxfId="702"/>
    <tableColumn id="46" xr3:uid="{D4832651-A6B1-411B-8AF2-24CA78E486CB}" name="PIE_RANK" dataDxfId="701"/>
    <tableColumn id="47" xr3:uid="{E7CB5D60-BBC1-42BD-93A5-6F960BD807E8}" name="CFID" dataDxfId="700"/>
    <tableColumn id="48" xr3:uid="{A26E1C51-EB16-4CE3-9830-83019C9A8AEA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8B41A62-30E6-4470-A203-7AE0E9218628}" name="TableAdvancedN1Starters" displayName="TableAdvancedN1Starters" ref="A1:AV31" totalsRowShown="0" headerRowDxfId="600">
  <autoFilter ref="A1:AV31" xr:uid="{010D519A-545A-43CB-ABA8-2D199500BCD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78A2A575-1CA4-49E1-90BA-E4A5DC84E9B3}" name="TEAM_ID" dataDxfId="648"/>
    <tableColumn id="2" xr3:uid="{C838E535-259E-484F-B099-12C83020EB77}" name="TEAM_NAME" dataDxfId="647"/>
    <tableColumn id="3" xr3:uid="{DFE0082B-B6FE-4B58-86DD-33CDBF375F9C}" name="GP" dataDxfId="646"/>
    <tableColumn id="4" xr3:uid="{EAB6332C-B946-43A2-B359-50AA3923F217}" name="W" dataDxfId="645"/>
    <tableColumn id="5" xr3:uid="{6152631D-B1D8-4B67-A353-C0C12904CDA2}" name="L" dataDxfId="644"/>
    <tableColumn id="6" xr3:uid="{F52628B9-0331-40A8-B04B-A531C9C313BE}" name="W_PCT" dataDxfId="643"/>
    <tableColumn id="7" xr3:uid="{26DFD4C0-8679-40A7-B4E5-FA212521602D}" name="MIN" dataDxfId="642"/>
    <tableColumn id="8" xr3:uid="{5DA5DB0B-128D-4F7F-9D08-34526B6F1DB1}" name="E_OFF_RATING" dataDxfId="641"/>
    <tableColumn id="9" xr3:uid="{5693F53A-6DE1-46D2-83B2-6AB52290DF99}" name="OFF_RATING" dataDxfId="640"/>
    <tableColumn id="10" xr3:uid="{CC43F532-10B0-4A13-A2E2-37081C7D0F30}" name="E_DEF_RATING" dataDxfId="639"/>
    <tableColumn id="11" xr3:uid="{0EBC63C9-F415-493A-AAF1-6ADCA96341A2}" name="DEF_RATING" dataDxfId="638"/>
    <tableColumn id="12" xr3:uid="{54AAAF2D-107F-4A47-8385-509C2FE1773F}" name="E_NET_RATING" dataDxfId="637"/>
    <tableColumn id="13" xr3:uid="{3D8ECB90-73ED-4B56-A609-3EEBA43966C8}" name="NET_RATING" dataDxfId="636"/>
    <tableColumn id="14" xr3:uid="{208E6CF1-C790-4CA7-88A1-A7479B6DBA2B}" name="AST_PCT" dataDxfId="635"/>
    <tableColumn id="15" xr3:uid="{0A3D83F7-4D5A-4E0E-9A97-D1384EBC5ED4}" name="AST_TO" dataDxfId="634"/>
    <tableColumn id="16" xr3:uid="{533F1690-D248-4A54-8A13-342A4030C5C4}" name="AST_RATIO" dataDxfId="633"/>
    <tableColumn id="17" xr3:uid="{09CD3B4A-8264-4E29-9271-9EEC97D46BEB}" name="OREB_PCT" dataDxfId="632"/>
    <tableColumn id="18" xr3:uid="{A4FD4E9D-5357-4C6A-815F-FC6CACBF9FD3}" name="DREB_PCT" dataDxfId="631"/>
    <tableColumn id="19" xr3:uid="{588DEEAD-9B05-4535-96A1-D0DA0E132AA4}" name="REB_PCT" dataDxfId="630"/>
    <tableColumn id="20" xr3:uid="{C967D0EA-8BC9-4CC2-B23F-94E870185003}" name="TM_TOV_PCT" dataDxfId="629"/>
    <tableColumn id="21" xr3:uid="{970A856F-6D8F-407B-BF22-FF84AF39ED21}" name="EFG_PCT" dataDxfId="628"/>
    <tableColumn id="22" xr3:uid="{D0EECC36-70D9-47CB-9526-945D6DE7783B}" name="TS_PCT" dataDxfId="627"/>
    <tableColumn id="23" xr3:uid="{9BB5E088-3B53-41D1-8BED-C1BC557BF9C4}" name="E_PACE" dataDxfId="626"/>
    <tableColumn id="24" xr3:uid="{05930582-2FCE-4D0E-9CEE-C6269F450CFB}" name="PACE" dataDxfId="625"/>
    <tableColumn id="25" xr3:uid="{05A733A1-CDC0-4729-89F4-53B8CB17D807}" name="PACE_PER40" dataDxfId="624"/>
    <tableColumn id="26" xr3:uid="{F9AEB360-62B5-4C3A-8C8F-6DDF1F84AE6C}" name="POSS" dataDxfId="623"/>
    <tableColumn id="27" xr3:uid="{FF945726-14D7-44A0-93D2-8D92968E33CD}" name="PIE" dataDxfId="622"/>
    <tableColumn id="28" xr3:uid="{A84BC195-C827-44DA-B7AA-15413FC9F5C2}" name="GP_RANK" dataDxfId="621"/>
    <tableColumn id="29" xr3:uid="{E2FEBC88-587E-484C-8730-34D068869653}" name="W_RANK" dataDxfId="620"/>
    <tableColumn id="30" xr3:uid="{D7C081A5-E170-4110-8CF8-23066E4C939B}" name="L_RANK" dataDxfId="619"/>
    <tableColumn id="31" xr3:uid="{E6BB51A2-5597-4CAE-8D4E-BF9BC1FE8C21}" name="W_PCT_RANK" dataDxfId="618"/>
    <tableColumn id="32" xr3:uid="{977D34A5-4348-413D-9409-055CCCFE48C7}" name="MIN_RANK" dataDxfId="617"/>
    <tableColumn id="33" xr3:uid="{29903ED7-C3CF-4172-B4B0-CA4E04385C82}" name="OFF_RATING_RANK" dataDxfId="616"/>
    <tableColumn id="34" xr3:uid="{9863A9A0-5679-4CAC-8FE0-38A99E6D8218}" name="DEF_RATING_RANK" dataDxfId="615"/>
    <tableColumn id="35" xr3:uid="{1D7D418A-95C6-43D5-949D-C583A781EC5F}" name="NET_RATING_RANK" dataDxfId="614"/>
    <tableColumn id="36" xr3:uid="{F6BBD828-79D1-4BB9-8775-A26DC37676F4}" name="AST_PCT_RANK" dataDxfId="613"/>
    <tableColumn id="37" xr3:uid="{222CDBBD-D71C-4E74-8051-1298F9C53BFF}" name="AST_TO_RANK" dataDxfId="612"/>
    <tableColumn id="38" xr3:uid="{D79D7975-0F08-49B0-B8C0-ACA8205B3091}" name="AST_RATIO_RANK" dataDxfId="611"/>
    <tableColumn id="39" xr3:uid="{98F18463-AF89-47D6-92DE-DBCE5E9A4807}" name="OREB_PCT_RANK" dataDxfId="610"/>
    <tableColumn id="40" xr3:uid="{922B05D1-ABAE-4620-817B-16AEAB8CE454}" name="DREB_PCT_RANK" dataDxfId="609"/>
    <tableColumn id="41" xr3:uid="{EF933CEE-F425-4685-8A50-4180CFA61C23}" name="REB_PCT_RANK" dataDxfId="608"/>
    <tableColumn id="42" xr3:uid="{B5DC5EDA-F54F-4C45-B4A8-6DA66FF8B808}" name="TM_TOV_PCT_RANK" dataDxfId="607"/>
    <tableColumn id="43" xr3:uid="{E7DEB5A0-5203-4F59-82FD-0F50496C7964}" name="EFG_PCT_RANK" dataDxfId="606"/>
    <tableColumn id="44" xr3:uid="{A7FE02BD-221C-4297-ABEA-6567AC6794B4}" name="TS_PCT_RANK" dataDxfId="605"/>
    <tableColumn id="45" xr3:uid="{3F6B055C-C74E-4096-A327-033BABF2C6EF}" name="PACE_RANK" dataDxfId="604"/>
    <tableColumn id="46" xr3:uid="{9CA1936B-B858-438D-A521-B200EA874E13}" name="PIE_RANK" dataDxfId="603"/>
    <tableColumn id="47" xr3:uid="{9985C7EA-B3E7-4091-A95F-C57CA0B2045E}" name="CFID" dataDxfId="602"/>
    <tableColumn id="48" xr3:uid="{B3220DD8-F5B6-44ED-8BED-49B3FF2BE298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44217F9-7204-4D8D-A374-556D44C41671}" name="TableAdvancedN1Bench" displayName="TableAdvancedN1Bench" ref="A1:AV31" totalsRowShown="0" headerRowDxfId="502">
  <autoFilter ref="A1:AV31" xr:uid="{F08F76FA-09DE-4D2B-A621-1708D3CADCA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49B4F5A0-BF50-4B22-9287-C74B72055ECB}" name="TEAM_ID" dataDxfId="550"/>
    <tableColumn id="2" xr3:uid="{C6C81CFC-CAB9-4EA9-AAED-170297D96348}" name="TEAM_NAME" dataDxfId="549"/>
    <tableColumn id="3" xr3:uid="{982F28ED-CECB-4CEE-93EA-B3B7D643AB00}" name="GP" dataDxfId="548"/>
    <tableColumn id="4" xr3:uid="{13AB2F8F-44C2-4C90-AD72-83E6BC45B889}" name="W" dataDxfId="547"/>
    <tableColumn id="5" xr3:uid="{D5A33BA9-654F-4ED4-9408-0686872F3033}" name="L" dataDxfId="546"/>
    <tableColumn id="6" xr3:uid="{991154F4-A6C9-4250-B12B-9F8E22D17742}" name="W_PCT" dataDxfId="545"/>
    <tableColumn id="7" xr3:uid="{14701195-DF21-4853-94BB-73C0CA3647E4}" name="MIN" dataDxfId="544"/>
    <tableColumn id="8" xr3:uid="{B88CFD49-1F86-4713-B480-8A063CA878B1}" name="E_OFF_RATING" dataDxfId="543"/>
    <tableColumn id="9" xr3:uid="{85FBF096-3E9A-4954-9F62-31DA10D538D5}" name="OFF_RATING" dataDxfId="542"/>
    <tableColumn id="10" xr3:uid="{1E494049-13B1-4B5B-9BCD-857E7ECB55E6}" name="E_DEF_RATING" dataDxfId="541"/>
    <tableColumn id="11" xr3:uid="{4907E760-C9A8-4FC5-A57B-23DBE429D355}" name="DEF_RATING" dataDxfId="540"/>
    <tableColumn id="12" xr3:uid="{CFC9B5B5-B139-4DD7-9560-8D52554AF518}" name="E_NET_RATING" dataDxfId="539"/>
    <tableColumn id="13" xr3:uid="{C87AE644-91E1-48B7-9F29-877E45168B65}" name="NET_RATING" dataDxfId="538"/>
    <tableColumn id="14" xr3:uid="{55159634-399A-4E67-899D-15F4DA5114E7}" name="AST_PCT" dataDxfId="537"/>
    <tableColumn id="15" xr3:uid="{2E1E9F9C-7652-4E04-B64B-E73F14B52985}" name="AST_TO" dataDxfId="536"/>
    <tableColumn id="16" xr3:uid="{A49322B5-4284-44C4-83C3-22B79F8077BB}" name="AST_RATIO" dataDxfId="535"/>
    <tableColumn id="17" xr3:uid="{B327C540-3622-4650-91EE-BB23AF007D1E}" name="OREB_PCT" dataDxfId="534"/>
    <tableColumn id="18" xr3:uid="{1467E91D-FB71-4888-87E6-432B2EE51E2D}" name="DREB_PCT" dataDxfId="533"/>
    <tableColumn id="19" xr3:uid="{4ADB8E8A-E0D9-432D-B69A-F31978A51DAA}" name="REB_PCT" dataDxfId="532"/>
    <tableColumn id="20" xr3:uid="{629FB3C2-9323-466A-9368-4E04AABB5F2C}" name="TM_TOV_PCT" dataDxfId="531"/>
    <tableColumn id="21" xr3:uid="{E76133AA-1668-4CFD-ABE4-354F95B898F7}" name="EFG_PCT" dataDxfId="530"/>
    <tableColumn id="22" xr3:uid="{43EFDF53-516D-45CD-87A4-401D91306EF3}" name="TS_PCT" dataDxfId="529"/>
    <tableColumn id="23" xr3:uid="{1C2C5D21-08AC-4604-BEF6-7B53CB73287A}" name="E_PACE" dataDxfId="528"/>
    <tableColumn id="24" xr3:uid="{9858CE07-53F5-4FA3-8CF2-7202C2B70453}" name="PACE" dataDxfId="527"/>
    <tableColumn id="25" xr3:uid="{3E039947-7E4A-42B2-9BA7-E8E9E8007DEB}" name="PACE_PER40" dataDxfId="526"/>
    <tableColumn id="26" xr3:uid="{C691C60E-5D82-4569-8597-624592F44CA4}" name="POSS" dataDxfId="525"/>
    <tableColumn id="27" xr3:uid="{17D70503-B09A-40A6-8F35-267A122540E8}" name="PIE" dataDxfId="524"/>
    <tableColumn id="28" xr3:uid="{339D7300-BED6-4242-AF58-0CDEE2ADBD37}" name="GP_RANK" dataDxfId="523"/>
    <tableColumn id="29" xr3:uid="{DFDF81E2-AB3E-4CC7-B4BA-745708308489}" name="W_RANK" dataDxfId="522"/>
    <tableColumn id="30" xr3:uid="{E4EB5BA6-D9A9-4260-AD96-2765C25696C2}" name="L_RANK" dataDxfId="521"/>
    <tableColumn id="31" xr3:uid="{6B993B41-D7FB-4336-88D3-F89F33BCD742}" name="W_PCT_RANK" dataDxfId="520"/>
    <tableColumn id="32" xr3:uid="{D0E5E530-DDF4-4C22-9BA8-E94760AC9507}" name="MIN_RANK" dataDxfId="519"/>
    <tableColumn id="33" xr3:uid="{7E93D1B9-FD7F-46CF-8982-AC1D84DF8B18}" name="OFF_RATING_RANK" dataDxfId="518"/>
    <tableColumn id="34" xr3:uid="{BD8DE7B8-92A8-4BE8-BD3C-250DE42A208C}" name="DEF_RATING_RANK" dataDxfId="517"/>
    <tableColumn id="35" xr3:uid="{1A79B8A2-0CE5-4754-82F5-2D6CECF29AD9}" name="NET_RATING_RANK" dataDxfId="516"/>
    <tableColumn id="36" xr3:uid="{95BED754-9E19-4699-ACF2-BC6CC74B0E93}" name="AST_PCT_RANK" dataDxfId="515"/>
    <tableColumn id="37" xr3:uid="{3E281B7B-A23E-4F6F-91F8-140730F919A4}" name="AST_TO_RANK" dataDxfId="514"/>
    <tableColumn id="38" xr3:uid="{D9473515-BFA9-4430-B425-318E965AFB58}" name="AST_RATIO_RANK" dataDxfId="513"/>
    <tableColumn id="39" xr3:uid="{C432C9F1-9856-4F55-ABBD-49866727D38A}" name="OREB_PCT_RANK" dataDxfId="512"/>
    <tableColumn id="40" xr3:uid="{FCF9141E-4C77-4FC5-A102-8BFF19293242}" name="DREB_PCT_RANK" dataDxfId="511"/>
    <tableColumn id="41" xr3:uid="{E0FCF1F4-FA7B-4E0C-AA95-C34D1165B663}" name="REB_PCT_RANK" dataDxfId="510"/>
    <tableColumn id="42" xr3:uid="{4D09745F-ED56-4780-AEE9-7AEC4163807D}" name="TM_TOV_PCT_RANK" dataDxfId="509"/>
    <tableColumn id="43" xr3:uid="{F7B57A88-C098-48C8-8C41-6054CC1B981D}" name="EFG_PCT_RANK" dataDxfId="508"/>
    <tableColumn id="44" xr3:uid="{53542E6D-551A-4A39-951C-B1D5750C550E}" name="TS_PCT_RANK" dataDxfId="507"/>
    <tableColumn id="45" xr3:uid="{5FD27B3F-9E22-4B73-B322-2DB6ACE75DC5}" name="PACE_RANK" dataDxfId="506"/>
    <tableColumn id="46" xr3:uid="{47070A8F-7AAF-4B66-A15E-7C0F003E1FC2}" name="PIE_RANK" dataDxfId="505"/>
    <tableColumn id="47" xr3:uid="{AD140682-A428-42F0-8C12-12506D54F0E3}" name="CFID" dataDxfId="504"/>
    <tableColumn id="48" xr3:uid="{E4D06793-7B0D-4603-91E7-1EA032C1CB8F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5CB27A8-5004-4355-B809-DF31491D8B35}" name="TableMiscN1" displayName="TableMiscN1" ref="A1:AD31" totalsRowShown="0" headerRowDxfId="440">
  <autoFilter ref="A1:AD31" xr:uid="{A93CE9AF-E294-48FF-B367-358FE86126E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13702A89-E60C-4C72-8018-C9ECE82921D7}" name="TEAM_ID" dataDxfId="470"/>
    <tableColumn id="2" xr3:uid="{950E1B2C-E6CF-45CC-BB93-6B4D8225C1C1}" name="TEAM_NAME" dataDxfId="469"/>
    <tableColumn id="3" xr3:uid="{41DF361E-F1CB-41DB-956E-194497AB5D99}" name="GP" dataDxfId="468"/>
    <tableColumn id="4" xr3:uid="{ACDA9F99-2B5D-4AE9-9A67-1262F43213F4}" name="W" dataDxfId="467"/>
    <tableColumn id="5" xr3:uid="{96FAD118-34A7-4D3F-893C-41B4B1849D46}" name="L" dataDxfId="466"/>
    <tableColumn id="6" xr3:uid="{C284C6D8-A6BA-41E3-9B1A-845D9CD51BE9}" name="W_PCT" dataDxfId="465"/>
    <tableColumn id="7" xr3:uid="{B2BCBD59-9B5C-45FA-8803-EC6584B5E326}" name="MIN" dataDxfId="464"/>
    <tableColumn id="8" xr3:uid="{1A58A756-19D9-49D8-9574-162FF63FF9FC}" name="PTS_OFF_TOV" dataDxfId="463"/>
    <tableColumn id="9" xr3:uid="{C79B6DD3-30D3-4DAF-8840-C6A729D2CB2A}" name="PTS_2ND_CHANCE" dataDxfId="462"/>
    <tableColumn id="10" xr3:uid="{7CB0C195-1C75-4CD1-9657-B4525F7965FD}" name="PTS_FB" dataDxfId="461"/>
    <tableColumn id="11" xr3:uid="{35CA60FE-37C7-4F0D-A83F-E2764C2FBEB7}" name="PTS_PAINT" dataDxfId="460"/>
    <tableColumn id="12" xr3:uid="{518BC431-5A5B-47B9-9C45-E8BA275472DE}" name="OPP_PTS_OFF_TOV" dataDxfId="459"/>
    <tableColumn id="13" xr3:uid="{3483B508-9F34-465F-8576-DB073574E492}" name="OPP_PTS_2ND_CHANCE" dataDxfId="458"/>
    <tableColumn id="14" xr3:uid="{DF4AA3D5-3756-463E-9A24-9E2ADB7C9DC5}" name="OPP_PTS_FB" dataDxfId="457"/>
    <tableColumn id="15" xr3:uid="{B482214C-0F83-4A4B-9BD2-DF90ACD6CF00}" name="OPP_PTS_PAINT" dataDxfId="456"/>
    <tableColumn id="16" xr3:uid="{992C1734-6F50-4F16-BC2C-5C5CD0B62152}" name="GP_RANK" dataDxfId="455"/>
    <tableColumn id="17" xr3:uid="{08B65AD6-5C1E-4D27-A8BA-CB3D7D1282A4}" name="W_RANK" dataDxfId="454"/>
    <tableColumn id="18" xr3:uid="{4335EC9D-4B1D-465C-AE25-425BC20428D8}" name="L_RANK" dataDxfId="453"/>
    <tableColumn id="19" xr3:uid="{4E8337C8-5A31-4234-A289-02210F1ACF29}" name="W_PCT_RANK" dataDxfId="452"/>
    <tableColumn id="20" xr3:uid="{B7415ADB-3DA0-4032-9C3B-49FF27D926BB}" name="MIN_RANK" dataDxfId="451"/>
    <tableColumn id="21" xr3:uid="{FDDA772B-BCD4-4ECA-B118-93CC816FBE5C}" name="PTS_OFF_TOV_RANK" dataDxfId="450"/>
    <tableColumn id="22" xr3:uid="{F11014B5-BE12-4C7E-9F9A-861C71C6F713}" name="PTS_2ND_CHANCE_RANK" dataDxfId="449"/>
    <tableColumn id="23" xr3:uid="{071BD054-F3DD-4429-98A5-B08251F4C69F}" name="PTS_FB_RANK" dataDxfId="448"/>
    <tableColumn id="24" xr3:uid="{1D7C2A18-9887-456E-AFD4-9F59E0F96389}" name="PTS_PAINT_RANK" dataDxfId="447"/>
    <tableColumn id="25" xr3:uid="{66A8B196-B2B7-415B-B6DA-A0BF7C861A1F}" name="OPP_PTS_OFF_TOV_RANK" dataDxfId="446"/>
    <tableColumn id="26" xr3:uid="{FB9CF3DC-4C9F-405C-9FF4-146B69B8D380}" name="OPP_PTS_2ND_CHANCE_RANK" dataDxfId="445"/>
    <tableColumn id="27" xr3:uid="{6648431F-E48E-4A7F-AF96-A5E3468E545F}" name="OPP_PTS_FB_RANK" dataDxfId="444"/>
    <tableColumn id="28" xr3:uid="{AE9DEDE0-12A4-444D-888C-1A341052EB95}" name="OPP_PTS_PAINT_RANK" dataDxfId="443"/>
    <tableColumn id="29" xr3:uid="{FD184A60-3229-4112-AE75-971914BA31B0}" name="CFID" dataDxfId="442"/>
    <tableColumn id="30" xr3:uid="{7B3E55DB-4D85-4F4F-A193-A94C1F386C04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DE5B41A-9EE8-40B7-8FAE-DC0B8887A579}" name="TableOppBaseN1" displayName="TableOppBaseN1" ref="A1:BD31" totalsRowShown="0" headerRowDxfId="326">
  <autoFilter ref="A1:BD31" xr:uid="{50976455-A23C-47BF-A46F-1211C24A6D8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7270A6C-817D-4242-96D0-E5E7B1DB0A90}" name="TEAM_ID" dataDxfId="382"/>
    <tableColumn id="2" xr3:uid="{D70D2D48-5B7D-4EA3-B273-4B46CDB720EF}" name="TEAM_NAME" dataDxfId="381"/>
    <tableColumn id="3" xr3:uid="{0A100630-C939-4FCA-8810-4C7653B9BF56}" name="GP" dataDxfId="380"/>
    <tableColumn id="4" xr3:uid="{A9BDFCE3-7825-4980-A3E4-E2A4F90BBAF1}" name="W" dataDxfId="379"/>
    <tableColumn id="5" xr3:uid="{DE6BD36B-9FC6-4E62-A118-7D5323BC8482}" name="L" dataDxfId="378"/>
    <tableColumn id="6" xr3:uid="{7C601F0F-89C0-481A-83A2-F8DEFD9C364C}" name="W_PCT" dataDxfId="377"/>
    <tableColumn id="7" xr3:uid="{F6D163F8-E106-452B-B895-AC3A75CB1FEF}" name="MIN" dataDxfId="376"/>
    <tableColumn id="8" xr3:uid="{136EB7C0-35EF-4302-AB95-20F49522FC34}" name="OPP_FGM" dataDxfId="375"/>
    <tableColumn id="9" xr3:uid="{9F389854-DEB7-4FE2-89A5-78059B722079}" name="OPP_FGA" dataDxfId="374"/>
    <tableColumn id="10" xr3:uid="{E0DEECA1-7FBD-42F7-8311-31FDB32FCDF5}" name="OPP_FG_PCT" dataDxfId="373"/>
    <tableColumn id="11" xr3:uid="{1066E1B3-E6CC-4DD3-A752-2D1A602EAFF6}" name="OPP_FG3M" dataDxfId="372"/>
    <tableColumn id="12" xr3:uid="{5541918C-3108-49CE-A9F8-AA5C13C29DF1}" name="OPP_FG3A" dataDxfId="371"/>
    <tableColumn id="13" xr3:uid="{399CEDD5-B674-4C11-BAA1-EBDBDEBD896B}" name="OPP_FG3_PCT" dataDxfId="370"/>
    <tableColumn id="14" xr3:uid="{E0C2D5AC-8E37-4C7D-8DE4-D903E4D17660}" name="OPP_FTM" dataDxfId="369"/>
    <tableColumn id="15" xr3:uid="{65FAB303-0AD3-4144-98B2-441E88B1B211}" name="OPP_FTA" dataDxfId="368"/>
    <tableColumn id="16" xr3:uid="{063686A8-CAC3-4F7E-A75D-5DE6DD690A74}" name="OPP_FT_PCT" dataDxfId="367"/>
    <tableColumn id="17" xr3:uid="{35A8E82B-9245-49C1-B598-2B4840A1211E}" name="OPP_OREB" dataDxfId="366"/>
    <tableColumn id="18" xr3:uid="{C169FDF1-E1AE-4BBE-B37C-A72A27F3A7EC}" name="OPP_DREB" dataDxfId="365"/>
    <tableColumn id="19" xr3:uid="{EE609F6D-E086-4D34-B1E1-015141AD9DAA}" name="OPP_REB" dataDxfId="364"/>
    <tableColumn id="20" xr3:uid="{89964836-4C8B-428D-B0D7-4491405B5DAD}" name="OPP_AST" dataDxfId="363"/>
    <tableColumn id="21" xr3:uid="{25E54E1F-8CDE-4ADF-AFB8-ABC49892AB72}" name="OPP_TOV" dataDxfId="362"/>
    <tableColumn id="22" xr3:uid="{78552004-8C19-40A5-9B43-C7A7D235D6F6}" name="OPP_STL" dataDxfId="361"/>
    <tableColumn id="23" xr3:uid="{B105DAD3-B3D0-45C4-9B2D-A5936B437B98}" name="OPP_BLK" dataDxfId="360"/>
    <tableColumn id="24" xr3:uid="{A5FFE2ED-6019-471A-8F01-997D267F6532}" name="OPP_BLKA" dataDxfId="359"/>
    <tableColumn id="25" xr3:uid="{22AFB0FD-1BBA-4821-840B-7C79E0918FC6}" name="OPP_PF" dataDxfId="358"/>
    <tableColumn id="26" xr3:uid="{D4A97D85-6168-402C-82F8-A47521CAC327}" name="OPP_PFD" dataDxfId="357"/>
    <tableColumn id="27" xr3:uid="{96598ED3-354B-4856-A45A-2DF586F50499}" name="OPP_PTS" dataDxfId="356"/>
    <tableColumn id="28" xr3:uid="{0BABFD83-61C0-499C-87A8-DF20FAB7CEDB}" name="PLUS_MINUS" dataDxfId="355"/>
    <tableColumn id="29" xr3:uid="{C6347EC2-670F-49AF-9430-8644122E2CB2}" name="GP_RANK" dataDxfId="354"/>
    <tableColumn id="30" xr3:uid="{C5AF1D23-7533-498B-BB3B-9379AA398F87}" name="W_RANK" dataDxfId="353"/>
    <tableColumn id="31" xr3:uid="{312E2A4B-5E57-4664-BE09-7524A0A2E2D6}" name="L_RANK" dataDxfId="352"/>
    <tableColumn id="32" xr3:uid="{AE16E42C-D8D1-4704-8E89-1235D1816A2F}" name="W_PCT_RANK" dataDxfId="351"/>
    <tableColumn id="33" xr3:uid="{AB1C0C21-1C90-437F-98DA-B4BE4202A5B1}" name="MIN_RANK" dataDxfId="350"/>
    <tableColumn id="34" xr3:uid="{BEC67934-A659-4B4E-97AD-0F347E18B6B4}" name="OPP_FGM_RANK" dataDxfId="349"/>
    <tableColumn id="35" xr3:uid="{447F7C7C-F24D-478F-A683-6DCB30699E0A}" name="OPP_FGA_RANK" dataDxfId="348"/>
    <tableColumn id="36" xr3:uid="{8E19E495-32ED-4EC5-BF0B-6307292FF3E3}" name="OPP_FG_PCT_RANK" dataDxfId="347"/>
    <tableColumn id="37" xr3:uid="{1929CE9A-2C3C-45B0-96AE-4B98404BC5DC}" name="OPP_FG3M_RANK" dataDxfId="346"/>
    <tableColumn id="38" xr3:uid="{5E151F2F-DB4A-4306-8A19-F962603F6E2B}" name="OPP_FG3A_RANK" dataDxfId="345"/>
    <tableColumn id="39" xr3:uid="{17A1D89E-5DA1-4503-8BC0-02CB08EEDF52}" name="OPP_FG3_PCT_RANK" dataDxfId="344"/>
    <tableColumn id="40" xr3:uid="{B7BE1188-2075-486C-AFBC-D817FEAE8235}" name="OPP_FTM_RANK" dataDxfId="343"/>
    <tableColumn id="41" xr3:uid="{625FD2C3-76DF-400E-9273-D2FA838113FB}" name="OPP_FTA_RANK" dataDxfId="342"/>
    <tableColumn id="42" xr3:uid="{22040897-FBC0-4942-9DF4-14394DA1F6C4}" name="OPP_FT_PCT_RANK" dataDxfId="341"/>
    <tableColumn id="43" xr3:uid="{4196159D-91CA-4C30-9489-E64B3571F757}" name="OPP_OREB_RANK" dataDxfId="340"/>
    <tableColumn id="44" xr3:uid="{C78729A9-A6EC-40B5-950F-8B93F6027D2A}" name="OPP_DREB_RANK" dataDxfId="339"/>
    <tableColumn id="45" xr3:uid="{21B744CD-E48A-4D25-988A-8FADFE3D0FCF}" name="OPP_REB_RANK" dataDxfId="338"/>
    <tableColumn id="46" xr3:uid="{68D14862-A0C0-4899-9513-538AA54F34AC}" name="OPP_AST_RANK" dataDxfId="337"/>
    <tableColumn id="47" xr3:uid="{2AEAE6AB-774D-40AF-BB77-92CB6E85488F}" name="OPP_TOV_RANK" dataDxfId="336"/>
    <tableColumn id="48" xr3:uid="{81EBD4C0-ACAA-4FAD-8AB2-EDEFF6CF9BA7}" name="OPP_STL_RANK" dataDxfId="335"/>
    <tableColumn id="49" xr3:uid="{46E9970A-82A0-49BD-AA21-DCE8647A6F0A}" name="OPP_BLK_RANK" dataDxfId="334"/>
    <tableColumn id="50" xr3:uid="{B397BBBD-380A-4821-9F09-24AE16CEF4B3}" name="OPP_BLKA_RANK" dataDxfId="333"/>
    <tableColumn id="51" xr3:uid="{32C766FD-7772-444A-B31D-4CABCE077C31}" name="OPP_PF_RANK" dataDxfId="332"/>
    <tableColumn id="52" xr3:uid="{671C776F-1BE0-4E22-9BC5-E4005251F80C}" name="OPP_PFD_RANK" dataDxfId="331"/>
    <tableColumn id="53" xr3:uid="{81FD597D-F29F-4D63-8863-12C90ED024EA}" name="OPP_PTS_RANK" dataDxfId="330"/>
    <tableColumn id="54" xr3:uid="{72E457CF-019A-4FCD-8EDD-F48AFFF04414}" name="PLUS_MINUS_RANK" dataDxfId="329"/>
    <tableColumn id="55" xr3:uid="{CAFCA4DA-AE0F-4CD1-ABAE-433E4259896B}" name="CFID" dataDxfId="328"/>
    <tableColumn id="56" xr3:uid="{68201311-FC77-40E4-A54F-9E572C079757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A691CCD-5EB6-4289-83A8-C8D60EBCBF25}" name="TableClutchBaseN1" displayName="TableClutchBaseN1" ref="A1:BD31" totalsRowShown="0" headerRowDxfId="212">
  <autoFilter ref="A1:BD31" xr:uid="{1BD4388E-13F8-4AB8-965A-3C3CB68F50E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42EEFF43-CF7D-4D6A-B809-FFCC956D7123}" name="TEAM_ID" dataDxfId="268"/>
    <tableColumn id="2" xr3:uid="{2180C5C3-DD8E-49F0-AC44-2126F2D3894B}" name="TEAM_NAME" dataDxfId="267"/>
    <tableColumn id="3" xr3:uid="{1896D915-919B-4B7E-A896-EEC4433D8BB3}" name="GP" dataDxfId="266"/>
    <tableColumn id="4" xr3:uid="{48F0577E-6EA5-47C3-8F7A-394CE24CB89F}" name="W" dataDxfId="265"/>
    <tableColumn id="5" xr3:uid="{75BDCFC8-C3CB-4E0A-8BEE-9D8106BF9616}" name="L" dataDxfId="264"/>
    <tableColumn id="6" xr3:uid="{1B0710D9-EBAB-49A2-8EE7-D724E997A899}" name="W_PCT" dataDxfId="263"/>
    <tableColumn id="7" xr3:uid="{A1E1F6EB-096E-4F4B-B8BA-12B8A66A79BA}" name="MIN" dataDxfId="262"/>
    <tableColumn id="8" xr3:uid="{47D5DA6B-0206-4E7C-A8F3-F090C653D7C6}" name="FGM" dataDxfId="261"/>
    <tableColumn id="9" xr3:uid="{1269C45C-4D44-4E28-ADDD-8677C5294C9E}" name="FGA" dataDxfId="260"/>
    <tableColumn id="10" xr3:uid="{3F34D7B6-CE0D-410E-BDAA-F60DE217AA0B}" name="FG_PCT" dataDxfId="259"/>
    <tableColumn id="11" xr3:uid="{A2F46056-5A44-4507-8138-5787A7738AFD}" name="FG3M" dataDxfId="258"/>
    <tableColumn id="12" xr3:uid="{56219CC6-6549-4254-821D-EA8D3170AEDF}" name="FG3A" dataDxfId="257"/>
    <tableColumn id="13" xr3:uid="{172BFB36-CFB2-4767-8462-CB5F9E391437}" name="FG3_PCT" dataDxfId="256"/>
    <tableColumn id="14" xr3:uid="{61E564E8-D9C5-421D-B61A-C0F8E1566E64}" name="FTM" dataDxfId="255"/>
    <tableColumn id="15" xr3:uid="{E81283F2-F3F7-4B18-8777-2DA290547FFD}" name="FTA" dataDxfId="254"/>
    <tableColumn id="16" xr3:uid="{6176587A-56ED-438D-9047-CB82AEE4A79C}" name="FT_PCT" dataDxfId="253"/>
    <tableColumn id="17" xr3:uid="{6ACC0405-D4C4-4EE9-9B6E-87F1D9F56F92}" name="OREB" dataDxfId="252"/>
    <tableColumn id="18" xr3:uid="{3F0CF85A-C062-4297-BD92-59039BFF6879}" name="DREB" dataDxfId="251"/>
    <tableColumn id="19" xr3:uid="{E28DC636-01D7-443B-AE56-442CD8B14F4A}" name="REB" dataDxfId="250"/>
    <tableColumn id="20" xr3:uid="{ACC03EAD-7CAA-47C5-9E3D-6A07872E10A8}" name="AST" dataDxfId="249"/>
    <tableColumn id="21" xr3:uid="{ACAC5D38-DB9C-43BD-A0D2-81A7139C3821}" name="TOV" dataDxfId="248"/>
    <tableColumn id="22" xr3:uid="{6D89DC62-3D70-4E8E-9EEB-FB1103A2E120}" name="STL" dataDxfId="247"/>
    <tableColumn id="23" xr3:uid="{34680181-757B-4ABA-91DD-A0C5DD07529B}" name="BLK" dataDxfId="246"/>
    <tableColumn id="24" xr3:uid="{886568FF-3BC6-434A-A218-90B2409D6DBC}" name="BLKA" dataDxfId="245"/>
    <tableColumn id="25" xr3:uid="{0BFF01DF-99B2-4961-B09B-72E7B30DE9C8}" name="PF" dataDxfId="244"/>
    <tableColumn id="26" xr3:uid="{C4E8FF54-EB25-4321-998A-C758E843EFBF}" name="PFD" dataDxfId="243"/>
    <tableColumn id="27" xr3:uid="{E96AE8AC-F276-4DDE-8E22-07647BBC3647}" name="PTS" dataDxfId="242"/>
    <tableColumn id="28" xr3:uid="{17354EDC-0FB9-43DF-B6B8-FECEE5B62C7A}" name="PLUS_MINUS" dataDxfId="241"/>
    <tableColumn id="29" xr3:uid="{619EEF75-6C2F-4E36-8848-2D8B9C9BBDB3}" name="GP_RANK" dataDxfId="240"/>
    <tableColumn id="30" xr3:uid="{5A7534E2-9252-471E-A74C-D27FB7328CB6}" name="W_RANK" dataDxfId="239"/>
    <tableColumn id="31" xr3:uid="{0ED5127C-F47C-4F47-8894-6675A8A24388}" name="L_RANK" dataDxfId="238"/>
    <tableColumn id="32" xr3:uid="{95E4B710-E41D-452E-9996-7A641FF9106C}" name="W_PCT_RANK" dataDxfId="237"/>
    <tableColumn id="33" xr3:uid="{97BD247C-8BE1-4E28-9563-E069703719E7}" name="MIN_RANK" dataDxfId="236"/>
    <tableColumn id="34" xr3:uid="{3F2D3E23-D8DA-45D2-918B-E71D1BC9F0A2}" name="FGM_RANK" dataDxfId="235"/>
    <tableColumn id="35" xr3:uid="{658E71C7-9122-4221-A389-FBCB81228118}" name="FGA_RANK" dataDxfId="234"/>
    <tableColumn id="36" xr3:uid="{D89D42D9-CE93-4E97-84F3-7A25F2C82B5F}" name="FG_PCT_RANK" dataDxfId="233"/>
    <tableColumn id="37" xr3:uid="{56A795BC-FCA6-473D-9669-57404AAB4E8E}" name="FG3M_RANK" dataDxfId="232"/>
    <tableColumn id="38" xr3:uid="{FDB4297B-744B-4A5B-9024-6B96DE029F2E}" name="FG3A_RANK" dataDxfId="231"/>
    <tableColumn id="39" xr3:uid="{88CB542C-12E4-468E-B27E-47B7BB022F10}" name="FG3_PCT_RANK" dataDxfId="230"/>
    <tableColumn id="40" xr3:uid="{5E16C35A-9B1C-4981-9864-F840B4ED5340}" name="FTM_RANK" dataDxfId="229"/>
    <tableColumn id="41" xr3:uid="{1CF3089B-74EC-4260-909D-4EC743366C24}" name="FTA_RANK" dataDxfId="228"/>
    <tableColumn id="42" xr3:uid="{B0135F0F-3918-4D98-87EE-5C57FC425AA2}" name="FT_PCT_RANK" dataDxfId="227"/>
    <tableColumn id="43" xr3:uid="{9AF6C227-0F4F-4ACC-957B-83AD1AD843CC}" name="OREB_RANK" dataDxfId="226"/>
    <tableColumn id="44" xr3:uid="{4A14DE3D-DDC1-4CA0-B40F-55F4B813824D}" name="DREB_RANK" dataDxfId="225"/>
    <tableColumn id="45" xr3:uid="{D3DD76CB-98AD-408F-B19C-E40588319ACB}" name="REB_RANK" dataDxfId="224"/>
    <tableColumn id="46" xr3:uid="{FD4E84D1-B6A9-41F0-8250-655B7E8F293D}" name="AST_RANK" dataDxfId="223"/>
    <tableColumn id="47" xr3:uid="{98883FFD-02EF-4F7B-8099-9743FB84689B}" name="TOV_RANK" dataDxfId="222"/>
    <tableColumn id="48" xr3:uid="{EDB3BF53-4975-4155-873B-3F88AE0166A7}" name="STL_RANK" dataDxfId="221"/>
    <tableColumn id="49" xr3:uid="{56E1DC63-9C68-4CDC-9057-E3B0CF11867E}" name="BLK_RANK" dataDxfId="220"/>
    <tableColumn id="50" xr3:uid="{AEEE9816-4E05-4EB2-8297-5E704E5C2F46}" name="BLKA_RANK" dataDxfId="219"/>
    <tableColumn id="51" xr3:uid="{1AC97BC1-09CC-4105-9EDF-478FDBA0C6DD}" name="PF_RANK" dataDxfId="218"/>
    <tableColumn id="52" xr3:uid="{CC449477-2D48-43DA-AC41-F4F4F7D94BBE}" name="PFD_RANK" dataDxfId="217"/>
    <tableColumn id="53" xr3:uid="{347CF1E0-74D9-4E93-97A4-5AC97165FC87}" name="PTS_RANK" dataDxfId="216"/>
    <tableColumn id="54" xr3:uid="{836A9894-1D6A-419A-9FB3-5D7069C6713A}" name="PLUS_MINUS_RANK" dataDxfId="215"/>
    <tableColumn id="55" xr3:uid="{9FC6D098-5A58-4DF5-856A-A0711D97A335}" name="CFID" dataDxfId="214"/>
    <tableColumn id="56" xr3:uid="{FD4643CE-1AB9-4FC1-BD50-4EE722475F41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EEDF3E5-2F09-4414-B548-7FE1699EA901}" name="TableClutchOpponentN1" displayName="TableClutchOpponentN1" ref="A1:BD31" totalsRowShown="0" headerRowDxfId="98">
  <autoFilter ref="A1:BD31" xr:uid="{C223330E-45AB-4521-95B3-607833A944C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A29FF483-5157-4BE2-BE1B-A6530A3B7760}" name="TEAM_ID" dataDxfId="154"/>
    <tableColumn id="2" xr3:uid="{D70DF3EA-9790-494E-9998-2E9FCEC7DF2C}" name="TEAM_NAME" dataDxfId="153"/>
    <tableColumn id="3" xr3:uid="{D7DECCCA-C6CB-4882-8DD1-2D743C48B822}" name="GP" dataDxfId="152"/>
    <tableColumn id="4" xr3:uid="{B953FA66-3C30-47C0-8E26-69DDE522CB2A}" name="W" dataDxfId="151"/>
    <tableColumn id="5" xr3:uid="{9B6102AC-0C61-4790-A178-C2441392C9C3}" name="L" dataDxfId="150"/>
    <tableColumn id="6" xr3:uid="{BB8B92E0-CC28-4704-A890-C3479A6C9CA3}" name="W_PCT" dataDxfId="149"/>
    <tableColumn id="7" xr3:uid="{EE5FAA7E-2F29-45C6-BC38-CFDEEAFF795D}" name="MIN" dataDxfId="148"/>
    <tableColumn id="8" xr3:uid="{FFB8D3EF-14B9-4138-84B4-5625962E5BA1}" name="OPP_FGM" dataDxfId="147"/>
    <tableColumn id="9" xr3:uid="{164538AD-A22E-421C-ABB0-E7451AB264B2}" name="OPP_FGA" dataDxfId="146"/>
    <tableColumn id="10" xr3:uid="{D0663B85-4C70-485F-9EDE-2071F0DF9147}" name="OPP_FG_PCT" dataDxfId="145"/>
    <tableColumn id="11" xr3:uid="{E324A4B9-B151-48F9-8CBF-22427BB9F9D5}" name="OPP_FG3M" dataDxfId="144"/>
    <tableColumn id="12" xr3:uid="{9174D1BE-A8C6-4DBE-BBCA-5AAAE3CB528F}" name="OPP_FG3A" dataDxfId="143"/>
    <tableColumn id="13" xr3:uid="{93CF5E95-F996-4C59-AE99-57C43056F18B}" name="OPP_FG3_PCT" dataDxfId="142"/>
    <tableColumn id="14" xr3:uid="{722C2AD5-1E7F-4DEA-980B-54E51B2DA61C}" name="OPP_FTM" dataDxfId="141"/>
    <tableColumn id="15" xr3:uid="{892F39A7-2603-47BD-BF45-BD56E13758C6}" name="OPP_FTA" dataDxfId="140"/>
    <tableColumn id="16" xr3:uid="{09F2728B-147C-4D5A-A6E7-674D73934A68}" name="OPP_FT_PCT" dataDxfId="139"/>
    <tableColumn id="17" xr3:uid="{FBC530E9-253D-4B7A-B1CF-8FF34DBD2EC2}" name="OPP_OREB" dataDxfId="138"/>
    <tableColumn id="18" xr3:uid="{36B13CD2-90FB-48C0-A707-20BFE88148D3}" name="OPP_DREB" dataDxfId="137"/>
    <tableColumn id="19" xr3:uid="{8D0DEF00-C4C0-44B9-90C5-03D38599E6DC}" name="OPP_REB" dataDxfId="136"/>
    <tableColumn id="20" xr3:uid="{A7A33A42-012C-43BB-A44B-7AC17AF348CD}" name="OPP_AST" dataDxfId="135"/>
    <tableColumn id="21" xr3:uid="{7889690D-BD7E-4A6B-8DBC-AFD448751338}" name="OPP_TOV" dataDxfId="134"/>
    <tableColumn id="22" xr3:uid="{649D5A7B-47D1-4D7C-B1E2-89DFFC8404B6}" name="OPP_STL" dataDxfId="133"/>
    <tableColumn id="23" xr3:uid="{34569182-4B45-45DF-8D63-1482AF29F3FC}" name="OPP_BLK" dataDxfId="132"/>
    <tableColumn id="24" xr3:uid="{8E1F2E8A-74ED-4627-A433-A041E0516106}" name="OPP_BLKA" dataDxfId="131"/>
    <tableColumn id="25" xr3:uid="{5B9FF368-C788-4B14-8E4B-A4C28FE0D62E}" name="OPP_PF" dataDxfId="130"/>
    <tableColumn id="26" xr3:uid="{1751A7A9-B16F-4818-AC0D-7724566BFC99}" name="OPP_PFD" dataDxfId="129"/>
    <tableColumn id="27" xr3:uid="{1E53061A-6624-46D6-9E42-75773A65C2C2}" name="OPP_PTS" dataDxfId="128"/>
    <tableColumn id="28" xr3:uid="{2741452B-F9A7-4E60-99E9-95EFAA242934}" name="PLUS_MINUS" dataDxfId="127"/>
    <tableColumn id="29" xr3:uid="{C72EA444-E3CA-462A-8652-7B4CDE09CC9A}" name="GP_RANK" dataDxfId="126"/>
    <tableColumn id="30" xr3:uid="{BCF1AB26-86B2-4510-AD32-2A2BE020BADB}" name="W_RANK" dataDxfId="125"/>
    <tableColumn id="31" xr3:uid="{429C5C42-0D01-4C48-9B37-A1F4A9DEA60F}" name="L_RANK" dataDxfId="124"/>
    <tableColumn id="32" xr3:uid="{B8C56AF1-B221-4D74-B29F-F42DC59954D2}" name="W_PCT_RANK" dataDxfId="123"/>
    <tableColumn id="33" xr3:uid="{15E82045-1DC6-4238-B7F3-DA53C1FE01E7}" name="MIN_RANK" dataDxfId="122"/>
    <tableColumn id="34" xr3:uid="{E7686693-E6CD-4FC4-9F6F-F5985B61A5B1}" name="OPP_FGM_RANK" dataDxfId="121"/>
    <tableColumn id="35" xr3:uid="{4C410E11-8F87-4C91-A6CB-44936A43AF09}" name="OPP_FGA_RANK" dataDxfId="120"/>
    <tableColumn id="36" xr3:uid="{E2FBA8EC-34DD-4E4E-AAC3-FA447EE1FD14}" name="OPP_FG_PCT_RANK" dataDxfId="119"/>
    <tableColumn id="37" xr3:uid="{D24E09C7-35F4-41DA-B121-84EF0D994632}" name="OPP_FG3M_RANK" dataDxfId="118"/>
    <tableColumn id="38" xr3:uid="{FFA7EEB1-441F-4DB1-9791-A2B55C8028B2}" name="OPP_FG3A_RANK" dataDxfId="117"/>
    <tableColumn id="39" xr3:uid="{6350FA04-8865-4CDF-8DFF-0D11EE1ACD82}" name="OPP_FG3_PCT_RANK" dataDxfId="116"/>
    <tableColumn id="40" xr3:uid="{9C387417-F085-420E-9997-B2FF43701271}" name="OPP_FTM_RANK" dataDxfId="115"/>
    <tableColumn id="41" xr3:uid="{B1E4F9D3-9814-48BE-8EF7-22CC856FF56E}" name="OPP_FTA_RANK" dataDxfId="114"/>
    <tableColumn id="42" xr3:uid="{1A8F98F0-AC52-4F61-AB38-B39C7CA86EA4}" name="OPP_FT_PCT_RANK" dataDxfId="113"/>
    <tableColumn id="43" xr3:uid="{01970AE0-60A4-4876-955F-C25490C956AA}" name="OPP_OREB_RANK" dataDxfId="112"/>
    <tableColumn id="44" xr3:uid="{CBE56056-480F-40EF-B6C3-43573FC69444}" name="OPP_DREB_RANK" dataDxfId="111"/>
    <tableColumn id="45" xr3:uid="{FF5A391F-F526-4113-BC00-FA5338C6BD7D}" name="OPP_REB_RANK" dataDxfId="110"/>
    <tableColumn id="46" xr3:uid="{D7C3D10C-8E8C-4C66-8D3E-0EE93E519B2F}" name="OPP_AST_RANK" dataDxfId="109"/>
    <tableColumn id="47" xr3:uid="{BE3CEDF2-53CA-4F29-93E7-715B594B25BE}" name="OPP_TOV_RANK" dataDxfId="108"/>
    <tableColumn id="48" xr3:uid="{459FC13B-7E70-4284-ABCF-F0AF381C1F06}" name="OPP_STL_RANK" dataDxfId="107"/>
    <tableColumn id="49" xr3:uid="{6D6E5D37-0DA4-42FC-B8D6-09AA2D73FF3C}" name="OPP_BLK_RANK" dataDxfId="106"/>
    <tableColumn id="50" xr3:uid="{EB4384E7-ECD7-45E0-B252-DE935FB62FC9}" name="OPP_BLKA_RANK" dataDxfId="105"/>
    <tableColumn id="51" xr3:uid="{AAD6ACCE-1B84-45A9-9661-0998688B7946}" name="OPP_PF_RANK" dataDxfId="104"/>
    <tableColumn id="52" xr3:uid="{FCFBB602-4CCC-451F-9486-7AAD123C9350}" name="OPP_PFD_RANK" dataDxfId="103"/>
    <tableColumn id="53" xr3:uid="{9AA21F4B-E07B-4175-8FE1-C5DB8DC5D877}" name="OPP_PTS_RANK" dataDxfId="102"/>
    <tableColumn id="54" xr3:uid="{DB7EA3C8-1F38-4B7C-89A7-21D1BAC9D5DB}" name="PLUS_MINUS_RANK" dataDxfId="101"/>
    <tableColumn id="55" xr3:uid="{D4747EE2-D7A7-4C98-9C3C-40513DE45B05}" name="CFID" dataDxfId="100"/>
    <tableColumn id="56" xr3:uid="{78BE649C-4D53-4B48-88EB-E7B3765E98E6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EDDF8FE-1B6E-40CC-A7A3-58122D293ADD}" name="TableClutchAdvancedN1" displayName="TableClutchAdvancedN1" ref="A1:AV31" totalsRowShown="0" headerRowDxfId="0">
  <autoFilter ref="A1:AV31" xr:uid="{DFE63ED6-26A7-4B44-AC75-595009A67D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9DB0AB05-7C37-41C4-88F8-CC8893B10C5F}" name="TEAM_ID" dataDxfId="48"/>
    <tableColumn id="2" xr3:uid="{5E159497-4F7F-4EDF-AE7F-7A8AFF38C1C1}" name="TEAM_NAME" dataDxfId="47"/>
    <tableColumn id="3" xr3:uid="{8F7CCF71-6BB6-4B41-838F-E9BA8862635B}" name="GP" dataDxfId="46"/>
    <tableColumn id="4" xr3:uid="{BDC14FFC-F16A-4378-A01D-E6E252D44C3B}" name="W" dataDxfId="45"/>
    <tableColumn id="5" xr3:uid="{AE7526D8-C1DE-4F28-ADD8-FD4CACA75DD7}" name="L" dataDxfId="44"/>
    <tableColumn id="6" xr3:uid="{4860C2D7-6887-4027-9766-FE461766FA72}" name="W_PCT" dataDxfId="43"/>
    <tableColumn id="7" xr3:uid="{5263AA9E-9396-4325-AF7E-D85B44EEAC35}" name="MIN" dataDxfId="42"/>
    <tableColumn id="8" xr3:uid="{D31B0F2D-3685-408F-8AD9-14232E661C28}" name="E_OFF_RATING" dataDxfId="41"/>
    <tableColumn id="9" xr3:uid="{C7ED81BE-2FB7-43A5-9954-6218412AD813}" name="OFF_RATING" dataDxfId="40"/>
    <tableColumn id="10" xr3:uid="{42986716-9E01-4111-9F83-72A8C13FF6E0}" name="E_DEF_RATING" dataDxfId="39"/>
    <tableColumn id="11" xr3:uid="{FD9B4069-285A-4379-8654-BD375E69ACB1}" name="DEF_RATING" dataDxfId="38"/>
    <tableColumn id="12" xr3:uid="{00BB5105-7B5D-4C18-9751-299765E96ADD}" name="E_NET_RATING" dataDxfId="37"/>
    <tableColumn id="13" xr3:uid="{7EA1B80B-57EA-4D48-AE42-599A1E574485}" name="NET_RATING" dataDxfId="36"/>
    <tableColumn id="14" xr3:uid="{35B27143-DDCF-4D87-85DE-D241B9B29957}" name="AST_PCT" dataDxfId="35"/>
    <tableColumn id="15" xr3:uid="{BB678E29-BEC4-4B26-A15B-108CBC815410}" name="AST_TO" dataDxfId="34"/>
    <tableColumn id="16" xr3:uid="{EEF45AA6-47FB-446C-8185-1150C953184F}" name="AST_RATIO" dataDxfId="33"/>
    <tableColumn id="17" xr3:uid="{2E0E33C1-9E4B-48CA-A726-7CD5F7A472D8}" name="OREB_PCT" dataDxfId="32"/>
    <tableColumn id="18" xr3:uid="{FF794A4B-0138-49D8-8EE0-9BA9DDFD1E8A}" name="DREB_PCT" dataDxfId="31"/>
    <tableColumn id="19" xr3:uid="{B5AC2D10-E242-42F1-AF73-3ED89FE6CDC1}" name="REB_PCT" dataDxfId="30"/>
    <tableColumn id="20" xr3:uid="{96FC646C-2B6B-4361-9A87-85CA262815D4}" name="TM_TOV_PCT" dataDxfId="29"/>
    <tableColumn id="21" xr3:uid="{89A56F0D-A694-46C3-B803-86C2A368B16F}" name="EFG_PCT" dataDxfId="28"/>
    <tableColumn id="22" xr3:uid="{4FA5CC35-C869-4CC2-830E-2BD60E39D897}" name="TS_PCT" dataDxfId="27"/>
    <tableColumn id="23" xr3:uid="{E9A57C6B-A9EB-4094-B132-7883F65C0278}" name="E_PACE" dataDxfId="26"/>
    <tableColumn id="24" xr3:uid="{0DCE8E8C-5661-4D1A-A925-FAB4B58D92F0}" name="PACE" dataDxfId="25"/>
    <tableColumn id="25" xr3:uid="{96C1F048-D345-490B-B9C0-4CF3A50143D9}" name="PACE_PER40" dataDxfId="24"/>
    <tableColumn id="26" xr3:uid="{FE0A3736-FCFE-472E-A8D2-E389515C8212}" name="POSS" dataDxfId="23"/>
    <tableColumn id="27" xr3:uid="{DC4DD1CE-EC39-4162-82E9-953CD081EE40}" name="PIE" dataDxfId="22"/>
    <tableColumn id="28" xr3:uid="{7E581063-7D43-4625-8575-10A85D063CB8}" name="GP_RANK" dataDxfId="21"/>
    <tableColumn id="29" xr3:uid="{C567E89B-25B0-4250-B314-E11208EB77F2}" name="W_RANK" dataDxfId="20"/>
    <tableColumn id="30" xr3:uid="{52CEA587-E6A4-453F-825F-4847AA646704}" name="L_RANK" dataDxfId="19"/>
    <tableColumn id="31" xr3:uid="{771BEF81-5D0B-4DCF-9BAE-E9142BCF573A}" name="W_PCT_RANK" dataDxfId="18"/>
    <tableColumn id="32" xr3:uid="{457892C3-F645-4005-BAB0-6C244675502A}" name="MIN_RANK" dataDxfId="17"/>
    <tableColumn id="33" xr3:uid="{055517E8-D20B-4706-AB0C-4C5EE2500DDD}" name="OFF_RATING_RANK" dataDxfId="16"/>
    <tableColumn id="34" xr3:uid="{EF75F704-5454-41D9-BED8-265AEB031921}" name="DEF_RATING_RANK" dataDxfId="15"/>
    <tableColumn id="35" xr3:uid="{E75FAC14-557B-40C7-B313-6727C2337F72}" name="NET_RATING_RANK" dataDxfId="14"/>
    <tableColumn id="36" xr3:uid="{9085F04D-0999-480B-A328-07F354186BF4}" name="AST_PCT_RANK" dataDxfId="13"/>
    <tableColumn id="37" xr3:uid="{F1A5BFCE-FFC7-4A24-8E29-A462B320AD5A}" name="AST_TO_RANK" dataDxfId="12"/>
    <tableColumn id="38" xr3:uid="{12D7C2B9-726C-4DCB-9E3D-2CE06FF40053}" name="AST_RATIO_RANK" dataDxfId="11"/>
    <tableColumn id="39" xr3:uid="{A29415CD-11CD-47BD-8C3D-F61856BC7ED6}" name="OREB_PCT_RANK" dataDxfId="10"/>
    <tableColumn id="40" xr3:uid="{B0C2A306-0D23-4099-A151-AEA5E95CD4A0}" name="DREB_PCT_RANK" dataDxfId="9"/>
    <tableColumn id="41" xr3:uid="{1B682A1A-F459-4039-949E-3DB76138D1DC}" name="REB_PCT_RANK" dataDxfId="8"/>
    <tableColumn id="42" xr3:uid="{0A97A3F8-AFE3-41AF-B611-B95CE0A94DC8}" name="TM_TOV_PCT_RANK" dataDxfId="7"/>
    <tableColumn id="43" xr3:uid="{F7E7723D-8B81-472A-B2A2-A1F17F6C17F8}" name="EFG_PCT_RANK" dataDxfId="6"/>
    <tableColumn id="44" xr3:uid="{F4FFA539-8FD3-4094-91E9-71204B221E0B}" name="TS_PCT_RANK" dataDxfId="5"/>
    <tableColumn id="45" xr3:uid="{6420B589-A9C7-4288-92F7-D3658AD7B5D1}" name="PACE_RANK" dataDxfId="4"/>
    <tableColumn id="46" xr3:uid="{9ED4C0D7-92C9-45DB-A437-8B8191BAD1F8}" name="PIE_RANK" dataDxfId="3"/>
    <tableColumn id="47" xr3:uid="{ACC4F289-2747-45F5-BD79-A257955AB8B1}" name="CFID" dataDxfId="2"/>
    <tableColumn id="48" xr3:uid="{D16D70A6-1CCE-43A3-8CA5-6EC1E16BD288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abSelected="1" topLeftCell="A7" workbookViewId="0">
      <selection activeCell="I22" sqref="I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1404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1409</v>
      </c>
      <c r="D3" s="2">
        <v>4</v>
      </c>
      <c r="F3" s="1" t="s">
        <v>1405</v>
      </c>
      <c r="G3" s="2">
        <v>3</v>
      </c>
    </row>
    <row r="4" spans="1:7" x14ac:dyDescent="0.25">
      <c r="A4" s="23"/>
      <c r="B4" s="5" t="s">
        <v>6</v>
      </c>
      <c r="C4" s="11">
        <v>0.64600000000000002</v>
      </c>
      <c r="F4" s="11">
        <v>0.73299999999999998</v>
      </c>
    </row>
    <row r="5" spans="1:7" x14ac:dyDescent="0.25">
      <c r="A5" s="23"/>
      <c r="B5" s="5" t="s">
        <v>7</v>
      </c>
      <c r="C5" s="1" t="s">
        <v>1406</v>
      </c>
      <c r="F5" s="1" t="s">
        <v>1406</v>
      </c>
    </row>
    <row r="6" spans="1:7" x14ac:dyDescent="0.25">
      <c r="A6" s="23"/>
      <c r="B6" s="5" t="s">
        <v>2</v>
      </c>
      <c r="C6" s="1" t="s">
        <v>1410</v>
      </c>
      <c r="F6" s="1" t="s">
        <v>1407</v>
      </c>
    </row>
    <row r="7" spans="1:7" x14ac:dyDescent="0.25">
      <c r="A7" s="23"/>
      <c r="B7" s="5" t="s">
        <v>3</v>
      </c>
      <c r="C7" s="1" t="s">
        <v>1411</v>
      </c>
      <c r="F7" s="1" t="s">
        <v>1408</v>
      </c>
    </row>
    <row r="8" spans="1:7" x14ac:dyDescent="0.25">
      <c r="A8" s="23"/>
      <c r="B8" s="5" t="s">
        <v>0</v>
      </c>
      <c r="C8" s="1" t="s">
        <v>1412</v>
      </c>
      <c r="F8" s="1" t="s">
        <v>1405</v>
      </c>
    </row>
    <row r="9" spans="1:7" x14ac:dyDescent="0.25">
      <c r="A9" s="23"/>
      <c r="B9" s="5" t="s">
        <v>1</v>
      </c>
      <c r="C9" s="1" t="s">
        <v>1413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0.44900000000000001</v>
      </c>
      <c r="D11" s="3">
        <v>24</v>
      </c>
      <c r="F11" s="9">
        <v>0.441</v>
      </c>
      <c r="G11" s="3">
        <v>24</v>
      </c>
    </row>
    <row r="12" spans="1:7" x14ac:dyDescent="0.25">
      <c r="A12" s="23"/>
      <c r="B12" s="14" t="s">
        <v>36</v>
      </c>
      <c r="C12" s="8">
        <v>39.200000000000003</v>
      </c>
      <c r="D12" s="3">
        <v>25</v>
      </c>
      <c r="F12" s="8">
        <v>39.9</v>
      </c>
      <c r="G12" s="3">
        <v>19</v>
      </c>
    </row>
    <row r="13" spans="1:7" x14ac:dyDescent="0.25">
      <c r="A13" s="23"/>
      <c r="B13" s="14" t="s">
        <v>37</v>
      </c>
      <c r="C13" s="8">
        <v>87.4</v>
      </c>
      <c r="D13" s="3">
        <v>26</v>
      </c>
      <c r="F13" s="8">
        <v>90.5</v>
      </c>
      <c r="G13" s="3">
        <v>13</v>
      </c>
    </row>
    <row r="14" spans="1:7" x14ac:dyDescent="0.25">
      <c r="A14" s="23"/>
      <c r="B14" s="14" t="s">
        <v>27</v>
      </c>
      <c r="C14" s="9">
        <v>0.35599999999999998</v>
      </c>
      <c r="D14" s="3">
        <v>12</v>
      </c>
      <c r="F14" s="9">
        <v>0.33900000000000002</v>
      </c>
      <c r="G14" s="3">
        <v>24</v>
      </c>
    </row>
    <row r="15" spans="1:7" x14ac:dyDescent="0.25">
      <c r="A15" s="23"/>
      <c r="B15" s="14" t="s">
        <v>38</v>
      </c>
      <c r="C15" s="8">
        <v>16.100000000000001</v>
      </c>
      <c r="D15" s="3">
        <v>1</v>
      </c>
      <c r="F15" s="8">
        <v>15.5</v>
      </c>
      <c r="G15" s="3">
        <v>1</v>
      </c>
    </row>
    <row r="16" spans="1:7" x14ac:dyDescent="0.25">
      <c r="A16" s="23"/>
      <c r="B16" s="14" t="s">
        <v>39</v>
      </c>
      <c r="C16" s="8">
        <v>45.4</v>
      </c>
      <c r="D16" s="3">
        <v>1</v>
      </c>
      <c r="F16" s="8">
        <v>45.8</v>
      </c>
      <c r="G16" s="3">
        <v>1</v>
      </c>
    </row>
    <row r="17" spans="1:7" x14ac:dyDescent="0.25">
      <c r="A17" s="23"/>
      <c r="B17" s="14" t="s">
        <v>28</v>
      </c>
      <c r="C17" s="9">
        <v>0.79100000000000004</v>
      </c>
      <c r="D17" s="3">
        <v>9</v>
      </c>
      <c r="F17" s="9">
        <v>0.78400000000000003</v>
      </c>
      <c r="G17" s="3">
        <v>11</v>
      </c>
    </row>
    <row r="18" spans="1:7" x14ac:dyDescent="0.25">
      <c r="A18" s="23"/>
      <c r="B18" s="14" t="s">
        <v>41</v>
      </c>
      <c r="C18" s="8">
        <v>19.3</v>
      </c>
      <c r="D18" s="3">
        <v>3</v>
      </c>
      <c r="F18" s="8">
        <v>22.5</v>
      </c>
      <c r="G18" s="3">
        <v>1</v>
      </c>
    </row>
    <row r="19" spans="1:7" x14ac:dyDescent="0.25">
      <c r="A19" s="23"/>
      <c r="B19" s="14" t="s">
        <v>40</v>
      </c>
      <c r="C19" s="8">
        <v>24.4</v>
      </c>
      <c r="D19" s="3">
        <v>7</v>
      </c>
      <c r="F19" s="8">
        <v>28.7</v>
      </c>
      <c r="G19" s="3">
        <v>1</v>
      </c>
    </row>
    <row r="20" spans="1:7" x14ac:dyDescent="0.25">
      <c r="A20" s="23"/>
      <c r="B20" s="14" t="s">
        <v>29</v>
      </c>
      <c r="C20" s="8">
        <v>21.2</v>
      </c>
      <c r="D20" s="3">
        <v>28</v>
      </c>
      <c r="F20" s="8">
        <v>20.9</v>
      </c>
      <c r="G20" s="3">
        <v>26</v>
      </c>
    </row>
    <row r="21" spans="1:7" x14ac:dyDescent="0.25">
      <c r="A21" s="23"/>
      <c r="B21" s="14" t="s">
        <v>30</v>
      </c>
      <c r="C21" s="8">
        <v>13.3</v>
      </c>
      <c r="D21" s="3">
        <v>6</v>
      </c>
      <c r="F21" s="8">
        <v>15.7</v>
      </c>
      <c r="G21" s="3">
        <v>16</v>
      </c>
    </row>
    <row r="22" spans="1:7" x14ac:dyDescent="0.25">
      <c r="A22" s="23"/>
      <c r="B22" s="14" t="s">
        <v>32</v>
      </c>
      <c r="C22" s="8">
        <v>42.1</v>
      </c>
      <c r="D22" s="3">
        <v>28</v>
      </c>
      <c r="F22" s="8">
        <v>47.1</v>
      </c>
      <c r="G22" s="3">
        <v>8</v>
      </c>
    </row>
    <row r="23" spans="1:7" x14ac:dyDescent="0.25">
      <c r="A23" s="23"/>
      <c r="B23" s="14" t="s">
        <v>31</v>
      </c>
      <c r="C23" s="8">
        <v>10.199999999999999</v>
      </c>
      <c r="D23" s="3">
        <v>14</v>
      </c>
      <c r="F23" s="8">
        <v>10.7</v>
      </c>
      <c r="G23" s="3">
        <v>12</v>
      </c>
    </row>
    <row r="24" spans="1:7" x14ac:dyDescent="0.25">
      <c r="A24" s="23"/>
      <c r="B24" s="14" t="s">
        <v>33</v>
      </c>
      <c r="C24" s="8">
        <v>31.9</v>
      </c>
      <c r="D24" s="3">
        <v>29</v>
      </c>
      <c r="F24" s="8">
        <v>36.5</v>
      </c>
      <c r="G24" s="3">
        <v>9</v>
      </c>
    </row>
    <row r="25" spans="1:7" x14ac:dyDescent="0.25">
      <c r="A25" s="23"/>
      <c r="B25" s="14" t="s">
        <v>34</v>
      </c>
      <c r="C25" s="8">
        <v>8.5</v>
      </c>
      <c r="D25" s="3">
        <v>5</v>
      </c>
      <c r="F25" s="8">
        <v>8.3000000000000007</v>
      </c>
      <c r="G25" s="3">
        <v>9</v>
      </c>
    </row>
    <row r="26" spans="1:7" x14ac:dyDescent="0.25">
      <c r="A26" s="23"/>
      <c r="B26" s="14" t="s">
        <v>35</v>
      </c>
      <c r="C26" s="8">
        <v>4.9000000000000004</v>
      </c>
      <c r="D26" s="3">
        <v>18</v>
      </c>
      <c r="F26" s="8">
        <v>5.4</v>
      </c>
      <c r="G26" s="3">
        <v>13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0.46600000000000003</v>
      </c>
      <c r="D28" s="3">
        <v>19</v>
      </c>
      <c r="F28" s="9">
        <v>0.45300000000000001</v>
      </c>
      <c r="G28" s="3">
        <v>15</v>
      </c>
    </row>
    <row r="29" spans="1:7" x14ac:dyDescent="0.25">
      <c r="A29" s="23"/>
      <c r="B29" s="18" t="s">
        <v>43</v>
      </c>
      <c r="C29" s="9">
        <v>0.34</v>
      </c>
      <c r="D29" s="3">
        <v>2</v>
      </c>
      <c r="F29" s="9">
        <v>0.34699999999999998</v>
      </c>
      <c r="G29" s="3">
        <v>11</v>
      </c>
    </row>
    <row r="30" spans="1:7" x14ac:dyDescent="0.25">
      <c r="A30" s="23"/>
      <c r="B30" s="18" t="s">
        <v>44</v>
      </c>
      <c r="C30" s="8">
        <v>10.1</v>
      </c>
      <c r="D30" s="3">
        <v>3</v>
      </c>
      <c r="F30" s="8">
        <v>12.5</v>
      </c>
      <c r="G30" s="3">
        <v>22</v>
      </c>
    </row>
    <row r="31" spans="1:7" x14ac:dyDescent="0.25">
      <c r="A31" s="23"/>
      <c r="B31" s="17" t="s">
        <v>45</v>
      </c>
      <c r="C31" s="8">
        <v>29.8</v>
      </c>
      <c r="D31" s="3">
        <v>4</v>
      </c>
      <c r="F31" s="8">
        <v>36.1</v>
      </c>
      <c r="G31" s="3">
        <v>27</v>
      </c>
    </row>
    <row r="32" spans="1:7" x14ac:dyDescent="0.25">
      <c r="A32" s="23"/>
      <c r="B32" s="17" t="s">
        <v>46</v>
      </c>
      <c r="C32" s="8">
        <v>15</v>
      </c>
      <c r="D32" s="3">
        <v>9</v>
      </c>
      <c r="F32" s="8">
        <v>16.100000000000001</v>
      </c>
      <c r="G32" s="3">
        <v>10</v>
      </c>
    </row>
    <row r="33" spans="1:7" x14ac:dyDescent="0.25">
      <c r="A33" s="23"/>
      <c r="B33" s="17" t="s">
        <v>47</v>
      </c>
      <c r="C33" s="8">
        <v>11</v>
      </c>
      <c r="D33" s="3">
        <v>23</v>
      </c>
      <c r="F33" s="8">
        <v>11.2</v>
      </c>
      <c r="G33" s="3">
        <v>24</v>
      </c>
    </row>
    <row r="35" spans="1:7" x14ac:dyDescent="0.25">
      <c r="A35" s="23" t="s">
        <v>60</v>
      </c>
      <c r="B35" s="4" t="s">
        <v>8</v>
      </c>
      <c r="C35" s="8">
        <v>114.9</v>
      </c>
      <c r="D35" s="3">
        <v>2</v>
      </c>
      <c r="F35" s="8">
        <v>111.8</v>
      </c>
      <c r="G35" s="3">
        <v>3</v>
      </c>
    </row>
    <row r="36" spans="1:7" x14ac:dyDescent="0.25">
      <c r="A36" s="23"/>
      <c r="B36" s="4" t="s">
        <v>9</v>
      </c>
      <c r="C36" s="8">
        <v>110.1</v>
      </c>
      <c r="D36" s="3">
        <v>17</v>
      </c>
      <c r="F36" s="8">
        <v>107.3</v>
      </c>
      <c r="G36" s="3">
        <v>15</v>
      </c>
    </row>
    <row r="37" spans="1:7" x14ac:dyDescent="0.25">
      <c r="A37" s="23"/>
      <c r="B37" s="4" t="s">
        <v>10</v>
      </c>
      <c r="C37" s="8">
        <v>4.8</v>
      </c>
      <c r="D37" s="3">
        <v>5</v>
      </c>
      <c r="F37" s="8">
        <v>4.5999999999999996</v>
      </c>
      <c r="G37" s="3">
        <v>8</v>
      </c>
    </row>
    <row r="38" spans="1:7" x14ac:dyDescent="0.25">
      <c r="A38" s="23"/>
      <c r="B38" s="4" t="s">
        <v>11</v>
      </c>
      <c r="C38" s="13">
        <v>98.39</v>
      </c>
      <c r="D38" s="3">
        <v>27</v>
      </c>
      <c r="F38" s="13">
        <v>105.43</v>
      </c>
      <c r="G38" s="3">
        <v>3</v>
      </c>
    </row>
    <row r="39" spans="1:7" x14ac:dyDescent="0.25">
      <c r="A39" s="23"/>
      <c r="B39" s="4" t="s">
        <v>12</v>
      </c>
      <c r="C39" s="10">
        <v>0.54200000000000004</v>
      </c>
      <c r="D39" s="3">
        <v>4</v>
      </c>
      <c r="F39" s="9">
        <v>0.52700000000000002</v>
      </c>
      <c r="G39" s="3">
        <v>11</v>
      </c>
    </row>
    <row r="40" spans="1:7" x14ac:dyDescent="0.25">
      <c r="A40" s="23"/>
      <c r="B40" s="4" t="s">
        <v>13</v>
      </c>
      <c r="C40" s="10">
        <v>0.54100000000000004</v>
      </c>
      <c r="D40" s="3">
        <v>28</v>
      </c>
      <c r="F40" s="9">
        <v>0.52400000000000002</v>
      </c>
      <c r="G40" s="3">
        <v>28</v>
      </c>
    </row>
    <row r="41" spans="1:7" x14ac:dyDescent="0.25">
      <c r="A41" s="23"/>
      <c r="B41" s="4" t="s">
        <v>14</v>
      </c>
      <c r="C41" s="10">
        <v>0.48099999999999998</v>
      </c>
      <c r="D41" s="3">
        <v>28</v>
      </c>
      <c r="F41" s="9">
        <v>0.49299999999999999</v>
      </c>
      <c r="G41" s="3">
        <v>18</v>
      </c>
    </row>
    <row r="42" spans="1:7" x14ac:dyDescent="0.25">
      <c r="A42" s="23"/>
      <c r="B42" s="4" t="s">
        <v>15</v>
      </c>
      <c r="C42" s="10">
        <v>0.26900000000000002</v>
      </c>
      <c r="D42" s="3">
        <v>16</v>
      </c>
      <c r="F42" s="9">
        <v>0.26400000000000001</v>
      </c>
      <c r="G42" s="3">
        <v>22</v>
      </c>
    </row>
    <row r="43" spans="1:7" x14ac:dyDescent="0.25">
      <c r="A43" s="23"/>
      <c r="B43" s="4" t="s">
        <v>16</v>
      </c>
      <c r="C43" s="10">
        <v>0.7</v>
      </c>
      <c r="D43" s="3">
        <v>29</v>
      </c>
      <c r="F43" s="9">
        <v>0.72299999999999998</v>
      </c>
      <c r="G43" s="3">
        <v>20</v>
      </c>
    </row>
    <row r="44" spans="1:7" x14ac:dyDescent="0.25">
      <c r="A44" s="23"/>
      <c r="B44" s="4" t="s">
        <v>17</v>
      </c>
      <c r="C44" s="10">
        <v>0.13500000000000001</v>
      </c>
      <c r="D44" s="3">
        <v>9</v>
      </c>
      <c r="F44" s="9">
        <v>0.14899999999999999</v>
      </c>
      <c r="G44" s="3">
        <v>12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81.099999999999994</v>
      </c>
      <c r="D46" s="3">
        <v>3</v>
      </c>
      <c r="F46" s="8">
        <v>77.2</v>
      </c>
      <c r="G46" s="3">
        <v>2</v>
      </c>
    </row>
    <row r="47" spans="1:7" x14ac:dyDescent="0.25">
      <c r="A47" s="23"/>
      <c r="B47" s="20" t="s">
        <v>49</v>
      </c>
      <c r="C47" s="8">
        <v>77.5</v>
      </c>
      <c r="D47" s="3">
        <v>29</v>
      </c>
      <c r="F47" s="8">
        <v>73.7</v>
      </c>
      <c r="G47" s="3">
        <v>24</v>
      </c>
    </row>
    <row r="48" spans="1:7" x14ac:dyDescent="0.25">
      <c r="A48" s="23"/>
      <c r="B48" s="20" t="s">
        <v>50</v>
      </c>
      <c r="C48" s="8">
        <v>3.5</v>
      </c>
      <c r="D48" s="3">
        <v>7</v>
      </c>
      <c r="F48" s="8">
        <v>3.5</v>
      </c>
      <c r="G48" s="3">
        <v>11</v>
      </c>
    </row>
    <row r="49" spans="1:7" x14ac:dyDescent="0.25">
      <c r="A49" s="23"/>
      <c r="B49" s="20" t="s">
        <v>51</v>
      </c>
      <c r="C49" s="8">
        <v>49.8</v>
      </c>
      <c r="D49" s="3">
        <v>29</v>
      </c>
      <c r="F49" s="8">
        <v>49.2</v>
      </c>
      <c r="G49" s="3">
        <v>28</v>
      </c>
    </row>
    <row r="50" spans="1:7" x14ac:dyDescent="0.25">
      <c r="A50" s="23"/>
      <c r="B50" s="20" t="s">
        <v>52</v>
      </c>
      <c r="C50" s="8">
        <v>47.7</v>
      </c>
      <c r="D50" s="3">
        <v>1</v>
      </c>
      <c r="F50" s="8">
        <v>47.2</v>
      </c>
      <c r="G50" s="3">
        <v>2</v>
      </c>
    </row>
    <row r="51" spans="1:7" x14ac:dyDescent="0.25">
      <c r="A51" s="23"/>
      <c r="B51" s="20" t="s">
        <v>53</v>
      </c>
      <c r="C51" s="8">
        <v>2.1</v>
      </c>
      <c r="D51" s="3">
        <v>3</v>
      </c>
      <c r="F51" s="8">
        <v>2</v>
      </c>
      <c r="G51" s="3">
        <v>8</v>
      </c>
    </row>
    <row r="53" spans="1:7" x14ac:dyDescent="0.25">
      <c r="A53" s="23" t="s">
        <v>57</v>
      </c>
      <c r="B53" s="6" t="s">
        <v>18</v>
      </c>
      <c r="C53" s="7">
        <v>18</v>
      </c>
      <c r="D53" s="3">
        <v>6</v>
      </c>
      <c r="F53" s="7">
        <v>18.899999999999999</v>
      </c>
      <c r="G53" s="3">
        <v>10</v>
      </c>
    </row>
    <row r="54" spans="1:7" x14ac:dyDescent="0.25">
      <c r="A54" s="23"/>
      <c r="B54" s="6" t="s">
        <v>19</v>
      </c>
      <c r="C54" s="7">
        <v>16.3</v>
      </c>
      <c r="D54" s="3">
        <v>14</v>
      </c>
      <c r="F54" s="7">
        <v>19.2</v>
      </c>
      <c r="G54" s="3">
        <v>24</v>
      </c>
    </row>
    <row r="55" spans="1:7" x14ac:dyDescent="0.25">
      <c r="A55" s="23"/>
      <c r="B55" s="6" t="s">
        <v>20</v>
      </c>
      <c r="C55" s="7">
        <v>13.1</v>
      </c>
      <c r="D55" s="3">
        <v>16</v>
      </c>
      <c r="F55" s="7">
        <v>15.1</v>
      </c>
      <c r="G55" s="3">
        <v>5</v>
      </c>
    </row>
    <row r="56" spans="1:7" x14ac:dyDescent="0.25">
      <c r="A56" s="23"/>
      <c r="B56" s="6" t="s">
        <v>21</v>
      </c>
      <c r="C56" s="7">
        <v>13.7</v>
      </c>
      <c r="D56" s="3">
        <v>17</v>
      </c>
      <c r="F56" s="7">
        <v>13.7</v>
      </c>
      <c r="G56" s="3">
        <v>19</v>
      </c>
    </row>
    <row r="57" spans="1:7" x14ac:dyDescent="0.25">
      <c r="A57" s="23"/>
      <c r="B57" s="6" t="s">
        <v>22</v>
      </c>
      <c r="C57" s="7">
        <v>12</v>
      </c>
      <c r="D57" s="3">
        <v>12</v>
      </c>
      <c r="F57" s="7">
        <v>15.2</v>
      </c>
      <c r="G57" s="3">
        <v>15.2</v>
      </c>
    </row>
    <row r="58" spans="1:7" x14ac:dyDescent="0.25">
      <c r="A58" s="23"/>
      <c r="B58" s="6" t="s">
        <v>23</v>
      </c>
      <c r="C58" s="7">
        <v>13.8</v>
      </c>
      <c r="D58" s="3">
        <v>13.8</v>
      </c>
      <c r="F58" s="7">
        <v>16.399999999999999</v>
      </c>
      <c r="G58" s="3">
        <v>16.399999999999999</v>
      </c>
    </row>
    <row r="59" spans="1:7" x14ac:dyDescent="0.25">
      <c r="A59" s="23"/>
      <c r="B59" s="6" t="s">
        <v>24</v>
      </c>
      <c r="C59" s="7">
        <v>42.1</v>
      </c>
      <c r="D59" s="3">
        <v>30</v>
      </c>
      <c r="F59" s="7">
        <v>45.3</v>
      </c>
      <c r="G59" s="3">
        <v>22</v>
      </c>
    </row>
    <row r="60" spans="1:7" x14ac:dyDescent="0.25">
      <c r="A60" s="23"/>
      <c r="B60" s="6" t="s">
        <v>25</v>
      </c>
      <c r="C60" s="7">
        <v>51.8</v>
      </c>
      <c r="D60" s="3">
        <v>28</v>
      </c>
      <c r="F60" s="7">
        <v>51.2</v>
      </c>
      <c r="G60" s="3">
        <v>27</v>
      </c>
    </row>
    <row r="62" spans="1:7" x14ac:dyDescent="0.25">
      <c r="A62" s="23" t="s">
        <v>58</v>
      </c>
      <c r="B62" s="21" t="s">
        <v>54</v>
      </c>
      <c r="C62" s="22">
        <v>3.6</v>
      </c>
      <c r="D62" s="3">
        <v>19</v>
      </c>
      <c r="F62" s="22">
        <v>3.1</v>
      </c>
      <c r="G62" s="3">
        <v>26</v>
      </c>
    </row>
    <row r="63" spans="1:7" x14ac:dyDescent="0.25">
      <c r="A63" s="23"/>
      <c r="B63" s="21" t="s">
        <v>55</v>
      </c>
      <c r="C63" s="3">
        <v>24</v>
      </c>
      <c r="D63" s="3">
        <v>5</v>
      </c>
      <c r="F63" s="3">
        <v>4</v>
      </c>
      <c r="G63" s="3">
        <v>12</v>
      </c>
    </row>
    <row r="64" spans="1:7" x14ac:dyDescent="0.25">
      <c r="A64" s="23"/>
      <c r="B64" s="21" t="s">
        <v>56</v>
      </c>
      <c r="C64" s="3">
        <v>17</v>
      </c>
      <c r="D64" s="3">
        <v>8</v>
      </c>
      <c r="F64" s="3">
        <v>2</v>
      </c>
      <c r="G64" s="3">
        <v>4</v>
      </c>
    </row>
    <row r="65" spans="1:7" x14ac:dyDescent="0.25">
      <c r="A65" s="23"/>
      <c r="B65" s="21" t="s">
        <v>26</v>
      </c>
      <c r="C65" s="9">
        <v>0.38800000000000001</v>
      </c>
      <c r="D65" s="3">
        <v>29</v>
      </c>
      <c r="F65" s="9">
        <v>0.35499999999999998</v>
      </c>
      <c r="G65" s="3">
        <v>28</v>
      </c>
    </row>
    <row r="66" spans="1:7" x14ac:dyDescent="0.25">
      <c r="A66" s="23"/>
      <c r="B66" s="21" t="s">
        <v>42</v>
      </c>
      <c r="C66" s="9">
        <v>0.45</v>
      </c>
      <c r="D66" s="3">
        <v>24</v>
      </c>
      <c r="F66" s="9">
        <v>0.40500000000000003</v>
      </c>
      <c r="G66" s="3">
        <v>16</v>
      </c>
    </row>
    <row r="67" spans="1:7" x14ac:dyDescent="0.25">
      <c r="A67" s="23"/>
      <c r="B67" s="21" t="s">
        <v>8</v>
      </c>
      <c r="C67" s="8">
        <v>110.7</v>
      </c>
      <c r="D67" s="3">
        <v>11</v>
      </c>
      <c r="F67" s="8">
        <v>120.5</v>
      </c>
      <c r="G67" s="3">
        <v>7</v>
      </c>
    </row>
    <row r="68" spans="1:7" x14ac:dyDescent="0.25">
      <c r="A68" s="23"/>
      <c r="B68" s="21" t="s">
        <v>9</v>
      </c>
      <c r="C68" s="8">
        <v>113.6</v>
      </c>
      <c r="D68" s="3">
        <v>27</v>
      </c>
      <c r="F68" s="8">
        <v>97.7</v>
      </c>
      <c r="G68" s="3">
        <v>6</v>
      </c>
    </row>
    <row r="69" spans="1:7" x14ac:dyDescent="0.25">
      <c r="A69" s="23"/>
      <c r="B69" s="21" t="s">
        <v>10</v>
      </c>
      <c r="C69" s="8">
        <v>-2.9</v>
      </c>
      <c r="D69" s="3">
        <v>19</v>
      </c>
      <c r="F69" s="8">
        <v>22.7</v>
      </c>
      <c r="G69" s="3">
        <v>5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8"/>
  <sheetViews>
    <sheetView workbookViewId="0">
      <selection activeCell="D2" sqref="D2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1610612745</v>
      </c>
      <c r="B2" s="1" t="s">
        <v>755</v>
      </c>
      <c r="C2" s="1" t="s">
        <v>145</v>
      </c>
      <c r="D2" s="1" t="s">
        <v>1344</v>
      </c>
      <c r="E2" s="1" t="s">
        <v>1345</v>
      </c>
      <c r="F2" s="1" t="s">
        <v>759</v>
      </c>
      <c r="G2" s="1" t="s">
        <v>256</v>
      </c>
      <c r="H2" s="1" t="s">
        <v>1346</v>
      </c>
      <c r="I2" s="1" t="s">
        <v>1347</v>
      </c>
      <c r="J2" s="1">
        <v>31</v>
      </c>
      <c r="K2" s="1" t="s">
        <v>1333</v>
      </c>
      <c r="L2" s="1" t="s">
        <v>1348</v>
      </c>
      <c r="M2" s="1">
        <v>201566</v>
      </c>
    </row>
    <row r="3" spans="1:13" x14ac:dyDescent="0.25">
      <c r="A3" s="1">
        <v>1610612745</v>
      </c>
      <c r="B3" s="1" t="s">
        <v>755</v>
      </c>
      <c r="C3" s="1" t="s">
        <v>145</v>
      </c>
      <c r="D3" s="1" t="s">
        <v>1349</v>
      </c>
      <c r="E3" s="1" t="s">
        <v>760</v>
      </c>
      <c r="F3" s="1" t="s">
        <v>759</v>
      </c>
      <c r="G3" s="1" t="s">
        <v>363</v>
      </c>
      <c r="H3" s="1" t="s">
        <v>1350</v>
      </c>
      <c r="I3" s="1" t="s">
        <v>1351</v>
      </c>
      <c r="J3" s="1">
        <v>22</v>
      </c>
      <c r="K3" s="1" t="s">
        <v>758</v>
      </c>
      <c r="L3" s="1" t="s">
        <v>1352</v>
      </c>
      <c r="M3" s="1">
        <v>1629598</v>
      </c>
    </row>
    <row r="4" spans="1:13" x14ac:dyDescent="0.25">
      <c r="A4" s="1">
        <v>1610612745</v>
      </c>
      <c r="B4" s="1" t="s">
        <v>755</v>
      </c>
      <c r="C4" s="1" t="s">
        <v>145</v>
      </c>
      <c r="D4" s="1" t="s">
        <v>1353</v>
      </c>
      <c r="E4" s="1" t="s">
        <v>761</v>
      </c>
      <c r="F4" s="1" t="s">
        <v>1354</v>
      </c>
      <c r="G4" s="1" t="s">
        <v>763</v>
      </c>
      <c r="H4" s="1" t="s">
        <v>765</v>
      </c>
      <c r="I4" s="1" t="s">
        <v>1355</v>
      </c>
      <c r="J4" s="1">
        <v>26</v>
      </c>
      <c r="K4" s="1" t="s">
        <v>760</v>
      </c>
      <c r="L4" s="1" t="s">
        <v>1356</v>
      </c>
      <c r="M4" s="1">
        <v>1627863</v>
      </c>
    </row>
    <row r="5" spans="1:13" x14ac:dyDescent="0.25">
      <c r="A5" s="1">
        <v>1610612745</v>
      </c>
      <c r="B5" s="1" t="s">
        <v>755</v>
      </c>
      <c r="C5" s="1" t="s">
        <v>145</v>
      </c>
      <c r="D5" s="1" t="s">
        <v>1357</v>
      </c>
      <c r="E5" s="1" t="s">
        <v>1332</v>
      </c>
      <c r="F5" s="1" t="s">
        <v>764</v>
      </c>
      <c r="G5" s="1" t="s">
        <v>763</v>
      </c>
      <c r="H5" s="1" t="s">
        <v>1358</v>
      </c>
      <c r="I5" s="1" t="s">
        <v>1359</v>
      </c>
      <c r="J5" s="1">
        <v>25</v>
      </c>
      <c r="K5" s="1" t="s">
        <v>756</v>
      </c>
      <c r="L5" s="1" t="s">
        <v>1360</v>
      </c>
      <c r="M5" s="1">
        <v>1629109</v>
      </c>
    </row>
    <row r="6" spans="1:13" x14ac:dyDescent="0.25">
      <c r="A6" s="1">
        <v>1610612745</v>
      </c>
      <c r="B6" s="1" t="s">
        <v>755</v>
      </c>
      <c r="C6" s="1" t="s">
        <v>145</v>
      </c>
      <c r="D6" s="1" t="s">
        <v>1361</v>
      </c>
      <c r="E6" s="1" t="s">
        <v>1336</v>
      </c>
      <c r="F6" s="1" t="s">
        <v>759</v>
      </c>
      <c r="G6" s="1" t="s">
        <v>256</v>
      </c>
      <c r="H6" s="1" t="s">
        <v>1331</v>
      </c>
      <c r="I6" s="1" t="s">
        <v>1362</v>
      </c>
      <c r="J6" s="1">
        <v>30</v>
      </c>
      <c r="K6" s="1" t="s">
        <v>1333</v>
      </c>
      <c r="L6" s="1" t="s">
        <v>288</v>
      </c>
      <c r="M6" s="1">
        <v>201569</v>
      </c>
    </row>
    <row r="7" spans="1:13" x14ac:dyDescent="0.25">
      <c r="A7" s="1">
        <v>1610612745</v>
      </c>
      <c r="B7" s="1" t="s">
        <v>755</v>
      </c>
      <c r="C7" s="1" t="s">
        <v>145</v>
      </c>
      <c r="D7" s="1" t="s">
        <v>1363</v>
      </c>
      <c r="E7" s="1" t="s">
        <v>1334</v>
      </c>
      <c r="F7" s="1" t="s">
        <v>759</v>
      </c>
      <c r="G7" s="1" t="s">
        <v>286</v>
      </c>
      <c r="H7" s="1" t="s">
        <v>765</v>
      </c>
      <c r="I7" s="1" t="s">
        <v>1364</v>
      </c>
      <c r="J7" s="1">
        <v>30</v>
      </c>
      <c r="K7" s="1" t="s">
        <v>1336</v>
      </c>
      <c r="L7" s="1" t="s">
        <v>1365</v>
      </c>
      <c r="M7" s="1">
        <v>201935</v>
      </c>
    </row>
    <row r="8" spans="1:13" x14ac:dyDescent="0.25">
      <c r="A8" s="1">
        <v>1610612745</v>
      </c>
      <c r="B8" s="1" t="s">
        <v>755</v>
      </c>
      <c r="C8" s="1" t="s">
        <v>145</v>
      </c>
      <c r="D8" s="1" t="s">
        <v>1366</v>
      </c>
      <c r="E8" s="1" t="s">
        <v>1340</v>
      </c>
      <c r="F8" s="1" t="s">
        <v>757</v>
      </c>
      <c r="G8" s="1" t="s">
        <v>763</v>
      </c>
      <c r="H8" s="1" t="s">
        <v>1330</v>
      </c>
      <c r="I8" s="1" t="s">
        <v>1367</v>
      </c>
      <c r="J8" s="1">
        <v>33</v>
      </c>
      <c r="K8" s="1" t="s">
        <v>1368</v>
      </c>
      <c r="L8" s="1" t="s">
        <v>1369</v>
      </c>
      <c r="M8" s="1">
        <v>101123</v>
      </c>
    </row>
    <row r="9" spans="1:13" x14ac:dyDescent="0.25">
      <c r="A9" s="1">
        <v>1610612745</v>
      </c>
      <c r="B9" s="1" t="s">
        <v>755</v>
      </c>
      <c r="C9" s="1" t="s">
        <v>145</v>
      </c>
      <c r="D9" s="1" t="s">
        <v>1370</v>
      </c>
      <c r="E9" s="1" t="s">
        <v>1341</v>
      </c>
      <c r="F9" s="1" t="s">
        <v>1337</v>
      </c>
      <c r="G9" s="1" t="s">
        <v>410</v>
      </c>
      <c r="H9" s="1" t="s">
        <v>1371</v>
      </c>
      <c r="I9" s="1" t="s">
        <v>1372</v>
      </c>
      <c r="J9" s="1">
        <v>25</v>
      </c>
      <c r="K9" s="1" t="s">
        <v>762</v>
      </c>
      <c r="L9" s="1" t="s">
        <v>1373</v>
      </c>
      <c r="M9" s="1">
        <v>203991</v>
      </c>
    </row>
    <row r="10" spans="1:13" x14ac:dyDescent="0.25">
      <c r="A10" s="1">
        <v>1610612745</v>
      </c>
      <c r="B10" s="1" t="s">
        <v>755</v>
      </c>
      <c r="C10" s="1" t="s">
        <v>145</v>
      </c>
      <c r="D10" s="1" t="s">
        <v>1374</v>
      </c>
      <c r="E10" s="1" t="s">
        <v>1375</v>
      </c>
      <c r="F10" s="1" t="s">
        <v>759</v>
      </c>
      <c r="G10" s="1" t="s">
        <v>256</v>
      </c>
      <c r="H10" s="1" t="s">
        <v>1376</v>
      </c>
      <c r="I10" s="1" t="s">
        <v>1377</v>
      </c>
      <c r="J10" s="1">
        <v>26</v>
      </c>
      <c r="K10" s="1" t="s">
        <v>1332</v>
      </c>
      <c r="L10" s="1" t="s">
        <v>1378</v>
      </c>
      <c r="M10" s="1">
        <v>203463</v>
      </c>
    </row>
    <row r="11" spans="1:13" x14ac:dyDescent="0.25">
      <c r="A11" s="1">
        <v>1610612745</v>
      </c>
      <c r="B11" s="1" t="s">
        <v>755</v>
      </c>
      <c r="C11" s="1" t="s">
        <v>145</v>
      </c>
      <c r="D11" s="1" t="s">
        <v>1379</v>
      </c>
      <c r="E11" s="1" t="s">
        <v>1380</v>
      </c>
      <c r="F11" s="1" t="s">
        <v>764</v>
      </c>
      <c r="G11" s="1" t="s">
        <v>286</v>
      </c>
      <c r="H11" s="1" t="s">
        <v>1381</v>
      </c>
      <c r="I11" s="1" t="s">
        <v>1382</v>
      </c>
      <c r="J11" s="1">
        <v>34</v>
      </c>
      <c r="K11" s="1" t="s">
        <v>1338</v>
      </c>
      <c r="L11" s="1" t="s">
        <v>1383</v>
      </c>
      <c r="M11" s="1">
        <v>200782</v>
      </c>
    </row>
    <row r="12" spans="1:13" x14ac:dyDescent="0.25">
      <c r="A12" s="1">
        <v>1610612745</v>
      </c>
      <c r="B12" s="1" t="s">
        <v>755</v>
      </c>
      <c r="C12" s="1" t="s">
        <v>145</v>
      </c>
      <c r="D12" s="1" t="s">
        <v>1384</v>
      </c>
      <c r="E12" s="1" t="s">
        <v>1385</v>
      </c>
      <c r="F12" s="1" t="s">
        <v>1354</v>
      </c>
      <c r="G12" s="1" t="s">
        <v>763</v>
      </c>
      <c r="H12" s="1" t="s">
        <v>1331</v>
      </c>
      <c r="I12" s="1" t="s">
        <v>1386</v>
      </c>
      <c r="J12" s="1">
        <v>35</v>
      </c>
      <c r="K12" s="1" t="s">
        <v>1334</v>
      </c>
      <c r="L12" s="1" t="s">
        <v>1329</v>
      </c>
      <c r="M12" s="1">
        <v>200757</v>
      </c>
    </row>
    <row r="13" spans="1:13" x14ac:dyDescent="0.25">
      <c r="A13" s="1">
        <v>1610612745</v>
      </c>
      <c r="B13" s="1" t="s">
        <v>755</v>
      </c>
      <c r="C13" s="1" t="s">
        <v>145</v>
      </c>
      <c r="D13" s="1" t="s">
        <v>1387</v>
      </c>
      <c r="E13" s="1" t="s">
        <v>1388</v>
      </c>
      <c r="F13" s="1" t="s">
        <v>1337</v>
      </c>
      <c r="G13" s="1" t="s">
        <v>767</v>
      </c>
      <c r="H13" s="1" t="s">
        <v>1389</v>
      </c>
      <c r="I13" s="1" t="s">
        <v>1390</v>
      </c>
      <c r="J13" s="1">
        <v>37</v>
      </c>
      <c r="K13" s="1" t="s">
        <v>1385</v>
      </c>
      <c r="L13" s="1" t="s">
        <v>1369</v>
      </c>
      <c r="M13" s="1">
        <v>2199</v>
      </c>
    </row>
    <row r="14" spans="1:13" x14ac:dyDescent="0.25">
      <c r="A14" s="1">
        <v>1610612745</v>
      </c>
      <c r="B14" s="1" t="s">
        <v>755</v>
      </c>
      <c r="C14" s="1" t="s">
        <v>145</v>
      </c>
      <c r="D14" s="1" t="s">
        <v>1391</v>
      </c>
      <c r="E14" s="1" t="s">
        <v>1392</v>
      </c>
      <c r="F14" s="1" t="s">
        <v>759</v>
      </c>
      <c r="G14" s="1" t="s">
        <v>256</v>
      </c>
      <c r="H14" s="1" t="s">
        <v>1346</v>
      </c>
      <c r="I14" s="1" t="s">
        <v>1393</v>
      </c>
      <c r="J14" s="1">
        <v>25</v>
      </c>
      <c r="K14" s="1" t="s">
        <v>758</v>
      </c>
      <c r="L14" s="1" t="s">
        <v>1394</v>
      </c>
      <c r="M14" s="1">
        <v>1626187</v>
      </c>
    </row>
    <row r="15" spans="1:13" x14ac:dyDescent="0.25">
      <c r="A15" s="1">
        <v>1610612745</v>
      </c>
      <c r="B15" s="1" t="s">
        <v>755</v>
      </c>
      <c r="C15" s="1" t="s">
        <v>145</v>
      </c>
      <c r="D15" s="1" t="s">
        <v>1395</v>
      </c>
      <c r="E15" s="1" t="s">
        <v>1343</v>
      </c>
      <c r="F15" s="1" t="s">
        <v>759</v>
      </c>
      <c r="G15" s="1" t="s">
        <v>256</v>
      </c>
      <c r="H15" s="1" t="s">
        <v>1346</v>
      </c>
      <c r="I15" s="1" t="s">
        <v>1396</v>
      </c>
      <c r="J15" s="1">
        <v>27</v>
      </c>
      <c r="K15" s="1" t="s">
        <v>1335</v>
      </c>
      <c r="L15" s="1" t="s">
        <v>766</v>
      </c>
      <c r="M15" s="1">
        <v>203085</v>
      </c>
    </row>
    <row r="16" spans="1:13" x14ac:dyDescent="0.25">
      <c r="A16" s="1">
        <v>1610612745</v>
      </c>
      <c r="B16" s="1" t="s">
        <v>755</v>
      </c>
      <c r="C16" s="1" t="s">
        <v>145</v>
      </c>
      <c r="D16" s="1" t="s">
        <v>1397</v>
      </c>
      <c r="E16" s="1" t="s">
        <v>1398</v>
      </c>
      <c r="F16" s="1" t="s">
        <v>1339</v>
      </c>
      <c r="G16" s="1" t="s">
        <v>1342</v>
      </c>
      <c r="H16" s="1" t="s">
        <v>1399</v>
      </c>
      <c r="I16" s="1" t="s">
        <v>1400</v>
      </c>
      <c r="J16" s="1">
        <v>37</v>
      </c>
      <c r="K16" s="1" t="s">
        <v>1380</v>
      </c>
      <c r="L16" s="1" t="s">
        <v>1329</v>
      </c>
      <c r="M16" s="1">
        <v>2403</v>
      </c>
    </row>
    <row r="17" spans="1:13" x14ac:dyDescent="0.25">
      <c r="A17" s="1">
        <v>1610612745</v>
      </c>
      <c r="B17" s="1" t="s">
        <v>755</v>
      </c>
      <c r="C17" s="1" t="s">
        <v>145</v>
      </c>
      <c r="D17" s="1" t="s">
        <v>1401</v>
      </c>
      <c r="E17" s="1" t="s">
        <v>1402</v>
      </c>
      <c r="F17" s="1" t="s">
        <v>1339</v>
      </c>
      <c r="G17" s="1" t="s">
        <v>767</v>
      </c>
      <c r="H17" s="1" t="s">
        <v>1399</v>
      </c>
      <c r="I17" s="1" t="s">
        <v>1403</v>
      </c>
      <c r="J17" s="1">
        <v>21</v>
      </c>
      <c r="K17" s="1" t="s">
        <v>756</v>
      </c>
      <c r="L17" s="1" t="s">
        <v>1329</v>
      </c>
      <c r="M17" s="1">
        <v>1628392</v>
      </c>
    </row>
    <row r="18" spans="1:1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1610612747</v>
      </c>
      <c r="D2" s="1" t="s">
        <v>147</v>
      </c>
      <c r="E2" s="1" t="s">
        <v>148</v>
      </c>
      <c r="F2" s="1" t="s">
        <v>149</v>
      </c>
      <c r="G2" s="1" t="s">
        <v>150</v>
      </c>
      <c r="H2" s="1">
        <v>1</v>
      </c>
      <c r="I2" s="1" t="s">
        <v>151</v>
      </c>
      <c r="J2" s="1" t="s">
        <v>152</v>
      </c>
      <c r="K2" s="1" t="s">
        <v>153</v>
      </c>
      <c r="L2" s="1">
        <v>1</v>
      </c>
      <c r="M2" s="1">
        <v>12</v>
      </c>
      <c r="N2" s="1">
        <v>2</v>
      </c>
      <c r="O2" s="1">
        <v>0.85699999999999998</v>
      </c>
      <c r="P2" s="1">
        <v>0</v>
      </c>
      <c r="Q2" s="1" t="s">
        <v>154</v>
      </c>
      <c r="R2" s="1" t="s">
        <v>150</v>
      </c>
      <c r="S2" s="1" t="s">
        <v>155</v>
      </c>
      <c r="T2" s="1" t="s">
        <v>156</v>
      </c>
      <c r="U2" s="1" t="s">
        <v>150</v>
      </c>
      <c r="V2" s="1" t="s">
        <v>155</v>
      </c>
      <c r="W2" s="1" t="s">
        <v>157</v>
      </c>
      <c r="X2" s="1" t="s">
        <v>157</v>
      </c>
      <c r="Y2" s="1" t="s">
        <v>158</v>
      </c>
      <c r="Z2" s="1">
        <v>4</v>
      </c>
      <c r="AA2" s="1" t="s">
        <v>159</v>
      </c>
      <c r="AB2" s="1">
        <v>4</v>
      </c>
      <c r="AC2" s="1" t="s">
        <v>159</v>
      </c>
      <c r="AD2" s="1">
        <v>7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5</v>
      </c>
      <c r="AK2" s="1" t="s">
        <v>160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156</v>
      </c>
      <c r="AT2" s="1" t="s">
        <v>153</v>
      </c>
      <c r="AU2" s="1" t="s">
        <v>161</v>
      </c>
      <c r="AV2" s="1" t="s">
        <v>162</v>
      </c>
      <c r="AW2" s="1" t="s">
        <v>163</v>
      </c>
      <c r="AX2" s="1" t="s">
        <v>164</v>
      </c>
      <c r="AY2" s="1" t="s">
        <v>165</v>
      </c>
      <c r="AZ2" s="1" t="s">
        <v>166</v>
      </c>
      <c r="BA2" s="1" t="s">
        <v>166</v>
      </c>
      <c r="BB2" s="1" t="s">
        <v>167</v>
      </c>
      <c r="BC2" s="1" t="s">
        <v>156</v>
      </c>
      <c r="BD2" s="1" t="s">
        <v>168</v>
      </c>
      <c r="BE2" s="1">
        <v>110.9</v>
      </c>
      <c r="BF2" s="1">
        <v>101.1</v>
      </c>
      <c r="BG2" s="1">
        <v>9.8000000000000007</v>
      </c>
      <c r="BH2" s="1" t="s">
        <v>169</v>
      </c>
      <c r="BI2" s="1" t="s">
        <v>170</v>
      </c>
      <c r="BJ2" s="1" t="s">
        <v>171</v>
      </c>
      <c r="BK2" s="1" t="s">
        <v>172</v>
      </c>
      <c r="BL2" s="1" t="s">
        <v>173</v>
      </c>
      <c r="BM2" s="1" t="s">
        <v>174</v>
      </c>
      <c r="BN2" s="1" t="s">
        <v>175</v>
      </c>
      <c r="BO2" s="1" t="s">
        <v>172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175</v>
      </c>
      <c r="BZ2" s="1" t="s">
        <v>176</v>
      </c>
      <c r="CA2" s="1"/>
      <c r="CB2" s="1" t="s">
        <v>154</v>
      </c>
      <c r="CC2" s="1"/>
    </row>
    <row r="3" spans="1:81" x14ac:dyDescent="0.25">
      <c r="A3" s="1" t="s">
        <v>145</v>
      </c>
      <c r="B3" s="1" t="s">
        <v>146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180</v>
      </c>
      <c r="H3" s="1">
        <v>1</v>
      </c>
      <c r="I3" s="1" t="s">
        <v>151</v>
      </c>
      <c r="J3" s="1" t="s">
        <v>181</v>
      </c>
      <c r="K3" s="1" t="s">
        <v>182</v>
      </c>
      <c r="L3" s="1">
        <v>1</v>
      </c>
      <c r="M3" s="1">
        <v>12</v>
      </c>
      <c r="N3" s="1">
        <v>3</v>
      </c>
      <c r="O3" s="1">
        <v>0.8</v>
      </c>
      <c r="P3" s="1">
        <v>0</v>
      </c>
      <c r="Q3" s="1" t="s">
        <v>183</v>
      </c>
      <c r="R3" s="1" t="s">
        <v>155</v>
      </c>
      <c r="S3" s="1" t="s">
        <v>184</v>
      </c>
      <c r="T3" s="1" t="s">
        <v>156</v>
      </c>
      <c r="U3" s="1" t="s">
        <v>155</v>
      </c>
      <c r="V3" s="1" t="s">
        <v>184</v>
      </c>
      <c r="W3" s="1" t="s">
        <v>185</v>
      </c>
      <c r="X3" s="1" t="s">
        <v>186</v>
      </c>
      <c r="Y3" s="1" t="s">
        <v>187</v>
      </c>
      <c r="Z3" s="1">
        <v>4</v>
      </c>
      <c r="AA3" s="1" t="s">
        <v>159</v>
      </c>
      <c r="AB3" s="1">
        <v>4</v>
      </c>
      <c r="AC3" s="1" t="s">
        <v>159</v>
      </c>
      <c r="AD3" s="1">
        <v>6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6</v>
      </c>
      <c r="AK3" s="1" t="s">
        <v>188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184</v>
      </c>
      <c r="AT3" s="1" t="s">
        <v>155</v>
      </c>
      <c r="AU3" s="1" t="s">
        <v>161</v>
      </c>
      <c r="AV3" s="1" t="s">
        <v>189</v>
      </c>
      <c r="AW3" s="1" t="s">
        <v>190</v>
      </c>
      <c r="AX3" s="1" t="s">
        <v>161</v>
      </c>
      <c r="AY3" s="1" t="s">
        <v>191</v>
      </c>
      <c r="AZ3" s="1" t="s">
        <v>192</v>
      </c>
      <c r="BA3" s="1" t="s">
        <v>193</v>
      </c>
      <c r="BB3" s="1" t="s">
        <v>189</v>
      </c>
      <c r="BC3" s="1" t="s">
        <v>167</v>
      </c>
      <c r="BD3" s="1" t="s">
        <v>155</v>
      </c>
      <c r="BE3" s="1">
        <v>120.8</v>
      </c>
      <c r="BF3" s="1">
        <v>111.5</v>
      </c>
      <c r="BG3" s="1">
        <v>9.3000000000000007</v>
      </c>
      <c r="BH3" s="1" t="s">
        <v>194</v>
      </c>
      <c r="BI3" s="1" t="s">
        <v>195</v>
      </c>
      <c r="BJ3" s="1" t="s">
        <v>196</v>
      </c>
      <c r="BK3" s="1" t="s">
        <v>197</v>
      </c>
      <c r="BL3" s="1" t="s">
        <v>198</v>
      </c>
      <c r="BM3" s="1" t="s">
        <v>175</v>
      </c>
      <c r="BN3" s="1" t="s">
        <v>171</v>
      </c>
      <c r="BO3" s="1" t="s">
        <v>171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199</v>
      </c>
      <c r="BZ3" s="1" t="s">
        <v>200</v>
      </c>
      <c r="CA3" s="1"/>
      <c r="CB3" s="1" t="s">
        <v>183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1610612745</v>
      </c>
      <c r="D6" s="1" t="s">
        <v>229</v>
      </c>
      <c r="E6" s="1" t="s">
        <v>230</v>
      </c>
      <c r="F6" s="1" t="s">
        <v>149</v>
      </c>
      <c r="G6" s="1" t="s">
        <v>150</v>
      </c>
      <c r="H6" s="1">
        <v>3</v>
      </c>
      <c r="I6" s="1" t="s">
        <v>151</v>
      </c>
      <c r="J6" s="1" t="s">
        <v>231</v>
      </c>
      <c r="K6" s="1" t="s">
        <v>232</v>
      </c>
      <c r="L6" s="1">
        <v>1</v>
      </c>
      <c r="M6" s="1">
        <v>11</v>
      </c>
      <c r="N6" s="1">
        <v>4</v>
      </c>
      <c r="O6" s="1">
        <v>0.73299999999999998</v>
      </c>
      <c r="P6" s="1">
        <v>0</v>
      </c>
      <c r="Q6" s="1" t="s">
        <v>233</v>
      </c>
      <c r="R6" s="1" t="s">
        <v>187</v>
      </c>
      <c r="S6" s="1" t="s">
        <v>234</v>
      </c>
      <c r="T6" s="1" t="s">
        <v>184</v>
      </c>
      <c r="U6" s="1" t="s">
        <v>187</v>
      </c>
      <c r="V6" s="1" t="s">
        <v>234</v>
      </c>
      <c r="W6" s="1" t="s">
        <v>161</v>
      </c>
      <c r="X6" s="1" t="s">
        <v>163</v>
      </c>
      <c r="Y6" s="1" t="s">
        <v>235</v>
      </c>
      <c r="Z6" s="1">
        <v>6</v>
      </c>
      <c r="AA6" s="1" t="s">
        <v>188</v>
      </c>
      <c r="AB6" s="1">
        <v>4</v>
      </c>
      <c r="AC6" s="1" t="s">
        <v>159</v>
      </c>
      <c r="AD6" s="1">
        <v>8</v>
      </c>
      <c r="AE6" s="1">
        <v>2</v>
      </c>
      <c r="AF6" s="1">
        <v>6</v>
      </c>
      <c r="AG6" s="1" t="s">
        <v>188</v>
      </c>
      <c r="AH6" s="1">
        <v>-1</v>
      </c>
      <c r="AI6" s="1" t="s">
        <v>207</v>
      </c>
      <c r="AJ6" s="1">
        <v>-1</v>
      </c>
      <c r="AK6" s="1" t="s">
        <v>207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236</v>
      </c>
      <c r="AU6" s="1" t="s">
        <v>157</v>
      </c>
      <c r="AV6" s="1" t="s">
        <v>156</v>
      </c>
      <c r="AW6" s="1" t="s">
        <v>236</v>
      </c>
      <c r="AX6" s="1" t="s">
        <v>161</v>
      </c>
      <c r="AY6" s="1" t="s">
        <v>237</v>
      </c>
      <c r="AZ6" s="1" t="s">
        <v>238</v>
      </c>
      <c r="BA6" s="1" t="s">
        <v>226</v>
      </c>
      <c r="BB6" s="1" t="s">
        <v>205</v>
      </c>
      <c r="BC6" s="1" t="s">
        <v>187</v>
      </c>
      <c r="BD6" s="1" t="s">
        <v>187</v>
      </c>
      <c r="BE6" s="1">
        <v>117.9</v>
      </c>
      <c r="BF6" s="1">
        <v>113.1</v>
      </c>
      <c r="BG6" s="1">
        <v>4.7</v>
      </c>
      <c r="BH6" s="1" t="s">
        <v>239</v>
      </c>
      <c r="BI6" s="1" t="s">
        <v>170</v>
      </c>
      <c r="BJ6" s="1" t="s">
        <v>197</v>
      </c>
      <c r="BK6" s="1" t="s">
        <v>195</v>
      </c>
      <c r="BL6" s="1" t="s">
        <v>173</v>
      </c>
      <c r="BM6" s="1" t="s">
        <v>175</v>
      </c>
      <c r="BN6" s="1" t="s">
        <v>174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175</v>
      </c>
      <c r="BZ6" s="1" t="s">
        <v>240</v>
      </c>
      <c r="CA6" s="1"/>
      <c r="CB6" s="1" t="s">
        <v>233</v>
      </c>
      <c r="CC6" s="1"/>
    </row>
    <row r="7" spans="1:81" x14ac:dyDescent="0.25">
      <c r="A7" s="1" t="s">
        <v>145</v>
      </c>
      <c r="B7" s="1" t="s">
        <v>146</v>
      </c>
      <c r="C7" s="1">
        <v>1610612748</v>
      </c>
      <c r="D7" s="1" t="s">
        <v>241</v>
      </c>
      <c r="E7" s="1" t="s">
        <v>242</v>
      </c>
      <c r="F7" s="1" t="s">
        <v>179</v>
      </c>
      <c r="G7" s="1" t="s">
        <v>243</v>
      </c>
      <c r="H7" s="1">
        <v>3</v>
      </c>
      <c r="I7" s="1" t="s">
        <v>151</v>
      </c>
      <c r="J7" s="1" t="s">
        <v>244</v>
      </c>
      <c r="K7" s="1" t="s">
        <v>163</v>
      </c>
      <c r="L7" s="1">
        <v>1</v>
      </c>
      <c r="M7" s="1">
        <v>10</v>
      </c>
      <c r="N7" s="1">
        <v>3</v>
      </c>
      <c r="O7" s="1">
        <v>0.76900000000000002</v>
      </c>
      <c r="P7" s="1">
        <v>0</v>
      </c>
      <c r="Q7" s="1" t="s">
        <v>220</v>
      </c>
      <c r="R7" s="1" t="s">
        <v>243</v>
      </c>
      <c r="S7" s="1" t="s">
        <v>245</v>
      </c>
      <c r="T7" s="1" t="s">
        <v>184</v>
      </c>
      <c r="U7" s="1" t="s">
        <v>243</v>
      </c>
      <c r="V7" s="1" t="s">
        <v>245</v>
      </c>
      <c r="W7" s="1" t="s">
        <v>157</v>
      </c>
      <c r="X7" s="1" t="s">
        <v>161</v>
      </c>
      <c r="Y7" s="1" t="s">
        <v>180</v>
      </c>
      <c r="Z7" s="1">
        <v>6</v>
      </c>
      <c r="AA7" s="1" t="s">
        <v>188</v>
      </c>
      <c r="AB7" s="1">
        <v>1</v>
      </c>
      <c r="AC7" s="1" t="s">
        <v>246</v>
      </c>
      <c r="AD7" s="1">
        <v>4</v>
      </c>
      <c r="AE7" s="1">
        <v>1</v>
      </c>
      <c r="AF7" s="1">
        <v>6</v>
      </c>
      <c r="AG7" s="1" t="s">
        <v>188</v>
      </c>
      <c r="AH7" s="1">
        <v>1</v>
      </c>
      <c r="AI7" s="1" t="s">
        <v>246</v>
      </c>
      <c r="AJ7" s="1">
        <v>4</v>
      </c>
      <c r="AK7" s="1" t="s">
        <v>159</v>
      </c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224</v>
      </c>
      <c r="AU7" s="1" t="s">
        <v>161</v>
      </c>
      <c r="AV7" s="1" t="s">
        <v>150</v>
      </c>
      <c r="AW7" s="1" t="s">
        <v>224</v>
      </c>
      <c r="AX7" s="1" t="s">
        <v>161</v>
      </c>
      <c r="AY7" s="1" t="s">
        <v>210</v>
      </c>
      <c r="AZ7" s="1" t="s">
        <v>166</v>
      </c>
      <c r="BA7" s="1" t="s">
        <v>206</v>
      </c>
      <c r="BB7" s="1" t="s">
        <v>210</v>
      </c>
      <c r="BC7" s="1" t="s">
        <v>247</v>
      </c>
      <c r="BD7" s="1" t="s">
        <v>208</v>
      </c>
      <c r="BE7" s="1">
        <v>112.2</v>
      </c>
      <c r="BF7" s="1">
        <v>103.7</v>
      </c>
      <c r="BG7" s="1">
        <v>8.5</v>
      </c>
      <c r="BH7" s="1" t="s">
        <v>248</v>
      </c>
      <c r="BI7" s="1" t="s">
        <v>215</v>
      </c>
      <c r="BJ7" s="1" t="s">
        <v>196</v>
      </c>
      <c r="BK7" s="1" t="s">
        <v>174</v>
      </c>
      <c r="BL7" s="1" t="s">
        <v>249</v>
      </c>
      <c r="BM7" s="1" t="s">
        <v>250</v>
      </c>
      <c r="BN7" s="1" t="s">
        <v>195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169</v>
      </c>
      <c r="BZ7" s="1" t="s">
        <v>227</v>
      </c>
      <c r="CA7" s="1"/>
      <c r="CB7" s="1" t="s">
        <v>220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262</v>
      </c>
      <c r="H22" s="1">
        <v>11</v>
      </c>
      <c r="I22" s="1" t="s">
        <v>151</v>
      </c>
      <c r="J22" s="1" t="s">
        <v>244</v>
      </c>
      <c r="K22" s="1" t="s">
        <v>185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351</v>
      </c>
      <c r="R22" s="1" t="s">
        <v>236</v>
      </c>
      <c r="S22" s="1" t="s">
        <v>300</v>
      </c>
      <c r="T22" s="1" t="s">
        <v>341</v>
      </c>
      <c r="U22" s="1" t="s">
        <v>236</v>
      </c>
      <c r="V22" s="1" t="s">
        <v>300</v>
      </c>
      <c r="W22" s="1" t="s">
        <v>161</v>
      </c>
      <c r="X22" s="1" t="s">
        <v>164</v>
      </c>
      <c r="Y22" s="1" t="s">
        <v>226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1</v>
      </c>
      <c r="AE22" s="1">
        <v>3</v>
      </c>
      <c r="AF22" s="1">
        <v>1</v>
      </c>
      <c r="AG22" s="1" t="s">
        <v>246</v>
      </c>
      <c r="AH22" s="1">
        <v>-1</v>
      </c>
      <c r="AI22" s="1" t="s">
        <v>207</v>
      </c>
      <c r="AJ22" s="1">
        <v>1</v>
      </c>
      <c r="AK22" s="1" t="s">
        <v>246</v>
      </c>
      <c r="AL22" s="1">
        <v>6.5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153</v>
      </c>
      <c r="AT22" s="1" t="s">
        <v>328</v>
      </c>
      <c r="AU22" s="1" t="s">
        <v>185</v>
      </c>
      <c r="AV22" s="1" t="s">
        <v>155</v>
      </c>
      <c r="AW22" s="1" t="s">
        <v>359</v>
      </c>
      <c r="AX22" s="1" t="s">
        <v>161</v>
      </c>
      <c r="AY22" s="1" t="s">
        <v>360</v>
      </c>
      <c r="AZ22" s="1" t="s">
        <v>320</v>
      </c>
      <c r="BA22" s="1" t="s">
        <v>304</v>
      </c>
      <c r="BB22" s="1" t="s">
        <v>254</v>
      </c>
      <c r="BC22" s="1" t="s">
        <v>186</v>
      </c>
      <c r="BD22" s="1" t="s">
        <v>264</v>
      </c>
      <c r="BE22" s="1">
        <v>119.7</v>
      </c>
      <c r="BF22" s="1">
        <v>121.1</v>
      </c>
      <c r="BG22" s="1">
        <v>-1.4</v>
      </c>
      <c r="BH22" s="1" t="s">
        <v>344</v>
      </c>
      <c r="BI22" s="1" t="s">
        <v>170</v>
      </c>
      <c r="BJ22" s="1" t="s">
        <v>267</v>
      </c>
      <c r="BK22" s="1" t="s">
        <v>170</v>
      </c>
      <c r="BL22" s="1" t="s">
        <v>295</v>
      </c>
      <c r="BM22" s="1" t="s">
        <v>197</v>
      </c>
      <c r="BN22" s="1" t="s">
        <v>215</v>
      </c>
      <c r="BO22" s="1" t="s">
        <v>282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305</v>
      </c>
      <c r="CA22" s="1"/>
      <c r="CB22" s="1" t="s">
        <v>351</v>
      </c>
      <c r="CC22" s="1"/>
    </row>
    <row r="23" spans="1:81" x14ac:dyDescent="0.25">
      <c r="A23" s="1" t="s">
        <v>145</v>
      </c>
      <c r="B23" s="1" t="s">
        <v>146</v>
      </c>
      <c r="C23" s="1">
        <v>1610612763</v>
      </c>
      <c r="D23" s="1" t="s">
        <v>361</v>
      </c>
      <c r="E23" s="1" t="s">
        <v>362</v>
      </c>
      <c r="F23" s="1" t="s">
        <v>149</v>
      </c>
      <c r="G23" s="1" t="s">
        <v>333</v>
      </c>
      <c r="H23" s="1">
        <v>11</v>
      </c>
      <c r="I23" s="1" t="s">
        <v>151</v>
      </c>
      <c r="J23" s="1" t="s">
        <v>231</v>
      </c>
      <c r="K23" s="1" t="s">
        <v>190</v>
      </c>
      <c r="L23" s="1">
        <v>4</v>
      </c>
      <c r="M23" s="1">
        <v>5</v>
      </c>
      <c r="N23" s="1">
        <v>9</v>
      </c>
      <c r="O23" s="1">
        <v>0.35699999999999998</v>
      </c>
      <c r="P23" s="1">
        <v>0</v>
      </c>
      <c r="Q23" s="1" t="s">
        <v>363</v>
      </c>
      <c r="R23" s="1" t="s">
        <v>333</v>
      </c>
      <c r="S23" s="1" t="s">
        <v>236</v>
      </c>
      <c r="T23" s="1" t="s">
        <v>310</v>
      </c>
      <c r="U23" s="1" t="s">
        <v>333</v>
      </c>
      <c r="V23" s="1" t="s">
        <v>236</v>
      </c>
      <c r="W23" s="1" t="s">
        <v>157</v>
      </c>
      <c r="X23" s="1" t="s">
        <v>232</v>
      </c>
      <c r="Y23" s="1" t="s">
        <v>328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3</v>
      </c>
      <c r="AE23" s="1">
        <v>3</v>
      </c>
      <c r="AF23" s="1">
        <v>-2</v>
      </c>
      <c r="AG23" s="1" t="s">
        <v>279</v>
      </c>
      <c r="AH23" s="1">
        <v>2</v>
      </c>
      <c r="AI23" s="1" t="s">
        <v>222</v>
      </c>
      <c r="AJ23" s="1">
        <v>-2</v>
      </c>
      <c r="AK23" s="1" t="s">
        <v>279</v>
      </c>
      <c r="AL23" s="1">
        <v>7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245</v>
      </c>
      <c r="AT23" s="1" t="s">
        <v>328</v>
      </c>
      <c r="AU23" s="1" t="s">
        <v>161</v>
      </c>
      <c r="AV23" s="1" t="s">
        <v>224</v>
      </c>
      <c r="AW23" s="1" t="s">
        <v>341</v>
      </c>
      <c r="AX23" s="1" t="s">
        <v>161</v>
      </c>
      <c r="AY23" s="1" t="s">
        <v>340</v>
      </c>
      <c r="AZ23" s="1" t="s">
        <v>342</v>
      </c>
      <c r="BA23" s="1" t="s">
        <v>310</v>
      </c>
      <c r="BB23" s="1" t="s">
        <v>158</v>
      </c>
      <c r="BC23" s="1" t="s">
        <v>245</v>
      </c>
      <c r="BD23" s="1" t="s">
        <v>208</v>
      </c>
      <c r="BE23" s="1">
        <v>109</v>
      </c>
      <c r="BF23" s="1">
        <v>118.4</v>
      </c>
      <c r="BG23" s="1">
        <v>-9.4</v>
      </c>
      <c r="BH23" s="1" t="s">
        <v>275</v>
      </c>
      <c r="BI23" s="1" t="s">
        <v>171</v>
      </c>
      <c r="BJ23" s="1" t="s">
        <v>170</v>
      </c>
      <c r="BK23" s="1" t="s">
        <v>267</v>
      </c>
      <c r="BL23" s="1" t="s">
        <v>364</v>
      </c>
      <c r="BM23" s="1" t="s">
        <v>197</v>
      </c>
      <c r="BN23" s="1" t="s">
        <v>356</v>
      </c>
      <c r="BO23" s="1" t="s">
        <v>267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323</v>
      </c>
      <c r="CA23" s="1"/>
      <c r="CB23" s="1" t="s">
        <v>363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1610612759</v>
      </c>
      <c r="D26" s="1" t="s">
        <v>374</v>
      </c>
      <c r="E26" s="1" t="s">
        <v>375</v>
      </c>
      <c r="F26" s="1" t="s">
        <v>149</v>
      </c>
      <c r="G26" s="1" t="s">
        <v>333</v>
      </c>
      <c r="H26" s="1">
        <v>13</v>
      </c>
      <c r="I26" s="1" t="s">
        <v>151</v>
      </c>
      <c r="J26" s="1" t="s">
        <v>231</v>
      </c>
      <c r="K26" s="1" t="s">
        <v>164</v>
      </c>
      <c r="L26" s="1">
        <v>5</v>
      </c>
      <c r="M26" s="1">
        <v>5</v>
      </c>
      <c r="N26" s="1">
        <v>10</v>
      </c>
      <c r="O26" s="1">
        <v>0.33300000000000002</v>
      </c>
      <c r="P26" s="1">
        <v>0</v>
      </c>
      <c r="Q26" s="1" t="s">
        <v>349</v>
      </c>
      <c r="R26" s="1" t="s">
        <v>254</v>
      </c>
      <c r="S26" s="1" t="s">
        <v>328</v>
      </c>
      <c r="T26" s="1" t="s">
        <v>376</v>
      </c>
      <c r="U26" s="1" t="s">
        <v>254</v>
      </c>
      <c r="V26" s="1" t="s">
        <v>328</v>
      </c>
      <c r="W26" s="1" t="s">
        <v>161</v>
      </c>
      <c r="X26" s="1" t="s">
        <v>260</v>
      </c>
      <c r="Y26" s="1" t="s">
        <v>190</v>
      </c>
      <c r="Z26" s="1">
        <v>3</v>
      </c>
      <c r="AA26" s="1" t="s">
        <v>223</v>
      </c>
      <c r="AB26" s="1">
        <v>-5</v>
      </c>
      <c r="AC26" s="1" t="s">
        <v>272</v>
      </c>
      <c r="AD26" s="1">
        <v>3</v>
      </c>
      <c r="AE26" s="1">
        <v>7</v>
      </c>
      <c r="AF26" s="1">
        <v>-3</v>
      </c>
      <c r="AG26" s="1" t="s">
        <v>301</v>
      </c>
      <c r="AH26" s="1">
        <v>-5</v>
      </c>
      <c r="AI26" s="1" t="s">
        <v>272</v>
      </c>
      <c r="AJ26" s="1">
        <v>-7</v>
      </c>
      <c r="AK26" s="1" t="s">
        <v>377</v>
      </c>
      <c r="AL26" s="1">
        <v>7.5</v>
      </c>
      <c r="AM26" s="1">
        <v>6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157</v>
      </c>
      <c r="AV26" s="1" t="s">
        <v>245</v>
      </c>
      <c r="AW26" s="1" t="s">
        <v>332</v>
      </c>
      <c r="AX26" s="1" t="s">
        <v>161</v>
      </c>
      <c r="AY26" s="1" t="s">
        <v>303</v>
      </c>
      <c r="AZ26" s="1" t="s">
        <v>378</v>
      </c>
      <c r="BA26" s="1" t="s">
        <v>309</v>
      </c>
      <c r="BB26" s="1" t="s">
        <v>245</v>
      </c>
      <c r="BC26" s="1" t="s">
        <v>265</v>
      </c>
      <c r="BD26" s="1" t="s">
        <v>262</v>
      </c>
      <c r="BE26" s="1">
        <v>113.5</v>
      </c>
      <c r="BF26" s="1">
        <v>116.2</v>
      </c>
      <c r="BG26" s="1">
        <v>-2.7</v>
      </c>
      <c r="BH26" s="1" t="s">
        <v>274</v>
      </c>
      <c r="BI26" s="1" t="s">
        <v>195</v>
      </c>
      <c r="BJ26" s="1" t="s">
        <v>215</v>
      </c>
      <c r="BK26" s="1" t="s">
        <v>282</v>
      </c>
      <c r="BL26" s="1" t="s">
        <v>364</v>
      </c>
      <c r="BM26" s="1" t="s">
        <v>199</v>
      </c>
      <c r="BN26" s="1" t="s">
        <v>267</v>
      </c>
      <c r="BO26" s="1" t="s">
        <v>250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175</v>
      </c>
      <c r="BZ26" s="1" t="s">
        <v>379</v>
      </c>
      <c r="CA26" s="1"/>
      <c r="CB26" s="1" t="s">
        <v>349</v>
      </c>
      <c r="CC26" s="1"/>
    </row>
    <row r="27" spans="1:81" x14ac:dyDescent="0.25">
      <c r="A27" s="1" t="s">
        <v>145</v>
      </c>
      <c r="B27" s="1" t="s">
        <v>146</v>
      </c>
      <c r="C27" s="1">
        <v>1610612765</v>
      </c>
      <c r="D27" s="1" t="s">
        <v>380</v>
      </c>
      <c r="E27" s="1" t="s">
        <v>381</v>
      </c>
      <c r="F27" s="1" t="s">
        <v>179</v>
      </c>
      <c r="G27" s="1" t="s">
        <v>382</v>
      </c>
      <c r="H27" s="1">
        <v>13</v>
      </c>
      <c r="I27" s="1" t="s">
        <v>151</v>
      </c>
      <c r="J27" s="1" t="s">
        <v>181</v>
      </c>
      <c r="K27" s="1" t="s">
        <v>236</v>
      </c>
      <c r="L27" s="1">
        <v>5</v>
      </c>
      <c r="M27" s="1">
        <v>4</v>
      </c>
      <c r="N27" s="1">
        <v>10</v>
      </c>
      <c r="O27" s="1">
        <v>0.28599999999999998</v>
      </c>
      <c r="P27" s="1">
        <v>0</v>
      </c>
      <c r="Q27" s="1" t="s">
        <v>371</v>
      </c>
      <c r="R27" s="1" t="s">
        <v>226</v>
      </c>
      <c r="S27" s="1" t="s">
        <v>332</v>
      </c>
      <c r="T27" s="1" t="s">
        <v>320</v>
      </c>
      <c r="U27" s="1" t="s">
        <v>226</v>
      </c>
      <c r="V27" s="1" t="s">
        <v>332</v>
      </c>
      <c r="W27" s="1" t="s">
        <v>161</v>
      </c>
      <c r="X27" s="1" t="s">
        <v>186</v>
      </c>
      <c r="Y27" s="1" t="s">
        <v>262</v>
      </c>
      <c r="Z27" s="1">
        <v>3</v>
      </c>
      <c r="AA27" s="1" t="s">
        <v>223</v>
      </c>
      <c r="AB27" s="1">
        <v>-7</v>
      </c>
      <c r="AC27" s="1" t="s">
        <v>377</v>
      </c>
      <c r="AD27" s="1">
        <v>1</v>
      </c>
      <c r="AE27" s="1">
        <v>5</v>
      </c>
      <c r="AF27" s="1">
        <v>-1</v>
      </c>
      <c r="AG27" s="1" t="s">
        <v>207</v>
      </c>
      <c r="AH27" s="1">
        <v>-7</v>
      </c>
      <c r="AI27" s="1" t="s">
        <v>377</v>
      </c>
      <c r="AJ27" s="1">
        <v>-5</v>
      </c>
      <c r="AK27" s="1" t="s">
        <v>272</v>
      </c>
      <c r="AL27" s="1">
        <v>7.5</v>
      </c>
      <c r="AM27" s="1">
        <v>7.5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161</v>
      </c>
      <c r="AV27" s="1" t="s">
        <v>232</v>
      </c>
      <c r="AW27" s="1" t="s">
        <v>368</v>
      </c>
      <c r="AX27" s="1" t="s">
        <v>164</v>
      </c>
      <c r="AY27" s="1" t="s">
        <v>360</v>
      </c>
      <c r="AZ27" s="1" t="s">
        <v>350</v>
      </c>
      <c r="BA27" s="1" t="s">
        <v>328</v>
      </c>
      <c r="BB27" s="1" t="s">
        <v>226</v>
      </c>
      <c r="BC27" s="1" t="s">
        <v>264</v>
      </c>
      <c r="BD27" s="1" t="s">
        <v>190</v>
      </c>
      <c r="BE27" s="1">
        <v>107.3</v>
      </c>
      <c r="BF27" s="1">
        <v>112</v>
      </c>
      <c r="BG27" s="1">
        <v>-4.7</v>
      </c>
      <c r="BH27" s="1" t="s">
        <v>383</v>
      </c>
      <c r="BI27" s="1" t="s">
        <v>199</v>
      </c>
      <c r="BJ27" s="1" t="s">
        <v>275</v>
      </c>
      <c r="BK27" s="1" t="s">
        <v>372</v>
      </c>
      <c r="BL27" s="1" t="s">
        <v>170</v>
      </c>
      <c r="BM27" s="1" t="s">
        <v>170</v>
      </c>
      <c r="BN27" s="1" t="s">
        <v>215</v>
      </c>
      <c r="BO27" s="1" t="s">
        <v>215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275</v>
      </c>
      <c r="BZ27" s="1" t="s">
        <v>373</v>
      </c>
      <c r="CA27" s="1"/>
      <c r="CB27" s="1" t="s">
        <v>371</v>
      </c>
      <c r="CC27" s="1"/>
    </row>
    <row r="28" spans="1:81" x14ac:dyDescent="0.25">
      <c r="A28" s="1" t="s">
        <v>145</v>
      </c>
      <c r="B28" s="1" t="s">
        <v>146</v>
      </c>
      <c r="C28" s="1">
        <v>1610612757</v>
      </c>
      <c r="D28" s="1" t="s">
        <v>384</v>
      </c>
      <c r="E28" s="1" t="s">
        <v>385</v>
      </c>
      <c r="F28" s="1" t="s">
        <v>149</v>
      </c>
      <c r="G28" s="1" t="s">
        <v>312</v>
      </c>
      <c r="H28" s="1">
        <v>14</v>
      </c>
      <c r="I28" s="1" t="s">
        <v>151</v>
      </c>
      <c r="J28" s="1" t="s">
        <v>219</v>
      </c>
      <c r="K28" s="1" t="s">
        <v>186</v>
      </c>
      <c r="L28" s="1">
        <v>5</v>
      </c>
      <c r="M28" s="1">
        <v>5</v>
      </c>
      <c r="N28" s="1">
        <v>11</v>
      </c>
      <c r="O28" s="1">
        <v>0.313</v>
      </c>
      <c r="P28" s="1">
        <v>0</v>
      </c>
      <c r="Q28" s="1" t="s">
        <v>386</v>
      </c>
      <c r="R28" s="1" t="s">
        <v>262</v>
      </c>
      <c r="S28" s="1" t="s">
        <v>312</v>
      </c>
      <c r="T28" s="1" t="s">
        <v>320</v>
      </c>
      <c r="U28" s="1" t="s">
        <v>262</v>
      </c>
      <c r="V28" s="1" t="s">
        <v>341</v>
      </c>
      <c r="W28" s="1" t="s">
        <v>157</v>
      </c>
      <c r="X28" s="1" t="s">
        <v>224</v>
      </c>
      <c r="Y28" s="1" t="s">
        <v>224</v>
      </c>
      <c r="Z28" s="1">
        <v>-3</v>
      </c>
      <c r="AA28" s="1" t="s">
        <v>301</v>
      </c>
      <c r="AB28" s="1">
        <v>-3</v>
      </c>
      <c r="AC28" s="1" t="s">
        <v>301</v>
      </c>
      <c r="AD28" s="1">
        <v>2</v>
      </c>
      <c r="AE28" s="1">
        <v>4</v>
      </c>
      <c r="AF28" s="1">
        <v>-1</v>
      </c>
      <c r="AG28" s="1" t="s">
        <v>207</v>
      </c>
      <c r="AH28" s="1">
        <v>-3</v>
      </c>
      <c r="AI28" s="1" t="s">
        <v>301</v>
      </c>
      <c r="AJ28" s="1">
        <v>-3</v>
      </c>
      <c r="AK28" s="1" t="s">
        <v>301</v>
      </c>
      <c r="AL28" s="1">
        <v>8</v>
      </c>
      <c r="AM28" s="1">
        <v>6.5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309</v>
      </c>
      <c r="AT28" s="1" t="s">
        <v>328</v>
      </c>
      <c r="AU28" s="1" t="s">
        <v>157</v>
      </c>
      <c r="AV28" s="1" t="s">
        <v>339</v>
      </c>
      <c r="AW28" s="1" t="s">
        <v>320</v>
      </c>
      <c r="AX28" s="1" t="s">
        <v>163</v>
      </c>
      <c r="AY28" s="1" t="s">
        <v>378</v>
      </c>
      <c r="AZ28" s="1" t="s">
        <v>387</v>
      </c>
      <c r="BA28" s="1" t="s">
        <v>332</v>
      </c>
      <c r="BB28" s="1" t="s">
        <v>235</v>
      </c>
      <c r="BC28" s="1" t="s">
        <v>153</v>
      </c>
      <c r="BD28" s="1" t="s">
        <v>304</v>
      </c>
      <c r="BE28" s="1">
        <v>113</v>
      </c>
      <c r="BF28" s="1">
        <v>116.7</v>
      </c>
      <c r="BG28" s="1">
        <v>-3.7</v>
      </c>
      <c r="BH28" s="1" t="s">
        <v>344</v>
      </c>
      <c r="BI28" s="1" t="s">
        <v>356</v>
      </c>
      <c r="BJ28" s="1" t="s">
        <v>170</v>
      </c>
      <c r="BK28" s="1" t="s">
        <v>171</v>
      </c>
      <c r="BL28" s="1" t="s">
        <v>388</v>
      </c>
      <c r="BM28" s="1" t="s">
        <v>195</v>
      </c>
      <c r="BN28" s="1" t="s">
        <v>282</v>
      </c>
      <c r="BO28" s="1" t="s">
        <v>275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228</v>
      </c>
      <c r="BZ28" s="1" t="s">
        <v>379</v>
      </c>
      <c r="CA28" s="1"/>
      <c r="CB28" s="1" t="s">
        <v>386</v>
      </c>
      <c r="CC28" s="1"/>
    </row>
    <row r="29" spans="1:81" x14ac:dyDescent="0.25">
      <c r="A29" s="1" t="s">
        <v>145</v>
      </c>
      <c r="B29" s="1" t="s">
        <v>146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382</v>
      </c>
      <c r="H29" s="1">
        <v>14</v>
      </c>
      <c r="I29" s="1" t="s">
        <v>151</v>
      </c>
      <c r="J29" s="1" t="s">
        <v>181</v>
      </c>
      <c r="K29" s="1" t="s">
        <v>224</v>
      </c>
      <c r="L29" s="1">
        <v>4</v>
      </c>
      <c r="M29" s="1">
        <v>4</v>
      </c>
      <c r="N29" s="1">
        <v>10</v>
      </c>
      <c r="O29" s="1">
        <v>0.28599999999999998</v>
      </c>
      <c r="P29" s="1">
        <v>0</v>
      </c>
      <c r="Q29" s="1" t="s">
        <v>371</v>
      </c>
      <c r="R29" s="1" t="s">
        <v>292</v>
      </c>
      <c r="S29" s="1" t="s">
        <v>311</v>
      </c>
      <c r="T29" s="1" t="s">
        <v>320</v>
      </c>
      <c r="U29" s="1" t="s">
        <v>292</v>
      </c>
      <c r="V29" s="1" t="s">
        <v>311</v>
      </c>
      <c r="W29" s="1" t="s">
        <v>161</v>
      </c>
      <c r="X29" s="1" t="s">
        <v>185</v>
      </c>
      <c r="Y29" s="1" t="s">
        <v>333</v>
      </c>
      <c r="Z29" s="1">
        <v>-4</v>
      </c>
      <c r="AA29" s="1" t="s">
        <v>263</v>
      </c>
      <c r="AB29" s="1">
        <v>-3</v>
      </c>
      <c r="AC29" s="1" t="s">
        <v>301</v>
      </c>
      <c r="AD29" s="1">
        <v>2</v>
      </c>
      <c r="AE29" s="1">
        <v>5</v>
      </c>
      <c r="AF29" s="1">
        <v>-4</v>
      </c>
      <c r="AG29" s="1" t="s">
        <v>263</v>
      </c>
      <c r="AH29" s="1">
        <v>-3</v>
      </c>
      <c r="AI29" s="1" t="s">
        <v>301</v>
      </c>
      <c r="AJ29" s="1">
        <v>-5</v>
      </c>
      <c r="AK29" s="1" t="s">
        <v>272</v>
      </c>
      <c r="AL29" s="1">
        <v>7.5</v>
      </c>
      <c r="AM29" s="1">
        <v>7.5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232</v>
      </c>
      <c r="AT29" s="1" t="s">
        <v>391</v>
      </c>
      <c r="AU29" s="1" t="s">
        <v>161</v>
      </c>
      <c r="AV29" s="1" t="s">
        <v>232</v>
      </c>
      <c r="AW29" s="1" t="s">
        <v>391</v>
      </c>
      <c r="AX29" s="1" t="s">
        <v>161</v>
      </c>
      <c r="AY29" s="1" t="s">
        <v>271</v>
      </c>
      <c r="AZ29" s="1" t="s">
        <v>320</v>
      </c>
      <c r="BA29" s="1" t="s">
        <v>392</v>
      </c>
      <c r="BB29" s="1" t="s">
        <v>153</v>
      </c>
      <c r="BC29" s="1" t="s">
        <v>153</v>
      </c>
      <c r="BD29" s="1" t="s">
        <v>292</v>
      </c>
      <c r="BE29" s="1">
        <v>104.1</v>
      </c>
      <c r="BF29" s="1">
        <v>109.9</v>
      </c>
      <c r="BG29" s="1">
        <v>-5.8</v>
      </c>
      <c r="BH29" s="1" t="s">
        <v>383</v>
      </c>
      <c r="BI29" s="1" t="s">
        <v>344</v>
      </c>
      <c r="BJ29" s="1" t="s">
        <v>199</v>
      </c>
      <c r="BK29" s="1" t="s">
        <v>282</v>
      </c>
      <c r="BL29" s="1" t="s">
        <v>170</v>
      </c>
      <c r="BM29" s="1" t="s">
        <v>215</v>
      </c>
      <c r="BN29" s="1" t="s">
        <v>215</v>
      </c>
      <c r="BO29" s="1" t="s">
        <v>170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199</v>
      </c>
      <c r="BZ29" s="1" t="s">
        <v>393</v>
      </c>
      <c r="CA29" s="1"/>
      <c r="CB29" s="1" t="s">
        <v>371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768</v>
      </c>
      <c r="C2" s="1">
        <v>1610612749</v>
      </c>
      <c r="D2" s="1" t="s">
        <v>177</v>
      </c>
      <c r="E2" s="1" t="s">
        <v>178</v>
      </c>
      <c r="F2" s="1" t="s">
        <v>179</v>
      </c>
      <c r="G2" s="1" t="s">
        <v>795</v>
      </c>
      <c r="H2" s="1">
        <v>1</v>
      </c>
      <c r="I2" s="1" t="s">
        <v>796</v>
      </c>
      <c r="J2" s="1" t="s">
        <v>181</v>
      </c>
      <c r="K2" s="1" t="s">
        <v>797</v>
      </c>
      <c r="L2" s="1">
        <v>1</v>
      </c>
      <c r="M2" s="1">
        <v>60</v>
      </c>
      <c r="N2" s="1">
        <v>22</v>
      </c>
      <c r="O2" s="1">
        <v>0.73199999999999998</v>
      </c>
      <c r="P2" s="1">
        <v>0</v>
      </c>
      <c r="Q2" s="1" t="s">
        <v>798</v>
      </c>
      <c r="R2" s="1" t="s">
        <v>799</v>
      </c>
      <c r="S2" s="1" t="s">
        <v>774</v>
      </c>
      <c r="T2" s="1" t="s">
        <v>193</v>
      </c>
      <c r="U2" s="1" t="s">
        <v>193</v>
      </c>
      <c r="V2" s="1" t="s">
        <v>265</v>
      </c>
      <c r="W2" s="1" t="s">
        <v>339</v>
      </c>
      <c r="X2" s="1" t="s">
        <v>340</v>
      </c>
      <c r="Y2" s="1" t="s">
        <v>800</v>
      </c>
      <c r="Z2" s="1">
        <v>6</v>
      </c>
      <c r="AA2" s="1" t="s">
        <v>188</v>
      </c>
      <c r="AB2" s="1">
        <v>10</v>
      </c>
      <c r="AC2" s="1" t="s">
        <v>801</v>
      </c>
      <c r="AD2" s="1">
        <v>7</v>
      </c>
      <c r="AE2" s="1">
        <v>2</v>
      </c>
      <c r="AF2" s="1">
        <v>-1</v>
      </c>
      <c r="AG2" s="1" t="s">
        <v>207</v>
      </c>
      <c r="AH2" s="1">
        <v>2</v>
      </c>
      <c r="AI2" s="1" t="s">
        <v>222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802</v>
      </c>
      <c r="AT2" s="1" t="s">
        <v>803</v>
      </c>
      <c r="AU2" s="1" t="s">
        <v>161</v>
      </c>
      <c r="AV2" s="1" t="s">
        <v>804</v>
      </c>
      <c r="AW2" s="1" t="s">
        <v>805</v>
      </c>
      <c r="AX2" s="1" t="s">
        <v>186</v>
      </c>
      <c r="AY2" s="1" t="s">
        <v>806</v>
      </c>
      <c r="AZ2" s="1" t="s">
        <v>807</v>
      </c>
      <c r="BA2" s="1" t="s">
        <v>808</v>
      </c>
      <c r="BB2" s="1" t="s">
        <v>809</v>
      </c>
      <c r="BC2" s="1" t="s">
        <v>810</v>
      </c>
      <c r="BD2" s="1" t="s">
        <v>811</v>
      </c>
      <c r="BE2" s="1">
        <v>118.1</v>
      </c>
      <c r="BF2" s="1">
        <v>109.3</v>
      </c>
      <c r="BG2" s="1">
        <v>8.9</v>
      </c>
      <c r="BH2" s="1" t="s">
        <v>795</v>
      </c>
      <c r="BI2" s="1" t="s">
        <v>812</v>
      </c>
      <c r="BJ2" s="1" t="s">
        <v>813</v>
      </c>
      <c r="BK2" s="1" t="s">
        <v>812</v>
      </c>
      <c r="BL2" s="1" t="s">
        <v>814</v>
      </c>
      <c r="BM2" s="1" t="s">
        <v>266</v>
      </c>
      <c r="BN2" s="1" t="s">
        <v>266</v>
      </c>
      <c r="BO2" s="1" t="s">
        <v>216</v>
      </c>
      <c r="BP2" s="1" t="s">
        <v>183</v>
      </c>
      <c r="BQ2" s="1" t="s">
        <v>200</v>
      </c>
      <c r="BR2" s="1" t="s">
        <v>815</v>
      </c>
      <c r="BS2" s="1" t="s">
        <v>228</v>
      </c>
      <c r="BT2" s="1"/>
      <c r="BU2" s="1"/>
      <c r="BV2" s="1"/>
      <c r="BW2" s="1"/>
      <c r="BX2" s="1"/>
      <c r="BY2" s="1" t="s">
        <v>767</v>
      </c>
      <c r="BZ2" s="1" t="s">
        <v>291</v>
      </c>
      <c r="CA2" s="1" t="s">
        <v>253</v>
      </c>
      <c r="CB2" s="1" t="s">
        <v>816</v>
      </c>
      <c r="CC2" s="1" t="s">
        <v>817</v>
      </c>
    </row>
    <row r="3" spans="1:81" x14ac:dyDescent="0.25">
      <c r="A3" s="1" t="s">
        <v>145</v>
      </c>
      <c r="B3" s="1" t="s">
        <v>768</v>
      </c>
      <c r="C3" s="1">
        <v>1610612744</v>
      </c>
      <c r="D3" s="1" t="s">
        <v>399</v>
      </c>
      <c r="E3" s="1" t="s">
        <v>400</v>
      </c>
      <c r="F3" s="1" t="s">
        <v>149</v>
      </c>
      <c r="G3" s="1" t="s">
        <v>769</v>
      </c>
      <c r="H3" s="1">
        <v>1</v>
      </c>
      <c r="I3" s="1" t="s">
        <v>770</v>
      </c>
      <c r="J3" s="1" t="s">
        <v>152</v>
      </c>
      <c r="K3" s="1" t="s">
        <v>771</v>
      </c>
      <c r="L3" s="1">
        <v>1</v>
      </c>
      <c r="M3" s="1">
        <v>57</v>
      </c>
      <c r="N3" s="1">
        <v>25</v>
      </c>
      <c r="O3" s="1">
        <v>0.69499999999999995</v>
      </c>
      <c r="P3" s="1">
        <v>0</v>
      </c>
      <c r="Q3" s="1" t="s">
        <v>772</v>
      </c>
      <c r="R3" s="1" t="s">
        <v>773</v>
      </c>
      <c r="S3" s="1" t="s">
        <v>774</v>
      </c>
      <c r="T3" s="1" t="s">
        <v>184</v>
      </c>
      <c r="U3" s="1" t="s">
        <v>193</v>
      </c>
      <c r="V3" s="1" t="s">
        <v>193</v>
      </c>
      <c r="W3" s="1" t="s">
        <v>319</v>
      </c>
      <c r="X3" s="1" t="s">
        <v>314</v>
      </c>
      <c r="Y3" s="1" t="s">
        <v>775</v>
      </c>
      <c r="Z3" s="1">
        <v>6</v>
      </c>
      <c r="AA3" s="1" t="s">
        <v>188</v>
      </c>
      <c r="AB3" s="1">
        <v>11</v>
      </c>
      <c r="AC3" s="1" t="s">
        <v>776</v>
      </c>
      <c r="AD3" s="1">
        <v>11</v>
      </c>
      <c r="AE3" s="1">
        <v>4</v>
      </c>
      <c r="AF3" s="1">
        <v>5</v>
      </c>
      <c r="AG3" s="1" t="s">
        <v>160</v>
      </c>
      <c r="AH3" s="1">
        <v>-1</v>
      </c>
      <c r="AI3" s="1" t="s">
        <v>207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777</v>
      </c>
      <c r="AT3" s="1" t="s">
        <v>778</v>
      </c>
      <c r="AU3" s="1" t="s">
        <v>232</v>
      </c>
      <c r="AV3" s="1" t="s">
        <v>779</v>
      </c>
      <c r="AW3" s="1" t="s">
        <v>780</v>
      </c>
      <c r="AX3" s="1" t="s">
        <v>185</v>
      </c>
      <c r="AY3" s="1" t="s">
        <v>781</v>
      </c>
      <c r="AZ3" s="1" t="s">
        <v>782</v>
      </c>
      <c r="BA3" s="1" t="s">
        <v>783</v>
      </c>
      <c r="BB3" s="1" t="s">
        <v>784</v>
      </c>
      <c r="BC3" s="1" t="s">
        <v>785</v>
      </c>
      <c r="BD3" s="1" t="s">
        <v>786</v>
      </c>
      <c r="BE3" s="1">
        <v>117.7</v>
      </c>
      <c r="BF3" s="1">
        <v>111.2</v>
      </c>
      <c r="BG3" s="1">
        <v>6.5</v>
      </c>
      <c r="BH3" s="1" t="s">
        <v>787</v>
      </c>
      <c r="BI3" s="1" t="s">
        <v>266</v>
      </c>
      <c r="BJ3" s="1" t="s">
        <v>216</v>
      </c>
      <c r="BK3" s="1" t="s">
        <v>216</v>
      </c>
      <c r="BL3" s="1" t="s">
        <v>769</v>
      </c>
      <c r="BM3" s="1" t="s">
        <v>788</v>
      </c>
      <c r="BN3" s="1" t="s">
        <v>789</v>
      </c>
      <c r="BO3" s="1" t="s">
        <v>790</v>
      </c>
      <c r="BP3" s="1" t="s">
        <v>791</v>
      </c>
      <c r="BQ3" s="1" t="s">
        <v>792</v>
      </c>
      <c r="BR3" s="1" t="s">
        <v>270</v>
      </c>
      <c r="BS3" s="1" t="s">
        <v>198</v>
      </c>
      <c r="BT3" s="1"/>
      <c r="BU3" s="1"/>
      <c r="BV3" s="1"/>
      <c r="BW3" s="1"/>
      <c r="BX3" s="1"/>
      <c r="BY3" s="1" t="s">
        <v>173</v>
      </c>
      <c r="BZ3" s="1" t="s">
        <v>326</v>
      </c>
      <c r="CA3" s="1" t="s">
        <v>261</v>
      </c>
      <c r="CB3" s="1" t="s">
        <v>793</v>
      </c>
      <c r="CC3" s="1" t="s">
        <v>794</v>
      </c>
    </row>
    <row r="4" spans="1:81" x14ac:dyDescent="0.25">
      <c r="A4" s="1" t="s">
        <v>145</v>
      </c>
      <c r="B4" s="1" t="s">
        <v>768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818</v>
      </c>
      <c r="H4" s="1">
        <v>2</v>
      </c>
      <c r="I4" s="1" t="s">
        <v>819</v>
      </c>
      <c r="J4" s="1" t="s">
        <v>203</v>
      </c>
      <c r="K4" s="1" t="s">
        <v>820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821</v>
      </c>
      <c r="R4" s="1" t="s">
        <v>822</v>
      </c>
      <c r="S4" s="1" t="s">
        <v>823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824</v>
      </c>
      <c r="Y4" s="1" t="s">
        <v>825</v>
      </c>
      <c r="Z4" s="1">
        <v>10</v>
      </c>
      <c r="AA4" s="1" t="s">
        <v>801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826</v>
      </c>
      <c r="AT4" s="1" t="s">
        <v>827</v>
      </c>
      <c r="AU4" s="1" t="s">
        <v>185</v>
      </c>
      <c r="AV4" s="1" t="s">
        <v>828</v>
      </c>
      <c r="AW4" s="1" t="s">
        <v>829</v>
      </c>
      <c r="AX4" s="1" t="s">
        <v>157</v>
      </c>
      <c r="AY4" s="1" t="s">
        <v>830</v>
      </c>
      <c r="AZ4" s="1" t="s">
        <v>831</v>
      </c>
      <c r="BA4" s="1" t="s">
        <v>832</v>
      </c>
      <c r="BB4" s="1" t="s">
        <v>833</v>
      </c>
      <c r="BC4" s="1" t="s">
        <v>834</v>
      </c>
      <c r="BD4" s="1" t="s">
        <v>835</v>
      </c>
      <c r="BE4" s="1">
        <v>114.4</v>
      </c>
      <c r="BF4" s="1">
        <v>108.4</v>
      </c>
      <c r="BG4" s="1">
        <v>6.1</v>
      </c>
      <c r="BH4" s="1" t="s">
        <v>818</v>
      </c>
      <c r="BI4" s="1" t="s">
        <v>836</v>
      </c>
      <c r="BJ4" s="1" t="s">
        <v>790</v>
      </c>
      <c r="BK4" s="1" t="s">
        <v>837</v>
      </c>
      <c r="BL4" s="1" t="s">
        <v>787</v>
      </c>
      <c r="BM4" s="1" t="s">
        <v>266</v>
      </c>
      <c r="BN4" s="1" t="s">
        <v>838</v>
      </c>
      <c r="BO4" s="1" t="s">
        <v>266</v>
      </c>
      <c r="BP4" s="1" t="s">
        <v>261</v>
      </c>
      <c r="BQ4" s="1" t="s">
        <v>173</v>
      </c>
      <c r="BR4" s="1" t="s">
        <v>839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840</v>
      </c>
      <c r="CC4" s="1" t="s">
        <v>841</v>
      </c>
    </row>
    <row r="5" spans="1:81" x14ac:dyDescent="0.25">
      <c r="A5" s="1" t="s">
        <v>145</v>
      </c>
      <c r="B5" s="1" t="s">
        <v>768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842</v>
      </c>
      <c r="H5" s="1">
        <v>2</v>
      </c>
      <c r="I5" s="1" t="s">
        <v>843</v>
      </c>
      <c r="J5" s="1" t="s">
        <v>219</v>
      </c>
      <c r="K5" s="1" t="s">
        <v>820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844</v>
      </c>
      <c r="R5" s="1" t="s">
        <v>845</v>
      </c>
      <c r="S5" s="1" t="s">
        <v>846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771</v>
      </c>
      <c r="Y5" s="1" t="s">
        <v>847</v>
      </c>
      <c r="Z5" s="1">
        <v>12</v>
      </c>
      <c r="AA5" s="1" t="s">
        <v>848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849</v>
      </c>
      <c r="AT5" s="1" t="s">
        <v>850</v>
      </c>
      <c r="AU5" s="1" t="s">
        <v>185</v>
      </c>
      <c r="AV5" s="1" t="s">
        <v>851</v>
      </c>
      <c r="AW5" s="1" t="s">
        <v>852</v>
      </c>
      <c r="AX5" s="1" t="s">
        <v>155</v>
      </c>
      <c r="AY5" s="1" t="s">
        <v>853</v>
      </c>
      <c r="AZ5" s="1" t="s">
        <v>854</v>
      </c>
      <c r="BA5" s="1" t="s">
        <v>855</v>
      </c>
      <c r="BB5" s="1" t="s">
        <v>856</v>
      </c>
      <c r="BC5" s="1" t="s">
        <v>857</v>
      </c>
      <c r="BD5" s="1" t="s">
        <v>858</v>
      </c>
      <c r="BE5" s="1">
        <v>110.7</v>
      </c>
      <c r="BF5" s="1">
        <v>106.7</v>
      </c>
      <c r="BG5" s="1">
        <v>4</v>
      </c>
      <c r="BH5" s="1" t="s">
        <v>814</v>
      </c>
      <c r="BI5" s="1" t="s">
        <v>296</v>
      </c>
      <c r="BJ5" s="1" t="s">
        <v>266</v>
      </c>
      <c r="BK5" s="1" t="s">
        <v>296</v>
      </c>
      <c r="BL5" s="1" t="s">
        <v>842</v>
      </c>
      <c r="BM5" s="1" t="s">
        <v>836</v>
      </c>
      <c r="BN5" s="1" t="s">
        <v>788</v>
      </c>
      <c r="BO5" s="1" t="s">
        <v>790</v>
      </c>
      <c r="BP5" s="1" t="s">
        <v>836</v>
      </c>
      <c r="BQ5" s="1" t="s">
        <v>792</v>
      </c>
      <c r="BR5" s="1" t="s">
        <v>839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839</v>
      </c>
      <c r="CA5" s="1" t="s">
        <v>859</v>
      </c>
      <c r="CB5" s="1" t="s">
        <v>860</v>
      </c>
      <c r="CC5" s="1" t="s">
        <v>861</v>
      </c>
    </row>
    <row r="6" spans="1:81" x14ac:dyDescent="0.25">
      <c r="A6" s="1" t="s">
        <v>145</v>
      </c>
      <c r="B6" s="1" t="s">
        <v>768</v>
      </c>
      <c r="C6" s="1">
        <v>1610612757</v>
      </c>
      <c r="D6" s="1" t="s">
        <v>384</v>
      </c>
      <c r="E6" s="1" t="s">
        <v>385</v>
      </c>
      <c r="F6" s="1" t="s">
        <v>149</v>
      </c>
      <c r="G6" s="1" t="s">
        <v>881</v>
      </c>
      <c r="H6" s="1">
        <v>3</v>
      </c>
      <c r="I6" s="1" t="s">
        <v>863</v>
      </c>
      <c r="J6" s="1" t="s">
        <v>219</v>
      </c>
      <c r="K6" s="1" t="s">
        <v>882</v>
      </c>
      <c r="L6" s="1">
        <v>2</v>
      </c>
      <c r="M6" s="1">
        <v>53</v>
      </c>
      <c r="N6" s="1">
        <v>29</v>
      </c>
      <c r="O6" s="1">
        <v>0.64600000000000002</v>
      </c>
      <c r="P6" s="1">
        <v>0</v>
      </c>
      <c r="Q6" s="1" t="s">
        <v>883</v>
      </c>
      <c r="R6" s="1" t="s">
        <v>822</v>
      </c>
      <c r="S6" s="1" t="s">
        <v>884</v>
      </c>
      <c r="T6" s="1" t="s">
        <v>184</v>
      </c>
      <c r="U6" s="1" t="s">
        <v>156</v>
      </c>
      <c r="V6" s="1" t="s">
        <v>259</v>
      </c>
      <c r="W6" s="1" t="s">
        <v>235</v>
      </c>
      <c r="X6" s="1" t="s">
        <v>310</v>
      </c>
      <c r="Y6" s="1" t="s">
        <v>885</v>
      </c>
      <c r="Z6" s="1">
        <v>8</v>
      </c>
      <c r="AA6" s="1" t="s">
        <v>886</v>
      </c>
      <c r="AB6" s="1">
        <v>-6</v>
      </c>
      <c r="AC6" s="1" t="s">
        <v>367</v>
      </c>
      <c r="AD6" s="1">
        <v>6</v>
      </c>
      <c r="AE6" s="1">
        <v>3</v>
      </c>
      <c r="AF6" s="1">
        <v>8</v>
      </c>
      <c r="AG6" s="1" t="s">
        <v>886</v>
      </c>
      <c r="AH6" s="1">
        <v>1</v>
      </c>
      <c r="AI6" s="1" t="s">
        <v>246</v>
      </c>
      <c r="AJ6" s="1">
        <v>3</v>
      </c>
      <c r="AK6" s="1" t="s">
        <v>223</v>
      </c>
      <c r="AL6" s="1">
        <v>4</v>
      </c>
      <c r="AM6" s="1">
        <v>1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887</v>
      </c>
      <c r="AT6" s="1" t="s">
        <v>888</v>
      </c>
      <c r="AU6" s="1" t="s">
        <v>260</v>
      </c>
      <c r="AV6" s="1" t="s">
        <v>889</v>
      </c>
      <c r="AW6" s="1" t="s">
        <v>890</v>
      </c>
      <c r="AX6" s="1" t="s">
        <v>161</v>
      </c>
      <c r="AY6" s="1" t="s">
        <v>891</v>
      </c>
      <c r="AZ6" s="1" t="s">
        <v>892</v>
      </c>
      <c r="BA6" s="1" t="s">
        <v>893</v>
      </c>
      <c r="BB6" s="1" t="s">
        <v>894</v>
      </c>
      <c r="BC6" s="1" t="s">
        <v>895</v>
      </c>
      <c r="BD6" s="1" t="s">
        <v>896</v>
      </c>
      <c r="BE6" s="1">
        <v>114.7</v>
      </c>
      <c r="BF6" s="1">
        <v>110.5</v>
      </c>
      <c r="BG6" s="1">
        <v>4.2</v>
      </c>
      <c r="BH6" s="1" t="s">
        <v>897</v>
      </c>
      <c r="BI6" s="1" t="s">
        <v>176</v>
      </c>
      <c r="BJ6" s="1" t="s">
        <v>216</v>
      </c>
      <c r="BK6" s="1" t="s">
        <v>296</v>
      </c>
      <c r="BL6" s="1" t="s">
        <v>881</v>
      </c>
      <c r="BM6" s="1" t="s">
        <v>410</v>
      </c>
      <c r="BN6" s="1" t="s">
        <v>788</v>
      </c>
      <c r="BO6" s="1" t="s">
        <v>877</v>
      </c>
      <c r="BP6" s="1" t="s">
        <v>233</v>
      </c>
      <c r="BQ6" s="1" t="s">
        <v>256</v>
      </c>
      <c r="BR6" s="1" t="s">
        <v>261</v>
      </c>
      <c r="BS6" s="1" t="s">
        <v>198</v>
      </c>
      <c r="BT6" s="1"/>
      <c r="BU6" s="1"/>
      <c r="BV6" s="1"/>
      <c r="BW6" s="1"/>
      <c r="BX6" s="1"/>
      <c r="BY6" s="1" t="s">
        <v>255</v>
      </c>
      <c r="BZ6" s="1" t="s">
        <v>308</v>
      </c>
      <c r="CA6" s="1" t="s">
        <v>308</v>
      </c>
      <c r="CB6" s="1" t="s">
        <v>898</v>
      </c>
      <c r="CC6" s="1" t="s">
        <v>899</v>
      </c>
    </row>
    <row r="7" spans="1:81" x14ac:dyDescent="0.25">
      <c r="A7" s="1" t="s">
        <v>145</v>
      </c>
      <c r="B7" s="1" t="s">
        <v>768</v>
      </c>
      <c r="C7" s="1">
        <v>1610612755</v>
      </c>
      <c r="D7" s="1" t="s">
        <v>268</v>
      </c>
      <c r="E7" s="1" t="s">
        <v>269</v>
      </c>
      <c r="F7" s="1" t="s">
        <v>179</v>
      </c>
      <c r="G7" s="1" t="s">
        <v>862</v>
      </c>
      <c r="H7" s="1">
        <v>3</v>
      </c>
      <c r="I7" s="1" t="s">
        <v>863</v>
      </c>
      <c r="J7" s="1" t="s">
        <v>203</v>
      </c>
      <c r="K7" s="1" t="s">
        <v>864</v>
      </c>
      <c r="L7" s="1">
        <v>2</v>
      </c>
      <c r="M7" s="1">
        <v>51</v>
      </c>
      <c r="N7" s="1">
        <v>31</v>
      </c>
      <c r="O7" s="1">
        <v>0.622</v>
      </c>
      <c r="P7" s="1">
        <v>0</v>
      </c>
      <c r="Q7" s="1" t="s">
        <v>865</v>
      </c>
      <c r="R7" s="1" t="s">
        <v>866</v>
      </c>
      <c r="S7" s="1" t="s">
        <v>846</v>
      </c>
      <c r="T7" s="1" t="s">
        <v>310</v>
      </c>
      <c r="U7" s="1" t="s">
        <v>193</v>
      </c>
      <c r="V7" s="1" t="s">
        <v>310</v>
      </c>
      <c r="W7" s="1" t="s">
        <v>236</v>
      </c>
      <c r="X7" s="1" t="s">
        <v>867</v>
      </c>
      <c r="Y7" s="1" t="s">
        <v>868</v>
      </c>
      <c r="Z7" s="1">
        <v>10</v>
      </c>
      <c r="AA7" s="1" t="s">
        <v>801</v>
      </c>
      <c r="AB7" s="1">
        <v>-5</v>
      </c>
      <c r="AC7" s="1" t="s">
        <v>272</v>
      </c>
      <c r="AD7" s="1">
        <v>6</v>
      </c>
      <c r="AE7" s="1">
        <v>3</v>
      </c>
      <c r="AF7" s="1">
        <v>1</v>
      </c>
      <c r="AG7" s="1" t="s">
        <v>246</v>
      </c>
      <c r="AH7" s="1">
        <v>-1</v>
      </c>
      <c r="AI7" s="1" t="s">
        <v>207</v>
      </c>
      <c r="AJ7" s="1">
        <v>1</v>
      </c>
      <c r="AK7" s="1" t="s">
        <v>246</v>
      </c>
      <c r="AL7" s="1">
        <v>9</v>
      </c>
      <c r="AM7" s="1">
        <v>7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869</v>
      </c>
      <c r="AT7" s="1" t="s">
        <v>870</v>
      </c>
      <c r="AU7" s="1" t="s">
        <v>208</v>
      </c>
      <c r="AV7" s="1" t="s">
        <v>777</v>
      </c>
      <c r="AW7" s="1" t="s">
        <v>871</v>
      </c>
      <c r="AX7" s="1" t="s">
        <v>186</v>
      </c>
      <c r="AY7" s="1" t="s">
        <v>872</v>
      </c>
      <c r="AZ7" s="1" t="s">
        <v>873</v>
      </c>
      <c r="BA7" s="1" t="s">
        <v>874</v>
      </c>
      <c r="BB7" s="1" t="s">
        <v>857</v>
      </c>
      <c r="BC7" s="1" t="s">
        <v>793</v>
      </c>
      <c r="BD7" s="1" t="s">
        <v>875</v>
      </c>
      <c r="BE7" s="1">
        <v>115.2</v>
      </c>
      <c r="BF7" s="1">
        <v>112.5</v>
      </c>
      <c r="BG7" s="1">
        <v>2.7</v>
      </c>
      <c r="BH7" s="1" t="s">
        <v>862</v>
      </c>
      <c r="BI7" s="1" t="s">
        <v>876</v>
      </c>
      <c r="BJ7" s="1" t="s">
        <v>788</v>
      </c>
      <c r="BK7" s="1" t="s">
        <v>877</v>
      </c>
      <c r="BL7" s="1" t="s">
        <v>814</v>
      </c>
      <c r="BM7" s="1" t="s">
        <v>266</v>
      </c>
      <c r="BN7" s="1" t="s">
        <v>216</v>
      </c>
      <c r="BO7" s="1" t="s">
        <v>266</v>
      </c>
      <c r="BP7" s="1" t="s">
        <v>233</v>
      </c>
      <c r="BQ7" s="1" t="s">
        <v>266</v>
      </c>
      <c r="BR7" s="1" t="s">
        <v>270</v>
      </c>
      <c r="BS7" s="1" t="s">
        <v>274</v>
      </c>
      <c r="BT7" s="1"/>
      <c r="BU7" s="1"/>
      <c r="BV7" s="1"/>
      <c r="BW7" s="1"/>
      <c r="BX7" s="1"/>
      <c r="BY7" s="1" t="s">
        <v>343</v>
      </c>
      <c r="BZ7" s="1" t="s">
        <v>836</v>
      </c>
      <c r="CA7" s="1" t="s">
        <v>878</v>
      </c>
      <c r="CB7" s="1" t="s">
        <v>879</v>
      </c>
      <c r="CC7" s="1" t="s">
        <v>880</v>
      </c>
    </row>
    <row r="8" spans="1:81" x14ac:dyDescent="0.25">
      <c r="A8" s="1" t="s">
        <v>145</v>
      </c>
      <c r="B8" s="1" t="s">
        <v>768</v>
      </c>
      <c r="C8" s="1">
        <v>1610612738</v>
      </c>
      <c r="D8" s="1" t="s">
        <v>201</v>
      </c>
      <c r="E8" s="1" t="s">
        <v>202</v>
      </c>
      <c r="F8" s="1" t="s">
        <v>179</v>
      </c>
      <c r="G8" s="1" t="s">
        <v>769</v>
      </c>
      <c r="H8" s="1">
        <v>4</v>
      </c>
      <c r="I8" s="1" t="s">
        <v>863</v>
      </c>
      <c r="J8" s="1" t="s">
        <v>203</v>
      </c>
      <c r="K8" s="1" t="s">
        <v>902</v>
      </c>
      <c r="L8" s="1">
        <v>3</v>
      </c>
      <c r="M8" s="1">
        <v>49</v>
      </c>
      <c r="N8" s="1">
        <v>33</v>
      </c>
      <c r="O8" s="1">
        <v>0.59799999999999998</v>
      </c>
      <c r="P8" s="1">
        <v>0</v>
      </c>
      <c r="Q8" s="1" t="s">
        <v>920</v>
      </c>
      <c r="R8" s="1" t="s">
        <v>921</v>
      </c>
      <c r="S8" s="1" t="s">
        <v>884</v>
      </c>
      <c r="T8" s="1" t="s">
        <v>259</v>
      </c>
      <c r="U8" s="1" t="s">
        <v>265</v>
      </c>
      <c r="V8" s="1" t="s">
        <v>259</v>
      </c>
      <c r="W8" s="1" t="s">
        <v>182</v>
      </c>
      <c r="X8" s="1" t="s">
        <v>340</v>
      </c>
      <c r="Y8" s="1" t="s">
        <v>922</v>
      </c>
      <c r="Z8" s="1">
        <v>10</v>
      </c>
      <c r="AA8" s="1" t="s">
        <v>801</v>
      </c>
      <c r="AB8" s="1">
        <v>4</v>
      </c>
      <c r="AC8" s="1" t="s">
        <v>159</v>
      </c>
      <c r="AD8" s="1">
        <v>8</v>
      </c>
      <c r="AE8" s="1">
        <v>4</v>
      </c>
      <c r="AF8" s="1">
        <v>-1</v>
      </c>
      <c r="AG8" s="1" t="s">
        <v>207</v>
      </c>
      <c r="AH8" s="1">
        <v>3</v>
      </c>
      <c r="AI8" s="1" t="s">
        <v>223</v>
      </c>
      <c r="AJ8" s="1">
        <v>1</v>
      </c>
      <c r="AK8" s="1" t="s">
        <v>246</v>
      </c>
      <c r="AL8" s="1">
        <v>11</v>
      </c>
      <c r="AM8" s="1">
        <v>9</v>
      </c>
      <c r="AN8" s="1">
        <v>0</v>
      </c>
      <c r="AO8" s="1">
        <v>0</v>
      </c>
      <c r="AP8" s="1">
        <v>1</v>
      </c>
      <c r="AQ8" s="1">
        <v>0</v>
      </c>
      <c r="AR8" s="1">
        <v>0</v>
      </c>
      <c r="AS8" s="1" t="s">
        <v>923</v>
      </c>
      <c r="AT8" s="1" t="s">
        <v>924</v>
      </c>
      <c r="AU8" s="1" t="s">
        <v>260</v>
      </c>
      <c r="AV8" s="1" t="s">
        <v>925</v>
      </c>
      <c r="AW8" s="1" t="s">
        <v>852</v>
      </c>
      <c r="AX8" s="1" t="s">
        <v>164</v>
      </c>
      <c r="AY8" s="1" t="s">
        <v>926</v>
      </c>
      <c r="AZ8" s="1" t="s">
        <v>927</v>
      </c>
      <c r="BA8" s="1" t="s">
        <v>928</v>
      </c>
      <c r="BB8" s="1" t="s">
        <v>929</v>
      </c>
      <c r="BC8" s="1" t="s">
        <v>811</v>
      </c>
      <c r="BD8" s="1" t="s">
        <v>930</v>
      </c>
      <c r="BE8" s="1">
        <v>112.4</v>
      </c>
      <c r="BF8" s="1">
        <v>108</v>
      </c>
      <c r="BG8" s="1">
        <v>4.4000000000000004</v>
      </c>
      <c r="BH8" s="1" t="s">
        <v>769</v>
      </c>
      <c r="BI8" s="1" t="s">
        <v>815</v>
      </c>
      <c r="BJ8" s="1" t="s">
        <v>812</v>
      </c>
      <c r="BK8" s="1" t="s">
        <v>788</v>
      </c>
      <c r="BL8" s="1" t="s">
        <v>931</v>
      </c>
      <c r="BM8" s="1" t="s">
        <v>323</v>
      </c>
      <c r="BN8" s="1" t="s">
        <v>276</v>
      </c>
      <c r="BO8" s="1" t="s">
        <v>276</v>
      </c>
      <c r="BP8" s="1" t="s">
        <v>233</v>
      </c>
      <c r="BQ8" s="1" t="s">
        <v>316</v>
      </c>
      <c r="BR8" s="1" t="s">
        <v>308</v>
      </c>
      <c r="BS8" s="1" t="s">
        <v>169</v>
      </c>
      <c r="BT8" s="1"/>
      <c r="BU8" s="1"/>
      <c r="BV8" s="1"/>
      <c r="BW8" s="1"/>
      <c r="BX8" s="1"/>
      <c r="BY8" s="1" t="s">
        <v>255</v>
      </c>
      <c r="BZ8" s="1" t="s">
        <v>932</v>
      </c>
      <c r="CA8" s="1" t="s">
        <v>270</v>
      </c>
      <c r="CB8" s="1" t="s">
        <v>879</v>
      </c>
      <c r="CC8" s="1" t="s">
        <v>933</v>
      </c>
    </row>
    <row r="9" spans="1:81" x14ac:dyDescent="0.25">
      <c r="A9" s="1" t="s">
        <v>145</v>
      </c>
      <c r="B9" s="1" t="s">
        <v>768</v>
      </c>
      <c r="C9" s="1">
        <v>1610612745</v>
      </c>
      <c r="D9" s="1" t="s">
        <v>229</v>
      </c>
      <c r="E9" s="1" t="s">
        <v>230</v>
      </c>
      <c r="F9" s="1" t="s">
        <v>149</v>
      </c>
      <c r="G9" s="1" t="s">
        <v>900</v>
      </c>
      <c r="H9" s="1">
        <v>4</v>
      </c>
      <c r="I9" s="1" t="s">
        <v>901</v>
      </c>
      <c r="J9" s="1" t="s">
        <v>231</v>
      </c>
      <c r="K9" s="1" t="s">
        <v>902</v>
      </c>
      <c r="L9" s="1">
        <v>1</v>
      </c>
      <c r="M9" s="1">
        <v>53</v>
      </c>
      <c r="N9" s="1">
        <v>29</v>
      </c>
      <c r="O9" s="1">
        <v>0.64600000000000002</v>
      </c>
      <c r="P9" s="1">
        <v>0</v>
      </c>
      <c r="Q9" s="1" t="s">
        <v>883</v>
      </c>
      <c r="R9" s="1" t="s">
        <v>866</v>
      </c>
      <c r="S9" s="1" t="s">
        <v>903</v>
      </c>
      <c r="T9" s="1" t="s">
        <v>184</v>
      </c>
      <c r="U9" s="1" t="s">
        <v>156</v>
      </c>
      <c r="V9" s="1" t="s">
        <v>193</v>
      </c>
      <c r="W9" s="1" t="s">
        <v>292</v>
      </c>
      <c r="X9" s="1" t="s">
        <v>904</v>
      </c>
      <c r="Y9" s="1" t="s">
        <v>905</v>
      </c>
      <c r="Z9" s="1">
        <v>10</v>
      </c>
      <c r="AA9" s="1" t="s">
        <v>801</v>
      </c>
      <c r="AB9" s="1">
        <v>6</v>
      </c>
      <c r="AC9" s="1" t="s">
        <v>188</v>
      </c>
      <c r="AD9" s="1">
        <v>9</v>
      </c>
      <c r="AE9" s="1">
        <v>4</v>
      </c>
      <c r="AF9" s="1">
        <v>7</v>
      </c>
      <c r="AG9" s="1" t="s">
        <v>906</v>
      </c>
      <c r="AH9" s="1">
        <v>-1</v>
      </c>
      <c r="AI9" s="1" t="s">
        <v>207</v>
      </c>
      <c r="AJ9" s="1">
        <v>-1</v>
      </c>
      <c r="AK9" s="1" t="s">
        <v>207</v>
      </c>
      <c r="AL9" s="1">
        <v>4</v>
      </c>
      <c r="AM9" s="1">
        <v>0</v>
      </c>
      <c r="AN9" s="1">
        <v>0</v>
      </c>
      <c r="AO9" s="1">
        <v>1</v>
      </c>
      <c r="AP9" s="1">
        <v>1</v>
      </c>
      <c r="AQ9" s="1">
        <v>0</v>
      </c>
      <c r="AR9" s="1">
        <v>0</v>
      </c>
      <c r="AS9" s="1" t="s">
        <v>907</v>
      </c>
      <c r="AT9" s="1" t="s">
        <v>908</v>
      </c>
      <c r="AU9" s="1" t="s">
        <v>157</v>
      </c>
      <c r="AV9" s="1" t="s">
        <v>909</v>
      </c>
      <c r="AW9" s="1" t="s">
        <v>910</v>
      </c>
      <c r="AX9" s="1" t="s">
        <v>190</v>
      </c>
      <c r="AY9" s="1" t="s">
        <v>853</v>
      </c>
      <c r="AZ9" s="1" t="s">
        <v>911</v>
      </c>
      <c r="BA9" s="1" t="s">
        <v>832</v>
      </c>
      <c r="BB9" s="1" t="s">
        <v>912</v>
      </c>
      <c r="BC9" s="1" t="s">
        <v>913</v>
      </c>
      <c r="BD9" s="1" t="s">
        <v>914</v>
      </c>
      <c r="BE9" s="1">
        <v>113.9</v>
      </c>
      <c r="BF9" s="1">
        <v>109.1</v>
      </c>
      <c r="BG9" s="1">
        <v>4.8</v>
      </c>
      <c r="BH9" s="1" t="s">
        <v>915</v>
      </c>
      <c r="BI9" s="1" t="s">
        <v>216</v>
      </c>
      <c r="BJ9" s="1" t="s">
        <v>266</v>
      </c>
      <c r="BK9" s="1" t="s">
        <v>296</v>
      </c>
      <c r="BL9" s="1" t="s">
        <v>900</v>
      </c>
      <c r="BM9" s="1" t="s">
        <v>916</v>
      </c>
      <c r="BN9" s="1" t="s">
        <v>837</v>
      </c>
      <c r="BO9" s="1" t="s">
        <v>815</v>
      </c>
      <c r="BP9" s="1" t="s">
        <v>291</v>
      </c>
      <c r="BQ9" s="1" t="s">
        <v>859</v>
      </c>
      <c r="BR9" s="1" t="s">
        <v>183</v>
      </c>
      <c r="BS9" s="1" t="s">
        <v>169</v>
      </c>
      <c r="BT9" s="1"/>
      <c r="BU9" s="1"/>
      <c r="BV9" s="1"/>
      <c r="BW9" s="1"/>
      <c r="BX9" s="1"/>
      <c r="BY9" s="1" t="s">
        <v>917</v>
      </c>
      <c r="BZ9" s="1" t="s">
        <v>839</v>
      </c>
      <c r="CA9" s="1" t="s">
        <v>233</v>
      </c>
      <c r="CB9" s="1" t="s">
        <v>918</v>
      </c>
      <c r="CC9" s="1" t="s">
        <v>919</v>
      </c>
    </row>
    <row r="10" spans="1:81" x14ac:dyDescent="0.25">
      <c r="A10" s="1" t="s">
        <v>145</v>
      </c>
      <c r="B10" s="1" t="s">
        <v>768</v>
      </c>
      <c r="C10" s="1">
        <v>1610612762</v>
      </c>
      <c r="D10" s="1" t="s">
        <v>283</v>
      </c>
      <c r="E10" s="1" t="s">
        <v>284</v>
      </c>
      <c r="F10" s="1" t="s">
        <v>149</v>
      </c>
      <c r="G10" s="1" t="s">
        <v>956</v>
      </c>
      <c r="H10" s="1">
        <v>5</v>
      </c>
      <c r="I10" s="1" t="s">
        <v>863</v>
      </c>
      <c r="J10" s="1" t="s">
        <v>219</v>
      </c>
      <c r="K10" s="1" t="s">
        <v>864</v>
      </c>
      <c r="L10" s="1">
        <v>3</v>
      </c>
      <c r="M10" s="1">
        <v>50</v>
      </c>
      <c r="N10" s="1">
        <v>32</v>
      </c>
      <c r="O10" s="1">
        <v>0.61</v>
      </c>
      <c r="P10" s="1">
        <v>0</v>
      </c>
      <c r="Q10" s="1" t="s">
        <v>957</v>
      </c>
      <c r="R10" s="1" t="s">
        <v>905</v>
      </c>
      <c r="S10" s="1" t="s">
        <v>884</v>
      </c>
      <c r="T10" s="1" t="s">
        <v>184</v>
      </c>
      <c r="U10" s="1" t="s">
        <v>184</v>
      </c>
      <c r="V10" s="1" t="s">
        <v>259</v>
      </c>
      <c r="W10" s="1" t="s">
        <v>164</v>
      </c>
      <c r="X10" s="1" t="s">
        <v>359</v>
      </c>
      <c r="Y10" s="1" t="s">
        <v>958</v>
      </c>
      <c r="Z10" s="1">
        <v>8</v>
      </c>
      <c r="AA10" s="1" t="s">
        <v>886</v>
      </c>
      <c r="AB10" s="1">
        <v>-5</v>
      </c>
      <c r="AC10" s="1" t="s">
        <v>272</v>
      </c>
      <c r="AD10" s="1">
        <v>7</v>
      </c>
      <c r="AE10" s="1">
        <v>4</v>
      </c>
      <c r="AF10" s="1">
        <v>8</v>
      </c>
      <c r="AG10" s="1" t="s">
        <v>886</v>
      </c>
      <c r="AH10" s="1">
        <v>-2</v>
      </c>
      <c r="AI10" s="1" t="s">
        <v>279</v>
      </c>
      <c r="AJ10" s="1">
        <v>-1</v>
      </c>
      <c r="AK10" s="1" t="s">
        <v>207</v>
      </c>
      <c r="AL10" s="1">
        <v>7</v>
      </c>
      <c r="AM10" s="1">
        <v>4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959</v>
      </c>
      <c r="AT10" s="1" t="s">
        <v>960</v>
      </c>
      <c r="AU10" s="1" t="s">
        <v>185</v>
      </c>
      <c r="AV10" s="1" t="s">
        <v>961</v>
      </c>
      <c r="AW10" s="1" t="s">
        <v>962</v>
      </c>
      <c r="AX10" s="1" t="s">
        <v>157</v>
      </c>
      <c r="AY10" s="1" t="s">
        <v>963</v>
      </c>
      <c r="AZ10" s="1" t="s">
        <v>964</v>
      </c>
      <c r="BA10" s="1" t="s">
        <v>965</v>
      </c>
      <c r="BB10" s="1" t="s">
        <v>966</v>
      </c>
      <c r="BC10" s="1" t="s">
        <v>923</v>
      </c>
      <c r="BD10" s="1" t="s">
        <v>967</v>
      </c>
      <c r="BE10" s="1">
        <v>111.7</v>
      </c>
      <c r="BF10" s="1">
        <v>106.5</v>
      </c>
      <c r="BG10" s="1">
        <v>5.3</v>
      </c>
      <c r="BH10" s="1" t="s">
        <v>814</v>
      </c>
      <c r="BI10" s="1" t="s">
        <v>266</v>
      </c>
      <c r="BJ10" s="1" t="s">
        <v>296</v>
      </c>
      <c r="BK10" s="1" t="s">
        <v>296</v>
      </c>
      <c r="BL10" s="1" t="s">
        <v>956</v>
      </c>
      <c r="BM10" s="1" t="s">
        <v>876</v>
      </c>
      <c r="BN10" s="1" t="s">
        <v>788</v>
      </c>
      <c r="BO10" s="1" t="s">
        <v>790</v>
      </c>
      <c r="BP10" s="1" t="s">
        <v>233</v>
      </c>
      <c r="BQ10" s="1" t="s">
        <v>256</v>
      </c>
      <c r="BR10" s="1" t="s">
        <v>233</v>
      </c>
      <c r="BS10" s="1" t="s">
        <v>214</v>
      </c>
      <c r="BT10" s="1"/>
      <c r="BU10" s="1"/>
      <c r="BV10" s="1"/>
      <c r="BW10" s="1"/>
      <c r="BX10" s="1"/>
      <c r="BY10" s="1" t="s">
        <v>249</v>
      </c>
      <c r="BZ10" s="1" t="s">
        <v>968</v>
      </c>
      <c r="CA10" s="1" t="s">
        <v>326</v>
      </c>
      <c r="CB10" s="1" t="s">
        <v>969</v>
      </c>
      <c r="CC10" s="1" t="s">
        <v>970</v>
      </c>
    </row>
    <row r="11" spans="1:81" x14ac:dyDescent="0.25">
      <c r="A11" s="1" t="s">
        <v>145</v>
      </c>
      <c r="B11" s="1" t="s">
        <v>768</v>
      </c>
      <c r="C11" s="1">
        <v>1610612754</v>
      </c>
      <c r="D11" s="1" t="s">
        <v>288</v>
      </c>
      <c r="E11" s="1" t="s">
        <v>289</v>
      </c>
      <c r="F11" s="1" t="s">
        <v>179</v>
      </c>
      <c r="G11" s="1" t="s">
        <v>934</v>
      </c>
      <c r="H11" s="1">
        <v>5</v>
      </c>
      <c r="I11" s="1" t="s">
        <v>863</v>
      </c>
      <c r="J11" s="1" t="s">
        <v>181</v>
      </c>
      <c r="K11" s="1" t="s">
        <v>935</v>
      </c>
      <c r="L11" s="1">
        <v>2</v>
      </c>
      <c r="M11" s="1">
        <v>48</v>
      </c>
      <c r="N11" s="1">
        <v>34</v>
      </c>
      <c r="O11" s="1">
        <v>0.58499999999999996</v>
      </c>
      <c r="P11" s="1">
        <v>0</v>
      </c>
      <c r="Q11" s="1" t="s">
        <v>936</v>
      </c>
      <c r="R11" s="1" t="s">
        <v>905</v>
      </c>
      <c r="S11" s="1" t="s">
        <v>937</v>
      </c>
      <c r="T11" s="1" t="s">
        <v>310</v>
      </c>
      <c r="U11" s="1" t="s">
        <v>259</v>
      </c>
      <c r="V11" s="1" t="s">
        <v>320</v>
      </c>
      <c r="W11" s="1" t="s">
        <v>157</v>
      </c>
      <c r="X11" s="1" t="s">
        <v>302</v>
      </c>
      <c r="Y11" s="1" t="s">
        <v>938</v>
      </c>
      <c r="Z11" s="1">
        <v>5</v>
      </c>
      <c r="AA11" s="1" t="s">
        <v>160</v>
      </c>
      <c r="AB11" s="1">
        <v>-10</v>
      </c>
      <c r="AC11" s="1" t="s">
        <v>939</v>
      </c>
      <c r="AD11" s="1">
        <v>7</v>
      </c>
      <c r="AE11" s="1">
        <v>4</v>
      </c>
      <c r="AF11" s="1">
        <v>-2</v>
      </c>
      <c r="AG11" s="1" t="s">
        <v>279</v>
      </c>
      <c r="AH11" s="1">
        <v>2</v>
      </c>
      <c r="AI11" s="1" t="s">
        <v>222</v>
      </c>
      <c r="AJ11" s="1">
        <v>1</v>
      </c>
      <c r="AK11" s="1" t="s">
        <v>246</v>
      </c>
      <c r="AL11" s="1">
        <v>12</v>
      </c>
      <c r="AM11" s="1">
        <v>12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940</v>
      </c>
      <c r="AT11" s="1" t="s">
        <v>941</v>
      </c>
      <c r="AU11" s="1" t="s">
        <v>190</v>
      </c>
      <c r="AV11" s="1" t="s">
        <v>942</v>
      </c>
      <c r="AW11" s="1" t="s">
        <v>943</v>
      </c>
      <c r="AX11" s="1" t="s">
        <v>157</v>
      </c>
      <c r="AY11" s="1" t="s">
        <v>944</v>
      </c>
      <c r="AZ11" s="1" t="s">
        <v>945</v>
      </c>
      <c r="BA11" s="1" t="s">
        <v>946</v>
      </c>
      <c r="BB11" s="1" t="s">
        <v>947</v>
      </c>
      <c r="BC11" s="1" t="s">
        <v>948</v>
      </c>
      <c r="BD11" s="1" t="s">
        <v>949</v>
      </c>
      <c r="BE11" s="1">
        <v>108</v>
      </c>
      <c r="BF11" s="1">
        <v>104.7</v>
      </c>
      <c r="BG11" s="1">
        <v>3.3</v>
      </c>
      <c r="BH11" s="1" t="s">
        <v>934</v>
      </c>
      <c r="BI11" s="1" t="s">
        <v>950</v>
      </c>
      <c r="BJ11" s="1" t="s">
        <v>951</v>
      </c>
      <c r="BK11" s="1" t="s">
        <v>812</v>
      </c>
      <c r="BL11" s="1" t="s">
        <v>952</v>
      </c>
      <c r="BM11" s="1" t="s">
        <v>276</v>
      </c>
      <c r="BN11" s="1" t="s">
        <v>276</v>
      </c>
      <c r="BO11" s="1" t="s">
        <v>276</v>
      </c>
      <c r="BP11" s="1" t="s">
        <v>326</v>
      </c>
      <c r="BQ11" s="1" t="s">
        <v>953</v>
      </c>
      <c r="BR11" s="1" t="s">
        <v>371</v>
      </c>
      <c r="BS11" s="1" t="s">
        <v>228</v>
      </c>
      <c r="BT11" s="1"/>
      <c r="BU11" s="1"/>
      <c r="BV11" s="1"/>
      <c r="BW11" s="1"/>
      <c r="BX11" s="1"/>
      <c r="BY11" s="1" t="s">
        <v>315</v>
      </c>
      <c r="BZ11" s="1" t="s">
        <v>291</v>
      </c>
      <c r="CA11" s="1" t="s">
        <v>183</v>
      </c>
      <c r="CB11" s="1" t="s">
        <v>954</v>
      </c>
      <c r="CC11" s="1" t="s">
        <v>955</v>
      </c>
    </row>
    <row r="12" spans="1:81" x14ac:dyDescent="0.25">
      <c r="A12" s="1" t="s">
        <v>145</v>
      </c>
      <c r="B12" s="1" t="s">
        <v>768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971</v>
      </c>
      <c r="H12" s="1">
        <v>6</v>
      </c>
      <c r="I12" s="1" t="s">
        <v>863</v>
      </c>
      <c r="J12" s="1" t="s">
        <v>219</v>
      </c>
      <c r="K12" s="1" t="s">
        <v>972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920</v>
      </c>
      <c r="R12" s="1" t="s">
        <v>774</v>
      </c>
      <c r="S12" s="1" t="s">
        <v>903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973</v>
      </c>
      <c r="Y12" s="1" t="s">
        <v>974</v>
      </c>
      <c r="Z12" s="1">
        <v>7</v>
      </c>
      <c r="AA12" s="1" t="s">
        <v>906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975</v>
      </c>
      <c r="AT12" s="1" t="s">
        <v>976</v>
      </c>
      <c r="AU12" s="1" t="s">
        <v>186</v>
      </c>
      <c r="AV12" s="1" t="s">
        <v>977</v>
      </c>
      <c r="AW12" s="1" t="s">
        <v>978</v>
      </c>
      <c r="AX12" s="1" t="s">
        <v>157</v>
      </c>
      <c r="AY12" s="1" t="s">
        <v>979</v>
      </c>
      <c r="AZ12" s="1" t="s">
        <v>980</v>
      </c>
      <c r="BA12" s="1" t="s">
        <v>981</v>
      </c>
      <c r="BB12" s="1" t="s">
        <v>982</v>
      </c>
      <c r="BC12" s="1" t="s">
        <v>905</v>
      </c>
      <c r="BD12" s="1" t="s">
        <v>983</v>
      </c>
      <c r="BE12" s="1">
        <v>114.5</v>
      </c>
      <c r="BF12" s="1">
        <v>111.1</v>
      </c>
      <c r="BG12" s="1">
        <v>3.4</v>
      </c>
      <c r="BH12" s="1" t="s">
        <v>915</v>
      </c>
      <c r="BI12" s="1" t="s">
        <v>266</v>
      </c>
      <c r="BJ12" s="1" t="s">
        <v>216</v>
      </c>
      <c r="BK12" s="1" t="s">
        <v>296</v>
      </c>
      <c r="BL12" s="1" t="s">
        <v>971</v>
      </c>
      <c r="BM12" s="1" t="s">
        <v>984</v>
      </c>
      <c r="BN12" s="1" t="s">
        <v>790</v>
      </c>
      <c r="BO12" s="1" t="s">
        <v>950</v>
      </c>
      <c r="BP12" s="1" t="s">
        <v>270</v>
      </c>
      <c r="BQ12" s="1" t="s">
        <v>286</v>
      </c>
      <c r="BR12" s="1" t="s">
        <v>410</v>
      </c>
      <c r="BS12" s="1" t="s">
        <v>985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839</v>
      </c>
      <c r="CB12" s="1" t="s">
        <v>986</v>
      </c>
      <c r="CC12" s="1" t="s">
        <v>987</v>
      </c>
    </row>
    <row r="13" spans="1:81" x14ac:dyDescent="0.25">
      <c r="A13" s="1" t="s">
        <v>145</v>
      </c>
      <c r="B13" s="1" t="s">
        <v>768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881</v>
      </c>
      <c r="H13" s="1">
        <v>6</v>
      </c>
      <c r="I13" s="1" t="s">
        <v>863</v>
      </c>
      <c r="J13" s="1" t="s">
        <v>203</v>
      </c>
      <c r="K13" s="1" t="s">
        <v>864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988</v>
      </c>
      <c r="R13" s="1" t="s">
        <v>989</v>
      </c>
      <c r="S13" s="1" t="s">
        <v>937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990</v>
      </c>
      <c r="Y13" s="1" t="s">
        <v>991</v>
      </c>
      <c r="Z13" s="1">
        <v>9</v>
      </c>
      <c r="AA13" s="1" t="s">
        <v>992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885</v>
      </c>
      <c r="AT13" s="1" t="s">
        <v>993</v>
      </c>
      <c r="AU13" s="1" t="s">
        <v>273</v>
      </c>
      <c r="AV13" s="1" t="s">
        <v>994</v>
      </c>
      <c r="AW13" s="1" t="s">
        <v>995</v>
      </c>
      <c r="AX13" s="1" t="s">
        <v>224</v>
      </c>
      <c r="AY13" s="1" t="s">
        <v>996</v>
      </c>
      <c r="AZ13" s="1" t="s">
        <v>997</v>
      </c>
      <c r="BA13" s="1" t="s">
        <v>998</v>
      </c>
      <c r="BB13" s="1" t="s">
        <v>999</v>
      </c>
      <c r="BC13" s="1" t="s">
        <v>858</v>
      </c>
      <c r="BD13" s="1" t="s">
        <v>1000</v>
      </c>
      <c r="BE13" s="1">
        <v>112.2</v>
      </c>
      <c r="BF13" s="1">
        <v>112.3</v>
      </c>
      <c r="BG13" s="1">
        <v>-0.1</v>
      </c>
      <c r="BH13" s="1" t="s">
        <v>881</v>
      </c>
      <c r="BI13" s="1" t="s">
        <v>876</v>
      </c>
      <c r="BJ13" s="1" t="s">
        <v>790</v>
      </c>
      <c r="BK13" s="1" t="s">
        <v>877</v>
      </c>
      <c r="BL13" s="1" t="s">
        <v>1001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839</v>
      </c>
      <c r="CB13" s="1" t="s">
        <v>1002</v>
      </c>
      <c r="CC13" s="1" t="s">
        <v>1003</v>
      </c>
    </row>
    <row r="14" spans="1:81" x14ac:dyDescent="0.25">
      <c r="A14" s="1" t="s">
        <v>145</v>
      </c>
      <c r="B14" s="1" t="s">
        <v>768</v>
      </c>
      <c r="C14" s="1">
        <v>1610612759</v>
      </c>
      <c r="D14" s="1" t="s">
        <v>374</v>
      </c>
      <c r="E14" s="1" t="s">
        <v>375</v>
      </c>
      <c r="F14" s="1" t="s">
        <v>149</v>
      </c>
      <c r="G14" s="1" t="s">
        <v>956</v>
      </c>
      <c r="H14" s="1">
        <v>7</v>
      </c>
      <c r="I14" s="1" t="s">
        <v>863</v>
      </c>
      <c r="J14" s="1" t="s">
        <v>231</v>
      </c>
      <c r="K14" s="1" t="s">
        <v>902</v>
      </c>
      <c r="L14" s="1">
        <v>2</v>
      </c>
      <c r="M14" s="1">
        <v>48</v>
      </c>
      <c r="N14" s="1">
        <v>34</v>
      </c>
      <c r="O14" s="1">
        <v>0.58499999999999996</v>
      </c>
      <c r="P14" s="1">
        <v>0</v>
      </c>
      <c r="Q14" s="1" t="s">
        <v>936</v>
      </c>
      <c r="R14" s="1" t="s">
        <v>822</v>
      </c>
      <c r="S14" s="1" t="s">
        <v>1017</v>
      </c>
      <c r="T14" s="1" t="s">
        <v>259</v>
      </c>
      <c r="U14" s="1" t="s">
        <v>184</v>
      </c>
      <c r="V14" s="1" t="s">
        <v>265</v>
      </c>
      <c r="W14" s="1" t="s">
        <v>153</v>
      </c>
      <c r="X14" s="1" t="s">
        <v>1018</v>
      </c>
      <c r="Y14" s="1" t="s">
        <v>1005</v>
      </c>
      <c r="Z14" s="1">
        <v>11</v>
      </c>
      <c r="AA14" s="1" t="s">
        <v>776</v>
      </c>
      <c r="AB14" s="1">
        <v>-5</v>
      </c>
      <c r="AC14" s="1" t="s">
        <v>272</v>
      </c>
      <c r="AD14" s="1">
        <v>9</v>
      </c>
      <c r="AE14" s="1">
        <v>4</v>
      </c>
      <c r="AF14" s="1">
        <v>2</v>
      </c>
      <c r="AG14" s="1" t="s">
        <v>222</v>
      </c>
      <c r="AH14" s="1">
        <v>2</v>
      </c>
      <c r="AI14" s="1" t="s">
        <v>222</v>
      </c>
      <c r="AJ14" s="1">
        <v>3</v>
      </c>
      <c r="AK14" s="1" t="s">
        <v>223</v>
      </c>
      <c r="AL14" s="1">
        <v>9</v>
      </c>
      <c r="AM14" s="1">
        <v>5</v>
      </c>
      <c r="AN14" s="1">
        <v>0</v>
      </c>
      <c r="AO14" s="1">
        <v>0</v>
      </c>
      <c r="AP14" s="1">
        <v>1</v>
      </c>
      <c r="AQ14" s="1">
        <v>0</v>
      </c>
      <c r="AR14" s="1">
        <v>0</v>
      </c>
      <c r="AS14" s="1" t="s">
        <v>1019</v>
      </c>
      <c r="AT14" s="1" t="s">
        <v>1020</v>
      </c>
      <c r="AU14" s="1" t="s">
        <v>163</v>
      </c>
      <c r="AV14" s="1" t="s">
        <v>1021</v>
      </c>
      <c r="AW14" s="1" t="s">
        <v>1020</v>
      </c>
      <c r="AX14" s="1" t="s">
        <v>164</v>
      </c>
      <c r="AY14" s="1" t="s">
        <v>1022</v>
      </c>
      <c r="AZ14" s="1" t="s">
        <v>1023</v>
      </c>
      <c r="BA14" s="1" t="s">
        <v>1007</v>
      </c>
      <c r="BB14" s="1" t="s">
        <v>777</v>
      </c>
      <c r="BC14" s="1" t="s">
        <v>1024</v>
      </c>
      <c r="BD14" s="1" t="s">
        <v>1025</v>
      </c>
      <c r="BE14" s="1">
        <v>111.7</v>
      </c>
      <c r="BF14" s="1">
        <v>110</v>
      </c>
      <c r="BG14" s="1">
        <v>1.7</v>
      </c>
      <c r="BH14" s="1" t="s">
        <v>1026</v>
      </c>
      <c r="BI14" s="1" t="s">
        <v>266</v>
      </c>
      <c r="BJ14" s="1" t="s">
        <v>296</v>
      </c>
      <c r="BK14" s="1" t="s">
        <v>276</v>
      </c>
      <c r="BL14" s="1" t="s">
        <v>956</v>
      </c>
      <c r="BM14" s="1" t="s">
        <v>790</v>
      </c>
      <c r="BN14" s="1" t="s">
        <v>790</v>
      </c>
      <c r="BO14" s="1" t="s">
        <v>815</v>
      </c>
      <c r="BP14" s="1" t="s">
        <v>261</v>
      </c>
      <c r="BQ14" s="1" t="s">
        <v>398</v>
      </c>
      <c r="BR14" s="1" t="s">
        <v>253</v>
      </c>
      <c r="BS14" s="1" t="s">
        <v>169</v>
      </c>
      <c r="BT14" s="1"/>
      <c r="BU14" s="1"/>
      <c r="BV14" s="1"/>
      <c r="BW14" s="1"/>
      <c r="BX14" s="1"/>
      <c r="BY14" s="1" t="s">
        <v>255</v>
      </c>
      <c r="BZ14" s="1" t="s">
        <v>349</v>
      </c>
      <c r="CA14" s="1" t="s">
        <v>951</v>
      </c>
      <c r="CB14" s="1" t="s">
        <v>1027</v>
      </c>
      <c r="CC14" s="1" t="s">
        <v>841</v>
      </c>
    </row>
    <row r="15" spans="1:81" x14ac:dyDescent="0.25">
      <c r="A15" s="1" t="s">
        <v>145</v>
      </c>
      <c r="B15" s="1" t="s">
        <v>768</v>
      </c>
      <c r="C15" s="1">
        <v>1610612753</v>
      </c>
      <c r="D15" s="1" t="s">
        <v>317</v>
      </c>
      <c r="E15" s="1" t="s">
        <v>318</v>
      </c>
      <c r="F15" s="1" t="s">
        <v>179</v>
      </c>
      <c r="G15" s="1" t="s">
        <v>956</v>
      </c>
      <c r="H15" s="1">
        <v>7</v>
      </c>
      <c r="I15" s="1" t="s">
        <v>1004</v>
      </c>
      <c r="J15" s="1" t="s">
        <v>244</v>
      </c>
      <c r="K15" s="1" t="s">
        <v>902</v>
      </c>
      <c r="L15" s="1">
        <v>1</v>
      </c>
      <c r="M15" s="1">
        <v>42</v>
      </c>
      <c r="N15" s="1">
        <v>40</v>
      </c>
      <c r="O15" s="1">
        <v>0.51200000000000001</v>
      </c>
      <c r="P15" s="1">
        <v>0</v>
      </c>
      <c r="Q15" s="1" t="s">
        <v>988</v>
      </c>
      <c r="R15" s="1" t="s">
        <v>1005</v>
      </c>
      <c r="S15" s="1" t="s">
        <v>1006</v>
      </c>
      <c r="T15" s="1" t="s">
        <v>184</v>
      </c>
      <c r="U15" s="1" t="s">
        <v>156</v>
      </c>
      <c r="V15" s="1" t="s">
        <v>310</v>
      </c>
      <c r="W15" s="1" t="s">
        <v>339</v>
      </c>
      <c r="X15" s="1" t="s">
        <v>340</v>
      </c>
      <c r="Y15" s="1" t="s">
        <v>1007</v>
      </c>
      <c r="Z15" s="1">
        <v>9</v>
      </c>
      <c r="AA15" s="1" t="s">
        <v>992</v>
      </c>
      <c r="AB15" s="1">
        <v>-5</v>
      </c>
      <c r="AC15" s="1" t="s">
        <v>272</v>
      </c>
      <c r="AD15" s="1">
        <v>6</v>
      </c>
      <c r="AE15" s="1">
        <v>4</v>
      </c>
      <c r="AF15" s="1">
        <v>9</v>
      </c>
      <c r="AG15" s="1" t="s">
        <v>992</v>
      </c>
      <c r="AH15" s="1">
        <v>2</v>
      </c>
      <c r="AI15" s="1" t="s">
        <v>222</v>
      </c>
      <c r="AJ15" s="1">
        <v>4</v>
      </c>
      <c r="AK15" s="1" t="s">
        <v>159</v>
      </c>
      <c r="AL15" s="1">
        <v>18</v>
      </c>
      <c r="AM15" s="1">
        <v>0</v>
      </c>
      <c r="AN15" s="1">
        <v>0</v>
      </c>
      <c r="AO15" s="1">
        <v>1</v>
      </c>
      <c r="AP15" s="1">
        <v>1</v>
      </c>
      <c r="AQ15" s="1">
        <v>0</v>
      </c>
      <c r="AR15" s="1">
        <v>0</v>
      </c>
      <c r="AS15" s="1" t="s">
        <v>773</v>
      </c>
      <c r="AT15" s="1" t="s">
        <v>1008</v>
      </c>
      <c r="AU15" s="1" t="s">
        <v>164</v>
      </c>
      <c r="AV15" s="1" t="s">
        <v>1009</v>
      </c>
      <c r="AW15" s="1" t="s">
        <v>1010</v>
      </c>
      <c r="AX15" s="1" t="s">
        <v>185</v>
      </c>
      <c r="AY15" s="1" t="s">
        <v>1011</v>
      </c>
      <c r="AZ15" s="1" t="s">
        <v>1012</v>
      </c>
      <c r="BA15" s="1" t="s">
        <v>1013</v>
      </c>
      <c r="BB15" s="1" t="s">
        <v>1009</v>
      </c>
      <c r="BC15" s="1" t="s">
        <v>921</v>
      </c>
      <c r="BD15" s="1" t="s">
        <v>922</v>
      </c>
      <c r="BE15" s="1">
        <v>107.3</v>
      </c>
      <c r="BF15" s="1">
        <v>106.6</v>
      </c>
      <c r="BG15" s="1">
        <v>0.7</v>
      </c>
      <c r="BH15" s="1" t="s">
        <v>956</v>
      </c>
      <c r="BI15" s="1" t="s">
        <v>877</v>
      </c>
      <c r="BJ15" s="1" t="s">
        <v>950</v>
      </c>
      <c r="BK15" s="1" t="s">
        <v>815</v>
      </c>
      <c r="BL15" s="1" t="s">
        <v>1014</v>
      </c>
      <c r="BM15" s="1" t="s">
        <v>393</v>
      </c>
      <c r="BN15" s="1" t="s">
        <v>323</v>
      </c>
      <c r="BO15" s="1" t="s">
        <v>266</v>
      </c>
      <c r="BP15" s="1" t="s">
        <v>386</v>
      </c>
      <c r="BQ15" s="1" t="s">
        <v>240</v>
      </c>
      <c r="BR15" s="1" t="s">
        <v>270</v>
      </c>
      <c r="BS15" s="1" t="s">
        <v>169</v>
      </c>
      <c r="BT15" s="1"/>
      <c r="BU15" s="1"/>
      <c r="BV15" s="1"/>
      <c r="BW15" s="1"/>
      <c r="BX15" s="1"/>
      <c r="BY15" s="1" t="s">
        <v>345</v>
      </c>
      <c r="BZ15" s="1" t="s">
        <v>984</v>
      </c>
      <c r="CA15" s="1" t="s">
        <v>1015</v>
      </c>
      <c r="CB15" s="1" t="s">
        <v>1016</v>
      </c>
      <c r="CC15" s="1" t="s">
        <v>841</v>
      </c>
    </row>
    <row r="16" spans="1:81" x14ac:dyDescent="0.25">
      <c r="A16" s="1" t="s">
        <v>145</v>
      </c>
      <c r="B16" s="1" t="s">
        <v>768</v>
      </c>
      <c r="C16" s="1">
        <v>1610612746</v>
      </c>
      <c r="D16" s="1" t="s">
        <v>257</v>
      </c>
      <c r="E16" s="1" t="s">
        <v>258</v>
      </c>
      <c r="F16" s="1" t="s">
        <v>149</v>
      </c>
      <c r="G16" s="1" t="s">
        <v>971</v>
      </c>
      <c r="H16" s="1">
        <v>8</v>
      </c>
      <c r="I16" s="1" t="s">
        <v>863</v>
      </c>
      <c r="J16" s="1" t="s">
        <v>152</v>
      </c>
      <c r="K16" s="1" t="s">
        <v>935</v>
      </c>
      <c r="L16" s="1">
        <v>2</v>
      </c>
      <c r="M16" s="1">
        <v>48</v>
      </c>
      <c r="N16" s="1">
        <v>34</v>
      </c>
      <c r="O16" s="1">
        <v>0.58499999999999996</v>
      </c>
      <c r="P16" s="1">
        <v>0</v>
      </c>
      <c r="Q16" s="1" t="s">
        <v>936</v>
      </c>
      <c r="R16" s="1" t="s">
        <v>823</v>
      </c>
      <c r="S16" s="1" t="s">
        <v>903</v>
      </c>
      <c r="T16" s="1" t="s">
        <v>259</v>
      </c>
      <c r="U16" s="1" t="s">
        <v>193</v>
      </c>
      <c r="V16" s="1" t="s">
        <v>259</v>
      </c>
      <c r="W16" s="1" t="s">
        <v>158</v>
      </c>
      <c r="X16" s="1" t="s">
        <v>166</v>
      </c>
      <c r="Y16" s="1" t="s">
        <v>989</v>
      </c>
      <c r="Z16" s="1">
        <v>9</v>
      </c>
      <c r="AA16" s="1" t="s">
        <v>992</v>
      </c>
      <c r="AB16" s="1">
        <v>5</v>
      </c>
      <c r="AC16" s="1" t="s">
        <v>160</v>
      </c>
      <c r="AD16" s="1">
        <v>6</v>
      </c>
      <c r="AE16" s="1">
        <v>5</v>
      </c>
      <c r="AF16" s="1">
        <v>1</v>
      </c>
      <c r="AG16" s="1" t="s">
        <v>246</v>
      </c>
      <c r="AH16" s="1">
        <v>-2</v>
      </c>
      <c r="AI16" s="1" t="s">
        <v>279</v>
      </c>
      <c r="AJ16" s="1">
        <v>1</v>
      </c>
      <c r="AK16" s="1" t="s">
        <v>246</v>
      </c>
      <c r="AL16" s="1">
        <v>9</v>
      </c>
      <c r="AM16" s="1">
        <v>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1009</v>
      </c>
      <c r="AT16" s="1" t="s">
        <v>1043</v>
      </c>
      <c r="AU16" s="1" t="s">
        <v>260</v>
      </c>
      <c r="AV16" s="1" t="s">
        <v>1044</v>
      </c>
      <c r="AW16" s="1" t="s">
        <v>1045</v>
      </c>
      <c r="AX16" s="1" t="s">
        <v>190</v>
      </c>
      <c r="AY16" s="1" t="s">
        <v>1046</v>
      </c>
      <c r="AZ16" s="1" t="s">
        <v>1047</v>
      </c>
      <c r="BA16" s="1" t="s">
        <v>1048</v>
      </c>
      <c r="BB16" s="1" t="s">
        <v>1049</v>
      </c>
      <c r="BC16" s="1" t="s">
        <v>1050</v>
      </c>
      <c r="BD16" s="1" t="s">
        <v>1051</v>
      </c>
      <c r="BE16" s="1">
        <v>115.1</v>
      </c>
      <c r="BF16" s="1">
        <v>114.3</v>
      </c>
      <c r="BG16" s="1">
        <v>0.9</v>
      </c>
      <c r="BH16" s="1" t="s">
        <v>814</v>
      </c>
      <c r="BI16" s="1" t="s">
        <v>266</v>
      </c>
      <c r="BJ16" s="1" t="s">
        <v>296</v>
      </c>
      <c r="BK16" s="1" t="s">
        <v>296</v>
      </c>
      <c r="BL16" s="1" t="s">
        <v>971</v>
      </c>
      <c r="BM16" s="1" t="s">
        <v>1052</v>
      </c>
      <c r="BN16" s="1" t="s">
        <v>951</v>
      </c>
      <c r="BO16" s="1" t="s">
        <v>790</v>
      </c>
      <c r="BP16" s="1" t="s">
        <v>968</v>
      </c>
      <c r="BQ16" s="1" t="s">
        <v>286</v>
      </c>
      <c r="BR16" s="1" t="s">
        <v>1053</v>
      </c>
      <c r="BS16" s="1" t="s">
        <v>282</v>
      </c>
      <c r="BT16" s="1"/>
      <c r="BU16" s="1"/>
      <c r="BV16" s="1"/>
      <c r="BW16" s="1"/>
      <c r="BX16" s="1"/>
      <c r="BY16" s="1" t="s">
        <v>249</v>
      </c>
      <c r="BZ16" s="1" t="s">
        <v>204</v>
      </c>
      <c r="CA16" s="1" t="s">
        <v>337</v>
      </c>
      <c r="CB16" s="1" t="s">
        <v>1054</v>
      </c>
      <c r="CC16" s="1" t="s">
        <v>1055</v>
      </c>
    </row>
    <row r="17" spans="1:81" x14ac:dyDescent="0.25">
      <c r="A17" s="1" t="s">
        <v>145</v>
      </c>
      <c r="B17" s="1" t="s">
        <v>768</v>
      </c>
      <c r="C17" s="1">
        <v>1610612765</v>
      </c>
      <c r="D17" s="1" t="s">
        <v>380</v>
      </c>
      <c r="E17" s="1" t="s">
        <v>381</v>
      </c>
      <c r="F17" s="1" t="s">
        <v>179</v>
      </c>
      <c r="G17" s="1" t="s">
        <v>1028</v>
      </c>
      <c r="H17" s="1">
        <v>8</v>
      </c>
      <c r="I17" s="1" t="s">
        <v>863</v>
      </c>
      <c r="J17" s="1" t="s">
        <v>181</v>
      </c>
      <c r="K17" s="1" t="s">
        <v>864</v>
      </c>
      <c r="L17" s="1">
        <v>3</v>
      </c>
      <c r="M17" s="1">
        <v>41</v>
      </c>
      <c r="N17" s="1">
        <v>41</v>
      </c>
      <c r="O17" s="1">
        <v>0.5</v>
      </c>
      <c r="P17" s="1">
        <v>0</v>
      </c>
      <c r="Q17" s="1" t="s">
        <v>1029</v>
      </c>
      <c r="R17" s="1" t="s">
        <v>823</v>
      </c>
      <c r="S17" s="1" t="s">
        <v>1030</v>
      </c>
      <c r="T17" s="1" t="s">
        <v>310</v>
      </c>
      <c r="U17" s="1" t="s">
        <v>184</v>
      </c>
      <c r="V17" s="1" t="s">
        <v>320</v>
      </c>
      <c r="W17" s="1" t="s">
        <v>221</v>
      </c>
      <c r="X17" s="1" t="s">
        <v>355</v>
      </c>
      <c r="Y17" s="1" t="s">
        <v>1031</v>
      </c>
      <c r="Z17" s="1">
        <v>11</v>
      </c>
      <c r="AA17" s="1" t="s">
        <v>776</v>
      </c>
      <c r="AB17" s="1">
        <v>-5</v>
      </c>
      <c r="AC17" s="1" t="s">
        <v>272</v>
      </c>
      <c r="AD17" s="1">
        <v>5</v>
      </c>
      <c r="AE17" s="1">
        <v>6</v>
      </c>
      <c r="AF17" s="1">
        <v>1</v>
      </c>
      <c r="AG17" s="1" t="s">
        <v>246</v>
      </c>
      <c r="AH17" s="1">
        <v>1</v>
      </c>
      <c r="AI17" s="1" t="s">
        <v>246</v>
      </c>
      <c r="AJ17" s="1">
        <v>2</v>
      </c>
      <c r="AK17" s="1" t="s">
        <v>222</v>
      </c>
      <c r="AL17" s="1">
        <v>19</v>
      </c>
      <c r="AM17" s="1">
        <v>19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1032</v>
      </c>
      <c r="AT17" s="1" t="s">
        <v>1033</v>
      </c>
      <c r="AU17" s="1" t="s">
        <v>186</v>
      </c>
      <c r="AV17" s="1" t="s">
        <v>885</v>
      </c>
      <c r="AW17" s="1" t="s">
        <v>1034</v>
      </c>
      <c r="AX17" s="1" t="s">
        <v>161</v>
      </c>
      <c r="AY17" s="1" t="s">
        <v>1035</v>
      </c>
      <c r="AZ17" s="1" t="s">
        <v>1036</v>
      </c>
      <c r="BA17" s="1" t="s">
        <v>1037</v>
      </c>
      <c r="BB17" s="1" t="s">
        <v>1038</v>
      </c>
      <c r="BC17" s="1" t="s">
        <v>1039</v>
      </c>
      <c r="BD17" s="1" t="s">
        <v>1040</v>
      </c>
      <c r="BE17" s="1">
        <v>107</v>
      </c>
      <c r="BF17" s="1">
        <v>107.3</v>
      </c>
      <c r="BG17" s="1">
        <v>-0.2</v>
      </c>
      <c r="BH17" s="1" t="s">
        <v>1028</v>
      </c>
      <c r="BI17" s="1" t="s">
        <v>790</v>
      </c>
      <c r="BJ17" s="1" t="s">
        <v>876</v>
      </c>
      <c r="BK17" s="1" t="s">
        <v>950</v>
      </c>
      <c r="BL17" s="1" t="s">
        <v>931</v>
      </c>
      <c r="BM17" s="1" t="s">
        <v>323</v>
      </c>
      <c r="BN17" s="1" t="s">
        <v>276</v>
      </c>
      <c r="BO17" s="1" t="s">
        <v>276</v>
      </c>
      <c r="BP17" s="1" t="s">
        <v>410</v>
      </c>
      <c r="BQ17" s="1" t="s">
        <v>296</v>
      </c>
      <c r="BR17" s="1" t="s">
        <v>815</v>
      </c>
      <c r="BS17" s="1" t="s">
        <v>274</v>
      </c>
      <c r="BT17" s="1"/>
      <c r="BU17" s="1"/>
      <c r="BV17" s="1"/>
      <c r="BW17" s="1"/>
      <c r="BX17" s="1"/>
      <c r="BY17" s="1" t="s">
        <v>249</v>
      </c>
      <c r="BZ17" s="1" t="s">
        <v>859</v>
      </c>
      <c r="CA17" s="1" t="s">
        <v>397</v>
      </c>
      <c r="CB17" s="1" t="s">
        <v>1041</v>
      </c>
      <c r="CC17" s="1" t="s">
        <v>1042</v>
      </c>
    </row>
    <row r="18" spans="1:81" x14ac:dyDescent="0.25">
      <c r="A18" s="1" t="s">
        <v>145</v>
      </c>
      <c r="B18" s="1" t="s">
        <v>768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1069</v>
      </c>
      <c r="H18" s="1">
        <v>9</v>
      </c>
      <c r="I18" s="1" t="s">
        <v>1056</v>
      </c>
      <c r="J18" s="1" t="s">
        <v>152</v>
      </c>
      <c r="K18" s="1" t="s">
        <v>1070</v>
      </c>
      <c r="L18" s="1">
        <v>3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1057</v>
      </c>
      <c r="R18" s="1" t="s">
        <v>1071</v>
      </c>
      <c r="S18" s="1" t="s">
        <v>1030</v>
      </c>
      <c r="T18" s="1" t="s">
        <v>341</v>
      </c>
      <c r="U18" s="1" t="s">
        <v>265</v>
      </c>
      <c r="V18" s="1" t="s">
        <v>320</v>
      </c>
      <c r="W18" s="1" t="s">
        <v>164</v>
      </c>
      <c r="X18" s="1" t="s">
        <v>973</v>
      </c>
      <c r="Y18" s="1" t="s">
        <v>1072</v>
      </c>
      <c r="Z18" s="1">
        <v>7</v>
      </c>
      <c r="AA18" s="1" t="s">
        <v>906</v>
      </c>
      <c r="AB18" s="1">
        <v>-5</v>
      </c>
      <c r="AC18" s="1" t="s">
        <v>272</v>
      </c>
      <c r="AD18" s="1">
        <v>5</v>
      </c>
      <c r="AE18" s="1">
        <v>4</v>
      </c>
      <c r="AF18" s="1">
        <v>-1</v>
      </c>
      <c r="AG18" s="1" t="s">
        <v>207</v>
      </c>
      <c r="AH18" s="1">
        <v>-2</v>
      </c>
      <c r="AI18" s="1" t="s">
        <v>279</v>
      </c>
      <c r="AJ18" s="1">
        <v>-3</v>
      </c>
      <c r="AK18" s="1" t="s">
        <v>301</v>
      </c>
      <c r="AL18" s="1">
        <v>18</v>
      </c>
      <c r="AM18" s="1">
        <v>18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1073</v>
      </c>
      <c r="AT18" s="1" t="s">
        <v>1074</v>
      </c>
      <c r="AU18" s="1" t="s">
        <v>260</v>
      </c>
      <c r="AV18" s="1" t="s">
        <v>1075</v>
      </c>
      <c r="AW18" s="1" t="s">
        <v>1076</v>
      </c>
      <c r="AX18" s="1" t="s">
        <v>339</v>
      </c>
      <c r="AY18" s="1" t="s">
        <v>1077</v>
      </c>
      <c r="AZ18" s="1" t="s">
        <v>1078</v>
      </c>
      <c r="BA18" s="1" t="s">
        <v>1079</v>
      </c>
      <c r="BB18" s="1" t="s">
        <v>1080</v>
      </c>
      <c r="BC18" s="1" t="s">
        <v>1051</v>
      </c>
      <c r="BD18" s="1" t="s">
        <v>1081</v>
      </c>
      <c r="BE18" s="1">
        <v>114.2</v>
      </c>
      <c r="BF18" s="1">
        <v>115.3</v>
      </c>
      <c r="BG18" s="1">
        <v>-1.1000000000000001</v>
      </c>
      <c r="BH18" s="1" t="s">
        <v>1026</v>
      </c>
      <c r="BI18" s="1" t="s">
        <v>398</v>
      </c>
      <c r="BJ18" s="1" t="s">
        <v>296</v>
      </c>
      <c r="BK18" s="1" t="s">
        <v>216</v>
      </c>
      <c r="BL18" s="1" t="s">
        <v>1069</v>
      </c>
      <c r="BM18" s="1" t="s">
        <v>1052</v>
      </c>
      <c r="BN18" s="1" t="s">
        <v>1082</v>
      </c>
      <c r="BO18" s="1" t="s">
        <v>790</v>
      </c>
      <c r="BP18" s="1" t="s">
        <v>932</v>
      </c>
      <c r="BQ18" s="1" t="s">
        <v>276</v>
      </c>
      <c r="BR18" s="1" t="s">
        <v>968</v>
      </c>
      <c r="BS18" s="1" t="s">
        <v>344</v>
      </c>
      <c r="BT18" s="1"/>
      <c r="BU18" s="1"/>
      <c r="BV18" s="1"/>
      <c r="BW18" s="1"/>
      <c r="BX18" s="1"/>
      <c r="BY18" s="1" t="s">
        <v>315</v>
      </c>
      <c r="BZ18" s="1" t="s">
        <v>1015</v>
      </c>
      <c r="CA18" s="1" t="s">
        <v>839</v>
      </c>
      <c r="CB18" s="1" t="s">
        <v>1083</v>
      </c>
      <c r="CC18" s="1" t="s">
        <v>1084</v>
      </c>
    </row>
    <row r="19" spans="1:81" x14ac:dyDescent="0.25">
      <c r="A19" s="1" t="s">
        <v>145</v>
      </c>
      <c r="B19" s="1" t="s">
        <v>768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881</v>
      </c>
      <c r="H19" s="1">
        <v>9</v>
      </c>
      <c r="I19" s="1" t="s">
        <v>1056</v>
      </c>
      <c r="J19" s="1" t="s">
        <v>244</v>
      </c>
      <c r="K19" s="1" t="s">
        <v>902</v>
      </c>
      <c r="L19" s="1">
        <v>2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1057</v>
      </c>
      <c r="R19" s="1" t="s">
        <v>1005</v>
      </c>
      <c r="S19" s="1" t="s">
        <v>1058</v>
      </c>
      <c r="T19" s="1" t="s">
        <v>259</v>
      </c>
      <c r="U19" s="1" t="s">
        <v>265</v>
      </c>
      <c r="V19" s="1" t="s">
        <v>265</v>
      </c>
      <c r="W19" s="1" t="s">
        <v>262</v>
      </c>
      <c r="X19" s="1" t="s">
        <v>882</v>
      </c>
      <c r="Y19" s="1" t="s">
        <v>884</v>
      </c>
      <c r="Z19" s="1">
        <v>5</v>
      </c>
      <c r="AA19" s="1" t="s">
        <v>160</v>
      </c>
      <c r="AB19" s="1">
        <v>-4</v>
      </c>
      <c r="AC19" s="1" t="s">
        <v>263</v>
      </c>
      <c r="AD19" s="1">
        <v>4</v>
      </c>
      <c r="AE19" s="1">
        <v>3</v>
      </c>
      <c r="AF19" s="1">
        <v>-1</v>
      </c>
      <c r="AG19" s="1" t="s">
        <v>207</v>
      </c>
      <c r="AH19" s="1">
        <v>3</v>
      </c>
      <c r="AI19" s="1" t="s">
        <v>223</v>
      </c>
      <c r="AJ19" s="1">
        <v>-1</v>
      </c>
      <c r="AK19" s="1" t="s">
        <v>207</v>
      </c>
      <c r="AL19" s="1">
        <v>21</v>
      </c>
      <c r="AM19" s="1">
        <v>3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1059</v>
      </c>
      <c r="AT19" s="1" t="s">
        <v>1060</v>
      </c>
      <c r="AU19" s="1" t="s">
        <v>190</v>
      </c>
      <c r="AV19" s="1" t="s">
        <v>799</v>
      </c>
      <c r="AW19" s="1" t="s">
        <v>1061</v>
      </c>
      <c r="AX19" s="1" t="s">
        <v>186</v>
      </c>
      <c r="AY19" s="1" t="s">
        <v>1062</v>
      </c>
      <c r="AZ19" s="1" t="s">
        <v>1063</v>
      </c>
      <c r="BA19" s="1" t="s">
        <v>976</v>
      </c>
      <c r="BB19" s="1" t="s">
        <v>1064</v>
      </c>
      <c r="BC19" s="1" t="s">
        <v>1065</v>
      </c>
      <c r="BD19" s="1" t="s">
        <v>1066</v>
      </c>
      <c r="BE19" s="1">
        <v>110.7</v>
      </c>
      <c r="BF19" s="1">
        <v>111.8</v>
      </c>
      <c r="BG19" s="1">
        <v>-1.1000000000000001</v>
      </c>
      <c r="BH19" s="1" t="s">
        <v>881</v>
      </c>
      <c r="BI19" s="1" t="s">
        <v>916</v>
      </c>
      <c r="BJ19" s="1" t="s">
        <v>877</v>
      </c>
      <c r="BK19" s="1" t="s">
        <v>815</v>
      </c>
      <c r="BL19" s="1" t="s">
        <v>1067</v>
      </c>
      <c r="BM19" s="1" t="s">
        <v>393</v>
      </c>
      <c r="BN19" s="1" t="s">
        <v>398</v>
      </c>
      <c r="BO19" s="1" t="s">
        <v>276</v>
      </c>
      <c r="BP19" s="1" t="s">
        <v>299</v>
      </c>
      <c r="BQ19" s="1" t="s">
        <v>388</v>
      </c>
      <c r="BR19" s="1" t="s">
        <v>932</v>
      </c>
      <c r="BS19" s="1" t="s">
        <v>214</v>
      </c>
      <c r="BT19" s="1"/>
      <c r="BU19" s="1"/>
      <c r="BV19" s="1"/>
      <c r="BW19" s="1"/>
      <c r="BX19" s="1"/>
      <c r="BY19" s="1" t="s">
        <v>343</v>
      </c>
      <c r="BZ19" s="1" t="s">
        <v>326</v>
      </c>
      <c r="CA19" s="1" t="s">
        <v>326</v>
      </c>
      <c r="CB19" s="1" t="s">
        <v>1068</v>
      </c>
      <c r="CC19" s="1" t="s">
        <v>987</v>
      </c>
    </row>
    <row r="20" spans="1:81" x14ac:dyDescent="0.25">
      <c r="A20" s="1" t="s">
        <v>145</v>
      </c>
      <c r="B20" s="1" t="s">
        <v>768</v>
      </c>
      <c r="C20" s="1">
        <v>1610612748</v>
      </c>
      <c r="D20" s="1" t="s">
        <v>241</v>
      </c>
      <c r="E20" s="1" t="s">
        <v>242</v>
      </c>
      <c r="F20" s="1" t="s">
        <v>179</v>
      </c>
      <c r="G20" s="1" t="s">
        <v>1099</v>
      </c>
      <c r="H20" s="1">
        <v>10</v>
      </c>
      <c r="I20" s="1" t="s">
        <v>1056</v>
      </c>
      <c r="J20" s="1" t="s">
        <v>244</v>
      </c>
      <c r="K20" s="1" t="s">
        <v>1100</v>
      </c>
      <c r="L20" s="1">
        <v>3</v>
      </c>
      <c r="M20" s="1">
        <v>39</v>
      </c>
      <c r="N20" s="1">
        <v>43</v>
      </c>
      <c r="O20" s="1">
        <v>0.47599999999999998</v>
      </c>
      <c r="P20" s="1">
        <v>0</v>
      </c>
      <c r="Q20" s="1" t="s">
        <v>1057</v>
      </c>
      <c r="R20" s="1" t="s">
        <v>937</v>
      </c>
      <c r="S20" s="1" t="s">
        <v>846</v>
      </c>
      <c r="T20" s="1" t="s">
        <v>310</v>
      </c>
      <c r="U20" s="1" t="s">
        <v>259</v>
      </c>
      <c r="V20" s="1" t="s">
        <v>265</v>
      </c>
      <c r="W20" s="1" t="s">
        <v>186</v>
      </c>
      <c r="X20" s="1" t="s">
        <v>355</v>
      </c>
      <c r="Y20" s="1" t="s">
        <v>1101</v>
      </c>
      <c r="Z20" s="1">
        <v>-6</v>
      </c>
      <c r="AA20" s="1" t="s">
        <v>367</v>
      </c>
      <c r="AB20" s="1">
        <v>4</v>
      </c>
      <c r="AC20" s="1" t="s">
        <v>159</v>
      </c>
      <c r="AD20" s="1">
        <v>5</v>
      </c>
      <c r="AE20" s="1">
        <v>4</v>
      </c>
      <c r="AF20" s="1">
        <v>1</v>
      </c>
      <c r="AG20" s="1" t="s">
        <v>246</v>
      </c>
      <c r="AH20" s="1">
        <v>-4</v>
      </c>
      <c r="AI20" s="1" t="s">
        <v>263</v>
      </c>
      <c r="AJ20" s="1">
        <v>-1</v>
      </c>
      <c r="AK20" s="1" t="s">
        <v>207</v>
      </c>
      <c r="AL20" s="1">
        <v>21</v>
      </c>
      <c r="AM20" s="1">
        <v>3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938</v>
      </c>
      <c r="AT20" s="1" t="s">
        <v>1102</v>
      </c>
      <c r="AU20" s="1" t="s">
        <v>234</v>
      </c>
      <c r="AV20" s="1" t="s">
        <v>1103</v>
      </c>
      <c r="AW20" s="1" t="s">
        <v>1104</v>
      </c>
      <c r="AX20" s="1" t="s">
        <v>260</v>
      </c>
      <c r="AY20" s="1" t="s">
        <v>1105</v>
      </c>
      <c r="AZ20" s="1" t="s">
        <v>1106</v>
      </c>
      <c r="BA20" s="1" t="s">
        <v>1107</v>
      </c>
      <c r="BB20" s="1" t="s">
        <v>1108</v>
      </c>
      <c r="BC20" s="1" t="s">
        <v>1109</v>
      </c>
      <c r="BD20" s="1" t="s">
        <v>1110</v>
      </c>
      <c r="BE20" s="1">
        <v>105.7</v>
      </c>
      <c r="BF20" s="1">
        <v>105.9</v>
      </c>
      <c r="BG20" s="1">
        <v>-0.2</v>
      </c>
      <c r="BH20" s="1" t="s">
        <v>1099</v>
      </c>
      <c r="BI20" s="1" t="s">
        <v>1052</v>
      </c>
      <c r="BJ20" s="1" t="s">
        <v>950</v>
      </c>
      <c r="BK20" s="1" t="s">
        <v>968</v>
      </c>
      <c r="BL20" s="1" t="s">
        <v>1111</v>
      </c>
      <c r="BM20" s="1" t="s">
        <v>323</v>
      </c>
      <c r="BN20" s="1" t="s">
        <v>398</v>
      </c>
      <c r="BO20" s="1" t="s">
        <v>176</v>
      </c>
      <c r="BP20" s="1" t="s">
        <v>326</v>
      </c>
      <c r="BQ20" s="1" t="s">
        <v>1112</v>
      </c>
      <c r="BR20" s="1" t="s">
        <v>233</v>
      </c>
      <c r="BS20" s="1" t="s">
        <v>917</v>
      </c>
      <c r="BT20" s="1"/>
      <c r="BU20" s="1"/>
      <c r="BV20" s="1"/>
      <c r="BW20" s="1"/>
      <c r="BX20" s="1"/>
      <c r="BY20" s="1" t="s">
        <v>295</v>
      </c>
      <c r="BZ20" s="1" t="s">
        <v>363</v>
      </c>
      <c r="CA20" s="1" t="s">
        <v>270</v>
      </c>
      <c r="CB20" s="1" t="s">
        <v>1041</v>
      </c>
      <c r="CC20" s="1" t="s">
        <v>1113</v>
      </c>
    </row>
    <row r="21" spans="1:81" x14ac:dyDescent="0.25">
      <c r="A21" s="1" t="s">
        <v>145</v>
      </c>
      <c r="B21" s="1" t="s">
        <v>768</v>
      </c>
      <c r="C21" s="1">
        <v>1610612747</v>
      </c>
      <c r="D21" s="1" t="s">
        <v>147</v>
      </c>
      <c r="E21" s="1" t="s">
        <v>148</v>
      </c>
      <c r="F21" s="1" t="s">
        <v>149</v>
      </c>
      <c r="G21" s="1" t="s">
        <v>1085</v>
      </c>
      <c r="H21" s="1">
        <v>10</v>
      </c>
      <c r="I21" s="1" t="s">
        <v>1056</v>
      </c>
      <c r="J21" s="1" t="s">
        <v>152</v>
      </c>
      <c r="K21" s="1" t="s">
        <v>972</v>
      </c>
      <c r="L21" s="1">
        <v>4</v>
      </c>
      <c r="M21" s="1">
        <v>37</v>
      </c>
      <c r="N21" s="1">
        <v>45</v>
      </c>
      <c r="O21" s="1">
        <v>0.45100000000000001</v>
      </c>
      <c r="P21" s="1">
        <v>0</v>
      </c>
      <c r="Q21" s="1" t="s">
        <v>1086</v>
      </c>
      <c r="R21" s="1" t="s">
        <v>903</v>
      </c>
      <c r="S21" s="1" t="s">
        <v>1030</v>
      </c>
      <c r="T21" s="1" t="s">
        <v>259</v>
      </c>
      <c r="U21" s="1" t="s">
        <v>310</v>
      </c>
      <c r="V21" s="1" t="s">
        <v>341</v>
      </c>
      <c r="W21" s="1" t="s">
        <v>224</v>
      </c>
      <c r="X21" s="1" t="s">
        <v>273</v>
      </c>
      <c r="Y21" s="1" t="s">
        <v>1017</v>
      </c>
      <c r="Z21" s="1">
        <v>6</v>
      </c>
      <c r="AA21" s="1" t="s">
        <v>188</v>
      </c>
      <c r="AB21" s="1">
        <v>-5</v>
      </c>
      <c r="AC21" s="1" t="s">
        <v>272</v>
      </c>
      <c r="AD21" s="1">
        <v>4</v>
      </c>
      <c r="AE21" s="1">
        <v>5</v>
      </c>
      <c r="AF21" s="1">
        <v>-1</v>
      </c>
      <c r="AG21" s="1" t="s">
        <v>207</v>
      </c>
      <c r="AH21" s="1">
        <v>1</v>
      </c>
      <c r="AI21" s="1" t="s">
        <v>246</v>
      </c>
      <c r="AJ21" s="1">
        <v>-1</v>
      </c>
      <c r="AK21" s="1" t="s">
        <v>207</v>
      </c>
      <c r="AL21" s="1">
        <v>20</v>
      </c>
      <c r="AM21" s="1">
        <v>20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1087</v>
      </c>
      <c r="AT21" s="1" t="s">
        <v>1088</v>
      </c>
      <c r="AU21" s="1" t="s">
        <v>157</v>
      </c>
      <c r="AV21" s="1" t="s">
        <v>1089</v>
      </c>
      <c r="AW21" s="1" t="s">
        <v>1090</v>
      </c>
      <c r="AX21" s="1" t="s">
        <v>157</v>
      </c>
      <c r="AY21" s="1" t="s">
        <v>1091</v>
      </c>
      <c r="AZ21" s="1" t="s">
        <v>1092</v>
      </c>
      <c r="BA21" s="1" t="s">
        <v>1093</v>
      </c>
      <c r="BB21" s="1" t="s">
        <v>1094</v>
      </c>
      <c r="BC21" s="1" t="s">
        <v>1095</v>
      </c>
      <c r="BD21" s="1" t="s">
        <v>1096</v>
      </c>
      <c r="BE21" s="1">
        <v>111.8</v>
      </c>
      <c r="BF21" s="1">
        <v>113.5</v>
      </c>
      <c r="BG21" s="1">
        <v>-1.7</v>
      </c>
      <c r="BH21" s="1" t="s">
        <v>1014</v>
      </c>
      <c r="BI21" s="1" t="s">
        <v>1097</v>
      </c>
      <c r="BJ21" s="1" t="s">
        <v>276</v>
      </c>
      <c r="BK21" s="1" t="s">
        <v>266</v>
      </c>
      <c r="BL21" s="1" t="s">
        <v>1085</v>
      </c>
      <c r="BM21" s="1" t="s">
        <v>1052</v>
      </c>
      <c r="BN21" s="1" t="s">
        <v>984</v>
      </c>
      <c r="BO21" s="1" t="s">
        <v>950</v>
      </c>
      <c r="BP21" s="1" t="s">
        <v>337</v>
      </c>
      <c r="BQ21" s="1" t="s">
        <v>364</v>
      </c>
      <c r="BR21" s="1" t="s">
        <v>386</v>
      </c>
      <c r="BS21" s="1" t="s">
        <v>275</v>
      </c>
      <c r="BT21" s="1"/>
      <c r="BU21" s="1"/>
      <c r="BV21" s="1"/>
      <c r="BW21" s="1"/>
      <c r="BX21" s="1"/>
      <c r="BY21" s="1" t="s">
        <v>305</v>
      </c>
      <c r="BZ21" s="1" t="s">
        <v>253</v>
      </c>
      <c r="CA21" s="1" t="s">
        <v>308</v>
      </c>
      <c r="CB21" s="1" t="s">
        <v>1098</v>
      </c>
      <c r="CC21" s="1" t="s">
        <v>1084</v>
      </c>
    </row>
    <row r="22" spans="1:81" x14ac:dyDescent="0.25">
      <c r="A22" s="1" t="s">
        <v>145</v>
      </c>
      <c r="B22" s="1" t="s">
        <v>768</v>
      </c>
      <c r="C22" s="1">
        <v>1610612750</v>
      </c>
      <c r="D22" s="1" t="s">
        <v>306</v>
      </c>
      <c r="E22" s="1" t="s">
        <v>307</v>
      </c>
      <c r="F22" s="1" t="s">
        <v>149</v>
      </c>
      <c r="G22" s="1" t="s">
        <v>1132</v>
      </c>
      <c r="H22" s="1">
        <v>11</v>
      </c>
      <c r="I22" s="1" t="s">
        <v>1056</v>
      </c>
      <c r="J22" s="1" t="s">
        <v>219</v>
      </c>
      <c r="K22" s="1" t="s">
        <v>1133</v>
      </c>
      <c r="L22" s="1">
        <v>5</v>
      </c>
      <c r="M22" s="1">
        <v>36</v>
      </c>
      <c r="N22" s="1">
        <v>46</v>
      </c>
      <c r="O22" s="1">
        <v>0.439</v>
      </c>
      <c r="P22" s="1">
        <v>0</v>
      </c>
      <c r="Q22" s="1" t="s">
        <v>1134</v>
      </c>
      <c r="R22" s="1" t="s">
        <v>1005</v>
      </c>
      <c r="S22" s="1" t="s">
        <v>1135</v>
      </c>
      <c r="T22" s="1" t="s">
        <v>310</v>
      </c>
      <c r="U22" s="1" t="s">
        <v>310</v>
      </c>
      <c r="V22" s="1" t="s">
        <v>320</v>
      </c>
      <c r="W22" s="1" t="s">
        <v>226</v>
      </c>
      <c r="X22" s="1" t="s">
        <v>281</v>
      </c>
      <c r="Y22" s="1" t="s">
        <v>937</v>
      </c>
      <c r="Z22" s="1">
        <v>6</v>
      </c>
      <c r="AA22" s="1" t="s">
        <v>188</v>
      </c>
      <c r="AB22" s="1">
        <v>-9</v>
      </c>
      <c r="AC22" s="1" t="s">
        <v>1136</v>
      </c>
      <c r="AD22" s="1">
        <v>4</v>
      </c>
      <c r="AE22" s="1">
        <v>5</v>
      </c>
      <c r="AF22" s="1">
        <v>-2</v>
      </c>
      <c r="AG22" s="1" t="s">
        <v>279</v>
      </c>
      <c r="AH22" s="1">
        <v>-1</v>
      </c>
      <c r="AI22" s="1" t="s">
        <v>207</v>
      </c>
      <c r="AJ22" s="1">
        <v>-3</v>
      </c>
      <c r="AK22" s="1" t="s">
        <v>301</v>
      </c>
      <c r="AL22" s="1">
        <v>21</v>
      </c>
      <c r="AM22" s="1">
        <v>18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1137</v>
      </c>
      <c r="AT22" s="1" t="s">
        <v>1138</v>
      </c>
      <c r="AU22" s="1" t="s">
        <v>226</v>
      </c>
      <c r="AV22" s="1" t="s">
        <v>1139</v>
      </c>
      <c r="AW22" s="1" t="s">
        <v>1140</v>
      </c>
      <c r="AX22" s="1" t="s">
        <v>260</v>
      </c>
      <c r="AY22" s="1" t="s">
        <v>1141</v>
      </c>
      <c r="AZ22" s="1" t="s">
        <v>1142</v>
      </c>
      <c r="BA22" s="1" t="s">
        <v>1143</v>
      </c>
      <c r="BB22" s="1" t="s">
        <v>1144</v>
      </c>
      <c r="BC22" s="1" t="s">
        <v>1145</v>
      </c>
      <c r="BD22" s="1" t="s">
        <v>1146</v>
      </c>
      <c r="BE22" s="1">
        <v>112.5</v>
      </c>
      <c r="BF22" s="1">
        <v>114</v>
      </c>
      <c r="BG22" s="1">
        <v>-1.5</v>
      </c>
      <c r="BH22" s="1" t="s">
        <v>931</v>
      </c>
      <c r="BI22" s="1" t="s">
        <v>323</v>
      </c>
      <c r="BJ22" s="1" t="s">
        <v>276</v>
      </c>
      <c r="BK22" s="1" t="s">
        <v>276</v>
      </c>
      <c r="BL22" s="1" t="s">
        <v>1132</v>
      </c>
      <c r="BM22" s="1" t="s">
        <v>386</v>
      </c>
      <c r="BN22" s="1" t="s">
        <v>950</v>
      </c>
      <c r="BO22" s="1" t="s">
        <v>916</v>
      </c>
      <c r="BP22" s="1" t="s">
        <v>291</v>
      </c>
      <c r="BQ22" s="1" t="s">
        <v>388</v>
      </c>
      <c r="BR22" s="1" t="s">
        <v>363</v>
      </c>
      <c r="BS22" s="1" t="s">
        <v>274</v>
      </c>
      <c r="BT22" s="1"/>
      <c r="BU22" s="1"/>
      <c r="BV22" s="1"/>
      <c r="BW22" s="1"/>
      <c r="BX22" s="1"/>
      <c r="BY22" s="1" t="s">
        <v>343</v>
      </c>
      <c r="BZ22" s="1" t="s">
        <v>326</v>
      </c>
      <c r="CA22" s="1" t="s">
        <v>337</v>
      </c>
      <c r="CB22" s="1" t="s">
        <v>1068</v>
      </c>
      <c r="CC22" s="1" t="s">
        <v>1084</v>
      </c>
    </row>
    <row r="23" spans="1:81" x14ac:dyDescent="0.25">
      <c r="A23" s="1" t="s">
        <v>145</v>
      </c>
      <c r="B23" s="1" t="s">
        <v>768</v>
      </c>
      <c r="C23" s="1">
        <v>1610612764</v>
      </c>
      <c r="D23" s="1" t="s">
        <v>357</v>
      </c>
      <c r="E23" s="1" t="s">
        <v>358</v>
      </c>
      <c r="F23" s="1" t="s">
        <v>179</v>
      </c>
      <c r="G23" s="1" t="s">
        <v>1114</v>
      </c>
      <c r="H23" s="1">
        <v>11</v>
      </c>
      <c r="I23" s="1" t="s">
        <v>1056</v>
      </c>
      <c r="J23" s="1" t="s">
        <v>244</v>
      </c>
      <c r="K23" s="1" t="s">
        <v>1100</v>
      </c>
      <c r="L23" s="1">
        <v>4</v>
      </c>
      <c r="M23" s="1">
        <v>32</v>
      </c>
      <c r="N23" s="1">
        <v>50</v>
      </c>
      <c r="O23" s="1">
        <v>0.39</v>
      </c>
      <c r="P23" s="1">
        <v>0</v>
      </c>
      <c r="Q23" s="1" t="s">
        <v>1115</v>
      </c>
      <c r="R23" s="1" t="s">
        <v>903</v>
      </c>
      <c r="S23" s="1" t="s">
        <v>1010</v>
      </c>
      <c r="T23" s="1" t="s">
        <v>320</v>
      </c>
      <c r="U23" s="1" t="s">
        <v>341</v>
      </c>
      <c r="V23" s="1" t="s">
        <v>341</v>
      </c>
      <c r="W23" s="1" t="s">
        <v>264</v>
      </c>
      <c r="X23" s="1" t="s">
        <v>340</v>
      </c>
      <c r="Y23" s="1" t="s">
        <v>1116</v>
      </c>
      <c r="Z23" s="1">
        <v>-6</v>
      </c>
      <c r="AA23" s="1" t="s">
        <v>367</v>
      </c>
      <c r="AB23" s="1">
        <v>-8</v>
      </c>
      <c r="AC23" s="1" t="s">
        <v>1117</v>
      </c>
      <c r="AD23" s="1">
        <v>3</v>
      </c>
      <c r="AE23" s="1">
        <v>5</v>
      </c>
      <c r="AF23" s="1">
        <v>-6</v>
      </c>
      <c r="AG23" s="1" t="s">
        <v>367</v>
      </c>
      <c r="AH23" s="1">
        <v>-1</v>
      </c>
      <c r="AI23" s="1" t="s">
        <v>207</v>
      </c>
      <c r="AJ23" s="1">
        <v>-4</v>
      </c>
      <c r="AK23" s="1" t="s">
        <v>263</v>
      </c>
      <c r="AL23" s="1">
        <v>28</v>
      </c>
      <c r="AM23" s="1">
        <v>10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1118</v>
      </c>
      <c r="AT23" s="1" t="s">
        <v>1119</v>
      </c>
      <c r="AU23" s="1" t="s">
        <v>158</v>
      </c>
      <c r="AV23" s="1" t="s">
        <v>1120</v>
      </c>
      <c r="AW23" s="1" t="s">
        <v>1121</v>
      </c>
      <c r="AX23" s="1" t="s">
        <v>190</v>
      </c>
      <c r="AY23" s="1" t="s">
        <v>1122</v>
      </c>
      <c r="AZ23" s="1" t="s">
        <v>1123</v>
      </c>
      <c r="BA23" s="1" t="s">
        <v>1124</v>
      </c>
      <c r="BB23" s="1" t="s">
        <v>1125</v>
      </c>
      <c r="BC23" s="1" t="s">
        <v>1126</v>
      </c>
      <c r="BD23" s="1" t="s">
        <v>1099</v>
      </c>
      <c r="BE23" s="1">
        <v>114</v>
      </c>
      <c r="BF23" s="1">
        <v>116.9</v>
      </c>
      <c r="BG23" s="1">
        <v>-2.9</v>
      </c>
      <c r="BH23" s="1" t="s">
        <v>1114</v>
      </c>
      <c r="BI23" s="1" t="s">
        <v>1127</v>
      </c>
      <c r="BJ23" s="1" t="s">
        <v>1127</v>
      </c>
      <c r="BK23" s="1" t="s">
        <v>968</v>
      </c>
      <c r="BL23" s="1" t="s">
        <v>1001</v>
      </c>
      <c r="BM23" s="1" t="s">
        <v>323</v>
      </c>
      <c r="BN23" s="1" t="s">
        <v>276</v>
      </c>
      <c r="BO23" s="1" t="s">
        <v>323</v>
      </c>
      <c r="BP23" s="1" t="s">
        <v>291</v>
      </c>
      <c r="BQ23" s="1" t="s">
        <v>398</v>
      </c>
      <c r="BR23" s="1" t="s">
        <v>1128</v>
      </c>
      <c r="BS23" s="1" t="s">
        <v>372</v>
      </c>
      <c r="BT23" s="1"/>
      <c r="BU23" s="1"/>
      <c r="BV23" s="1"/>
      <c r="BW23" s="1"/>
      <c r="BX23" s="1"/>
      <c r="BY23" s="1" t="s">
        <v>1129</v>
      </c>
      <c r="BZ23" s="1" t="s">
        <v>932</v>
      </c>
      <c r="CA23" s="1" t="s">
        <v>337</v>
      </c>
      <c r="CB23" s="1" t="s">
        <v>1130</v>
      </c>
      <c r="CC23" s="1" t="s">
        <v>1131</v>
      </c>
    </row>
    <row r="24" spans="1:81" x14ac:dyDescent="0.25">
      <c r="A24" s="1" t="s">
        <v>145</v>
      </c>
      <c r="B24" s="1" t="s">
        <v>768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1147</v>
      </c>
      <c r="H24" s="1">
        <v>12</v>
      </c>
      <c r="I24" s="1" t="s">
        <v>1056</v>
      </c>
      <c r="J24" s="1" t="s">
        <v>231</v>
      </c>
      <c r="K24" s="1" t="s">
        <v>864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1148</v>
      </c>
      <c r="R24" s="1" t="s">
        <v>884</v>
      </c>
      <c r="S24" s="1" t="s">
        <v>1149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1150</v>
      </c>
      <c r="Z24" s="1">
        <v>5</v>
      </c>
      <c r="AA24" s="1" t="s">
        <v>160</v>
      </c>
      <c r="AB24" s="1">
        <v>-9</v>
      </c>
      <c r="AC24" s="1" t="s">
        <v>1136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1151</v>
      </c>
      <c r="AT24" s="1" t="s">
        <v>1152</v>
      </c>
      <c r="AU24" s="1" t="s">
        <v>262</v>
      </c>
      <c r="AV24" s="1" t="s">
        <v>1153</v>
      </c>
      <c r="AW24" s="1" t="s">
        <v>1154</v>
      </c>
      <c r="AX24" s="1" t="s">
        <v>153</v>
      </c>
      <c r="AY24" s="1" t="s">
        <v>928</v>
      </c>
      <c r="AZ24" s="1" t="s">
        <v>1155</v>
      </c>
      <c r="BA24" s="1" t="s">
        <v>1107</v>
      </c>
      <c r="BB24" s="1" t="s">
        <v>1156</v>
      </c>
      <c r="BC24" s="1" t="s">
        <v>1157</v>
      </c>
      <c r="BD24" s="1" t="s">
        <v>1158</v>
      </c>
      <c r="BE24" s="1">
        <v>103.5</v>
      </c>
      <c r="BF24" s="1">
        <v>106.1</v>
      </c>
      <c r="BG24" s="1">
        <v>-2.6</v>
      </c>
      <c r="BH24" s="1" t="s">
        <v>1159</v>
      </c>
      <c r="BI24" s="1" t="s">
        <v>398</v>
      </c>
      <c r="BJ24" s="1" t="s">
        <v>398</v>
      </c>
      <c r="BK24" s="1" t="s">
        <v>398</v>
      </c>
      <c r="BL24" s="1" t="s">
        <v>1147</v>
      </c>
      <c r="BM24" s="1" t="s">
        <v>950</v>
      </c>
      <c r="BN24" s="1" t="s">
        <v>1052</v>
      </c>
      <c r="BO24" s="1" t="s">
        <v>876</v>
      </c>
      <c r="BP24" s="1" t="s">
        <v>1160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839</v>
      </c>
      <c r="CA24" s="1" t="s">
        <v>349</v>
      </c>
      <c r="CB24" s="1" t="s">
        <v>1161</v>
      </c>
      <c r="CC24" s="1" t="s">
        <v>1162</v>
      </c>
    </row>
    <row r="25" spans="1:81" x14ac:dyDescent="0.25">
      <c r="A25" s="1" t="s">
        <v>145</v>
      </c>
      <c r="B25" s="1" t="s">
        <v>768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1163</v>
      </c>
      <c r="H25" s="1">
        <v>12</v>
      </c>
      <c r="I25" s="1" t="s">
        <v>1056</v>
      </c>
      <c r="J25" s="1" t="s">
        <v>244</v>
      </c>
      <c r="K25" s="1" t="s">
        <v>882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1164</v>
      </c>
      <c r="R25" s="1" t="s">
        <v>1006</v>
      </c>
      <c r="S25" s="1" t="s">
        <v>1149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1165</v>
      </c>
      <c r="Y25" s="1" t="s">
        <v>1166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1167</v>
      </c>
      <c r="AT25" s="1" t="s">
        <v>1060</v>
      </c>
      <c r="AU25" s="1" t="s">
        <v>327</v>
      </c>
      <c r="AV25" s="1" t="s">
        <v>875</v>
      </c>
      <c r="AW25" s="1" t="s">
        <v>1168</v>
      </c>
      <c r="AX25" s="1" t="s">
        <v>153</v>
      </c>
      <c r="AY25" s="1" t="s">
        <v>1169</v>
      </c>
      <c r="AZ25" s="1" t="s">
        <v>1170</v>
      </c>
      <c r="BA25" s="1" t="s">
        <v>1171</v>
      </c>
      <c r="BB25" s="1" t="s">
        <v>1000</v>
      </c>
      <c r="BC25" s="1" t="s">
        <v>1172</v>
      </c>
      <c r="BD25" s="1" t="s">
        <v>1173</v>
      </c>
      <c r="BE25" s="1">
        <v>113.3</v>
      </c>
      <c r="BF25" s="1">
        <v>119.4</v>
      </c>
      <c r="BG25" s="1">
        <v>-6</v>
      </c>
      <c r="BH25" s="1" t="s">
        <v>1163</v>
      </c>
      <c r="BI25" s="1" t="s">
        <v>1174</v>
      </c>
      <c r="BJ25" s="1" t="s">
        <v>1127</v>
      </c>
      <c r="BK25" s="1" t="s">
        <v>410</v>
      </c>
      <c r="BL25" s="1" t="s">
        <v>1001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1175</v>
      </c>
      <c r="BR25" s="1" t="s">
        <v>932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1176</v>
      </c>
      <c r="CC25" s="1" t="s">
        <v>955</v>
      </c>
    </row>
    <row r="26" spans="1:81" x14ac:dyDescent="0.25">
      <c r="A26" s="1" t="s">
        <v>145</v>
      </c>
      <c r="B26" s="1" t="s">
        <v>768</v>
      </c>
      <c r="C26" s="1">
        <v>1610612741</v>
      </c>
      <c r="D26" s="1" t="s">
        <v>346</v>
      </c>
      <c r="E26" s="1" t="s">
        <v>347</v>
      </c>
      <c r="F26" s="1" t="s">
        <v>179</v>
      </c>
      <c r="G26" s="1" t="s">
        <v>1163</v>
      </c>
      <c r="H26" s="1">
        <v>13</v>
      </c>
      <c r="I26" s="1" t="s">
        <v>1056</v>
      </c>
      <c r="J26" s="1" t="s">
        <v>181</v>
      </c>
      <c r="K26" s="1" t="s">
        <v>1190</v>
      </c>
      <c r="L26" s="1">
        <v>4</v>
      </c>
      <c r="M26" s="1">
        <v>22</v>
      </c>
      <c r="N26" s="1">
        <v>60</v>
      </c>
      <c r="O26" s="1">
        <v>0.26800000000000002</v>
      </c>
      <c r="P26" s="1">
        <v>0</v>
      </c>
      <c r="Q26" s="1" t="s">
        <v>1191</v>
      </c>
      <c r="R26" s="1" t="s">
        <v>1060</v>
      </c>
      <c r="S26" s="1" t="s">
        <v>1192</v>
      </c>
      <c r="T26" s="1" t="s">
        <v>320</v>
      </c>
      <c r="U26" s="1" t="s">
        <v>320</v>
      </c>
      <c r="V26" s="1" t="s">
        <v>341</v>
      </c>
      <c r="W26" s="1" t="s">
        <v>208</v>
      </c>
      <c r="X26" s="1" t="s">
        <v>864</v>
      </c>
      <c r="Y26" s="1" t="s">
        <v>1193</v>
      </c>
      <c r="Z26" s="1">
        <v>-11</v>
      </c>
      <c r="AA26" s="1" t="s">
        <v>1194</v>
      </c>
      <c r="AB26" s="1">
        <v>-9</v>
      </c>
      <c r="AC26" s="1" t="s">
        <v>1136</v>
      </c>
      <c r="AD26" s="1">
        <v>3</v>
      </c>
      <c r="AE26" s="1">
        <v>10</v>
      </c>
      <c r="AF26" s="1">
        <v>-5</v>
      </c>
      <c r="AG26" s="1" t="s">
        <v>272</v>
      </c>
      <c r="AH26" s="1">
        <v>-1</v>
      </c>
      <c r="AI26" s="1" t="s">
        <v>207</v>
      </c>
      <c r="AJ26" s="1">
        <v>-3</v>
      </c>
      <c r="AK26" s="1" t="s">
        <v>301</v>
      </c>
      <c r="AL26" s="1">
        <v>38</v>
      </c>
      <c r="AM26" s="1">
        <v>38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1195</v>
      </c>
      <c r="AT26" s="1" t="s">
        <v>1196</v>
      </c>
      <c r="AU26" s="1" t="s">
        <v>158</v>
      </c>
      <c r="AV26" s="1" t="s">
        <v>1197</v>
      </c>
      <c r="AW26" s="1" t="s">
        <v>1198</v>
      </c>
      <c r="AX26" s="1" t="s">
        <v>164</v>
      </c>
      <c r="AY26" s="1" t="s">
        <v>1199</v>
      </c>
      <c r="AZ26" s="1" t="s">
        <v>1200</v>
      </c>
      <c r="BA26" s="1" t="s">
        <v>1201</v>
      </c>
      <c r="BB26" s="1" t="s">
        <v>1202</v>
      </c>
      <c r="BC26" s="1" t="s">
        <v>880</v>
      </c>
      <c r="BD26" s="1" t="s">
        <v>1203</v>
      </c>
      <c r="BE26" s="1">
        <v>104.9</v>
      </c>
      <c r="BF26" s="1">
        <v>113.4</v>
      </c>
      <c r="BG26" s="1">
        <v>-8.4</v>
      </c>
      <c r="BH26" s="1" t="s">
        <v>1163</v>
      </c>
      <c r="BI26" s="1" t="s">
        <v>1174</v>
      </c>
      <c r="BJ26" s="1" t="s">
        <v>402</v>
      </c>
      <c r="BK26" s="1" t="s">
        <v>950</v>
      </c>
      <c r="BL26" s="1" t="s">
        <v>1204</v>
      </c>
      <c r="BM26" s="1" t="s">
        <v>1097</v>
      </c>
      <c r="BN26" s="1" t="s">
        <v>393</v>
      </c>
      <c r="BO26" s="1" t="s">
        <v>398</v>
      </c>
      <c r="BP26" s="1" t="s">
        <v>1205</v>
      </c>
      <c r="BQ26" s="1" t="s">
        <v>276</v>
      </c>
      <c r="BR26" s="1" t="s">
        <v>397</v>
      </c>
      <c r="BS26" s="1" t="s">
        <v>344</v>
      </c>
      <c r="BT26" s="1"/>
      <c r="BU26" s="1"/>
      <c r="BV26" s="1"/>
      <c r="BW26" s="1"/>
      <c r="BX26" s="1"/>
      <c r="BY26" s="1" t="s">
        <v>1206</v>
      </c>
      <c r="BZ26" s="1" t="s">
        <v>1207</v>
      </c>
      <c r="CA26" s="1" t="s">
        <v>363</v>
      </c>
      <c r="CB26" s="1" t="s">
        <v>1208</v>
      </c>
      <c r="CC26" s="1" t="s">
        <v>1131</v>
      </c>
    </row>
    <row r="27" spans="1:81" x14ac:dyDescent="0.25">
      <c r="A27" s="1" t="s">
        <v>145</v>
      </c>
      <c r="B27" s="1" t="s">
        <v>768</v>
      </c>
      <c r="C27" s="1">
        <v>1610612740</v>
      </c>
      <c r="D27" s="1" t="s">
        <v>352</v>
      </c>
      <c r="E27" s="1" t="s">
        <v>353</v>
      </c>
      <c r="F27" s="1" t="s">
        <v>149</v>
      </c>
      <c r="G27" s="1" t="s">
        <v>1099</v>
      </c>
      <c r="H27" s="1">
        <v>13</v>
      </c>
      <c r="I27" s="1" t="s">
        <v>1056</v>
      </c>
      <c r="J27" s="1" t="s">
        <v>231</v>
      </c>
      <c r="K27" s="1" t="s">
        <v>864</v>
      </c>
      <c r="L27" s="1">
        <v>4</v>
      </c>
      <c r="M27" s="1">
        <v>33</v>
      </c>
      <c r="N27" s="1">
        <v>49</v>
      </c>
      <c r="O27" s="1">
        <v>0.40200000000000002</v>
      </c>
      <c r="P27" s="1">
        <v>0</v>
      </c>
      <c r="Q27" s="1" t="s">
        <v>1148</v>
      </c>
      <c r="R27" s="1" t="s">
        <v>937</v>
      </c>
      <c r="S27" s="1" t="s">
        <v>1058</v>
      </c>
      <c r="T27" s="1" t="s">
        <v>341</v>
      </c>
      <c r="U27" s="1" t="s">
        <v>376</v>
      </c>
      <c r="V27" s="1" t="s">
        <v>265</v>
      </c>
      <c r="W27" s="1" t="s">
        <v>190</v>
      </c>
      <c r="X27" s="1" t="s">
        <v>310</v>
      </c>
      <c r="Y27" s="1" t="s">
        <v>1177</v>
      </c>
      <c r="Z27" s="1">
        <v>-8</v>
      </c>
      <c r="AA27" s="1" t="s">
        <v>1117</v>
      </c>
      <c r="AB27" s="1">
        <v>-6</v>
      </c>
      <c r="AC27" s="1" t="s">
        <v>367</v>
      </c>
      <c r="AD27" s="1">
        <v>4</v>
      </c>
      <c r="AE27" s="1">
        <v>6</v>
      </c>
      <c r="AF27" s="1">
        <v>-3</v>
      </c>
      <c r="AG27" s="1" t="s">
        <v>301</v>
      </c>
      <c r="AH27" s="1">
        <v>1</v>
      </c>
      <c r="AI27" s="1" t="s">
        <v>246</v>
      </c>
      <c r="AJ27" s="1">
        <v>-1</v>
      </c>
      <c r="AK27" s="1" t="s">
        <v>207</v>
      </c>
      <c r="AL27" s="1">
        <v>24</v>
      </c>
      <c r="AM27" s="1">
        <v>20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1178</v>
      </c>
      <c r="AT27" s="1" t="s">
        <v>1179</v>
      </c>
      <c r="AU27" s="1" t="s">
        <v>190</v>
      </c>
      <c r="AV27" s="1" t="s">
        <v>1180</v>
      </c>
      <c r="AW27" s="1" t="s">
        <v>1181</v>
      </c>
      <c r="AX27" s="1" t="s">
        <v>186</v>
      </c>
      <c r="AY27" s="1" t="s">
        <v>1182</v>
      </c>
      <c r="AZ27" s="1" t="s">
        <v>1183</v>
      </c>
      <c r="BA27" s="1" t="s">
        <v>1184</v>
      </c>
      <c r="BB27" s="1" t="s">
        <v>1185</v>
      </c>
      <c r="BC27" s="1" t="s">
        <v>1186</v>
      </c>
      <c r="BD27" s="1" t="s">
        <v>1187</v>
      </c>
      <c r="BE27" s="1">
        <v>115.4</v>
      </c>
      <c r="BF27" s="1">
        <v>116.8</v>
      </c>
      <c r="BG27" s="1">
        <v>-1.3</v>
      </c>
      <c r="BH27" s="1" t="s">
        <v>1067</v>
      </c>
      <c r="BI27" s="1" t="s">
        <v>398</v>
      </c>
      <c r="BJ27" s="1" t="s">
        <v>276</v>
      </c>
      <c r="BK27" s="1" t="s">
        <v>393</v>
      </c>
      <c r="BL27" s="1" t="s">
        <v>1099</v>
      </c>
      <c r="BM27" s="1" t="s">
        <v>1052</v>
      </c>
      <c r="BN27" s="1" t="s">
        <v>916</v>
      </c>
      <c r="BO27" s="1" t="s">
        <v>876</v>
      </c>
      <c r="BP27" s="1" t="s">
        <v>299</v>
      </c>
      <c r="BQ27" s="1" t="s">
        <v>388</v>
      </c>
      <c r="BR27" s="1" t="s">
        <v>349</v>
      </c>
      <c r="BS27" s="1" t="s">
        <v>282</v>
      </c>
      <c r="BT27" s="1"/>
      <c r="BU27" s="1"/>
      <c r="BV27" s="1"/>
      <c r="BW27" s="1"/>
      <c r="BX27" s="1"/>
      <c r="BY27" s="1" t="s">
        <v>249</v>
      </c>
      <c r="BZ27" s="1" t="s">
        <v>968</v>
      </c>
      <c r="CA27" s="1" t="s">
        <v>337</v>
      </c>
      <c r="CB27" s="1" t="s">
        <v>1188</v>
      </c>
      <c r="CC27" s="1" t="s">
        <v>1189</v>
      </c>
    </row>
    <row r="28" spans="1:81" x14ac:dyDescent="0.25">
      <c r="A28" s="1" t="s">
        <v>145</v>
      </c>
      <c r="B28" s="1" t="s">
        <v>768</v>
      </c>
      <c r="C28" s="1">
        <v>1610612742</v>
      </c>
      <c r="D28" s="1" t="s">
        <v>277</v>
      </c>
      <c r="E28" s="1" t="s">
        <v>278</v>
      </c>
      <c r="F28" s="1" t="s">
        <v>149</v>
      </c>
      <c r="G28" s="1" t="s">
        <v>1225</v>
      </c>
      <c r="H28" s="1">
        <v>14</v>
      </c>
      <c r="I28" s="1" t="s">
        <v>1056</v>
      </c>
      <c r="J28" s="1" t="s">
        <v>231</v>
      </c>
      <c r="K28" s="1" t="s">
        <v>1070</v>
      </c>
      <c r="L28" s="1">
        <v>5</v>
      </c>
      <c r="M28" s="1">
        <v>33</v>
      </c>
      <c r="N28" s="1">
        <v>49</v>
      </c>
      <c r="O28" s="1">
        <v>0.40200000000000002</v>
      </c>
      <c r="P28" s="1">
        <v>0</v>
      </c>
      <c r="Q28" s="1" t="s">
        <v>1148</v>
      </c>
      <c r="R28" s="1" t="s">
        <v>1071</v>
      </c>
      <c r="S28" s="1" t="s">
        <v>1060</v>
      </c>
      <c r="T28" s="1" t="s">
        <v>265</v>
      </c>
      <c r="U28" s="1" t="s">
        <v>341</v>
      </c>
      <c r="V28" s="1" t="s">
        <v>341</v>
      </c>
      <c r="W28" s="1" t="s">
        <v>339</v>
      </c>
      <c r="X28" s="1" t="s">
        <v>314</v>
      </c>
      <c r="Y28" s="1" t="s">
        <v>1226</v>
      </c>
      <c r="Z28" s="1">
        <v>11</v>
      </c>
      <c r="AA28" s="1" t="s">
        <v>776</v>
      </c>
      <c r="AB28" s="1">
        <v>-9</v>
      </c>
      <c r="AC28" s="1" t="s">
        <v>1136</v>
      </c>
      <c r="AD28" s="1">
        <v>4</v>
      </c>
      <c r="AE28" s="1">
        <v>7</v>
      </c>
      <c r="AF28" s="1">
        <v>1</v>
      </c>
      <c r="AG28" s="1" t="s">
        <v>246</v>
      </c>
      <c r="AH28" s="1">
        <v>-1</v>
      </c>
      <c r="AI28" s="1" t="s">
        <v>207</v>
      </c>
      <c r="AJ28" s="1">
        <v>-1</v>
      </c>
      <c r="AK28" s="1" t="s">
        <v>207</v>
      </c>
      <c r="AL28" s="1">
        <v>24</v>
      </c>
      <c r="AM28" s="1">
        <v>20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1227</v>
      </c>
      <c r="AT28" s="1" t="s">
        <v>1090</v>
      </c>
      <c r="AU28" s="1" t="s">
        <v>260</v>
      </c>
      <c r="AV28" s="1" t="s">
        <v>1064</v>
      </c>
      <c r="AW28" s="1" t="s">
        <v>1228</v>
      </c>
      <c r="AX28" s="1" t="s">
        <v>186</v>
      </c>
      <c r="AY28" s="1" t="s">
        <v>1229</v>
      </c>
      <c r="AZ28" s="1" t="s">
        <v>1230</v>
      </c>
      <c r="BA28" s="1" t="s">
        <v>1231</v>
      </c>
      <c r="BB28" s="1" t="s">
        <v>1232</v>
      </c>
      <c r="BC28" s="1" t="s">
        <v>1145</v>
      </c>
      <c r="BD28" s="1" t="s">
        <v>1233</v>
      </c>
      <c r="BE28" s="1">
        <v>108.9</v>
      </c>
      <c r="BF28" s="1">
        <v>110.1</v>
      </c>
      <c r="BG28" s="1">
        <v>-1.3</v>
      </c>
      <c r="BH28" s="1" t="s">
        <v>952</v>
      </c>
      <c r="BI28" s="1" t="s">
        <v>323</v>
      </c>
      <c r="BJ28" s="1" t="s">
        <v>266</v>
      </c>
      <c r="BK28" s="1" t="s">
        <v>276</v>
      </c>
      <c r="BL28" s="1" t="s">
        <v>1225</v>
      </c>
      <c r="BM28" s="1" t="s">
        <v>916</v>
      </c>
      <c r="BN28" s="1" t="s">
        <v>1127</v>
      </c>
      <c r="BO28" s="1" t="s">
        <v>1082</v>
      </c>
      <c r="BP28" s="1" t="s">
        <v>337</v>
      </c>
      <c r="BQ28" s="1" t="s">
        <v>323</v>
      </c>
      <c r="BR28" s="1" t="s">
        <v>1207</v>
      </c>
      <c r="BS28" s="1" t="s">
        <v>239</v>
      </c>
      <c r="BT28" s="1"/>
      <c r="BU28" s="1"/>
      <c r="BV28" s="1"/>
      <c r="BW28" s="1"/>
      <c r="BX28" s="1"/>
      <c r="BY28" s="1" t="s">
        <v>1206</v>
      </c>
      <c r="BZ28" s="1" t="s">
        <v>859</v>
      </c>
      <c r="CA28" s="1" t="s">
        <v>968</v>
      </c>
      <c r="CB28" s="1" t="s">
        <v>1234</v>
      </c>
      <c r="CC28" s="1" t="s">
        <v>1235</v>
      </c>
    </row>
    <row r="29" spans="1:81" x14ac:dyDescent="0.25">
      <c r="A29" s="1" t="s">
        <v>145</v>
      </c>
      <c r="B29" s="1" t="s">
        <v>768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1209</v>
      </c>
      <c r="H29" s="1">
        <v>14</v>
      </c>
      <c r="I29" s="1" t="s">
        <v>1056</v>
      </c>
      <c r="J29" s="1" t="s">
        <v>181</v>
      </c>
      <c r="K29" s="1" t="s">
        <v>1070</v>
      </c>
      <c r="L29" s="1">
        <v>5</v>
      </c>
      <c r="M29" s="1">
        <v>19</v>
      </c>
      <c r="N29" s="1">
        <v>63</v>
      </c>
      <c r="O29" s="1">
        <v>0.23200000000000001</v>
      </c>
      <c r="P29" s="1">
        <v>0</v>
      </c>
      <c r="Q29" s="1" t="s">
        <v>1210</v>
      </c>
      <c r="R29" s="1" t="s">
        <v>1192</v>
      </c>
      <c r="S29" s="1" t="s">
        <v>1211</v>
      </c>
      <c r="T29" s="1" t="s">
        <v>404</v>
      </c>
      <c r="U29" s="1" t="s">
        <v>310</v>
      </c>
      <c r="V29" s="1" t="s">
        <v>404</v>
      </c>
      <c r="W29" s="1" t="s">
        <v>185</v>
      </c>
      <c r="X29" s="1" t="s">
        <v>273</v>
      </c>
      <c r="Y29" s="1" t="s">
        <v>1212</v>
      </c>
      <c r="Z29" s="1">
        <v>-9</v>
      </c>
      <c r="AA29" s="1" t="s">
        <v>1136</v>
      </c>
      <c r="AB29" s="1">
        <v>-11</v>
      </c>
      <c r="AC29" s="1" t="s">
        <v>1194</v>
      </c>
      <c r="AD29" s="1">
        <v>2</v>
      </c>
      <c r="AE29" s="1">
        <v>12</v>
      </c>
      <c r="AF29" s="1">
        <v>-4</v>
      </c>
      <c r="AG29" s="1" t="s">
        <v>263</v>
      </c>
      <c r="AH29" s="1">
        <v>-11</v>
      </c>
      <c r="AI29" s="1" t="s">
        <v>1194</v>
      </c>
      <c r="AJ29" s="1">
        <v>-10</v>
      </c>
      <c r="AK29" s="1" t="s">
        <v>939</v>
      </c>
      <c r="AL29" s="1">
        <v>41</v>
      </c>
      <c r="AM29" s="1">
        <v>41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861</v>
      </c>
      <c r="AT29" s="1" t="s">
        <v>1213</v>
      </c>
      <c r="AU29" s="1" t="s">
        <v>304</v>
      </c>
      <c r="AV29" s="1" t="s">
        <v>1214</v>
      </c>
      <c r="AW29" s="1" t="s">
        <v>1215</v>
      </c>
      <c r="AX29" s="1" t="s">
        <v>208</v>
      </c>
      <c r="AY29" s="1" t="s">
        <v>1143</v>
      </c>
      <c r="AZ29" s="1" t="s">
        <v>1216</v>
      </c>
      <c r="BA29" s="1" t="s">
        <v>1217</v>
      </c>
      <c r="BB29" s="1" t="s">
        <v>1218</v>
      </c>
      <c r="BC29" s="1" t="s">
        <v>1101</v>
      </c>
      <c r="BD29" s="1" t="s">
        <v>1219</v>
      </c>
      <c r="BE29" s="1">
        <v>104.5</v>
      </c>
      <c r="BF29" s="1">
        <v>114.1</v>
      </c>
      <c r="BG29" s="1">
        <v>-9.6</v>
      </c>
      <c r="BH29" s="1" t="s">
        <v>1209</v>
      </c>
      <c r="BI29" s="1" t="s">
        <v>1127</v>
      </c>
      <c r="BJ29" s="1" t="s">
        <v>1082</v>
      </c>
      <c r="BK29" s="1" t="s">
        <v>1220</v>
      </c>
      <c r="BL29" s="1" t="s">
        <v>1221</v>
      </c>
      <c r="BM29" s="1" t="s">
        <v>1222</v>
      </c>
      <c r="BN29" s="1" t="s">
        <v>393</v>
      </c>
      <c r="BO29" s="1" t="s">
        <v>393</v>
      </c>
      <c r="BP29" s="1" t="s">
        <v>1207</v>
      </c>
      <c r="BQ29" s="1" t="s">
        <v>323</v>
      </c>
      <c r="BR29" s="1" t="s">
        <v>397</v>
      </c>
      <c r="BS29" s="1" t="s">
        <v>334</v>
      </c>
      <c r="BT29" s="1"/>
      <c r="BU29" s="1"/>
      <c r="BV29" s="1"/>
      <c r="BW29" s="1"/>
      <c r="BX29" s="1"/>
      <c r="BY29" s="1" t="s">
        <v>1129</v>
      </c>
      <c r="BZ29" s="1" t="s">
        <v>407</v>
      </c>
      <c r="CA29" s="1" t="s">
        <v>1082</v>
      </c>
      <c r="CB29" s="1" t="s">
        <v>1223</v>
      </c>
      <c r="CC29" s="1" t="s">
        <v>1224</v>
      </c>
    </row>
    <row r="30" spans="1:81" x14ac:dyDescent="0.25">
      <c r="A30" s="1" t="s">
        <v>145</v>
      </c>
      <c r="B30" s="1" t="s">
        <v>768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1236</v>
      </c>
      <c r="H30" s="1">
        <v>15</v>
      </c>
      <c r="I30" s="1" t="s">
        <v>1056</v>
      </c>
      <c r="J30" s="1" t="s">
        <v>203</v>
      </c>
      <c r="K30" s="1" t="s">
        <v>1237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1238</v>
      </c>
      <c r="R30" s="1" t="s">
        <v>1060</v>
      </c>
      <c r="S30" s="1" t="s">
        <v>1239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1240</v>
      </c>
      <c r="Z30" s="1">
        <v>-18</v>
      </c>
      <c r="AA30" s="1" t="s">
        <v>1241</v>
      </c>
      <c r="AB30" s="1">
        <v>-9</v>
      </c>
      <c r="AC30" s="1" t="s">
        <v>1136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1242</v>
      </c>
      <c r="AT30" s="1" t="s">
        <v>1243</v>
      </c>
      <c r="AU30" s="1" t="s">
        <v>327</v>
      </c>
      <c r="AV30" s="1" t="s">
        <v>867</v>
      </c>
      <c r="AW30" s="1" t="s">
        <v>1244</v>
      </c>
      <c r="AX30" s="1" t="s">
        <v>327</v>
      </c>
      <c r="AY30" s="1" t="s">
        <v>1245</v>
      </c>
      <c r="AZ30" s="1" t="s">
        <v>1246</v>
      </c>
      <c r="BA30" s="1" t="s">
        <v>1247</v>
      </c>
      <c r="BB30" s="1" t="s">
        <v>1248</v>
      </c>
      <c r="BC30" s="1" t="s">
        <v>1249</v>
      </c>
      <c r="BD30" s="1" t="s">
        <v>1250</v>
      </c>
      <c r="BE30" s="1">
        <v>104.6</v>
      </c>
      <c r="BF30" s="1">
        <v>113.8</v>
      </c>
      <c r="BG30" s="1">
        <v>-9.1999999999999993</v>
      </c>
      <c r="BH30" s="1" t="s">
        <v>1236</v>
      </c>
      <c r="BI30" s="1" t="s">
        <v>1160</v>
      </c>
      <c r="BJ30" s="1" t="s">
        <v>1251</v>
      </c>
      <c r="BK30" s="1" t="s">
        <v>1127</v>
      </c>
      <c r="BL30" s="1" t="s">
        <v>1204</v>
      </c>
      <c r="BM30" s="1" t="s">
        <v>1222</v>
      </c>
      <c r="BN30" s="1" t="s">
        <v>393</v>
      </c>
      <c r="BO30" s="1" t="s">
        <v>323</v>
      </c>
      <c r="BP30" s="1" t="s">
        <v>1252</v>
      </c>
      <c r="BQ30" s="1" t="s">
        <v>1112</v>
      </c>
      <c r="BR30" s="1" t="s">
        <v>1253</v>
      </c>
      <c r="BS30" s="1" t="s">
        <v>239</v>
      </c>
      <c r="BT30" s="1"/>
      <c r="BU30" s="1"/>
      <c r="BV30" s="1"/>
      <c r="BW30" s="1"/>
      <c r="BX30" s="1"/>
      <c r="BY30" s="1" t="s">
        <v>1206</v>
      </c>
      <c r="BZ30" s="1" t="s">
        <v>349</v>
      </c>
      <c r="CA30" s="1" t="s">
        <v>1254</v>
      </c>
      <c r="CB30" s="1" t="s">
        <v>1255</v>
      </c>
      <c r="CC30" s="1" t="s">
        <v>1256</v>
      </c>
    </row>
    <row r="31" spans="1:81" x14ac:dyDescent="0.25">
      <c r="A31" s="1" t="s">
        <v>145</v>
      </c>
      <c r="B31" s="1" t="s">
        <v>768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1236</v>
      </c>
      <c r="H31" s="1">
        <v>15</v>
      </c>
      <c r="I31" s="1" t="s">
        <v>1056</v>
      </c>
      <c r="J31" s="1" t="s">
        <v>152</v>
      </c>
      <c r="K31" s="1" t="s">
        <v>1190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1210</v>
      </c>
      <c r="R31" s="1" t="s">
        <v>1149</v>
      </c>
      <c r="S31" s="1" t="s">
        <v>1257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1228</v>
      </c>
      <c r="Z31" s="1">
        <v>-6</v>
      </c>
      <c r="AA31" s="1" t="s">
        <v>367</v>
      </c>
      <c r="AB31" s="1">
        <v>-13</v>
      </c>
      <c r="AC31" s="1" t="s">
        <v>1258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1259</v>
      </c>
      <c r="AT31" s="1" t="s">
        <v>1260</v>
      </c>
      <c r="AU31" s="1" t="s">
        <v>327</v>
      </c>
      <c r="AV31" s="1" t="s">
        <v>1261</v>
      </c>
      <c r="AW31" s="1" t="s">
        <v>1262</v>
      </c>
      <c r="AX31" s="1" t="s">
        <v>157</v>
      </c>
      <c r="AY31" s="1" t="s">
        <v>1263</v>
      </c>
      <c r="AZ31" s="1" t="s">
        <v>1264</v>
      </c>
      <c r="BA31" s="1" t="s">
        <v>1265</v>
      </c>
      <c r="BB31" s="1" t="s">
        <v>1266</v>
      </c>
      <c r="BC31" s="1" t="s">
        <v>1267</v>
      </c>
      <c r="BD31" s="1" t="s">
        <v>1268</v>
      </c>
      <c r="BE31" s="1">
        <v>107.5</v>
      </c>
      <c r="BF31" s="1">
        <v>116.8</v>
      </c>
      <c r="BG31" s="1">
        <v>-9.3000000000000007</v>
      </c>
      <c r="BH31" s="1" t="s">
        <v>1269</v>
      </c>
      <c r="BI31" s="1" t="s">
        <v>398</v>
      </c>
      <c r="BJ31" s="1" t="s">
        <v>398</v>
      </c>
      <c r="BK31" s="1" t="s">
        <v>393</v>
      </c>
      <c r="BL31" s="1" t="s">
        <v>1236</v>
      </c>
      <c r="BM31" s="1" t="s">
        <v>1270</v>
      </c>
      <c r="BN31" s="1" t="s">
        <v>402</v>
      </c>
      <c r="BO31" s="1" t="s">
        <v>1127</v>
      </c>
      <c r="BP31" s="1" t="s">
        <v>1205</v>
      </c>
      <c r="BQ31" s="1" t="s">
        <v>1271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1129</v>
      </c>
      <c r="BZ31" s="1" t="s">
        <v>1207</v>
      </c>
      <c r="CA31" s="1" t="s">
        <v>386</v>
      </c>
      <c r="CB31" s="1" t="s">
        <v>1272</v>
      </c>
      <c r="CC31" s="1" t="s">
        <v>1273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1274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1275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1276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1277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1278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1279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1280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1281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1282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1283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1284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1285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1286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1287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1284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1288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1287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1289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1287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1290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1283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1282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1276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1291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1287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1292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1293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1277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1294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1295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1296</v>
      </c>
      <c r="T4" s="1">
        <v>23.7</v>
      </c>
      <c r="U4" s="1" t="s">
        <v>1279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1297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1298</v>
      </c>
      <c r="T5" s="1">
        <v>26</v>
      </c>
      <c r="U5" s="1" t="s">
        <v>1279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1299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1300</v>
      </c>
      <c r="T7" s="1">
        <v>25.7</v>
      </c>
      <c r="U7" s="1" t="s">
        <v>1301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1302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1303</v>
      </c>
      <c r="T8" s="1">
        <v>24.5</v>
      </c>
      <c r="U8" s="1" t="s">
        <v>1304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1305</v>
      </c>
      <c r="T9" s="1">
        <v>24.6</v>
      </c>
      <c r="U9" s="1" t="s">
        <v>1279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1277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1306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1279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1307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1308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1309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1310</v>
      </c>
      <c r="T14" s="1">
        <v>24.1</v>
      </c>
      <c r="U14" s="1" t="s">
        <v>1290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1311</v>
      </c>
      <c r="T15" s="1">
        <v>25</v>
      </c>
      <c r="U15" s="1" t="s">
        <v>1281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1312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1277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1306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1282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1313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1298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1314</v>
      </c>
      <c r="T21" s="1">
        <v>25.6</v>
      </c>
      <c r="U21" s="1" t="s">
        <v>1290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1315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1310</v>
      </c>
      <c r="T22" s="1">
        <v>24.9</v>
      </c>
      <c r="U22" s="1" t="s">
        <v>1316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1304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1317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1318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1319</v>
      </c>
      <c r="T26" s="1">
        <v>23.2</v>
      </c>
      <c r="U26" s="1" t="s">
        <v>1320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1321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1322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1323</v>
      </c>
      <c r="T28" s="1">
        <v>24.7</v>
      </c>
      <c r="U28" s="1" t="s">
        <v>1275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1303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1324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1325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1326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1327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1274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1276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1327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1306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1306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1276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1276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1297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1297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1327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1297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1328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1327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1284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1284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1274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1274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1276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1285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2019-11-22T13:16:21Z</dcterms:modified>
</cp:coreProperties>
</file>