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950ED387-99A4-4F63-9A7C-8367C8ADB9D4}" xr6:coauthVersionLast="45" xr6:coauthVersionMax="45" xr10:uidLastSave="{00000000-0000-0000-0000-000000000000}"/>
  <bookViews>
    <workbookView xWindow="4911" yWindow="1174" windowWidth="16458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<sst xmlns="http://schemas.openxmlformats.org/spreadsheetml/2006/main" count="5940" uniqueCount="1418">
  <si>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</si>
  <si>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</si>
  <si>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</si>
  <si>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</si>
  <si>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</si>
  <si>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</si>
  <si>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</si>
  <si>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</si>
  <si>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</si>
  <si>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</si>
  <si>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</si>
  <si>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</si>
  <si>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</si>
  <si>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</si>
  <si>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</si>
  <si>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</si>
  <si>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</si>
  <si>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</si>
  <si>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</si>
  <si>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</si>
  <si>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</si>
  <si>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</si>
  <si>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</si>
  <si>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</si>
  <si>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</si>
  <si>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</si>
  <si>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</si>
  <si>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</si>
  <si>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</si>
  <si>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</si>
  <si>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</si>
  <si>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</si>
  <si>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</si>
  <si>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</si>
  <si>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</si>
  <si>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</si>
  <si>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</si>
  <si>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</si>
  <si>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</si>
  <si>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</si>
  <si>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</si>
  <si>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</si>
  <si>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</si>
  <si>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</si>
  <si>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</si>
  <si>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</si>
  <si>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</si>
  <si>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</si>
  <si>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</si>
  <si>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</si>
  <si>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</si>
  <si>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</si>
  <si>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</si>
  <si>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</si>
  <si>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</si>
  <si>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</si>
  <si>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</si>
  <si>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</si>
  <si>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</si>
  <si>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</si>
  <si>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</si>
  <si>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</si>
  <si>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</si>
  <si>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</si>
  <si>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</si>
  <si>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</si>
  <si>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</si>
  <si>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</si>
  <si>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</si>
  <si>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</si>
  <si>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</si>
  <si>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</si>
  <si>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</si>
  <si>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</si>
  <si>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</si>
  <si>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</si>
  <si>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</si>
  <si>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</si>
  <si>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</si>
  <si>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</si>
  <si>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</si>
  <si>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</si>
  <si>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</si>
  <si>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</si>
  <si>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</si>
  <si>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</si>
  <si>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</si>
  <si>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</si>
  <si>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</si>
  <si>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</si>
  <si>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</si>
  <si>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</si>
  <si>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</si>
  <si>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</si>
  <si>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</si>
  <si>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</si>
  <si>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</si>
  <si>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</si>
  <si>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</si>
  <si>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</si>
  <si>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</si>
  <si>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</si>
  <si>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</si>
  <si>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</si>
  <si>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</si>
  <si>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</si>
  <si>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</si>
  <si>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</si>
  <si>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</si>
  <si>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</si>
  <si>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</si>
  <si>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</si>
  <si>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</si>
  <si>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</si>
  <si>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</si>
  <si>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</si>
  <si>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</si>
  <si>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</si>
  <si>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</si>
  <si>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</si>
  <si>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</si>
  <si>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</si>
  <si>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</si>
  <si>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</si>
  <si>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</si>
  <si>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</si>
  <si>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</si>
  <si>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</si>
  <si>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</si>
  <si>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</si>
  <si>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</si>
  <si>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</si>
  <si>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</si>
  <si>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</si>
  <si>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</si>
  <si>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</si>
  <si>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</si>
  <si>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</si>
  <si>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</si>
  <si>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</si>
  <si>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</si>
  <si>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</si>
  <si>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</si>
  <si>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</si>
  <si>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</si>
  <si>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</si>
  <si>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</si>
  <si>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</si>
  <si>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</si>
  <si>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</si>
  <si>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</si>
  <si>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</si>
  <si>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</si>
  <si>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</si>
  <si>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</si>
  <si>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</si>
  <si>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</si>
  <si>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</si>
  <si>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</si>
  <si>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</si>
  <si>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</si>
  <si>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</si>
  <si>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</si>
  <si>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</si>
  <si>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</si>
  <si>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</si>
  <si>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</si>
  <si>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</si>
  <si>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</si>
  <si>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</si>
  <si>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</si>
  <si>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</si>
  <si>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</si>
  <si>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</si>
  <si>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</si>
  <si>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</si>
  <si>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</si>
  <si>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</si>
  <si>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</si>
  <si>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</si>
  <si>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</si>
  <si>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</si>
  <si>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</si>
  <si>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</si>
  <si>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</si>
  <si>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</si>
  <si>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</si>
  <si>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</si>
  <si>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</si>
  <si>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</si>
  <si>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</si>
  <si>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</si>
  <si>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</si>
  <si>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</si>
  <si>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</si>
  <si>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</si>
  <si>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</si>
  <si>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</si>
  <si>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</si>
  <si>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</si>
  <si>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</si>
  <si>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</si>
  <si>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</si>
  <si>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</si>
  <si>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</si>
  <si>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</si>
  <si>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</si>
  <si>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</si>
  <si>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</si>
  <si>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</si>
  <si>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</si>
  <si>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</si>
  <si>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</si>
  <si>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</si>
  <si>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</si>
  <si>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</si>
  <si>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</si>
  <si>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</si>
  <si>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</si>
  <si>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</si>
  <si>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</si>
  <si>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</si>
  <si>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</si>
  <si>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</si>
  <si>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</si>
  <si>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</si>
  <si>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</si>
  <si>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</si>
  <si>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</si>
  <si>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</si>
  <si>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</si>
  <si>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</si>
  <si>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</si>
  <si>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</si>
  <si>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</si>
  <si>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</si>
  <si>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</si>
  <si>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</si>
  <si>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</si>
  <si>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</si>
  <si>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</si>
  <si>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</si>
  <si>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</si>
  <si>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</si>
  <si>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</si>
  <si>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</si>
  <si>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</si>
  <si>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</si>
  <si>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</si>
  <si>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</si>
  <si>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</si>
  <si>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</si>
  <si>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</si>
  <si>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</si>
  <si>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</si>
  <si>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</si>
  <si>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</si>
  <si>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</si>
  <si>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</si>
  <si>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</si>
  <si>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</si>
  <si>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</si>
  <si>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</si>
  <si>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</si>
  <si>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</si>
  <si>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</si>
  <si>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</si>
  <si>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</si>
  <si>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</si>
  <si>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</si>
  <si>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</si>
  <si>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</si>
  <si>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</si>
  <si>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</si>
  <si>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</si>
  <si>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</si>
  <si>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</si>
  <si>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</si>
  <si>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</si>
  <si>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</si>
  <si>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</si>
  <si>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</si>
  <si>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</si>
  <si>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</si>
  <si>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</si>
  <si>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</si>
  <si>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</si>
  <si>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</si>
  <si>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</si>
  <si>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</si>
  <si>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</si>
  <si>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</si>
  <si>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</si>
  <si>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</si>
  <si>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</si>
  <si>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</si>
  <si>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</si>
  <si>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</si>
  <si>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</si>
  <si>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</si>
  <si>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</si>
  <si>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</si>
  <si>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</si>
  <si>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</si>
  <si>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</si>
  <si>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</si>
  <si>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</si>
  <si>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</si>
  <si>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</si>
  <si>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</si>
  <si>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</si>
  <si>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</si>
  <si>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</si>
  <si>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</si>
  <si>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</si>
  <si>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</si>
  <si>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</si>
  <si>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</si>
  <si>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</si>
  <si>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</si>
  <si>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</si>
  <si>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</si>
  <si>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</si>
  <si>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</si>
  <si>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</si>
  <si>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</si>
  <si>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</si>
  <si>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</si>
  <si>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</si>
  <si>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</si>
  <si>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</si>
  <si>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</si>
  <si>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</si>
  <si>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</si>
  <si>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</si>
  <si>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</si>
  <si>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</si>
  <si>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</si>
  <si>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</si>
  <si>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</si>
  <si>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</si>
  <si>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</si>
  <si>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</si>
  <si>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</si>
  <si>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</si>
  <si>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</si>
  <si>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</si>
  <si>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</si>
  <si>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</si>
  <si>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</si>
  <si>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</si>
  <si>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</si>
  <si>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</si>
  <si>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</si>
  <si>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</si>
  <si>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</si>
  <si>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</si>
  <si>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</si>
  <si>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</si>
  <si>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</si>
  <si>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</si>
  <si>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</si>
  <si>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</si>
  <si>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</si>
  <si>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</si>
  <si>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</si>
  <si>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</si>
  <si>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</si>
  <si>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</si>
  <si>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</si>
  <si>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</si>
  <si>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</si>
  <si>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</si>
  <si>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</si>
  <si>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</si>
  <si>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</si>
  <si>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</si>
  <si>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</si>
  <si>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</si>
  <si>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</si>
  <si>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</si>
  <si>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</si>
  <si>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</si>
  <si>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</si>
  <si>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</si>
  <si>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</si>
  <si>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</si>
  <si>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</si>
  <si>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</si>
  <si>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</si>
  <si>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</si>
  <si>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</si>
  <si>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</si>
  <si>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</si>
  <si>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</si>
  <si>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</si>
  <si>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</si>
  <si>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</si>
  <si>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</si>
  <si>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</si>
  <si>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</si>
  <si>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</si>
  <si>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</si>
  <si>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</si>
  <si>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</si>
  <si>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</si>
  <si>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</si>
  <si>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</si>
  <si>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</si>
  <si>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</si>
  <si>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</si>
  <si>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</si>
  <si>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</si>
  <si>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</si>
  <si>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</si>
  <si>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</si>
  <si>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</si>
  <si>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</si>
  <si>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</si>
  <si>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</si>
  <si>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</si>
  <si>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</si>
  <si>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</si>
  <si>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</si>
  <si>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</si>
  <si>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</si>
  <si>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</si>
  <si>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</si>
  <si>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</si>
  <si>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</si>
  <si>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</si>
  <si>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</si>
  <si>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</si>
  <si>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</si>
  <si>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</si>
  <si>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</si>
  <si>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</si>
  <si>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</si>
  <si>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</si>
  <si>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</si>
  <si>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</si>
  <si>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</si>
  <si>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</si>
  <si>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</si>
  <si>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</si>
  <si>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</si>
  <si>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</si>
  <si>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</si>
  <si>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</si>
  <si>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</si>
  <si>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</si>
  <si>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</si>
  <si>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</si>
  <si>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</si>
  <si>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</si>
  <si>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</si>
  <si>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</si>
  <si>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</si>
  <si>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</si>
  <si>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</si>
  <si>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</si>
  <si>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</si>
  <si>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</si>
  <si>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</si>
  <si>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</si>
  <si>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</si>
  <si>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</si>
  <si>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</si>
  <si>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</si>
  <si>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</si>
  <si>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</si>
  <si>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</si>
  <si>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</si>
  <si>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</si>
  <si>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</si>
  <si>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</si>
  <si>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</si>
  <si>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</si>
  <si>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</si>
  <si>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</si>
  <si>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</si>
  <si>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</si>
  <si>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</si>
  <si>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</si>
  <si>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</si>
  <si>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</si>
  <si>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</si>
  <si>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</si>
  <si>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</si>
  <si>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</si>
  <si>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</si>
  <si>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</si>
  <si>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</si>
  <si>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</si>
  <si>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</si>
  <si>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</si>
  <si>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</si>
  <si>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</si>
  <si>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</si>
  <si>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</si>
  <si>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</si>
  <si>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</si>
  <si>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</si>
  <si>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</si>
  <si>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</si>
  <si>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</si>
  <si>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</si>
  <si>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</si>
  <si>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</si>
  <si>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</si>
  <si>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</si>
  <si>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</si>
  <si>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</si>
  <si>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</si>
  <si>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</si>
  <si>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</si>
  <si>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</si>
  <si>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</si>
  <si>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</si>
  <si>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</si>
  <si>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</si>
  <si>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</si>
  <si>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</si>
  <si>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</si>
  <si>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</si>
  <si>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</si>
  <si>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</si>
  <si>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</si>
  <si>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</si>
  <si>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</si>
  <si>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</si>
  <si>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</si>
  <si>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</si>
  <si>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</si>
  <si>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</si>
  <si>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</si>
  <si>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</si>
  <si>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</si>
  <si>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</si>
  <si>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</si>
  <si>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</si>
  <si>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</si>
  <si>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</si>
  <si>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</si>
  <si>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</si>
  <si>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</si>
  <si>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</si>
  <si>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</si>
  <si>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</si>
  <si>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</si>
  <si>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</si>
  <si>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</si>
  <si>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</si>
  <si>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</si>
  <si>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</si>
  <si>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</si>
  <si>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</si>
  <si>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</si>
  <si>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</si>
  <si>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</si>
  <si>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</si>
  <si>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</si>
  <si>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</si>
  <si>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</si>
  <si>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</si>
  <si>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</si>
  <si>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</si>
  <si>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</si>
  <si>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</si>
  <si>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</si>
  <si>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</si>
  <si>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</si>
  <si>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</si>
  <si>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</si>
  <si>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</si>
  <si>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</si>
  <si>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</si>
  <si>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</si>
  <si>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</si>
  <si>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</si>
  <si>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</si>
  <si>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</si>
  <si>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</si>
  <si>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</si>
  <si>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</si>
  <si>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</si>
  <si>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</si>
  <si>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</si>
  <si>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</si>
  <si>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</si>
  <si>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</si>
  <si>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</si>
  <si>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</si>
  <si>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</si>
  <si>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</si>
  <si>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</si>
  <si>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</si>
  <si>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</si>
  <si>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</si>
  <si>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</si>
  <si>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</si>
  <si>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</si>
  <si>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</si>
  <si>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</si>
  <si>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</si>
  <si>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</si>
  <si>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</si>
  <si>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</si>
  <si>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</si>
  <si>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</si>
  <si>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</si>
  <si>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</si>
  <si>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</si>
  <si>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</si>
  <si>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</si>
  <si>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</si>
  <si>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</si>
  <si>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</si>
  <si>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</si>
  <si>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</si>
  <si>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</si>
  <si>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</si>
  <si>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</si>
  <si>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</si>
  <si>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</si>
  <si>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</si>
  <si>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</si>
  <si>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</si>
  <si>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</si>
  <si>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</si>
  <si>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</si>
  <si>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</si>
  <si>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</si>
  <si>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</si>
  <si>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</si>
  <si>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</si>
  <si>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</si>
  <si>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</si>
  <si>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</si>
  <si>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</si>
  <si>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</si>
  <si>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</si>
  <si>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</si>
  <si>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</si>
  <si>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</si>
  <si>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</si>
  <si>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</si>
  <si>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</si>
  <si>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</si>
  <si>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</si>
  <si>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</si>
  <si>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</si>
  <si>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</si>
  <si>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</si>
  <si>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</si>
  <si>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</si>
  <si>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</si>
  <si>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</si>
  <si>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</si>
  <si>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</si>
  <si>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</si>
  <si>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</si>
  <si>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</si>
  <si>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</si>
  <si>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</si>
  <si>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</si>
  <si>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</si>
  <si>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</si>
  <si>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</si>
  <si>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</si>
  <si>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</si>
  <si>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</si>
  <si>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</si>
  <si>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</si>
  <si>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</si>
  <si>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</si>
  <si>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</si>
  <si>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</si>
  <si>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</si>
  <si>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</si>
  <si>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</si>
  <si>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</si>
  <si>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</si>
  <si>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</si>
  <si>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</si>
  <si>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</si>
  <si>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</si>
  <si>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</si>
  <si>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</si>
  <si>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</si>
  <si>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</si>
  <si>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</si>
  <si>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</si>
  <si>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</si>
  <si>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</si>
  <si>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</si>
  <si>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</si>
  <si>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</si>
  <si>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</si>
  <si>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</si>
  <si>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</si>
  <si>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</si>
  <si>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</si>
  <si>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</si>
  <si>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</si>
  <si>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</si>
  <si>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</si>
  <si>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</si>
  <si>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</si>
  <si>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</si>
  <si>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</si>
  <si>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</si>
  <si>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</si>
  <si>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</si>
  <si>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</si>
  <si>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</si>
  <si>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</si>
  <si>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</si>
  <si>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</si>
  <si>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</si>
  <si>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</si>
  <si>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</si>
  <si>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</si>
  <si>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</si>
  <si>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</si>
  <si>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</si>
  <si>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</si>
  <si>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</si>
  <si>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</si>
  <si>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</si>
  <si>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</si>
  <si>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</si>
  <si>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</si>
  <si>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</si>
  <si>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</si>
  <si>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</si>
  <si>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</si>
  <si>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</si>
  <si>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</si>
  <si>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</si>
  <si>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</si>
  <si>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</si>
  <si>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</si>
  <si>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</si>
  <si>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</si>
  <si>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</si>
  <si>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</si>
  <si>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</si>
  <si>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</si>
  <si>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</si>
  <si>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</si>
  <si>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</si>
  <si>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</si>
  <si>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</si>
  <si>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</si>
  <si>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</si>
  <si>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</si>
  <si>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</si>
  <si>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</si>
  <si>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G</t>
  </si>
  <si>
    <t>3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</si>
  <si>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</si>
  <si>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</si>
  <si>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</si>
  <si>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</si>
  <si>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</si>
  <si>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</si>
  <si>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</si>
  <si>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</si>
  <si>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</si>
  <si>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</si>
  <si>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</si>
  <si>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</si>
  <si>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</si>
  <si>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</si>
  <si>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</si>
  <si>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</si>
  <si>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</si>
  <si>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</si>
  <si>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</si>
  <si>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</si>
  <si>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</si>
  <si>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</si>
  <si>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</si>
  <si>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</si>
  <si>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</si>
  <si>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</si>
  <si>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</si>
  <si>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</si>
  <si>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</si>
  <si>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</si>
  <si>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</si>
  <si>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</si>
  <si>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</si>
  <si>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</si>
  <si>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</si>
  <si>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</si>
  <si>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</si>
  <si>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</si>
  <si>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</si>
  <si>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</si>
  <si>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</si>
  <si>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</si>
  <si>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</si>
  <si>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</si>
  <si>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</si>
  <si>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</si>
  <si>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</si>
  <si>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</si>
  <si>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</si>
  <si>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</si>
  <si>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</si>
  <si>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</si>
  <si>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</si>
  <si>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</si>
  <si>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</si>
  <si>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</si>
  <si>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</si>
  <si>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</si>
  <si>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</si>
  <si>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</si>
  <si>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</si>
  <si>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</si>
  <si>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</si>
  <si>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</si>
  <si>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</si>
  <si>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</si>
  <si>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</si>
  <si>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</si>
  <si>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</si>
  <si>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</si>
  <si>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</si>
  <si>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</si>
  <si>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</si>
  <si>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</si>
  <si>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</si>
  <si>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</si>
  <si>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</si>
  <si>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</si>
  <si>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</si>
  <si>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</si>
  <si>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</si>
  <si>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</si>
  <si>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</si>
  <si>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</si>
  <si>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</si>
  <si>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</si>
  <si>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</si>
  <si>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</si>
  <si>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</si>
  <si>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</si>
  <si>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</si>
  <si>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</si>
  <si>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</si>
  <si>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</si>
  <si>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</si>
  <si>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</si>
  <si>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</si>
  <si>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</si>
  <si>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</si>
  <si>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</si>
  <si>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</si>
  <si>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</si>
  <si>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</si>
  <si>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</si>
  <si>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</si>
  <si>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</si>
  <si>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</si>
  <si>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</si>
  <si>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</si>
  <si>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</si>
  <si>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</si>
  <si>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</si>
  <si>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</si>
  <si>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</si>
  <si>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</si>
  <si>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</si>
  <si>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</si>
  <si>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</si>
  <si>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</si>
  <si>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</si>
  <si>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</si>
  <si>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</si>
  <si>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</si>
  <si>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</si>
  <si>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</si>
  <si>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</si>
  <si>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</si>
  <si>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</si>
  <si>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</si>
  <si>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</si>
  <si>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</si>
  <si>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</si>
  <si>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</si>
  <si>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</si>
  <si>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</si>
  <si>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</si>
  <si>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</si>
  <si>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</si>
  <si>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</si>
  <si>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</si>
  <si>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</si>
  <si>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</si>
  <si>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</si>
  <si>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</si>
  <si>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</si>
  <si>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</si>
  <si>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</si>
  <si>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</si>
  <si>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</si>
  <si>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</si>
  <si>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</si>
  <si>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</si>
  <si>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</si>
  <si>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</si>
  <si>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</si>
  <si>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</si>
  <si>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</si>
  <si>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</si>
  <si>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</si>
  <si>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</si>
  <si>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</si>
  <si>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</si>
  <si>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</si>
  <si>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</si>
  <si>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</si>
  <si>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</si>
  <si>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</si>
  <si>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</si>
  <si>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</si>
  <si>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</si>
  <si>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</si>
  <si>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</si>
  <si>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</si>
  <si>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</si>
  <si>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</si>
  <si>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</si>
  <si>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</si>
  <si>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</si>
  <si>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</si>
  <si>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</si>
  <si>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</si>
  <si>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</si>
  <si>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</si>
  <si>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</si>
  <si>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</si>
  <si>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</si>
  <si>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</si>
  <si>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</si>
  <si>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</si>
  <si>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</si>
  <si>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</si>
  <si>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</si>
  <si>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</si>
  <si>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</si>
  <si>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</si>
  <si>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</si>
  <si>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</si>
  <si>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</si>
  <si>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</si>
  <si>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</si>
  <si>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</si>
  <si>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</si>
  <si>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</si>
  <si>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</si>
  <si>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</si>
  <si>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</si>
  <si>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</si>
  <si>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</si>
  <si>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</si>
  <si>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</si>
  <si>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</si>
  <si>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</si>
  <si>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</si>
  <si>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</si>
  <si>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</si>
  <si>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</si>
  <si>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</si>
  <si>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</si>
  <si>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</si>
  <si>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</si>
  <si>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</si>
  <si>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</si>
  <si>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</si>
  <si>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</si>
  <si>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</si>
  <si>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</si>
  <si>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</si>
  <si>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</si>
  <si>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</si>
  <si>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</si>
  <si>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</si>
  <si>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</si>
  <si>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</si>
  <si>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</si>
  <si>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</si>
  <si>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</si>
  <si>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</si>
  <si>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</si>
  <si>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</si>
  <si>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</si>
  <si>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</si>
  <si>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</si>
  <si>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</si>
  <si>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</si>
  <si>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</si>
  <si>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</si>
  <si>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</si>
  <si>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</si>
  <si>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</si>
  <si>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</si>
  <si>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</si>
  <si>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</si>
  <si>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</si>
  <si>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</si>
  <si>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</si>
  <si>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</si>
  <si>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</si>
  <si>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</si>
  <si>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</si>
  <si>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</si>
  <si>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</si>
  <si>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</si>
  <si>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</si>
  <si>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</si>
  <si>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</si>
  <si>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</si>
  <si>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</si>
  <si>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</si>
  <si>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</si>
  <si>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</si>
  <si>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</si>
  <si>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</si>
  <si>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</si>
  <si>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</si>
  <si>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</si>
  <si>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</si>
  <si>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</si>
  <si>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</si>
  <si>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</si>
  <si>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</si>
  <si>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</si>
  <si>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</si>
  <si>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</si>
  <si>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</si>
  <si>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</si>
  <si>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</si>
  <si>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</si>
  <si>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</si>
  <si>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</si>
  <si>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</si>
  <si>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</si>
  <si>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</si>
  <si>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</si>
  <si>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</si>
  <si>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</si>
  <si>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</si>
  <si>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</si>
  <si>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</si>
  <si>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</si>
  <si>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</si>
  <si>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</si>
  <si>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</si>
  <si>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</si>
  <si>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</si>
  <si>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</si>
  <si>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</si>
  <si>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</si>
  <si>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</si>
  <si>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</si>
  <si>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</si>
  <si>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</si>
  <si>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</si>
  <si>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</si>
  <si>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</si>
  <si>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</si>
  <si>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</si>
  <si>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</si>
  <si>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</si>
  <si>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</si>
  <si>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</si>
  <si>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</si>
  <si>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</si>
  <si>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</si>
  <si>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</si>
  <si>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</si>
  <si>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</si>
  <si>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</si>
  <si>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</si>
  <si>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</si>
  <si>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</si>
  <si>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</si>
  <si>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</si>
  <si>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</si>
  <si>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</si>
  <si>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</si>
  <si>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</si>
  <si>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</si>
  <si>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</si>
  <si>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</si>
  <si>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</si>
  <si>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</si>
  <si>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</si>
  <si>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</si>
  <si>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</si>
  <si>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</si>
  <si>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</si>
  <si>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</si>
  <si>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</si>
  <si>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</si>
  <si>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</si>
  <si>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</si>
  <si>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</si>
  <si>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</si>
  <si>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</si>
  <si>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</si>
  <si>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</si>
  <si>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</si>
  <si>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</si>
  <si>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</si>
  <si>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</si>
  <si>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</si>
  <si>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</si>
  <si>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</si>
  <si>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</si>
  <si>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</si>
  <si>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</si>
  <si>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</si>
  <si>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</si>
  <si>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</si>
  <si>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</si>
  <si>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</si>
  <si>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</si>
  <si>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</si>
  <si>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</si>
  <si>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</si>
  <si>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</si>
  <si>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</si>
  <si>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</si>
  <si>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</si>
  <si>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</si>
  <si>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</si>
  <si>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</si>
  <si>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</si>
  <si>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</si>
  <si>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</si>
  <si>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</si>
  <si>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</si>
  <si>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</si>
  <si>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</si>
  <si>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</si>
  <si>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</si>
  <si>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</si>
  <si>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</si>
  <si>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</si>
  <si>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</si>
  <si>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</si>
  <si>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</si>
  <si>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</si>
  <si>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</si>
  <si>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</si>
  <si>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</si>
  <si>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</si>
  <si>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</si>
  <si>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</si>
  <si>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</si>
  <si>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</si>
  <si>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</si>
  <si>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</si>
  <si>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</si>
  <si>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</si>
  <si>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</si>
  <si>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</si>
  <si>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</si>
  <si>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</si>
  <si>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</si>
  <si>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</si>
  <si>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</si>
  <si>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</si>
  <si>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</si>
  <si>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</si>
  <si>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</si>
  <si>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</si>
  <si>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</si>
  <si>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</si>
  <si>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</si>
  <si>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</si>
  <si>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</si>
  <si>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</si>
  <si>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</si>
  <si>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</si>
  <si>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</si>
  <si>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</si>
  <si>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</si>
  <si>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</si>
  <si>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</si>
  <si>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</si>
  <si>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</si>
  <si>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</si>
  <si>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</si>
  <si>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</si>
  <si>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</si>
  <si>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</si>
  <si>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</si>
  <si>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</si>
  <si>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</si>
  <si>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</si>
  <si>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</si>
  <si>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</si>
  <si>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</si>
  <si>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</si>
  <si>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</si>
  <si>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</si>
  <si>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</si>
  <si>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</si>
  <si>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</si>
  <si>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</si>
  <si>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</si>
  <si>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</si>
  <si>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</si>
  <si>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</si>
  <si>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</si>
  <si>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</si>
  <si>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</si>
  <si>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</si>
  <si>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</si>
  <si>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</si>
  <si>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</si>
  <si>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</si>
  <si>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</si>
  <si>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</si>
  <si>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</si>
  <si>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</si>
  <si>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</si>
  <si>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</si>
  <si>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</si>
  <si>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</si>
  <si>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</si>
  <si>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</si>
  <si>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</si>
  <si>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</si>
  <si>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</si>
  <si>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</si>
  <si>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</si>
  <si>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</si>
  <si>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</si>
  <si>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</si>
  <si>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</si>
  <si>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</si>
  <si>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</si>
  <si>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</si>
  <si>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</si>
  <si>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</si>
  <si>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</si>
  <si>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</si>
  <si>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</si>
  <si>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</si>
  <si>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</si>
  <si>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</si>
  <si>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</si>
  <si>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</si>
  <si>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</si>
  <si>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</si>
  <si>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</si>
  <si>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</si>
  <si>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</si>
  <si>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</si>
  <si>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</si>
  <si>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</si>
  <si>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</si>
  <si>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</si>
  <si>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</si>
  <si>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</si>
  <si>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</si>
  <si>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</si>
  <si>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</si>
  <si>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</si>
  <si>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</si>
  <si>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</si>
  <si>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</si>
  <si>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</si>
  <si>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</si>
  <si>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</si>
  <si>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</si>
  <si>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</si>
  <si>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</si>
  <si>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</si>
  <si>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</si>
  <si>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</si>
  <si>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</si>
  <si>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</si>
  <si>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</si>
  <si>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</si>
  <si>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</si>
  <si>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</si>
  <si>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</si>
  <si>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</si>
  <si>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</si>
  <si>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</si>
  <si>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</si>
  <si>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</si>
  <si>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</si>
  <si>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</si>
  <si>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</si>
  <si>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</si>
  <si>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</si>
  <si>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</si>
  <si>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</si>
  <si>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</si>
  <si>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</si>
  <si>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</si>
  <si>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</si>
  <si>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</si>
  <si>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</si>
  <si>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</si>
  <si>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</si>
  <si>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</si>
  <si>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</si>
  <si>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</si>
  <si>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</si>
  <si>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</si>
  <si>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</si>
  <si>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</si>
  <si>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</si>
  <si>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</si>
  <si>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</si>
  <si>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205</t>
  </si>
  <si>
    <t>215</t>
  </si>
  <si>
    <t>13</t>
  </si>
  <si>
    <t>7</t>
  </si>
  <si>
    <t>10</t>
  </si>
  <si>
    <t>C</t>
  </si>
  <si>
    <t>14</t>
  </si>
  <si>
    <t>15</t>
  </si>
  <si>
    <t>180</t>
  </si>
  <si>
    <t>No College</t>
  </si>
  <si>
    <t>21</t>
  </si>
  <si>
    <t>250</t>
  </si>
  <si>
    <t>22-19</t>
    <phoneticPr fontId="1"/>
  </si>
  <si>
    <t>Boston College</t>
  </si>
  <si>
    <t>2</t>
  </si>
  <si>
    <t>F-C</t>
  </si>
  <si>
    <t>9</t>
  </si>
  <si>
    <t>23</t>
  </si>
  <si>
    <t>Kentucky</t>
  </si>
  <si>
    <t xml:space="preserve">9-1  </t>
    <phoneticPr fontId="1"/>
  </si>
  <si>
    <t xml:space="preserve">6-4  </t>
    <phoneticPr fontId="1"/>
  </si>
  <si>
    <t>Kyle Kuzma</t>
  </si>
  <si>
    <t>0</t>
  </si>
  <si>
    <t>221</t>
  </si>
  <si>
    <t>JUL 24, 1995</t>
  </si>
  <si>
    <t>Kentavious Caldwell-Pope</t>
  </si>
  <si>
    <t>204</t>
  </si>
  <si>
    <t>FEB 18, 1993</t>
  </si>
  <si>
    <t>6</t>
  </si>
  <si>
    <t>Georgia</t>
  </si>
  <si>
    <t>Quinn Cook</t>
  </si>
  <si>
    <t>MAR 23, 1993</t>
  </si>
  <si>
    <t>Duke</t>
  </si>
  <si>
    <t>Anthony Davis</t>
  </si>
  <si>
    <t>253</t>
  </si>
  <si>
    <t>MAR 11, 1993</t>
  </si>
  <si>
    <t>Alex Caruso</t>
  </si>
  <si>
    <t>186</t>
  </si>
  <si>
    <t>FEB 28, 1994</t>
  </si>
  <si>
    <t>Texas A&amp;M</t>
  </si>
  <si>
    <t>Talen Horton-Tucker</t>
  </si>
  <si>
    <t>234</t>
  </si>
  <si>
    <t>NOV 25, 2000</t>
  </si>
  <si>
    <t>Iowa State</t>
  </si>
  <si>
    <t>JaVale McGee</t>
  </si>
  <si>
    <t>C-F</t>
  </si>
  <si>
    <t>270</t>
  </si>
  <si>
    <t>JAN 19, 1988</t>
  </si>
  <si>
    <t>11</t>
  </si>
  <si>
    <t>Nevada-Reno</t>
  </si>
  <si>
    <t>Rajon Rondo</t>
  </si>
  <si>
    <t>FEB 22, 1986</t>
  </si>
  <si>
    <t>Jared Dudley</t>
  </si>
  <si>
    <t>6-6</t>
  </si>
  <si>
    <t>237</t>
  </si>
  <si>
    <t>JUL 10, 1985</t>
  </si>
  <si>
    <t>12</t>
  </si>
  <si>
    <t>Avery Bradley</t>
  </si>
  <si>
    <t>NOV 26, 1990</t>
  </si>
  <si>
    <t>Texas</t>
  </si>
  <si>
    <t>Danny Green</t>
  </si>
  <si>
    <t>JUN 22, 1987</t>
  </si>
  <si>
    <t>North Carolina</t>
  </si>
  <si>
    <t>DeMarcus Cousins</t>
  </si>
  <si>
    <t>AUG 13, 1990</t>
  </si>
  <si>
    <t>Zach Norvell Jr.</t>
  </si>
  <si>
    <t>DEC 09, 1997</t>
  </si>
  <si>
    <t>Gonzaga</t>
  </si>
  <si>
    <t>LeBron James</t>
  </si>
  <si>
    <t>DEC 30, 1984</t>
  </si>
  <si>
    <t>16</t>
  </si>
  <si>
    <t>Troy Daniels</t>
  </si>
  <si>
    <t>30</t>
  </si>
  <si>
    <t>200</t>
  </si>
  <si>
    <t>JUL 15, 1991</t>
  </si>
  <si>
    <t>Va Commonwealth</t>
  </si>
  <si>
    <t>Kostas Antetokounmpo</t>
  </si>
  <si>
    <t>37</t>
  </si>
  <si>
    <t>NOV 20, 1997</t>
  </si>
  <si>
    <t>University of Dayton</t>
  </si>
  <si>
    <t>Dwight Howard</t>
  </si>
  <si>
    <t>39</t>
  </si>
  <si>
    <t>265</t>
  </si>
  <si>
    <t>DEC 08, 1985</t>
  </si>
  <si>
    <t>Lakers</t>
    <phoneticPr fontId="1"/>
  </si>
  <si>
    <t>12-2</t>
    <phoneticPr fontId="1"/>
  </si>
  <si>
    <t xml:space="preserve">8-1  </t>
    <phoneticPr fontId="1"/>
  </si>
  <si>
    <t xml:space="preserve">4-1  </t>
    <phoneticPr fontId="1"/>
  </si>
  <si>
    <t>37-45</t>
    <phoneticPr fontId="1"/>
  </si>
  <si>
    <t>15-26</t>
    <phoneticPr fontId="1"/>
  </si>
  <si>
    <t>28-29</t>
    <phoneticPr fontId="1"/>
  </si>
  <si>
    <t>9-16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</si>
</sst>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5870E4-A77C-46DF-8A5B-C8B02B2EBA19}" name="TableRoster" displayName="TableRoster" ref="A1:M18" totalsRowShown="0" headerRowDxfId="1074">
  <autoFilter ref="A1:M18" xr:uid="{7F303918-B503-410F-8FD2-5C60F371D51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649147-75F6-40D7-8108-D6FED6D6C878}" name="TeamID" dataDxfId="1087"/>
    <tableColumn id="2" xr3:uid="{761AB823-58E0-4C2A-A72A-FD23A556A715}" name="SEASON" dataDxfId="1086"/>
    <tableColumn id="3" xr3:uid="{5AB7F906-FC84-43D7-9BDE-3564B1578838}" name="LeagueID" dataDxfId="1085"/>
    <tableColumn id="4" xr3:uid="{A8233D0B-DECC-4E31-8E5C-AEE1191A1F30}" name="PLAYER" dataDxfId="1084"/>
    <tableColumn id="5" xr3:uid="{14D13A53-1B44-4157-8D8B-00F1E9D05853}" name="NUM" dataDxfId="1083"/>
    <tableColumn id="6" xr3:uid="{A0A41886-9877-4AF2-9F37-87F6FFC1E90D}" name="POSITION" dataDxfId="1082"/>
    <tableColumn id="7" xr3:uid="{31115429-75B8-42A5-960E-A9D0E8054334}" name="HEIGHT" dataDxfId="1081"/>
    <tableColumn id="8" xr3:uid="{47C4A834-D758-43DC-9E06-8DF8A0D3AED1}" name="WEIGHT" dataDxfId="1080"/>
    <tableColumn id="9" xr3:uid="{176353CA-D8AC-4DCE-9CD9-BD6BE0FEF5DB}" name="BIRTH_DATE" dataDxfId="1079"/>
    <tableColumn id="10" xr3:uid="{3A0EFB8A-D68A-4ABC-A6D7-588BB6A795EA}" name="AGE" dataDxfId="1078"/>
    <tableColumn id="11" xr3:uid="{7ED6D23E-FE15-463E-BB0A-8332E1E19FFA}" name="EXP" dataDxfId="1077"/>
    <tableColumn id="12" xr3:uid="{53393B37-35C3-48A9-B9F8-AE9C4F986175}" name="SCHOOL" dataDxfId="1076"/>
    <tableColumn id="13" xr3:uid="{E7B09A98-E030-44EF-BA9C-7B8F963D9145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33D50C-5936-4C0B-9083-AD3EC8790F96}" name="TableStandingsN" displayName="TableStandingsN" ref="A1:CC31" totalsRowShown="0" headerRowDxfId="992">
  <autoFilter ref="A1:CC31" xr:uid="{E8C22D50-DBEA-4411-B214-5724F7A03C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752326DB-76C5-4D15-B67E-85892925CA83}" name="LeagueID" dataDxfId="1073"/>
    <tableColumn id="2" xr3:uid="{66932007-D6E5-4E67-93D3-A94472F4F397}" name="SeasonID" dataDxfId="1072"/>
    <tableColumn id="3" xr3:uid="{3FC8EBF9-6835-4773-97A0-5F094FDFBFD4}" name="TeamID" dataDxfId="1071"/>
    <tableColumn id="4" xr3:uid="{0E926C37-20B5-4E13-BD03-1DEFF9794D47}" name="TeamCity" dataDxfId="1070"/>
    <tableColumn id="5" xr3:uid="{28AFFAD4-CC7F-417A-948E-E02109B21DD0}" name="TeamName" dataDxfId="1069"/>
    <tableColumn id="6" xr3:uid="{4BFB65BB-DF6C-4A5A-9EC0-206D23F2B920}" name="Conference" dataDxfId="1068"/>
    <tableColumn id="7" xr3:uid="{E07AE0BE-2C38-4177-B492-FB5918459206}" name="ConferenceRecord" dataDxfId="1067"/>
    <tableColumn id="8" xr3:uid="{00CD6D5C-443E-4E90-B517-5672AFCF867F}" name="PlayoffRank" dataDxfId="1066"/>
    <tableColumn id="9" xr3:uid="{3912EB60-1D84-47B7-809E-2A710DDBDAA3}" name="ClinchIndicator" dataDxfId="1065"/>
    <tableColumn id="10" xr3:uid="{DF96844B-D97E-44C1-9712-5D4BBE558957}" name="Division" dataDxfId="1064"/>
    <tableColumn id="11" xr3:uid="{F8EEDA4C-841B-48F3-93B0-8F92BFDF28E6}" name="DivisionRecord" dataDxfId="1063"/>
    <tableColumn id="12" xr3:uid="{45583FBC-96FE-414E-B53E-1D9DFF673DDA}" name="DivisionRank" dataDxfId="1062"/>
    <tableColumn id="13" xr3:uid="{424F23FD-16A8-43C3-BB6C-A6D71C6B9A89}" name="WINS" dataDxfId="1061"/>
    <tableColumn id="14" xr3:uid="{3BA64099-F376-4CC3-8657-CA93157BDC9F}" name="LOSSES" dataDxfId="1060"/>
    <tableColumn id="15" xr3:uid="{72ADA00C-D8F7-497F-9B48-AE25B469811F}" name="WinPCT" dataDxfId="1059"/>
    <tableColumn id="16" xr3:uid="{6ABEB889-46FF-4026-AF63-FD7A8C20ECAB}" name="LeagueRank" dataDxfId="1058"/>
    <tableColumn id="17" xr3:uid="{BEFB2E11-A93C-4A60-9663-5A0FDB070433}" name="Record" dataDxfId="1057"/>
    <tableColumn id="18" xr3:uid="{E34C260D-BBA9-4CB2-898F-7DDAC7CA7A7F}" name="HOME" dataDxfId="1056"/>
    <tableColumn id="19" xr3:uid="{484B7ECD-41B4-477C-A8B7-D9BA0949A9B7}" name="ROAD" dataDxfId="1055"/>
    <tableColumn id="20" xr3:uid="{12374BD2-71FD-4649-8E72-2323EB80490C}" name="L10" dataDxfId="1054"/>
    <tableColumn id="21" xr3:uid="{EAD1D82D-EDE6-4412-A49D-65F0337EC3EF}" name="Last10Home" dataDxfId="1053"/>
    <tableColumn id="22" xr3:uid="{432AB025-456B-41B7-911C-08EFCDF658FA}" name="Last10Road" dataDxfId="1052"/>
    <tableColumn id="23" xr3:uid="{16557DB1-3FAA-4CDE-A514-330E34B503BB}" name="OT" dataDxfId="1051"/>
    <tableColumn id="24" xr3:uid="{25CE4298-062F-475D-BBD3-4A4EFDE0881D}" name="ThreePTSOrLess" dataDxfId="1050"/>
    <tableColumn id="25" xr3:uid="{5D594D4F-1D92-431A-B24D-38D3754E02D0}" name="TenPTSOrMore" dataDxfId="1049"/>
    <tableColumn id="26" xr3:uid="{40B8F05D-7AC8-429F-947B-43777CF757CE}" name="LongHomeStreak" dataDxfId="1048"/>
    <tableColumn id="27" xr3:uid="{442CA3D9-3527-4E7E-BCC7-328496946E35}" name="strLongHomeStreak" dataDxfId="1047"/>
    <tableColumn id="28" xr3:uid="{4679C4C4-230E-4D6D-81D7-C0DF5CE7613B}" name="LongRoadStreak" dataDxfId="1046"/>
    <tableColumn id="29" xr3:uid="{22BB1030-9D33-4CC9-9D6A-D011E46FA0EC}" name="strLongRoadStreak" dataDxfId="1045"/>
    <tableColumn id="30" xr3:uid="{3999C138-CDE0-4754-832A-7F304CEF6A7D}" name="LongWinStreak" dataDxfId="1044"/>
    <tableColumn id="31" xr3:uid="{2FEDA830-F7CC-4174-A433-0E6DB22AF30C}" name="LongLossStreak" dataDxfId="1043"/>
    <tableColumn id="32" xr3:uid="{A0873C2B-2DCF-4587-A4F5-6F3A84624BCE}" name="CurrentHomeStreak" dataDxfId="1042"/>
    <tableColumn id="33" xr3:uid="{6A383775-5146-4D30-8206-32B5E5EB19A3}" name="strCurrentHomeStreak" dataDxfId="1041"/>
    <tableColumn id="34" xr3:uid="{304D203A-E4EC-4896-ABE1-C69CA08E28F4}" name="CurrentRoadStreak" dataDxfId="1040"/>
    <tableColumn id="35" xr3:uid="{F3314E67-973E-4EA4-B1AD-7131D1754E46}" name="strCurrentRoadStreak" dataDxfId="1039"/>
    <tableColumn id="36" xr3:uid="{E9A40452-A52F-490D-83D3-FC4E421FB9E1}" name="CurrentStreak" dataDxfId="1038"/>
    <tableColumn id="37" xr3:uid="{2629E47B-FE7D-46DF-9700-A13721356FB1}" name="strCurrentStreak" dataDxfId="1037"/>
    <tableColumn id="38" xr3:uid="{858F281E-8903-46A9-9785-67B1F7A5F0E2}" name="ConferenceGamesBack" dataDxfId="1036"/>
    <tableColumn id="39" xr3:uid="{6A47368D-3911-4184-BBB5-4E62A42B529B}" name="DivisionGamesBack" dataDxfId="1035"/>
    <tableColumn id="40" xr3:uid="{2FDF3A8C-006A-4CAA-B230-3D1BF0826A70}" name="ClinchedConferenceTitle" dataDxfId="1034"/>
    <tableColumn id="41" xr3:uid="{DB2F3627-959E-476A-88C3-C653E9034E1A}" name="ClinchedDivisionTitle" dataDxfId="1033"/>
    <tableColumn id="42" xr3:uid="{2A11B991-3CE0-4C3E-AFDE-EE4B92E09F40}" name="ClinchedPlayoffBirth" dataDxfId="1032"/>
    <tableColumn id="43" xr3:uid="{D88968B2-A140-42CB-826F-8625917FB2E4}" name="EliminatedConference" dataDxfId="1031"/>
    <tableColumn id="44" xr3:uid="{53D59E1C-8E7A-491E-BE92-56C976E395E4}" name="EliminatedDivision" dataDxfId="1030"/>
    <tableColumn id="45" xr3:uid="{588F1D4A-C744-4160-89C7-D4DEFE082386}" name="AheadAtHalf" dataDxfId="1029"/>
    <tableColumn id="46" xr3:uid="{36CAD3B7-BBCC-4451-B348-3D6CF3ECE5B8}" name="BehindAtHalf" dataDxfId="1028"/>
    <tableColumn id="47" xr3:uid="{9F2234F2-A59E-4A16-BDD3-C08C05C80DE3}" name="TiedAtHalf" dataDxfId="1027"/>
    <tableColumn id="48" xr3:uid="{4629C446-C361-4973-96B8-566ED171F1CB}" name="AheadAtThird" dataDxfId="1026"/>
    <tableColumn id="49" xr3:uid="{9DCB244A-6814-4937-8012-4B8E6FD96E16}" name="BehindAtThird" dataDxfId="1025"/>
    <tableColumn id="50" xr3:uid="{D9ECF71E-663D-491E-AFE5-07CDED2F8583}" name="TiedAtThird" dataDxfId="1024"/>
    <tableColumn id="51" xr3:uid="{E1905DFA-D6E9-4F36-B6B8-1BEA02F958F3}" name="Score100PTS" dataDxfId="1023"/>
    <tableColumn id="52" xr3:uid="{BF497200-1581-4D21-9C27-A20DC2B8A148}" name="OppScore100PTS" dataDxfId="1022"/>
    <tableColumn id="53" xr3:uid="{8DE0184C-6A64-43C2-AF13-D928F633BA6F}" name="OppOver500" dataDxfId="1021"/>
    <tableColumn id="54" xr3:uid="{9FB26B28-C594-4A73-896D-CB7C1FB9A2B5}" name="LeadInFGPCT" dataDxfId="1020"/>
    <tableColumn id="55" xr3:uid="{D558103D-DD35-4345-B849-17A984730F33}" name="LeadInReb" dataDxfId="1019"/>
    <tableColumn id="56" xr3:uid="{23650778-2384-4F46-80F5-AEFDF0928AF6}" name="FewerTurnovers" dataDxfId="1018"/>
    <tableColumn id="57" xr3:uid="{EBFE77AC-2EE7-47D5-AA57-61C65C12B65E}" name="PointsPG" dataDxfId="1017"/>
    <tableColumn id="58" xr3:uid="{FBB41271-E2D5-400B-8F5B-34E088961724}" name="OppPointsPG" dataDxfId="1016"/>
    <tableColumn id="59" xr3:uid="{E0E6E74E-2179-4446-8CCE-2B41A2DF1BF3}" name="DiffPointsPG" dataDxfId="1015"/>
    <tableColumn id="60" xr3:uid="{E1F3D4B8-9C47-40F1-B79A-F686B095BCAC}" name="vsEast" dataDxfId="1014"/>
    <tableColumn id="61" xr3:uid="{512CEEA5-9D03-402E-89EF-F318EABBD1EA}" name="vsAtlantic" dataDxfId="1013"/>
    <tableColumn id="62" xr3:uid="{3A06E116-14A7-4569-B63D-B61D2D17B86F}" name="vsCentral" dataDxfId="1012"/>
    <tableColumn id="63" xr3:uid="{A14E6DDA-C0A7-4991-BBF8-A54E0DE80BA9}" name="vsSoutheast" dataDxfId="1011"/>
    <tableColumn id="64" xr3:uid="{7645FBC0-2165-418A-AAA0-9F34F213F574}" name="vsWest" dataDxfId="1010"/>
    <tableColumn id="65" xr3:uid="{17C9449B-87BB-4B8B-8A35-BC167936A304}" name="vsNorthwest" dataDxfId="1009"/>
    <tableColumn id="66" xr3:uid="{B2A0FDBA-C42D-4A39-850B-04D007B62AD0}" name="vsPacific" dataDxfId="1008"/>
    <tableColumn id="67" xr3:uid="{A8AD8003-9CC5-46BC-84D6-04CD01772974}" name="vsSouthwest" dataDxfId="1007"/>
    <tableColumn id="68" xr3:uid="{96A78D78-E7B8-4C7B-A794-411A403F8DF4}" name="Jan" dataDxfId="1006"/>
    <tableColumn id="69" xr3:uid="{D5984F74-6FE9-425A-8117-4A2B10CC13FD}" name="Feb" dataDxfId="1005"/>
    <tableColumn id="70" xr3:uid="{99A6300D-75E9-4C89-ADA3-5E0F850B368E}" name="Mar" dataDxfId="1004"/>
    <tableColumn id="71" xr3:uid="{EA79EEAB-FCBE-424E-9E55-78F9A0DE6402}" name="Apr" dataDxfId="1003"/>
    <tableColumn id="72" xr3:uid="{C1AA30A3-5718-4BAE-8EDA-D46B67EF7F20}" name="May" dataDxfId="1002"/>
    <tableColumn id="73" xr3:uid="{FA9BD10E-FD1F-4F49-8766-BBABDA082B77}" name="Jun" dataDxfId="1001"/>
    <tableColumn id="74" xr3:uid="{F43B5BCC-3C51-4B82-B456-1CA33625726E}" name="Jul" dataDxfId="1000"/>
    <tableColumn id="75" xr3:uid="{1E0946D8-7DD0-4DCD-AC39-532351A9057E}" name="Aug" dataDxfId="999"/>
    <tableColumn id="76" xr3:uid="{71223F33-53A1-4B0F-9F27-A00E2848C8FD}" name="Sep" dataDxfId="998"/>
    <tableColumn id="77" xr3:uid="{A0CA4D5D-005D-4209-9A87-0A684920A816}" name="Oct" dataDxfId="997"/>
    <tableColumn id="78" xr3:uid="{8E67D003-6039-4ED3-8260-1FF66C2094A8}" name="Nov" dataDxfId="996"/>
    <tableColumn id="79" xr3:uid="{5C1FFE83-3719-4241-AB54-D073319B6EC3}" name="Dec" dataDxfId="995"/>
    <tableColumn id="80" xr3:uid="{029515EE-C8B1-4E8C-98DC-4454427EF27C}" name="PreAS" dataDxfId="994"/>
    <tableColumn id="81" xr3:uid="{304C580E-6388-4780-93E8-0A73690E5888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D40B543-C43D-47CA-8DB7-3D9DD775106A}" name="TableBaseN" displayName="TableBaseN" ref="A1:BD31" totalsRowShown="0" headerRowDxfId="853">
  <autoFilter ref="A1:BD31" xr:uid="{491F3C0B-EE9B-4899-BDB0-DA04F097E5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38A8D44-75A3-4CEC-A682-F10BC1DABCD8}" name="TEAM_ID" dataDxfId="909"/>
    <tableColumn id="2" xr3:uid="{4F0EAE93-0C64-46C0-9673-BCEE9BB5C53F}" name="TEAM_NAME" dataDxfId="908"/>
    <tableColumn id="3" xr3:uid="{3E25DF07-3E29-4A9D-89C0-CBBAE5B29D3B}" name="GP" dataDxfId="907"/>
    <tableColumn id="4" xr3:uid="{4B34A199-8804-42BA-9F24-C9397BAA494A}" name="W" dataDxfId="906"/>
    <tableColumn id="5" xr3:uid="{B2500739-B016-46A5-BACA-109219609EA5}" name="L" dataDxfId="905"/>
    <tableColumn id="6" xr3:uid="{A6B77377-E0CF-4575-BD7A-7E4089F289CD}" name="W_PCT" dataDxfId="904"/>
    <tableColumn id="7" xr3:uid="{50CD49D7-A69C-4A93-AFB6-BB58107BB1B2}" name="MIN" dataDxfId="903"/>
    <tableColumn id="8" xr3:uid="{A67B013B-75C4-44BE-8788-2660B190AF08}" name="FGM" dataDxfId="902"/>
    <tableColumn id="9" xr3:uid="{D3B94B84-8DE1-4136-A754-B2B3DDD42A54}" name="FGA" dataDxfId="901"/>
    <tableColumn id="10" xr3:uid="{15BDD99F-55F4-439B-9362-8BE39119858D}" name="FG_PCT" dataDxfId="900"/>
    <tableColumn id="11" xr3:uid="{A53F8980-8C41-4684-92EF-886871089D5F}" name="FG3M" dataDxfId="899"/>
    <tableColumn id="12" xr3:uid="{E815288B-C1B1-4E57-9D08-94FE0F3FB414}" name="FG3A" dataDxfId="898"/>
    <tableColumn id="13" xr3:uid="{ADE50CB1-F805-40D2-93EF-621A5A9BA587}" name="FG3_PCT" dataDxfId="897"/>
    <tableColumn id="14" xr3:uid="{37A4B925-16AE-4D5F-83C4-82E70ED0A644}" name="FTM" dataDxfId="896"/>
    <tableColumn id="15" xr3:uid="{8DF25F43-F4F5-433A-9CCC-E65A20C4EA49}" name="FTA" dataDxfId="895"/>
    <tableColumn id="16" xr3:uid="{C9D2400A-45BD-460A-9B82-CE7315651544}" name="FT_PCT" dataDxfId="894"/>
    <tableColumn id="17" xr3:uid="{DAB24C70-D826-4560-B8B1-11F6FCBDF816}" name="OREB" dataDxfId="893"/>
    <tableColumn id="18" xr3:uid="{1F3BD73B-782B-4478-8D0A-5470D4E52336}" name="DREB" dataDxfId="892"/>
    <tableColumn id="19" xr3:uid="{CF8E22E3-83D9-4BE8-8837-41A2332B9C04}" name="REB" dataDxfId="891"/>
    <tableColumn id="20" xr3:uid="{B7D119F1-9E77-468D-8DD7-61FF57D2E76C}" name="AST" dataDxfId="890"/>
    <tableColumn id="21" xr3:uid="{F1F8D742-39EE-41BF-BD9B-2948AD2AF3EA}" name="TOV" dataDxfId="889"/>
    <tableColumn id="22" xr3:uid="{CB9A1EF0-5431-4495-AFFF-174F639D3140}" name="STL" dataDxfId="888"/>
    <tableColumn id="23" xr3:uid="{1B27B9A7-8B60-4184-B4A6-B9618C858ED8}" name="BLK" dataDxfId="887"/>
    <tableColumn id="24" xr3:uid="{D7487F24-3C9E-4CE2-8480-B7AC7312A0A5}" name="BLKA" dataDxfId="886"/>
    <tableColumn id="25" xr3:uid="{C13F7EDF-DC16-452D-BA84-AA9C74CBCAE3}" name="PF" dataDxfId="885"/>
    <tableColumn id="26" xr3:uid="{912B7451-3D9D-425C-96E3-D37E1A019A7E}" name="PFD" dataDxfId="884"/>
    <tableColumn id="27" xr3:uid="{E8B4D01F-84AF-49F0-B5F2-722FA0E1B630}" name="PTS" dataDxfId="883"/>
    <tableColumn id="28" xr3:uid="{4E20DF9D-2F4C-47FD-8664-955ADA83182F}" name="PLUS_MINUS" dataDxfId="882"/>
    <tableColumn id="29" xr3:uid="{E621EC66-EFA3-4E79-B2F5-70CFF10B781F}" name="GP_RANK" dataDxfId="881"/>
    <tableColumn id="30" xr3:uid="{E389F93F-51DE-4D9B-B51A-A13F8164DC9A}" name="W_RANK" dataDxfId="880"/>
    <tableColumn id="31" xr3:uid="{2D61EE80-B6FA-4FFD-8293-5C820CAD0B29}" name="L_RANK" dataDxfId="879"/>
    <tableColumn id="32" xr3:uid="{A0C5436F-C771-419A-B9B2-D5C21408B07C}" name="W_PCT_RANK" dataDxfId="878"/>
    <tableColumn id="33" xr3:uid="{A33D81BE-35E2-4E0B-950D-8DAE46BE4CA7}" name="MIN_RANK" dataDxfId="877"/>
    <tableColumn id="34" xr3:uid="{EFE91E43-9C8B-4C15-BEFA-D4013D2D565A}" name="FGM_RANK" dataDxfId="876"/>
    <tableColumn id="35" xr3:uid="{4D6601AE-B0CC-4DA6-8C0D-EAE21B1994BA}" name="FGA_RANK" dataDxfId="875"/>
    <tableColumn id="36" xr3:uid="{2B772BF4-5634-49B6-BFAB-AD32C842DF74}" name="FG_PCT_RANK" dataDxfId="874"/>
    <tableColumn id="37" xr3:uid="{69E72328-EF9B-418F-9442-4BEC70BD1A12}" name="FG3M_RANK" dataDxfId="873"/>
    <tableColumn id="38" xr3:uid="{22B8526F-CA5F-4DE3-AD46-9D84700C6FFE}" name="FG3A_RANK" dataDxfId="872"/>
    <tableColumn id="39" xr3:uid="{8A442AA9-E9D6-48F6-AAC0-C2744DCA3ECE}" name="FG3_PCT_RANK" dataDxfId="871"/>
    <tableColumn id="40" xr3:uid="{597CD465-154A-4323-9EDF-FD4FA7AC2847}" name="FTM_RANK" dataDxfId="870"/>
    <tableColumn id="41" xr3:uid="{7423AA31-4510-4AE8-B1AA-57FD0F5388FC}" name="FTA_RANK" dataDxfId="869"/>
    <tableColumn id="42" xr3:uid="{DA5D9779-22A9-4AC5-BA1D-152455D4A5AB}" name="FT_PCT_RANK" dataDxfId="868"/>
    <tableColumn id="43" xr3:uid="{CC41F359-768B-4843-A236-00A176B395B2}" name="OREB_RANK" dataDxfId="867"/>
    <tableColumn id="44" xr3:uid="{30CAFC52-5D46-497A-84D6-E9A4A9663F46}" name="DREB_RANK" dataDxfId="866"/>
    <tableColumn id="45" xr3:uid="{B0F6C98B-3401-475C-8FE0-B7570B8038E7}" name="REB_RANK" dataDxfId="865"/>
    <tableColumn id="46" xr3:uid="{8EE15C5F-8799-4268-BF81-346816D51E63}" name="AST_RANK" dataDxfId="864"/>
    <tableColumn id="47" xr3:uid="{29E9108C-50F6-49DD-8464-660624CCA71F}" name="TOV_RANK" dataDxfId="863"/>
    <tableColumn id="48" xr3:uid="{894D667F-3738-485F-A480-3F8A9076D042}" name="STL_RANK" dataDxfId="862"/>
    <tableColumn id="49" xr3:uid="{27647B29-3C4F-40BC-B77F-4DBD283EF7F9}" name="BLK_RANK" dataDxfId="861"/>
    <tableColumn id="50" xr3:uid="{AD24855D-4F70-43EF-AFF4-61128BC2FDCB}" name="BLKA_RANK" dataDxfId="860"/>
    <tableColumn id="51" xr3:uid="{C71670C4-A7BA-4944-A204-01480FDFF3D1}" name="PF_RANK" dataDxfId="859"/>
    <tableColumn id="52" xr3:uid="{C04742D1-C26F-4B5E-81DA-5B8F248C6964}" name="PFD_RANK" dataDxfId="858"/>
    <tableColumn id="53" xr3:uid="{8CA58E32-C141-4955-8AD8-4AAC0838586C}" name="PTS_RANK" dataDxfId="857"/>
    <tableColumn id="54" xr3:uid="{CB37A1C9-F2DE-4B50-A62D-82C21745BA03}" name="PLUS_MINUS_RANK" dataDxfId="856"/>
    <tableColumn id="55" xr3:uid="{88FF8D94-C055-458A-9392-DD7CEF18093E}" name="CFID" dataDxfId="855"/>
    <tableColumn id="56" xr3:uid="{BCA27FD5-4A25-4AF2-90BA-2446C0CF2BA0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640F2A6-17EF-4571-9AFB-E4DACEB16092}" name="TableAdvancedN" displayName="TableAdvancedN" ref="A1:AV31" totalsRowShown="0" headerRowDxfId="747">
  <autoFilter ref="A1:AV31" xr:uid="{948D96A6-DE2A-4EBE-9F24-82C755FE78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520B900-219F-490D-83B7-EFDB8AF85830}" name="TEAM_ID" dataDxfId="795"/>
    <tableColumn id="2" xr3:uid="{C0D14CDE-B4D7-45B2-A37E-66413433C826}" name="TEAM_NAME" dataDxfId="794"/>
    <tableColumn id="3" xr3:uid="{506DF862-FAD2-4FE6-942D-CF9F7B466651}" name="GP" dataDxfId="793"/>
    <tableColumn id="4" xr3:uid="{4FCAF45A-40A7-45D7-876F-43F2FC815007}" name="W" dataDxfId="792"/>
    <tableColumn id="5" xr3:uid="{741C23F3-0A9A-4AF0-B580-535853F4B8DD}" name="L" dataDxfId="791"/>
    <tableColumn id="6" xr3:uid="{1987C670-97CA-439B-97C1-46CEB149797B}" name="W_PCT" dataDxfId="790"/>
    <tableColumn id="7" xr3:uid="{7DC32AA4-4072-441F-BB9E-8F036C8FD67E}" name="MIN" dataDxfId="789"/>
    <tableColumn id="8" xr3:uid="{9EA37C10-1194-4C78-BDBA-7F2F791001F8}" name="E_OFF_RATING" dataDxfId="788"/>
    <tableColumn id="9" xr3:uid="{FB604AFB-63E6-47B5-887E-FB142E3372C8}" name="OFF_RATING" dataDxfId="787"/>
    <tableColumn id="10" xr3:uid="{5706D602-0A71-4807-8433-088D11220E11}" name="E_DEF_RATING" dataDxfId="786"/>
    <tableColumn id="11" xr3:uid="{26A0FC78-FFCA-46DC-AB17-3777EBD17FE8}" name="DEF_RATING" dataDxfId="785"/>
    <tableColumn id="12" xr3:uid="{1BD175B8-529B-463E-8781-0D3E299A0466}" name="E_NET_RATING" dataDxfId="784"/>
    <tableColumn id="13" xr3:uid="{2D861351-71A0-4107-A792-A74EF164A36A}" name="NET_RATING" dataDxfId="783"/>
    <tableColumn id="14" xr3:uid="{13D13F3F-7F6E-4A73-9FD7-DE886998FBF5}" name="AST_PCT" dataDxfId="782"/>
    <tableColumn id="15" xr3:uid="{58F4499D-692F-4E91-B101-6B5080978C83}" name="AST_TO" dataDxfId="781"/>
    <tableColumn id="16" xr3:uid="{09AA0227-DC54-440F-BA9F-1C9C1707743D}" name="AST_RATIO" dataDxfId="780"/>
    <tableColumn id="17" xr3:uid="{209C9E4D-4B08-415C-9123-93DF20C49671}" name="OREB_PCT" dataDxfId="779"/>
    <tableColumn id="18" xr3:uid="{BA54A9A1-B8CE-4078-B4AF-30C4F53D4F9A}" name="DREB_PCT" dataDxfId="778"/>
    <tableColumn id="19" xr3:uid="{15E17AA5-9897-4022-877B-372E1119314D}" name="REB_PCT" dataDxfId="777"/>
    <tableColumn id="20" xr3:uid="{B425999A-616B-4703-96D4-7AEF861FEA66}" name="TM_TOV_PCT" dataDxfId="776"/>
    <tableColumn id="21" xr3:uid="{F61E21B1-EA84-4D66-9428-A375A4EF1F4F}" name="EFG_PCT" dataDxfId="775"/>
    <tableColumn id="22" xr3:uid="{541075B1-6835-4FA9-9B6A-C247646A591B}" name="TS_PCT" dataDxfId="774"/>
    <tableColumn id="23" xr3:uid="{6E68EFCC-6A98-469D-8828-020639A692E2}" name="E_PACE" dataDxfId="773"/>
    <tableColumn id="24" xr3:uid="{73D55A63-E41D-4E40-977B-24AB025020A7}" name="PACE" dataDxfId="772"/>
    <tableColumn id="25" xr3:uid="{E8579D04-2631-46B8-B18F-63D195538E27}" name="PACE_PER40" dataDxfId="771"/>
    <tableColumn id="26" xr3:uid="{707D06A6-12BC-4D8D-98CB-C2A7BD9BE38E}" name="POSS" dataDxfId="770"/>
    <tableColumn id="27" xr3:uid="{04455876-E15D-4A6B-A1D5-9E4E40F1F51E}" name="PIE" dataDxfId="769"/>
    <tableColumn id="28" xr3:uid="{8E835535-B441-46C8-8501-2D02003C0409}" name="GP_RANK" dataDxfId="768"/>
    <tableColumn id="29" xr3:uid="{F8A747F0-433D-413A-AFA7-E2AA8CC35AFE}" name="W_RANK" dataDxfId="767"/>
    <tableColumn id="30" xr3:uid="{08E873B0-D477-482C-A215-A27EC10B3CE1}" name="L_RANK" dataDxfId="766"/>
    <tableColumn id="31" xr3:uid="{DDB79C85-5948-4835-87E4-8750BE02EE17}" name="W_PCT_RANK" dataDxfId="765"/>
    <tableColumn id="32" xr3:uid="{DCF46C7C-C138-4A3C-BDA3-D90383139FCB}" name="MIN_RANK" dataDxfId="764"/>
    <tableColumn id="33" xr3:uid="{0B750358-4DCA-4A28-919C-166EDA952CF2}" name="OFF_RATING_RANK" dataDxfId="763"/>
    <tableColumn id="34" xr3:uid="{7BF101A0-B6D6-4147-851B-032C80D6B5D4}" name="DEF_RATING_RANK" dataDxfId="762"/>
    <tableColumn id="35" xr3:uid="{5601277E-6146-4E2D-84D1-40C6EE87EF9C}" name="NET_RATING_RANK" dataDxfId="761"/>
    <tableColumn id="36" xr3:uid="{7FDE3F7F-1301-471C-B37D-196A9E54CB20}" name="AST_PCT_RANK" dataDxfId="760"/>
    <tableColumn id="37" xr3:uid="{9A1788F1-A711-4365-AE97-797B1A3475B6}" name="AST_TO_RANK" dataDxfId="759"/>
    <tableColumn id="38" xr3:uid="{8F75D388-F28F-41F4-9870-1EC0A0AF121E}" name="AST_RATIO_RANK" dataDxfId="758"/>
    <tableColumn id="39" xr3:uid="{C00C715C-0905-4C86-8113-363C9A2E4359}" name="OREB_PCT_RANK" dataDxfId="757"/>
    <tableColumn id="40" xr3:uid="{2CEBCFA9-DF7E-48DC-AE0A-3A0B22EDCF8F}" name="DREB_PCT_RANK" dataDxfId="756"/>
    <tableColumn id="41" xr3:uid="{6C41ECA8-0D5D-41F5-A5A2-D1060DEBD792}" name="REB_PCT_RANK" dataDxfId="755"/>
    <tableColumn id="42" xr3:uid="{5D3D88D8-9A33-43C6-8CD6-6AC5635379D6}" name="TM_TOV_PCT_RANK" dataDxfId="754"/>
    <tableColumn id="43" xr3:uid="{799D1129-08E5-4D8C-BA97-A314A3AC47D4}" name="EFG_PCT_RANK" dataDxfId="753"/>
    <tableColumn id="44" xr3:uid="{3C2DF30E-C966-4D72-8DC4-E040DDAB44F9}" name="TS_PCT_RANK" dataDxfId="752"/>
    <tableColumn id="45" xr3:uid="{A7E3CE19-C849-46B0-A866-D3F7B0FAA863}" name="PACE_RANK" dataDxfId="751"/>
    <tableColumn id="46" xr3:uid="{C0D0B19E-C932-4F6F-8BE3-17E7613AEF3E}" name="PIE_RANK" dataDxfId="750"/>
    <tableColumn id="47" xr3:uid="{BD3523D7-7763-47B2-8996-1DE3D2DAFC1A}" name="CFID" dataDxfId="749"/>
    <tableColumn id="48" xr3:uid="{EB800896-4900-4937-8DC4-8285F1012E60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DA9725-5DF2-4ED0-A6B1-C500B80BEA95}" name="TableAdvancedNStarters" displayName="TableAdvancedNStarters" ref="A1:AV31" totalsRowShown="0" headerRowDxfId="649">
  <autoFilter ref="A1:AV31" xr:uid="{697813DA-BA18-48CE-A7ED-1EB3C5BCEA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21EC39B-5554-4FE2-A1F2-67C980A44F52}" name="TEAM_ID" dataDxfId="697"/>
    <tableColumn id="2" xr3:uid="{229E7D9E-AB96-447F-97C0-D842F464E09B}" name="TEAM_NAME" dataDxfId="696"/>
    <tableColumn id="3" xr3:uid="{4D0EF159-DEDF-477F-AD59-CF638945B1AC}" name="GP" dataDxfId="695"/>
    <tableColumn id="4" xr3:uid="{A8821A8B-C928-4A3F-9C55-4760EEEA5B48}" name="W" dataDxfId="694"/>
    <tableColumn id="5" xr3:uid="{405F72FA-A01E-4FA7-9B24-EE886F1784DF}" name="L" dataDxfId="693"/>
    <tableColumn id="6" xr3:uid="{E034E815-1D9D-4174-A678-56BD94C8713D}" name="W_PCT" dataDxfId="692"/>
    <tableColumn id="7" xr3:uid="{0951A8A6-6FF4-47BF-AEB2-F828A3CF35D3}" name="MIN" dataDxfId="691"/>
    <tableColumn id="8" xr3:uid="{9A4E271D-9CF3-4B4A-9C0A-7E0A1573A0F7}" name="E_OFF_RATING" dataDxfId="690"/>
    <tableColumn id="9" xr3:uid="{CC3A8487-6877-4AFC-99B5-3396046576C9}" name="OFF_RATING" dataDxfId="689"/>
    <tableColumn id="10" xr3:uid="{B45FC241-EBC2-479E-9F45-335AE12D278F}" name="E_DEF_RATING" dataDxfId="688"/>
    <tableColumn id="11" xr3:uid="{509A911F-DF62-4CAC-834B-8C3EEB262458}" name="DEF_RATING" dataDxfId="687"/>
    <tableColumn id="12" xr3:uid="{16547D1B-4649-4315-98F4-38F668F41DEB}" name="E_NET_RATING" dataDxfId="686"/>
    <tableColumn id="13" xr3:uid="{4B62D756-E3F7-4F06-B50C-35851CA3A95C}" name="NET_RATING" dataDxfId="685"/>
    <tableColumn id="14" xr3:uid="{56FDC99D-9749-46F6-888B-8F26640A789D}" name="AST_PCT" dataDxfId="684"/>
    <tableColumn id="15" xr3:uid="{FC247794-D2DC-448A-B18D-7910F223F7B4}" name="AST_TO" dataDxfId="683"/>
    <tableColumn id="16" xr3:uid="{75BF0B9D-BAFE-46D7-848B-FC81AD0F1FEC}" name="AST_RATIO" dataDxfId="682"/>
    <tableColumn id="17" xr3:uid="{BAB54031-90B4-47A3-A6B5-B0C8E841E5CD}" name="OREB_PCT" dataDxfId="681"/>
    <tableColumn id="18" xr3:uid="{C14FD54B-BE47-4C7B-83F1-A3B75C6EE3B8}" name="DREB_PCT" dataDxfId="680"/>
    <tableColumn id="19" xr3:uid="{779448CA-F6AA-4B1F-98F9-D4088EE1D460}" name="REB_PCT" dataDxfId="679"/>
    <tableColumn id="20" xr3:uid="{453BB508-37F5-405C-B373-78864CD36E74}" name="TM_TOV_PCT" dataDxfId="678"/>
    <tableColumn id="21" xr3:uid="{BEB015A2-125A-465B-8100-C8BE21350DE5}" name="EFG_PCT" dataDxfId="677"/>
    <tableColumn id="22" xr3:uid="{6A0BC19D-9C51-43F4-A262-74F0FBCE6112}" name="TS_PCT" dataDxfId="676"/>
    <tableColumn id="23" xr3:uid="{FE267B31-221B-401F-948C-74BE71559FED}" name="E_PACE" dataDxfId="675"/>
    <tableColumn id="24" xr3:uid="{C2B35213-928C-4AA2-A389-32AFE541FF1B}" name="PACE" dataDxfId="674"/>
    <tableColumn id="25" xr3:uid="{6B9237BA-5B44-44C5-ACB8-405FDDFA9E01}" name="PACE_PER40" dataDxfId="673"/>
    <tableColumn id="26" xr3:uid="{E7AB915E-3663-4EB0-A62E-1B8FC1356FAD}" name="POSS" dataDxfId="672"/>
    <tableColumn id="27" xr3:uid="{95DF917B-F028-4320-8B4E-5EE0216CEE9E}" name="PIE" dataDxfId="671"/>
    <tableColumn id="28" xr3:uid="{76EAA8B9-7FE2-46AF-9692-7C5746C1D89A}" name="GP_RANK" dataDxfId="670"/>
    <tableColumn id="29" xr3:uid="{B65BAB4B-E952-4DD6-95DD-73B69A7E1E10}" name="W_RANK" dataDxfId="669"/>
    <tableColumn id="30" xr3:uid="{C407F438-9492-4D66-8FD3-EDA0301BB131}" name="L_RANK" dataDxfId="668"/>
    <tableColumn id="31" xr3:uid="{3AE93956-EFC9-499D-BC6C-AACA3EA2735D}" name="W_PCT_RANK" dataDxfId="667"/>
    <tableColumn id="32" xr3:uid="{56E3296A-C79B-4228-8E22-2E9B7679F017}" name="MIN_RANK" dataDxfId="666"/>
    <tableColumn id="33" xr3:uid="{000E76CA-860D-4FA1-AEE6-650DC5510C39}" name="OFF_RATING_RANK" dataDxfId="665"/>
    <tableColumn id="34" xr3:uid="{44925B4C-F21C-480D-BB58-F9A83FC69E5D}" name="DEF_RATING_RANK" dataDxfId="664"/>
    <tableColumn id="35" xr3:uid="{1756BE6A-7744-4731-8663-810FEE0C16F4}" name="NET_RATING_RANK" dataDxfId="663"/>
    <tableColumn id="36" xr3:uid="{B9A926FA-9F7F-4BF4-A1F9-524FA3EBEBB7}" name="AST_PCT_RANK" dataDxfId="662"/>
    <tableColumn id="37" xr3:uid="{646237F8-CE6B-47CC-9023-A987E32F34C2}" name="AST_TO_RANK" dataDxfId="661"/>
    <tableColumn id="38" xr3:uid="{8133FB1E-CAC8-4AB6-8B8F-E78CC6FB73B3}" name="AST_RATIO_RANK" dataDxfId="660"/>
    <tableColumn id="39" xr3:uid="{1B6BB809-6A18-4B5D-B7AE-C8D345110694}" name="OREB_PCT_RANK" dataDxfId="659"/>
    <tableColumn id="40" xr3:uid="{8EC4FD2D-F415-4656-868F-958AF4F8C044}" name="DREB_PCT_RANK" dataDxfId="658"/>
    <tableColumn id="41" xr3:uid="{70BAC8BC-9BB0-4D35-B461-EBEB200FAA5E}" name="REB_PCT_RANK" dataDxfId="657"/>
    <tableColumn id="42" xr3:uid="{D3F3B7A3-3A6F-4611-9C92-57362E99C417}" name="TM_TOV_PCT_RANK" dataDxfId="656"/>
    <tableColumn id="43" xr3:uid="{EE35CAE8-79B2-43EF-9A25-C70D46231C80}" name="EFG_PCT_RANK" dataDxfId="655"/>
    <tableColumn id="44" xr3:uid="{26DACC69-473A-478D-BFFF-F2E781E2FC01}" name="TS_PCT_RANK" dataDxfId="654"/>
    <tableColumn id="45" xr3:uid="{43E6DE7A-C0C4-460D-B8F2-E02054EEECCA}" name="PACE_RANK" dataDxfId="653"/>
    <tableColumn id="46" xr3:uid="{93BB4C2D-E969-4CAB-98BF-2A07EDB23320}" name="PIE_RANK" dataDxfId="652"/>
    <tableColumn id="47" xr3:uid="{1C98E16C-34DC-434D-AE33-AAD52FD6553E}" name="CFID" dataDxfId="651"/>
    <tableColumn id="48" xr3:uid="{F00B44E3-34A0-4DC6-823E-15DE104479DD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63D59C-26E6-4378-BD02-2DDA16020E6D}" name="TableAdvancedNBench" displayName="TableAdvancedNBench" ref="A1:AV31" totalsRowShown="0" headerRowDxfId="551">
  <autoFilter ref="A1:AV31" xr:uid="{ADB2C1D0-1A16-4678-8F49-3954419097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8D2C89D-A7A8-44FA-B6F1-159864B576A4}" name="TEAM_ID" dataDxfId="599"/>
    <tableColumn id="2" xr3:uid="{91D49DEF-7B62-49E4-AC0C-7BC8A0ECC659}" name="TEAM_NAME" dataDxfId="598"/>
    <tableColumn id="3" xr3:uid="{3F466D97-C7AE-4F63-BF14-134661DAAAFF}" name="GP" dataDxfId="597"/>
    <tableColumn id="4" xr3:uid="{D476076A-34F4-4529-8200-1B6F90A11CA0}" name="W" dataDxfId="596"/>
    <tableColumn id="5" xr3:uid="{36925F88-AE73-4686-9D0E-3E73B12D0F85}" name="L" dataDxfId="595"/>
    <tableColumn id="6" xr3:uid="{64DE5937-7465-40FD-95AE-BE81EF2BB894}" name="W_PCT" dataDxfId="594"/>
    <tableColumn id="7" xr3:uid="{1AD602A9-1BAC-42B4-BD7F-050AE0E1F83F}" name="MIN" dataDxfId="593"/>
    <tableColumn id="8" xr3:uid="{D8639E44-244D-419D-ABFA-93501C2785A1}" name="E_OFF_RATING" dataDxfId="592"/>
    <tableColumn id="9" xr3:uid="{3AECD69C-D026-4EA9-A6FE-88ED2C1DB53E}" name="OFF_RATING" dataDxfId="591"/>
    <tableColumn id="10" xr3:uid="{6705B430-0C09-4116-B51B-C300FB49B0D1}" name="E_DEF_RATING" dataDxfId="590"/>
    <tableColumn id="11" xr3:uid="{9C50C34B-3A79-4EE5-AA46-98D32B8B1BBA}" name="DEF_RATING" dataDxfId="589"/>
    <tableColumn id="12" xr3:uid="{200AE009-3B33-45E1-841A-3B3F3049FAA8}" name="E_NET_RATING" dataDxfId="588"/>
    <tableColumn id="13" xr3:uid="{47F76729-735B-41B9-B209-CBB4DA4F7340}" name="NET_RATING" dataDxfId="587"/>
    <tableColumn id="14" xr3:uid="{BB45AD95-CE2C-496A-9BCD-06D8013D4AF7}" name="AST_PCT" dataDxfId="586"/>
    <tableColumn id="15" xr3:uid="{2C239514-86E8-4010-BD3E-9C8B4AFFDF47}" name="AST_TO" dataDxfId="585"/>
    <tableColumn id="16" xr3:uid="{2C554824-C159-45BF-A7D9-321CA8610E08}" name="AST_RATIO" dataDxfId="584"/>
    <tableColumn id="17" xr3:uid="{ADE69C88-F5EB-407A-B994-73366FB09518}" name="OREB_PCT" dataDxfId="583"/>
    <tableColumn id="18" xr3:uid="{881F8D81-9D81-4559-9DB2-D0FABA173DC0}" name="DREB_PCT" dataDxfId="582"/>
    <tableColumn id="19" xr3:uid="{59A207EB-3552-4954-89DA-190FFD4151FD}" name="REB_PCT" dataDxfId="581"/>
    <tableColumn id="20" xr3:uid="{99ED4F53-EBFF-40E5-BAD3-2E7BDFBD212A}" name="TM_TOV_PCT" dataDxfId="580"/>
    <tableColumn id="21" xr3:uid="{3CA6FBD7-6304-4F33-B48E-26452B2873EF}" name="EFG_PCT" dataDxfId="579"/>
    <tableColumn id="22" xr3:uid="{D941B31E-37FD-4286-880A-405ADD7BC5C1}" name="TS_PCT" dataDxfId="578"/>
    <tableColumn id="23" xr3:uid="{6C87308C-9C9D-4627-A90D-D20F0C30E1EB}" name="E_PACE" dataDxfId="577"/>
    <tableColumn id="24" xr3:uid="{EF9980DB-4FB6-4672-ACEF-CCEC56B12148}" name="PACE" dataDxfId="576"/>
    <tableColumn id="25" xr3:uid="{4E3BD710-0744-4C0A-8AE6-3B90F65164F3}" name="PACE_PER40" dataDxfId="575"/>
    <tableColumn id="26" xr3:uid="{E67F0A9C-ED8B-43F1-84B4-7E66B86DE72F}" name="POSS" dataDxfId="574"/>
    <tableColumn id="27" xr3:uid="{92DE5914-82D7-4989-A708-24F999291FE8}" name="PIE" dataDxfId="573"/>
    <tableColumn id="28" xr3:uid="{5C884265-E06D-429F-98DF-4CBE7141E455}" name="GP_RANK" dataDxfId="572"/>
    <tableColumn id="29" xr3:uid="{C92E24F1-58E1-455A-9D4A-09BA58BD5E8C}" name="W_RANK" dataDxfId="571"/>
    <tableColumn id="30" xr3:uid="{C43971FD-70DA-4080-8CF0-5A0995E55D33}" name="L_RANK" dataDxfId="570"/>
    <tableColumn id="31" xr3:uid="{39774FCE-17FF-465F-B9CF-6B47E2E668A4}" name="W_PCT_RANK" dataDxfId="569"/>
    <tableColumn id="32" xr3:uid="{3905D285-CC12-4572-B69E-035921DB6BE9}" name="MIN_RANK" dataDxfId="568"/>
    <tableColumn id="33" xr3:uid="{F69E65D3-90C9-4F6F-815D-D8C509E273D4}" name="OFF_RATING_RANK" dataDxfId="567"/>
    <tableColumn id="34" xr3:uid="{DD9C1B45-A573-4C41-A8F8-0369B3835E6A}" name="DEF_RATING_RANK" dataDxfId="566"/>
    <tableColumn id="35" xr3:uid="{30EBB107-AA91-4889-849D-2A4698DB5CD6}" name="NET_RATING_RANK" dataDxfId="565"/>
    <tableColumn id="36" xr3:uid="{E33A5A64-DC36-4FEF-B838-08CA85E1C5F3}" name="AST_PCT_RANK" dataDxfId="564"/>
    <tableColumn id="37" xr3:uid="{9B54F0B5-8883-4DA4-85E6-D8529D42575C}" name="AST_TO_RANK" dataDxfId="563"/>
    <tableColumn id="38" xr3:uid="{4B818BAA-8385-4A67-A705-9CB7BDAE420A}" name="AST_RATIO_RANK" dataDxfId="562"/>
    <tableColumn id="39" xr3:uid="{39142E58-3A87-463A-A252-CC1411956937}" name="OREB_PCT_RANK" dataDxfId="561"/>
    <tableColumn id="40" xr3:uid="{EC6ABD2B-40BD-411E-9CA0-7B8B54A985E3}" name="DREB_PCT_RANK" dataDxfId="560"/>
    <tableColumn id="41" xr3:uid="{127B3384-C67F-4089-95EF-646F53407DE3}" name="REB_PCT_RANK" dataDxfId="559"/>
    <tableColumn id="42" xr3:uid="{A92A0B0A-3087-4CB0-9065-2C14D160CD41}" name="TM_TOV_PCT_RANK" dataDxfId="558"/>
    <tableColumn id="43" xr3:uid="{B0B8DB7D-07AD-4CE2-800F-6F12443768E3}" name="EFG_PCT_RANK" dataDxfId="557"/>
    <tableColumn id="44" xr3:uid="{233BE264-6BCC-4209-91CF-04B322B45894}" name="TS_PCT_RANK" dataDxfId="556"/>
    <tableColumn id="45" xr3:uid="{880B243A-D060-4115-8741-C9520DE0A2C3}" name="PACE_RANK" dataDxfId="555"/>
    <tableColumn id="46" xr3:uid="{9B39B33C-2DBA-4850-9405-6C13B4727052}" name="PIE_RANK" dataDxfId="554"/>
    <tableColumn id="47" xr3:uid="{33C63E75-6B3D-4784-8D17-232E68F76552}" name="CFID" dataDxfId="553"/>
    <tableColumn id="48" xr3:uid="{45B41F28-EBB0-4580-BD62-5FC3675BDC20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0FE074-776E-437C-BF01-6D7FB1230312}" name="TableMiscN" displayName="TableMiscN" ref="A1:AD31" totalsRowShown="0" headerRowDxfId="471">
  <autoFilter ref="A1:AD31" xr:uid="{11AC11E4-1A87-49CD-B12A-854507D7EA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52478FC7-9C4A-4D2C-A8DF-03779E778712}" name="TEAM_ID" dataDxfId="501"/>
    <tableColumn id="2" xr3:uid="{237D75D3-5223-4FB1-B134-C88DC0BF3314}" name="TEAM_NAME" dataDxfId="500"/>
    <tableColumn id="3" xr3:uid="{B34C6B74-DD59-4317-9B62-632643CB3172}" name="GP" dataDxfId="499"/>
    <tableColumn id="4" xr3:uid="{791C2D6D-2A10-4FC5-8626-F9FF72147994}" name="W" dataDxfId="498"/>
    <tableColumn id="5" xr3:uid="{4B3206BD-9F45-4D7F-B09A-FAE6C766E140}" name="L" dataDxfId="497"/>
    <tableColumn id="6" xr3:uid="{0DE8BD12-86E1-4FD4-B7EB-AE8FADF0840E}" name="W_PCT" dataDxfId="496"/>
    <tableColumn id="7" xr3:uid="{04B98AC4-66DA-444D-8F9F-F6A9BD904FE2}" name="MIN" dataDxfId="495"/>
    <tableColumn id="8" xr3:uid="{CD31FC87-B380-4C79-81DA-1F771D02EB16}" name="PTS_OFF_TOV" dataDxfId="494"/>
    <tableColumn id="9" xr3:uid="{A102B7DB-39D3-414B-AB8F-352980169912}" name="PTS_2ND_CHANCE" dataDxfId="493"/>
    <tableColumn id="10" xr3:uid="{8B1887D0-3E75-447E-8068-19DB5C194DAE}" name="PTS_FB" dataDxfId="492"/>
    <tableColumn id="11" xr3:uid="{1C55ED44-B7FB-46BA-901C-51884A6F79CC}" name="PTS_PAINT" dataDxfId="491"/>
    <tableColumn id="12" xr3:uid="{6F91ADA8-11DA-4BF4-A20D-222FB5D8B8F8}" name="OPP_PTS_OFF_TOV" dataDxfId="490"/>
    <tableColumn id="13" xr3:uid="{D7DD7F01-12C2-4DF5-B82C-5E090E500086}" name="OPP_PTS_2ND_CHANCE" dataDxfId="489"/>
    <tableColumn id="14" xr3:uid="{AC1544D3-2BD7-4815-B31A-F65B97A14CEC}" name="OPP_PTS_FB" dataDxfId="488"/>
    <tableColumn id="15" xr3:uid="{11316D81-2CCA-4AD4-B494-2960B48112F6}" name="OPP_PTS_PAINT" dataDxfId="487"/>
    <tableColumn id="16" xr3:uid="{8EDAAFB6-9C94-4E88-80D8-5483F5A2DD12}" name="GP_RANK" dataDxfId="486"/>
    <tableColumn id="17" xr3:uid="{F264353C-B1B5-4F94-AE07-8A35FE6AF9C2}" name="W_RANK" dataDxfId="485"/>
    <tableColumn id="18" xr3:uid="{9D312CB6-C99D-495F-BA28-EF5F2546EB63}" name="L_RANK" dataDxfId="484"/>
    <tableColumn id="19" xr3:uid="{F2D4CE90-76A6-4514-879D-2760397AECEF}" name="W_PCT_RANK" dataDxfId="483"/>
    <tableColumn id="20" xr3:uid="{234F955E-4384-4F54-BEA4-69E305B4FB5E}" name="MIN_RANK" dataDxfId="482"/>
    <tableColumn id="21" xr3:uid="{02CC2474-A227-49FC-AF21-C0D503744D5A}" name="PTS_OFF_TOV_RANK" dataDxfId="481"/>
    <tableColumn id="22" xr3:uid="{D8DC4E43-6DD2-426F-BE6B-895D61F19A60}" name="PTS_2ND_CHANCE_RANK" dataDxfId="480"/>
    <tableColumn id="23" xr3:uid="{C99F27A2-A0C5-46CA-9570-978144FFC399}" name="PTS_FB_RANK" dataDxfId="479"/>
    <tableColumn id="24" xr3:uid="{1313F6E6-EB49-4AAF-81C0-105CFADA84DE}" name="PTS_PAINT_RANK" dataDxfId="478"/>
    <tableColumn id="25" xr3:uid="{961CAF23-7171-4FB0-B825-FE6CB2C50D74}" name="OPP_PTS_OFF_TOV_RANK" dataDxfId="477"/>
    <tableColumn id="26" xr3:uid="{6AF2077C-2C0F-4E23-997D-54F7BAF5599F}" name="OPP_PTS_2ND_CHANCE_RANK" dataDxfId="476"/>
    <tableColumn id="27" xr3:uid="{25DB85B3-4E54-4AE7-9383-76A7ADADF4C2}" name="OPP_PTS_FB_RANK" dataDxfId="475"/>
    <tableColumn id="28" xr3:uid="{9A979E57-9FED-4B28-B382-8E05CE317936}" name="OPP_PTS_PAINT_RANK" dataDxfId="474"/>
    <tableColumn id="29" xr3:uid="{F2186B26-FC5A-4E94-B024-31F73BE40949}" name="CFID" dataDxfId="473"/>
    <tableColumn id="30" xr3:uid="{231FDD1B-1D56-44F7-98F8-42FC310528E6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B6EBC2E-E971-459B-9EA1-DC0FF488E910}" name="TableOppBaseN" displayName="TableOppBaseN" ref="A1:BD31" totalsRowShown="0" headerRowDxfId="383">
  <autoFilter ref="A1:BD31" xr:uid="{BA219FEE-8474-475D-8809-1E24260002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B049D476-D3FF-451C-A5B4-69C1171D7E20}" name="TEAM_ID" dataDxfId="439"/>
    <tableColumn id="2" xr3:uid="{8670AA37-C962-4DD8-9853-351DAEC4F803}" name="TEAM_NAME" dataDxfId="438"/>
    <tableColumn id="3" xr3:uid="{4649BBBE-B410-4834-A619-ED65E50C5292}" name="GP" dataDxfId="437"/>
    <tableColumn id="4" xr3:uid="{B7B640C7-46B6-4A97-910E-71070254AECB}" name="W" dataDxfId="436"/>
    <tableColumn id="5" xr3:uid="{D34485D3-1835-4B0C-8AB7-7CE5A44D9791}" name="L" dataDxfId="435"/>
    <tableColumn id="6" xr3:uid="{198825AD-0BC1-4D26-A281-3C79A4015500}" name="W_PCT" dataDxfId="434"/>
    <tableColumn id="7" xr3:uid="{D5F3DED9-6F2B-42CE-9916-4EFC9BFA5A71}" name="MIN" dataDxfId="433"/>
    <tableColumn id="8" xr3:uid="{BF9BEFE7-83B1-407E-AF04-2817190FAD19}" name="OPP_FGM" dataDxfId="432"/>
    <tableColumn id="9" xr3:uid="{5A910975-573A-47EA-9D76-2E697962F08A}" name="OPP_FGA" dataDxfId="431"/>
    <tableColumn id="10" xr3:uid="{54E5B0F1-AAA7-4891-A68D-21FEE5E2EFCB}" name="OPP_FG_PCT" dataDxfId="430"/>
    <tableColumn id="11" xr3:uid="{5F16271D-7022-4B41-B836-0A9F08D406D8}" name="OPP_FG3M" dataDxfId="429"/>
    <tableColumn id="12" xr3:uid="{AB32C31E-BCD1-4092-94D4-2C37CBA4D15F}" name="OPP_FG3A" dataDxfId="428"/>
    <tableColumn id="13" xr3:uid="{B88D45B9-549A-40CB-BE13-E102623A36FB}" name="OPP_FG3_PCT" dataDxfId="427"/>
    <tableColumn id="14" xr3:uid="{0633EC49-CC8E-4E26-A685-40175C78FCA9}" name="OPP_FTM" dataDxfId="426"/>
    <tableColumn id="15" xr3:uid="{941EE435-D9A9-4F81-936E-567C4D8B9136}" name="OPP_FTA" dataDxfId="425"/>
    <tableColumn id="16" xr3:uid="{E047AE52-D14C-4FFF-BB66-6595F1F2604A}" name="OPP_FT_PCT" dataDxfId="424"/>
    <tableColumn id="17" xr3:uid="{787C95C0-50FA-46C4-AACC-DC3E49D50CCC}" name="OPP_OREB" dataDxfId="423"/>
    <tableColumn id="18" xr3:uid="{F8FB24C6-D040-47F5-B2F5-4F72F6E09B61}" name="OPP_DREB" dataDxfId="422"/>
    <tableColumn id="19" xr3:uid="{A828F6AF-9869-43BA-9ABC-FD5EFFD874E2}" name="OPP_REB" dataDxfId="421"/>
    <tableColumn id="20" xr3:uid="{9F012DCB-0483-40B0-966E-55A0A27577E9}" name="OPP_AST" dataDxfId="420"/>
    <tableColumn id="21" xr3:uid="{EA2A0689-69E4-4101-8099-1C6E99D930C3}" name="OPP_TOV" dataDxfId="419"/>
    <tableColumn id="22" xr3:uid="{C2357544-8380-4C53-A011-FC0B59F32D27}" name="OPP_STL" dataDxfId="418"/>
    <tableColumn id="23" xr3:uid="{8F679671-5E44-475B-8F89-8FC657B8DD25}" name="OPP_BLK" dataDxfId="417"/>
    <tableColumn id="24" xr3:uid="{AE0A1B9A-31C0-4616-A307-8ACD058D294C}" name="OPP_BLKA" dataDxfId="416"/>
    <tableColumn id="25" xr3:uid="{16FAFE40-A9F7-476B-ABDA-CEC964EB553C}" name="OPP_PF" dataDxfId="415"/>
    <tableColumn id="26" xr3:uid="{99903A6B-7F2C-40F1-8EF2-2CCFE89853D7}" name="OPP_PFD" dataDxfId="414"/>
    <tableColumn id="27" xr3:uid="{B154F367-C092-427F-8A9D-BCED85FEDFE2}" name="OPP_PTS" dataDxfId="413"/>
    <tableColumn id="28" xr3:uid="{1D798C52-55CE-40EC-9E05-624E5FC3FFB3}" name="PLUS_MINUS" dataDxfId="412"/>
    <tableColumn id="29" xr3:uid="{F50B5F05-D64E-4635-8075-E924A9947ED9}" name="GP_RANK" dataDxfId="411"/>
    <tableColumn id="30" xr3:uid="{0F5E91F1-22B4-4E40-9A86-F030A67991E0}" name="W_RANK" dataDxfId="410"/>
    <tableColumn id="31" xr3:uid="{6A15F321-B7AE-4BA1-B071-F32E4A7738BF}" name="L_RANK" dataDxfId="409"/>
    <tableColumn id="32" xr3:uid="{DD10FC1F-2F4D-4BB5-8897-1B66D13B59F1}" name="W_PCT_RANK" dataDxfId="408"/>
    <tableColumn id="33" xr3:uid="{C492E932-B347-4BBD-AE49-0F3B3053648C}" name="MIN_RANK" dataDxfId="407"/>
    <tableColumn id="34" xr3:uid="{17405C53-E672-4ADD-A1BA-D5F7EFBF1995}" name="OPP_FGM_RANK" dataDxfId="406"/>
    <tableColumn id="35" xr3:uid="{7B22EAA4-5539-4F3B-B405-94E3D5BEA933}" name="OPP_FGA_RANK" dataDxfId="405"/>
    <tableColumn id="36" xr3:uid="{09AD669B-9981-4C53-BA01-35F24B39194A}" name="OPP_FG_PCT_RANK" dataDxfId="404"/>
    <tableColumn id="37" xr3:uid="{26B01507-D167-4F1A-9300-7625D2168CC5}" name="OPP_FG3M_RANK" dataDxfId="403"/>
    <tableColumn id="38" xr3:uid="{4FA3EE22-C97F-4A57-9E06-911CF1C40FFB}" name="OPP_FG3A_RANK" dataDxfId="402"/>
    <tableColumn id="39" xr3:uid="{4B4413C4-4B87-48E5-8B1A-672BC6D52AEC}" name="OPP_FG3_PCT_RANK" dataDxfId="401"/>
    <tableColumn id="40" xr3:uid="{90569FFA-1949-4C56-897D-4C885D2A179F}" name="OPP_FTM_RANK" dataDxfId="400"/>
    <tableColumn id="41" xr3:uid="{790E8916-9D19-4744-8922-94FD61A72F86}" name="OPP_FTA_RANK" dataDxfId="399"/>
    <tableColumn id="42" xr3:uid="{B23A4CD3-7F77-43A3-BA6D-7E93AA8D0FAA}" name="OPP_FT_PCT_RANK" dataDxfId="398"/>
    <tableColumn id="43" xr3:uid="{5BC8FC26-F485-4630-9A29-6F2C920A4111}" name="OPP_OREB_RANK" dataDxfId="397"/>
    <tableColumn id="44" xr3:uid="{5C2DBAD2-71BC-41B9-BD82-A2458E203ADC}" name="OPP_DREB_RANK" dataDxfId="396"/>
    <tableColumn id="45" xr3:uid="{E4040DC9-9846-45B8-AFC0-D8EC913689B5}" name="OPP_REB_RANK" dataDxfId="395"/>
    <tableColumn id="46" xr3:uid="{EB87A74A-7FC6-4691-AA62-00E07EAE3EF9}" name="OPP_AST_RANK" dataDxfId="394"/>
    <tableColumn id="47" xr3:uid="{31604E70-5921-40A4-AF21-00F990B9D3CA}" name="OPP_TOV_RANK" dataDxfId="393"/>
    <tableColumn id="48" xr3:uid="{53BE4679-146B-4189-BD54-65B346E3A44E}" name="OPP_STL_RANK" dataDxfId="392"/>
    <tableColumn id="49" xr3:uid="{46032473-E80C-46D8-BDAD-3E9143E1E1CF}" name="OPP_BLK_RANK" dataDxfId="391"/>
    <tableColumn id="50" xr3:uid="{34958E80-E879-4B13-939F-27614776ECE2}" name="OPP_BLKA_RANK" dataDxfId="390"/>
    <tableColumn id="51" xr3:uid="{6252EEBC-9D8D-4C6E-9993-494584A41055}" name="OPP_PF_RANK" dataDxfId="389"/>
    <tableColumn id="52" xr3:uid="{3E762FC0-70E9-4629-B09D-9B6B53F5C060}" name="OPP_PFD_RANK" dataDxfId="388"/>
    <tableColumn id="53" xr3:uid="{B051490F-162B-44DA-9A0F-1FA8D029E2FE}" name="OPP_PTS_RANK" dataDxfId="387"/>
    <tableColumn id="54" xr3:uid="{995F73D2-2C54-4CE2-8A00-A7F7F882C108}" name="PLUS_MINUS_RANK" dataDxfId="386"/>
    <tableColumn id="55" xr3:uid="{7AFF3BF7-014A-451A-9A65-62FC65443252}" name="CFID" dataDxfId="385"/>
    <tableColumn id="56" xr3:uid="{A2F89683-A1A1-4B5E-8016-DA65E65693D3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D04D658-B916-4393-82DA-9CACE1479DFE}" name="TableClutchBaseN" displayName="TableClutchBaseN" ref="A1:BD31" totalsRowShown="0" headerRowDxfId="269">
  <autoFilter ref="A1:BD31" xr:uid="{F82E71E3-C04F-4C9F-84E6-7452E41D52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F1A5EB9-CF6E-479E-9746-D4C61813FC43}" name="TEAM_ID" dataDxfId="325"/>
    <tableColumn id="2" xr3:uid="{F24F643F-29CB-4148-BD7F-DEBF41865065}" name="TEAM_NAME" dataDxfId="324"/>
    <tableColumn id="3" xr3:uid="{11E21F60-3C79-402E-8AC9-4DC2C22A6F73}" name="GP" dataDxfId="323"/>
    <tableColumn id="4" xr3:uid="{AC0D3519-DA91-4441-81DF-F130A2854E72}" name="W" dataDxfId="322"/>
    <tableColumn id="5" xr3:uid="{E8118445-FC9B-41AE-9DC7-E96ABA054D5D}" name="L" dataDxfId="321"/>
    <tableColumn id="6" xr3:uid="{4B1AA916-0BC7-4181-AC0D-C6CA3D0A224F}" name="W_PCT" dataDxfId="320"/>
    <tableColumn id="7" xr3:uid="{E74DC054-8BEE-48E6-BF94-C8B64801191F}" name="MIN" dataDxfId="319"/>
    <tableColumn id="8" xr3:uid="{3CAD03F9-8728-4F85-B114-EDD3B95C4754}" name="FGM" dataDxfId="318"/>
    <tableColumn id="9" xr3:uid="{0837C97E-C10C-45B1-8AB2-8AB5BCC4F2EF}" name="FGA" dataDxfId="317"/>
    <tableColumn id="10" xr3:uid="{154C3EE4-8CB9-4002-B6CA-28007F887794}" name="FG_PCT" dataDxfId="316"/>
    <tableColumn id="11" xr3:uid="{8CDC98C6-78F9-436C-963F-E349956209AE}" name="FG3M" dataDxfId="315"/>
    <tableColumn id="12" xr3:uid="{7A62272C-6A97-4C25-9E6F-E9EA5D1565F3}" name="FG3A" dataDxfId="314"/>
    <tableColumn id="13" xr3:uid="{DD767427-51A9-43C5-8502-7FFD041A0112}" name="FG3_PCT" dataDxfId="313"/>
    <tableColumn id="14" xr3:uid="{746E2503-F4CD-4C2B-A68D-B4BC283116DA}" name="FTM" dataDxfId="312"/>
    <tableColumn id="15" xr3:uid="{33B34325-9F6F-4EF8-AA4D-B14C50D4B2CD}" name="FTA" dataDxfId="311"/>
    <tableColumn id="16" xr3:uid="{AF860BCE-CCDA-4052-8A89-ADEBC0A4BAA9}" name="FT_PCT" dataDxfId="310"/>
    <tableColumn id="17" xr3:uid="{83F94221-5FC9-4EED-BB40-73C79AAC9F4C}" name="OREB" dataDxfId="309"/>
    <tableColumn id="18" xr3:uid="{1198006A-8E1D-43B2-B84E-225843D51720}" name="DREB" dataDxfId="308"/>
    <tableColumn id="19" xr3:uid="{061DC9D7-BBD4-452A-ACE1-E2F6FFC1E178}" name="REB" dataDxfId="307"/>
    <tableColumn id="20" xr3:uid="{52281333-08ED-4666-908B-B28B267F91D5}" name="AST" dataDxfId="306"/>
    <tableColumn id="21" xr3:uid="{DC881ED4-EA2E-4503-9E01-A354D3B41B98}" name="TOV" dataDxfId="305"/>
    <tableColumn id="22" xr3:uid="{528CF45B-82D3-4E42-807E-F09B73D84D34}" name="STL" dataDxfId="304"/>
    <tableColumn id="23" xr3:uid="{100AB483-E1C4-4720-AB60-7E5591CA8023}" name="BLK" dataDxfId="303"/>
    <tableColumn id="24" xr3:uid="{856CF8E0-A61B-415C-8784-4ACA68F747E7}" name="BLKA" dataDxfId="302"/>
    <tableColumn id="25" xr3:uid="{5B4F2258-B371-4816-A9DF-FA310DA89D8F}" name="PF" dataDxfId="301"/>
    <tableColumn id="26" xr3:uid="{CE2A5D89-B779-4F8D-B2BB-E8E9584660DB}" name="PFD" dataDxfId="300"/>
    <tableColumn id="27" xr3:uid="{605E2A6F-2023-43F6-86FD-444DBE954266}" name="PTS" dataDxfId="299"/>
    <tableColumn id="28" xr3:uid="{8EAB5DDB-F0A0-4EB7-87F4-84BC5F348DCD}" name="PLUS_MINUS" dataDxfId="298"/>
    <tableColumn id="29" xr3:uid="{D1A16C11-03E6-4243-8DE6-5647F2E32882}" name="GP_RANK" dataDxfId="297"/>
    <tableColumn id="30" xr3:uid="{FB127688-2AFE-44FB-A7E9-02954BF8CC4F}" name="W_RANK" dataDxfId="296"/>
    <tableColumn id="31" xr3:uid="{91B832DC-35D8-4FBF-B41E-D6F27BCFED42}" name="L_RANK" dataDxfId="295"/>
    <tableColumn id="32" xr3:uid="{ACE20B9B-21A4-4AE0-B038-39694E4511FA}" name="W_PCT_RANK" dataDxfId="294"/>
    <tableColumn id="33" xr3:uid="{6ECF36FD-B4DC-4632-9FBE-B6E35D0251D9}" name="MIN_RANK" dataDxfId="293"/>
    <tableColumn id="34" xr3:uid="{80A987C4-8A35-4872-BD19-2330AD2BD4BE}" name="FGM_RANK" dataDxfId="292"/>
    <tableColumn id="35" xr3:uid="{7A499D72-4DBF-498E-968E-7F14B411B36B}" name="FGA_RANK" dataDxfId="291"/>
    <tableColumn id="36" xr3:uid="{6E18FECF-4DA5-4544-911D-A7D03C09D698}" name="FG_PCT_RANK" dataDxfId="290"/>
    <tableColumn id="37" xr3:uid="{AB5A2C78-4994-472F-BE9C-00FA3BF2A0B5}" name="FG3M_RANK" dataDxfId="289"/>
    <tableColumn id="38" xr3:uid="{5A80B384-180D-4E98-AA25-DD3F56C27C3B}" name="FG3A_RANK" dataDxfId="288"/>
    <tableColumn id="39" xr3:uid="{12C81FAF-5F4D-4023-B6B7-51A98FAB722C}" name="FG3_PCT_RANK" dataDxfId="287"/>
    <tableColumn id="40" xr3:uid="{46F4AF7B-33DE-43C4-A44D-9E3F85D38CE3}" name="FTM_RANK" dataDxfId="286"/>
    <tableColumn id="41" xr3:uid="{A8FEDC5F-5ADB-4004-91B0-DA8FEC1EE096}" name="FTA_RANK" dataDxfId="285"/>
    <tableColumn id="42" xr3:uid="{E2DBE2B7-6617-4555-A7FB-12EEA50BD69D}" name="FT_PCT_RANK" dataDxfId="284"/>
    <tableColumn id="43" xr3:uid="{3742C094-50A7-4E15-B357-D184D084A4AD}" name="OREB_RANK" dataDxfId="283"/>
    <tableColumn id="44" xr3:uid="{37E73B8F-6504-4986-A3C1-56B4D33AF2DA}" name="DREB_RANK" dataDxfId="282"/>
    <tableColumn id="45" xr3:uid="{31F9E765-ED08-4E2D-B366-269FA5BAFD1B}" name="REB_RANK" dataDxfId="281"/>
    <tableColumn id="46" xr3:uid="{1DC9B947-4C9B-45A1-B2DC-EF7B66212904}" name="AST_RANK" dataDxfId="280"/>
    <tableColumn id="47" xr3:uid="{AC53951B-AE05-44B7-82F1-E6E571C34D49}" name="TOV_RANK" dataDxfId="279"/>
    <tableColumn id="48" xr3:uid="{4168FB1D-08A4-4EAA-A448-D2917F334ABD}" name="STL_RANK" dataDxfId="278"/>
    <tableColumn id="49" xr3:uid="{6BFF245B-1C43-4ACA-8D2E-3AD409DFBD94}" name="BLK_RANK" dataDxfId="277"/>
    <tableColumn id="50" xr3:uid="{83CBE0DA-B2C4-4EF5-BEC2-344EF34933DA}" name="BLKA_RANK" dataDxfId="276"/>
    <tableColumn id="51" xr3:uid="{EF17BF7A-644F-44B8-B457-DD735FB5389B}" name="PF_RANK" dataDxfId="275"/>
    <tableColumn id="52" xr3:uid="{B6B78176-807A-4B7A-8747-C12C90CB4042}" name="PFD_RANK" dataDxfId="274"/>
    <tableColumn id="53" xr3:uid="{D31C2E14-F649-4427-BF0B-798FA934C5F7}" name="PTS_RANK" dataDxfId="273"/>
    <tableColumn id="54" xr3:uid="{2139A034-7173-4136-8BDA-B931FD6651A7}" name="PLUS_MINUS_RANK" dataDxfId="272"/>
    <tableColumn id="55" xr3:uid="{15C5D95D-CE86-4211-AF71-DF49B9AF2EA8}" name="CFID" dataDxfId="271"/>
    <tableColumn id="56" xr3:uid="{8F9E8A85-3693-4607-AD0E-098BD5317F65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A313B03-B2A6-4DDB-BF4C-2FFDAF412CB9}" name="TableClutchOpponentN" displayName="TableClutchOpponentN" ref="A1:BD31" totalsRowShown="0" headerRowDxfId="155">
  <autoFilter ref="A1:BD31" xr:uid="{89DE54DB-01AC-4EBB-802C-0F317FD8792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02D56C3-A2FB-4771-959B-71C7367528D8}" name="TEAM_ID" dataDxfId="211"/>
    <tableColumn id="2" xr3:uid="{9530E8E9-0147-408A-96B0-E781CD7EE469}" name="TEAM_NAME" dataDxfId="210"/>
    <tableColumn id="3" xr3:uid="{78AB5212-3D39-4EF1-8827-E3D59720E378}" name="GP" dataDxfId="209"/>
    <tableColumn id="4" xr3:uid="{327FD873-DB62-493C-9594-2D3B4125CBC9}" name="W" dataDxfId="208"/>
    <tableColumn id="5" xr3:uid="{ACEAB61D-66A3-4164-8077-B903FE23B0A6}" name="L" dataDxfId="207"/>
    <tableColumn id="6" xr3:uid="{F6FFBD36-A0AC-41BC-87F5-CE73F73625F9}" name="W_PCT" dataDxfId="206"/>
    <tableColumn id="7" xr3:uid="{D93EB68F-9C67-4C47-9D7B-1C83C281AE5F}" name="MIN" dataDxfId="205"/>
    <tableColumn id="8" xr3:uid="{D1B7B1F6-B68E-4C2E-B79F-AFE7E76B6095}" name="OPP_FGM" dataDxfId="204"/>
    <tableColumn id="9" xr3:uid="{AB063568-3884-4D62-A07F-371B4CD9EF44}" name="OPP_FGA" dataDxfId="203"/>
    <tableColumn id="10" xr3:uid="{8859F40E-0BC4-4657-B320-2257A61C9ABA}" name="OPP_FG_PCT" dataDxfId="202"/>
    <tableColumn id="11" xr3:uid="{EBCACF23-0F54-47E8-AC5A-998D15315D37}" name="OPP_FG3M" dataDxfId="201"/>
    <tableColumn id="12" xr3:uid="{28E021CF-0D29-40D5-A61E-86C19EDB8D56}" name="OPP_FG3A" dataDxfId="200"/>
    <tableColumn id="13" xr3:uid="{70E7E346-A0B8-4876-87DC-70126DC98A36}" name="OPP_FG3_PCT" dataDxfId="199"/>
    <tableColumn id="14" xr3:uid="{50D2F268-3F19-4052-9D1A-E9F709E9AF3F}" name="OPP_FTM" dataDxfId="198"/>
    <tableColumn id="15" xr3:uid="{702BB10C-F353-4A26-953B-FC23F9BFFEE9}" name="OPP_FTA" dataDxfId="197"/>
    <tableColumn id="16" xr3:uid="{A1211125-1823-45A9-BE42-0872B18D8AC4}" name="OPP_FT_PCT" dataDxfId="196"/>
    <tableColumn id="17" xr3:uid="{5FD086E9-B8A3-4693-89B9-C77B683F6C10}" name="OPP_OREB" dataDxfId="195"/>
    <tableColumn id="18" xr3:uid="{0AB79AFE-CEEB-441A-AE1A-D24618FD5865}" name="OPP_DREB" dataDxfId="194"/>
    <tableColumn id="19" xr3:uid="{8F5E4C1E-4223-4425-AC31-4FFCD5E051C1}" name="OPP_REB" dataDxfId="193"/>
    <tableColumn id="20" xr3:uid="{BB1F0E88-3417-43B8-9661-E2784655037D}" name="OPP_AST" dataDxfId="192"/>
    <tableColumn id="21" xr3:uid="{E05DD430-5127-41A1-9488-34D68B8F25DB}" name="OPP_TOV" dataDxfId="191"/>
    <tableColumn id="22" xr3:uid="{DA852C2A-6075-4444-9698-76F714BB442B}" name="OPP_STL" dataDxfId="190"/>
    <tableColumn id="23" xr3:uid="{A758F0A9-F5BF-4C5C-BDC8-426EC0865C75}" name="OPP_BLK" dataDxfId="189"/>
    <tableColumn id="24" xr3:uid="{739740F3-910E-4EAA-AEE9-3947CEE88148}" name="OPP_BLKA" dataDxfId="188"/>
    <tableColumn id="25" xr3:uid="{92EBF0B7-979C-4AFB-B744-A792C366AE99}" name="OPP_PF" dataDxfId="187"/>
    <tableColumn id="26" xr3:uid="{CE18E30F-C28E-4091-A483-BBE8E116F91C}" name="OPP_PFD" dataDxfId="186"/>
    <tableColumn id="27" xr3:uid="{973AEDE4-0C25-449F-B68C-FB67E457A9FA}" name="OPP_PTS" dataDxfId="185"/>
    <tableColumn id="28" xr3:uid="{3A5151AF-94B9-4DA0-8317-858B4141DCFB}" name="PLUS_MINUS" dataDxfId="184"/>
    <tableColumn id="29" xr3:uid="{F963DCEF-8A1F-43E7-8596-ABD47FA1E8B5}" name="GP_RANK" dataDxfId="183"/>
    <tableColumn id="30" xr3:uid="{29EC899A-2A37-4774-926E-5E4100E8E676}" name="W_RANK" dataDxfId="182"/>
    <tableColumn id="31" xr3:uid="{92EACDB3-C497-4250-92A7-00BF75D380B3}" name="L_RANK" dataDxfId="181"/>
    <tableColumn id="32" xr3:uid="{7FCE576D-911D-4077-B779-7882A71BC31E}" name="W_PCT_RANK" dataDxfId="180"/>
    <tableColumn id="33" xr3:uid="{5537992A-33A1-4F13-A0F3-8998D0A7F34F}" name="MIN_RANK" dataDxfId="179"/>
    <tableColumn id="34" xr3:uid="{4A60A5E8-B798-4750-8E7F-D1FBD3C00EE7}" name="OPP_FGM_RANK" dataDxfId="178"/>
    <tableColumn id="35" xr3:uid="{F5B2BF86-AF95-4DC4-BF5A-0462E6880EBA}" name="OPP_FGA_RANK" dataDxfId="177"/>
    <tableColumn id="36" xr3:uid="{7833054D-7CFD-4359-BAC5-99C456ACBB0E}" name="OPP_FG_PCT_RANK" dataDxfId="176"/>
    <tableColumn id="37" xr3:uid="{1C3E9F40-F955-484C-AFCD-AE8A76EF4976}" name="OPP_FG3M_RANK" dataDxfId="175"/>
    <tableColumn id="38" xr3:uid="{7D222C7B-237D-4555-A91A-97A9C80F06F1}" name="OPP_FG3A_RANK" dataDxfId="174"/>
    <tableColumn id="39" xr3:uid="{79D16222-25C4-4810-85AF-0489D05B8F11}" name="OPP_FG3_PCT_RANK" dataDxfId="173"/>
    <tableColumn id="40" xr3:uid="{8BAC6B9D-8C96-4D53-9C32-F4362B79674F}" name="OPP_FTM_RANK" dataDxfId="172"/>
    <tableColumn id="41" xr3:uid="{A279B248-2F5A-4373-BC2B-F1EBB55EC664}" name="OPP_FTA_RANK" dataDxfId="171"/>
    <tableColumn id="42" xr3:uid="{840F5433-9C20-4579-A5EE-CBDE7F75CAC2}" name="OPP_FT_PCT_RANK" dataDxfId="170"/>
    <tableColumn id="43" xr3:uid="{0446936C-0A27-41AF-815C-509E45BE7F24}" name="OPP_OREB_RANK" dataDxfId="169"/>
    <tableColumn id="44" xr3:uid="{E3271BBC-D69C-4ABA-B3D0-C9F679D8117D}" name="OPP_DREB_RANK" dataDxfId="168"/>
    <tableColumn id="45" xr3:uid="{067C3EC9-9B38-4C4A-BC14-12B818A6D726}" name="OPP_REB_RANK" dataDxfId="167"/>
    <tableColumn id="46" xr3:uid="{9AFC96C3-DE1D-4530-93A1-E89F5D04FF00}" name="OPP_AST_RANK" dataDxfId="166"/>
    <tableColumn id="47" xr3:uid="{969EBBCE-BFD7-4C5F-A11B-52F5757FE276}" name="OPP_TOV_RANK" dataDxfId="165"/>
    <tableColumn id="48" xr3:uid="{3A91BF9A-525E-4D3E-82FB-D6C3DDD4D8A6}" name="OPP_STL_RANK" dataDxfId="164"/>
    <tableColumn id="49" xr3:uid="{C2307311-1925-4204-8C30-791E1B1184DA}" name="OPP_BLK_RANK" dataDxfId="163"/>
    <tableColumn id="50" xr3:uid="{EA122CB3-809B-4259-93C0-1B159D1A3FCA}" name="OPP_BLKA_RANK" dataDxfId="162"/>
    <tableColumn id="51" xr3:uid="{AD2C1AA5-3E89-4637-85A9-6D2B60695B4E}" name="OPP_PF_RANK" dataDxfId="161"/>
    <tableColumn id="52" xr3:uid="{FD5AE225-CED8-4F85-BAD6-9AEF224EF969}" name="OPP_PFD_RANK" dataDxfId="160"/>
    <tableColumn id="53" xr3:uid="{D188FDED-773A-44DD-9049-43FA5628035D}" name="OPP_PTS_RANK" dataDxfId="159"/>
    <tableColumn id="54" xr3:uid="{1231A6F2-0D78-438A-A961-3463B1402EC4}" name="PLUS_MINUS_RANK" dataDxfId="158"/>
    <tableColumn id="55" xr3:uid="{3AA6B959-75B1-4BAD-B445-EB0C8175CC12}" name="CFID" dataDxfId="157"/>
    <tableColumn id="56" xr3:uid="{172968B2-439A-485C-933E-C4908E3C5C8C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71F3956-889D-4B49-AA14-813240D8DD0C}" name="TableClutchAdvancedN" displayName="TableClutchAdvancedN" ref="A1:AV31" totalsRowShown="0" headerRowDxfId="49">
  <autoFilter ref="A1:AV31" xr:uid="{7B31FF72-7FBF-4421-A6D9-DAE7BE65345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3321ABE-5A63-465A-9EF3-62B104ABF8E6}" name="TEAM_ID" dataDxfId="97"/>
    <tableColumn id="2" xr3:uid="{70CA1DA9-4A5C-401B-ADA8-63C12FD8018F}" name="TEAM_NAME" dataDxfId="96"/>
    <tableColumn id="3" xr3:uid="{A9E99DA0-2F31-4145-9647-3581A735A120}" name="GP" dataDxfId="95"/>
    <tableColumn id="4" xr3:uid="{49941C70-FE21-4646-AC1F-1E79D81DAAFF}" name="W" dataDxfId="94"/>
    <tableColumn id="5" xr3:uid="{08DBBC72-9DDF-4048-8C44-3FF33105EF4E}" name="L" dataDxfId="93"/>
    <tableColumn id="6" xr3:uid="{FAB20CF5-39B8-407C-99B2-ADF6FC38B9C7}" name="W_PCT" dataDxfId="92"/>
    <tableColumn id="7" xr3:uid="{ADAC16A5-ED29-4DCF-BC76-99189346A133}" name="MIN" dataDxfId="91"/>
    <tableColumn id="8" xr3:uid="{7A9FDB86-DAC5-44FA-9F8E-4FD2A9F0DF85}" name="E_OFF_RATING" dataDxfId="90"/>
    <tableColumn id="9" xr3:uid="{9596233A-6B73-4510-A69A-0428D502B381}" name="OFF_RATING" dataDxfId="89"/>
    <tableColumn id="10" xr3:uid="{A8E64704-0411-4DC1-A15B-0A610E18ABD3}" name="E_DEF_RATING" dataDxfId="88"/>
    <tableColumn id="11" xr3:uid="{5D45CB55-1C30-4068-A9A9-AF31AF1FB727}" name="DEF_RATING" dataDxfId="87"/>
    <tableColumn id="12" xr3:uid="{F642996A-3959-421A-A811-5B960D6C2DCA}" name="E_NET_RATING" dataDxfId="86"/>
    <tableColumn id="13" xr3:uid="{8AF49F21-9803-4C6B-93DD-2C4AF2DCA1A2}" name="NET_RATING" dataDxfId="85"/>
    <tableColumn id="14" xr3:uid="{A049FF45-E4BB-427B-A77F-9E3202ED77E7}" name="AST_PCT" dataDxfId="84"/>
    <tableColumn id="15" xr3:uid="{DEB7F930-22FC-445D-93C8-07A4316C5429}" name="AST_TO" dataDxfId="83"/>
    <tableColumn id="16" xr3:uid="{8B98B381-A719-4807-9802-0783F0DD2FA2}" name="AST_RATIO" dataDxfId="82"/>
    <tableColumn id="17" xr3:uid="{A25C5F04-08B6-4414-8824-F0A39E91B70D}" name="OREB_PCT" dataDxfId="81"/>
    <tableColumn id="18" xr3:uid="{6D4C5A58-6594-422E-AEB1-E63F1CAD23F9}" name="DREB_PCT" dataDxfId="80"/>
    <tableColumn id="19" xr3:uid="{2367D3D0-3E16-4823-A9A8-CD14856B786E}" name="REB_PCT" dataDxfId="79"/>
    <tableColumn id="20" xr3:uid="{58775E0E-3317-4F00-B5FA-866766F8A97E}" name="TM_TOV_PCT" dataDxfId="78"/>
    <tableColumn id="21" xr3:uid="{508E1F97-82D9-4EFF-9A53-615622B9484A}" name="EFG_PCT" dataDxfId="77"/>
    <tableColumn id="22" xr3:uid="{531466D1-8B18-476C-9D69-8B3854236226}" name="TS_PCT" dataDxfId="76"/>
    <tableColumn id="23" xr3:uid="{53E97B01-1112-4AD2-A21E-AB7879F496A8}" name="E_PACE" dataDxfId="75"/>
    <tableColumn id="24" xr3:uid="{71D96EC0-E91E-4A89-BA0C-23170071A464}" name="PACE" dataDxfId="74"/>
    <tableColumn id="25" xr3:uid="{5BE0537D-6C1A-4889-B523-0FF9455655A9}" name="PACE_PER40" dataDxfId="73"/>
    <tableColumn id="26" xr3:uid="{DB1B5EAF-8ECD-4CB2-B32D-9DAF97A198F0}" name="POSS" dataDxfId="72"/>
    <tableColumn id="27" xr3:uid="{D0DDA222-3A6E-4F14-A23E-327E27BD9A8C}" name="PIE" dataDxfId="71"/>
    <tableColumn id="28" xr3:uid="{45D9A026-A58E-4965-A9BD-C14841604482}" name="GP_RANK" dataDxfId="70"/>
    <tableColumn id="29" xr3:uid="{FABA0450-125A-4D6F-BC8D-F8D125AE13F0}" name="W_RANK" dataDxfId="69"/>
    <tableColumn id="30" xr3:uid="{6BFE4CDE-1672-47A0-9818-4EB8FD95F3FB}" name="L_RANK" dataDxfId="68"/>
    <tableColumn id="31" xr3:uid="{5F6337CA-1EF6-4506-84D0-6CC7D42B5D54}" name="W_PCT_RANK" dataDxfId="67"/>
    <tableColumn id="32" xr3:uid="{CC25EBD1-C578-4490-9ADA-B92A94CF22CF}" name="MIN_RANK" dataDxfId="66"/>
    <tableColumn id="33" xr3:uid="{51F9EB30-6B24-4B58-93E6-3EE5BFEF5969}" name="OFF_RATING_RANK" dataDxfId="65"/>
    <tableColumn id="34" xr3:uid="{774F2F35-87F5-4605-A72B-4A78A0063A38}" name="DEF_RATING_RANK" dataDxfId="64"/>
    <tableColumn id="35" xr3:uid="{5395EECB-1080-427D-B8A9-C5ED1C22948F}" name="NET_RATING_RANK" dataDxfId="63"/>
    <tableColumn id="36" xr3:uid="{C7B596D8-2CEF-4AE2-B2CF-5FAECEFF5965}" name="AST_PCT_RANK" dataDxfId="62"/>
    <tableColumn id="37" xr3:uid="{F49D6934-5BDB-459D-A83E-4BF9FBE3E100}" name="AST_TO_RANK" dataDxfId="61"/>
    <tableColumn id="38" xr3:uid="{D34C6E2C-8666-4ACC-90A4-8281C5BB5604}" name="AST_RATIO_RANK" dataDxfId="60"/>
    <tableColumn id="39" xr3:uid="{F66B10CA-E147-40FF-BCA5-DAACB976B736}" name="OREB_PCT_RANK" dataDxfId="59"/>
    <tableColumn id="40" xr3:uid="{E2AD513F-C2DD-4CEE-8AE7-0416140EBA41}" name="DREB_PCT_RANK" dataDxfId="58"/>
    <tableColumn id="41" xr3:uid="{5F32FD55-19BE-4158-9A64-7D15C25B2AB5}" name="REB_PCT_RANK" dataDxfId="57"/>
    <tableColumn id="42" xr3:uid="{8C906098-0E6A-44B9-B8A5-AC9E20F666A4}" name="TM_TOV_PCT_RANK" dataDxfId="56"/>
    <tableColumn id="43" xr3:uid="{4DCE7C7C-7A2C-479B-81B1-13439F4AE8D8}" name="EFG_PCT_RANK" dataDxfId="55"/>
    <tableColumn id="44" xr3:uid="{86E850B4-637B-4EAD-B856-67ABB81A0643}" name="TS_PCT_RANK" dataDxfId="54"/>
    <tableColumn id="45" xr3:uid="{5FFFE089-8C3A-4680-B278-E58D90F8CEA7}" name="PACE_RANK" dataDxfId="53"/>
    <tableColumn id="46" xr3:uid="{01D2B09B-AF71-4FDC-8F21-38431515117F}" name="PIE_RANK" dataDxfId="52"/>
    <tableColumn id="47" xr3:uid="{810A4C10-316D-4871-94A7-6C07C91CEE17}" name="CFID" dataDxfId="51"/>
    <tableColumn id="48" xr3:uid="{1E099E3A-F1CF-48E9-9C3C-B941DA970465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CDC19B-433B-4C2E-9A38-C870A07A71A3}" name="TableStandingsN1" displayName="TableStandingsN1" ref="A1:CC31" totalsRowShown="0" headerRowDxfId="910">
  <autoFilter ref="A1:CC31" xr:uid="{6E25E891-B01B-4B32-9B5A-778A6D3940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6DA36F03-72FD-43AC-8A3F-50627CE0393F}" name="LeagueID" dataDxfId="991"/>
    <tableColumn id="2" xr3:uid="{5237D518-F79A-4D05-9036-8F19A7CF6ABB}" name="SeasonID" dataDxfId="990"/>
    <tableColumn id="3" xr3:uid="{CE66115D-72AE-4424-9548-F82746B290A4}" name="TeamID" dataDxfId="989"/>
    <tableColumn id="4" xr3:uid="{C5E87AB5-9B05-4333-90A6-25F7374F7692}" name="TeamCity" dataDxfId="988"/>
    <tableColumn id="5" xr3:uid="{B8BAAAD4-9A7E-4521-B5FB-29278A6A7A3C}" name="TeamName" dataDxfId="987"/>
    <tableColumn id="6" xr3:uid="{48F676AB-E438-4F91-95A8-099526B686E9}" name="Conference" dataDxfId="986"/>
    <tableColumn id="7" xr3:uid="{206F64DB-76C0-43F7-AAC9-5669289A08FF}" name="ConferenceRecord" dataDxfId="985"/>
    <tableColumn id="8" xr3:uid="{4744AEE3-EBF7-44A1-99A5-C78C5C275716}" name="PlayoffRank" dataDxfId="984"/>
    <tableColumn id="9" xr3:uid="{6371406F-7D00-4449-883A-D0ABE3A8A5B5}" name="ClinchIndicator" dataDxfId="983"/>
    <tableColumn id="10" xr3:uid="{F019B918-9241-4CB3-950F-4D6B1665DE72}" name="Division" dataDxfId="982"/>
    <tableColumn id="11" xr3:uid="{C29007D4-728A-4433-99D5-14C691C85FD2}" name="DivisionRecord" dataDxfId="981"/>
    <tableColumn id="12" xr3:uid="{B86120A5-A695-465D-A978-1AB142F6D86B}" name="DivisionRank" dataDxfId="980"/>
    <tableColumn id="13" xr3:uid="{DD52695D-7317-4E31-92D2-971889DB91CF}" name="WINS" dataDxfId="979"/>
    <tableColumn id="14" xr3:uid="{E0302E35-8A76-4D1B-8561-83990129DE80}" name="LOSSES" dataDxfId="978"/>
    <tableColumn id="15" xr3:uid="{52F42169-E03D-47C2-B79C-8A4F75F78D9F}" name="WinPCT" dataDxfId="977"/>
    <tableColumn id="16" xr3:uid="{645E1A36-65DA-40E1-ABCA-2EC7D0C77905}" name="LeagueRank" dataDxfId="976"/>
    <tableColumn id="17" xr3:uid="{292F9597-E570-4515-B4DE-225777F90A3E}" name="Record" dataDxfId="975"/>
    <tableColumn id="18" xr3:uid="{BF588481-8AD4-4307-8902-250C99842881}" name="HOME" dataDxfId="974"/>
    <tableColumn id="19" xr3:uid="{B3945985-E6F3-403D-9CA6-0FB38D6C5027}" name="ROAD" dataDxfId="973"/>
    <tableColumn id="20" xr3:uid="{D9AC70D1-1C41-47A1-A73A-6A7A52E68703}" name="L10" dataDxfId="972"/>
    <tableColumn id="21" xr3:uid="{AC311C3E-2488-46A6-BACA-B4674BF9EFC0}" name="Last10Home" dataDxfId="971"/>
    <tableColumn id="22" xr3:uid="{3D42FEE6-6007-4BAA-9737-4AE920DDE992}" name="Last10Road" dataDxfId="970"/>
    <tableColumn id="23" xr3:uid="{457ADA71-E867-4B74-8B6C-B59D19A722CD}" name="OT" dataDxfId="969"/>
    <tableColumn id="24" xr3:uid="{EA35FFDE-CA43-42BC-895B-47F0E4A76E43}" name="ThreePTSOrLess" dataDxfId="968"/>
    <tableColumn id="25" xr3:uid="{691CACDD-EDDB-4009-A93D-40EFD285D012}" name="TenPTSOrMore" dataDxfId="967"/>
    <tableColumn id="26" xr3:uid="{6A9397F6-F62C-4611-9AEB-606BE3CC6FDE}" name="LongHomeStreak" dataDxfId="966"/>
    <tableColumn id="27" xr3:uid="{D4F504A1-A9F4-4698-91AC-45542FA7BFE3}" name="strLongHomeStreak" dataDxfId="965"/>
    <tableColumn id="28" xr3:uid="{14F425E9-99C5-4CCB-9CFB-5AA8BA130509}" name="LongRoadStreak" dataDxfId="964"/>
    <tableColumn id="29" xr3:uid="{D85F168D-9D0F-4353-88A1-52967F43301D}" name="strLongRoadStreak" dataDxfId="963"/>
    <tableColumn id="30" xr3:uid="{77D89031-D0C8-47DE-B97A-F56E93653C2B}" name="LongWinStreak" dataDxfId="962"/>
    <tableColumn id="31" xr3:uid="{B4D62136-13B2-4052-902C-18FDA4694CF8}" name="LongLossStreak" dataDxfId="961"/>
    <tableColumn id="32" xr3:uid="{FE29CBAF-540F-479A-8F39-09C94D8D43F8}" name="CurrentHomeStreak" dataDxfId="960"/>
    <tableColumn id="33" xr3:uid="{2C4A6206-A0EF-4C52-B7BD-0AE40174B80B}" name="strCurrentHomeStreak" dataDxfId="959"/>
    <tableColumn id="34" xr3:uid="{F9EDB002-AB40-4773-8482-FD74466FBCF9}" name="CurrentRoadStreak" dataDxfId="958"/>
    <tableColumn id="35" xr3:uid="{C640EA9C-5D12-4AF1-AD45-6BFBEA09DAE1}" name="strCurrentRoadStreak" dataDxfId="957"/>
    <tableColumn id="36" xr3:uid="{C5768CEC-9C4B-4E8A-A502-0A05575F497A}" name="CurrentStreak" dataDxfId="956"/>
    <tableColumn id="37" xr3:uid="{A66FA346-4112-4FD2-AC06-FD3BA60FA3F6}" name="strCurrentStreak" dataDxfId="955"/>
    <tableColumn id="38" xr3:uid="{939D7282-4A55-434F-9E41-4A01422256D6}" name="ConferenceGamesBack" dataDxfId="954"/>
    <tableColumn id="39" xr3:uid="{F4970BAD-9A73-4A78-B51A-E64C190D8374}" name="DivisionGamesBack" dataDxfId="953"/>
    <tableColumn id="40" xr3:uid="{359272E7-54B6-4405-BA18-31555BE402FB}" name="ClinchedConferenceTitle" dataDxfId="952"/>
    <tableColumn id="41" xr3:uid="{0C9D7CB0-C770-4F81-A691-D9925235A67C}" name="ClinchedDivisionTitle" dataDxfId="951"/>
    <tableColumn id="42" xr3:uid="{F06188D9-1017-4723-81F8-A26C11346692}" name="ClinchedPlayoffBirth" dataDxfId="950"/>
    <tableColumn id="43" xr3:uid="{68F44492-B611-404C-9BBB-3717DCE38A20}" name="EliminatedConference" dataDxfId="949"/>
    <tableColumn id="44" xr3:uid="{F7E00D94-9762-4507-BA75-D55855762C80}" name="EliminatedDivision" dataDxfId="948"/>
    <tableColumn id="45" xr3:uid="{D6E5DA57-4590-4BC5-92C8-435C0DCB0C71}" name="AheadAtHalf" dataDxfId="947"/>
    <tableColumn id="46" xr3:uid="{F4412E63-5187-47BF-94D3-485B1DEE6028}" name="BehindAtHalf" dataDxfId="946"/>
    <tableColumn id="47" xr3:uid="{C3F98A4F-0158-4F7D-9B9A-74712CB1C4DC}" name="TiedAtHalf" dataDxfId="945"/>
    <tableColumn id="48" xr3:uid="{573DCF1C-F463-4B4F-B265-0C8E72D5A082}" name="AheadAtThird" dataDxfId="944"/>
    <tableColumn id="49" xr3:uid="{BCF38F06-223C-427F-BA7B-227DE8A2EB78}" name="BehindAtThird" dataDxfId="943"/>
    <tableColumn id="50" xr3:uid="{FD3AE6CA-444F-4F52-899D-5F37FA3C416D}" name="TiedAtThird" dataDxfId="942"/>
    <tableColumn id="51" xr3:uid="{EAF15B2B-663D-473D-8C2D-A61BDED5804B}" name="Score100PTS" dataDxfId="941"/>
    <tableColumn id="52" xr3:uid="{33B88BA6-EE58-4C7A-882B-73E7B793AE75}" name="OppScore100PTS" dataDxfId="940"/>
    <tableColumn id="53" xr3:uid="{F53DE604-4910-4EF5-B4FD-59BEB776F3FB}" name="OppOver500" dataDxfId="939"/>
    <tableColumn id="54" xr3:uid="{BCD6ED43-EE82-4C6F-8864-385DCF251D6B}" name="LeadInFGPCT" dataDxfId="938"/>
    <tableColumn id="55" xr3:uid="{E97A46F8-D1D9-4B8A-9EAF-3DC6211597DF}" name="LeadInReb" dataDxfId="937"/>
    <tableColumn id="56" xr3:uid="{789027F8-67F1-43F9-BAFA-06EAC926267E}" name="FewerTurnovers" dataDxfId="936"/>
    <tableColumn id="57" xr3:uid="{C7BEDDE2-6642-4E34-9512-85FC24454D84}" name="PointsPG" dataDxfId="935"/>
    <tableColumn id="58" xr3:uid="{D76C1BD7-4706-4E79-BC76-406492763CB9}" name="OppPointsPG" dataDxfId="934"/>
    <tableColumn id="59" xr3:uid="{15A921C4-E1C7-4D74-B0B2-7CE06DCD00C1}" name="DiffPointsPG" dataDxfId="933"/>
    <tableColumn id="60" xr3:uid="{EF405375-EC90-497A-8DA7-C04D169CD7E8}" name="vsEast" dataDxfId="932"/>
    <tableColumn id="61" xr3:uid="{988B10F3-AF2D-4853-AA23-D51EC5837FAC}" name="vsAtlantic" dataDxfId="931"/>
    <tableColumn id="62" xr3:uid="{C24AA4C4-AA3E-4442-A82F-83BFAC37DD86}" name="vsCentral" dataDxfId="930"/>
    <tableColumn id="63" xr3:uid="{0378DB16-8682-4ABC-931F-6FCF35415A0A}" name="vsSoutheast" dataDxfId="929"/>
    <tableColumn id="64" xr3:uid="{55B3C5E8-FF6D-4AAC-B2F0-BACC33AC097A}" name="vsWest" dataDxfId="928"/>
    <tableColumn id="65" xr3:uid="{2C569C24-FF06-43AE-BE7C-16F90D33C542}" name="vsNorthwest" dataDxfId="927"/>
    <tableColumn id="66" xr3:uid="{3213CB01-92DC-4E05-8C95-F7DB28D3AC57}" name="vsPacific" dataDxfId="926"/>
    <tableColumn id="67" xr3:uid="{31DFA06C-7F3B-4B2A-86FF-7E6AE73D0DCF}" name="vsSouthwest" dataDxfId="925"/>
    <tableColumn id="68" xr3:uid="{B7D3BED8-5F59-4863-9923-6C2B67AEF70D}" name="Jan" dataDxfId="924"/>
    <tableColumn id="69" xr3:uid="{72602515-C648-4AF6-9146-18C8408E6548}" name="Feb" dataDxfId="923"/>
    <tableColumn id="70" xr3:uid="{FB85E0C4-540D-4890-817E-6E28916B0367}" name="Mar" dataDxfId="922"/>
    <tableColumn id="71" xr3:uid="{E9F7A8CD-B7F1-4A25-9726-C7CB4F057800}" name="Apr" dataDxfId="921"/>
    <tableColumn id="72" xr3:uid="{E6D36665-FF53-44B7-88A5-EE0285F0FEA4}" name="May" dataDxfId="920"/>
    <tableColumn id="73" xr3:uid="{D5073FD7-46E1-4075-989E-49BACA1E2177}" name="Jun" dataDxfId="919"/>
    <tableColumn id="74" xr3:uid="{B7E0C0BE-935C-4368-8088-01564475BAC2}" name="Jul" dataDxfId="918"/>
    <tableColumn id="75" xr3:uid="{871587D5-F565-4447-A4EB-1DFC61E73973}" name="Aug" dataDxfId="917"/>
    <tableColumn id="76" xr3:uid="{33E72C4C-4173-44E9-8D33-B619439FC4B6}" name="Sep" dataDxfId="916"/>
    <tableColumn id="77" xr3:uid="{83B4C170-899A-4023-9CCD-2D439722A994}" name="Oct" dataDxfId="915"/>
    <tableColumn id="78" xr3:uid="{58D50CB4-0BB4-4D80-B439-15FCAD75DC2E}" name="Nov" dataDxfId="914"/>
    <tableColumn id="79" xr3:uid="{28F6BF63-CE1F-46A4-87AF-C284546CB8A4}" name="Dec" dataDxfId="913"/>
    <tableColumn id="80" xr3:uid="{AE5830A6-F1BE-4510-AA82-68849588EA12}" name="PreAS" dataDxfId="912"/>
    <tableColumn id="81" xr3:uid="{B8AB1D07-0332-4668-98A6-73B5CE982C5F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6F5FE7-19D0-4A56-978D-8E06A3634F4D}" name="TableBaseN1" displayName="TableBaseN1" ref="A1:BD31" totalsRowShown="0" headerRowDxfId="796">
  <autoFilter ref="A1:BD31" xr:uid="{64F35B2D-11FB-46BD-85FD-FB10CBF83D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7548CFD-461B-4AD2-B55B-08565683DB09}" name="TEAM_ID" dataDxfId="852"/>
    <tableColumn id="2" xr3:uid="{D53D0B52-26E5-47EA-BAD6-6C2C86B57493}" name="TEAM_NAME" dataDxfId="851"/>
    <tableColumn id="3" xr3:uid="{E88F7DD7-5914-4307-AAE8-BBF7E917DE6E}" name="GP" dataDxfId="850"/>
    <tableColumn id="4" xr3:uid="{61AFB563-DD6E-4DD7-B278-765BEC5858F2}" name="W" dataDxfId="849"/>
    <tableColumn id="5" xr3:uid="{2238056C-5E25-4397-BC21-EC1D07D322B1}" name="L" dataDxfId="848"/>
    <tableColumn id="6" xr3:uid="{0791657B-00F3-4375-9D63-3B5421B46D5B}" name="W_PCT" dataDxfId="847"/>
    <tableColumn id="7" xr3:uid="{87814D97-2CE9-4A11-9C59-255E80AB0C65}" name="MIN" dataDxfId="846"/>
    <tableColumn id="8" xr3:uid="{8F27854F-C40C-4898-912A-DC996BC1521F}" name="FGM" dataDxfId="845"/>
    <tableColumn id="9" xr3:uid="{1EF8FAEE-C5A2-411A-8DA8-2FAD7FF48A58}" name="FGA" dataDxfId="844"/>
    <tableColumn id="10" xr3:uid="{C1F19814-8BC9-4D84-9E14-B9DD936B9F37}" name="FG_PCT" dataDxfId="843"/>
    <tableColumn id="11" xr3:uid="{F40EC242-7637-4A03-B75E-E2F18D5A73D6}" name="FG3M" dataDxfId="842"/>
    <tableColumn id="12" xr3:uid="{A8E611B3-9D90-432E-8E41-29FF6A5EAC09}" name="FG3A" dataDxfId="841"/>
    <tableColumn id="13" xr3:uid="{75EFDDCD-5D1C-4242-A4B4-DF6B2E68D4B8}" name="FG3_PCT" dataDxfId="840"/>
    <tableColumn id="14" xr3:uid="{71A497F8-D3CA-4DE2-8457-3745DD9CE99E}" name="FTM" dataDxfId="839"/>
    <tableColumn id="15" xr3:uid="{740B3D7A-22E7-4A84-AFBC-19F2740549F8}" name="FTA" dataDxfId="838"/>
    <tableColumn id="16" xr3:uid="{0BCE93C6-7E79-417D-B591-E4CC72EC2C01}" name="FT_PCT" dataDxfId="837"/>
    <tableColumn id="17" xr3:uid="{0D131468-3B92-4606-908B-F8F739F8C806}" name="OREB" dataDxfId="836"/>
    <tableColumn id="18" xr3:uid="{1785BC66-3AE7-4396-AB68-87E2FC539775}" name="DREB" dataDxfId="835"/>
    <tableColumn id="19" xr3:uid="{5DC62E9B-1B4A-4807-8B95-B3AED46DC4F8}" name="REB" dataDxfId="834"/>
    <tableColumn id="20" xr3:uid="{EF1EAB76-CFA2-440A-BED5-8FCCFEC179A2}" name="AST" dataDxfId="833"/>
    <tableColumn id="21" xr3:uid="{7DA9EA21-5D4E-4A46-8986-86EAC30A4BED}" name="TOV" dataDxfId="832"/>
    <tableColumn id="22" xr3:uid="{F796E528-FFCC-469A-B32D-1882A53947CE}" name="STL" dataDxfId="831"/>
    <tableColumn id="23" xr3:uid="{E8730E8C-3F27-4939-A0D9-55D47992736A}" name="BLK" dataDxfId="830"/>
    <tableColumn id="24" xr3:uid="{12005A21-EDD5-4BE6-A593-71DCF61BEE27}" name="BLKA" dataDxfId="829"/>
    <tableColumn id="25" xr3:uid="{FD8D22EE-E747-40D6-B169-6F7512323AF5}" name="PF" dataDxfId="828"/>
    <tableColumn id="26" xr3:uid="{A86B2D20-8C6D-466F-B91E-2D02803BAFCA}" name="PFD" dataDxfId="827"/>
    <tableColumn id="27" xr3:uid="{611C4244-A189-410E-A349-59913DA04D11}" name="PTS" dataDxfId="826"/>
    <tableColumn id="28" xr3:uid="{3E1703EC-6C2A-497D-B416-1B947665FD16}" name="PLUS_MINUS" dataDxfId="825"/>
    <tableColumn id="29" xr3:uid="{D3D63D6D-3348-481B-9965-AAF77BFB912B}" name="GP_RANK" dataDxfId="824"/>
    <tableColumn id="30" xr3:uid="{6734DAA9-6E8F-455E-BD49-626555C75417}" name="W_RANK" dataDxfId="823"/>
    <tableColumn id="31" xr3:uid="{FB2F5266-1AFF-44D8-BDC6-671438D33FE5}" name="L_RANK" dataDxfId="822"/>
    <tableColumn id="32" xr3:uid="{07E20917-761A-4532-B098-61AD5A8AAA73}" name="W_PCT_RANK" dataDxfId="821"/>
    <tableColumn id="33" xr3:uid="{EF7052CB-4F8D-490E-B89B-0193B5A32631}" name="MIN_RANK" dataDxfId="820"/>
    <tableColumn id="34" xr3:uid="{33D5F642-52C5-4C25-8C77-71EDC896FDE6}" name="FGM_RANK" dataDxfId="819"/>
    <tableColumn id="35" xr3:uid="{E6785F5E-F9FB-407A-91A2-77F33D9F458A}" name="FGA_RANK" dataDxfId="818"/>
    <tableColumn id="36" xr3:uid="{753272CF-FB33-4EAC-9EC6-AD7DB0259001}" name="FG_PCT_RANK" dataDxfId="817"/>
    <tableColumn id="37" xr3:uid="{60D40E5F-C56B-4B07-86F3-D3626DD39FA2}" name="FG3M_RANK" dataDxfId="816"/>
    <tableColumn id="38" xr3:uid="{EDC51F89-4E19-43AD-B105-18EBB57B903D}" name="FG3A_RANK" dataDxfId="815"/>
    <tableColumn id="39" xr3:uid="{5D1046E4-02D5-4E14-B5A1-0F6D15D3AA55}" name="FG3_PCT_RANK" dataDxfId="814"/>
    <tableColumn id="40" xr3:uid="{5D2E8B36-EE96-4BA6-BD27-EEA385FA3A19}" name="FTM_RANK" dataDxfId="813"/>
    <tableColumn id="41" xr3:uid="{523FDD47-2F8B-437C-995B-3638BF40F781}" name="FTA_RANK" dataDxfId="812"/>
    <tableColumn id="42" xr3:uid="{9531FA5A-A05A-4598-828E-3D3F28BB91D0}" name="FT_PCT_RANK" dataDxfId="811"/>
    <tableColumn id="43" xr3:uid="{CAB7E78E-98AB-4DF8-A806-D813BCCB8801}" name="OREB_RANK" dataDxfId="810"/>
    <tableColumn id="44" xr3:uid="{BF1EEAB2-9A8F-43FD-87A5-34147A0BF276}" name="DREB_RANK" dataDxfId="809"/>
    <tableColumn id="45" xr3:uid="{EA0DE903-3865-4501-BFDE-A2BD072FCE60}" name="REB_RANK" dataDxfId="808"/>
    <tableColumn id="46" xr3:uid="{17E1F395-46EC-4A05-B83A-28FBDAE6BC55}" name="AST_RANK" dataDxfId="807"/>
    <tableColumn id="47" xr3:uid="{AE8872BB-50AE-440B-8002-B571D2F49C17}" name="TOV_RANK" dataDxfId="806"/>
    <tableColumn id="48" xr3:uid="{013C2D54-D448-4C0E-8A0E-778ABD9488DA}" name="STL_RANK" dataDxfId="805"/>
    <tableColumn id="49" xr3:uid="{DAD66260-17BE-40CF-8314-82305094FF44}" name="BLK_RANK" dataDxfId="804"/>
    <tableColumn id="50" xr3:uid="{DC77CBD7-BF18-4183-83A3-F0EB3838D615}" name="BLKA_RANK" dataDxfId="803"/>
    <tableColumn id="51" xr3:uid="{EC53F075-9BAD-4A1A-82E9-9DB60489502D}" name="PF_RANK" dataDxfId="802"/>
    <tableColumn id="52" xr3:uid="{D9F8BB7F-9A45-485C-AC55-3E21CF943900}" name="PFD_RANK" dataDxfId="801"/>
    <tableColumn id="53" xr3:uid="{D07FA367-AA7D-4F34-A721-4095DD773A41}" name="PTS_RANK" dataDxfId="800"/>
    <tableColumn id="54" xr3:uid="{5780E3DA-953D-4FA3-83A4-C5FFD3E5ECA2}" name="PLUS_MINUS_RANK" dataDxfId="799"/>
    <tableColumn id="55" xr3:uid="{3971AA75-C003-4685-B8D3-85A39B869584}" name="CFID" dataDxfId="798"/>
    <tableColumn id="56" xr3:uid="{9E4878DB-00BD-4571-8AFB-E82297069396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A46BEB-DA65-4ADD-B8D8-0CA1601F9854}" name="TableAdvancedN1" displayName="TableAdvancedN1" ref="A1:AV31" totalsRowShown="0" headerRowDxfId="698">
  <autoFilter ref="A1:AV31" xr:uid="{EFC4A705-875D-4217-94D9-854ECABC3ED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9D3D384-FA00-42BB-BA04-E58CD387431E}" name="TEAM_ID" dataDxfId="746"/>
    <tableColumn id="2" xr3:uid="{DC70F0AA-0B8C-45B2-B1E2-0E7ADACD4376}" name="TEAM_NAME" dataDxfId="745"/>
    <tableColumn id="3" xr3:uid="{CB84F5B7-6C58-43BF-B5A1-F520BC098D2E}" name="GP" dataDxfId="744"/>
    <tableColumn id="4" xr3:uid="{42E32BCF-0E9D-478C-BF9A-A4E10527A951}" name="W" dataDxfId="743"/>
    <tableColumn id="5" xr3:uid="{A856D33E-A951-484B-9F25-21BAA7A1734F}" name="L" dataDxfId="742"/>
    <tableColumn id="6" xr3:uid="{0149A82B-4E18-49F6-A10C-A9F9CBFB51A4}" name="W_PCT" dataDxfId="741"/>
    <tableColumn id="7" xr3:uid="{AD3F0076-4585-4CB5-AE23-D631A569B7A7}" name="MIN" dataDxfId="740"/>
    <tableColumn id="8" xr3:uid="{B7C4A9CA-BE5E-42FB-9BD6-40AAA6E3DE99}" name="E_OFF_RATING" dataDxfId="739"/>
    <tableColumn id="9" xr3:uid="{955CF2AF-8826-4CCD-B8FB-5C1D2804C616}" name="OFF_RATING" dataDxfId="738"/>
    <tableColumn id="10" xr3:uid="{C248174A-D68F-4CA1-B985-546ADE499966}" name="E_DEF_RATING" dataDxfId="737"/>
    <tableColumn id="11" xr3:uid="{458D9282-3590-4562-8367-EC6D95CBCBCD}" name="DEF_RATING" dataDxfId="736"/>
    <tableColumn id="12" xr3:uid="{B71D30CE-4AAC-4A1D-B208-725981A5C568}" name="E_NET_RATING" dataDxfId="735"/>
    <tableColumn id="13" xr3:uid="{13719707-10FE-4B5D-9DAF-AE31B613CBAA}" name="NET_RATING" dataDxfId="734"/>
    <tableColumn id="14" xr3:uid="{9BD2B2AF-437D-4D7C-9AB1-1F58DB2AEBFA}" name="AST_PCT" dataDxfId="733"/>
    <tableColumn id="15" xr3:uid="{4F3D8959-091E-441C-90E0-6D2CFC3CF6D6}" name="AST_TO" dataDxfId="732"/>
    <tableColumn id="16" xr3:uid="{B6EB1D6E-40EA-4FF2-A39B-AC149D11F4AE}" name="AST_RATIO" dataDxfId="731"/>
    <tableColumn id="17" xr3:uid="{A758C7C9-1306-4C76-A8E2-B4D8A4CE75ED}" name="OREB_PCT" dataDxfId="730"/>
    <tableColumn id="18" xr3:uid="{13547B33-8058-4052-BBD1-B6CE7A26222E}" name="DREB_PCT" dataDxfId="729"/>
    <tableColumn id="19" xr3:uid="{0744A914-5A31-4F6E-B0A3-569E39E7EB2A}" name="REB_PCT" dataDxfId="728"/>
    <tableColumn id="20" xr3:uid="{5C51947C-18CF-44E0-95F4-8E7EE764C280}" name="TM_TOV_PCT" dataDxfId="727"/>
    <tableColumn id="21" xr3:uid="{2CB9CF39-0454-40AA-A93A-95CD7C1DBB76}" name="EFG_PCT" dataDxfId="726"/>
    <tableColumn id="22" xr3:uid="{1EE66674-B0A7-4BFF-9E88-78ADE425EB04}" name="TS_PCT" dataDxfId="725"/>
    <tableColumn id="23" xr3:uid="{71B9AD18-BDF6-455F-999F-DC90625F9B0E}" name="E_PACE" dataDxfId="724"/>
    <tableColumn id="24" xr3:uid="{D4FD7C8B-CAA1-4469-8349-9A68A991EF78}" name="PACE" dataDxfId="723"/>
    <tableColumn id="25" xr3:uid="{4C395756-C991-4A14-9CD7-B1E1BEFDC76C}" name="PACE_PER40" dataDxfId="722"/>
    <tableColumn id="26" xr3:uid="{1F998771-268B-4623-8278-B22BCE4536D5}" name="POSS" dataDxfId="721"/>
    <tableColumn id="27" xr3:uid="{D8F58BCB-ED67-406A-9581-F133EBF79F07}" name="PIE" dataDxfId="720"/>
    <tableColumn id="28" xr3:uid="{13E299DA-C7F6-4AFE-A2D8-C276A45D9BF3}" name="GP_RANK" dataDxfId="719"/>
    <tableColumn id="29" xr3:uid="{0C7BF409-D892-4E5A-9745-383A256EEDDD}" name="W_RANK" dataDxfId="718"/>
    <tableColumn id="30" xr3:uid="{11FF9A38-BE32-4674-89E5-E1CC0829932F}" name="L_RANK" dataDxfId="717"/>
    <tableColumn id="31" xr3:uid="{60929102-22BA-4511-A795-85063F3F5FEC}" name="W_PCT_RANK" dataDxfId="716"/>
    <tableColumn id="32" xr3:uid="{BE7AB989-6325-427B-9EAD-B5862F35D849}" name="MIN_RANK" dataDxfId="715"/>
    <tableColumn id="33" xr3:uid="{72B37E73-6CA0-4E59-87DE-7F734B7B650A}" name="OFF_RATING_RANK" dataDxfId="714"/>
    <tableColumn id="34" xr3:uid="{71C86EB0-5C64-4D7C-9C4E-719DB76CBBC6}" name="DEF_RATING_RANK" dataDxfId="713"/>
    <tableColumn id="35" xr3:uid="{EDE33E0C-FD90-4259-B983-5A16E66E1EA2}" name="NET_RATING_RANK" dataDxfId="712"/>
    <tableColumn id="36" xr3:uid="{6D29DD1B-FAD6-4E60-B31F-788D2C7BFFCD}" name="AST_PCT_RANK" dataDxfId="711"/>
    <tableColumn id="37" xr3:uid="{1F75709C-26F1-461C-A409-2FFD27332111}" name="AST_TO_RANK" dataDxfId="710"/>
    <tableColumn id="38" xr3:uid="{581FE11E-9316-4F9F-8D5B-ABF6A2A4A5C6}" name="AST_RATIO_RANK" dataDxfId="709"/>
    <tableColumn id="39" xr3:uid="{085E5D10-6297-4724-A1DC-7036E890CC9C}" name="OREB_PCT_RANK" dataDxfId="708"/>
    <tableColumn id="40" xr3:uid="{F5A0B31C-1972-4BA8-83E0-9692C8F9BC32}" name="DREB_PCT_RANK" dataDxfId="707"/>
    <tableColumn id="41" xr3:uid="{187C0544-3E73-4115-A890-9E500A02A986}" name="REB_PCT_RANK" dataDxfId="706"/>
    <tableColumn id="42" xr3:uid="{6F29293A-924C-47B1-81E1-86D7E568C592}" name="TM_TOV_PCT_RANK" dataDxfId="705"/>
    <tableColumn id="43" xr3:uid="{30C7308F-73BD-451F-A962-64FA0A01BE7A}" name="EFG_PCT_RANK" dataDxfId="704"/>
    <tableColumn id="44" xr3:uid="{04D00F0F-6818-4CF9-A727-6E70063B62B7}" name="TS_PCT_RANK" dataDxfId="703"/>
    <tableColumn id="45" xr3:uid="{F9B74620-66CE-44DB-B9CD-E0449C73B37C}" name="PACE_RANK" dataDxfId="702"/>
    <tableColumn id="46" xr3:uid="{F948178B-C8FE-4D54-A72C-9A9595E6B93D}" name="PIE_RANK" dataDxfId="701"/>
    <tableColumn id="47" xr3:uid="{212A65B9-1F37-4049-B77E-869BCF13C384}" name="CFID" dataDxfId="700"/>
    <tableColumn id="48" xr3:uid="{24D6D501-9627-4B20-82BC-6060E2C164FC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68DF52-C10D-4E53-A887-C6424BF8F483}" name="TableAdvancedN1Starters" displayName="TableAdvancedN1Starters" ref="A1:AV31" totalsRowShown="0" headerRowDxfId="600">
  <autoFilter ref="A1:AV31" xr:uid="{85013991-598E-4A27-9E1F-AF5FA5726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C304172-FDB9-4727-A6C3-C410E11D7586}" name="TEAM_ID" dataDxfId="648"/>
    <tableColumn id="2" xr3:uid="{C8DA5F4F-23DD-4A92-A1FA-C46495D0C9E0}" name="TEAM_NAME" dataDxfId="647"/>
    <tableColumn id="3" xr3:uid="{D1D2FA66-43C6-4B6F-AA5B-A23EC637D138}" name="GP" dataDxfId="646"/>
    <tableColumn id="4" xr3:uid="{A7DA2A47-F38F-4460-A1D7-06F08F25A560}" name="W" dataDxfId="645"/>
    <tableColumn id="5" xr3:uid="{18BF2609-8911-4656-9725-75D956ACA893}" name="L" dataDxfId="644"/>
    <tableColumn id="6" xr3:uid="{FEDA47E7-CD73-41A3-AB39-D4332D6F6BD9}" name="W_PCT" dataDxfId="643"/>
    <tableColumn id="7" xr3:uid="{A177E6C8-0E9A-493F-881C-C834B0BB6929}" name="MIN" dataDxfId="642"/>
    <tableColumn id="8" xr3:uid="{D435B507-130D-4B84-A591-0709CACD237E}" name="E_OFF_RATING" dataDxfId="641"/>
    <tableColumn id="9" xr3:uid="{14602A58-9DBA-48F6-8A7D-63A8CD983CD7}" name="OFF_RATING" dataDxfId="640"/>
    <tableColumn id="10" xr3:uid="{8DC00262-F4AE-47CE-8AD5-B995504EB9E6}" name="E_DEF_RATING" dataDxfId="639"/>
    <tableColumn id="11" xr3:uid="{FF048ECC-A275-45D6-82E2-B690E1E5AACD}" name="DEF_RATING" dataDxfId="638"/>
    <tableColumn id="12" xr3:uid="{D696FBFB-7E57-4330-BB84-7748C2FE3C3D}" name="E_NET_RATING" dataDxfId="637"/>
    <tableColumn id="13" xr3:uid="{1FA5AFF4-843E-4212-8F15-08D02D0010EE}" name="NET_RATING" dataDxfId="636"/>
    <tableColumn id="14" xr3:uid="{CA6843DA-4211-491C-AD10-D0CDE2745AF5}" name="AST_PCT" dataDxfId="635"/>
    <tableColumn id="15" xr3:uid="{96C5FB11-2C94-4A74-828A-777DBC121D0D}" name="AST_TO" dataDxfId="634"/>
    <tableColumn id="16" xr3:uid="{3799E58A-5463-4FDD-927D-3C2C1EFDDAD1}" name="AST_RATIO" dataDxfId="633"/>
    <tableColumn id="17" xr3:uid="{E3C7A896-3C97-4D15-90A1-754BA92315DE}" name="OREB_PCT" dataDxfId="632"/>
    <tableColumn id="18" xr3:uid="{B3B7E81E-36DC-4BAD-BCAF-5BA6B7439AF1}" name="DREB_PCT" dataDxfId="631"/>
    <tableColumn id="19" xr3:uid="{DDB2E4C2-1469-4E3C-A706-E31FCA6CCA57}" name="REB_PCT" dataDxfId="630"/>
    <tableColumn id="20" xr3:uid="{18BD3B0B-28EC-430C-BDEB-4B4BF1616494}" name="TM_TOV_PCT" dataDxfId="629"/>
    <tableColumn id="21" xr3:uid="{51DB7BC2-B450-4EFA-BF70-356EC06B784C}" name="EFG_PCT" dataDxfId="628"/>
    <tableColumn id="22" xr3:uid="{42902EE0-43D4-4ADF-AE93-A22C99A36722}" name="TS_PCT" dataDxfId="627"/>
    <tableColumn id="23" xr3:uid="{8F8D342A-32A9-4A3A-BCD7-5043492588BE}" name="E_PACE" dataDxfId="626"/>
    <tableColumn id="24" xr3:uid="{EDC52FFA-4ACA-46FA-98AA-2DD340821064}" name="PACE" dataDxfId="625"/>
    <tableColumn id="25" xr3:uid="{F401BCF8-28DB-482B-8A53-DE18511E7D1C}" name="PACE_PER40" dataDxfId="624"/>
    <tableColumn id="26" xr3:uid="{D956CC74-1AC1-4B14-8472-0CED1807B6BA}" name="POSS" dataDxfId="623"/>
    <tableColumn id="27" xr3:uid="{64ADA954-0442-4CD9-989B-19418F57E69B}" name="PIE" dataDxfId="622"/>
    <tableColumn id="28" xr3:uid="{619FB046-EC00-4183-93AF-533CE8684289}" name="GP_RANK" dataDxfId="621"/>
    <tableColumn id="29" xr3:uid="{36F85AAE-9218-4E8D-8B10-CDADE391F320}" name="W_RANK" dataDxfId="620"/>
    <tableColumn id="30" xr3:uid="{B4FB2747-1213-4E3C-B496-083ACC8542BB}" name="L_RANK" dataDxfId="619"/>
    <tableColumn id="31" xr3:uid="{AD3922B5-305A-4AC2-8E82-0808A7835410}" name="W_PCT_RANK" dataDxfId="618"/>
    <tableColumn id="32" xr3:uid="{14D010D0-D028-4FE1-937B-E09F7DB203F1}" name="MIN_RANK" dataDxfId="617"/>
    <tableColumn id="33" xr3:uid="{9AE0F278-E572-4948-BBB7-389928CB94F3}" name="OFF_RATING_RANK" dataDxfId="616"/>
    <tableColumn id="34" xr3:uid="{1A052F13-1DFA-4BEC-B823-3BBBD60F3B65}" name="DEF_RATING_RANK" dataDxfId="615"/>
    <tableColumn id="35" xr3:uid="{E94C0A87-3663-40C5-B0E3-B6DFBC5915F7}" name="NET_RATING_RANK" dataDxfId="614"/>
    <tableColumn id="36" xr3:uid="{FDE2053C-1414-4087-916C-C8DD2761BB91}" name="AST_PCT_RANK" dataDxfId="613"/>
    <tableColumn id="37" xr3:uid="{F1C00843-8ADB-4107-855A-3853A9594AB5}" name="AST_TO_RANK" dataDxfId="612"/>
    <tableColumn id="38" xr3:uid="{AD4DF9F3-9018-4647-8484-66EF32608B43}" name="AST_RATIO_RANK" dataDxfId="611"/>
    <tableColumn id="39" xr3:uid="{200E6551-61FD-48EB-A85F-31D05C2C4FAC}" name="OREB_PCT_RANK" dataDxfId="610"/>
    <tableColumn id="40" xr3:uid="{A313E961-1A47-45C5-B407-F30EE4806CF9}" name="DREB_PCT_RANK" dataDxfId="609"/>
    <tableColumn id="41" xr3:uid="{CF29866D-9EF8-439D-84F3-EE70FE3F5B36}" name="REB_PCT_RANK" dataDxfId="608"/>
    <tableColumn id="42" xr3:uid="{6B6802C4-D185-4108-B7C2-B2B208C33741}" name="TM_TOV_PCT_RANK" dataDxfId="607"/>
    <tableColumn id="43" xr3:uid="{A40300F8-07ED-4A35-83D7-968EF2FD6E92}" name="EFG_PCT_RANK" dataDxfId="606"/>
    <tableColumn id="44" xr3:uid="{84F27B0D-918D-4464-9ACC-D86D7A79884D}" name="TS_PCT_RANK" dataDxfId="605"/>
    <tableColumn id="45" xr3:uid="{A9312698-0E1F-4C84-BE55-5896BEA7C55B}" name="PACE_RANK" dataDxfId="604"/>
    <tableColumn id="46" xr3:uid="{A0EB74C8-4C67-404A-967F-47D2F9B66981}" name="PIE_RANK" dataDxfId="603"/>
    <tableColumn id="47" xr3:uid="{D1ADAD67-C551-46F7-A91F-1CF798DBE0C4}" name="CFID" dataDxfId="602"/>
    <tableColumn id="48" xr3:uid="{F813C714-8A72-4093-86E6-4FFBB8768237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426DA9E-FE26-45E0-8DB5-238D055419DA}" name="TableAdvancedN1Bench" displayName="TableAdvancedN1Bench" ref="A1:AV31" totalsRowShown="0" headerRowDxfId="502">
  <autoFilter ref="A1:AV31" xr:uid="{78C86241-5B54-4E20-9A1B-87700E201A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7EEB8D3-4BB4-4D7D-99C3-21538B3C08DD}" name="TEAM_ID" dataDxfId="550"/>
    <tableColumn id="2" xr3:uid="{822B717A-0501-4D09-876F-7E5F77FD8C4D}" name="TEAM_NAME" dataDxfId="549"/>
    <tableColumn id="3" xr3:uid="{9CAA629C-5172-487D-A551-B158F808CBCE}" name="GP" dataDxfId="548"/>
    <tableColumn id="4" xr3:uid="{C1AD35B0-745C-4F07-A789-7060BFD6C473}" name="W" dataDxfId="547"/>
    <tableColumn id="5" xr3:uid="{DA8BE8C8-D0FA-4006-8BAD-BDD322CE1DE4}" name="L" dataDxfId="546"/>
    <tableColumn id="6" xr3:uid="{14672257-070E-485D-AD05-5E5420197755}" name="W_PCT" dataDxfId="545"/>
    <tableColumn id="7" xr3:uid="{384080F4-7128-46B6-A14F-2745D84935AA}" name="MIN" dataDxfId="544"/>
    <tableColumn id="8" xr3:uid="{7E56C3E7-9C2E-4FD5-98A2-65E99C56E24E}" name="E_OFF_RATING" dataDxfId="543"/>
    <tableColumn id="9" xr3:uid="{72D753F8-71AF-4D45-A2BA-49579587BA79}" name="OFF_RATING" dataDxfId="542"/>
    <tableColumn id="10" xr3:uid="{FFC3D1D8-E880-4CDC-B6EA-87B6427F237D}" name="E_DEF_RATING" dataDxfId="541"/>
    <tableColumn id="11" xr3:uid="{90D69AEB-3C21-484D-B6D6-DD7596DD3330}" name="DEF_RATING" dataDxfId="540"/>
    <tableColumn id="12" xr3:uid="{9747012E-10E3-4577-93E0-761F6FFD537D}" name="E_NET_RATING" dataDxfId="539"/>
    <tableColumn id="13" xr3:uid="{42A55318-092E-439E-91D7-7663909507CD}" name="NET_RATING" dataDxfId="538"/>
    <tableColumn id="14" xr3:uid="{041F0F11-8854-455D-B940-23738AE64ABC}" name="AST_PCT" dataDxfId="537"/>
    <tableColumn id="15" xr3:uid="{4FE6EFE0-8A90-47E5-B3FE-FFF5497293B8}" name="AST_TO" dataDxfId="536"/>
    <tableColumn id="16" xr3:uid="{A9BD1AC0-0C73-4471-8C7F-6D3BEA2FC8AD}" name="AST_RATIO" dataDxfId="535"/>
    <tableColumn id="17" xr3:uid="{62B3FC5E-9A89-40CB-9C02-C3A3466AE5B1}" name="OREB_PCT" dataDxfId="534"/>
    <tableColumn id="18" xr3:uid="{1076241A-D824-4FEF-A99A-A5923321E7AF}" name="DREB_PCT" dataDxfId="533"/>
    <tableColumn id="19" xr3:uid="{9D420A33-5E8D-4800-9BCB-072DE4029A8D}" name="REB_PCT" dataDxfId="532"/>
    <tableColumn id="20" xr3:uid="{90262213-D47B-4495-BC71-77B2133CAB9C}" name="TM_TOV_PCT" dataDxfId="531"/>
    <tableColumn id="21" xr3:uid="{685552B0-BCBD-407D-A341-25A5810D502F}" name="EFG_PCT" dataDxfId="530"/>
    <tableColumn id="22" xr3:uid="{6BCB9835-BFCC-4AAF-B0B9-F3BA340B85F7}" name="TS_PCT" dataDxfId="529"/>
    <tableColumn id="23" xr3:uid="{FC7E669F-8193-43D6-B06B-CEC526D86A4F}" name="E_PACE" dataDxfId="528"/>
    <tableColumn id="24" xr3:uid="{611300D9-9DD3-47B9-955E-F8528476FA84}" name="PACE" dataDxfId="527"/>
    <tableColumn id="25" xr3:uid="{1DD7A049-D4D9-4004-8F81-50EC73A21848}" name="PACE_PER40" dataDxfId="526"/>
    <tableColumn id="26" xr3:uid="{ADF91D5E-9904-42B0-BCE9-93FC09FF6F70}" name="POSS" dataDxfId="525"/>
    <tableColumn id="27" xr3:uid="{BEE814D1-063F-4294-AF75-E3C4121B571C}" name="PIE" dataDxfId="524"/>
    <tableColumn id="28" xr3:uid="{E06F8CB8-6BBE-4432-96FB-B8EBD475A4EE}" name="GP_RANK" dataDxfId="523"/>
    <tableColumn id="29" xr3:uid="{1997311B-D856-4133-B2C2-8CD8AB3023CF}" name="W_RANK" dataDxfId="522"/>
    <tableColumn id="30" xr3:uid="{5BDE3D67-7383-43CD-AC9B-2B5D3B78FD57}" name="L_RANK" dataDxfId="521"/>
    <tableColumn id="31" xr3:uid="{00E6D286-3DB6-4082-830D-C71F20ACD3D1}" name="W_PCT_RANK" dataDxfId="520"/>
    <tableColumn id="32" xr3:uid="{35688CDD-BF9A-4204-9FED-E2BBEA940DF7}" name="MIN_RANK" dataDxfId="519"/>
    <tableColumn id="33" xr3:uid="{D0F686D8-7D0A-4573-B7ED-0A9409442CE1}" name="OFF_RATING_RANK" dataDxfId="518"/>
    <tableColumn id="34" xr3:uid="{002EF0F0-884A-4AA1-8F95-45DA7D6A6EAE}" name="DEF_RATING_RANK" dataDxfId="517"/>
    <tableColumn id="35" xr3:uid="{85287945-320B-479F-B6F4-91562B775D1A}" name="NET_RATING_RANK" dataDxfId="516"/>
    <tableColumn id="36" xr3:uid="{55FB3EB7-8AB4-4777-BD87-D9C40A2D9CE8}" name="AST_PCT_RANK" dataDxfId="515"/>
    <tableColumn id="37" xr3:uid="{150B7F15-EE30-4412-BA92-009762BB1544}" name="AST_TO_RANK" dataDxfId="514"/>
    <tableColumn id="38" xr3:uid="{73942A76-3710-4577-8CDB-CEB1115CE005}" name="AST_RATIO_RANK" dataDxfId="513"/>
    <tableColumn id="39" xr3:uid="{444E8829-036B-4CE9-A813-145B0DD0B484}" name="OREB_PCT_RANK" dataDxfId="512"/>
    <tableColumn id="40" xr3:uid="{D11DA0C0-3060-46C8-A796-862FAE74BACC}" name="DREB_PCT_RANK" dataDxfId="511"/>
    <tableColumn id="41" xr3:uid="{557F486B-6E01-464B-88EE-3ED1386DEBFA}" name="REB_PCT_RANK" dataDxfId="510"/>
    <tableColumn id="42" xr3:uid="{DC3DD71C-50AD-4925-9DDB-B88D18B92899}" name="TM_TOV_PCT_RANK" dataDxfId="509"/>
    <tableColumn id="43" xr3:uid="{F5DA92FD-E1F3-4161-8CDE-079D939C29AE}" name="EFG_PCT_RANK" dataDxfId="508"/>
    <tableColumn id="44" xr3:uid="{182E2B92-3EFA-4FD3-8151-7ECDA514CE7C}" name="TS_PCT_RANK" dataDxfId="507"/>
    <tableColumn id="45" xr3:uid="{7FDB6219-2908-416F-AA61-86E62BEA5C31}" name="PACE_RANK" dataDxfId="506"/>
    <tableColumn id="46" xr3:uid="{C2459AE8-82AE-4140-8C91-293E9B098255}" name="PIE_RANK" dataDxfId="505"/>
    <tableColumn id="47" xr3:uid="{408C4AA7-AF96-4B5B-9200-CAA7A5E2CCDD}" name="CFID" dataDxfId="504"/>
    <tableColumn id="48" xr3:uid="{8EE77C5E-EDA6-488D-A462-744D3B38A0B9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A8FECA8-6756-43C9-A080-FA0440994E58}" name="TableMiscN1" displayName="TableMiscN1" ref="A1:AD31" totalsRowShown="0" headerRowDxfId="440">
  <autoFilter ref="A1:AD31" xr:uid="{1BA35F1E-9AB1-4B85-AED1-B4FA1CFA6C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F33D85E3-809F-4C6F-B1CB-CB135E42A0F5}" name="TEAM_ID" dataDxfId="470"/>
    <tableColumn id="2" xr3:uid="{66317EDD-A1CE-462A-A980-4557B6D40824}" name="TEAM_NAME" dataDxfId="469"/>
    <tableColumn id="3" xr3:uid="{E54D62C1-7D83-419A-B392-BC10F9F4C73C}" name="GP" dataDxfId="468"/>
    <tableColumn id="4" xr3:uid="{A08AD787-E1E9-492A-9B97-28C0814B8D77}" name="W" dataDxfId="467"/>
    <tableColumn id="5" xr3:uid="{0257A76D-8343-473E-96DC-675DE7A4407A}" name="L" dataDxfId="466"/>
    <tableColumn id="6" xr3:uid="{31435663-2AE6-441B-B33F-921337851E1A}" name="W_PCT" dataDxfId="465"/>
    <tableColumn id="7" xr3:uid="{83BA6834-733E-4568-AE59-B88756FC5942}" name="MIN" dataDxfId="464"/>
    <tableColumn id="8" xr3:uid="{F748C015-1F43-4904-8810-52BB3BB36516}" name="PTS_OFF_TOV" dataDxfId="463"/>
    <tableColumn id="9" xr3:uid="{04EB5C69-7FB6-41A5-A9BF-3C8DCE809413}" name="PTS_2ND_CHANCE" dataDxfId="462"/>
    <tableColumn id="10" xr3:uid="{D961D5E2-15BB-43D8-8E5A-584A8EF1066C}" name="PTS_FB" dataDxfId="461"/>
    <tableColumn id="11" xr3:uid="{37468264-B98C-493F-88FF-5FF3F2B0FE26}" name="PTS_PAINT" dataDxfId="460"/>
    <tableColumn id="12" xr3:uid="{D61A14B9-43DC-4706-A555-DF2322BB2C37}" name="OPP_PTS_OFF_TOV" dataDxfId="459"/>
    <tableColumn id="13" xr3:uid="{9B0D86A1-D353-4301-BE34-CC45C8E730EF}" name="OPP_PTS_2ND_CHANCE" dataDxfId="458"/>
    <tableColumn id="14" xr3:uid="{90ECC518-6B84-4D2C-8AA6-33C0C9B6EEC1}" name="OPP_PTS_FB" dataDxfId="457"/>
    <tableColumn id="15" xr3:uid="{267BBA38-3E16-4DDE-A402-8BA4D311631B}" name="OPP_PTS_PAINT" dataDxfId="456"/>
    <tableColumn id="16" xr3:uid="{D60F8239-6907-4897-944A-1792E88C843C}" name="GP_RANK" dataDxfId="455"/>
    <tableColumn id="17" xr3:uid="{7C2C5617-1D9E-4FE4-8653-F7E8270380AA}" name="W_RANK" dataDxfId="454"/>
    <tableColumn id="18" xr3:uid="{9C87FA21-0C75-4CE0-AFCA-E1126A6399C8}" name="L_RANK" dataDxfId="453"/>
    <tableColumn id="19" xr3:uid="{B7950CD3-85D7-4189-B7CD-9C2FA2DCDB20}" name="W_PCT_RANK" dataDxfId="452"/>
    <tableColumn id="20" xr3:uid="{D47D44E9-50C7-412F-912C-71D7AE11094B}" name="MIN_RANK" dataDxfId="451"/>
    <tableColumn id="21" xr3:uid="{81F90324-A2B9-40E1-9A7B-A3E8FEB85044}" name="PTS_OFF_TOV_RANK" dataDxfId="450"/>
    <tableColumn id="22" xr3:uid="{229D7A51-A946-4D6D-9EF8-CA6EB3E57E1C}" name="PTS_2ND_CHANCE_RANK" dataDxfId="449"/>
    <tableColumn id="23" xr3:uid="{6A967774-4017-4084-BB59-AF0C26DACFDD}" name="PTS_FB_RANK" dataDxfId="448"/>
    <tableColumn id="24" xr3:uid="{32B59EE7-5F2C-458C-9676-F169BF9B7177}" name="PTS_PAINT_RANK" dataDxfId="447"/>
    <tableColumn id="25" xr3:uid="{FD5ECF07-6474-42C9-A879-1F0A3708C7DA}" name="OPP_PTS_OFF_TOV_RANK" dataDxfId="446"/>
    <tableColumn id="26" xr3:uid="{370A2FD3-6880-4072-8E87-BEE7B7F3920B}" name="OPP_PTS_2ND_CHANCE_RANK" dataDxfId="445"/>
    <tableColumn id="27" xr3:uid="{616D9EF6-A6AF-49D5-8B07-B774703A73E6}" name="OPP_PTS_FB_RANK" dataDxfId="444"/>
    <tableColumn id="28" xr3:uid="{78969AAF-9994-4B9F-911D-2C0559A36DD6}" name="OPP_PTS_PAINT_RANK" dataDxfId="443"/>
    <tableColumn id="29" xr3:uid="{B6A2B554-D54D-4B9A-85E8-B787885FE557}" name="CFID" dataDxfId="442"/>
    <tableColumn id="30" xr3:uid="{3D125121-8BF0-4887-8B1F-082A4B58F613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7C2236B-CA35-47C0-8099-3CF32278A239}" name="TableOppBaseN1" displayName="TableOppBaseN1" ref="A1:BD31" totalsRowShown="0" headerRowDxfId="326">
  <autoFilter ref="A1:BD31" xr:uid="{40C71F07-F36E-4E60-A6FC-988BC1AA2E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38BA10A-6761-46A0-9DFE-035E94C82890}" name="TEAM_ID" dataDxfId="382"/>
    <tableColumn id="2" xr3:uid="{BF8015EA-A58E-4AFF-94C9-83C482DCAF94}" name="TEAM_NAME" dataDxfId="381"/>
    <tableColumn id="3" xr3:uid="{41B81E9E-D211-4032-8F6D-645810AA112F}" name="GP" dataDxfId="380"/>
    <tableColumn id="4" xr3:uid="{3CA51B1E-EC7B-46D3-BAC2-A8CA3303D377}" name="W" dataDxfId="379"/>
    <tableColumn id="5" xr3:uid="{9CEF59B2-C00B-4191-9A84-5CEDBED6745B}" name="L" dataDxfId="378"/>
    <tableColumn id="6" xr3:uid="{EF964080-CAB0-4483-AC4C-F3E47998238C}" name="W_PCT" dataDxfId="377"/>
    <tableColumn id="7" xr3:uid="{BC9AD255-FF57-457E-8B40-4A5CB35D37D6}" name="MIN" dataDxfId="376"/>
    <tableColumn id="8" xr3:uid="{28E353B2-08C8-4730-AD73-81596316689C}" name="OPP_FGM" dataDxfId="375"/>
    <tableColumn id="9" xr3:uid="{D301834D-AFB4-4EFB-9F4E-1F8C2B012A5E}" name="OPP_FGA" dataDxfId="374"/>
    <tableColumn id="10" xr3:uid="{FA32590D-2B70-413F-BD54-946705822D36}" name="OPP_FG_PCT" dataDxfId="373"/>
    <tableColumn id="11" xr3:uid="{977D6112-6881-4B72-95FC-E21BC31B7AF4}" name="OPP_FG3M" dataDxfId="372"/>
    <tableColumn id="12" xr3:uid="{A5FFBA49-85DC-4843-9424-856108DA9B49}" name="OPP_FG3A" dataDxfId="371"/>
    <tableColumn id="13" xr3:uid="{CB17C55B-E96B-41FF-BF0E-74FDAEE7F6A9}" name="OPP_FG3_PCT" dataDxfId="370"/>
    <tableColumn id="14" xr3:uid="{C392AF10-0E18-4FCC-B688-F885757958AB}" name="OPP_FTM" dataDxfId="369"/>
    <tableColumn id="15" xr3:uid="{B127B692-E655-4254-86A0-E963F63C699B}" name="OPP_FTA" dataDxfId="368"/>
    <tableColumn id="16" xr3:uid="{954B19CC-5159-4FDE-9B4E-945F01E890A4}" name="OPP_FT_PCT" dataDxfId="367"/>
    <tableColumn id="17" xr3:uid="{3E7A63A5-065C-4739-9E06-C271F31FBA02}" name="OPP_OREB" dataDxfId="366"/>
    <tableColumn id="18" xr3:uid="{53ABA376-E7AC-4BD9-B613-AB84AECC1698}" name="OPP_DREB" dataDxfId="365"/>
    <tableColumn id="19" xr3:uid="{1001E738-640D-4A27-97DE-5C9A9A356DE9}" name="OPP_REB" dataDxfId="364"/>
    <tableColumn id="20" xr3:uid="{D491DAD7-04F6-4BA7-98CF-04D64ECDCE6D}" name="OPP_AST" dataDxfId="363"/>
    <tableColumn id="21" xr3:uid="{1C7ACD50-FE2C-4C8E-9F8A-D322556D4935}" name="OPP_TOV" dataDxfId="362"/>
    <tableColumn id="22" xr3:uid="{9BA2E12D-228C-4476-BDC9-F01485219EFA}" name="OPP_STL" dataDxfId="361"/>
    <tableColumn id="23" xr3:uid="{671BD1DC-A13E-4AEE-92EF-863B51DDE6CE}" name="OPP_BLK" dataDxfId="360"/>
    <tableColumn id="24" xr3:uid="{E6974065-FD5C-42BA-A629-B5E100F93BA0}" name="OPP_BLKA" dataDxfId="359"/>
    <tableColumn id="25" xr3:uid="{308C52FF-CB8C-4686-B46B-58F022919F12}" name="OPP_PF" dataDxfId="358"/>
    <tableColumn id="26" xr3:uid="{AA5651E2-8168-42ED-AF4C-74C1E53DD675}" name="OPP_PFD" dataDxfId="357"/>
    <tableColumn id="27" xr3:uid="{0FF5F6B1-BA65-41E5-900A-30E4ECE2A06D}" name="OPP_PTS" dataDxfId="356"/>
    <tableColumn id="28" xr3:uid="{707D6A34-ECCA-491E-8B13-56C7DEDB62D1}" name="PLUS_MINUS" dataDxfId="355"/>
    <tableColumn id="29" xr3:uid="{5BBFCB6D-4882-4905-813E-C44848BD25AE}" name="GP_RANK" dataDxfId="354"/>
    <tableColumn id="30" xr3:uid="{84716B9F-E0FD-41FD-A826-B1C30CA12D1A}" name="W_RANK" dataDxfId="353"/>
    <tableColumn id="31" xr3:uid="{1928D793-E967-4594-BC15-82CBFD450BF8}" name="L_RANK" dataDxfId="352"/>
    <tableColumn id="32" xr3:uid="{F1146758-148E-4FE3-98A1-BA9FC4716254}" name="W_PCT_RANK" dataDxfId="351"/>
    <tableColumn id="33" xr3:uid="{8BD80EE4-2DA1-4792-9256-A0F6C066F3E0}" name="MIN_RANK" dataDxfId="350"/>
    <tableColumn id="34" xr3:uid="{9976D060-D023-4924-91C0-3A7DC4795CAB}" name="OPP_FGM_RANK" dataDxfId="349"/>
    <tableColumn id="35" xr3:uid="{4E429155-2585-4598-9B96-8DDBE763FADD}" name="OPP_FGA_RANK" dataDxfId="348"/>
    <tableColumn id="36" xr3:uid="{46E3DF2B-48B2-4785-B764-6D7A0AF4BD57}" name="OPP_FG_PCT_RANK" dataDxfId="347"/>
    <tableColumn id="37" xr3:uid="{8D4C1927-8D7B-46CF-A390-7DBBFC62D929}" name="OPP_FG3M_RANK" dataDxfId="346"/>
    <tableColumn id="38" xr3:uid="{C5FC7D32-FE88-4967-B901-4B631CB7116F}" name="OPP_FG3A_RANK" dataDxfId="345"/>
    <tableColumn id="39" xr3:uid="{C9C38FEE-131D-4A9D-9700-4727BEA61EDD}" name="OPP_FG3_PCT_RANK" dataDxfId="344"/>
    <tableColumn id="40" xr3:uid="{61C6CDF4-AEA6-46A1-9D07-86404A18CA9A}" name="OPP_FTM_RANK" dataDxfId="343"/>
    <tableColumn id="41" xr3:uid="{AEDB86D6-D8D7-43A4-8711-C166AC4D4E11}" name="OPP_FTA_RANK" dataDxfId="342"/>
    <tableColumn id="42" xr3:uid="{153E89EB-4659-413C-B70F-42B2E0C0C50D}" name="OPP_FT_PCT_RANK" dataDxfId="341"/>
    <tableColumn id="43" xr3:uid="{9062D6A0-234C-4887-8165-0AEA4FE5C8D1}" name="OPP_OREB_RANK" dataDxfId="340"/>
    <tableColumn id="44" xr3:uid="{387A6892-F125-4A53-BD45-410560012AE3}" name="OPP_DREB_RANK" dataDxfId="339"/>
    <tableColumn id="45" xr3:uid="{612780E3-9569-4769-9D56-2C8E717627AF}" name="OPP_REB_RANK" dataDxfId="338"/>
    <tableColumn id="46" xr3:uid="{B1479345-59D6-4752-8967-73BF246521CD}" name="OPP_AST_RANK" dataDxfId="337"/>
    <tableColumn id="47" xr3:uid="{15533A96-F736-4966-84D4-DE1CA38545F9}" name="OPP_TOV_RANK" dataDxfId="336"/>
    <tableColumn id="48" xr3:uid="{0FC2C4C5-45D2-4718-8BE1-B8D7D7627744}" name="OPP_STL_RANK" dataDxfId="335"/>
    <tableColumn id="49" xr3:uid="{A8ED2681-593D-486B-BDE1-F687E5E37193}" name="OPP_BLK_RANK" dataDxfId="334"/>
    <tableColumn id="50" xr3:uid="{1BDB5483-1714-4F27-AB81-201ABFFE2DCC}" name="OPP_BLKA_RANK" dataDxfId="333"/>
    <tableColumn id="51" xr3:uid="{0AD3BDFF-FD3A-40CA-8DF8-E9A2DD07145D}" name="OPP_PF_RANK" dataDxfId="332"/>
    <tableColumn id="52" xr3:uid="{60546A04-F115-4351-9566-CF332678D321}" name="OPP_PFD_RANK" dataDxfId="331"/>
    <tableColumn id="53" xr3:uid="{E4B1D993-1A18-48FD-B6A3-79F54EA07021}" name="OPP_PTS_RANK" dataDxfId="330"/>
    <tableColumn id="54" xr3:uid="{58C490AD-84CA-4689-9B7E-512787872B77}" name="PLUS_MINUS_RANK" dataDxfId="329"/>
    <tableColumn id="55" xr3:uid="{9154CCFD-9739-48B2-BDC4-81C278B9226F}" name="CFID" dataDxfId="328"/>
    <tableColumn id="56" xr3:uid="{1FEB2DFB-5E19-464D-8689-B585393010BB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08321F4-F6CB-4DEC-BDE3-0DB084133648}" name="TableClutchBaseN1" displayName="TableClutchBaseN1" ref="A1:BD31" totalsRowShown="0" headerRowDxfId="212">
  <autoFilter ref="A1:BD31" xr:uid="{0775AF2F-2CF8-465E-B3FD-3B4713B1F25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E850FFF-FFE9-42ED-A4D8-D566E5FCD797}" name="TEAM_ID" dataDxfId="268"/>
    <tableColumn id="2" xr3:uid="{F59BB0DA-0FD5-4947-8E23-9293DCE07BEE}" name="TEAM_NAME" dataDxfId="267"/>
    <tableColumn id="3" xr3:uid="{B3D5BB25-4F79-416A-A51A-218770C9E0E0}" name="GP" dataDxfId="266"/>
    <tableColumn id="4" xr3:uid="{10834E97-D733-4085-9369-C8A2F9235F91}" name="W" dataDxfId="265"/>
    <tableColumn id="5" xr3:uid="{A431E989-A75E-4219-860F-4D6CB7B79EDB}" name="L" dataDxfId="264"/>
    <tableColumn id="6" xr3:uid="{2C845283-01DA-4143-A6D8-E0AA4FE261CE}" name="W_PCT" dataDxfId="263"/>
    <tableColumn id="7" xr3:uid="{E5A7A93B-AAF2-45FA-B77F-DE1604E8BC67}" name="MIN" dataDxfId="262"/>
    <tableColumn id="8" xr3:uid="{30D43F1A-7CAA-409F-AE34-53312824AD0C}" name="FGM" dataDxfId="261"/>
    <tableColumn id="9" xr3:uid="{12D6B887-F588-49C2-8EF0-16B6E0F9DB7D}" name="FGA" dataDxfId="260"/>
    <tableColumn id="10" xr3:uid="{AE8ACA29-3CD9-498B-9E52-C40DC648D620}" name="FG_PCT" dataDxfId="259"/>
    <tableColumn id="11" xr3:uid="{5DB842C2-7935-475E-83D3-8833932F14AC}" name="FG3M" dataDxfId="258"/>
    <tableColumn id="12" xr3:uid="{B226F2A8-02C1-4BA8-A7E6-BB0EE686B56B}" name="FG3A" dataDxfId="257"/>
    <tableColumn id="13" xr3:uid="{B2F81515-BC16-4A7E-AD25-FA964F66E9A4}" name="FG3_PCT" dataDxfId="256"/>
    <tableColumn id="14" xr3:uid="{7DA0F971-86BA-4707-A6A9-553007F54B2C}" name="FTM" dataDxfId="255"/>
    <tableColumn id="15" xr3:uid="{5955E4AE-6AAA-45D5-8AE6-5D252FAF4121}" name="FTA" dataDxfId="254"/>
    <tableColumn id="16" xr3:uid="{C3536507-5E99-470F-8B1A-708699F59738}" name="FT_PCT" dataDxfId="253"/>
    <tableColumn id="17" xr3:uid="{9B8C8BB6-4B67-45C7-937B-2F179C6E8570}" name="OREB" dataDxfId="252"/>
    <tableColumn id="18" xr3:uid="{F59B4B67-83E2-4D37-BCD2-90F7F413718E}" name="DREB" dataDxfId="251"/>
    <tableColumn id="19" xr3:uid="{F6FAF25A-0E4E-4E24-9AC7-F345208BE006}" name="REB" dataDxfId="250"/>
    <tableColumn id="20" xr3:uid="{537EBF84-02B2-4E94-B825-EC6DECB27A06}" name="AST" dataDxfId="249"/>
    <tableColumn id="21" xr3:uid="{9B392B74-952A-4CBE-AD40-767EC3C52920}" name="TOV" dataDxfId="248"/>
    <tableColumn id="22" xr3:uid="{EF41F23E-FCB2-4073-840C-D2DFC29AA55C}" name="STL" dataDxfId="247"/>
    <tableColumn id="23" xr3:uid="{45994479-DB20-45CC-9F0A-45263EE41CF7}" name="BLK" dataDxfId="246"/>
    <tableColumn id="24" xr3:uid="{AFFB5A98-3E7B-4D8C-B868-6F8A30E52EDE}" name="BLKA" dataDxfId="245"/>
    <tableColumn id="25" xr3:uid="{15CD3E00-1584-45DE-B119-2F2E2F4F35A3}" name="PF" dataDxfId="244"/>
    <tableColumn id="26" xr3:uid="{916DB7FE-6343-4C62-90DC-AC23040E00EC}" name="PFD" dataDxfId="243"/>
    <tableColumn id="27" xr3:uid="{078A59EA-D5C1-479C-96C0-471809DE7E6F}" name="PTS" dataDxfId="242"/>
    <tableColumn id="28" xr3:uid="{D2A6AB72-659D-420A-9525-B6E51E602904}" name="PLUS_MINUS" dataDxfId="241"/>
    <tableColumn id="29" xr3:uid="{E03326A9-7CB0-47CC-832A-543D4A2EDE5A}" name="GP_RANK" dataDxfId="240"/>
    <tableColumn id="30" xr3:uid="{F29CA531-91BE-4834-8503-F11AD9974C9E}" name="W_RANK" dataDxfId="239"/>
    <tableColumn id="31" xr3:uid="{D99930B7-8540-40E7-B751-045BC4E233E5}" name="L_RANK" dataDxfId="238"/>
    <tableColumn id="32" xr3:uid="{330DE973-80F8-4159-A317-A54F9F33C9C6}" name="W_PCT_RANK" dataDxfId="237"/>
    <tableColumn id="33" xr3:uid="{A636AE00-2746-4943-A570-67ECA02F768D}" name="MIN_RANK" dataDxfId="236"/>
    <tableColumn id="34" xr3:uid="{F50BCCAC-A2DA-49BC-9ED8-9CE95C2375C2}" name="FGM_RANK" dataDxfId="235"/>
    <tableColumn id="35" xr3:uid="{FF708469-5A60-49DC-B886-98915E880348}" name="FGA_RANK" dataDxfId="234"/>
    <tableColumn id="36" xr3:uid="{9BB843A5-70A5-4A28-BF28-8C2AC2AB778E}" name="FG_PCT_RANK" dataDxfId="233"/>
    <tableColumn id="37" xr3:uid="{881A5C05-BB13-4D4E-B24D-E4E66D23E9EB}" name="FG3M_RANK" dataDxfId="232"/>
    <tableColumn id="38" xr3:uid="{C93ABE1C-5355-486D-90E6-D94E6AFBD9A0}" name="FG3A_RANK" dataDxfId="231"/>
    <tableColumn id="39" xr3:uid="{2DDAFB9B-329D-44E4-906E-0848A12A1101}" name="FG3_PCT_RANK" dataDxfId="230"/>
    <tableColumn id="40" xr3:uid="{080C2AC3-1FAE-43AF-AE2F-129AB70DA2EB}" name="FTM_RANK" dataDxfId="229"/>
    <tableColumn id="41" xr3:uid="{E5989400-7889-48C6-AEE5-E4CD43D026F2}" name="FTA_RANK" dataDxfId="228"/>
    <tableColumn id="42" xr3:uid="{74490130-C66B-4B8C-B500-7553A68EACE0}" name="FT_PCT_RANK" dataDxfId="227"/>
    <tableColumn id="43" xr3:uid="{CF9F6DEA-2692-4BE9-B397-0EC57CD487F8}" name="OREB_RANK" dataDxfId="226"/>
    <tableColumn id="44" xr3:uid="{74C3A377-FEFA-4088-864F-BDA87002016E}" name="DREB_RANK" dataDxfId="225"/>
    <tableColumn id="45" xr3:uid="{459BF5DA-0C9C-4ACC-BB01-6A61DFC7E90B}" name="REB_RANK" dataDxfId="224"/>
    <tableColumn id="46" xr3:uid="{8E1DAA59-39EC-447A-94D6-AFA5EA9269AA}" name="AST_RANK" dataDxfId="223"/>
    <tableColumn id="47" xr3:uid="{7B462469-4DA9-4D7C-963A-062D13DEA2AF}" name="TOV_RANK" dataDxfId="222"/>
    <tableColumn id="48" xr3:uid="{E2E44CDC-49E2-48B4-B684-BFE8D2E7E0E0}" name="STL_RANK" dataDxfId="221"/>
    <tableColumn id="49" xr3:uid="{073799D6-E150-40FB-8F3F-F1EA30413D83}" name="BLK_RANK" dataDxfId="220"/>
    <tableColumn id="50" xr3:uid="{8B97EBFF-172E-43B3-8D5D-6548064D85F4}" name="BLKA_RANK" dataDxfId="219"/>
    <tableColumn id="51" xr3:uid="{1A040544-3053-4B97-A3E1-D8D68E79F35A}" name="PF_RANK" dataDxfId="218"/>
    <tableColumn id="52" xr3:uid="{0B0C2490-68C2-4B32-B525-6D2AC4BE8596}" name="PFD_RANK" dataDxfId="217"/>
    <tableColumn id="53" xr3:uid="{B7237ACB-F2BF-495E-8376-FEE9680E2C3A}" name="PTS_RANK" dataDxfId="216"/>
    <tableColumn id="54" xr3:uid="{F7D47D4D-6551-4D85-8ED6-47FC8CB93376}" name="PLUS_MINUS_RANK" dataDxfId="215"/>
    <tableColumn id="55" xr3:uid="{519B0D5D-2E7D-458F-B657-B0EF2B3B21C6}" name="CFID" dataDxfId="214"/>
    <tableColumn id="56" xr3:uid="{1852D00D-D4FD-4FD2-883E-01E5B4BA3ED2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31BE7F5-E147-41FC-BE0B-FAB00FDF37FB}" name="TableClutchOpponentN1" displayName="TableClutchOpponentN1" ref="A1:BD31" totalsRowShown="0" headerRowDxfId="98">
  <autoFilter ref="A1:BD31" xr:uid="{60BBD135-8172-4C43-BC75-3DE41641C4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97F6A9B-5E4B-45A1-B8AA-70F8BB54D6F6}" name="TEAM_ID" dataDxfId="154"/>
    <tableColumn id="2" xr3:uid="{0AFD40D4-0E45-409E-97A4-3DA5EBE06A8C}" name="TEAM_NAME" dataDxfId="153"/>
    <tableColumn id="3" xr3:uid="{664DCF05-0BF8-447B-B280-85AEF9BB4E3F}" name="GP" dataDxfId="152"/>
    <tableColumn id="4" xr3:uid="{F7B6E66C-60E1-4889-B3B4-583F2D657DE5}" name="W" dataDxfId="151"/>
    <tableColumn id="5" xr3:uid="{AC519C0E-C279-4810-A5CC-F6D1A25D48F2}" name="L" dataDxfId="150"/>
    <tableColumn id="6" xr3:uid="{4C64C52D-CD7B-4529-9E7D-4AB931B3DDBE}" name="W_PCT" dataDxfId="149"/>
    <tableColumn id="7" xr3:uid="{52F9A765-2449-488C-BCCB-E508E5D5791A}" name="MIN" dataDxfId="148"/>
    <tableColumn id="8" xr3:uid="{7F7695B3-52F1-4434-84C5-DBBDF9C4C1DF}" name="OPP_FGM" dataDxfId="147"/>
    <tableColumn id="9" xr3:uid="{4464B2BC-7C56-43BE-9A81-5E0254B59101}" name="OPP_FGA" dataDxfId="146"/>
    <tableColumn id="10" xr3:uid="{E05FB890-E33B-4505-B2DE-13720DD9406E}" name="OPP_FG_PCT" dataDxfId="145"/>
    <tableColumn id="11" xr3:uid="{C8DBD0CC-4B09-4EB0-9D08-B7BE993DCD5A}" name="OPP_FG3M" dataDxfId="144"/>
    <tableColumn id="12" xr3:uid="{495671ED-A9F0-4DA0-A51D-88F457AE4A23}" name="OPP_FG3A" dataDxfId="143"/>
    <tableColumn id="13" xr3:uid="{E64E4A3A-E59B-4FB6-8326-A00253DEFC00}" name="OPP_FG3_PCT" dataDxfId="142"/>
    <tableColumn id="14" xr3:uid="{67F5A27F-AB54-4EAA-911A-FC2444F5B688}" name="OPP_FTM" dataDxfId="141"/>
    <tableColumn id="15" xr3:uid="{1CAE7998-8131-45E4-928F-002ECF7C8D42}" name="OPP_FTA" dataDxfId="140"/>
    <tableColumn id="16" xr3:uid="{590339E6-D6B0-4A5B-9920-F0B86CDC34A4}" name="OPP_FT_PCT" dataDxfId="139"/>
    <tableColumn id="17" xr3:uid="{5E32AD85-9B82-4338-BDD1-47FD45A32B72}" name="OPP_OREB" dataDxfId="138"/>
    <tableColumn id="18" xr3:uid="{3661FBE6-B85F-45DF-B9D1-2B368CF346D2}" name="OPP_DREB" dataDxfId="137"/>
    <tableColumn id="19" xr3:uid="{8980D3CD-D7A0-422E-9704-16ACB5467053}" name="OPP_REB" dataDxfId="136"/>
    <tableColumn id="20" xr3:uid="{D402F687-E39C-4AE0-985D-3391AE092996}" name="OPP_AST" dataDxfId="135"/>
    <tableColumn id="21" xr3:uid="{10B848BE-57BD-487C-B330-73653EEE46EA}" name="OPP_TOV" dataDxfId="134"/>
    <tableColumn id="22" xr3:uid="{DC97FDF7-0CBA-4CA6-AA1B-1D2E83F941A5}" name="OPP_STL" dataDxfId="133"/>
    <tableColumn id="23" xr3:uid="{334519DF-269D-4E88-8650-FD529FA0CAC5}" name="OPP_BLK" dataDxfId="132"/>
    <tableColumn id="24" xr3:uid="{B9841FEC-7727-4E48-85E9-1E14B8F61025}" name="OPP_BLKA" dataDxfId="131"/>
    <tableColumn id="25" xr3:uid="{6B9BD9D7-C0F8-43D2-A6CF-D856F757E705}" name="OPP_PF" dataDxfId="130"/>
    <tableColumn id="26" xr3:uid="{37038183-1C7E-4BCA-AA17-BB7DEA733A70}" name="OPP_PFD" dataDxfId="129"/>
    <tableColumn id="27" xr3:uid="{B0F1345D-F217-4929-B86B-B7A41CE6FF06}" name="OPP_PTS" dataDxfId="128"/>
    <tableColumn id="28" xr3:uid="{A9367635-66C4-41A1-87E2-176113769095}" name="PLUS_MINUS" dataDxfId="127"/>
    <tableColumn id="29" xr3:uid="{8AD0C979-1A27-439F-8961-6C176EBEB8BA}" name="GP_RANK" dataDxfId="126"/>
    <tableColumn id="30" xr3:uid="{5C8BF29B-492A-47C4-8542-9C4BFD5BE5D8}" name="W_RANK" dataDxfId="125"/>
    <tableColumn id="31" xr3:uid="{254CF4BB-CA63-4A1D-AA1E-60EECAEBAA54}" name="L_RANK" dataDxfId="124"/>
    <tableColumn id="32" xr3:uid="{3531697E-E5BD-4113-8F54-4E8FBC88F82F}" name="W_PCT_RANK" dataDxfId="123"/>
    <tableColumn id="33" xr3:uid="{852A2D0A-58A0-4E98-9017-8CBE758BF5B1}" name="MIN_RANK" dataDxfId="122"/>
    <tableColumn id="34" xr3:uid="{6605D0B4-BEF7-41CC-8A27-971D9315847D}" name="OPP_FGM_RANK" dataDxfId="121"/>
    <tableColumn id="35" xr3:uid="{19C9F7A7-E655-40A2-82BD-9B7DCBA4D237}" name="OPP_FGA_RANK" dataDxfId="120"/>
    <tableColumn id="36" xr3:uid="{96DCD261-9BF9-419F-B877-996509F5865B}" name="OPP_FG_PCT_RANK" dataDxfId="119"/>
    <tableColumn id="37" xr3:uid="{1A0A800C-A5D5-4A1D-9A64-BF6B3847C8EA}" name="OPP_FG3M_RANK" dataDxfId="118"/>
    <tableColumn id="38" xr3:uid="{2BC4505A-640C-4E54-88F1-44CFB281D46C}" name="OPP_FG3A_RANK" dataDxfId="117"/>
    <tableColumn id="39" xr3:uid="{6FDAA6F9-2025-49B2-A995-F9F9EE0E8B42}" name="OPP_FG3_PCT_RANK" dataDxfId="116"/>
    <tableColumn id="40" xr3:uid="{E6313F87-8019-4BE5-AF2C-0C9498654C5E}" name="OPP_FTM_RANK" dataDxfId="115"/>
    <tableColumn id="41" xr3:uid="{62B220D1-5C5C-4722-974B-C522F3199D0A}" name="OPP_FTA_RANK" dataDxfId="114"/>
    <tableColumn id="42" xr3:uid="{72FB1AC1-1F48-4799-BA76-A2204D650ED5}" name="OPP_FT_PCT_RANK" dataDxfId="113"/>
    <tableColumn id="43" xr3:uid="{E214E52A-BC05-443B-81A4-73DC7708C19C}" name="OPP_OREB_RANK" dataDxfId="112"/>
    <tableColumn id="44" xr3:uid="{8A9A626C-9506-4905-B029-AF084BBF51AC}" name="OPP_DREB_RANK" dataDxfId="111"/>
    <tableColumn id="45" xr3:uid="{19140B86-B4EF-401B-9C77-CB9FCDDF5811}" name="OPP_REB_RANK" dataDxfId="110"/>
    <tableColumn id="46" xr3:uid="{857F37B7-C774-4489-8F94-5D52FC026C92}" name="OPP_AST_RANK" dataDxfId="109"/>
    <tableColumn id="47" xr3:uid="{24FDC88B-AD21-4092-B814-C1F18C8BEC07}" name="OPP_TOV_RANK" dataDxfId="108"/>
    <tableColumn id="48" xr3:uid="{391CAF78-BDF9-45F5-A25C-0F501F40CAC7}" name="OPP_STL_RANK" dataDxfId="107"/>
    <tableColumn id="49" xr3:uid="{27E08E2E-B60D-4742-A532-B5C024014D8F}" name="OPP_BLK_RANK" dataDxfId="106"/>
    <tableColumn id="50" xr3:uid="{5293AA9B-9AC4-49C8-AC9E-77C570A4D4E2}" name="OPP_BLKA_RANK" dataDxfId="105"/>
    <tableColumn id="51" xr3:uid="{2B792FC4-03EE-4E2D-8E39-7138FCE3B9AE}" name="OPP_PF_RANK" dataDxfId="104"/>
    <tableColumn id="52" xr3:uid="{6D5A3812-A069-4A50-B372-0628D8F1C105}" name="OPP_PFD_RANK" dataDxfId="103"/>
    <tableColumn id="53" xr3:uid="{5D363735-EBF6-4E4A-BA90-15120AE1E69C}" name="OPP_PTS_RANK" dataDxfId="102"/>
    <tableColumn id="54" xr3:uid="{4CB36D00-3335-4A2F-8444-1D3048C18723}" name="PLUS_MINUS_RANK" dataDxfId="101"/>
    <tableColumn id="55" xr3:uid="{F1ABA2E2-D625-4AC5-B58E-383BE5930D95}" name="CFID" dataDxfId="100"/>
    <tableColumn id="56" xr3:uid="{8DF34F85-CA5F-4087-8144-AFAF534BEE2D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CBB78AC-A645-4C84-9D7B-94C869BCB58B}" name="TableClutchAdvancedN1" displayName="TableClutchAdvancedN1" ref="A1:AV31" totalsRowShown="0" headerRowDxfId="0">
  <autoFilter ref="A1:AV31" xr:uid="{C5FF6859-93D2-4A45-9704-233C0FED7D6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72B85B5-7F31-40D2-824D-92FD658C5B65}" name="TEAM_ID" dataDxfId="48"/>
    <tableColumn id="2" xr3:uid="{35C8F903-E4FF-4695-AD17-693EB51C0A9E}" name="TEAM_NAME" dataDxfId="47"/>
    <tableColumn id="3" xr3:uid="{05C56DDE-C58C-47CE-9095-72A416162345}" name="GP" dataDxfId="46"/>
    <tableColumn id="4" xr3:uid="{C3E6AF09-3D54-423D-8A33-F6CE0B818FDB}" name="W" dataDxfId="45"/>
    <tableColumn id="5" xr3:uid="{0047B0F7-FEFD-44E1-AA49-77146E4523B4}" name="L" dataDxfId="44"/>
    <tableColumn id="6" xr3:uid="{989BA4A9-ACB2-474A-B947-A504447025E1}" name="W_PCT" dataDxfId="43"/>
    <tableColumn id="7" xr3:uid="{F64DEDA5-E695-4071-B165-2543FB094F67}" name="MIN" dataDxfId="42"/>
    <tableColumn id="8" xr3:uid="{F0FE029D-42C5-4D8D-85A9-1A7A2FB450D9}" name="E_OFF_RATING" dataDxfId="41"/>
    <tableColumn id="9" xr3:uid="{EDD7C467-965C-4E97-A4E8-8818941EA64A}" name="OFF_RATING" dataDxfId="40"/>
    <tableColumn id="10" xr3:uid="{40B7A306-BA13-466E-BFA3-93727E5CF1F8}" name="E_DEF_RATING" dataDxfId="39"/>
    <tableColumn id="11" xr3:uid="{FC6C4897-F308-4810-99EA-B8FC91AC51A4}" name="DEF_RATING" dataDxfId="38"/>
    <tableColumn id="12" xr3:uid="{BFAADFE7-DA4F-4E67-8CE6-EAD394D41252}" name="E_NET_RATING" dataDxfId="37"/>
    <tableColumn id="13" xr3:uid="{FF1C5916-8CE1-447A-B47A-FC328736FB17}" name="NET_RATING" dataDxfId="36"/>
    <tableColumn id="14" xr3:uid="{AE99F127-5C23-4416-8D36-F4D96664A211}" name="AST_PCT" dataDxfId="35"/>
    <tableColumn id="15" xr3:uid="{A08F7F88-FD9C-4187-BE20-21C5449BD320}" name="AST_TO" dataDxfId="34"/>
    <tableColumn id="16" xr3:uid="{FFA73E30-7DE5-444B-859B-7676B6AA1203}" name="AST_RATIO" dataDxfId="33"/>
    <tableColumn id="17" xr3:uid="{BD0A7633-5470-4E4E-9368-993EEA0267B2}" name="OREB_PCT" dataDxfId="32"/>
    <tableColumn id="18" xr3:uid="{40990F71-6258-4DF2-88DF-C31918132129}" name="DREB_PCT" dataDxfId="31"/>
    <tableColumn id="19" xr3:uid="{A7907045-AA6B-44DA-B628-755922703820}" name="REB_PCT" dataDxfId="30"/>
    <tableColumn id="20" xr3:uid="{DEDEB283-85A0-4171-92FE-FB754CFE2309}" name="TM_TOV_PCT" dataDxfId="29"/>
    <tableColumn id="21" xr3:uid="{34871E13-DD20-4563-A4E7-51782E3C3FE2}" name="EFG_PCT" dataDxfId="28"/>
    <tableColumn id="22" xr3:uid="{C046A718-556D-4776-A21F-3DFBC8293710}" name="TS_PCT" dataDxfId="27"/>
    <tableColumn id="23" xr3:uid="{11BE482E-DE0D-42BC-B875-6DA2A5910C71}" name="E_PACE" dataDxfId="26"/>
    <tableColumn id="24" xr3:uid="{88F2D8E0-30B5-4F31-8B3A-638975CDB9AB}" name="PACE" dataDxfId="25"/>
    <tableColumn id="25" xr3:uid="{3DA94FB1-EAEE-4A9B-A45D-9E7C0EF15E62}" name="PACE_PER40" dataDxfId="24"/>
    <tableColumn id="26" xr3:uid="{14449066-7DDC-4AFE-B1E5-AE03F3F2510E}" name="POSS" dataDxfId="23"/>
    <tableColumn id="27" xr3:uid="{EFC3BFB1-43D7-49CF-8FFC-8F3C6D99B7C7}" name="PIE" dataDxfId="22"/>
    <tableColumn id="28" xr3:uid="{480F8D90-292E-4A9D-9EB7-33CAD21CB2C9}" name="GP_RANK" dataDxfId="21"/>
    <tableColumn id="29" xr3:uid="{D0C24D25-DF1F-4A10-A7F9-55CA08A061E4}" name="W_RANK" dataDxfId="20"/>
    <tableColumn id="30" xr3:uid="{C97CD041-F719-4D05-8075-EC0239FBE55F}" name="L_RANK" dataDxfId="19"/>
    <tableColumn id="31" xr3:uid="{F0D3D7C1-8C52-4D2A-8BC1-FC7CB249EF20}" name="W_PCT_RANK" dataDxfId="18"/>
    <tableColumn id="32" xr3:uid="{57715BC5-6401-44EF-BF3E-0891A82C747F}" name="MIN_RANK" dataDxfId="17"/>
    <tableColumn id="33" xr3:uid="{EC2E736D-6325-4928-AC17-44AD23F5EF52}" name="OFF_RATING_RANK" dataDxfId="16"/>
    <tableColumn id="34" xr3:uid="{2D734FB4-3EFD-4424-B7AD-6AE0A1BA14CE}" name="DEF_RATING_RANK" dataDxfId="15"/>
    <tableColumn id="35" xr3:uid="{41DA78CE-0F9C-4E78-B60E-775A64BE28F6}" name="NET_RATING_RANK" dataDxfId="14"/>
    <tableColumn id="36" xr3:uid="{82811B4C-399F-40C2-BA2B-DE48A853576F}" name="AST_PCT_RANK" dataDxfId="13"/>
    <tableColumn id="37" xr3:uid="{A96C3B0E-5D29-4C4C-9CF9-FB4A0C310539}" name="AST_TO_RANK" dataDxfId="12"/>
    <tableColumn id="38" xr3:uid="{E470DA2F-D82F-4309-B1AA-A19EAA574EE1}" name="AST_RATIO_RANK" dataDxfId="11"/>
    <tableColumn id="39" xr3:uid="{F3889243-593A-4C7C-8A09-7A2C9D6513F9}" name="OREB_PCT_RANK" dataDxfId="10"/>
    <tableColumn id="40" xr3:uid="{9F761E2E-9496-463E-98FE-09D2DC6E2831}" name="DREB_PCT_RANK" dataDxfId="9"/>
    <tableColumn id="41" xr3:uid="{7FA0C049-608A-43B4-8C7B-9F3FCE35C408}" name="REB_PCT_RANK" dataDxfId="8"/>
    <tableColumn id="42" xr3:uid="{11B60E76-11EA-4044-A118-1B9A65294F4A}" name="TM_TOV_PCT_RANK" dataDxfId="7"/>
    <tableColumn id="43" xr3:uid="{31DD2046-A2D3-4355-B020-0A4180C3F134}" name="EFG_PCT_RANK" dataDxfId="6"/>
    <tableColumn id="44" xr3:uid="{DBDF3123-6BDB-4F38-B17D-AAF2DBDB963C}" name="TS_PCT_RANK" dataDxfId="5"/>
    <tableColumn id="45" xr3:uid="{C39FF4C7-9C2E-44F5-BDD3-915D7EF96454}" name="PACE_RANK" dataDxfId="4"/>
    <tableColumn id="46" xr3:uid="{F8A2A176-57C9-4A78-863C-2DA114C13BBE}" name="PIE_RANK" dataDxfId="3"/>
    <tableColumn id="47" xr3:uid="{94DBB7C2-83F0-4C07-B489-151D2AA9077E}" name="CFID" dataDxfId="2"/>
    <tableColumn id="48" xr3:uid="{E0DDDF8E-E141-4B73-83CF-0AF90476760F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1410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1414</v>
      </c>
      <c r="D3" s="2">
        <v>10</v>
      </c>
      <c r="F3" s="1" t="s">
        <v>1411</v>
      </c>
      <c r="G3" s="2">
        <v>1</v>
      </c>
    </row>
    <row r="4" spans="1:7" x14ac:dyDescent="0.25">
      <c r="A4" s="23"/>
      <c r="B4" s="5" t="s">
        <v>6</v>
      </c>
      <c r="C4" s="11">
        <v>0.45100000000000001</v>
      </c>
      <c r="F4" s="11">
        <v>0.85699999999999998</v>
      </c>
    </row>
    <row r="5" spans="1:7" x14ac:dyDescent="0.25">
      <c r="A5" s="23"/>
      <c r="B5" s="5" t="s">
        <v>7</v>
      </c>
      <c r="C5" s="1" t="s">
        <v>1346</v>
      </c>
      <c r="F5" s="1" t="s">
        <v>1345</v>
      </c>
    </row>
    <row r="6" spans="1:7" x14ac:dyDescent="0.25">
      <c r="A6" s="23"/>
      <c r="B6" s="5" t="s">
        <v>2</v>
      </c>
      <c r="C6" s="1" t="s">
        <v>1338</v>
      </c>
      <c r="F6" s="1" t="s">
        <v>1412</v>
      </c>
    </row>
    <row r="7" spans="1:7" x14ac:dyDescent="0.25">
      <c r="A7" s="23"/>
      <c r="B7" s="5" t="s">
        <v>3</v>
      </c>
      <c r="C7" s="1" t="s">
        <v>1415</v>
      </c>
      <c r="F7" s="1" t="s">
        <v>1413</v>
      </c>
    </row>
    <row r="8" spans="1:7" x14ac:dyDescent="0.25">
      <c r="A8" s="23"/>
      <c r="B8" s="5" t="s">
        <v>0</v>
      </c>
      <c r="C8" s="1" t="s">
        <v>1416</v>
      </c>
      <c r="F8" s="1" t="s">
        <v>1411</v>
      </c>
    </row>
    <row r="9" spans="1:7" x14ac:dyDescent="0.25">
      <c r="A9" s="23"/>
      <c r="B9" s="5" t="s">
        <v>1</v>
      </c>
      <c r="C9" s="1" t="s">
        <v>1417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0.47</v>
      </c>
      <c r="D11" s="3">
        <v>9</v>
      </c>
      <c r="F11" s="9">
        <v>0.47799999999999998</v>
      </c>
      <c r="G11" s="3">
        <v>3</v>
      </c>
    </row>
    <row r="12" spans="1:7" x14ac:dyDescent="0.25">
      <c r="A12" s="23"/>
      <c r="B12" s="14" t="s">
        <v>36</v>
      </c>
      <c r="C12" s="8">
        <v>42.6</v>
      </c>
      <c r="D12" s="3">
        <v>6</v>
      </c>
      <c r="F12" s="8">
        <v>42.7</v>
      </c>
      <c r="G12" s="3">
        <v>4</v>
      </c>
    </row>
    <row r="13" spans="1:7" x14ac:dyDescent="0.25">
      <c r="A13" s="23"/>
      <c r="B13" s="14" t="s">
        <v>37</v>
      </c>
      <c r="C13" s="8">
        <v>90.5</v>
      </c>
      <c r="D13" s="3">
        <v>8</v>
      </c>
      <c r="F13" s="8">
        <v>89.4</v>
      </c>
      <c r="G13" s="3">
        <v>15</v>
      </c>
    </row>
    <row r="14" spans="1:7" x14ac:dyDescent="0.25">
      <c r="A14" s="23"/>
      <c r="B14" s="14" t="s">
        <v>27</v>
      </c>
      <c r="C14" s="9">
        <v>0.33300000000000002</v>
      </c>
      <c r="D14" s="3">
        <v>29</v>
      </c>
      <c r="F14" s="9">
        <v>0.34200000000000003</v>
      </c>
      <c r="G14" s="3">
        <v>21</v>
      </c>
    </row>
    <row r="15" spans="1:7" x14ac:dyDescent="0.25">
      <c r="A15" s="23"/>
      <c r="B15" s="14" t="s">
        <v>38</v>
      </c>
      <c r="C15" s="8">
        <v>10.3</v>
      </c>
      <c r="D15" s="3">
        <v>20</v>
      </c>
      <c r="F15" s="8">
        <v>10.1</v>
      </c>
      <c r="G15" s="3">
        <v>25</v>
      </c>
    </row>
    <row r="16" spans="1:7" x14ac:dyDescent="0.25">
      <c r="A16" s="23"/>
      <c r="B16" s="14" t="s">
        <v>39</v>
      </c>
      <c r="C16" s="8">
        <v>31</v>
      </c>
      <c r="D16" s="3">
        <v>17</v>
      </c>
      <c r="F16" s="8">
        <v>29.6</v>
      </c>
      <c r="G16" s="3">
        <v>26</v>
      </c>
    </row>
    <row r="17" spans="1:7" x14ac:dyDescent="0.25">
      <c r="A17" s="23"/>
      <c r="B17" s="14" t="s">
        <v>28</v>
      </c>
      <c r="C17" s="9">
        <v>0.69899999999999995</v>
      </c>
      <c r="D17" s="3">
        <v>29</v>
      </c>
      <c r="F17" s="9">
        <v>0.751</v>
      </c>
      <c r="G17" s="3">
        <v>20</v>
      </c>
    </row>
    <row r="18" spans="1:7" x14ac:dyDescent="0.25">
      <c r="A18" s="23"/>
      <c r="B18" s="14" t="s">
        <v>41</v>
      </c>
      <c r="C18" s="8">
        <v>16.3</v>
      </c>
      <c r="D18" s="3">
        <v>24</v>
      </c>
      <c r="F18" s="8">
        <v>15.3</v>
      </c>
      <c r="G18" s="3">
        <v>28</v>
      </c>
    </row>
    <row r="19" spans="1:7" x14ac:dyDescent="0.25">
      <c r="A19" s="23"/>
      <c r="B19" s="14" t="s">
        <v>40</v>
      </c>
      <c r="C19" s="8">
        <v>23.3</v>
      </c>
      <c r="D19" s="3">
        <v>14</v>
      </c>
      <c r="F19" s="8">
        <v>20.399999999999999</v>
      </c>
      <c r="G19" s="3">
        <v>26</v>
      </c>
    </row>
    <row r="20" spans="1:7" x14ac:dyDescent="0.25">
      <c r="A20" s="23"/>
      <c r="B20" s="14" t="s">
        <v>29</v>
      </c>
      <c r="C20" s="8">
        <v>25.6</v>
      </c>
      <c r="D20" s="3">
        <v>11</v>
      </c>
      <c r="F20" s="8">
        <v>26.6</v>
      </c>
      <c r="G20" s="3">
        <v>4</v>
      </c>
    </row>
    <row r="21" spans="1:7" x14ac:dyDescent="0.25">
      <c r="A21" s="23"/>
      <c r="B21" s="14" t="s">
        <v>30</v>
      </c>
      <c r="C21" s="8">
        <v>15.7</v>
      </c>
      <c r="D21" s="3">
        <v>29</v>
      </c>
      <c r="F21" s="8">
        <v>15.1</v>
      </c>
      <c r="G21" s="3">
        <v>10</v>
      </c>
    </row>
    <row r="22" spans="1:7" x14ac:dyDescent="0.25">
      <c r="A22" s="23"/>
      <c r="B22" s="14" t="s">
        <v>32</v>
      </c>
      <c r="C22" s="8">
        <v>46.6</v>
      </c>
      <c r="D22" s="3">
        <v>6</v>
      </c>
      <c r="F22" s="8">
        <v>45.9</v>
      </c>
      <c r="G22" s="3">
        <v>16</v>
      </c>
    </row>
    <row r="23" spans="1:7" x14ac:dyDescent="0.25">
      <c r="A23" s="23"/>
      <c r="B23" s="14" t="s">
        <v>31</v>
      </c>
      <c r="C23" s="8">
        <v>10.199999999999999</v>
      </c>
      <c r="D23" s="3">
        <v>15</v>
      </c>
      <c r="F23" s="8">
        <v>10.199999999999999</v>
      </c>
      <c r="G23" s="3">
        <v>20</v>
      </c>
    </row>
    <row r="24" spans="1:7" x14ac:dyDescent="0.25">
      <c r="A24" s="23"/>
      <c r="B24" s="14" t="s">
        <v>33</v>
      </c>
      <c r="C24" s="8">
        <v>36.4</v>
      </c>
      <c r="D24" s="3">
        <v>4</v>
      </c>
      <c r="F24" s="8">
        <v>35.700000000000003</v>
      </c>
      <c r="G24" s="3">
        <v>12</v>
      </c>
    </row>
    <row r="25" spans="1:7" x14ac:dyDescent="0.25">
      <c r="A25" s="23"/>
      <c r="B25" s="14" t="s">
        <v>34</v>
      </c>
      <c r="C25" s="8">
        <v>7.5</v>
      </c>
      <c r="D25" s="3">
        <v>16</v>
      </c>
      <c r="F25" s="8">
        <v>8.4</v>
      </c>
      <c r="G25" s="3">
        <v>8</v>
      </c>
    </row>
    <row r="26" spans="1:7" x14ac:dyDescent="0.25">
      <c r="A26" s="23"/>
      <c r="B26" s="14" t="s">
        <v>35</v>
      </c>
      <c r="C26" s="8">
        <v>5.4</v>
      </c>
      <c r="D26" s="3">
        <v>8</v>
      </c>
      <c r="F26" s="8">
        <v>7.8</v>
      </c>
      <c r="G26" s="3">
        <v>1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0.45200000000000001</v>
      </c>
      <c r="D28" s="3">
        <v>9</v>
      </c>
      <c r="F28" s="9">
        <v>0.42699999999999999</v>
      </c>
      <c r="G28" s="3">
        <v>6</v>
      </c>
    </row>
    <row r="29" spans="1:7" x14ac:dyDescent="0.25">
      <c r="A29" s="23"/>
      <c r="B29" s="18" t="s">
        <v>43</v>
      </c>
      <c r="C29" s="9">
        <v>0.34899999999999998</v>
      </c>
      <c r="D29" s="3">
        <v>13</v>
      </c>
      <c r="F29" s="9">
        <v>0.31900000000000001</v>
      </c>
      <c r="G29" s="3">
        <v>4</v>
      </c>
    </row>
    <row r="30" spans="1:7" x14ac:dyDescent="0.25">
      <c r="A30" s="23"/>
      <c r="B30" s="18" t="s">
        <v>44</v>
      </c>
      <c r="C30" s="8">
        <v>11.8</v>
      </c>
      <c r="D30" s="3">
        <v>20</v>
      </c>
      <c r="F30" s="8">
        <v>10.4</v>
      </c>
      <c r="G30" s="3">
        <v>4</v>
      </c>
    </row>
    <row r="31" spans="1:7" x14ac:dyDescent="0.25">
      <c r="A31" s="23"/>
      <c r="B31" s="17" t="s">
        <v>45</v>
      </c>
      <c r="C31" s="8">
        <v>34</v>
      </c>
      <c r="D31" s="3">
        <v>27</v>
      </c>
      <c r="F31" s="8">
        <v>32.6</v>
      </c>
      <c r="G31" s="3">
        <v>12</v>
      </c>
    </row>
    <row r="32" spans="1:7" x14ac:dyDescent="0.25">
      <c r="A32" s="23"/>
      <c r="B32" s="17" t="s">
        <v>46</v>
      </c>
      <c r="C32" s="8">
        <v>14.2</v>
      </c>
      <c r="D32" s="3">
        <v>12</v>
      </c>
      <c r="F32" s="8">
        <v>17.2</v>
      </c>
      <c r="G32" s="3">
        <v>5</v>
      </c>
    </row>
    <row r="33" spans="1:7" x14ac:dyDescent="0.25">
      <c r="A33" s="23"/>
      <c r="B33" s="17" t="s">
        <v>47</v>
      </c>
      <c r="C33" s="8">
        <v>11.3</v>
      </c>
      <c r="D33" s="3">
        <v>27</v>
      </c>
      <c r="F33" s="8">
        <v>9.4</v>
      </c>
      <c r="G33" s="3">
        <v>7</v>
      </c>
    </row>
    <row r="35" spans="1:7" x14ac:dyDescent="0.25">
      <c r="A35" s="23" t="s">
        <v>60</v>
      </c>
      <c r="B35" s="4" t="s">
        <v>8</v>
      </c>
      <c r="C35" s="8">
        <v>107.4</v>
      </c>
      <c r="D35" s="3">
        <v>24</v>
      </c>
      <c r="F35" s="8">
        <v>109.6</v>
      </c>
      <c r="G35" s="3">
        <v>10</v>
      </c>
    </row>
    <row r="36" spans="1:7" x14ac:dyDescent="0.25">
      <c r="A36" s="23"/>
      <c r="B36" s="4" t="s">
        <v>9</v>
      </c>
      <c r="C36" s="8">
        <v>108.9</v>
      </c>
      <c r="D36" s="3">
        <v>13</v>
      </c>
      <c r="F36" s="8">
        <v>100.5</v>
      </c>
      <c r="G36" s="3">
        <v>2</v>
      </c>
    </row>
    <row r="37" spans="1:7" x14ac:dyDescent="0.25">
      <c r="A37" s="23"/>
      <c r="B37" s="4" t="s">
        <v>10</v>
      </c>
      <c r="C37" s="8">
        <v>-1.6</v>
      </c>
      <c r="D37" s="3">
        <v>22</v>
      </c>
      <c r="F37" s="8">
        <v>9.1</v>
      </c>
      <c r="G37" s="3">
        <v>1</v>
      </c>
    </row>
    <row r="38" spans="1:7" x14ac:dyDescent="0.25">
      <c r="A38" s="23"/>
      <c r="B38" s="4" t="s">
        <v>11</v>
      </c>
      <c r="C38" s="13">
        <v>103.6</v>
      </c>
      <c r="D38" s="3">
        <v>4</v>
      </c>
      <c r="F38" s="13">
        <v>100.11</v>
      </c>
      <c r="G38" s="3">
        <v>24</v>
      </c>
    </row>
    <row r="39" spans="1:7" x14ac:dyDescent="0.25">
      <c r="A39" s="23"/>
      <c r="B39" s="4" t="s">
        <v>12</v>
      </c>
      <c r="C39" s="10">
        <v>0.52700000000000002</v>
      </c>
      <c r="D39" s="3">
        <v>14</v>
      </c>
      <c r="F39" s="9">
        <v>0.53500000000000003</v>
      </c>
      <c r="G39" s="3">
        <v>8</v>
      </c>
    </row>
    <row r="40" spans="1:7" x14ac:dyDescent="0.25">
      <c r="A40" s="23"/>
      <c r="B40" s="4" t="s">
        <v>13</v>
      </c>
      <c r="C40" s="10">
        <v>0.6</v>
      </c>
      <c r="D40" s="3">
        <v>16</v>
      </c>
      <c r="F40" s="9">
        <v>0.624</v>
      </c>
      <c r="G40" s="3">
        <v>8</v>
      </c>
    </row>
    <row r="41" spans="1:7" x14ac:dyDescent="0.25">
      <c r="A41" s="23"/>
      <c r="B41" s="4" t="s">
        <v>14</v>
      </c>
      <c r="C41" s="10">
        <v>0.502</v>
      </c>
      <c r="D41" s="3">
        <v>14</v>
      </c>
      <c r="F41" s="9">
        <v>0.51500000000000001</v>
      </c>
      <c r="G41" s="3">
        <v>7</v>
      </c>
    </row>
    <row r="42" spans="1:7" x14ac:dyDescent="0.25">
      <c r="A42" s="23"/>
      <c r="B42" s="4" t="s">
        <v>15</v>
      </c>
      <c r="C42" s="10">
        <v>0.27</v>
      </c>
      <c r="D42" s="3">
        <v>14</v>
      </c>
      <c r="F42" s="9">
        <v>0.28299999999999997</v>
      </c>
      <c r="G42" s="3">
        <v>8</v>
      </c>
    </row>
    <row r="43" spans="1:7" x14ac:dyDescent="0.25">
      <c r="A43" s="23"/>
      <c r="B43" s="4" t="s">
        <v>16</v>
      </c>
      <c r="C43" s="10">
        <v>0.72499999999999998</v>
      </c>
      <c r="D43" s="3">
        <v>19</v>
      </c>
      <c r="F43" s="9">
        <v>0.73899999999999999</v>
      </c>
      <c r="G43" s="3">
        <v>9</v>
      </c>
    </row>
    <row r="44" spans="1:7" x14ac:dyDescent="0.25">
      <c r="A44" s="23"/>
      <c r="B44" s="4" t="s">
        <v>17</v>
      </c>
      <c r="C44" s="10">
        <v>0.15</v>
      </c>
      <c r="D44" s="3">
        <v>28</v>
      </c>
      <c r="F44" s="9">
        <v>0.14899999999999999</v>
      </c>
      <c r="G44" s="3">
        <v>13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71.3</v>
      </c>
      <c r="D46" s="3">
        <v>21</v>
      </c>
      <c r="F46" s="8">
        <v>67.2</v>
      </c>
      <c r="G46" s="3">
        <v>23</v>
      </c>
    </row>
    <row r="47" spans="1:7" x14ac:dyDescent="0.25">
      <c r="A47" s="23"/>
      <c r="B47" s="20" t="s">
        <v>49</v>
      </c>
      <c r="C47" s="8">
        <v>72.900000000000006</v>
      </c>
      <c r="D47" s="3">
        <v>10</v>
      </c>
      <c r="F47" s="8">
        <v>60.8</v>
      </c>
      <c r="G47" s="3">
        <v>3</v>
      </c>
    </row>
    <row r="48" spans="1:7" x14ac:dyDescent="0.25">
      <c r="A48" s="23"/>
      <c r="B48" s="20" t="s">
        <v>50</v>
      </c>
      <c r="C48" s="8">
        <v>-1.6</v>
      </c>
      <c r="D48" s="3">
        <v>23</v>
      </c>
      <c r="F48" s="8">
        <v>6.5</v>
      </c>
      <c r="G48" s="3">
        <v>4</v>
      </c>
    </row>
    <row r="49" spans="1:7" x14ac:dyDescent="0.25">
      <c r="A49" s="23"/>
      <c r="B49" s="20" t="s">
        <v>51</v>
      </c>
      <c r="C49" s="8">
        <v>52.9</v>
      </c>
      <c r="D49" s="3">
        <v>23</v>
      </c>
      <c r="F49" s="8">
        <v>59.9</v>
      </c>
      <c r="G49" s="3">
        <v>6</v>
      </c>
    </row>
    <row r="50" spans="1:7" x14ac:dyDescent="0.25">
      <c r="A50" s="23"/>
      <c r="B50" s="20" t="s">
        <v>52</v>
      </c>
      <c r="C50" s="8">
        <v>53</v>
      </c>
      <c r="D50" s="3">
        <v>7</v>
      </c>
      <c r="F50" s="8">
        <v>55.9</v>
      </c>
      <c r="G50" s="3">
        <v>14</v>
      </c>
    </row>
    <row r="51" spans="1:7" x14ac:dyDescent="0.25">
      <c r="A51" s="23"/>
      <c r="B51" s="20" t="s">
        <v>53</v>
      </c>
      <c r="C51" s="8">
        <v>-0.2</v>
      </c>
      <c r="D51" s="3">
        <v>13</v>
      </c>
      <c r="F51" s="8">
        <v>4</v>
      </c>
      <c r="G51" s="3">
        <v>2</v>
      </c>
    </row>
    <row r="53" spans="1:7" x14ac:dyDescent="0.25">
      <c r="A53" s="23" t="s">
        <v>57</v>
      </c>
      <c r="B53" s="6" t="s">
        <v>18</v>
      </c>
      <c r="C53" s="7">
        <v>16.8</v>
      </c>
      <c r="D53" s="3">
        <v>12</v>
      </c>
      <c r="F53" s="7">
        <v>19.100000000000001</v>
      </c>
      <c r="G53" s="3">
        <v>7</v>
      </c>
    </row>
    <row r="54" spans="1:7" x14ac:dyDescent="0.25">
      <c r="A54" s="23"/>
      <c r="B54" s="6" t="s">
        <v>19</v>
      </c>
      <c r="C54" s="7">
        <v>18.5</v>
      </c>
      <c r="D54" s="3">
        <v>28</v>
      </c>
      <c r="F54" s="7">
        <v>16.8</v>
      </c>
      <c r="G54" s="3">
        <v>8</v>
      </c>
    </row>
    <row r="55" spans="1:7" x14ac:dyDescent="0.25">
      <c r="A55" s="23"/>
      <c r="B55" s="6" t="s">
        <v>20</v>
      </c>
      <c r="C55" s="7">
        <v>12.9</v>
      </c>
      <c r="D55" s="3">
        <v>20</v>
      </c>
      <c r="F55" s="7">
        <v>15.4</v>
      </c>
      <c r="G55" s="3">
        <v>2</v>
      </c>
    </row>
    <row r="56" spans="1:7" x14ac:dyDescent="0.25">
      <c r="A56" s="23"/>
      <c r="B56" s="6" t="s">
        <v>21</v>
      </c>
      <c r="C56" s="7">
        <v>14</v>
      </c>
      <c r="D56" s="3">
        <v>23</v>
      </c>
      <c r="F56" s="7">
        <v>11.4</v>
      </c>
      <c r="G56" s="3">
        <v>6</v>
      </c>
    </row>
    <row r="57" spans="1:7" x14ac:dyDescent="0.25">
      <c r="A57" s="23"/>
      <c r="B57" s="6" t="s">
        <v>22</v>
      </c>
      <c r="C57" s="7">
        <v>19.3</v>
      </c>
      <c r="D57" s="3">
        <v>19.3</v>
      </c>
      <c r="F57" s="7">
        <v>15.3</v>
      </c>
      <c r="G57" s="3">
        <v>15.3</v>
      </c>
    </row>
    <row r="58" spans="1:7" x14ac:dyDescent="0.25">
      <c r="A58" s="23"/>
      <c r="B58" s="6" t="s">
        <v>23</v>
      </c>
      <c r="C58" s="7">
        <v>15.9</v>
      </c>
      <c r="D58" s="3">
        <v>15.9</v>
      </c>
      <c r="F58" s="7">
        <v>17</v>
      </c>
      <c r="G58" s="3">
        <v>17</v>
      </c>
    </row>
    <row r="59" spans="1:7" x14ac:dyDescent="0.25">
      <c r="A59" s="23"/>
      <c r="B59" s="6" t="s">
        <v>24</v>
      </c>
      <c r="C59" s="7">
        <v>55.6</v>
      </c>
      <c r="D59" s="3">
        <v>2</v>
      </c>
      <c r="F59" s="7">
        <v>53.4</v>
      </c>
      <c r="G59" s="3">
        <v>2</v>
      </c>
    </row>
    <row r="60" spans="1:7" x14ac:dyDescent="0.25">
      <c r="A60" s="23"/>
      <c r="B60" s="6" t="s">
        <v>25</v>
      </c>
      <c r="C60" s="7">
        <v>50.3</v>
      </c>
      <c r="D60" s="3">
        <v>21</v>
      </c>
      <c r="F60" s="7">
        <v>43.3</v>
      </c>
      <c r="G60" s="3">
        <v>6</v>
      </c>
    </row>
    <row r="62" spans="1:7" x14ac:dyDescent="0.25">
      <c r="A62" s="23" t="s">
        <v>58</v>
      </c>
      <c r="B62" s="21" t="s">
        <v>54</v>
      </c>
      <c r="C62" s="22">
        <v>3.3</v>
      </c>
      <c r="D62" s="3">
        <v>24</v>
      </c>
      <c r="F62" s="22">
        <v>4</v>
      </c>
      <c r="G62" s="3">
        <v>12</v>
      </c>
    </row>
    <row r="63" spans="1:7" x14ac:dyDescent="0.25">
      <c r="A63" s="23"/>
      <c r="B63" s="21" t="s">
        <v>55</v>
      </c>
      <c r="C63" s="3">
        <v>21</v>
      </c>
      <c r="D63" s="3">
        <v>15</v>
      </c>
      <c r="F63" s="3">
        <v>5</v>
      </c>
      <c r="G63" s="3">
        <v>8</v>
      </c>
    </row>
    <row r="64" spans="1:7" x14ac:dyDescent="0.25">
      <c r="A64" s="23"/>
      <c r="B64" s="21" t="s">
        <v>56</v>
      </c>
      <c r="C64" s="3">
        <v>22</v>
      </c>
      <c r="D64" s="3">
        <v>18</v>
      </c>
      <c r="F64" s="3">
        <v>1</v>
      </c>
      <c r="G64" s="3">
        <v>1</v>
      </c>
    </row>
    <row r="65" spans="1:7" x14ac:dyDescent="0.25">
      <c r="A65" s="23"/>
      <c r="B65" s="21" t="s">
        <v>26</v>
      </c>
      <c r="C65" s="9">
        <v>0.44800000000000001</v>
      </c>
      <c r="D65" s="3">
        <v>10</v>
      </c>
      <c r="F65" s="9">
        <v>0.49</v>
      </c>
      <c r="G65" s="3">
        <v>4</v>
      </c>
    </row>
    <row r="66" spans="1:7" x14ac:dyDescent="0.25">
      <c r="A66" s="23"/>
      <c r="B66" s="21" t="s">
        <v>42</v>
      </c>
      <c r="C66" s="9">
        <v>0.41499999999999998</v>
      </c>
      <c r="D66" s="3">
        <v>11</v>
      </c>
      <c r="F66" s="9">
        <v>0.32400000000000001</v>
      </c>
      <c r="G66" s="3">
        <v>1</v>
      </c>
    </row>
    <row r="67" spans="1:7" x14ac:dyDescent="0.25">
      <c r="A67" s="23"/>
      <c r="B67" s="21" t="s">
        <v>8</v>
      </c>
      <c r="C67" s="8">
        <v>113.7</v>
      </c>
      <c r="D67" s="3">
        <v>4</v>
      </c>
      <c r="F67" s="8">
        <v>115.1</v>
      </c>
      <c r="G67" s="3">
        <v>10</v>
      </c>
    </row>
    <row r="68" spans="1:7" x14ac:dyDescent="0.25">
      <c r="A68" s="23"/>
      <c r="B68" s="21" t="s">
        <v>9</v>
      </c>
      <c r="C68" s="8">
        <v>110.1</v>
      </c>
      <c r="D68" s="3">
        <v>20</v>
      </c>
      <c r="F68" s="8">
        <v>83.7</v>
      </c>
      <c r="G68" s="3">
        <v>1</v>
      </c>
    </row>
    <row r="69" spans="1:7" x14ac:dyDescent="0.25">
      <c r="A69" s="23"/>
      <c r="B69" s="21" t="s">
        <v>10</v>
      </c>
      <c r="C69" s="8">
        <v>3.5</v>
      </c>
      <c r="D69" s="3">
        <v>9</v>
      </c>
      <c r="F69" s="8">
        <v>31.4</v>
      </c>
      <c r="G69" s="3">
        <v>1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workbookViewId="0">
      <selection activeCell="D9" sqref="D9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1610612747</v>
      </c>
      <c r="B2" s="1" t="s">
        <v>755</v>
      </c>
      <c r="C2" s="1" t="s">
        <v>145</v>
      </c>
      <c r="D2" s="1" t="s">
        <v>1347</v>
      </c>
      <c r="E2" s="1" t="s">
        <v>1348</v>
      </c>
      <c r="F2" s="1" t="s">
        <v>763</v>
      </c>
      <c r="G2" s="1" t="s">
        <v>299</v>
      </c>
      <c r="H2" s="1" t="s">
        <v>1349</v>
      </c>
      <c r="I2" s="1" t="s">
        <v>1350</v>
      </c>
      <c r="J2" s="1">
        <v>24</v>
      </c>
      <c r="K2" s="1" t="s">
        <v>1340</v>
      </c>
      <c r="L2" s="1" t="s">
        <v>283</v>
      </c>
      <c r="M2" s="1">
        <v>1628398</v>
      </c>
    </row>
    <row r="3" spans="1:13" x14ac:dyDescent="0.25">
      <c r="A3" s="1">
        <v>1610612747</v>
      </c>
      <c r="B3" s="1" t="s">
        <v>755</v>
      </c>
      <c r="C3" s="1" t="s">
        <v>145</v>
      </c>
      <c r="D3" s="1" t="s">
        <v>1351</v>
      </c>
      <c r="E3" s="1" t="s">
        <v>756</v>
      </c>
      <c r="F3" s="1" t="s">
        <v>759</v>
      </c>
      <c r="G3" s="1" t="s">
        <v>286</v>
      </c>
      <c r="H3" s="1" t="s">
        <v>1352</v>
      </c>
      <c r="I3" s="1" t="s">
        <v>1353</v>
      </c>
      <c r="J3" s="1">
        <v>26</v>
      </c>
      <c r="K3" s="1" t="s">
        <v>1354</v>
      </c>
      <c r="L3" s="1" t="s">
        <v>1355</v>
      </c>
      <c r="M3" s="1">
        <v>203484</v>
      </c>
    </row>
    <row r="4" spans="1:13" x14ac:dyDescent="0.25">
      <c r="A4" s="1">
        <v>1610612747</v>
      </c>
      <c r="B4" s="1" t="s">
        <v>755</v>
      </c>
      <c r="C4" s="1" t="s">
        <v>145</v>
      </c>
      <c r="D4" s="1" t="s">
        <v>1356</v>
      </c>
      <c r="E4" s="1" t="s">
        <v>1340</v>
      </c>
      <c r="F4" s="1" t="s">
        <v>759</v>
      </c>
      <c r="G4" s="1" t="s">
        <v>409</v>
      </c>
      <c r="H4" s="1" t="s">
        <v>1334</v>
      </c>
      <c r="I4" s="1" t="s">
        <v>1357</v>
      </c>
      <c r="J4" s="1">
        <v>26</v>
      </c>
      <c r="K4" s="1" t="s">
        <v>760</v>
      </c>
      <c r="L4" s="1" t="s">
        <v>1358</v>
      </c>
      <c r="M4" s="1">
        <v>1626188</v>
      </c>
    </row>
    <row r="5" spans="1:13" x14ac:dyDescent="0.25">
      <c r="A5" s="1">
        <v>1610612747</v>
      </c>
      <c r="B5" s="1" t="s">
        <v>755</v>
      </c>
      <c r="C5" s="1" t="s">
        <v>145</v>
      </c>
      <c r="D5" s="1" t="s">
        <v>1359</v>
      </c>
      <c r="E5" s="1" t="s">
        <v>760</v>
      </c>
      <c r="F5" s="1" t="s">
        <v>1341</v>
      </c>
      <c r="G5" s="1" t="s">
        <v>410</v>
      </c>
      <c r="H5" s="1" t="s">
        <v>1360</v>
      </c>
      <c r="I5" s="1" t="s">
        <v>1361</v>
      </c>
      <c r="J5" s="1">
        <v>26</v>
      </c>
      <c r="K5" s="1" t="s">
        <v>1329</v>
      </c>
      <c r="L5" s="1" t="s">
        <v>1344</v>
      </c>
      <c r="M5" s="1">
        <v>203076</v>
      </c>
    </row>
    <row r="6" spans="1:13" x14ac:dyDescent="0.25">
      <c r="A6" s="1">
        <v>1610612747</v>
      </c>
      <c r="B6" s="1" t="s">
        <v>755</v>
      </c>
      <c r="C6" s="1" t="s">
        <v>145</v>
      </c>
      <c r="D6" s="1" t="s">
        <v>1362</v>
      </c>
      <c r="E6" s="1" t="s">
        <v>761</v>
      </c>
      <c r="F6" s="1" t="s">
        <v>759</v>
      </c>
      <c r="G6" s="1" t="s">
        <v>286</v>
      </c>
      <c r="H6" s="1" t="s">
        <v>1363</v>
      </c>
      <c r="I6" s="1" t="s">
        <v>1364</v>
      </c>
      <c r="J6" s="1">
        <v>25</v>
      </c>
      <c r="K6" s="1" t="s">
        <v>1340</v>
      </c>
      <c r="L6" s="1" t="s">
        <v>1365</v>
      </c>
      <c r="M6" s="1">
        <v>1627936</v>
      </c>
    </row>
    <row r="7" spans="1:13" x14ac:dyDescent="0.25">
      <c r="A7" s="1">
        <v>1610612747</v>
      </c>
      <c r="B7" s="1" t="s">
        <v>755</v>
      </c>
      <c r="C7" s="1" t="s">
        <v>145</v>
      </c>
      <c r="D7" s="1" t="s">
        <v>1366</v>
      </c>
      <c r="E7" s="1" t="s">
        <v>762</v>
      </c>
      <c r="F7" s="1" t="s">
        <v>759</v>
      </c>
      <c r="G7" s="1" t="s">
        <v>266</v>
      </c>
      <c r="H7" s="1" t="s">
        <v>1367</v>
      </c>
      <c r="I7" s="1" t="s">
        <v>1368</v>
      </c>
      <c r="J7" s="1">
        <v>18</v>
      </c>
      <c r="K7" s="1" t="s">
        <v>758</v>
      </c>
      <c r="L7" s="1" t="s">
        <v>1369</v>
      </c>
      <c r="M7" s="1">
        <v>1629659</v>
      </c>
    </row>
    <row r="8" spans="1:13" x14ac:dyDescent="0.25">
      <c r="A8" s="1">
        <v>1610612747</v>
      </c>
      <c r="B8" s="1" t="s">
        <v>755</v>
      </c>
      <c r="C8" s="1" t="s">
        <v>145</v>
      </c>
      <c r="D8" s="1" t="s">
        <v>1370</v>
      </c>
      <c r="E8" s="1" t="s">
        <v>1329</v>
      </c>
      <c r="F8" s="1" t="s">
        <v>1371</v>
      </c>
      <c r="G8" s="1" t="s">
        <v>764</v>
      </c>
      <c r="H8" s="1" t="s">
        <v>1372</v>
      </c>
      <c r="I8" s="1" t="s">
        <v>1373</v>
      </c>
      <c r="J8" s="1">
        <v>31</v>
      </c>
      <c r="K8" s="1" t="s">
        <v>1374</v>
      </c>
      <c r="L8" s="1" t="s">
        <v>1375</v>
      </c>
      <c r="M8" s="1">
        <v>201580</v>
      </c>
    </row>
    <row r="9" spans="1:13" x14ac:dyDescent="0.25">
      <c r="A9" s="1">
        <v>1610612747</v>
      </c>
      <c r="B9" s="1" t="s">
        <v>755</v>
      </c>
      <c r="C9" s="1" t="s">
        <v>145</v>
      </c>
      <c r="D9" s="1" t="s">
        <v>1376</v>
      </c>
      <c r="E9" s="1" t="s">
        <v>1342</v>
      </c>
      <c r="F9" s="1" t="s">
        <v>759</v>
      </c>
      <c r="G9" s="1" t="s">
        <v>409</v>
      </c>
      <c r="H9" s="1" t="s">
        <v>1334</v>
      </c>
      <c r="I9" s="1" t="s">
        <v>1377</v>
      </c>
      <c r="J9" s="1">
        <v>33</v>
      </c>
      <c r="K9" s="1" t="s">
        <v>1328</v>
      </c>
      <c r="L9" s="1" t="s">
        <v>1344</v>
      </c>
      <c r="M9" s="1">
        <v>200765</v>
      </c>
    </row>
    <row r="10" spans="1:13" x14ac:dyDescent="0.25">
      <c r="A10" s="1">
        <v>1610612747</v>
      </c>
      <c r="B10" s="1" t="s">
        <v>755</v>
      </c>
      <c r="C10" s="1" t="s">
        <v>145</v>
      </c>
      <c r="D10" s="1" t="s">
        <v>1378</v>
      </c>
      <c r="E10" s="1" t="s">
        <v>1330</v>
      </c>
      <c r="F10" s="1" t="s">
        <v>763</v>
      </c>
      <c r="G10" s="1" t="s">
        <v>1379</v>
      </c>
      <c r="H10" s="1" t="s">
        <v>1380</v>
      </c>
      <c r="I10" s="1" t="s">
        <v>1381</v>
      </c>
      <c r="J10" s="1">
        <v>34</v>
      </c>
      <c r="K10" s="1" t="s">
        <v>1382</v>
      </c>
      <c r="L10" s="1" t="s">
        <v>1339</v>
      </c>
      <c r="M10" s="1">
        <v>201162</v>
      </c>
    </row>
    <row r="11" spans="1:13" x14ac:dyDescent="0.25">
      <c r="A11" s="1">
        <v>1610612747</v>
      </c>
      <c r="B11" s="1" t="s">
        <v>755</v>
      </c>
      <c r="C11" s="1" t="s">
        <v>145</v>
      </c>
      <c r="D11" s="1" t="s">
        <v>1383</v>
      </c>
      <c r="E11" s="1" t="s">
        <v>1374</v>
      </c>
      <c r="F11" s="1" t="s">
        <v>759</v>
      </c>
      <c r="G11" s="1" t="s">
        <v>256</v>
      </c>
      <c r="H11" s="1" t="s">
        <v>1334</v>
      </c>
      <c r="I11" s="1" t="s">
        <v>1384</v>
      </c>
      <c r="J11" s="1">
        <v>28</v>
      </c>
      <c r="K11" s="1" t="s">
        <v>1342</v>
      </c>
      <c r="L11" s="1" t="s">
        <v>1385</v>
      </c>
      <c r="M11" s="1">
        <v>202340</v>
      </c>
    </row>
    <row r="12" spans="1:13" x14ac:dyDescent="0.25">
      <c r="A12" s="1">
        <v>1610612747</v>
      </c>
      <c r="B12" s="1" t="s">
        <v>755</v>
      </c>
      <c r="C12" s="1" t="s">
        <v>145</v>
      </c>
      <c r="D12" s="1" t="s">
        <v>1386</v>
      </c>
      <c r="E12" s="1" t="s">
        <v>1332</v>
      </c>
      <c r="F12" s="1" t="s">
        <v>759</v>
      </c>
      <c r="G12" s="1" t="s">
        <v>1379</v>
      </c>
      <c r="H12" s="1" t="s">
        <v>1327</v>
      </c>
      <c r="I12" s="1" t="s">
        <v>1387</v>
      </c>
      <c r="J12" s="1">
        <v>32</v>
      </c>
      <c r="K12" s="1" t="s">
        <v>1330</v>
      </c>
      <c r="L12" s="1" t="s">
        <v>1388</v>
      </c>
      <c r="M12" s="1">
        <v>201980</v>
      </c>
    </row>
    <row r="13" spans="1:13" x14ac:dyDescent="0.25">
      <c r="A13" s="1">
        <v>1610612747</v>
      </c>
      <c r="B13" s="1" t="s">
        <v>755</v>
      </c>
      <c r="C13" s="1" t="s">
        <v>145</v>
      </c>
      <c r="D13" s="1" t="s">
        <v>1389</v>
      </c>
      <c r="E13" s="1" t="s">
        <v>1333</v>
      </c>
      <c r="F13" s="1" t="s">
        <v>1331</v>
      </c>
      <c r="G13" s="1" t="s">
        <v>410</v>
      </c>
      <c r="H13" s="1" t="s">
        <v>1372</v>
      </c>
      <c r="I13" s="1" t="s">
        <v>1390</v>
      </c>
      <c r="J13" s="1">
        <v>29</v>
      </c>
      <c r="K13" s="1" t="s">
        <v>1342</v>
      </c>
      <c r="L13" s="1" t="s">
        <v>1344</v>
      </c>
      <c r="M13" s="1">
        <v>202326</v>
      </c>
    </row>
    <row r="14" spans="1:13" x14ac:dyDescent="0.25">
      <c r="A14" s="1">
        <v>1610612747</v>
      </c>
      <c r="B14" s="1" t="s">
        <v>755</v>
      </c>
      <c r="C14" s="1" t="s">
        <v>145</v>
      </c>
      <c r="D14" s="1" t="s">
        <v>1391</v>
      </c>
      <c r="E14" s="1" t="s">
        <v>1336</v>
      </c>
      <c r="F14" s="1" t="s">
        <v>757</v>
      </c>
      <c r="G14" s="1" t="s">
        <v>286</v>
      </c>
      <c r="H14" s="1" t="s">
        <v>1326</v>
      </c>
      <c r="I14" s="1" t="s">
        <v>1392</v>
      </c>
      <c r="J14" s="1">
        <v>21</v>
      </c>
      <c r="K14" s="1" t="s">
        <v>758</v>
      </c>
      <c r="L14" s="1" t="s">
        <v>1393</v>
      </c>
      <c r="M14" s="1">
        <v>1629668</v>
      </c>
    </row>
    <row r="15" spans="1:13" x14ac:dyDescent="0.25">
      <c r="A15" s="1">
        <v>1610612747</v>
      </c>
      <c r="B15" s="1" t="s">
        <v>755</v>
      </c>
      <c r="C15" s="1" t="s">
        <v>145</v>
      </c>
      <c r="D15" s="1" t="s">
        <v>1394</v>
      </c>
      <c r="E15" s="1" t="s">
        <v>1343</v>
      </c>
      <c r="F15" s="1" t="s">
        <v>763</v>
      </c>
      <c r="G15" s="1" t="s">
        <v>337</v>
      </c>
      <c r="H15" s="1" t="s">
        <v>1337</v>
      </c>
      <c r="I15" s="1" t="s">
        <v>1395</v>
      </c>
      <c r="J15" s="1">
        <v>34</v>
      </c>
      <c r="K15" s="1" t="s">
        <v>1396</v>
      </c>
      <c r="L15" s="1" t="s">
        <v>1335</v>
      </c>
      <c r="M15" s="1">
        <v>2544</v>
      </c>
    </row>
    <row r="16" spans="1:13" x14ac:dyDescent="0.25">
      <c r="A16" s="1">
        <v>1610612747</v>
      </c>
      <c r="B16" s="1" t="s">
        <v>755</v>
      </c>
      <c r="C16" s="1" t="s">
        <v>145</v>
      </c>
      <c r="D16" s="1" t="s">
        <v>1397</v>
      </c>
      <c r="E16" s="1" t="s">
        <v>1398</v>
      </c>
      <c r="F16" s="1" t="s">
        <v>759</v>
      </c>
      <c r="G16" s="1" t="s">
        <v>266</v>
      </c>
      <c r="H16" s="1" t="s">
        <v>1399</v>
      </c>
      <c r="I16" s="1" t="s">
        <v>1400</v>
      </c>
      <c r="J16" s="1">
        <v>28</v>
      </c>
      <c r="K16" s="1" t="s">
        <v>1354</v>
      </c>
      <c r="L16" s="1" t="s">
        <v>1401</v>
      </c>
      <c r="M16" s="1">
        <v>203584</v>
      </c>
    </row>
    <row r="17" spans="1:13" x14ac:dyDescent="0.25">
      <c r="A17" s="1">
        <v>1610612747</v>
      </c>
      <c r="B17" s="1" t="s">
        <v>755</v>
      </c>
      <c r="C17" s="1" t="s">
        <v>145</v>
      </c>
      <c r="D17" s="1" t="s">
        <v>1402</v>
      </c>
      <c r="E17" s="1" t="s">
        <v>1403</v>
      </c>
      <c r="F17" s="1" t="s">
        <v>763</v>
      </c>
      <c r="G17" s="1" t="s">
        <v>410</v>
      </c>
      <c r="H17" s="1" t="s">
        <v>1399</v>
      </c>
      <c r="I17" s="1" t="s">
        <v>1404</v>
      </c>
      <c r="J17" s="1">
        <v>22</v>
      </c>
      <c r="K17" s="1" t="s">
        <v>756</v>
      </c>
      <c r="L17" s="1" t="s">
        <v>1405</v>
      </c>
      <c r="M17" s="1">
        <v>1628961</v>
      </c>
    </row>
    <row r="18" spans="1:13" x14ac:dyDescent="0.25">
      <c r="A18" s="1">
        <v>1610612747</v>
      </c>
      <c r="B18" s="1" t="s">
        <v>755</v>
      </c>
      <c r="C18" s="1" t="s">
        <v>145</v>
      </c>
      <c r="D18" s="1" t="s">
        <v>1406</v>
      </c>
      <c r="E18" s="1" t="s">
        <v>1407</v>
      </c>
      <c r="F18" s="1" t="s">
        <v>1371</v>
      </c>
      <c r="G18" s="1" t="s">
        <v>410</v>
      </c>
      <c r="H18" s="1" t="s">
        <v>1408</v>
      </c>
      <c r="I18" s="1" t="s">
        <v>1409</v>
      </c>
      <c r="J18" s="1">
        <v>33</v>
      </c>
      <c r="K18" s="1" t="s">
        <v>1333</v>
      </c>
      <c r="L18" s="1" t="s">
        <v>1335</v>
      </c>
      <c r="M18" s="1">
        <v>2730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765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792</v>
      </c>
      <c r="H2" s="1">
        <v>1</v>
      </c>
      <c r="I2" s="1" t="s">
        <v>793</v>
      </c>
      <c r="J2" s="1" t="s">
        <v>181</v>
      </c>
      <c r="K2" s="1" t="s">
        <v>794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795</v>
      </c>
      <c r="R2" s="1" t="s">
        <v>796</v>
      </c>
      <c r="S2" s="1" t="s">
        <v>771</v>
      </c>
      <c r="T2" s="1" t="s">
        <v>193</v>
      </c>
      <c r="U2" s="1" t="s">
        <v>193</v>
      </c>
      <c r="V2" s="1" t="s">
        <v>265</v>
      </c>
      <c r="W2" s="1" t="s">
        <v>339</v>
      </c>
      <c r="X2" s="1" t="s">
        <v>340</v>
      </c>
      <c r="Y2" s="1" t="s">
        <v>797</v>
      </c>
      <c r="Z2" s="1">
        <v>6</v>
      </c>
      <c r="AA2" s="1" t="s">
        <v>188</v>
      </c>
      <c r="AB2" s="1">
        <v>10</v>
      </c>
      <c r="AC2" s="1" t="s">
        <v>798</v>
      </c>
      <c r="AD2" s="1">
        <v>7</v>
      </c>
      <c r="AE2" s="1">
        <v>2</v>
      </c>
      <c r="AF2" s="1">
        <v>-1</v>
      </c>
      <c r="AG2" s="1" t="s">
        <v>207</v>
      </c>
      <c r="AH2" s="1">
        <v>2</v>
      </c>
      <c r="AI2" s="1" t="s">
        <v>222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799</v>
      </c>
      <c r="AT2" s="1" t="s">
        <v>800</v>
      </c>
      <c r="AU2" s="1" t="s">
        <v>161</v>
      </c>
      <c r="AV2" s="1" t="s">
        <v>801</v>
      </c>
      <c r="AW2" s="1" t="s">
        <v>802</v>
      </c>
      <c r="AX2" s="1" t="s">
        <v>186</v>
      </c>
      <c r="AY2" s="1" t="s">
        <v>803</v>
      </c>
      <c r="AZ2" s="1" t="s">
        <v>804</v>
      </c>
      <c r="BA2" s="1" t="s">
        <v>805</v>
      </c>
      <c r="BB2" s="1" t="s">
        <v>806</v>
      </c>
      <c r="BC2" s="1" t="s">
        <v>807</v>
      </c>
      <c r="BD2" s="1" t="s">
        <v>808</v>
      </c>
      <c r="BE2" s="1">
        <v>118.1</v>
      </c>
      <c r="BF2" s="1">
        <v>109.3</v>
      </c>
      <c r="BG2" s="1">
        <v>8.9</v>
      </c>
      <c r="BH2" s="1" t="s">
        <v>792</v>
      </c>
      <c r="BI2" s="1" t="s">
        <v>809</v>
      </c>
      <c r="BJ2" s="1" t="s">
        <v>810</v>
      </c>
      <c r="BK2" s="1" t="s">
        <v>809</v>
      </c>
      <c r="BL2" s="1" t="s">
        <v>811</v>
      </c>
      <c r="BM2" s="1" t="s">
        <v>266</v>
      </c>
      <c r="BN2" s="1" t="s">
        <v>266</v>
      </c>
      <c r="BO2" s="1" t="s">
        <v>216</v>
      </c>
      <c r="BP2" s="1" t="s">
        <v>183</v>
      </c>
      <c r="BQ2" s="1" t="s">
        <v>200</v>
      </c>
      <c r="BR2" s="1" t="s">
        <v>812</v>
      </c>
      <c r="BS2" s="1" t="s">
        <v>228</v>
      </c>
      <c r="BT2" s="1"/>
      <c r="BU2" s="1"/>
      <c r="BV2" s="1"/>
      <c r="BW2" s="1"/>
      <c r="BX2" s="1"/>
      <c r="BY2" s="1" t="s">
        <v>764</v>
      </c>
      <c r="BZ2" s="1" t="s">
        <v>291</v>
      </c>
      <c r="CA2" s="1" t="s">
        <v>253</v>
      </c>
      <c r="CB2" s="1" t="s">
        <v>813</v>
      </c>
      <c r="CC2" s="1" t="s">
        <v>814</v>
      </c>
    </row>
    <row r="3" spans="1:81" x14ac:dyDescent="0.25">
      <c r="A3" s="1" t="s">
        <v>145</v>
      </c>
      <c r="B3" s="1" t="s">
        <v>765</v>
      </c>
      <c r="C3" s="1">
        <v>1610612744</v>
      </c>
      <c r="D3" s="1" t="s">
        <v>399</v>
      </c>
      <c r="E3" s="1" t="s">
        <v>400</v>
      </c>
      <c r="F3" s="1" t="s">
        <v>149</v>
      </c>
      <c r="G3" s="1" t="s">
        <v>766</v>
      </c>
      <c r="H3" s="1">
        <v>1</v>
      </c>
      <c r="I3" s="1" t="s">
        <v>767</v>
      </c>
      <c r="J3" s="1" t="s">
        <v>152</v>
      </c>
      <c r="K3" s="1" t="s">
        <v>768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769</v>
      </c>
      <c r="R3" s="1" t="s">
        <v>770</v>
      </c>
      <c r="S3" s="1" t="s">
        <v>771</v>
      </c>
      <c r="T3" s="1" t="s">
        <v>184</v>
      </c>
      <c r="U3" s="1" t="s">
        <v>193</v>
      </c>
      <c r="V3" s="1" t="s">
        <v>193</v>
      </c>
      <c r="W3" s="1" t="s">
        <v>319</v>
      </c>
      <c r="X3" s="1" t="s">
        <v>314</v>
      </c>
      <c r="Y3" s="1" t="s">
        <v>772</v>
      </c>
      <c r="Z3" s="1">
        <v>6</v>
      </c>
      <c r="AA3" s="1" t="s">
        <v>188</v>
      </c>
      <c r="AB3" s="1">
        <v>11</v>
      </c>
      <c r="AC3" s="1" t="s">
        <v>773</v>
      </c>
      <c r="AD3" s="1">
        <v>11</v>
      </c>
      <c r="AE3" s="1">
        <v>4</v>
      </c>
      <c r="AF3" s="1">
        <v>5</v>
      </c>
      <c r="AG3" s="1" t="s">
        <v>160</v>
      </c>
      <c r="AH3" s="1">
        <v>-1</v>
      </c>
      <c r="AI3" s="1" t="s">
        <v>207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774</v>
      </c>
      <c r="AT3" s="1" t="s">
        <v>775</v>
      </c>
      <c r="AU3" s="1" t="s">
        <v>232</v>
      </c>
      <c r="AV3" s="1" t="s">
        <v>776</v>
      </c>
      <c r="AW3" s="1" t="s">
        <v>777</v>
      </c>
      <c r="AX3" s="1" t="s">
        <v>185</v>
      </c>
      <c r="AY3" s="1" t="s">
        <v>778</v>
      </c>
      <c r="AZ3" s="1" t="s">
        <v>779</v>
      </c>
      <c r="BA3" s="1" t="s">
        <v>780</v>
      </c>
      <c r="BB3" s="1" t="s">
        <v>781</v>
      </c>
      <c r="BC3" s="1" t="s">
        <v>782</v>
      </c>
      <c r="BD3" s="1" t="s">
        <v>783</v>
      </c>
      <c r="BE3" s="1">
        <v>117.7</v>
      </c>
      <c r="BF3" s="1">
        <v>111.2</v>
      </c>
      <c r="BG3" s="1">
        <v>6.5</v>
      </c>
      <c r="BH3" s="1" t="s">
        <v>784</v>
      </c>
      <c r="BI3" s="1" t="s">
        <v>266</v>
      </c>
      <c r="BJ3" s="1" t="s">
        <v>216</v>
      </c>
      <c r="BK3" s="1" t="s">
        <v>216</v>
      </c>
      <c r="BL3" s="1" t="s">
        <v>766</v>
      </c>
      <c r="BM3" s="1" t="s">
        <v>785</v>
      </c>
      <c r="BN3" s="1" t="s">
        <v>786</v>
      </c>
      <c r="BO3" s="1" t="s">
        <v>787</v>
      </c>
      <c r="BP3" s="1" t="s">
        <v>788</v>
      </c>
      <c r="BQ3" s="1" t="s">
        <v>789</v>
      </c>
      <c r="BR3" s="1" t="s">
        <v>270</v>
      </c>
      <c r="BS3" s="1" t="s">
        <v>198</v>
      </c>
      <c r="BT3" s="1"/>
      <c r="BU3" s="1"/>
      <c r="BV3" s="1"/>
      <c r="BW3" s="1"/>
      <c r="BX3" s="1"/>
      <c r="BY3" s="1" t="s">
        <v>173</v>
      </c>
      <c r="BZ3" s="1" t="s">
        <v>326</v>
      </c>
      <c r="CA3" s="1" t="s">
        <v>261</v>
      </c>
      <c r="CB3" s="1" t="s">
        <v>790</v>
      </c>
      <c r="CC3" s="1" t="s">
        <v>791</v>
      </c>
    </row>
    <row r="4" spans="1:81" x14ac:dyDescent="0.25">
      <c r="A4" s="1" t="s">
        <v>145</v>
      </c>
      <c r="B4" s="1" t="s">
        <v>765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815</v>
      </c>
      <c r="H4" s="1">
        <v>2</v>
      </c>
      <c r="I4" s="1" t="s">
        <v>816</v>
      </c>
      <c r="J4" s="1" t="s">
        <v>203</v>
      </c>
      <c r="K4" s="1" t="s">
        <v>817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818</v>
      </c>
      <c r="R4" s="1" t="s">
        <v>819</v>
      </c>
      <c r="S4" s="1" t="s">
        <v>820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821</v>
      </c>
      <c r="Y4" s="1" t="s">
        <v>822</v>
      </c>
      <c r="Z4" s="1">
        <v>10</v>
      </c>
      <c r="AA4" s="1" t="s">
        <v>798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823</v>
      </c>
      <c r="AT4" s="1" t="s">
        <v>824</v>
      </c>
      <c r="AU4" s="1" t="s">
        <v>185</v>
      </c>
      <c r="AV4" s="1" t="s">
        <v>825</v>
      </c>
      <c r="AW4" s="1" t="s">
        <v>826</v>
      </c>
      <c r="AX4" s="1" t="s">
        <v>157</v>
      </c>
      <c r="AY4" s="1" t="s">
        <v>827</v>
      </c>
      <c r="AZ4" s="1" t="s">
        <v>828</v>
      </c>
      <c r="BA4" s="1" t="s">
        <v>829</v>
      </c>
      <c r="BB4" s="1" t="s">
        <v>830</v>
      </c>
      <c r="BC4" s="1" t="s">
        <v>831</v>
      </c>
      <c r="BD4" s="1" t="s">
        <v>832</v>
      </c>
      <c r="BE4" s="1">
        <v>114.4</v>
      </c>
      <c r="BF4" s="1">
        <v>108.4</v>
      </c>
      <c r="BG4" s="1">
        <v>6.1</v>
      </c>
      <c r="BH4" s="1" t="s">
        <v>815</v>
      </c>
      <c r="BI4" s="1" t="s">
        <v>833</v>
      </c>
      <c r="BJ4" s="1" t="s">
        <v>787</v>
      </c>
      <c r="BK4" s="1" t="s">
        <v>834</v>
      </c>
      <c r="BL4" s="1" t="s">
        <v>784</v>
      </c>
      <c r="BM4" s="1" t="s">
        <v>266</v>
      </c>
      <c r="BN4" s="1" t="s">
        <v>835</v>
      </c>
      <c r="BO4" s="1" t="s">
        <v>266</v>
      </c>
      <c r="BP4" s="1" t="s">
        <v>261</v>
      </c>
      <c r="BQ4" s="1" t="s">
        <v>173</v>
      </c>
      <c r="BR4" s="1" t="s">
        <v>836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837</v>
      </c>
      <c r="CC4" s="1" t="s">
        <v>838</v>
      </c>
    </row>
    <row r="5" spans="1:81" x14ac:dyDescent="0.25">
      <c r="A5" s="1" t="s">
        <v>145</v>
      </c>
      <c r="B5" s="1" t="s">
        <v>765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839</v>
      </c>
      <c r="H5" s="1">
        <v>2</v>
      </c>
      <c r="I5" s="1" t="s">
        <v>840</v>
      </c>
      <c r="J5" s="1" t="s">
        <v>219</v>
      </c>
      <c r="K5" s="1" t="s">
        <v>817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841</v>
      </c>
      <c r="R5" s="1" t="s">
        <v>842</v>
      </c>
      <c r="S5" s="1" t="s">
        <v>843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768</v>
      </c>
      <c r="Y5" s="1" t="s">
        <v>844</v>
      </c>
      <c r="Z5" s="1">
        <v>12</v>
      </c>
      <c r="AA5" s="1" t="s">
        <v>845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846</v>
      </c>
      <c r="AT5" s="1" t="s">
        <v>847</v>
      </c>
      <c r="AU5" s="1" t="s">
        <v>185</v>
      </c>
      <c r="AV5" s="1" t="s">
        <v>848</v>
      </c>
      <c r="AW5" s="1" t="s">
        <v>849</v>
      </c>
      <c r="AX5" s="1" t="s">
        <v>155</v>
      </c>
      <c r="AY5" s="1" t="s">
        <v>850</v>
      </c>
      <c r="AZ5" s="1" t="s">
        <v>851</v>
      </c>
      <c r="BA5" s="1" t="s">
        <v>852</v>
      </c>
      <c r="BB5" s="1" t="s">
        <v>853</v>
      </c>
      <c r="BC5" s="1" t="s">
        <v>854</v>
      </c>
      <c r="BD5" s="1" t="s">
        <v>855</v>
      </c>
      <c r="BE5" s="1">
        <v>110.7</v>
      </c>
      <c r="BF5" s="1">
        <v>106.7</v>
      </c>
      <c r="BG5" s="1">
        <v>4</v>
      </c>
      <c r="BH5" s="1" t="s">
        <v>811</v>
      </c>
      <c r="BI5" s="1" t="s">
        <v>296</v>
      </c>
      <c r="BJ5" s="1" t="s">
        <v>266</v>
      </c>
      <c r="BK5" s="1" t="s">
        <v>296</v>
      </c>
      <c r="BL5" s="1" t="s">
        <v>839</v>
      </c>
      <c r="BM5" s="1" t="s">
        <v>833</v>
      </c>
      <c r="BN5" s="1" t="s">
        <v>785</v>
      </c>
      <c r="BO5" s="1" t="s">
        <v>787</v>
      </c>
      <c r="BP5" s="1" t="s">
        <v>833</v>
      </c>
      <c r="BQ5" s="1" t="s">
        <v>789</v>
      </c>
      <c r="BR5" s="1" t="s">
        <v>836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836</v>
      </c>
      <c r="CA5" s="1" t="s">
        <v>856</v>
      </c>
      <c r="CB5" s="1" t="s">
        <v>857</v>
      </c>
      <c r="CC5" s="1" t="s">
        <v>858</v>
      </c>
    </row>
    <row r="6" spans="1:81" x14ac:dyDescent="0.25">
      <c r="A6" s="1" t="s">
        <v>145</v>
      </c>
      <c r="B6" s="1" t="s">
        <v>765</v>
      </c>
      <c r="C6" s="1">
        <v>1610612757</v>
      </c>
      <c r="D6" s="1" t="s">
        <v>384</v>
      </c>
      <c r="E6" s="1" t="s">
        <v>385</v>
      </c>
      <c r="F6" s="1" t="s">
        <v>149</v>
      </c>
      <c r="G6" s="1" t="s">
        <v>878</v>
      </c>
      <c r="H6" s="1">
        <v>3</v>
      </c>
      <c r="I6" s="1" t="s">
        <v>860</v>
      </c>
      <c r="J6" s="1" t="s">
        <v>219</v>
      </c>
      <c r="K6" s="1" t="s">
        <v>879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880</v>
      </c>
      <c r="R6" s="1" t="s">
        <v>819</v>
      </c>
      <c r="S6" s="1" t="s">
        <v>881</v>
      </c>
      <c r="T6" s="1" t="s">
        <v>184</v>
      </c>
      <c r="U6" s="1" t="s">
        <v>156</v>
      </c>
      <c r="V6" s="1" t="s">
        <v>259</v>
      </c>
      <c r="W6" s="1" t="s">
        <v>235</v>
      </c>
      <c r="X6" s="1" t="s">
        <v>310</v>
      </c>
      <c r="Y6" s="1" t="s">
        <v>882</v>
      </c>
      <c r="Z6" s="1">
        <v>8</v>
      </c>
      <c r="AA6" s="1" t="s">
        <v>883</v>
      </c>
      <c r="AB6" s="1">
        <v>-6</v>
      </c>
      <c r="AC6" s="1" t="s">
        <v>367</v>
      </c>
      <c r="AD6" s="1">
        <v>6</v>
      </c>
      <c r="AE6" s="1">
        <v>3</v>
      </c>
      <c r="AF6" s="1">
        <v>8</v>
      </c>
      <c r="AG6" s="1" t="s">
        <v>883</v>
      </c>
      <c r="AH6" s="1">
        <v>1</v>
      </c>
      <c r="AI6" s="1" t="s">
        <v>246</v>
      </c>
      <c r="AJ6" s="1">
        <v>3</v>
      </c>
      <c r="AK6" s="1" t="s">
        <v>223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884</v>
      </c>
      <c r="AT6" s="1" t="s">
        <v>885</v>
      </c>
      <c r="AU6" s="1" t="s">
        <v>260</v>
      </c>
      <c r="AV6" s="1" t="s">
        <v>886</v>
      </c>
      <c r="AW6" s="1" t="s">
        <v>887</v>
      </c>
      <c r="AX6" s="1" t="s">
        <v>161</v>
      </c>
      <c r="AY6" s="1" t="s">
        <v>888</v>
      </c>
      <c r="AZ6" s="1" t="s">
        <v>889</v>
      </c>
      <c r="BA6" s="1" t="s">
        <v>890</v>
      </c>
      <c r="BB6" s="1" t="s">
        <v>891</v>
      </c>
      <c r="BC6" s="1" t="s">
        <v>892</v>
      </c>
      <c r="BD6" s="1" t="s">
        <v>893</v>
      </c>
      <c r="BE6" s="1">
        <v>114.7</v>
      </c>
      <c r="BF6" s="1">
        <v>110.5</v>
      </c>
      <c r="BG6" s="1">
        <v>4.2</v>
      </c>
      <c r="BH6" s="1" t="s">
        <v>894</v>
      </c>
      <c r="BI6" s="1" t="s">
        <v>176</v>
      </c>
      <c r="BJ6" s="1" t="s">
        <v>216</v>
      </c>
      <c r="BK6" s="1" t="s">
        <v>296</v>
      </c>
      <c r="BL6" s="1" t="s">
        <v>878</v>
      </c>
      <c r="BM6" s="1" t="s">
        <v>410</v>
      </c>
      <c r="BN6" s="1" t="s">
        <v>785</v>
      </c>
      <c r="BO6" s="1" t="s">
        <v>874</v>
      </c>
      <c r="BP6" s="1" t="s">
        <v>233</v>
      </c>
      <c r="BQ6" s="1" t="s">
        <v>256</v>
      </c>
      <c r="BR6" s="1" t="s">
        <v>261</v>
      </c>
      <c r="BS6" s="1" t="s">
        <v>198</v>
      </c>
      <c r="BT6" s="1"/>
      <c r="BU6" s="1"/>
      <c r="BV6" s="1"/>
      <c r="BW6" s="1"/>
      <c r="BX6" s="1"/>
      <c r="BY6" s="1" t="s">
        <v>255</v>
      </c>
      <c r="BZ6" s="1" t="s">
        <v>308</v>
      </c>
      <c r="CA6" s="1" t="s">
        <v>308</v>
      </c>
      <c r="CB6" s="1" t="s">
        <v>895</v>
      </c>
      <c r="CC6" s="1" t="s">
        <v>896</v>
      </c>
    </row>
    <row r="7" spans="1:81" x14ac:dyDescent="0.25">
      <c r="A7" s="1" t="s">
        <v>145</v>
      </c>
      <c r="B7" s="1" t="s">
        <v>765</v>
      </c>
      <c r="C7" s="1">
        <v>1610612755</v>
      </c>
      <c r="D7" s="1" t="s">
        <v>268</v>
      </c>
      <c r="E7" s="1" t="s">
        <v>269</v>
      </c>
      <c r="F7" s="1" t="s">
        <v>179</v>
      </c>
      <c r="G7" s="1" t="s">
        <v>859</v>
      </c>
      <c r="H7" s="1">
        <v>3</v>
      </c>
      <c r="I7" s="1" t="s">
        <v>860</v>
      </c>
      <c r="J7" s="1" t="s">
        <v>203</v>
      </c>
      <c r="K7" s="1" t="s">
        <v>861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862</v>
      </c>
      <c r="R7" s="1" t="s">
        <v>863</v>
      </c>
      <c r="S7" s="1" t="s">
        <v>843</v>
      </c>
      <c r="T7" s="1" t="s">
        <v>310</v>
      </c>
      <c r="U7" s="1" t="s">
        <v>193</v>
      </c>
      <c r="V7" s="1" t="s">
        <v>310</v>
      </c>
      <c r="W7" s="1" t="s">
        <v>236</v>
      </c>
      <c r="X7" s="1" t="s">
        <v>864</v>
      </c>
      <c r="Y7" s="1" t="s">
        <v>865</v>
      </c>
      <c r="Z7" s="1">
        <v>10</v>
      </c>
      <c r="AA7" s="1" t="s">
        <v>798</v>
      </c>
      <c r="AB7" s="1">
        <v>-5</v>
      </c>
      <c r="AC7" s="1" t="s">
        <v>272</v>
      </c>
      <c r="AD7" s="1">
        <v>6</v>
      </c>
      <c r="AE7" s="1">
        <v>3</v>
      </c>
      <c r="AF7" s="1">
        <v>1</v>
      </c>
      <c r="AG7" s="1" t="s">
        <v>246</v>
      </c>
      <c r="AH7" s="1">
        <v>-1</v>
      </c>
      <c r="AI7" s="1" t="s">
        <v>207</v>
      </c>
      <c r="AJ7" s="1">
        <v>1</v>
      </c>
      <c r="AK7" s="1" t="s">
        <v>246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866</v>
      </c>
      <c r="AT7" s="1" t="s">
        <v>867</v>
      </c>
      <c r="AU7" s="1" t="s">
        <v>208</v>
      </c>
      <c r="AV7" s="1" t="s">
        <v>774</v>
      </c>
      <c r="AW7" s="1" t="s">
        <v>868</v>
      </c>
      <c r="AX7" s="1" t="s">
        <v>186</v>
      </c>
      <c r="AY7" s="1" t="s">
        <v>869</v>
      </c>
      <c r="AZ7" s="1" t="s">
        <v>870</v>
      </c>
      <c r="BA7" s="1" t="s">
        <v>871</v>
      </c>
      <c r="BB7" s="1" t="s">
        <v>854</v>
      </c>
      <c r="BC7" s="1" t="s">
        <v>790</v>
      </c>
      <c r="BD7" s="1" t="s">
        <v>872</v>
      </c>
      <c r="BE7" s="1">
        <v>115.2</v>
      </c>
      <c r="BF7" s="1">
        <v>112.5</v>
      </c>
      <c r="BG7" s="1">
        <v>2.7</v>
      </c>
      <c r="BH7" s="1" t="s">
        <v>859</v>
      </c>
      <c r="BI7" s="1" t="s">
        <v>873</v>
      </c>
      <c r="BJ7" s="1" t="s">
        <v>785</v>
      </c>
      <c r="BK7" s="1" t="s">
        <v>874</v>
      </c>
      <c r="BL7" s="1" t="s">
        <v>811</v>
      </c>
      <c r="BM7" s="1" t="s">
        <v>266</v>
      </c>
      <c r="BN7" s="1" t="s">
        <v>216</v>
      </c>
      <c r="BO7" s="1" t="s">
        <v>266</v>
      </c>
      <c r="BP7" s="1" t="s">
        <v>233</v>
      </c>
      <c r="BQ7" s="1" t="s">
        <v>266</v>
      </c>
      <c r="BR7" s="1" t="s">
        <v>270</v>
      </c>
      <c r="BS7" s="1" t="s">
        <v>274</v>
      </c>
      <c r="BT7" s="1"/>
      <c r="BU7" s="1"/>
      <c r="BV7" s="1"/>
      <c r="BW7" s="1"/>
      <c r="BX7" s="1"/>
      <c r="BY7" s="1" t="s">
        <v>343</v>
      </c>
      <c r="BZ7" s="1" t="s">
        <v>833</v>
      </c>
      <c r="CA7" s="1" t="s">
        <v>875</v>
      </c>
      <c r="CB7" s="1" t="s">
        <v>876</v>
      </c>
      <c r="CC7" s="1" t="s">
        <v>877</v>
      </c>
    </row>
    <row r="8" spans="1:81" x14ac:dyDescent="0.25">
      <c r="A8" s="1" t="s">
        <v>145</v>
      </c>
      <c r="B8" s="1" t="s">
        <v>765</v>
      </c>
      <c r="C8" s="1">
        <v>1610612738</v>
      </c>
      <c r="D8" s="1" t="s">
        <v>201</v>
      </c>
      <c r="E8" s="1" t="s">
        <v>202</v>
      </c>
      <c r="F8" s="1" t="s">
        <v>179</v>
      </c>
      <c r="G8" s="1" t="s">
        <v>766</v>
      </c>
      <c r="H8" s="1">
        <v>4</v>
      </c>
      <c r="I8" s="1" t="s">
        <v>860</v>
      </c>
      <c r="J8" s="1" t="s">
        <v>203</v>
      </c>
      <c r="K8" s="1" t="s">
        <v>899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917</v>
      </c>
      <c r="R8" s="1" t="s">
        <v>918</v>
      </c>
      <c r="S8" s="1" t="s">
        <v>881</v>
      </c>
      <c r="T8" s="1" t="s">
        <v>259</v>
      </c>
      <c r="U8" s="1" t="s">
        <v>265</v>
      </c>
      <c r="V8" s="1" t="s">
        <v>259</v>
      </c>
      <c r="W8" s="1" t="s">
        <v>182</v>
      </c>
      <c r="X8" s="1" t="s">
        <v>340</v>
      </c>
      <c r="Y8" s="1" t="s">
        <v>919</v>
      </c>
      <c r="Z8" s="1">
        <v>10</v>
      </c>
      <c r="AA8" s="1" t="s">
        <v>798</v>
      </c>
      <c r="AB8" s="1">
        <v>4</v>
      </c>
      <c r="AC8" s="1" t="s">
        <v>159</v>
      </c>
      <c r="AD8" s="1">
        <v>8</v>
      </c>
      <c r="AE8" s="1">
        <v>4</v>
      </c>
      <c r="AF8" s="1">
        <v>-1</v>
      </c>
      <c r="AG8" s="1" t="s">
        <v>207</v>
      </c>
      <c r="AH8" s="1">
        <v>3</v>
      </c>
      <c r="AI8" s="1" t="s">
        <v>223</v>
      </c>
      <c r="AJ8" s="1">
        <v>1</v>
      </c>
      <c r="AK8" s="1" t="s">
        <v>246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920</v>
      </c>
      <c r="AT8" s="1" t="s">
        <v>921</v>
      </c>
      <c r="AU8" s="1" t="s">
        <v>260</v>
      </c>
      <c r="AV8" s="1" t="s">
        <v>922</v>
      </c>
      <c r="AW8" s="1" t="s">
        <v>849</v>
      </c>
      <c r="AX8" s="1" t="s">
        <v>164</v>
      </c>
      <c r="AY8" s="1" t="s">
        <v>923</v>
      </c>
      <c r="AZ8" s="1" t="s">
        <v>924</v>
      </c>
      <c r="BA8" s="1" t="s">
        <v>925</v>
      </c>
      <c r="BB8" s="1" t="s">
        <v>926</v>
      </c>
      <c r="BC8" s="1" t="s">
        <v>808</v>
      </c>
      <c r="BD8" s="1" t="s">
        <v>927</v>
      </c>
      <c r="BE8" s="1">
        <v>112.4</v>
      </c>
      <c r="BF8" s="1">
        <v>108</v>
      </c>
      <c r="BG8" s="1">
        <v>4.4000000000000004</v>
      </c>
      <c r="BH8" s="1" t="s">
        <v>766</v>
      </c>
      <c r="BI8" s="1" t="s">
        <v>812</v>
      </c>
      <c r="BJ8" s="1" t="s">
        <v>809</v>
      </c>
      <c r="BK8" s="1" t="s">
        <v>785</v>
      </c>
      <c r="BL8" s="1" t="s">
        <v>928</v>
      </c>
      <c r="BM8" s="1" t="s">
        <v>323</v>
      </c>
      <c r="BN8" s="1" t="s">
        <v>276</v>
      </c>
      <c r="BO8" s="1" t="s">
        <v>276</v>
      </c>
      <c r="BP8" s="1" t="s">
        <v>233</v>
      </c>
      <c r="BQ8" s="1" t="s">
        <v>316</v>
      </c>
      <c r="BR8" s="1" t="s">
        <v>308</v>
      </c>
      <c r="BS8" s="1" t="s">
        <v>169</v>
      </c>
      <c r="BT8" s="1"/>
      <c r="BU8" s="1"/>
      <c r="BV8" s="1"/>
      <c r="BW8" s="1"/>
      <c r="BX8" s="1"/>
      <c r="BY8" s="1" t="s">
        <v>255</v>
      </c>
      <c r="BZ8" s="1" t="s">
        <v>929</v>
      </c>
      <c r="CA8" s="1" t="s">
        <v>270</v>
      </c>
      <c r="CB8" s="1" t="s">
        <v>876</v>
      </c>
      <c r="CC8" s="1" t="s">
        <v>930</v>
      </c>
    </row>
    <row r="9" spans="1:81" x14ac:dyDescent="0.25">
      <c r="A9" s="1" t="s">
        <v>145</v>
      </c>
      <c r="B9" s="1" t="s">
        <v>765</v>
      </c>
      <c r="C9" s="1">
        <v>1610612745</v>
      </c>
      <c r="D9" s="1" t="s">
        <v>229</v>
      </c>
      <c r="E9" s="1" t="s">
        <v>230</v>
      </c>
      <c r="F9" s="1" t="s">
        <v>149</v>
      </c>
      <c r="G9" s="1" t="s">
        <v>897</v>
      </c>
      <c r="H9" s="1">
        <v>4</v>
      </c>
      <c r="I9" s="1" t="s">
        <v>898</v>
      </c>
      <c r="J9" s="1" t="s">
        <v>231</v>
      </c>
      <c r="K9" s="1" t="s">
        <v>899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880</v>
      </c>
      <c r="R9" s="1" t="s">
        <v>863</v>
      </c>
      <c r="S9" s="1" t="s">
        <v>900</v>
      </c>
      <c r="T9" s="1" t="s">
        <v>184</v>
      </c>
      <c r="U9" s="1" t="s">
        <v>156</v>
      </c>
      <c r="V9" s="1" t="s">
        <v>193</v>
      </c>
      <c r="W9" s="1" t="s">
        <v>292</v>
      </c>
      <c r="X9" s="1" t="s">
        <v>901</v>
      </c>
      <c r="Y9" s="1" t="s">
        <v>902</v>
      </c>
      <c r="Z9" s="1">
        <v>10</v>
      </c>
      <c r="AA9" s="1" t="s">
        <v>798</v>
      </c>
      <c r="AB9" s="1">
        <v>6</v>
      </c>
      <c r="AC9" s="1" t="s">
        <v>188</v>
      </c>
      <c r="AD9" s="1">
        <v>9</v>
      </c>
      <c r="AE9" s="1">
        <v>4</v>
      </c>
      <c r="AF9" s="1">
        <v>7</v>
      </c>
      <c r="AG9" s="1" t="s">
        <v>903</v>
      </c>
      <c r="AH9" s="1">
        <v>-1</v>
      </c>
      <c r="AI9" s="1" t="s">
        <v>207</v>
      </c>
      <c r="AJ9" s="1">
        <v>-1</v>
      </c>
      <c r="AK9" s="1" t="s">
        <v>207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904</v>
      </c>
      <c r="AT9" s="1" t="s">
        <v>905</v>
      </c>
      <c r="AU9" s="1" t="s">
        <v>157</v>
      </c>
      <c r="AV9" s="1" t="s">
        <v>906</v>
      </c>
      <c r="AW9" s="1" t="s">
        <v>907</v>
      </c>
      <c r="AX9" s="1" t="s">
        <v>190</v>
      </c>
      <c r="AY9" s="1" t="s">
        <v>850</v>
      </c>
      <c r="AZ9" s="1" t="s">
        <v>908</v>
      </c>
      <c r="BA9" s="1" t="s">
        <v>829</v>
      </c>
      <c r="BB9" s="1" t="s">
        <v>909</v>
      </c>
      <c r="BC9" s="1" t="s">
        <v>910</v>
      </c>
      <c r="BD9" s="1" t="s">
        <v>911</v>
      </c>
      <c r="BE9" s="1">
        <v>113.9</v>
      </c>
      <c r="BF9" s="1">
        <v>109.1</v>
      </c>
      <c r="BG9" s="1">
        <v>4.8</v>
      </c>
      <c r="BH9" s="1" t="s">
        <v>912</v>
      </c>
      <c r="BI9" s="1" t="s">
        <v>216</v>
      </c>
      <c r="BJ9" s="1" t="s">
        <v>266</v>
      </c>
      <c r="BK9" s="1" t="s">
        <v>296</v>
      </c>
      <c r="BL9" s="1" t="s">
        <v>897</v>
      </c>
      <c r="BM9" s="1" t="s">
        <v>913</v>
      </c>
      <c r="BN9" s="1" t="s">
        <v>834</v>
      </c>
      <c r="BO9" s="1" t="s">
        <v>812</v>
      </c>
      <c r="BP9" s="1" t="s">
        <v>291</v>
      </c>
      <c r="BQ9" s="1" t="s">
        <v>856</v>
      </c>
      <c r="BR9" s="1" t="s">
        <v>183</v>
      </c>
      <c r="BS9" s="1" t="s">
        <v>169</v>
      </c>
      <c r="BT9" s="1"/>
      <c r="BU9" s="1"/>
      <c r="BV9" s="1"/>
      <c r="BW9" s="1"/>
      <c r="BX9" s="1"/>
      <c r="BY9" s="1" t="s">
        <v>914</v>
      </c>
      <c r="BZ9" s="1" t="s">
        <v>836</v>
      </c>
      <c r="CA9" s="1" t="s">
        <v>233</v>
      </c>
      <c r="CB9" s="1" t="s">
        <v>915</v>
      </c>
      <c r="CC9" s="1" t="s">
        <v>916</v>
      </c>
    </row>
    <row r="10" spans="1:81" x14ac:dyDescent="0.25">
      <c r="A10" s="1" t="s">
        <v>145</v>
      </c>
      <c r="B10" s="1" t="s">
        <v>765</v>
      </c>
      <c r="C10" s="1">
        <v>1610612762</v>
      </c>
      <c r="D10" s="1" t="s">
        <v>283</v>
      </c>
      <c r="E10" s="1" t="s">
        <v>284</v>
      </c>
      <c r="F10" s="1" t="s">
        <v>149</v>
      </c>
      <c r="G10" s="1" t="s">
        <v>953</v>
      </c>
      <c r="H10" s="1">
        <v>5</v>
      </c>
      <c r="I10" s="1" t="s">
        <v>860</v>
      </c>
      <c r="J10" s="1" t="s">
        <v>219</v>
      </c>
      <c r="K10" s="1" t="s">
        <v>861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954</v>
      </c>
      <c r="R10" s="1" t="s">
        <v>902</v>
      </c>
      <c r="S10" s="1" t="s">
        <v>881</v>
      </c>
      <c r="T10" s="1" t="s">
        <v>184</v>
      </c>
      <c r="U10" s="1" t="s">
        <v>184</v>
      </c>
      <c r="V10" s="1" t="s">
        <v>259</v>
      </c>
      <c r="W10" s="1" t="s">
        <v>164</v>
      </c>
      <c r="X10" s="1" t="s">
        <v>359</v>
      </c>
      <c r="Y10" s="1" t="s">
        <v>955</v>
      </c>
      <c r="Z10" s="1">
        <v>8</v>
      </c>
      <c r="AA10" s="1" t="s">
        <v>883</v>
      </c>
      <c r="AB10" s="1">
        <v>-5</v>
      </c>
      <c r="AC10" s="1" t="s">
        <v>272</v>
      </c>
      <c r="AD10" s="1">
        <v>7</v>
      </c>
      <c r="AE10" s="1">
        <v>4</v>
      </c>
      <c r="AF10" s="1">
        <v>8</v>
      </c>
      <c r="AG10" s="1" t="s">
        <v>883</v>
      </c>
      <c r="AH10" s="1">
        <v>-2</v>
      </c>
      <c r="AI10" s="1" t="s">
        <v>279</v>
      </c>
      <c r="AJ10" s="1">
        <v>-1</v>
      </c>
      <c r="AK10" s="1" t="s">
        <v>207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956</v>
      </c>
      <c r="AT10" s="1" t="s">
        <v>957</v>
      </c>
      <c r="AU10" s="1" t="s">
        <v>185</v>
      </c>
      <c r="AV10" s="1" t="s">
        <v>958</v>
      </c>
      <c r="AW10" s="1" t="s">
        <v>959</v>
      </c>
      <c r="AX10" s="1" t="s">
        <v>157</v>
      </c>
      <c r="AY10" s="1" t="s">
        <v>960</v>
      </c>
      <c r="AZ10" s="1" t="s">
        <v>961</v>
      </c>
      <c r="BA10" s="1" t="s">
        <v>962</v>
      </c>
      <c r="BB10" s="1" t="s">
        <v>963</v>
      </c>
      <c r="BC10" s="1" t="s">
        <v>920</v>
      </c>
      <c r="BD10" s="1" t="s">
        <v>964</v>
      </c>
      <c r="BE10" s="1">
        <v>111.7</v>
      </c>
      <c r="BF10" s="1">
        <v>106.5</v>
      </c>
      <c r="BG10" s="1">
        <v>5.3</v>
      </c>
      <c r="BH10" s="1" t="s">
        <v>811</v>
      </c>
      <c r="BI10" s="1" t="s">
        <v>266</v>
      </c>
      <c r="BJ10" s="1" t="s">
        <v>296</v>
      </c>
      <c r="BK10" s="1" t="s">
        <v>296</v>
      </c>
      <c r="BL10" s="1" t="s">
        <v>953</v>
      </c>
      <c r="BM10" s="1" t="s">
        <v>873</v>
      </c>
      <c r="BN10" s="1" t="s">
        <v>785</v>
      </c>
      <c r="BO10" s="1" t="s">
        <v>787</v>
      </c>
      <c r="BP10" s="1" t="s">
        <v>233</v>
      </c>
      <c r="BQ10" s="1" t="s">
        <v>256</v>
      </c>
      <c r="BR10" s="1" t="s">
        <v>233</v>
      </c>
      <c r="BS10" s="1" t="s">
        <v>214</v>
      </c>
      <c r="BT10" s="1"/>
      <c r="BU10" s="1"/>
      <c r="BV10" s="1"/>
      <c r="BW10" s="1"/>
      <c r="BX10" s="1"/>
      <c r="BY10" s="1" t="s">
        <v>249</v>
      </c>
      <c r="BZ10" s="1" t="s">
        <v>965</v>
      </c>
      <c r="CA10" s="1" t="s">
        <v>326</v>
      </c>
      <c r="CB10" s="1" t="s">
        <v>966</v>
      </c>
      <c r="CC10" s="1" t="s">
        <v>967</v>
      </c>
    </row>
    <row r="11" spans="1:81" x14ac:dyDescent="0.25">
      <c r="A11" s="1" t="s">
        <v>145</v>
      </c>
      <c r="B11" s="1" t="s">
        <v>765</v>
      </c>
      <c r="C11" s="1">
        <v>1610612754</v>
      </c>
      <c r="D11" s="1" t="s">
        <v>288</v>
      </c>
      <c r="E11" s="1" t="s">
        <v>289</v>
      </c>
      <c r="F11" s="1" t="s">
        <v>179</v>
      </c>
      <c r="G11" s="1" t="s">
        <v>931</v>
      </c>
      <c r="H11" s="1">
        <v>5</v>
      </c>
      <c r="I11" s="1" t="s">
        <v>860</v>
      </c>
      <c r="J11" s="1" t="s">
        <v>181</v>
      </c>
      <c r="K11" s="1" t="s">
        <v>932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933</v>
      </c>
      <c r="R11" s="1" t="s">
        <v>902</v>
      </c>
      <c r="S11" s="1" t="s">
        <v>934</v>
      </c>
      <c r="T11" s="1" t="s">
        <v>310</v>
      </c>
      <c r="U11" s="1" t="s">
        <v>259</v>
      </c>
      <c r="V11" s="1" t="s">
        <v>320</v>
      </c>
      <c r="W11" s="1" t="s">
        <v>157</v>
      </c>
      <c r="X11" s="1" t="s">
        <v>302</v>
      </c>
      <c r="Y11" s="1" t="s">
        <v>935</v>
      </c>
      <c r="Z11" s="1">
        <v>5</v>
      </c>
      <c r="AA11" s="1" t="s">
        <v>160</v>
      </c>
      <c r="AB11" s="1">
        <v>-10</v>
      </c>
      <c r="AC11" s="1" t="s">
        <v>936</v>
      </c>
      <c r="AD11" s="1">
        <v>7</v>
      </c>
      <c r="AE11" s="1">
        <v>4</v>
      </c>
      <c r="AF11" s="1">
        <v>-2</v>
      </c>
      <c r="AG11" s="1" t="s">
        <v>279</v>
      </c>
      <c r="AH11" s="1">
        <v>2</v>
      </c>
      <c r="AI11" s="1" t="s">
        <v>222</v>
      </c>
      <c r="AJ11" s="1">
        <v>1</v>
      </c>
      <c r="AK11" s="1" t="s">
        <v>246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937</v>
      </c>
      <c r="AT11" s="1" t="s">
        <v>938</v>
      </c>
      <c r="AU11" s="1" t="s">
        <v>190</v>
      </c>
      <c r="AV11" s="1" t="s">
        <v>939</v>
      </c>
      <c r="AW11" s="1" t="s">
        <v>940</v>
      </c>
      <c r="AX11" s="1" t="s">
        <v>157</v>
      </c>
      <c r="AY11" s="1" t="s">
        <v>941</v>
      </c>
      <c r="AZ11" s="1" t="s">
        <v>942</v>
      </c>
      <c r="BA11" s="1" t="s">
        <v>943</v>
      </c>
      <c r="BB11" s="1" t="s">
        <v>944</v>
      </c>
      <c r="BC11" s="1" t="s">
        <v>945</v>
      </c>
      <c r="BD11" s="1" t="s">
        <v>946</v>
      </c>
      <c r="BE11" s="1">
        <v>108</v>
      </c>
      <c r="BF11" s="1">
        <v>104.7</v>
      </c>
      <c r="BG11" s="1">
        <v>3.3</v>
      </c>
      <c r="BH11" s="1" t="s">
        <v>931</v>
      </c>
      <c r="BI11" s="1" t="s">
        <v>947</v>
      </c>
      <c r="BJ11" s="1" t="s">
        <v>948</v>
      </c>
      <c r="BK11" s="1" t="s">
        <v>809</v>
      </c>
      <c r="BL11" s="1" t="s">
        <v>949</v>
      </c>
      <c r="BM11" s="1" t="s">
        <v>276</v>
      </c>
      <c r="BN11" s="1" t="s">
        <v>276</v>
      </c>
      <c r="BO11" s="1" t="s">
        <v>276</v>
      </c>
      <c r="BP11" s="1" t="s">
        <v>326</v>
      </c>
      <c r="BQ11" s="1" t="s">
        <v>950</v>
      </c>
      <c r="BR11" s="1" t="s">
        <v>371</v>
      </c>
      <c r="BS11" s="1" t="s">
        <v>228</v>
      </c>
      <c r="BT11" s="1"/>
      <c r="BU11" s="1"/>
      <c r="BV11" s="1"/>
      <c r="BW11" s="1"/>
      <c r="BX11" s="1"/>
      <c r="BY11" s="1" t="s">
        <v>315</v>
      </c>
      <c r="BZ11" s="1" t="s">
        <v>291</v>
      </c>
      <c r="CA11" s="1" t="s">
        <v>183</v>
      </c>
      <c r="CB11" s="1" t="s">
        <v>951</v>
      </c>
      <c r="CC11" s="1" t="s">
        <v>952</v>
      </c>
    </row>
    <row r="12" spans="1:81" x14ac:dyDescent="0.25">
      <c r="A12" s="1" t="s">
        <v>145</v>
      </c>
      <c r="B12" s="1" t="s">
        <v>765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968</v>
      </c>
      <c r="H12" s="1">
        <v>6</v>
      </c>
      <c r="I12" s="1" t="s">
        <v>860</v>
      </c>
      <c r="J12" s="1" t="s">
        <v>219</v>
      </c>
      <c r="K12" s="1" t="s">
        <v>969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917</v>
      </c>
      <c r="R12" s="1" t="s">
        <v>771</v>
      </c>
      <c r="S12" s="1" t="s">
        <v>900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970</v>
      </c>
      <c r="Y12" s="1" t="s">
        <v>971</v>
      </c>
      <c r="Z12" s="1">
        <v>7</v>
      </c>
      <c r="AA12" s="1" t="s">
        <v>903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972</v>
      </c>
      <c r="AT12" s="1" t="s">
        <v>973</v>
      </c>
      <c r="AU12" s="1" t="s">
        <v>186</v>
      </c>
      <c r="AV12" s="1" t="s">
        <v>974</v>
      </c>
      <c r="AW12" s="1" t="s">
        <v>975</v>
      </c>
      <c r="AX12" s="1" t="s">
        <v>157</v>
      </c>
      <c r="AY12" s="1" t="s">
        <v>976</v>
      </c>
      <c r="AZ12" s="1" t="s">
        <v>977</v>
      </c>
      <c r="BA12" s="1" t="s">
        <v>978</v>
      </c>
      <c r="BB12" s="1" t="s">
        <v>979</v>
      </c>
      <c r="BC12" s="1" t="s">
        <v>902</v>
      </c>
      <c r="BD12" s="1" t="s">
        <v>980</v>
      </c>
      <c r="BE12" s="1">
        <v>114.5</v>
      </c>
      <c r="BF12" s="1">
        <v>111.1</v>
      </c>
      <c r="BG12" s="1">
        <v>3.4</v>
      </c>
      <c r="BH12" s="1" t="s">
        <v>912</v>
      </c>
      <c r="BI12" s="1" t="s">
        <v>266</v>
      </c>
      <c r="BJ12" s="1" t="s">
        <v>216</v>
      </c>
      <c r="BK12" s="1" t="s">
        <v>296</v>
      </c>
      <c r="BL12" s="1" t="s">
        <v>968</v>
      </c>
      <c r="BM12" s="1" t="s">
        <v>981</v>
      </c>
      <c r="BN12" s="1" t="s">
        <v>787</v>
      </c>
      <c r="BO12" s="1" t="s">
        <v>947</v>
      </c>
      <c r="BP12" s="1" t="s">
        <v>270</v>
      </c>
      <c r="BQ12" s="1" t="s">
        <v>286</v>
      </c>
      <c r="BR12" s="1" t="s">
        <v>410</v>
      </c>
      <c r="BS12" s="1" t="s">
        <v>982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836</v>
      </c>
      <c r="CB12" s="1" t="s">
        <v>983</v>
      </c>
      <c r="CC12" s="1" t="s">
        <v>984</v>
      </c>
    </row>
    <row r="13" spans="1:81" x14ac:dyDescent="0.25">
      <c r="A13" s="1" t="s">
        <v>145</v>
      </c>
      <c r="B13" s="1" t="s">
        <v>765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878</v>
      </c>
      <c r="H13" s="1">
        <v>6</v>
      </c>
      <c r="I13" s="1" t="s">
        <v>860</v>
      </c>
      <c r="J13" s="1" t="s">
        <v>203</v>
      </c>
      <c r="K13" s="1" t="s">
        <v>861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985</v>
      </c>
      <c r="R13" s="1" t="s">
        <v>986</v>
      </c>
      <c r="S13" s="1" t="s">
        <v>934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987</v>
      </c>
      <c r="Y13" s="1" t="s">
        <v>988</v>
      </c>
      <c r="Z13" s="1">
        <v>9</v>
      </c>
      <c r="AA13" s="1" t="s">
        <v>989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882</v>
      </c>
      <c r="AT13" s="1" t="s">
        <v>990</v>
      </c>
      <c r="AU13" s="1" t="s">
        <v>273</v>
      </c>
      <c r="AV13" s="1" t="s">
        <v>991</v>
      </c>
      <c r="AW13" s="1" t="s">
        <v>992</v>
      </c>
      <c r="AX13" s="1" t="s">
        <v>224</v>
      </c>
      <c r="AY13" s="1" t="s">
        <v>993</v>
      </c>
      <c r="AZ13" s="1" t="s">
        <v>994</v>
      </c>
      <c r="BA13" s="1" t="s">
        <v>995</v>
      </c>
      <c r="BB13" s="1" t="s">
        <v>996</v>
      </c>
      <c r="BC13" s="1" t="s">
        <v>855</v>
      </c>
      <c r="BD13" s="1" t="s">
        <v>997</v>
      </c>
      <c r="BE13" s="1">
        <v>112.2</v>
      </c>
      <c r="BF13" s="1">
        <v>112.3</v>
      </c>
      <c r="BG13" s="1">
        <v>-0.1</v>
      </c>
      <c r="BH13" s="1" t="s">
        <v>878</v>
      </c>
      <c r="BI13" s="1" t="s">
        <v>873</v>
      </c>
      <c r="BJ13" s="1" t="s">
        <v>787</v>
      </c>
      <c r="BK13" s="1" t="s">
        <v>874</v>
      </c>
      <c r="BL13" s="1" t="s">
        <v>998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836</v>
      </c>
      <c r="CB13" s="1" t="s">
        <v>999</v>
      </c>
      <c r="CC13" s="1" t="s">
        <v>1000</v>
      </c>
    </row>
    <row r="14" spans="1:81" x14ac:dyDescent="0.25">
      <c r="A14" s="1" t="s">
        <v>145</v>
      </c>
      <c r="B14" s="1" t="s">
        <v>765</v>
      </c>
      <c r="C14" s="1">
        <v>1610612759</v>
      </c>
      <c r="D14" s="1" t="s">
        <v>374</v>
      </c>
      <c r="E14" s="1" t="s">
        <v>375</v>
      </c>
      <c r="F14" s="1" t="s">
        <v>149</v>
      </c>
      <c r="G14" s="1" t="s">
        <v>953</v>
      </c>
      <c r="H14" s="1">
        <v>7</v>
      </c>
      <c r="I14" s="1" t="s">
        <v>860</v>
      </c>
      <c r="J14" s="1" t="s">
        <v>231</v>
      </c>
      <c r="K14" s="1" t="s">
        <v>899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933</v>
      </c>
      <c r="R14" s="1" t="s">
        <v>819</v>
      </c>
      <c r="S14" s="1" t="s">
        <v>1014</v>
      </c>
      <c r="T14" s="1" t="s">
        <v>259</v>
      </c>
      <c r="U14" s="1" t="s">
        <v>184</v>
      </c>
      <c r="V14" s="1" t="s">
        <v>265</v>
      </c>
      <c r="W14" s="1" t="s">
        <v>153</v>
      </c>
      <c r="X14" s="1" t="s">
        <v>1015</v>
      </c>
      <c r="Y14" s="1" t="s">
        <v>1002</v>
      </c>
      <c r="Z14" s="1">
        <v>11</v>
      </c>
      <c r="AA14" s="1" t="s">
        <v>773</v>
      </c>
      <c r="AB14" s="1">
        <v>-5</v>
      </c>
      <c r="AC14" s="1" t="s">
        <v>272</v>
      </c>
      <c r="AD14" s="1">
        <v>9</v>
      </c>
      <c r="AE14" s="1">
        <v>4</v>
      </c>
      <c r="AF14" s="1">
        <v>2</v>
      </c>
      <c r="AG14" s="1" t="s">
        <v>222</v>
      </c>
      <c r="AH14" s="1">
        <v>2</v>
      </c>
      <c r="AI14" s="1" t="s">
        <v>222</v>
      </c>
      <c r="AJ14" s="1">
        <v>3</v>
      </c>
      <c r="AK14" s="1" t="s">
        <v>223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1016</v>
      </c>
      <c r="AT14" s="1" t="s">
        <v>1017</v>
      </c>
      <c r="AU14" s="1" t="s">
        <v>163</v>
      </c>
      <c r="AV14" s="1" t="s">
        <v>1018</v>
      </c>
      <c r="AW14" s="1" t="s">
        <v>1017</v>
      </c>
      <c r="AX14" s="1" t="s">
        <v>164</v>
      </c>
      <c r="AY14" s="1" t="s">
        <v>1019</v>
      </c>
      <c r="AZ14" s="1" t="s">
        <v>1020</v>
      </c>
      <c r="BA14" s="1" t="s">
        <v>1004</v>
      </c>
      <c r="BB14" s="1" t="s">
        <v>774</v>
      </c>
      <c r="BC14" s="1" t="s">
        <v>1021</v>
      </c>
      <c r="BD14" s="1" t="s">
        <v>1022</v>
      </c>
      <c r="BE14" s="1">
        <v>111.7</v>
      </c>
      <c r="BF14" s="1">
        <v>110</v>
      </c>
      <c r="BG14" s="1">
        <v>1.7</v>
      </c>
      <c r="BH14" s="1" t="s">
        <v>1023</v>
      </c>
      <c r="BI14" s="1" t="s">
        <v>266</v>
      </c>
      <c r="BJ14" s="1" t="s">
        <v>296</v>
      </c>
      <c r="BK14" s="1" t="s">
        <v>276</v>
      </c>
      <c r="BL14" s="1" t="s">
        <v>953</v>
      </c>
      <c r="BM14" s="1" t="s">
        <v>787</v>
      </c>
      <c r="BN14" s="1" t="s">
        <v>787</v>
      </c>
      <c r="BO14" s="1" t="s">
        <v>812</v>
      </c>
      <c r="BP14" s="1" t="s">
        <v>261</v>
      </c>
      <c r="BQ14" s="1" t="s">
        <v>398</v>
      </c>
      <c r="BR14" s="1" t="s">
        <v>253</v>
      </c>
      <c r="BS14" s="1" t="s">
        <v>169</v>
      </c>
      <c r="BT14" s="1"/>
      <c r="BU14" s="1"/>
      <c r="BV14" s="1"/>
      <c r="BW14" s="1"/>
      <c r="BX14" s="1"/>
      <c r="BY14" s="1" t="s">
        <v>255</v>
      </c>
      <c r="BZ14" s="1" t="s">
        <v>349</v>
      </c>
      <c r="CA14" s="1" t="s">
        <v>948</v>
      </c>
      <c r="CB14" s="1" t="s">
        <v>1024</v>
      </c>
      <c r="CC14" s="1" t="s">
        <v>838</v>
      </c>
    </row>
    <row r="15" spans="1:81" x14ac:dyDescent="0.25">
      <c r="A15" s="1" t="s">
        <v>145</v>
      </c>
      <c r="B15" s="1" t="s">
        <v>765</v>
      </c>
      <c r="C15" s="1">
        <v>1610612753</v>
      </c>
      <c r="D15" s="1" t="s">
        <v>317</v>
      </c>
      <c r="E15" s="1" t="s">
        <v>318</v>
      </c>
      <c r="F15" s="1" t="s">
        <v>179</v>
      </c>
      <c r="G15" s="1" t="s">
        <v>953</v>
      </c>
      <c r="H15" s="1">
        <v>7</v>
      </c>
      <c r="I15" s="1" t="s">
        <v>1001</v>
      </c>
      <c r="J15" s="1" t="s">
        <v>244</v>
      </c>
      <c r="K15" s="1" t="s">
        <v>899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985</v>
      </c>
      <c r="R15" s="1" t="s">
        <v>1002</v>
      </c>
      <c r="S15" s="1" t="s">
        <v>1003</v>
      </c>
      <c r="T15" s="1" t="s">
        <v>184</v>
      </c>
      <c r="U15" s="1" t="s">
        <v>156</v>
      </c>
      <c r="V15" s="1" t="s">
        <v>310</v>
      </c>
      <c r="W15" s="1" t="s">
        <v>339</v>
      </c>
      <c r="X15" s="1" t="s">
        <v>340</v>
      </c>
      <c r="Y15" s="1" t="s">
        <v>1004</v>
      </c>
      <c r="Z15" s="1">
        <v>9</v>
      </c>
      <c r="AA15" s="1" t="s">
        <v>989</v>
      </c>
      <c r="AB15" s="1">
        <v>-5</v>
      </c>
      <c r="AC15" s="1" t="s">
        <v>272</v>
      </c>
      <c r="AD15" s="1">
        <v>6</v>
      </c>
      <c r="AE15" s="1">
        <v>4</v>
      </c>
      <c r="AF15" s="1">
        <v>9</v>
      </c>
      <c r="AG15" s="1" t="s">
        <v>989</v>
      </c>
      <c r="AH15" s="1">
        <v>2</v>
      </c>
      <c r="AI15" s="1" t="s">
        <v>222</v>
      </c>
      <c r="AJ15" s="1">
        <v>4</v>
      </c>
      <c r="AK15" s="1" t="s">
        <v>159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770</v>
      </c>
      <c r="AT15" s="1" t="s">
        <v>1005</v>
      </c>
      <c r="AU15" s="1" t="s">
        <v>164</v>
      </c>
      <c r="AV15" s="1" t="s">
        <v>1006</v>
      </c>
      <c r="AW15" s="1" t="s">
        <v>1007</v>
      </c>
      <c r="AX15" s="1" t="s">
        <v>185</v>
      </c>
      <c r="AY15" s="1" t="s">
        <v>1008</v>
      </c>
      <c r="AZ15" s="1" t="s">
        <v>1009</v>
      </c>
      <c r="BA15" s="1" t="s">
        <v>1010</v>
      </c>
      <c r="BB15" s="1" t="s">
        <v>1006</v>
      </c>
      <c r="BC15" s="1" t="s">
        <v>918</v>
      </c>
      <c r="BD15" s="1" t="s">
        <v>919</v>
      </c>
      <c r="BE15" s="1">
        <v>107.3</v>
      </c>
      <c r="BF15" s="1">
        <v>106.6</v>
      </c>
      <c r="BG15" s="1">
        <v>0.7</v>
      </c>
      <c r="BH15" s="1" t="s">
        <v>953</v>
      </c>
      <c r="BI15" s="1" t="s">
        <v>874</v>
      </c>
      <c r="BJ15" s="1" t="s">
        <v>947</v>
      </c>
      <c r="BK15" s="1" t="s">
        <v>812</v>
      </c>
      <c r="BL15" s="1" t="s">
        <v>1011</v>
      </c>
      <c r="BM15" s="1" t="s">
        <v>393</v>
      </c>
      <c r="BN15" s="1" t="s">
        <v>323</v>
      </c>
      <c r="BO15" s="1" t="s">
        <v>266</v>
      </c>
      <c r="BP15" s="1" t="s">
        <v>386</v>
      </c>
      <c r="BQ15" s="1" t="s">
        <v>240</v>
      </c>
      <c r="BR15" s="1" t="s">
        <v>270</v>
      </c>
      <c r="BS15" s="1" t="s">
        <v>169</v>
      </c>
      <c r="BT15" s="1"/>
      <c r="BU15" s="1"/>
      <c r="BV15" s="1"/>
      <c r="BW15" s="1"/>
      <c r="BX15" s="1"/>
      <c r="BY15" s="1" t="s">
        <v>345</v>
      </c>
      <c r="BZ15" s="1" t="s">
        <v>981</v>
      </c>
      <c r="CA15" s="1" t="s">
        <v>1012</v>
      </c>
      <c r="CB15" s="1" t="s">
        <v>1013</v>
      </c>
      <c r="CC15" s="1" t="s">
        <v>838</v>
      </c>
    </row>
    <row r="16" spans="1:81" x14ac:dyDescent="0.25">
      <c r="A16" s="1" t="s">
        <v>145</v>
      </c>
      <c r="B16" s="1" t="s">
        <v>765</v>
      </c>
      <c r="C16" s="1">
        <v>1610612746</v>
      </c>
      <c r="D16" s="1" t="s">
        <v>257</v>
      </c>
      <c r="E16" s="1" t="s">
        <v>258</v>
      </c>
      <c r="F16" s="1" t="s">
        <v>149</v>
      </c>
      <c r="G16" s="1" t="s">
        <v>968</v>
      </c>
      <c r="H16" s="1">
        <v>8</v>
      </c>
      <c r="I16" s="1" t="s">
        <v>860</v>
      </c>
      <c r="J16" s="1" t="s">
        <v>152</v>
      </c>
      <c r="K16" s="1" t="s">
        <v>932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933</v>
      </c>
      <c r="R16" s="1" t="s">
        <v>820</v>
      </c>
      <c r="S16" s="1" t="s">
        <v>900</v>
      </c>
      <c r="T16" s="1" t="s">
        <v>259</v>
      </c>
      <c r="U16" s="1" t="s">
        <v>193</v>
      </c>
      <c r="V16" s="1" t="s">
        <v>259</v>
      </c>
      <c r="W16" s="1" t="s">
        <v>158</v>
      </c>
      <c r="X16" s="1" t="s">
        <v>166</v>
      </c>
      <c r="Y16" s="1" t="s">
        <v>986</v>
      </c>
      <c r="Z16" s="1">
        <v>9</v>
      </c>
      <c r="AA16" s="1" t="s">
        <v>989</v>
      </c>
      <c r="AB16" s="1">
        <v>5</v>
      </c>
      <c r="AC16" s="1" t="s">
        <v>160</v>
      </c>
      <c r="AD16" s="1">
        <v>6</v>
      </c>
      <c r="AE16" s="1">
        <v>5</v>
      </c>
      <c r="AF16" s="1">
        <v>1</v>
      </c>
      <c r="AG16" s="1" t="s">
        <v>246</v>
      </c>
      <c r="AH16" s="1">
        <v>-2</v>
      </c>
      <c r="AI16" s="1" t="s">
        <v>279</v>
      </c>
      <c r="AJ16" s="1">
        <v>1</v>
      </c>
      <c r="AK16" s="1" t="s">
        <v>246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1006</v>
      </c>
      <c r="AT16" s="1" t="s">
        <v>1040</v>
      </c>
      <c r="AU16" s="1" t="s">
        <v>260</v>
      </c>
      <c r="AV16" s="1" t="s">
        <v>1041</v>
      </c>
      <c r="AW16" s="1" t="s">
        <v>1042</v>
      </c>
      <c r="AX16" s="1" t="s">
        <v>190</v>
      </c>
      <c r="AY16" s="1" t="s">
        <v>1043</v>
      </c>
      <c r="AZ16" s="1" t="s">
        <v>1044</v>
      </c>
      <c r="BA16" s="1" t="s">
        <v>1045</v>
      </c>
      <c r="BB16" s="1" t="s">
        <v>1046</v>
      </c>
      <c r="BC16" s="1" t="s">
        <v>1047</v>
      </c>
      <c r="BD16" s="1" t="s">
        <v>1048</v>
      </c>
      <c r="BE16" s="1">
        <v>115.1</v>
      </c>
      <c r="BF16" s="1">
        <v>114.3</v>
      </c>
      <c r="BG16" s="1">
        <v>0.9</v>
      </c>
      <c r="BH16" s="1" t="s">
        <v>811</v>
      </c>
      <c r="BI16" s="1" t="s">
        <v>266</v>
      </c>
      <c r="BJ16" s="1" t="s">
        <v>296</v>
      </c>
      <c r="BK16" s="1" t="s">
        <v>296</v>
      </c>
      <c r="BL16" s="1" t="s">
        <v>968</v>
      </c>
      <c r="BM16" s="1" t="s">
        <v>1049</v>
      </c>
      <c r="BN16" s="1" t="s">
        <v>948</v>
      </c>
      <c r="BO16" s="1" t="s">
        <v>787</v>
      </c>
      <c r="BP16" s="1" t="s">
        <v>965</v>
      </c>
      <c r="BQ16" s="1" t="s">
        <v>286</v>
      </c>
      <c r="BR16" s="1" t="s">
        <v>1050</v>
      </c>
      <c r="BS16" s="1" t="s">
        <v>282</v>
      </c>
      <c r="BT16" s="1"/>
      <c r="BU16" s="1"/>
      <c r="BV16" s="1"/>
      <c r="BW16" s="1"/>
      <c r="BX16" s="1"/>
      <c r="BY16" s="1" t="s">
        <v>249</v>
      </c>
      <c r="BZ16" s="1" t="s">
        <v>204</v>
      </c>
      <c r="CA16" s="1" t="s">
        <v>337</v>
      </c>
      <c r="CB16" s="1" t="s">
        <v>1051</v>
      </c>
      <c r="CC16" s="1" t="s">
        <v>1052</v>
      </c>
    </row>
    <row r="17" spans="1:81" x14ac:dyDescent="0.25">
      <c r="A17" s="1" t="s">
        <v>145</v>
      </c>
      <c r="B17" s="1" t="s">
        <v>765</v>
      </c>
      <c r="C17" s="1">
        <v>1610612765</v>
      </c>
      <c r="D17" s="1" t="s">
        <v>380</v>
      </c>
      <c r="E17" s="1" t="s">
        <v>381</v>
      </c>
      <c r="F17" s="1" t="s">
        <v>179</v>
      </c>
      <c r="G17" s="1" t="s">
        <v>1025</v>
      </c>
      <c r="H17" s="1">
        <v>8</v>
      </c>
      <c r="I17" s="1" t="s">
        <v>860</v>
      </c>
      <c r="J17" s="1" t="s">
        <v>181</v>
      </c>
      <c r="K17" s="1" t="s">
        <v>861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1026</v>
      </c>
      <c r="R17" s="1" t="s">
        <v>820</v>
      </c>
      <c r="S17" s="1" t="s">
        <v>1027</v>
      </c>
      <c r="T17" s="1" t="s">
        <v>310</v>
      </c>
      <c r="U17" s="1" t="s">
        <v>184</v>
      </c>
      <c r="V17" s="1" t="s">
        <v>320</v>
      </c>
      <c r="W17" s="1" t="s">
        <v>221</v>
      </c>
      <c r="X17" s="1" t="s">
        <v>355</v>
      </c>
      <c r="Y17" s="1" t="s">
        <v>1028</v>
      </c>
      <c r="Z17" s="1">
        <v>11</v>
      </c>
      <c r="AA17" s="1" t="s">
        <v>773</v>
      </c>
      <c r="AB17" s="1">
        <v>-5</v>
      </c>
      <c r="AC17" s="1" t="s">
        <v>272</v>
      </c>
      <c r="AD17" s="1">
        <v>5</v>
      </c>
      <c r="AE17" s="1">
        <v>6</v>
      </c>
      <c r="AF17" s="1">
        <v>1</v>
      </c>
      <c r="AG17" s="1" t="s">
        <v>246</v>
      </c>
      <c r="AH17" s="1">
        <v>1</v>
      </c>
      <c r="AI17" s="1" t="s">
        <v>246</v>
      </c>
      <c r="AJ17" s="1">
        <v>2</v>
      </c>
      <c r="AK17" s="1" t="s">
        <v>222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1029</v>
      </c>
      <c r="AT17" s="1" t="s">
        <v>1030</v>
      </c>
      <c r="AU17" s="1" t="s">
        <v>186</v>
      </c>
      <c r="AV17" s="1" t="s">
        <v>882</v>
      </c>
      <c r="AW17" s="1" t="s">
        <v>1031</v>
      </c>
      <c r="AX17" s="1" t="s">
        <v>161</v>
      </c>
      <c r="AY17" s="1" t="s">
        <v>1032</v>
      </c>
      <c r="AZ17" s="1" t="s">
        <v>1033</v>
      </c>
      <c r="BA17" s="1" t="s">
        <v>1034</v>
      </c>
      <c r="BB17" s="1" t="s">
        <v>1035</v>
      </c>
      <c r="BC17" s="1" t="s">
        <v>1036</v>
      </c>
      <c r="BD17" s="1" t="s">
        <v>1037</v>
      </c>
      <c r="BE17" s="1">
        <v>107</v>
      </c>
      <c r="BF17" s="1">
        <v>107.3</v>
      </c>
      <c r="BG17" s="1">
        <v>-0.2</v>
      </c>
      <c r="BH17" s="1" t="s">
        <v>1025</v>
      </c>
      <c r="BI17" s="1" t="s">
        <v>787</v>
      </c>
      <c r="BJ17" s="1" t="s">
        <v>873</v>
      </c>
      <c r="BK17" s="1" t="s">
        <v>947</v>
      </c>
      <c r="BL17" s="1" t="s">
        <v>928</v>
      </c>
      <c r="BM17" s="1" t="s">
        <v>323</v>
      </c>
      <c r="BN17" s="1" t="s">
        <v>276</v>
      </c>
      <c r="BO17" s="1" t="s">
        <v>276</v>
      </c>
      <c r="BP17" s="1" t="s">
        <v>410</v>
      </c>
      <c r="BQ17" s="1" t="s">
        <v>296</v>
      </c>
      <c r="BR17" s="1" t="s">
        <v>812</v>
      </c>
      <c r="BS17" s="1" t="s">
        <v>274</v>
      </c>
      <c r="BT17" s="1"/>
      <c r="BU17" s="1"/>
      <c r="BV17" s="1"/>
      <c r="BW17" s="1"/>
      <c r="BX17" s="1"/>
      <c r="BY17" s="1" t="s">
        <v>249</v>
      </c>
      <c r="BZ17" s="1" t="s">
        <v>856</v>
      </c>
      <c r="CA17" s="1" t="s">
        <v>397</v>
      </c>
      <c r="CB17" s="1" t="s">
        <v>1038</v>
      </c>
      <c r="CC17" s="1" t="s">
        <v>1039</v>
      </c>
    </row>
    <row r="18" spans="1:81" x14ac:dyDescent="0.25">
      <c r="A18" s="1" t="s">
        <v>145</v>
      </c>
      <c r="B18" s="1" t="s">
        <v>765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1066</v>
      </c>
      <c r="H18" s="1">
        <v>9</v>
      </c>
      <c r="I18" s="1" t="s">
        <v>1053</v>
      </c>
      <c r="J18" s="1" t="s">
        <v>152</v>
      </c>
      <c r="K18" s="1" t="s">
        <v>1067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1054</v>
      </c>
      <c r="R18" s="1" t="s">
        <v>1068</v>
      </c>
      <c r="S18" s="1" t="s">
        <v>1027</v>
      </c>
      <c r="T18" s="1" t="s">
        <v>341</v>
      </c>
      <c r="U18" s="1" t="s">
        <v>265</v>
      </c>
      <c r="V18" s="1" t="s">
        <v>320</v>
      </c>
      <c r="W18" s="1" t="s">
        <v>164</v>
      </c>
      <c r="X18" s="1" t="s">
        <v>970</v>
      </c>
      <c r="Y18" s="1" t="s">
        <v>1069</v>
      </c>
      <c r="Z18" s="1">
        <v>7</v>
      </c>
      <c r="AA18" s="1" t="s">
        <v>903</v>
      </c>
      <c r="AB18" s="1">
        <v>-5</v>
      </c>
      <c r="AC18" s="1" t="s">
        <v>272</v>
      </c>
      <c r="AD18" s="1">
        <v>5</v>
      </c>
      <c r="AE18" s="1">
        <v>4</v>
      </c>
      <c r="AF18" s="1">
        <v>-1</v>
      </c>
      <c r="AG18" s="1" t="s">
        <v>207</v>
      </c>
      <c r="AH18" s="1">
        <v>-2</v>
      </c>
      <c r="AI18" s="1" t="s">
        <v>279</v>
      </c>
      <c r="AJ18" s="1">
        <v>-3</v>
      </c>
      <c r="AK18" s="1" t="s">
        <v>301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1070</v>
      </c>
      <c r="AT18" s="1" t="s">
        <v>1071</v>
      </c>
      <c r="AU18" s="1" t="s">
        <v>260</v>
      </c>
      <c r="AV18" s="1" t="s">
        <v>1072</v>
      </c>
      <c r="AW18" s="1" t="s">
        <v>1073</v>
      </c>
      <c r="AX18" s="1" t="s">
        <v>339</v>
      </c>
      <c r="AY18" s="1" t="s">
        <v>1074</v>
      </c>
      <c r="AZ18" s="1" t="s">
        <v>1075</v>
      </c>
      <c r="BA18" s="1" t="s">
        <v>1076</v>
      </c>
      <c r="BB18" s="1" t="s">
        <v>1077</v>
      </c>
      <c r="BC18" s="1" t="s">
        <v>1048</v>
      </c>
      <c r="BD18" s="1" t="s">
        <v>1078</v>
      </c>
      <c r="BE18" s="1">
        <v>114.2</v>
      </c>
      <c r="BF18" s="1">
        <v>115.3</v>
      </c>
      <c r="BG18" s="1">
        <v>-1.1000000000000001</v>
      </c>
      <c r="BH18" s="1" t="s">
        <v>1023</v>
      </c>
      <c r="BI18" s="1" t="s">
        <v>398</v>
      </c>
      <c r="BJ18" s="1" t="s">
        <v>296</v>
      </c>
      <c r="BK18" s="1" t="s">
        <v>216</v>
      </c>
      <c r="BL18" s="1" t="s">
        <v>1066</v>
      </c>
      <c r="BM18" s="1" t="s">
        <v>1049</v>
      </c>
      <c r="BN18" s="1" t="s">
        <v>1079</v>
      </c>
      <c r="BO18" s="1" t="s">
        <v>787</v>
      </c>
      <c r="BP18" s="1" t="s">
        <v>929</v>
      </c>
      <c r="BQ18" s="1" t="s">
        <v>276</v>
      </c>
      <c r="BR18" s="1" t="s">
        <v>965</v>
      </c>
      <c r="BS18" s="1" t="s">
        <v>344</v>
      </c>
      <c r="BT18" s="1"/>
      <c r="BU18" s="1"/>
      <c r="BV18" s="1"/>
      <c r="BW18" s="1"/>
      <c r="BX18" s="1"/>
      <c r="BY18" s="1" t="s">
        <v>315</v>
      </c>
      <c r="BZ18" s="1" t="s">
        <v>1012</v>
      </c>
      <c r="CA18" s="1" t="s">
        <v>836</v>
      </c>
      <c r="CB18" s="1" t="s">
        <v>1080</v>
      </c>
      <c r="CC18" s="1" t="s">
        <v>1081</v>
      </c>
    </row>
    <row r="19" spans="1:81" x14ac:dyDescent="0.25">
      <c r="A19" s="1" t="s">
        <v>145</v>
      </c>
      <c r="B19" s="1" t="s">
        <v>765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878</v>
      </c>
      <c r="H19" s="1">
        <v>9</v>
      </c>
      <c r="I19" s="1" t="s">
        <v>1053</v>
      </c>
      <c r="J19" s="1" t="s">
        <v>244</v>
      </c>
      <c r="K19" s="1" t="s">
        <v>899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1054</v>
      </c>
      <c r="R19" s="1" t="s">
        <v>1002</v>
      </c>
      <c r="S19" s="1" t="s">
        <v>1055</v>
      </c>
      <c r="T19" s="1" t="s">
        <v>259</v>
      </c>
      <c r="U19" s="1" t="s">
        <v>265</v>
      </c>
      <c r="V19" s="1" t="s">
        <v>265</v>
      </c>
      <c r="W19" s="1" t="s">
        <v>262</v>
      </c>
      <c r="X19" s="1" t="s">
        <v>879</v>
      </c>
      <c r="Y19" s="1" t="s">
        <v>881</v>
      </c>
      <c r="Z19" s="1">
        <v>5</v>
      </c>
      <c r="AA19" s="1" t="s">
        <v>160</v>
      </c>
      <c r="AB19" s="1">
        <v>-4</v>
      </c>
      <c r="AC19" s="1" t="s">
        <v>263</v>
      </c>
      <c r="AD19" s="1">
        <v>4</v>
      </c>
      <c r="AE19" s="1">
        <v>3</v>
      </c>
      <c r="AF19" s="1">
        <v>-1</v>
      </c>
      <c r="AG19" s="1" t="s">
        <v>207</v>
      </c>
      <c r="AH19" s="1">
        <v>3</v>
      </c>
      <c r="AI19" s="1" t="s">
        <v>223</v>
      </c>
      <c r="AJ19" s="1">
        <v>-1</v>
      </c>
      <c r="AK19" s="1" t="s">
        <v>207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1056</v>
      </c>
      <c r="AT19" s="1" t="s">
        <v>1057</v>
      </c>
      <c r="AU19" s="1" t="s">
        <v>190</v>
      </c>
      <c r="AV19" s="1" t="s">
        <v>796</v>
      </c>
      <c r="AW19" s="1" t="s">
        <v>1058</v>
      </c>
      <c r="AX19" s="1" t="s">
        <v>186</v>
      </c>
      <c r="AY19" s="1" t="s">
        <v>1059</v>
      </c>
      <c r="AZ19" s="1" t="s">
        <v>1060</v>
      </c>
      <c r="BA19" s="1" t="s">
        <v>973</v>
      </c>
      <c r="BB19" s="1" t="s">
        <v>1061</v>
      </c>
      <c r="BC19" s="1" t="s">
        <v>1062</v>
      </c>
      <c r="BD19" s="1" t="s">
        <v>1063</v>
      </c>
      <c r="BE19" s="1">
        <v>110.7</v>
      </c>
      <c r="BF19" s="1">
        <v>111.8</v>
      </c>
      <c r="BG19" s="1">
        <v>-1.1000000000000001</v>
      </c>
      <c r="BH19" s="1" t="s">
        <v>878</v>
      </c>
      <c r="BI19" s="1" t="s">
        <v>913</v>
      </c>
      <c r="BJ19" s="1" t="s">
        <v>874</v>
      </c>
      <c r="BK19" s="1" t="s">
        <v>812</v>
      </c>
      <c r="BL19" s="1" t="s">
        <v>1064</v>
      </c>
      <c r="BM19" s="1" t="s">
        <v>393</v>
      </c>
      <c r="BN19" s="1" t="s">
        <v>398</v>
      </c>
      <c r="BO19" s="1" t="s">
        <v>276</v>
      </c>
      <c r="BP19" s="1" t="s">
        <v>299</v>
      </c>
      <c r="BQ19" s="1" t="s">
        <v>388</v>
      </c>
      <c r="BR19" s="1" t="s">
        <v>929</v>
      </c>
      <c r="BS19" s="1" t="s">
        <v>214</v>
      </c>
      <c r="BT19" s="1"/>
      <c r="BU19" s="1"/>
      <c r="BV19" s="1"/>
      <c r="BW19" s="1"/>
      <c r="BX19" s="1"/>
      <c r="BY19" s="1" t="s">
        <v>343</v>
      </c>
      <c r="BZ19" s="1" t="s">
        <v>326</v>
      </c>
      <c r="CA19" s="1" t="s">
        <v>326</v>
      </c>
      <c r="CB19" s="1" t="s">
        <v>1065</v>
      </c>
      <c r="CC19" s="1" t="s">
        <v>984</v>
      </c>
    </row>
    <row r="20" spans="1:81" x14ac:dyDescent="0.25">
      <c r="A20" s="1" t="s">
        <v>145</v>
      </c>
      <c r="B20" s="1" t="s">
        <v>765</v>
      </c>
      <c r="C20" s="1">
        <v>1610612748</v>
      </c>
      <c r="D20" s="1" t="s">
        <v>241</v>
      </c>
      <c r="E20" s="1" t="s">
        <v>242</v>
      </c>
      <c r="F20" s="1" t="s">
        <v>179</v>
      </c>
      <c r="G20" s="1" t="s">
        <v>1096</v>
      </c>
      <c r="H20" s="1">
        <v>10</v>
      </c>
      <c r="I20" s="1" t="s">
        <v>1053</v>
      </c>
      <c r="J20" s="1" t="s">
        <v>244</v>
      </c>
      <c r="K20" s="1" t="s">
        <v>1097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1054</v>
      </c>
      <c r="R20" s="1" t="s">
        <v>934</v>
      </c>
      <c r="S20" s="1" t="s">
        <v>843</v>
      </c>
      <c r="T20" s="1" t="s">
        <v>310</v>
      </c>
      <c r="U20" s="1" t="s">
        <v>259</v>
      </c>
      <c r="V20" s="1" t="s">
        <v>265</v>
      </c>
      <c r="W20" s="1" t="s">
        <v>186</v>
      </c>
      <c r="X20" s="1" t="s">
        <v>355</v>
      </c>
      <c r="Y20" s="1" t="s">
        <v>1098</v>
      </c>
      <c r="Z20" s="1">
        <v>-6</v>
      </c>
      <c r="AA20" s="1" t="s">
        <v>367</v>
      </c>
      <c r="AB20" s="1">
        <v>4</v>
      </c>
      <c r="AC20" s="1" t="s">
        <v>159</v>
      </c>
      <c r="AD20" s="1">
        <v>5</v>
      </c>
      <c r="AE20" s="1">
        <v>4</v>
      </c>
      <c r="AF20" s="1">
        <v>1</v>
      </c>
      <c r="AG20" s="1" t="s">
        <v>246</v>
      </c>
      <c r="AH20" s="1">
        <v>-4</v>
      </c>
      <c r="AI20" s="1" t="s">
        <v>263</v>
      </c>
      <c r="AJ20" s="1">
        <v>-1</v>
      </c>
      <c r="AK20" s="1" t="s">
        <v>207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935</v>
      </c>
      <c r="AT20" s="1" t="s">
        <v>1099</v>
      </c>
      <c r="AU20" s="1" t="s">
        <v>234</v>
      </c>
      <c r="AV20" s="1" t="s">
        <v>1100</v>
      </c>
      <c r="AW20" s="1" t="s">
        <v>1101</v>
      </c>
      <c r="AX20" s="1" t="s">
        <v>260</v>
      </c>
      <c r="AY20" s="1" t="s">
        <v>1102</v>
      </c>
      <c r="AZ20" s="1" t="s">
        <v>1103</v>
      </c>
      <c r="BA20" s="1" t="s">
        <v>1104</v>
      </c>
      <c r="BB20" s="1" t="s">
        <v>1105</v>
      </c>
      <c r="BC20" s="1" t="s">
        <v>1106</v>
      </c>
      <c r="BD20" s="1" t="s">
        <v>1107</v>
      </c>
      <c r="BE20" s="1">
        <v>105.7</v>
      </c>
      <c r="BF20" s="1">
        <v>105.9</v>
      </c>
      <c r="BG20" s="1">
        <v>-0.2</v>
      </c>
      <c r="BH20" s="1" t="s">
        <v>1096</v>
      </c>
      <c r="BI20" s="1" t="s">
        <v>1049</v>
      </c>
      <c r="BJ20" s="1" t="s">
        <v>947</v>
      </c>
      <c r="BK20" s="1" t="s">
        <v>965</v>
      </c>
      <c r="BL20" s="1" t="s">
        <v>1108</v>
      </c>
      <c r="BM20" s="1" t="s">
        <v>323</v>
      </c>
      <c r="BN20" s="1" t="s">
        <v>398</v>
      </c>
      <c r="BO20" s="1" t="s">
        <v>176</v>
      </c>
      <c r="BP20" s="1" t="s">
        <v>326</v>
      </c>
      <c r="BQ20" s="1" t="s">
        <v>1109</v>
      </c>
      <c r="BR20" s="1" t="s">
        <v>233</v>
      </c>
      <c r="BS20" s="1" t="s">
        <v>914</v>
      </c>
      <c r="BT20" s="1"/>
      <c r="BU20" s="1"/>
      <c r="BV20" s="1"/>
      <c r="BW20" s="1"/>
      <c r="BX20" s="1"/>
      <c r="BY20" s="1" t="s">
        <v>295</v>
      </c>
      <c r="BZ20" s="1" t="s">
        <v>363</v>
      </c>
      <c r="CA20" s="1" t="s">
        <v>270</v>
      </c>
      <c r="CB20" s="1" t="s">
        <v>1038</v>
      </c>
      <c r="CC20" s="1" t="s">
        <v>1110</v>
      </c>
    </row>
    <row r="21" spans="1:81" x14ac:dyDescent="0.25">
      <c r="A21" s="1" t="s">
        <v>145</v>
      </c>
      <c r="B21" s="1" t="s">
        <v>765</v>
      </c>
      <c r="C21" s="1">
        <v>1610612747</v>
      </c>
      <c r="D21" s="1" t="s">
        <v>147</v>
      </c>
      <c r="E21" s="1" t="s">
        <v>148</v>
      </c>
      <c r="F21" s="1" t="s">
        <v>149</v>
      </c>
      <c r="G21" s="1" t="s">
        <v>1082</v>
      </c>
      <c r="H21" s="1">
        <v>10</v>
      </c>
      <c r="I21" s="1" t="s">
        <v>1053</v>
      </c>
      <c r="J21" s="1" t="s">
        <v>152</v>
      </c>
      <c r="K21" s="1" t="s">
        <v>969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1083</v>
      </c>
      <c r="R21" s="1" t="s">
        <v>900</v>
      </c>
      <c r="S21" s="1" t="s">
        <v>1027</v>
      </c>
      <c r="T21" s="1" t="s">
        <v>259</v>
      </c>
      <c r="U21" s="1" t="s">
        <v>310</v>
      </c>
      <c r="V21" s="1" t="s">
        <v>341</v>
      </c>
      <c r="W21" s="1" t="s">
        <v>224</v>
      </c>
      <c r="X21" s="1" t="s">
        <v>273</v>
      </c>
      <c r="Y21" s="1" t="s">
        <v>1014</v>
      </c>
      <c r="Z21" s="1">
        <v>6</v>
      </c>
      <c r="AA21" s="1" t="s">
        <v>188</v>
      </c>
      <c r="AB21" s="1">
        <v>-5</v>
      </c>
      <c r="AC21" s="1" t="s">
        <v>272</v>
      </c>
      <c r="AD21" s="1">
        <v>4</v>
      </c>
      <c r="AE21" s="1">
        <v>5</v>
      </c>
      <c r="AF21" s="1">
        <v>-1</v>
      </c>
      <c r="AG21" s="1" t="s">
        <v>207</v>
      </c>
      <c r="AH21" s="1">
        <v>1</v>
      </c>
      <c r="AI21" s="1" t="s">
        <v>246</v>
      </c>
      <c r="AJ21" s="1">
        <v>-1</v>
      </c>
      <c r="AK21" s="1" t="s">
        <v>207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1084</v>
      </c>
      <c r="AT21" s="1" t="s">
        <v>1085</v>
      </c>
      <c r="AU21" s="1" t="s">
        <v>157</v>
      </c>
      <c r="AV21" s="1" t="s">
        <v>1086</v>
      </c>
      <c r="AW21" s="1" t="s">
        <v>1087</v>
      </c>
      <c r="AX21" s="1" t="s">
        <v>157</v>
      </c>
      <c r="AY21" s="1" t="s">
        <v>1088</v>
      </c>
      <c r="AZ21" s="1" t="s">
        <v>1089</v>
      </c>
      <c r="BA21" s="1" t="s">
        <v>1090</v>
      </c>
      <c r="BB21" s="1" t="s">
        <v>1091</v>
      </c>
      <c r="BC21" s="1" t="s">
        <v>1092</v>
      </c>
      <c r="BD21" s="1" t="s">
        <v>1093</v>
      </c>
      <c r="BE21" s="1">
        <v>111.8</v>
      </c>
      <c r="BF21" s="1">
        <v>113.5</v>
      </c>
      <c r="BG21" s="1">
        <v>-1.7</v>
      </c>
      <c r="BH21" s="1" t="s">
        <v>1011</v>
      </c>
      <c r="BI21" s="1" t="s">
        <v>1094</v>
      </c>
      <c r="BJ21" s="1" t="s">
        <v>276</v>
      </c>
      <c r="BK21" s="1" t="s">
        <v>266</v>
      </c>
      <c r="BL21" s="1" t="s">
        <v>1082</v>
      </c>
      <c r="BM21" s="1" t="s">
        <v>1049</v>
      </c>
      <c r="BN21" s="1" t="s">
        <v>981</v>
      </c>
      <c r="BO21" s="1" t="s">
        <v>947</v>
      </c>
      <c r="BP21" s="1" t="s">
        <v>337</v>
      </c>
      <c r="BQ21" s="1" t="s">
        <v>364</v>
      </c>
      <c r="BR21" s="1" t="s">
        <v>386</v>
      </c>
      <c r="BS21" s="1" t="s">
        <v>275</v>
      </c>
      <c r="BT21" s="1"/>
      <c r="BU21" s="1"/>
      <c r="BV21" s="1"/>
      <c r="BW21" s="1"/>
      <c r="BX21" s="1"/>
      <c r="BY21" s="1" t="s">
        <v>305</v>
      </c>
      <c r="BZ21" s="1" t="s">
        <v>253</v>
      </c>
      <c r="CA21" s="1" t="s">
        <v>308</v>
      </c>
      <c r="CB21" s="1" t="s">
        <v>1095</v>
      </c>
      <c r="CC21" s="1" t="s">
        <v>1081</v>
      </c>
    </row>
    <row r="22" spans="1:81" x14ac:dyDescent="0.25">
      <c r="A22" s="1" t="s">
        <v>145</v>
      </c>
      <c r="B22" s="1" t="s">
        <v>765</v>
      </c>
      <c r="C22" s="1">
        <v>1610612750</v>
      </c>
      <c r="D22" s="1" t="s">
        <v>306</v>
      </c>
      <c r="E22" s="1" t="s">
        <v>307</v>
      </c>
      <c r="F22" s="1" t="s">
        <v>149</v>
      </c>
      <c r="G22" s="1" t="s">
        <v>1129</v>
      </c>
      <c r="H22" s="1">
        <v>11</v>
      </c>
      <c r="I22" s="1" t="s">
        <v>1053</v>
      </c>
      <c r="J22" s="1" t="s">
        <v>219</v>
      </c>
      <c r="K22" s="1" t="s">
        <v>1130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1131</v>
      </c>
      <c r="R22" s="1" t="s">
        <v>1002</v>
      </c>
      <c r="S22" s="1" t="s">
        <v>1132</v>
      </c>
      <c r="T22" s="1" t="s">
        <v>310</v>
      </c>
      <c r="U22" s="1" t="s">
        <v>310</v>
      </c>
      <c r="V22" s="1" t="s">
        <v>320</v>
      </c>
      <c r="W22" s="1" t="s">
        <v>226</v>
      </c>
      <c r="X22" s="1" t="s">
        <v>281</v>
      </c>
      <c r="Y22" s="1" t="s">
        <v>934</v>
      </c>
      <c r="Z22" s="1">
        <v>6</v>
      </c>
      <c r="AA22" s="1" t="s">
        <v>188</v>
      </c>
      <c r="AB22" s="1">
        <v>-9</v>
      </c>
      <c r="AC22" s="1" t="s">
        <v>1133</v>
      </c>
      <c r="AD22" s="1">
        <v>4</v>
      </c>
      <c r="AE22" s="1">
        <v>5</v>
      </c>
      <c r="AF22" s="1">
        <v>-2</v>
      </c>
      <c r="AG22" s="1" t="s">
        <v>279</v>
      </c>
      <c r="AH22" s="1">
        <v>-1</v>
      </c>
      <c r="AI22" s="1" t="s">
        <v>207</v>
      </c>
      <c r="AJ22" s="1">
        <v>-3</v>
      </c>
      <c r="AK22" s="1" t="s">
        <v>301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1134</v>
      </c>
      <c r="AT22" s="1" t="s">
        <v>1135</v>
      </c>
      <c r="AU22" s="1" t="s">
        <v>226</v>
      </c>
      <c r="AV22" s="1" t="s">
        <v>1136</v>
      </c>
      <c r="AW22" s="1" t="s">
        <v>1137</v>
      </c>
      <c r="AX22" s="1" t="s">
        <v>260</v>
      </c>
      <c r="AY22" s="1" t="s">
        <v>1138</v>
      </c>
      <c r="AZ22" s="1" t="s">
        <v>1139</v>
      </c>
      <c r="BA22" s="1" t="s">
        <v>1140</v>
      </c>
      <c r="BB22" s="1" t="s">
        <v>1141</v>
      </c>
      <c r="BC22" s="1" t="s">
        <v>1142</v>
      </c>
      <c r="BD22" s="1" t="s">
        <v>1143</v>
      </c>
      <c r="BE22" s="1">
        <v>112.5</v>
      </c>
      <c r="BF22" s="1">
        <v>114</v>
      </c>
      <c r="BG22" s="1">
        <v>-1.5</v>
      </c>
      <c r="BH22" s="1" t="s">
        <v>928</v>
      </c>
      <c r="BI22" s="1" t="s">
        <v>323</v>
      </c>
      <c r="BJ22" s="1" t="s">
        <v>276</v>
      </c>
      <c r="BK22" s="1" t="s">
        <v>276</v>
      </c>
      <c r="BL22" s="1" t="s">
        <v>1129</v>
      </c>
      <c r="BM22" s="1" t="s">
        <v>386</v>
      </c>
      <c r="BN22" s="1" t="s">
        <v>947</v>
      </c>
      <c r="BO22" s="1" t="s">
        <v>913</v>
      </c>
      <c r="BP22" s="1" t="s">
        <v>291</v>
      </c>
      <c r="BQ22" s="1" t="s">
        <v>388</v>
      </c>
      <c r="BR22" s="1" t="s">
        <v>363</v>
      </c>
      <c r="BS22" s="1" t="s">
        <v>274</v>
      </c>
      <c r="BT22" s="1"/>
      <c r="BU22" s="1"/>
      <c r="BV22" s="1"/>
      <c r="BW22" s="1"/>
      <c r="BX22" s="1"/>
      <c r="BY22" s="1" t="s">
        <v>343</v>
      </c>
      <c r="BZ22" s="1" t="s">
        <v>326</v>
      </c>
      <c r="CA22" s="1" t="s">
        <v>337</v>
      </c>
      <c r="CB22" s="1" t="s">
        <v>1065</v>
      </c>
      <c r="CC22" s="1" t="s">
        <v>1081</v>
      </c>
    </row>
    <row r="23" spans="1:81" x14ac:dyDescent="0.25">
      <c r="A23" s="1" t="s">
        <v>145</v>
      </c>
      <c r="B23" s="1" t="s">
        <v>765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1111</v>
      </c>
      <c r="H23" s="1">
        <v>11</v>
      </c>
      <c r="I23" s="1" t="s">
        <v>1053</v>
      </c>
      <c r="J23" s="1" t="s">
        <v>244</v>
      </c>
      <c r="K23" s="1" t="s">
        <v>1097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1112</v>
      </c>
      <c r="R23" s="1" t="s">
        <v>900</v>
      </c>
      <c r="S23" s="1" t="s">
        <v>1007</v>
      </c>
      <c r="T23" s="1" t="s">
        <v>320</v>
      </c>
      <c r="U23" s="1" t="s">
        <v>341</v>
      </c>
      <c r="V23" s="1" t="s">
        <v>341</v>
      </c>
      <c r="W23" s="1" t="s">
        <v>264</v>
      </c>
      <c r="X23" s="1" t="s">
        <v>340</v>
      </c>
      <c r="Y23" s="1" t="s">
        <v>1113</v>
      </c>
      <c r="Z23" s="1">
        <v>-6</v>
      </c>
      <c r="AA23" s="1" t="s">
        <v>367</v>
      </c>
      <c r="AB23" s="1">
        <v>-8</v>
      </c>
      <c r="AC23" s="1" t="s">
        <v>1114</v>
      </c>
      <c r="AD23" s="1">
        <v>3</v>
      </c>
      <c r="AE23" s="1">
        <v>5</v>
      </c>
      <c r="AF23" s="1">
        <v>-6</v>
      </c>
      <c r="AG23" s="1" t="s">
        <v>367</v>
      </c>
      <c r="AH23" s="1">
        <v>-1</v>
      </c>
      <c r="AI23" s="1" t="s">
        <v>207</v>
      </c>
      <c r="AJ23" s="1">
        <v>-4</v>
      </c>
      <c r="AK23" s="1" t="s">
        <v>263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1115</v>
      </c>
      <c r="AT23" s="1" t="s">
        <v>1116</v>
      </c>
      <c r="AU23" s="1" t="s">
        <v>158</v>
      </c>
      <c r="AV23" s="1" t="s">
        <v>1117</v>
      </c>
      <c r="AW23" s="1" t="s">
        <v>1118</v>
      </c>
      <c r="AX23" s="1" t="s">
        <v>190</v>
      </c>
      <c r="AY23" s="1" t="s">
        <v>1119</v>
      </c>
      <c r="AZ23" s="1" t="s">
        <v>1120</v>
      </c>
      <c r="BA23" s="1" t="s">
        <v>1121</v>
      </c>
      <c r="BB23" s="1" t="s">
        <v>1122</v>
      </c>
      <c r="BC23" s="1" t="s">
        <v>1123</v>
      </c>
      <c r="BD23" s="1" t="s">
        <v>1096</v>
      </c>
      <c r="BE23" s="1">
        <v>114</v>
      </c>
      <c r="BF23" s="1">
        <v>116.9</v>
      </c>
      <c r="BG23" s="1">
        <v>-2.9</v>
      </c>
      <c r="BH23" s="1" t="s">
        <v>1111</v>
      </c>
      <c r="BI23" s="1" t="s">
        <v>1124</v>
      </c>
      <c r="BJ23" s="1" t="s">
        <v>1124</v>
      </c>
      <c r="BK23" s="1" t="s">
        <v>965</v>
      </c>
      <c r="BL23" s="1" t="s">
        <v>998</v>
      </c>
      <c r="BM23" s="1" t="s">
        <v>323</v>
      </c>
      <c r="BN23" s="1" t="s">
        <v>276</v>
      </c>
      <c r="BO23" s="1" t="s">
        <v>323</v>
      </c>
      <c r="BP23" s="1" t="s">
        <v>291</v>
      </c>
      <c r="BQ23" s="1" t="s">
        <v>398</v>
      </c>
      <c r="BR23" s="1" t="s">
        <v>1125</v>
      </c>
      <c r="BS23" s="1" t="s">
        <v>372</v>
      </c>
      <c r="BT23" s="1"/>
      <c r="BU23" s="1"/>
      <c r="BV23" s="1"/>
      <c r="BW23" s="1"/>
      <c r="BX23" s="1"/>
      <c r="BY23" s="1" t="s">
        <v>1126</v>
      </c>
      <c r="BZ23" s="1" t="s">
        <v>929</v>
      </c>
      <c r="CA23" s="1" t="s">
        <v>337</v>
      </c>
      <c r="CB23" s="1" t="s">
        <v>1127</v>
      </c>
      <c r="CC23" s="1" t="s">
        <v>1128</v>
      </c>
    </row>
    <row r="24" spans="1:81" x14ac:dyDescent="0.25">
      <c r="A24" s="1" t="s">
        <v>145</v>
      </c>
      <c r="B24" s="1" t="s">
        <v>765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1144</v>
      </c>
      <c r="H24" s="1">
        <v>12</v>
      </c>
      <c r="I24" s="1" t="s">
        <v>1053</v>
      </c>
      <c r="J24" s="1" t="s">
        <v>231</v>
      </c>
      <c r="K24" s="1" t="s">
        <v>861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1145</v>
      </c>
      <c r="R24" s="1" t="s">
        <v>881</v>
      </c>
      <c r="S24" s="1" t="s">
        <v>1146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1147</v>
      </c>
      <c r="Z24" s="1">
        <v>5</v>
      </c>
      <c r="AA24" s="1" t="s">
        <v>160</v>
      </c>
      <c r="AB24" s="1">
        <v>-9</v>
      </c>
      <c r="AC24" s="1" t="s">
        <v>1133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1148</v>
      </c>
      <c r="AT24" s="1" t="s">
        <v>1149</v>
      </c>
      <c r="AU24" s="1" t="s">
        <v>262</v>
      </c>
      <c r="AV24" s="1" t="s">
        <v>1150</v>
      </c>
      <c r="AW24" s="1" t="s">
        <v>1151</v>
      </c>
      <c r="AX24" s="1" t="s">
        <v>153</v>
      </c>
      <c r="AY24" s="1" t="s">
        <v>925</v>
      </c>
      <c r="AZ24" s="1" t="s">
        <v>1152</v>
      </c>
      <c r="BA24" s="1" t="s">
        <v>1104</v>
      </c>
      <c r="BB24" s="1" t="s">
        <v>1153</v>
      </c>
      <c r="BC24" s="1" t="s">
        <v>1154</v>
      </c>
      <c r="BD24" s="1" t="s">
        <v>1155</v>
      </c>
      <c r="BE24" s="1">
        <v>103.5</v>
      </c>
      <c r="BF24" s="1">
        <v>106.1</v>
      </c>
      <c r="BG24" s="1">
        <v>-2.6</v>
      </c>
      <c r="BH24" s="1" t="s">
        <v>1156</v>
      </c>
      <c r="BI24" s="1" t="s">
        <v>398</v>
      </c>
      <c r="BJ24" s="1" t="s">
        <v>398</v>
      </c>
      <c r="BK24" s="1" t="s">
        <v>398</v>
      </c>
      <c r="BL24" s="1" t="s">
        <v>1144</v>
      </c>
      <c r="BM24" s="1" t="s">
        <v>947</v>
      </c>
      <c r="BN24" s="1" t="s">
        <v>1049</v>
      </c>
      <c r="BO24" s="1" t="s">
        <v>873</v>
      </c>
      <c r="BP24" s="1" t="s">
        <v>1157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836</v>
      </c>
      <c r="CA24" s="1" t="s">
        <v>349</v>
      </c>
      <c r="CB24" s="1" t="s">
        <v>1158</v>
      </c>
      <c r="CC24" s="1" t="s">
        <v>1159</v>
      </c>
    </row>
    <row r="25" spans="1:81" x14ac:dyDescent="0.25">
      <c r="A25" s="1" t="s">
        <v>145</v>
      </c>
      <c r="B25" s="1" t="s">
        <v>765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1160</v>
      </c>
      <c r="H25" s="1">
        <v>12</v>
      </c>
      <c r="I25" s="1" t="s">
        <v>1053</v>
      </c>
      <c r="J25" s="1" t="s">
        <v>244</v>
      </c>
      <c r="K25" s="1" t="s">
        <v>879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1161</v>
      </c>
      <c r="R25" s="1" t="s">
        <v>1003</v>
      </c>
      <c r="S25" s="1" t="s">
        <v>1146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1162</v>
      </c>
      <c r="Y25" s="1" t="s">
        <v>1163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1164</v>
      </c>
      <c r="AT25" s="1" t="s">
        <v>1057</v>
      </c>
      <c r="AU25" s="1" t="s">
        <v>327</v>
      </c>
      <c r="AV25" s="1" t="s">
        <v>872</v>
      </c>
      <c r="AW25" s="1" t="s">
        <v>1165</v>
      </c>
      <c r="AX25" s="1" t="s">
        <v>153</v>
      </c>
      <c r="AY25" s="1" t="s">
        <v>1166</v>
      </c>
      <c r="AZ25" s="1" t="s">
        <v>1167</v>
      </c>
      <c r="BA25" s="1" t="s">
        <v>1168</v>
      </c>
      <c r="BB25" s="1" t="s">
        <v>997</v>
      </c>
      <c r="BC25" s="1" t="s">
        <v>1169</v>
      </c>
      <c r="BD25" s="1" t="s">
        <v>1170</v>
      </c>
      <c r="BE25" s="1">
        <v>113.3</v>
      </c>
      <c r="BF25" s="1">
        <v>119.4</v>
      </c>
      <c r="BG25" s="1">
        <v>-6</v>
      </c>
      <c r="BH25" s="1" t="s">
        <v>1160</v>
      </c>
      <c r="BI25" s="1" t="s">
        <v>1171</v>
      </c>
      <c r="BJ25" s="1" t="s">
        <v>1124</v>
      </c>
      <c r="BK25" s="1" t="s">
        <v>410</v>
      </c>
      <c r="BL25" s="1" t="s">
        <v>998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1172</v>
      </c>
      <c r="BR25" s="1" t="s">
        <v>929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1173</v>
      </c>
      <c r="CC25" s="1" t="s">
        <v>952</v>
      </c>
    </row>
    <row r="26" spans="1:81" x14ac:dyDescent="0.25">
      <c r="A26" s="1" t="s">
        <v>145</v>
      </c>
      <c r="B26" s="1" t="s">
        <v>765</v>
      </c>
      <c r="C26" s="1">
        <v>1610612741</v>
      </c>
      <c r="D26" s="1" t="s">
        <v>346</v>
      </c>
      <c r="E26" s="1" t="s">
        <v>347</v>
      </c>
      <c r="F26" s="1" t="s">
        <v>179</v>
      </c>
      <c r="G26" s="1" t="s">
        <v>1160</v>
      </c>
      <c r="H26" s="1">
        <v>13</v>
      </c>
      <c r="I26" s="1" t="s">
        <v>1053</v>
      </c>
      <c r="J26" s="1" t="s">
        <v>181</v>
      </c>
      <c r="K26" s="1" t="s">
        <v>1187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1188</v>
      </c>
      <c r="R26" s="1" t="s">
        <v>1057</v>
      </c>
      <c r="S26" s="1" t="s">
        <v>1189</v>
      </c>
      <c r="T26" s="1" t="s">
        <v>320</v>
      </c>
      <c r="U26" s="1" t="s">
        <v>320</v>
      </c>
      <c r="V26" s="1" t="s">
        <v>341</v>
      </c>
      <c r="W26" s="1" t="s">
        <v>208</v>
      </c>
      <c r="X26" s="1" t="s">
        <v>861</v>
      </c>
      <c r="Y26" s="1" t="s">
        <v>1190</v>
      </c>
      <c r="Z26" s="1">
        <v>-11</v>
      </c>
      <c r="AA26" s="1" t="s">
        <v>1191</v>
      </c>
      <c r="AB26" s="1">
        <v>-9</v>
      </c>
      <c r="AC26" s="1" t="s">
        <v>1133</v>
      </c>
      <c r="AD26" s="1">
        <v>3</v>
      </c>
      <c r="AE26" s="1">
        <v>10</v>
      </c>
      <c r="AF26" s="1">
        <v>-5</v>
      </c>
      <c r="AG26" s="1" t="s">
        <v>272</v>
      </c>
      <c r="AH26" s="1">
        <v>-1</v>
      </c>
      <c r="AI26" s="1" t="s">
        <v>207</v>
      </c>
      <c r="AJ26" s="1">
        <v>-3</v>
      </c>
      <c r="AK26" s="1" t="s">
        <v>301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1192</v>
      </c>
      <c r="AT26" s="1" t="s">
        <v>1193</v>
      </c>
      <c r="AU26" s="1" t="s">
        <v>158</v>
      </c>
      <c r="AV26" s="1" t="s">
        <v>1194</v>
      </c>
      <c r="AW26" s="1" t="s">
        <v>1195</v>
      </c>
      <c r="AX26" s="1" t="s">
        <v>164</v>
      </c>
      <c r="AY26" s="1" t="s">
        <v>1196</v>
      </c>
      <c r="AZ26" s="1" t="s">
        <v>1197</v>
      </c>
      <c r="BA26" s="1" t="s">
        <v>1198</v>
      </c>
      <c r="BB26" s="1" t="s">
        <v>1199</v>
      </c>
      <c r="BC26" s="1" t="s">
        <v>877</v>
      </c>
      <c r="BD26" s="1" t="s">
        <v>1200</v>
      </c>
      <c r="BE26" s="1">
        <v>104.9</v>
      </c>
      <c r="BF26" s="1">
        <v>113.4</v>
      </c>
      <c r="BG26" s="1">
        <v>-8.4</v>
      </c>
      <c r="BH26" s="1" t="s">
        <v>1160</v>
      </c>
      <c r="BI26" s="1" t="s">
        <v>1171</v>
      </c>
      <c r="BJ26" s="1" t="s">
        <v>402</v>
      </c>
      <c r="BK26" s="1" t="s">
        <v>947</v>
      </c>
      <c r="BL26" s="1" t="s">
        <v>1201</v>
      </c>
      <c r="BM26" s="1" t="s">
        <v>1094</v>
      </c>
      <c r="BN26" s="1" t="s">
        <v>393</v>
      </c>
      <c r="BO26" s="1" t="s">
        <v>398</v>
      </c>
      <c r="BP26" s="1" t="s">
        <v>1202</v>
      </c>
      <c r="BQ26" s="1" t="s">
        <v>276</v>
      </c>
      <c r="BR26" s="1" t="s">
        <v>397</v>
      </c>
      <c r="BS26" s="1" t="s">
        <v>344</v>
      </c>
      <c r="BT26" s="1"/>
      <c r="BU26" s="1"/>
      <c r="BV26" s="1"/>
      <c r="BW26" s="1"/>
      <c r="BX26" s="1"/>
      <c r="BY26" s="1" t="s">
        <v>1203</v>
      </c>
      <c r="BZ26" s="1" t="s">
        <v>1204</v>
      </c>
      <c r="CA26" s="1" t="s">
        <v>363</v>
      </c>
      <c r="CB26" s="1" t="s">
        <v>1205</v>
      </c>
      <c r="CC26" s="1" t="s">
        <v>1128</v>
      </c>
    </row>
    <row r="27" spans="1:81" x14ac:dyDescent="0.25">
      <c r="A27" s="1" t="s">
        <v>145</v>
      </c>
      <c r="B27" s="1" t="s">
        <v>765</v>
      </c>
      <c r="C27" s="1">
        <v>1610612740</v>
      </c>
      <c r="D27" s="1" t="s">
        <v>352</v>
      </c>
      <c r="E27" s="1" t="s">
        <v>353</v>
      </c>
      <c r="F27" s="1" t="s">
        <v>149</v>
      </c>
      <c r="G27" s="1" t="s">
        <v>1096</v>
      </c>
      <c r="H27" s="1">
        <v>13</v>
      </c>
      <c r="I27" s="1" t="s">
        <v>1053</v>
      </c>
      <c r="J27" s="1" t="s">
        <v>231</v>
      </c>
      <c r="K27" s="1" t="s">
        <v>861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1145</v>
      </c>
      <c r="R27" s="1" t="s">
        <v>934</v>
      </c>
      <c r="S27" s="1" t="s">
        <v>1055</v>
      </c>
      <c r="T27" s="1" t="s">
        <v>341</v>
      </c>
      <c r="U27" s="1" t="s">
        <v>376</v>
      </c>
      <c r="V27" s="1" t="s">
        <v>265</v>
      </c>
      <c r="W27" s="1" t="s">
        <v>190</v>
      </c>
      <c r="X27" s="1" t="s">
        <v>310</v>
      </c>
      <c r="Y27" s="1" t="s">
        <v>1174</v>
      </c>
      <c r="Z27" s="1">
        <v>-8</v>
      </c>
      <c r="AA27" s="1" t="s">
        <v>1114</v>
      </c>
      <c r="AB27" s="1">
        <v>-6</v>
      </c>
      <c r="AC27" s="1" t="s">
        <v>367</v>
      </c>
      <c r="AD27" s="1">
        <v>4</v>
      </c>
      <c r="AE27" s="1">
        <v>6</v>
      </c>
      <c r="AF27" s="1">
        <v>-3</v>
      </c>
      <c r="AG27" s="1" t="s">
        <v>301</v>
      </c>
      <c r="AH27" s="1">
        <v>1</v>
      </c>
      <c r="AI27" s="1" t="s">
        <v>246</v>
      </c>
      <c r="AJ27" s="1">
        <v>-1</v>
      </c>
      <c r="AK27" s="1" t="s">
        <v>207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1175</v>
      </c>
      <c r="AT27" s="1" t="s">
        <v>1176</v>
      </c>
      <c r="AU27" s="1" t="s">
        <v>190</v>
      </c>
      <c r="AV27" s="1" t="s">
        <v>1177</v>
      </c>
      <c r="AW27" s="1" t="s">
        <v>1178</v>
      </c>
      <c r="AX27" s="1" t="s">
        <v>186</v>
      </c>
      <c r="AY27" s="1" t="s">
        <v>1179</v>
      </c>
      <c r="AZ27" s="1" t="s">
        <v>1180</v>
      </c>
      <c r="BA27" s="1" t="s">
        <v>1181</v>
      </c>
      <c r="BB27" s="1" t="s">
        <v>1182</v>
      </c>
      <c r="BC27" s="1" t="s">
        <v>1183</v>
      </c>
      <c r="BD27" s="1" t="s">
        <v>1184</v>
      </c>
      <c r="BE27" s="1">
        <v>115.4</v>
      </c>
      <c r="BF27" s="1">
        <v>116.8</v>
      </c>
      <c r="BG27" s="1">
        <v>-1.3</v>
      </c>
      <c r="BH27" s="1" t="s">
        <v>1064</v>
      </c>
      <c r="BI27" s="1" t="s">
        <v>398</v>
      </c>
      <c r="BJ27" s="1" t="s">
        <v>276</v>
      </c>
      <c r="BK27" s="1" t="s">
        <v>393</v>
      </c>
      <c r="BL27" s="1" t="s">
        <v>1096</v>
      </c>
      <c r="BM27" s="1" t="s">
        <v>1049</v>
      </c>
      <c r="BN27" s="1" t="s">
        <v>913</v>
      </c>
      <c r="BO27" s="1" t="s">
        <v>873</v>
      </c>
      <c r="BP27" s="1" t="s">
        <v>299</v>
      </c>
      <c r="BQ27" s="1" t="s">
        <v>388</v>
      </c>
      <c r="BR27" s="1" t="s">
        <v>349</v>
      </c>
      <c r="BS27" s="1" t="s">
        <v>282</v>
      </c>
      <c r="BT27" s="1"/>
      <c r="BU27" s="1"/>
      <c r="BV27" s="1"/>
      <c r="BW27" s="1"/>
      <c r="BX27" s="1"/>
      <c r="BY27" s="1" t="s">
        <v>249</v>
      </c>
      <c r="BZ27" s="1" t="s">
        <v>965</v>
      </c>
      <c r="CA27" s="1" t="s">
        <v>337</v>
      </c>
      <c r="CB27" s="1" t="s">
        <v>1185</v>
      </c>
      <c r="CC27" s="1" t="s">
        <v>1186</v>
      </c>
    </row>
    <row r="28" spans="1:81" x14ac:dyDescent="0.25">
      <c r="A28" s="1" t="s">
        <v>145</v>
      </c>
      <c r="B28" s="1" t="s">
        <v>765</v>
      </c>
      <c r="C28" s="1">
        <v>1610612742</v>
      </c>
      <c r="D28" s="1" t="s">
        <v>277</v>
      </c>
      <c r="E28" s="1" t="s">
        <v>278</v>
      </c>
      <c r="F28" s="1" t="s">
        <v>149</v>
      </c>
      <c r="G28" s="1" t="s">
        <v>1222</v>
      </c>
      <c r="H28" s="1">
        <v>14</v>
      </c>
      <c r="I28" s="1" t="s">
        <v>1053</v>
      </c>
      <c r="J28" s="1" t="s">
        <v>231</v>
      </c>
      <c r="K28" s="1" t="s">
        <v>1067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1145</v>
      </c>
      <c r="R28" s="1" t="s">
        <v>1068</v>
      </c>
      <c r="S28" s="1" t="s">
        <v>1057</v>
      </c>
      <c r="T28" s="1" t="s">
        <v>265</v>
      </c>
      <c r="U28" s="1" t="s">
        <v>341</v>
      </c>
      <c r="V28" s="1" t="s">
        <v>341</v>
      </c>
      <c r="W28" s="1" t="s">
        <v>339</v>
      </c>
      <c r="X28" s="1" t="s">
        <v>314</v>
      </c>
      <c r="Y28" s="1" t="s">
        <v>1223</v>
      </c>
      <c r="Z28" s="1">
        <v>11</v>
      </c>
      <c r="AA28" s="1" t="s">
        <v>773</v>
      </c>
      <c r="AB28" s="1">
        <v>-9</v>
      </c>
      <c r="AC28" s="1" t="s">
        <v>1133</v>
      </c>
      <c r="AD28" s="1">
        <v>4</v>
      </c>
      <c r="AE28" s="1">
        <v>7</v>
      </c>
      <c r="AF28" s="1">
        <v>1</v>
      </c>
      <c r="AG28" s="1" t="s">
        <v>246</v>
      </c>
      <c r="AH28" s="1">
        <v>-1</v>
      </c>
      <c r="AI28" s="1" t="s">
        <v>207</v>
      </c>
      <c r="AJ28" s="1">
        <v>-1</v>
      </c>
      <c r="AK28" s="1" t="s">
        <v>207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1224</v>
      </c>
      <c r="AT28" s="1" t="s">
        <v>1087</v>
      </c>
      <c r="AU28" s="1" t="s">
        <v>260</v>
      </c>
      <c r="AV28" s="1" t="s">
        <v>1061</v>
      </c>
      <c r="AW28" s="1" t="s">
        <v>1225</v>
      </c>
      <c r="AX28" s="1" t="s">
        <v>186</v>
      </c>
      <c r="AY28" s="1" t="s">
        <v>1226</v>
      </c>
      <c r="AZ28" s="1" t="s">
        <v>1227</v>
      </c>
      <c r="BA28" s="1" t="s">
        <v>1228</v>
      </c>
      <c r="BB28" s="1" t="s">
        <v>1229</v>
      </c>
      <c r="BC28" s="1" t="s">
        <v>1142</v>
      </c>
      <c r="BD28" s="1" t="s">
        <v>1230</v>
      </c>
      <c r="BE28" s="1">
        <v>108.9</v>
      </c>
      <c r="BF28" s="1">
        <v>110.1</v>
      </c>
      <c r="BG28" s="1">
        <v>-1.3</v>
      </c>
      <c r="BH28" s="1" t="s">
        <v>949</v>
      </c>
      <c r="BI28" s="1" t="s">
        <v>323</v>
      </c>
      <c r="BJ28" s="1" t="s">
        <v>266</v>
      </c>
      <c r="BK28" s="1" t="s">
        <v>276</v>
      </c>
      <c r="BL28" s="1" t="s">
        <v>1222</v>
      </c>
      <c r="BM28" s="1" t="s">
        <v>913</v>
      </c>
      <c r="BN28" s="1" t="s">
        <v>1124</v>
      </c>
      <c r="BO28" s="1" t="s">
        <v>1079</v>
      </c>
      <c r="BP28" s="1" t="s">
        <v>337</v>
      </c>
      <c r="BQ28" s="1" t="s">
        <v>323</v>
      </c>
      <c r="BR28" s="1" t="s">
        <v>1204</v>
      </c>
      <c r="BS28" s="1" t="s">
        <v>239</v>
      </c>
      <c r="BT28" s="1"/>
      <c r="BU28" s="1"/>
      <c r="BV28" s="1"/>
      <c r="BW28" s="1"/>
      <c r="BX28" s="1"/>
      <c r="BY28" s="1" t="s">
        <v>1203</v>
      </c>
      <c r="BZ28" s="1" t="s">
        <v>856</v>
      </c>
      <c r="CA28" s="1" t="s">
        <v>965</v>
      </c>
      <c r="CB28" s="1" t="s">
        <v>1231</v>
      </c>
      <c r="CC28" s="1" t="s">
        <v>1232</v>
      </c>
    </row>
    <row r="29" spans="1:81" x14ac:dyDescent="0.25">
      <c r="A29" s="1" t="s">
        <v>145</v>
      </c>
      <c r="B29" s="1" t="s">
        <v>765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1206</v>
      </c>
      <c r="H29" s="1">
        <v>14</v>
      </c>
      <c r="I29" s="1" t="s">
        <v>1053</v>
      </c>
      <c r="J29" s="1" t="s">
        <v>181</v>
      </c>
      <c r="K29" s="1" t="s">
        <v>1067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1207</v>
      </c>
      <c r="R29" s="1" t="s">
        <v>1189</v>
      </c>
      <c r="S29" s="1" t="s">
        <v>1208</v>
      </c>
      <c r="T29" s="1" t="s">
        <v>404</v>
      </c>
      <c r="U29" s="1" t="s">
        <v>310</v>
      </c>
      <c r="V29" s="1" t="s">
        <v>404</v>
      </c>
      <c r="W29" s="1" t="s">
        <v>185</v>
      </c>
      <c r="X29" s="1" t="s">
        <v>273</v>
      </c>
      <c r="Y29" s="1" t="s">
        <v>1209</v>
      </c>
      <c r="Z29" s="1">
        <v>-9</v>
      </c>
      <c r="AA29" s="1" t="s">
        <v>1133</v>
      </c>
      <c r="AB29" s="1">
        <v>-11</v>
      </c>
      <c r="AC29" s="1" t="s">
        <v>1191</v>
      </c>
      <c r="AD29" s="1">
        <v>2</v>
      </c>
      <c r="AE29" s="1">
        <v>12</v>
      </c>
      <c r="AF29" s="1">
        <v>-4</v>
      </c>
      <c r="AG29" s="1" t="s">
        <v>263</v>
      </c>
      <c r="AH29" s="1">
        <v>-11</v>
      </c>
      <c r="AI29" s="1" t="s">
        <v>1191</v>
      </c>
      <c r="AJ29" s="1">
        <v>-10</v>
      </c>
      <c r="AK29" s="1" t="s">
        <v>936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858</v>
      </c>
      <c r="AT29" s="1" t="s">
        <v>1210</v>
      </c>
      <c r="AU29" s="1" t="s">
        <v>304</v>
      </c>
      <c r="AV29" s="1" t="s">
        <v>1211</v>
      </c>
      <c r="AW29" s="1" t="s">
        <v>1212</v>
      </c>
      <c r="AX29" s="1" t="s">
        <v>208</v>
      </c>
      <c r="AY29" s="1" t="s">
        <v>1140</v>
      </c>
      <c r="AZ29" s="1" t="s">
        <v>1213</v>
      </c>
      <c r="BA29" s="1" t="s">
        <v>1214</v>
      </c>
      <c r="BB29" s="1" t="s">
        <v>1215</v>
      </c>
      <c r="BC29" s="1" t="s">
        <v>1098</v>
      </c>
      <c r="BD29" s="1" t="s">
        <v>1216</v>
      </c>
      <c r="BE29" s="1">
        <v>104.5</v>
      </c>
      <c r="BF29" s="1">
        <v>114.1</v>
      </c>
      <c r="BG29" s="1">
        <v>-9.6</v>
      </c>
      <c r="BH29" s="1" t="s">
        <v>1206</v>
      </c>
      <c r="BI29" s="1" t="s">
        <v>1124</v>
      </c>
      <c r="BJ29" s="1" t="s">
        <v>1079</v>
      </c>
      <c r="BK29" s="1" t="s">
        <v>1217</v>
      </c>
      <c r="BL29" s="1" t="s">
        <v>1218</v>
      </c>
      <c r="BM29" s="1" t="s">
        <v>1219</v>
      </c>
      <c r="BN29" s="1" t="s">
        <v>393</v>
      </c>
      <c r="BO29" s="1" t="s">
        <v>393</v>
      </c>
      <c r="BP29" s="1" t="s">
        <v>1204</v>
      </c>
      <c r="BQ29" s="1" t="s">
        <v>323</v>
      </c>
      <c r="BR29" s="1" t="s">
        <v>397</v>
      </c>
      <c r="BS29" s="1" t="s">
        <v>334</v>
      </c>
      <c r="BT29" s="1"/>
      <c r="BU29" s="1"/>
      <c r="BV29" s="1"/>
      <c r="BW29" s="1"/>
      <c r="BX29" s="1"/>
      <c r="BY29" s="1" t="s">
        <v>1126</v>
      </c>
      <c r="BZ29" s="1" t="s">
        <v>407</v>
      </c>
      <c r="CA29" s="1" t="s">
        <v>1079</v>
      </c>
      <c r="CB29" s="1" t="s">
        <v>1220</v>
      </c>
      <c r="CC29" s="1" t="s">
        <v>1221</v>
      </c>
    </row>
    <row r="30" spans="1:81" x14ac:dyDescent="0.25">
      <c r="A30" s="1" t="s">
        <v>145</v>
      </c>
      <c r="B30" s="1" t="s">
        <v>765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1233</v>
      </c>
      <c r="H30" s="1">
        <v>15</v>
      </c>
      <c r="I30" s="1" t="s">
        <v>1053</v>
      </c>
      <c r="J30" s="1" t="s">
        <v>203</v>
      </c>
      <c r="K30" s="1" t="s">
        <v>1234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1235</v>
      </c>
      <c r="R30" s="1" t="s">
        <v>1057</v>
      </c>
      <c r="S30" s="1" t="s">
        <v>1236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1237</v>
      </c>
      <c r="Z30" s="1">
        <v>-18</v>
      </c>
      <c r="AA30" s="1" t="s">
        <v>1238</v>
      </c>
      <c r="AB30" s="1">
        <v>-9</v>
      </c>
      <c r="AC30" s="1" t="s">
        <v>1133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1239</v>
      </c>
      <c r="AT30" s="1" t="s">
        <v>1240</v>
      </c>
      <c r="AU30" s="1" t="s">
        <v>327</v>
      </c>
      <c r="AV30" s="1" t="s">
        <v>864</v>
      </c>
      <c r="AW30" s="1" t="s">
        <v>1241</v>
      </c>
      <c r="AX30" s="1" t="s">
        <v>327</v>
      </c>
      <c r="AY30" s="1" t="s">
        <v>1242</v>
      </c>
      <c r="AZ30" s="1" t="s">
        <v>1243</v>
      </c>
      <c r="BA30" s="1" t="s">
        <v>1244</v>
      </c>
      <c r="BB30" s="1" t="s">
        <v>1245</v>
      </c>
      <c r="BC30" s="1" t="s">
        <v>1246</v>
      </c>
      <c r="BD30" s="1" t="s">
        <v>1247</v>
      </c>
      <c r="BE30" s="1">
        <v>104.6</v>
      </c>
      <c r="BF30" s="1">
        <v>113.8</v>
      </c>
      <c r="BG30" s="1">
        <v>-9.1999999999999993</v>
      </c>
      <c r="BH30" s="1" t="s">
        <v>1233</v>
      </c>
      <c r="BI30" s="1" t="s">
        <v>1157</v>
      </c>
      <c r="BJ30" s="1" t="s">
        <v>1248</v>
      </c>
      <c r="BK30" s="1" t="s">
        <v>1124</v>
      </c>
      <c r="BL30" s="1" t="s">
        <v>1201</v>
      </c>
      <c r="BM30" s="1" t="s">
        <v>1219</v>
      </c>
      <c r="BN30" s="1" t="s">
        <v>393</v>
      </c>
      <c r="BO30" s="1" t="s">
        <v>323</v>
      </c>
      <c r="BP30" s="1" t="s">
        <v>1249</v>
      </c>
      <c r="BQ30" s="1" t="s">
        <v>1109</v>
      </c>
      <c r="BR30" s="1" t="s">
        <v>1250</v>
      </c>
      <c r="BS30" s="1" t="s">
        <v>239</v>
      </c>
      <c r="BT30" s="1"/>
      <c r="BU30" s="1"/>
      <c r="BV30" s="1"/>
      <c r="BW30" s="1"/>
      <c r="BX30" s="1"/>
      <c r="BY30" s="1" t="s">
        <v>1203</v>
      </c>
      <c r="BZ30" s="1" t="s">
        <v>349</v>
      </c>
      <c r="CA30" s="1" t="s">
        <v>1251</v>
      </c>
      <c r="CB30" s="1" t="s">
        <v>1252</v>
      </c>
      <c r="CC30" s="1" t="s">
        <v>1253</v>
      </c>
    </row>
    <row r="31" spans="1:81" x14ac:dyDescent="0.25">
      <c r="A31" s="1" t="s">
        <v>145</v>
      </c>
      <c r="B31" s="1" t="s">
        <v>765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1233</v>
      </c>
      <c r="H31" s="1">
        <v>15</v>
      </c>
      <c r="I31" s="1" t="s">
        <v>1053</v>
      </c>
      <c r="J31" s="1" t="s">
        <v>152</v>
      </c>
      <c r="K31" s="1" t="s">
        <v>1187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1207</v>
      </c>
      <c r="R31" s="1" t="s">
        <v>1146</v>
      </c>
      <c r="S31" s="1" t="s">
        <v>1254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1225</v>
      </c>
      <c r="Z31" s="1">
        <v>-6</v>
      </c>
      <c r="AA31" s="1" t="s">
        <v>367</v>
      </c>
      <c r="AB31" s="1">
        <v>-13</v>
      </c>
      <c r="AC31" s="1" t="s">
        <v>1255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1256</v>
      </c>
      <c r="AT31" s="1" t="s">
        <v>1257</v>
      </c>
      <c r="AU31" s="1" t="s">
        <v>327</v>
      </c>
      <c r="AV31" s="1" t="s">
        <v>1258</v>
      </c>
      <c r="AW31" s="1" t="s">
        <v>1259</v>
      </c>
      <c r="AX31" s="1" t="s">
        <v>157</v>
      </c>
      <c r="AY31" s="1" t="s">
        <v>1260</v>
      </c>
      <c r="AZ31" s="1" t="s">
        <v>1261</v>
      </c>
      <c r="BA31" s="1" t="s">
        <v>1262</v>
      </c>
      <c r="BB31" s="1" t="s">
        <v>1263</v>
      </c>
      <c r="BC31" s="1" t="s">
        <v>1264</v>
      </c>
      <c r="BD31" s="1" t="s">
        <v>1265</v>
      </c>
      <c r="BE31" s="1">
        <v>107.5</v>
      </c>
      <c r="BF31" s="1">
        <v>116.8</v>
      </c>
      <c r="BG31" s="1">
        <v>-9.3000000000000007</v>
      </c>
      <c r="BH31" s="1" t="s">
        <v>1266</v>
      </c>
      <c r="BI31" s="1" t="s">
        <v>398</v>
      </c>
      <c r="BJ31" s="1" t="s">
        <v>398</v>
      </c>
      <c r="BK31" s="1" t="s">
        <v>393</v>
      </c>
      <c r="BL31" s="1" t="s">
        <v>1233</v>
      </c>
      <c r="BM31" s="1" t="s">
        <v>1267</v>
      </c>
      <c r="BN31" s="1" t="s">
        <v>402</v>
      </c>
      <c r="BO31" s="1" t="s">
        <v>1124</v>
      </c>
      <c r="BP31" s="1" t="s">
        <v>1202</v>
      </c>
      <c r="BQ31" s="1" t="s">
        <v>1268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1126</v>
      </c>
      <c r="BZ31" s="1" t="s">
        <v>1204</v>
      </c>
      <c r="CA31" s="1" t="s">
        <v>386</v>
      </c>
      <c r="CB31" s="1" t="s">
        <v>1269</v>
      </c>
      <c r="CC31" s="1" t="s">
        <v>1270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1271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1272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1273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1274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1275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1276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1277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1278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1279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1280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1281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1282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1283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1284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1281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1285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1284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1286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1284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1287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1280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1279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1273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1288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1284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1289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1290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1274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1291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1292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1293</v>
      </c>
      <c r="T4" s="1">
        <v>23.7</v>
      </c>
      <c r="U4" s="1" t="s">
        <v>1276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1294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1295</v>
      </c>
      <c r="T5" s="1">
        <v>26</v>
      </c>
      <c r="U5" s="1" t="s">
        <v>1276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1296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1297</v>
      </c>
      <c r="T7" s="1">
        <v>25.7</v>
      </c>
      <c r="U7" s="1" t="s">
        <v>1298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1299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1300</v>
      </c>
      <c r="T8" s="1">
        <v>24.5</v>
      </c>
      <c r="U8" s="1" t="s">
        <v>1301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1302</v>
      </c>
      <c r="T9" s="1">
        <v>24.6</v>
      </c>
      <c r="U9" s="1" t="s">
        <v>1276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1274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1303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1276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1304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1305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1306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1307</v>
      </c>
      <c r="T14" s="1">
        <v>24.1</v>
      </c>
      <c r="U14" s="1" t="s">
        <v>1287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1308</v>
      </c>
      <c r="T15" s="1">
        <v>25</v>
      </c>
      <c r="U15" s="1" t="s">
        <v>1278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1309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1274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1303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1279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1310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1295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1311</v>
      </c>
      <c r="T21" s="1">
        <v>25.6</v>
      </c>
      <c r="U21" s="1" t="s">
        <v>1287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1312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1307</v>
      </c>
      <c r="T22" s="1">
        <v>24.9</v>
      </c>
      <c r="U22" s="1" t="s">
        <v>1313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1301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1314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1315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1316</v>
      </c>
      <c r="T26" s="1">
        <v>23.2</v>
      </c>
      <c r="U26" s="1" t="s">
        <v>1317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1318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1319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1320</v>
      </c>
      <c r="T28" s="1">
        <v>24.7</v>
      </c>
      <c r="U28" s="1" t="s">
        <v>1272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1300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1321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1322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1323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1324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1271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1273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1324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1303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1303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1273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1273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1294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1294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1324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1294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1325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1324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1281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1281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1271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1271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1273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1282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2019-11-22T13:20:43Z</dcterms:modified>
</cp:coreProperties>
</file>