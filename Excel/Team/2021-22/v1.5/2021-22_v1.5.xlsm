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b07bb8c4c8e1457/Desktop/"/>
    </mc:Choice>
  </mc:AlternateContent>
  <xr:revisionPtr revIDLastSave="843" documentId="13_ncr:1_{217444DB-1ED8-4DD8-9B70-57832351A350}" xr6:coauthVersionLast="47" xr6:coauthVersionMax="47" xr10:uidLastSave="{C26007B5-9408-42E3-8CF2-7A72785BFC98}"/>
  <bookViews>
    <workbookView xWindow="5325" yWindow="-16320" windowWidth="29040" windowHeight="15840" activeTab="2" xr2:uid="{00000000-000D-0000-FFFF-FFFF00000000}"/>
  </bookViews>
  <sheets>
    <sheet name="Controller" sheetId="44" r:id="rId1"/>
    <sheet name="View" sheetId="119" r:id="rId2"/>
    <sheet name="DataRoster" sheetId="120" r:id="rId3"/>
    <sheet name="DataStandingsN" sheetId="121" r:id="rId4"/>
    <sheet name="DataBaseN" sheetId="122" r:id="rId5"/>
    <sheet name="DataAdvancedN" sheetId="123" r:id="rId6"/>
    <sheet name="DataAdvancedNStarters" sheetId="124" r:id="rId7"/>
    <sheet name="DataAdvancedNBench" sheetId="125" r:id="rId8"/>
    <sheet name="DataMiscN" sheetId="126" r:id="rId9"/>
    <sheet name="DataFourFactorsN" sheetId="127" r:id="rId10"/>
    <sheet name="DataOppBaseN" sheetId="128" r:id="rId11"/>
    <sheet name="DataClutchBasePerGameN" sheetId="129" r:id="rId1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View!$F$53</definedName>
    <definedName name="AdvDefRatingBenchN1">View!$C$53</definedName>
    <definedName name="AdvDefRatingBenchRankN">View!$G$53</definedName>
    <definedName name="AdvDefRatingBenchRankN1">View!$D$53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View!$F$50</definedName>
    <definedName name="AdvDefRatingStarterN1">View!$C$50</definedName>
    <definedName name="AdvDefRatingStarterRankN">View!$G$50</definedName>
    <definedName name="AdvDefRatingStarterRankN1">View!$D$50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View!$F$54</definedName>
    <definedName name="AdvNetRatingBenchN1">View!$C$54</definedName>
    <definedName name="AdvNetRatingBenchRankN">View!$G$54</definedName>
    <definedName name="AdvNetRatingBenchRankN1">View!$D$54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View!$F$51</definedName>
    <definedName name="AdvNetRatingStarterN1">View!$C$51</definedName>
    <definedName name="AdvNetRatingStarterRankN">View!$G$51</definedName>
    <definedName name="AdvNetRatingStarterRankN1">View!$D$51</definedName>
    <definedName name="AdvOffRatingBenchN">View!$F$52</definedName>
    <definedName name="AdvOffRatingBenchN1">View!$C$52</definedName>
    <definedName name="AdvOffRatingBenchRankN">View!$G$52</definedName>
    <definedName name="AdvOffRatingBenchRankN1">View!$D$52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View!$F$49</definedName>
    <definedName name="AdvOffRatingStarterN1">View!$C$49</definedName>
    <definedName name="AdvOffRatingStarterRankN">View!$G$49</definedName>
    <definedName name="AdvOffRatingStarterRankN1">View!$D$49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View!$F$71</definedName>
    <definedName name="ClutchAdvDefRatingN1">View!$C$71</definedName>
    <definedName name="ClutchAdvDefRatingRankN">View!$G$71</definedName>
    <definedName name="ClutchAdvDefRatingRankN1">View!$D$71</definedName>
    <definedName name="ClutchAdvNetRatingN">View!$F$72</definedName>
    <definedName name="ClutchAdvNetRatingN1">View!$C$72</definedName>
    <definedName name="ClutchAdvNetRatingRankN">View!$G$72</definedName>
    <definedName name="ClutchAdvNetRatingRankN1">View!$D$72</definedName>
    <definedName name="ClutchAdvOffRatingN">View!$F$70</definedName>
    <definedName name="ClutchAdvOffRatingN1">View!$C$70</definedName>
    <definedName name="ClutchAdvOffRatingRankN">View!$G$70</definedName>
    <definedName name="ClutchAdvOffRatingRankN1">View!$D$70</definedName>
    <definedName name="ClutchBaseFgPctN">View!$F$68</definedName>
    <definedName name="ClutchBaseFgPctN1">View!$C$68</definedName>
    <definedName name="ClutchBaseFgPctRankN">View!$G$68</definedName>
    <definedName name="ClutchBaseFgPctRankN1">View!$D$68</definedName>
    <definedName name="ClutchBaseLN">View!$F$67</definedName>
    <definedName name="ClutchBaseLN1">View!$C$67</definedName>
    <definedName name="ClutchBaseLRankN">View!$G$67</definedName>
    <definedName name="ClutchBaseLRankN1">View!$D$67</definedName>
    <definedName name="ClutchBaseMinN">View!$F$65</definedName>
    <definedName name="ClutchBaseMinN1">View!$C$65</definedName>
    <definedName name="ClutchBaseMinRankN">View!$G$65</definedName>
    <definedName name="ClutchBaseMinRankN1">View!$D$65</definedName>
    <definedName name="ClutchBaseWN">View!$F$66</definedName>
    <definedName name="ClutchBaseWN1">View!$C$66</definedName>
    <definedName name="ClutchBaseWRankN">View!$G$66</definedName>
    <definedName name="ClutchBaseWRankN1">View!$D$66</definedName>
    <definedName name="ClutchOppFgPctN">View!$F$69</definedName>
    <definedName name="ClutchOppFgPctN1">View!$C$69</definedName>
    <definedName name="ClutchOppFgPctRankN">View!$G$69</definedName>
    <definedName name="ClutchOppFgPctRankN1">View!$D$69</definedName>
    <definedName name="FactorOppOrbPctN">View!$F$46</definedName>
    <definedName name="FactorOppOrbPctN1">View!$C$46</definedName>
    <definedName name="FactorOppOrbPctRankN">View!$G$46</definedName>
    <definedName name="FactorOppOrbPctRankN1">View!$D$46</definedName>
    <definedName name="FactorOppTovPctN">View!$F$47</definedName>
    <definedName name="FactorOppTovPctN1">View!$C$47</definedName>
    <definedName name="FactorOppTovPctRankN">View!$G$47</definedName>
    <definedName name="FactorOppTovPctRankN1">View!$D$47</definedName>
    <definedName name="Misc2ndPts">View!$C$58</definedName>
    <definedName name="Misc2ndPtsN">View!$F$58</definedName>
    <definedName name="Misc2ndPtsN1">View!$C$58</definedName>
    <definedName name="Misc2ndPtsRankN">View!$G$58</definedName>
    <definedName name="Misc2ndPtsRankN1">View!$D$58</definedName>
    <definedName name="MiscOpp2ndPtsN">View!$F$59</definedName>
    <definedName name="MiscOpp2ndPtsN1">View!$C$59</definedName>
    <definedName name="MiscOpp2ndPtsRankN">View!$G$59</definedName>
    <definedName name="MiscOpp2ndPtsRankN1">View!$D$59</definedName>
    <definedName name="MiscOppPtsFbN">View!$F$61</definedName>
    <definedName name="MiscOppPtsFbN1">View!$C$61</definedName>
    <definedName name="MiscOppPtsFbRankN">View!$G$61</definedName>
    <definedName name="MiscOppPtsFbRankN1">View!$D$61</definedName>
    <definedName name="MiscOppPtsOffTovN">View!$F$57</definedName>
    <definedName name="MiscOppPtsOffTovN1">View!$C$57</definedName>
    <definedName name="MiscOppPtsOffTovRankN">View!$G$57</definedName>
    <definedName name="MiscOppPtsOffTovRankN1">View!$D$57</definedName>
    <definedName name="MiscOppPtsPaintN">View!$F$63</definedName>
    <definedName name="MiscOppPtsPaintN1">View!$C$63</definedName>
    <definedName name="MiscOppPtsPaintRankN">View!$G$63</definedName>
    <definedName name="MiscOppPtsPaintRankN1">View!$D$63</definedName>
    <definedName name="MiscPtsFbN">View!$F$60</definedName>
    <definedName name="MiscPtsFbN1">View!$C$60</definedName>
    <definedName name="MiscPtsFbRankN">View!$G$60</definedName>
    <definedName name="MiscPtsFbRankN1">View!$D$60</definedName>
    <definedName name="MiscPtsOffTovN">View!$F$56</definedName>
    <definedName name="MiscPtsOffTovN1">View!$C$56</definedName>
    <definedName name="MiscPtsOffTovRankN">View!$G$56</definedName>
    <definedName name="MiscPtsOffTovRankN1">View!$D$56</definedName>
    <definedName name="MiscPtsPaintN">View!$F$62</definedName>
    <definedName name="MiscPtsPaintN1">View!$C$62</definedName>
    <definedName name="MiscPtsPaintRankN">View!$G$62</definedName>
    <definedName name="MiscPtsPaintRankN1">View!$D$62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<sst xmlns="http://schemas.openxmlformats.org/spreadsheetml/2006/main" count="2754" uniqueCount="659">
  <si>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</si>
  <si>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</si>
  <si>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</si>
  <si>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</si>
  <si>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</si>
  <si>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</si>
  <si>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</si>
  <si>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</si>
  <si>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</si>
  <si>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</si>
  <si>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</si>
  <si>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</si>
  <si>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</si>
  <si>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</si>
  <si>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</si>
  <si>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</si>
  <si>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</si>
  <si>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</si>
  <si>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</si>
  <si>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</si>
  <si>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</si>
  <si>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</si>
  <si>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</si>
  <si>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</si>
  <si>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</si>
  <si>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</si>
  <si>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</si>
  <si>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</si>
  <si>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</si>
  <si>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</si>
  <si>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</si>
  <si>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</si>
  <si>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</si>
  <si>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</si>
  <si>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</si>
  <si>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</si>
  <si>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</si>
  <si>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</si>
  <si>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</si>
  <si>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</si>
  <si>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</si>
  <si>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</si>
  <si>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</si>
  <si>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</si>
  <si>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</si>
  <si>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</si>
  <si>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</si>
  <si>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</si>
  <si>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</si>
  <si>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</si>
  <si>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</si>
  <si>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</si>
  <si>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</si>
  <si>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</si>
  <si>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</si>
  <si>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</si>
  <si>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</si>
  <si>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</si>
  <si>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</si>
  <si>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</si>
  <si>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</si>
  <si>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</si>
  <si>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</si>
  <si>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</si>
  <si>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</si>
  <si>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</si>
  <si>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</si>
  <si>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</si>
  <si>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</si>
  <si>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</si>
  <si>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</si>
  <si>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</si>
  <si>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</si>
  <si>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</si>
  <si>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</si>
  <si>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</si>
  <si>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</si>
  <si>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</si>
  <si>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</si>
  <si>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</si>
  <si>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</si>
  <si>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</si>
  <si>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</si>
  <si>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</si>
  <si>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</si>
  <si>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</si>
  <si>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</si>
  <si>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</si>
  <si>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</si>
  <si>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</si>
  <si>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</si>
  <si>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</si>
  <si>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</si>
  <si>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</si>
  <si>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</si>
  <si>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</si>
  <si>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</si>
  <si>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</si>
  <si>
    <t>Hawks</t>
  </si>
  <si>
    <t>TeamID</t>
  </si>
  <si>
    <t>SEASON</t>
  </si>
  <si>
    <t>LeagueID</t>
  </si>
  <si>
    <t>PLAYER</t>
  </si>
  <si>
    <t>NICKNAME</t>
  </si>
  <si>
    <t>PLAYER_SLUG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</si>
  <si>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</si>
  <si>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</si>
  <si>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</si>
  <si>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</si>
  <si>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</si>
  <si>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</si>
  <si>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</si>
  <si>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</si>
  <si>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</si>
  <si>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2021</t>
  </si>
  <si>
    <t>00</t>
  </si>
  <si>
    <t>Justin Champagnie</t>
  </si>
  <si>
    <t>Justin</t>
  </si>
  <si>
    <t>justin-champagnie</t>
  </si>
  <si>
    <t>G-F</t>
  </si>
  <si>
    <t>6-6</t>
  </si>
  <si>
    <t>206</t>
  </si>
  <si>
    <t>JUN 29, 2001</t>
  </si>
  <si>
    <t>R</t>
  </si>
  <si>
    <t>Pittsburgh</t>
  </si>
  <si>
    <t>David Johnson</t>
  </si>
  <si>
    <t>David</t>
  </si>
  <si>
    <t>david-johnson</t>
  </si>
  <si>
    <t>G</t>
  </si>
  <si>
    <t>6-4</t>
  </si>
  <si>
    <t>203</t>
  </si>
  <si>
    <t>FEB 26, 2001</t>
  </si>
  <si>
    <t>Louisville</t>
  </si>
  <si>
    <t>OG Anunoby</t>
  </si>
  <si>
    <t>OG</t>
  </si>
  <si>
    <t>og-anunoby</t>
  </si>
  <si>
    <t>3</t>
  </si>
  <si>
    <t>F</t>
  </si>
  <si>
    <t>6-7</t>
  </si>
  <si>
    <t>232</t>
  </si>
  <si>
    <t>JUL 17, 1997</t>
  </si>
  <si>
    <t>4</t>
  </si>
  <si>
    <t>Indiana</t>
  </si>
  <si>
    <t>Scottie Barnes</t>
  </si>
  <si>
    <t>Scottie</t>
  </si>
  <si>
    <t>scottie-barnes</t>
  </si>
  <si>
    <t>225</t>
  </si>
  <si>
    <t>AUG 01, 2001</t>
  </si>
  <si>
    <t>Florida State</t>
  </si>
  <si>
    <t>Precious Achiuwa</t>
  </si>
  <si>
    <t>Precious</t>
  </si>
  <si>
    <t>precious-achiuwa</t>
  </si>
  <si>
    <t>5</t>
  </si>
  <si>
    <t>6-8</t>
  </si>
  <si>
    <t>SEP 19, 1999</t>
  </si>
  <si>
    <t>1</t>
  </si>
  <si>
    <t>Memphis</t>
  </si>
  <si>
    <t>Goran Dragic</t>
  </si>
  <si>
    <t>Goran</t>
  </si>
  <si>
    <t>goran-dragic</t>
  </si>
  <si>
    <t>7</t>
  </si>
  <si>
    <t>6-3</t>
  </si>
  <si>
    <t>190</t>
  </si>
  <si>
    <t>MAY 06, 1986</t>
  </si>
  <si>
    <t>13</t>
  </si>
  <si>
    <t>Union Olimpija</t>
  </si>
  <si>
    <t>Malachi Flynn</t>
  </si>
  <si>
    <t>Malachi</t>
  </si>
  <si>
    <t>malachi-flynn</t>
  </si>
  <si>
    <t>8</t>
  </si>
  <si>
    <t>6-1</t>
  </si>
  <si>
    <t>175</t>
  </si>
  <si>
    <t>MAY 09, 1998</t>
  </si>
  <si>
    <t>San Diego State</t>
  </si>
  <si>
    <t>Sam Dekker</t>
  </si>
  <si>
    <t>Sam</t>
  </si>
  <si>
    <t>sam-dekker</t>
  </si>
  <si>
    <t>219</t>
  </si>
  <si>
    <t>MAY 06, 1994</t>
  </si>
  <si>
    <t>Wisconsin</t>
  </si>
  <si>
    <t>Svi Mykhailiuk</t>
  </si>
  <si>
    <t>Svi</t>
  </si>
  <si>
    <t>svi-mykhailiuk</t>
  </si>
  <si>
    <t>14</t>
  </si>
  <si>
    <t>205</t>
  </si>
  <si>
    <t>JUN 10, 1997</t>
  </si>
  <si>
    <t>Kansas</t>
  </si>
  <si>
    <t>Isaac Bonga</t>
  </si>
  <si>
    <t>Isaac</t>
  </si>
  <si>
    <t>isaac-bonga</t>
  </si>
  <si>
    <t>17</t>
  </si>
  <si>
    <t>180</t>
  </si>
  <si>
    <t>NOV 08, 1999</t>
  </si>
  <si>
    <t>Skyliners Frankfurt</t>
  </si>
  <si>
    <t>Yuta Watanabe</t>
  </si>
  <si>
    <t>Yuta</t>
  </si>
  <si>
    <t>yuta-watanabe</t>
  </si>
  <si>
    <t>18</t>
  </si>
  <si>
    <t>6-9</t>
  </si>
  <si>
    <t>215</t>
  </si>
  <si>
    <t>OCT 13, 1994</t>
  </si>
  <si>
    <t>George Washington</t>
  </si>
  <si>
    <t>Fred VanVleet</t>
  </si>
  <si>
    <t>Fred</t>
  </si>
  <si>
    <t>fred-vanvleet</t>
  </si>
  <si>
    <t>23</t>
  </si>
  <si>
    <t>197</t>
  </si>
  <si>
    <t>FEB 25, 1994</t>
  </si>
  <si>
    <t>Wichita State</t>
  </si>
  <si>
    <t>Khem Birch</t>
  </si>
  <si>
    <t>Khem</t>
  </si>
  <si>
    <t>khem-birch</t>
  </si>
  <si>
    <t>24</t>
  </si>
  <si>
    <t>C</t>
  </si>
  <si>
    <t>233</t>
  </si>
  <si>
    <t>SEP 28, 1992</t>
  </si>
  <si>
    <t>UNLV</t>
  </si>
  <si>
    <t>Chris Boucher</t>
  </si>
  <si>
    <t>Chris</t>
  </si>
  <si>
    <t>chris-boucher</t>
  </si>
  <si>
    <t>25</t>
  </si>
  <si>
    <t>F-C</t>
  </si>
  <si>
    <t>200</t>
  </si>
  <si>
    <t>JAN 11, 1993</t>
  </si>
  <si>
    <t>Oregon</t>
  </si>
  <si>
    <t>Gary Trent Jr.</t>
  </si>
  <si>
    <t>Gary</t>
  </si>
  <si>
    <t>gary-trent-jr</t>
  </si>
  <si>
    <t>33</t>
  </si>
  <si>
    <t>6-5</t>
  </si>
  <si>
    <t>209</t>
  </si>
  <si>
    <t>JAN 18, 1999</t>
  </si>
  <si>
    <t>Duke</t>
  </si>
  <si>
    <t>Pascal Siakam</t>
  </si>
  <si>
    <t>Pascal</t>
  </si>
  <si>
    <t>pascal-siakam</t>
  </si>
  <si>
    <t>43</t>
  </si>
  <si>
    <t>230</t>
  </si>
  <si>
    <t>APR 02, 1994</t>
  </si>
  <si>
    <t>New Mexico State</t>
  </si>
  <si>
    <t>Dalano Banton</t>
  </si>
  <si>
    <t>Dalano</t>
  </si>
  <si>
    <t>dalano-banton</t>
  </si>
  <si>
    <t>45</t>
  </si>
  <si>
    <t>204</t>
  </si>
  <si>
    <t>NOV 07, 1999</t>
  </si>
  <si>
    <t>Nebraska</t>
  </si>
  <si>
    <t>SeasonID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</si>
  <si>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</si>
  <si>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</si>
  <si>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</si>
  <si>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</si>
  <si>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</si>
  <si>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</si>
  <si>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</si>
  <si>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</si>
  <si>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</si>
  <si>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</si>
  <si>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</si>
  <si>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</si>
  <si>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</si>
  <si>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</si>
  <si>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</si>
  <si>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</si>
  <si>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</si>
  <si>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</si>
  <si>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</si>
  <si>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</si>
  <si>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</si>
  <si>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</si>
  <si>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</si>
  <si>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</si>
  <si>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</si>
  <si>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</si>
  <si>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</si>
  <si>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</si>
  <si>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</si>
  <si>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</si>
  <si>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</si>
  <si>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</si>
  <si>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</si>
  <si>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</si>
  <si>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</si>
  <si>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</si>
  <si>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</si>
  <si>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</si>
  <si>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</si>
  <si>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</si>
  <si>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</si>
  <si>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</si>
  <si>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</si>
  <si>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</si>
  <si>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</si>
  <si>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</si>
  <si>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</si>
  <si>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</si>
  <si>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</si>
  <si>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</si>
  <si>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</si>
  <si>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</si>
  <si>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</si>
  <si>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</si>
  <si>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</si>
  <si>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</si>
  <si>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</si>
  <si>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</si>
  <si>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</si>
  <si>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</si>
  <si>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</si>
  <si>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</si>
  <si>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</si>
  <si>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</si>
  <si>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</si>
  <si>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</si>
  <si>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</si>
  <si>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</si>
  <si>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</si>
  <si>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</si>
  <si>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</si>
  <si>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</si>
  <si>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</si>
  <si>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</si>
  <si>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</si>
  <si>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</si>
  <si>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</si>
  <si>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</si>
  <si>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22021</t>
  </si>
  <si>
    <t>Golden State</t>
  </si>
  <si>
    <t>Warriors</t>
  </si>
  <si>
    <t>West</t>
  </si>
  <si>
    <t xml:space="preserve">2-0  </t>
  </si>
  <si>
    <t/>
  </si>
  <si>
    <t>Pacific</t>
  </si>
  <si>
    <t>2-0</t>
  </si>
  <si>
    <t xml:space="preserve">1-0  </t>
  </si>
  <si>
    <t xml:space="preserve">0-0  </t>
  </si>
  <si>
    <t>W 1</t>
  </si>
  <si>
    <t>W 2</t>
  </si>
  <si>
    <t>0-0</t>
  </si>
  <si>
    <t>Miami</t>
  </si>
  <si>
    <t>Heat</t>
  </si>
  <si>
    <t>East</t>
  </si>
  <si>
    <t>Southeast</t>
  </si>
  <si>
    <t>1-0</t>
  </si>
  <si>
    <t>W 0</t>
  </si>
  <si>
    <t>Utah</t>
  </si>
  <si>
    <t>Jazz</t>
  </si>
  <si>
    <t>Northwest</t>
  </si>
  <si>
    <t>Chicago</t>
  </si>
  <si>
    <t>Bulls</t>
  </si>
  <si>
    <t>Central</t>
  </si>
  <si>
    <t>San Antonio</t>
  </si>
  <si>
    <t>Spurs</t>
  </si>
  <si>
    <t>Southwest</t>
  </si>
  <si>
    <t>New York</t>
  </si>
  <si>
    <t>Knicks</t>
  </si>
  <si>
    <t>Atlantic</t>
  </si>
  <si>
    <t>Washington</t>
  </si>
  <si>
    <t>Wizards</t>
  </si>
  <si>
    <t>Minnesota</t>
  </si>
  <si>
    <t>Timberwolves</t>
  </si>
  <si>
    <t>Charlotte</t>
  </si>
  <si>
    <t>Hornets</t>
  </si>
  <si>
    <t>Denver</t>
  </si>
  <si>
    <t>Nuggets</t>
  </si>
  <si>
    <t>Atlanta</t>
  </si>
  <si>
    <t>Sacramento</t>
  </si>
  <si>
    <t>Kings</t>
  </si>
  <si>
    <t>Grizzlies</t>
  </si>
  <si>
    <t>Philadelphia</t>
  </si>
  <si>
    <t>76ers</t>
  </si>
  <si>
    <t>Milwaukee</t>
  </si>
  <si>
    <t>Bucks</t>
  </si>
  <si>
    <t xml:space="preserve">1-1  </t>
  </si>
  <si>
    <t>1-1</t>
  </si>
  <si>
    <t xml:space="preserve">0-1  </t>
  </si>
  <si>
    <t>L 1</t>
  </si>
  <si>
    <t>0-1</t>
  </si>
  <si>
    <t>LA</t>
  </si>
  <si>
    <t>Clippers</t>
  </si>
  <si>
    <t>Pacers</t>
  </si>
  <si>
    <t>Portland</t>
  </si>
  <si>
    <t>Trail Blazers</t>
  </si>
  <si>
    <t>Los Angeles</t>
  </si>
  <si>
    <t>Lakers</t>
  </si>
  <si>
    <t>Boston</t>
  </si>
  <si>
    <t>Celtics</t>
  </si>
  <si>
    <t>Phoenix</t>
  </si>
  <si>
    <t>Suns</t>
  </si>
  <si>
    <t>Detroit</t>
  </si>
  <si>
    <t>Pistons</t>
  </si>
  <si>
    <t>Houston</t>
  </si>
  <si>
    <t>Rockets</t>
  </si>
  <si>
    <t>Toronto</t>
  </si>
  <si>
    <t>Raptors</t>
  </si>
  <si>
    <t>Brooklyn</t>
  </si>
  <si>
    <t>Nets</t>
  </si>
  <si>
    <t>Oklahoma City</t>
  </si>
  <si>
    <t>Thunder</t>
  </si>
  <si>
    <t>New Orleans</t>
  </si>
  <si>
    <t>Pelicans</t>
  </si>
  <si>
    <t>Cleveland</t>
  </si>
  <si>
    <t>Cavaliers</t>
  </si>
  <si>
    <t>Dallas</t>
  </si>
  <si>
    <t>Mavericks</t>
  </si>
  <si>
    <t>Orlando</t>
  </si>
  <si>
    <t>Magic</t>
  </si>
  <si>
    <t>Raptors</t>
    <phoneticPr fontId="1"/>
  </si>
  <si>
    <t>TEAM_ID</t>
  </si>
  <si>
    <t>TEAM_NAME</t>
  </si>
  <si>
    <t>GP</t>
  </si>
  <si>
    <t>W</t>
  </si>
  <si>
    <t>L</t>
  </si>
  <si>
    <t>W_PCT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</si>
  <si>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</si>
  <si>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</si>
  <si>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</si>
  <si>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</si>
  <si>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</si>
  <si>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</si>
  <si>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</si>
  <si>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</si>
  <si>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</si>
  <si>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</si>
  <si>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</si>
  <si>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</si>
  <si>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</si>
  <si>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</si>
  <si>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</si>
  <si>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</si>
  <si>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</si>
  <si>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</si>
  <si>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</si>
  <si>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</si>
  <si>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</si>
  <si>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</si>
  <si>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</si>
  <si>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</si>
  <si>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</si>
  <si>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</si>
  <si>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</si>
  <si>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</si>
  <si>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</si>
  <si>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</si>
  <si>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</si>
  <si>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</si>
  <si>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</si>
  <si>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</si>
  <si>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</si>
  <si>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</si>
  <si>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</si>
  <si>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</si>
  <si>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</si>
  <si>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</si>
  <si>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</si>
  <si>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</si>
  <si>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</si>
  <si>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</si>
  <si>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</si>
  <si>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</si>
  <si>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</si>
  <si>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</si>
  <si>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</si>
  <si>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</si>
  <si>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13.0000000000000000000000</t>
  </si>
  <si>
    <t>26.0000000000000000000000</t>
  </si>
  <si>
    <t>Boston Celtics</t>
  </si>
  <si>
    <t>18.0000000000000000000000</t>
  </si>
  <si>
    <t>-4.0000000000000000000000</t>
  </si>
  <si>
    <t>Brooklyn Nets</t>
  </si>
  <si>
    <t>-23.0000000000000000000000</t>
  </si>
  <si>
    <t>Charlotte Hornets</t>
  </si>
  <si>
    <t>8.0000000000000000000000</t>
  </si>
  <si>
    <t>1.0000000000000000000000</t>
  </si>
  <si>
    <t>Chicago Bulls</t>
  </si>
  <si>
    <t>17.0000000000000000000000</t>
  </si>
  <si>
    <t>6.0000000000000000000000</t>
  </si>
  <si>
    <t>Cleveland Cavaliers</t>
  </si>
  <si>
    <t>11.0000000000000000000000</t>
  </si>
  <si>
    <t>-11.0000000000000000000000</t>
  </si>
  <si>
    <t>Dallas Mavericks</t>
  </si>
  <si>
    <t>15.0000000000000000000000</t>
  </si>
  <si>
    <t>-26.0000000000000000000000</t>
  </si>
  <si>
    <t>Denver Nuggets</t>
  </si>
  <si>
    <t>19.0000000000000000000000</t>
  </si>
  <si>
    <t>12.0000000000000000000000</t>
  </si>
  <si>
    <t>Detroit Pistons</t>
  </si>
  <si>
    <t>-6.0000000000000000000000</t>
  </si>
  <si>
    <t>Golden State Warriors</t>
  </si>
  <si>
    <t>4.5000000000000000000000</t>
  </si>
  <si>
    <t>Houston Rockets</t>
  </si>
  <si>
    <t>24.0000000000000000000000</t>
  </si>
  <si>
    <t>-18.0000000000000000000000</t>
  </si>
  <si>
    <t>Indiana Pacers</t>
  </si>
  <si>
    <t>-1.0000000000000000000000</t>
  </si>
  <si>
    <t>LA Clippers</t>
  </si>
  <si>
    <t>7.0000000000000000000000</t>
  </si>
  <si>
    <t>-2.0000000000000000000000</t>
  </si>
  <si>
    <t>Los Angeles Lakers</t>
  </si>
  <si>
    <t>-7.0000000000000000000000</t>
  </si>
  <si>
    <t>Memphis Grizzlies</t>
  </si>
  <si>
    <t>Miami Heat</t>
  </si>
  <si>
    <t>42.0000000000000000000000</t>
  </si>
  <si>
    <t>Milwaukee Bucks</t>
  </si>
  <si>
    <t>11.5000000000000000000000</t>
  </si>
  <si>
    <t>-9.5000000000000000000000</t>
  </si>
  <si>
    <t>Minnesota Timberwolves</t>
  </si>
  <si>
    <t>New Orleans Pelicans</t>
  </si>
  <si>
    <t>14.0000000000000000000000</t>
  </si>
  <si>
    <t>-20.0000000000000000000000</t>
  </si>
  <si>
    <t>New York Knicks</t>
  </si>
  <si>
    <t>4.0000000000000000000000</t>
  </si>
  <si>
    <t>Oklahoma City Thunder</t>
  </si>
  <si>
    <t>-21.0000000000000000000000</t>
  </si>
  <si>
    <t>Orlando Magic</t>
  </si>
  <si>
    <t>16.0000000000000000000000</t>
  </si>
  <si>
    <t>Philadelphia 76ers</t>
  </si>
  <si>
    <t>20.0000000000000000000000</t>
  </si>
  <si>
    <t>Phoenix Suns</t>
  </si>
  <si>
    <t>-12.0000000000000000000000</t>
  </si>
  <si>
    <t>Portland Trail Blazers</t>
  </si>
  <si>
    <t>-3.0000000000000000000000</t>
  </si>
  <si>
    <t>Sacramento Kings</t>
  </si>
  <si>
    <t>10.0000000000000000000000</t>
  </si>
  <si>
    <t>3.0000000000000000000000</t>
  </si>
  <si>
    <t>San Antonio Spurs</t>
  </si>
  <si>
    <t>Toronto Raptors</t>
  </si>
  <si>
    <t>-15.0000000000000000000000</t>
  </si>
  <si>
    <t>Utah Jazz</t>
  </si>
  <si>
    <t>21.0000000000000000000000</t>
  </si>
  <si>
    <t>Washington Wizards</t>
  </si>
  <si>
    <t>22.0000000000000000000000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</si>
  <si>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</si>
  <si>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</si>
  <si>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</si>
  <si>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</si>
  <si>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</si>
  <si>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</si>
  <si>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</si>
  <si>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</si>
  <si>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</si>
  <si>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</si>
  <si>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</si>
  <si>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</si>
  <si>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</si>
  <si>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</si>
  <si>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</si>
  <si>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</si>
  <si>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</si>
  <si>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</si>
  <si>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</si>
  <si>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</si>
  <si>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</si>
  <si>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</si>
  <si>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</si>
  <si>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</si>
  <si>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</si>
  <si>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</si>
  <si>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</si>
  <si>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</si>
  <si>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</si>
  <si>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</si>
  <si>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</si>
  <si>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</si>
  <si>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</si>
  <si>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</si>
  <si>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</si>
  <si>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</si>
  <si>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</si>
  <si>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</si>
  <si>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</si>
  <si>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</si>
  <si>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</si>
  <si>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</si>
  <si>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</si>
  <si>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</si>
  <si>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</si>
  <si>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</si>
  <si>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</si>
  <si>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</si>
  <si>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</si>
  <si>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</si>
  <si>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FTA_RATE</t>
  </si>
  <si>
    <t>OPP_EFG_PCT</t>
  </si>
  <si>
    <t>OPP_FTA_RATE</t>
  </si>
  <si>
    <t>OPP_TOV_PCT</t>
  </si>
  <si>
    <t>OPP_OREB_PCT</t>
  </si>
  <si>
    <t>FTA_RATE_RANK</t>
  </si>
  <si>
    <t>OPP_EFG_PCT_RANK</t>
  </si>
  <si>
    <t>OPP_FTA_RATE_RANK</t>
  </si>
  <si>
    <t>OPP_TOV_PCT_RANK</t>
  </si>
  <si>
    <t>OPP_OREB_PCT_RANK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</si>
  <si>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</si>
  <si>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</si>
  <si>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</si>
  <si>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</si>
  <si>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</si>
  <si>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</si>
  <si>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</si>
  <si>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</si>
  <si>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</si>
  <si>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</si>
  <si>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</si>
  <si>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</si>
  <si>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</si>
  <si>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</si>
  <si>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</si>
  <si>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</si>
  <si>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</si>
  <si>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</si>
  <si>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</si>
  <si>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</si>
  <si>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</si>
  <si>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</si>
  <si>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</si>
  <si>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</si>
  <si>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</si>
  <si>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</si>
  <si>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</si>
  <si>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</si>
  <si>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</si>
  <si>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</si>
  <si>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</si>
  <si>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</si>
  <si>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</si>
  <si>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</si>
  <si>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</si>
  <si>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</si>
  <si>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</si>
  <si>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</si>
  <si>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</si>
  <si>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</si>
  <si>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50.0000000000000000000000</t>
  </si>
  <si>
    <t>55.0000000000000000000000</t>
  </si>
  <si>
    <t>54.0000000000000000000000</t>
  </si>
  <si>
    <t>23.0000000000000000000000</t>
  </si>
  <si>
    <t>51.0000000000000000000000</t>
  </si>
  <si>
    <t>47.0000000000000000000000</t>
  </si>
  <si>
    <t>53.0000000000000000000000</t>
  </si>
  <si>
    <t>45.0000000000000000000000</t>
  </si>
  <si>
    <t>48.0000000000000000000000</t>
  </si>
  <si>
    <t>12.5000000000000000000000</t>
  </si>
  <si>
    <t>-4.5000000000000000000000</t>
  </si>
  <si>
    <t>46.0000000000000000000000</t>
  </si>
  <si>
    <t>2.0000000000000000000000</t>
  </si>
  <si>
    <t>36.0000000000000000000000</t>
  </si>
  <si>
    <t>38.0000000000000000000000</t>
  </si>
  <si>
    <t>-42.0000000000000000000000</t>
  </si>
  <si>
    <t>9.5000000000000000000000</t>
  </si>
  <si>
    <t>41.0000000000000000000000</t>
  </si>
  <si>
    <t>56.0000000000000000000000</t>
  </si>
  <si>
    <t>43.0000000000000000000000</t>
  </si>
  <si>
    <t>44.0000000000000000000000</t>
  </si>
  <si>
    <t>49.0000000000000000000000</t>
  </si>
  <si>
    <t>0.0000000000000000000000</t>
  </si>
  <si>
    <t>0.5000000000000000000000</t>
  </si>
  <si>
    <t>1.5000000000000000000000</t>
  </si>
  <si>
    <t>-5.0000000000000000000000</t>
  </si>
  <si>
    <t>5.0000000000000000000000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</si>
</sst>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indexed="8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47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E23008-8F27-4EC4-8E29-2D347D69B819}" name="TableRoster" displayName="TableRoster" ref="A1:O18" totalsRowShown="0" headerRowDxfId="462">
  <autoFilter ref="A1:O18" xr:uid="{15E23008-8F27-4EC4-8E29-2D347D69B8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7B2E741-F03D-4C2D-A768-D46E84B5C110}" name="TeamID" dataDxfId="477"/>
    <tableColumn id="2" xr3:uid="{E4BA9184-334B-4FF9-AE0E-C0DBB721BDEA}" name="SEASON" dataDxfId="476"/>
    <tableColumn id="3" xr3:uid="{BEABF4BE-62C9-40CE-9D3F-62B395C677AE}" name="LeagueID" dataDxfId="475"/>
    <tableColumn id="4" xr3:uid="{86EEB0AE-C8EE-46E1-AE5E-EA8A4C39ED0D}" name="PLAYER" dataDxfId="474"/>
    <tableColumn id="5" xr3:uid="{494ACD27-E916-4F27-82C5-071513862D17}" name="NICKNAME" dataDxfId="473"/>
    <tableColumn id="6" xr3:uid="{254779B0-24F7-4C53-A60B-95C229543FF5}" name="PLAYER_SLUG" dataDxfId="472"/>
    <tableColumn id="7" xr3:uid="{E2416544-A931-4A89-AD27-FCEE0ABC09FC}" name="NUM" dataDxfId="471"/>
    <tableColumn id="8" xr3:uid="{91BD6D42-5743-4C14-87A8-9E37A2E07B35}" name="POSITION" dataDxfId="470"/>
    <tableColumn id="9" xr3:uid="{7FC4957F-63D2-4E31-830F-28EFD736103F}" name="HEIGHT" dataDxfId="469"/>
    <tableColumn id="10" xr3:uid="{083DB6A3-7D14-49D6-8C57-EF0AC5814D7A}" name="WEIGHT" dataDxfId="468"/>
    <tableColumn id="11" xr3:uid="{4AE7FB51-FCE0-47BA-9266-BE7076C5E563}" name="BIRTH_DATE" dataDxfId="467"/>
    <tableColumn id="12" xr3:uid="{51D60ED6-EFED-4D27-B41F-5BE8DE1A7E8C}" name="AGE" dataDxfId="466"/>
    <tableColumn id="13" xr3:uid="{5B74A63D-B296-4E73-80AA-76D29202CCAA}" name="EXP" dataDxfId="465"/>
    <tableColumn id="14" xr3:uid="{C080E961-1BCB-4593-A5CA-1C4A6B406148}" name="SCHOOL" dataDxfId="464"/>
    <tableColumn id="15" xr3:uid="{328A0324-C42B-41F0-960E-5DE48609AA90}" name="PLAYER_ID" dataDxfId="4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525D66-3A78-4EB7-BAE0-764DE072593F}" name="TableStandingsN" displayName="TableStandingsN" ref="A1:CC31" totalsRowShown="0" headerRowDxfId="380">
  <autoFilter ref="A1:CC31" xr:uid="{49525D66-3A78-4EB7-BAE0-764DE07259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743C6600-2D70-4F69-B26B-A972362E9FDC}" name="LeagueID" dataDxfId="461"/>
    <tableColumn id="2" xr3:uid="{5212D226-BDA6-465B-ACFE-DFE618FFF3EA}" name="SeasonID" dataDxfId="460"/>
    <tableColumn id="3" xr3:uid="{C87C77A4-3BA9-47DB-A85B-12BF495581E5}" name="TeamID" dataDxfId="459"/>
    <tableColumn id="4" xr3:uid="{563314F1-8320-466A-95A4-E0E87E1FBA00}" name="TeamCity" dataDxfId="458"/>
    <tableColumn id="5" xr3:uid="{E0ECF6ED-9F11-4531-B3AD-904EFBF2850E}" name="TeamName" dataDxfId="457"/>
    <tableColumn id="6" xr3:uid="{8C1E2D95-742A-4E1F-91C1-2826F426F9DF}" name="Conference" dataDxfId="456"/>
    <tableColumn id="7" xr3:uid="{D3C6AE02-B1CF-43CD-A750-373492F5E3A4}" name="ConferenceRecord" dataDxfId="455"/>
    <tableColumn id="8" xr3:uid="{538067E2-C766-4A7E-88CD-9340C44C233F}" name="PlayoffRank" dataDxfId="454"/>
    <tableColumn id="9" xr3:uid="{E5C2C7FB-6A06-487B-BFE9-C91A54A85798}" name="ClinchIndicator" dataDxfId="453"/>
    <tableColumn id="10" xr3:uid="{CA236EB5-840D-4A3E-B699-589B782A4EA6}" name="Division" dataDxfId="452"/>
    <tableColumn id="11" xr3:uid="{0E84095D-0F70-4EEB-B3EB-ACC5D0DDF34D}" name="DivisionRecord" dataDxfId="451"/>
    <tableColumn id="12" xr3:uid="{29E67074-E3DB-4411-8E31-8789E502B324}" name="DivisionRank" dataDxfId="450"/>
    <tableColumn id="13" xr3:uid="{32BA2131-0C90-40AA-9400-0F46E2F87E77}" name="WINS" dataDxfId="449"/>
    <tableColumn id="14" xr3:uid="{1952DBCC-CA5A-4BA4-92F8-35337674A7F8}" name="LOSSES" dataDxfId="448"/>
    <tableColumn id="15" xr3:uid="{1ED24679-D5C2-4941-84FE-BD9CADAA042D}" name="WinPCT" dataDxfId="447"/>
    <tableColumn id="16" xr3:uid="{205B30E5-92A9-41A6-A3C7-62D3119F714B}" name="LeagueRank" dataDxfId="446"/>
    <tableColumn id="17" xr3:uid="{E451FBD7-2E58-4953-8BAA-C2EF831F394C}" name="Record" dataDxfId="445"/>
    <tableColumn id="18" xr3:uid="{D4A66F19-2ADD-48EC-8AE1-C2F687041CD3}" name="HOME" dataDxfId="444"/>
    <tableColumn id="19" xr3:uid="{EBBE31C8-89F9-44EA-B527-0C9B51E267E7}" name="ROAD" dataDxfId="443"/>
    <tableColumn id="20" xr3:uid="{5D25D484-105E-4892-A0B8-ADDAD3250AB0}" name="L10" dataDxfId="442"/>
    <tableColumn id="21" xr3:uid="{5AF0D907-1C73-46DD-BC56-55A56550295D}" name="Last10Home" dataDxfId="441"/>
    <tableColumn id="22" xr3:uid="{F38A0463-34B0-4F0D-9191-4C20E126A083}" name="Last10Road" dataDxfId="440"/>
    <tableColumn id="23" xr3:uid="{083C2D3D-C429-4928-BBF7-C2BF73CE0B91}" name="OT" dataDxfId="439"/>
    <tableColumn id="24" xr3:uid="{0CF8056F-2D1C-425D-9782-5A4168F198B0}" name="ThreePTSOrLess" dataDxfId="438"/>
    <tableColumn id="25" xr3:uid="{8B36F012-206F-4FBE-AF96-BB807471C262}" name="TenPTSOrMore" dataDxfId="437"/>
    <tableColumn id="26" xr3:uid="{CF6FAE94-897D-418A-97D5-BE6CEBE7408A}" name="LongHomeStreak" dataDxfId="436"/>
    <tableColumn id="27" xr3:uid="{B13AE75F-ADF1-425A-9FBA-B85D6B2B0130}" name="strLongHomeStreak" dataDxfId="435"/>
    <tableColumn id="28" xr3:uid="{429FB4C8-0728-4B7B-A1BA-9FF5CB87AF26}" name="LongRoadStreak" dataDxfId="434"/>
    <tableColumn id="29" xr3:uid="{9F2510B5-3710-410F-9004-E401A5624C03}" name="strLongRoadStreak" dataDxfId="433"/>
    <tableColumn id="30" xr3:uid="{88DE11CA-0369-4231-8796-F32991002503}" name="LongWinStreak" dataDxfId="432"/>
    <tableColumn id="31" xr3:uid="{FF6FE52E-C170-454D-91C5-2C414A61E621}" name="LongLossStreak" dataDxfId="431"/>
    <tableColumn id="32" xr3:uid="{DDF8305F-9C89-42AE-9C7B-29FCB6B09992}" name="CurrentHomeStreak" dataDxfId="430"/>
    <tableColumn id="33" xr3:uid="{09B21F1C-4171-45AA-90AF-C241DACA4561}" name="strCurrentHomeStreak" dataDxfId="429"/>
    <tableColumn id="34" xr3:uid="{444D5BC0-B122-4C90-9578-04EB07BCA22B}" name="CurrentRoadStreak" dataDxfId="428"/>
    <tableColumn id="35" xr3:uid="{DDB0011B-9BE5-49CE-9BAF-A3E0F37E4EBE}" name="strCurrentRoadStreak" dataDxfId="427"/>
    <tableColumn id="36" xr3:uid="{1461D9C9-111F-4FAD-8B26-D1E829BB34C2}" name="CurrentStreak" dataDxfId="426"/>
    <tableColumn id="37" xr3:uid="{B52DBF1D-E94C-47D7-B86B-F92E7087F401}" name="strCurrentStreak" dataDxfId="425"/>
    <tableColumn id="38" xr3:uid="{1F2F509C-D7D2-4513-A730-5987B2D67294}" name="ConferenceGamesBack" dataDxfId="424"/>
    <tableColumn id="39" xr3:uid="{FA8286B4-976E-4413-A50A-C32C94FEC476}" name="DivisionGamesBack" dataDxfId="423"/>
    <tableColumn id="40" xr3:uid="{7EDDC326-E5FF-4FB1-81F4-C2F74F199C24}" name="ClinchedConferenceTitle" dataDxfId="422"/>
    <tableColumn id="41" xr3:uid="{329238B9-700D-4122-A919-DFEC80862BE7}" name="ClinchedDivisionTitle" dataDxfId="421"/>
    <tableColumn id="42" xr3:uid="{9AD4FDDF-57FD-44E5-BF05-F6E1B6DB5027}" name="ClinchedPlayoffBirth" dataDxfId="420"/>
    <tableColumn id="43" xr3:uid="{5220F45C-D8E2-4B2C-AD36-0F38A5A4D31A}" name="EliminatedConference" dataDxfId="419"/>
    <tableColumn id="44" xr3:uid="{E553037F-B94A-4EF9-82F1-7FBD5672F575}" name="EliminatedDivision" dataDxfId="418"/>
    <tableColumn id="45" xr3:uid="{2F49C094-9839-426C-A6C4-7FD03AAF42BE}" name="AheadAtHalf" dataDxfId="417"/>
    <tableColumn id="46" xr3:uid="{BD91A999-5A59-444F-8205-0F5AD447DE58}" name="BehindAtHalf" dataDxfId="416"/>
    <tableColumn id="47" xr3:uid="{D86C5DD5-DDC5-4968-AB24-41C1FE65960F}" name="TiedAtHalf" dataDxfId="415"/>
    <tableColumn id="48" xr3:uid="{CCA68CFF-A002-4740-B9EE-C78897E9C486}" name="AheadAtThird" dataDxfId="414"/>
    <tableColumn id="49" xr3:uid="{FA36D11F-B04A-4E50-91D4-AFDDA41AB8C3}" name="BehindAtThird" dataDxfId="413"/>
    <tableColumn id="50" xr3:uid="{E9EB6DC8-ABE5-4CAA-8572-3E0389E14E39}" name="TiedAtThird" dataDxfId="412"/>
    <tableColumn id="51" xr3:uid="{E0C17FEC-06FE-432D-8529-784984234414}" name="Score100PTS" dataDxfId="411"/>
    <tableColumn id="52" xr3:uid="{513B79AF-5273-4085-BDE3-EBF6AE21A1CE}" name="OppScore100PTS" dataDxfId="410"/>
    <tableColumn id="53" xr3:uid="{71082B81-9379-41CE-85CB-FB90978A3425}" name="OppOver500" dataDxfId="409"/>
    <tableColumn id="54" xr3:uid="{07C9103A-174B-467A-B00C-F088ABF06949}" name="LeadInFGPCT" dataDxfId="408"/>
    <tableColumn id="55" xr3:uid="{5F633694-3DC4-4A20-BDA1-18A1AF6249C7}" name="LeadInReb" dataDxfId="407"/>
    <tableColumn id="56" xr3:uid="{2D45A7EE-862A-4676-B996-26C939310B63}" name="FewerTurnovers" dataDxfId="406"/>
    <tableColumn id="57" xr3:uid="{A99569D7-F084-4D26-9365-C8DC8629A1F7}" name="PointsPG" dataDxfId="405"/>
    <tableColumn id="58" xr3:uid="{A8F3CFFD-8F52-44E5-B0D1-7559EFBF045D}" name="OppPointsPG" dataDxfId="404"/>
    <tableColumn id="59" xr3:uid="{206B37A4-5E6F-4675-AABF-80366065DB86}" name="DiffPointsPG" dataDxfId="403"/>
    <tableColumn id="60" xr3:uid="{8F268CE5-13A6-42C1-878E-EF5D7A8D251B}" name="vsEast" dataDxfId="402"/>
    <tableColumn id="61" xr3:uid="{51E63AB4-E68A-453D-B1B2-55BC7DFF4205}" name="vsAtlantic" dataDxfId="401"/>
    <tableColumn id="62" xr3:uid="{33CC16BA-1260-40B7-8098-273D3654B4A4}" name="vsCentral" dataDxfId="400"/>
    <tableColumn id="63" xr3:uid="{2E070B6E-1389-4DFC-921A-82C76B7992C4}" name="vsSoutheast" dataDxfId="399"/>
    <tableColumn id="64" xr3:uid="{1C71D946-F6FC-4AAA-AC48-2D9F4487CC93}" name="vsWest" dataDxfId="398"/>
    <tableColumn id="65" xr3:uid="{2BB4BE70-529D-40F6-ABB7-159F66D72C4A}" name="vsNorthwest" dataDxfId="397"/>
    <tableColumn id="66" xr3:uid="{788ADDB0-E8DB-4D62-9E08-11189B34519B}" name="vsPacific" dataDxfId="396"/>
    <tableColumn id="67" xr3:uid="{34B9866B-3A41-4E0E-BD5E-5EFFA281E716}" name="vsSouthwest" dataDxfId="395"/>
    <tableColumn id="68" xr3:uid="{F8DA6B78-0853-42DF-8E7A-67264B9DCA0C}" name="Jan" dataDxfId="394"/>
    <tableColumn id="69" xr3:uid="{E7BEA19D-CC1C-4503-88A1-F90B067CEF68}" name="Feb" dataDxfId="393"/>
    <tableColumn id="70" xr3:uid="{A4516370-DC2B-4610-A1DA-F448343AC684}" name="Mar" dataDxfId="392"/>
    <tableColumn id="71" xr3:uid="{E47F5796-87D8-40AB-9DCF-C0B7C33AC502}" name="Apr" dataDxfId="391"/>
    <tableColumn id="72" xr3:uid="{65F6EF5D-8722-4C4C-8D37-C6825370AAFD}" name="May" dataDxfId="390"/>
    <tableColumn id="73" xr3:uid="{17AACEB6-DAF9-4D97-8597-1F4931D3E041}" name="Jun" dataDxfId="389"/>
    <tableColumn id="74" xr3:uid="{DCA6ABBB-2459-4EBF-8BE2-D49E07E67B93}" name="Jul" dataDxfId="388"/>
    <tableColumn id="75" xr3:uid="{1B2DF699-B4E8-4D26-A4E5-E011DDD399B6}" name="Aug" dataDxfId="387"/>
    <tableColumn id="76" xr3:uid="{5399A851-245F-4B6B-90C9-BA0E2784AF82}" name="Sep" dataDxfId="386"/>
    <tableColumn id="77" xr3:uid="{F99AE019-BA6B-4936-8C28-620A9AD65F87}" name="Oct" dataDxfId="385"/>
    <tableColumn id="78" xr3:uid="{BAE049BF-AD64-4B58-8111-A7F808EE87FC}" name="Nov" dataDxfId="384"/>
    <tableColumn id="79" xr3:uid="{802AC3BA-F1BE-41F9-B4CB-6CC6F2388C94}" name="Dec" dataDxfId="383"/>
    <tableColumn id="80" xr3:uid="{39E03830-748F-4BEA-9B16-4AB580F1D114}" name="PreAS" dataDxfId="382"/>
    <tableColumn id="81" xr3:uid="{E0667A4F-9F47-4926-A39D-B2BE2C071C0C}" name="PostAS" dataDxfId="3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10A02F-F818-44CB-B703-C5F447C2D3CB}" name="TableBaseN" displayName="TableBaseN" ref="A1:BD31" totalsRowShown="0" headerRowDxfId="323">
  <autoFilter ref="A1:BD31" xr:uid="{C510A02F-F818-44CB-B703-C5F447C2D3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6D9494B-40F8-433C-9082-306C1816E79F}" name="TEAM_ID" dataDxfId="379"/>
    <tableColumn id="2" xr3:uid="{99231CF7-3A94-4872-B315-7FC6C87BA5EA}" name="TEAM_NAME" dataDxfId="378"/>
    <tableColumn id="3" xr3:uid="{D1D38133-9E71-4658-BACD-E75EAFF97772}" name="GP" dataDxfId="377"/>
    <tableColumn id="4" xr3:uid="{3D2494B0-9D44-48EE-87A5-F90BF26CB1B5}" name="W" dataDxfId="376"/>
    <tableColumn id="5" xr3:uid="{F20C5AB4-9858-4FC1-BB9D-3964687E8946}" name="L" dataDxfId="375"/>
    <tableColumn id="6" xr3:uid="{D9A3DAC8-EFDC-401B-866B-4B87AE2C1C40}" name="W_PCT" dataDxfId="374"/>
    <tableColumn id="7" xr3:uid="{F5B29F20-34D7-4FD5-B786-0DF07492618B}" name="MIN" dataDxfId="373"/>
    <tableColumn id="8" xr3:uid="{D7E9A4CE-1ED6-4335-8F2B-07170AC8E191}" name="FGM" dataDxfId="372"/>
    <tableColumn id="9" xr3:uid="{8AD68883-A01E-4FA9-851B-71DA0D6E5B34}" name="FGA" dataDxfId="371"/>
    <tableColumn id="10" xr3:uid="{AE3A0189-7A26-4A74-9741-919ADDF26F79}" name="FG_PCT" dataDxfId="370"/>
    <tableColumn id="11" xr3:uid="{CCA29153-38A9-470B-8EE3-DCE4580860C3}" name="FG3M" dataDxfId="369"/>
    <tableColumn id="12" xr3:uid="{E2DA4EEF-3F34-4301-85D1-2B332CD39E2C}" name="FG3A" dataDxfId="368"/>
    <tableColumn id="13" xr3:uid="{456EDE70-B40D-43D1-BC01-91A6208961AC}" name="FG3_PCT" dataDxfId="367"/>
    <tableColumn id="14" xr3:uid="{BC07E7A9-97A8-4997-A65C-DDA01F23211C}" name="FTM" dataDxfId="366"/>
    <tableColumn id="15" xr3:uid="{781C6302-10E0-4184-A561-608572CFC0EC}" name="FTA" dataDxfId="365"/>
    <tableColumn id="16" xr3:uid="{74F926F6-7441-4A45-95C1-2064D45940D1}" name="FT_PCT" dataDxfId="364"/>
    <tableColumn id="17" xr3:uid="{08E25B83-3D8D-468F-9142-AC104ABC7158}" name="OREB" dataDxfId="363"/>
    <tableColumn id="18" xr3:uid="{38BB9DE3-8C56-4BA7-94FF-72D3A590B050}" name="DREB" dataDxfId="362"/>
    <tableColumn id="19" xr3:uid="{2A11971F-5569-46C0-B02D-AC8805952C09}" name="REB" dataDxfId="361"/>
    <tableColumn id="20" xr3:uid="{EEACD87E-8774-47DD-9BA1-3F877259CD40}" name="AST" dataDxfId="360"/>
    <tableColumn id="21" xr3:uid="{D2AE2798-7DD9-4B3E-8C71-50DA82CAC784}" name="TOV" dataDxfId="359"/>
    <tableColumn id="22" xr3:uid="{22F7425C-5D3B-43FF-A422-4965CC78D87C}" name="STL" dataDxfId="358"/>
    <tableColumn id="23" xr3:uid="{23403F92-4944-42A7-8709-4B8358ABA493}" name="BLK" dataDxfId="357"/>
    <tableColumn id="24" xr3:uid="{0E23E452-C721-490C-A9D3-76D17C9052F3}" name="BLKA" dataDxfId="356"/>
    <tableColumn id="25" xr3:uid="{1FB50BAA-9774-486F-917D-1D3569ED4F4E}" name="PF" dataDxfId="355"/>
    <tableColumn id="26" xr3:uid="{F59CDBB2-B211-4DD9-80C5-1024A18A39F4}" name="PFD" dataDxfId="354"/>
    <tableColumn id="27" xr3:uid="{FC0A1622-A937-4AEF-B158-89E845C1C036}" name="PTS" dataDxfId="353"/>
    <tableColumn id="28" xr3:uid="{6D1F8C75-3996-4C7F-9770-C03A796DF1E6}" name="PLUS_MINUS" dataDxfId="352"/>
    <tableColumn id="29" xr3:uid="{ACB1E858-E246-4E90-8619-C7A63A8FD1D9}" name="GP_RANK" dataDxfId="351"/>
    <tableColumn id="30" xr3:uid="{1543F164-5EC6-4EE3-A24B-EA4D267D581D}" name="W_RANK" dataDxfId="350"/>
    <tableColumn id="31" xr3:uid="{F18FEA33-6D75-405E-86B6-F4A26D5AD5A3}" name="L_RANK" dataDxfId="349"/>
    <tableColumn id="32" xr3:uid="{802A56F2-D10A-4EA9-B51D-80839F44674D}" name="W_PCT_RANK" dataDxfId="348"/>
    <tableColumn id="33" xr3:uid="{5DF2BF46-C3D7-40E4-9058-50281DE3EF65}" name="MIN_RANK" dataDxfId="347"/>
    <tableColumn id="34" xr3:uid="{0F9774AB-B174-4B20-88E4-114BFB8598CE}" name="FGM_RANK" dataDxfId="346"/>
    <tableColumn id="35" xr3:uid="{9DD7AACE-9799-4BD0-AF70-71EDCE101561}" name="FGA_RANK" dataDxfId="345"/>
    <tableColumn id="36" xr3:uid="{3970FC5C-B83D-4B47-91F2-423C95396E48}" name="FG_PCT_RANK" dataDxfId="344"/>
    <tableColumn id="37" xr3:uid="{B7A5B748-3782-443D-8072-69FCE85095DA}" name="FG3M_RANK" dataDxfId="343"/>
    <tableColumn id="38" xr3:uid="{E7753A9A-C777-4A62-AA44-B1A6114031A5}" name="FG3A_RANK" dataDxfId="342"/>
    <tableColumn id="39" xr3:uid="{6E866078-DA87-4CA1-A122-4F0D2057896F}" name="FG3_PCT_RANK" dataDxfId="341"/>
    <tableColumn id="40" xr3:uid="{B22962F0-79A3-4FC8-8AF7-724010092FC0}" name="FTM_RANK" dataDxfId="340"/>
    <tableColumn id="41" xr3:uid="{15C79B70-2E32-4735-9273-F92ED9FFE0C2}" name="FTA_RANK" dataDxfId="339"/>
    <tableColumn id="42" xr3:uid="{1A0EB2B9-0DC2-426A-ADA8-DF60C3839811}" name="FT_PCT_RANK" dataDxfId="338"/>
    <tableColumn id="43" xr3:uid="{DB98C82A-05EA-4533-8199-69676B2054CF}" name="OREB_RANK" dataDxfId="337"/>
    <tableColumn id="44" xr3:uid="{9AA54939-91ED-407C-BCAC-76601846DA1E}" name="DREB_RANK" dataDxfId="336"/>
    <tableColumn id="45" xr3:uid="{E6B4A8D9-CEA4-4962-AAFD-A1F4785E8428}" name="REB_RANK" dataDxfId="335"/>
    <tableColumn id="46" xr3:uid="{E93E9864-298A-4C5A-8A1D-070E40E017A0}" name="AST_RANK" dataDxfId="334"/>
    <tableColumn id="47" xr3:uid="{58D8A562-2134-4A2A-AE14-9383708357FA}" name="TOV_RANK" dataDxfId="333"/>
    <tableColumn id="48" xr3:uid="{8C0936F0-E741-4013-A5E2-654BA7A605D9}" name="STL_RANK" dataDxfId="332"/>
    <tableColumn id="49" xr3:uid="{36856C5B-512A-4DB5-852E-97CF6346BEFD}" name="BLK_RANK" dataDxfId="331"/>
    <tableColumn id="50" xr3:uid="{B8CDBE17-CB41-43D5-B4D9-04D651E8BA6A}" name="BLKA_RANK" dataDxfId="330"/>
    <tableColumn id="51" xr3:uid="{86457378-4819-4929-909A-528E9490FC20}" name="PF_RANK" dataDxfId="329"/>
    <tableColumn id="52" xr3:uid="{12D4E07B-B274-45C7-AAA1-1636CE0A5586}" name="PFD_RANK" dataDxfId="328"/>
    <tableColumn id="53" xr3:uid="{793C676C-DCA9-41B5-A6A6-34C480F9459C}" name="PTS_RANK" dataDxfId="327"/>
    <tableColumn id="54" xr3:uid="{83A6FA27-2F1E-462B-A28E-469683939D59}" name="PLUS_MINUS_RANK" dataDxfId="326"/>
    <tableColumn id="55" xr3:uid="{DF1D598A-3A71-45EC-935C-679F0C428E7E}" name="CFID" dataDxfId="325"/>
    <tableColumn id="56" xr3:uid="{AB0D35B2-A5B3-4E6C-8F0B-82D0706FD3FE}" name="CFPARAMS" dataDxfId="3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4EB30B-7B50-430A-A839-F58C4F5B708C}" name="TableAdvancedN" displayName="TableAdvancedN" ref="A1:AV31" totalsRowShown="0" headerRowDxfId="274">
  <autoFilter ref="A1:AV31" xr:uid="{F84EB30B-7B50-430A-A839-F58C4F5B708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C29359B-1693-4153-8269-1B9A1AE85661}" name="TEAM_ID" dataDxfId="322"/>
    <tableColumn id="2" xr3:uid="{E24A421E-5666-46DF-B71A-29EDA2E8CC7A}" name="TEAM_NAME" dataDxfId="321"/>
    <tableColumn id="3" xr3:uid="{437F316C-5B59-4E9F-A0CB-7710D35EBC52}" name="GP" dataDxfId="320"/>
    <tableColumn id="4" xr3:uid="{FE8EAC4A-D96A-4171-985B-6234CF50A1B8}" name="W" dataDxfId="319"/>
    <tableColumn id="5" xr3:uid="{BED9487A-1C1A-441C-94DD-7121AC32A6BE}" name="L" dataDxfId="318"/>
    <tableColumn id="6" xr3:uid="{E04CD783-7FB1-4FCE-B1DA-114CFBED7FFC}" name="W_PCT" dataDxfId="317"/>
    <tableColumn id="7" xr3:uid="{8AE1055D-E446-4D19-86DD-3BEAC99B4199}" name="MIN" dataDxfId="316"/>
    <tableColumn id="8" xr3:uid="{EE282964-82E5-4BBB-A7DC-7A8070CA7023}" name="E_OFF_RATING" dataDxfId="315"/>
    <tableColumn id="9" xr3:uid="{2A698104-F1D1-4FEA-97EE-7ED68CD2F182}" name="OFF_RATING" dataDxfId="314"/>
    <tableColumn id="10" xr3:uid="{ED76F285-DF86-4C50-B60C-70E834466442}" name="E_DEF_RATING" dataDxfId="313"/>
    <tableColumn id="11" xr3:uid="{941FC6DC-EDFA-4F22-A951-58263BCCB26D}" name="DEF_RATING" dataDxfId="312"/>
    <tableColumn id="12" xr3:uid="{F96685E2-798B-476D-B3FB-A14D214BB3DF}" name="E_NET_RATING" dataDxfId="311"/>
    <tableColumn id="13" xr3:uid="{67A0ABF9-DB81-458F-9568-DBEB88CF5966}" name="NET_RATING" dataDxfId="310"/>
    <tableColumn id="14" xr3:uid="{4D0355B0-1104-4686-8AD6-0350A9E5A6AA}" name="AST_PCT" dataDxfId="309"/>
    <tableColumn id="15" xr3:uid="{0E9BE9FE-3465-4E77-8DC1-83B27416C73E}" name="AST_TO" dataDxfId="308"/>
    <tableColumn id="16" xr3:uid="{C499B0A8-200A-4580-8C95-A25AB11CE10E}" name="AST_RATIO" dataDxfId="307"/>
    <tableColumn id="17" xr3:uid="{6BD125E6-E587-4056-997D-F80FEBFE0D1D}" name="OREB_PCT" dataDxfId="306"/>
    <tableColumn id="18" xr3:uid="{C827B091-50E7-4CF4-8869-1527588A297E}" name="DREB_PCT" dataDxfId="305"/>
    <tableColumn id="19" xr3:uid="{03851252-5134-445D-9D7D-244690610C12}" name="REB_PCT" dataDxfId="304"/>
    <tableColumn id="20" xr3:uid="{2D6747F7-EC78-495F-BC76-65E3FC19BA65}" name="TM_TOV_PCT" dataDxfId="303"/>
    <tableColumn id="21" xr3:uid="{15F16014-57E0-49D0-95FA-A5D7EFF01161}" name="EFG_PCT" dataDxfId="302"/>
    <tableColumn id="22" xr3:uid="{8B434507-6100-46E0-8266-B71ABBD91DB4}" name="TS_PCT" dataDxfId="301"/>
    <tableColumn id="23" xr3:uid="{6A37D546-67AE-4E51-9FDE-D7CD4A93A238}" name="E_PACE" dataDxfId="300"/>
    <tableColumn id="24" xr3:uid="{249C5DF4-094E-473C-84C8-73BD8EC12811}" name="PACE" dataDxfId="299"/>
    <tableColumn id="25" xr3:uid="{8D032D65-BF12-4C5E-99FF-BBC4A0104A72}" name="PACE_PER40" dataDxfId="298"/>
    <tableColumn id="26" xr3:uid="{EF346564-6B40-4FDB-B8FE-96384D4F2A50}" name="POSS" dataDxfId="297"/>
    <tableColumn id="27" xr3:uid="{CF91BD74-6992-4D3F-B0BA-0759A8F6F118}" name="PIE" dataDxfId="296"/>
    <tableColumn id="28" xr3:uid="{D6C70BCA-713C-4A45-866B-C5159D58920D}" name="GP_RANK" dataDxfId="295"/>
    <tableColumn id="29" xr3:uid="{7378466E-4E66-40CB-A30F-8A6BE9BA940B}" name="W_RANK" dataDxfId="294"/>
    <tableColumn id="30" xr3:uid="{4816DFBE-3241-45F8-9B95-4A9D8616D8BF}" name="L_RANK" dataDxfId="293"/>
    <tableColumn id="31" xr3:uid="{B8994F98-03B5-44B8-A025-190C1FDDA9D0}" name="W_PCT_RANK" dataDxfId="292"/>
    <tableColumn id="32" xr3:uid="{445CDBB1-D888-4A34-997D-916E852DFD09}" name="MIN_RANK" dataDxfId="291"/>
    <tableColumn id="33" xr3:uid="{7B5583D7-4889-4231-B253-0BAC3D682032}" name="OFF_RATING_RANK" dataDxfId="290"/>
    <tableColumn id="34" xr3:uid="{A383AA4F-7CC0-405E-BE43-1A34F7A34518}" name="DEF_RATING_RANK" dataDxfId="289"/>
    <tableColumn id="35" xr3:uid="{5B9672D4-4595-4CEB-9C76-3862EC99A32F}" name="NET_RATING_RANK" dataDxfId="288"/>
    <tableColumn id="36" xr3:uid="{8B61CD64-4BA3-4C98-A903-9D51F0C89311}" name="AST_PCT_RANK" dataDxfId="287"/>
    <tableColumn id="37" xr3:uid="{4039C6A5-1F99-45B8-A2CF-FA2D21D58C6D}" name="AST_TO_RANK" dataDxfId="286"/>
    <tableColumn id="38" xr3:uid="{B7D6E62A-988D-45AC-AFC4-F72FD00AA126}" name="AST_RATIO_RANK" dataDxfId="285"/>
    <tableColumn id="39" xr3:uid="{F80413D4-575B-4213-B8AC-9AB9E3C521DE}" name="OREB_PCT_RANK" dataDxfId="284"/>
    <tableColumn id="40" xr3:uid="{743B12C8-7FF0-4FAF-82E3-BA0B1BDB7549}" name="DREB_PCT_RANK" dataDxfId="283"/>
    <tableColumn id="41" xr3:uid="{A571C6F4-F941-48DE-9E3F-DE05528E0D8B}" name="REB_PCT_RANK" dataDxfId="282"/>
    <tableColumn id="42" xr3:uid="{4B61BFC8-1DAA-499E-92F3-6E159DA753F5}" name="TM_TOV_PCT_RANK" dataDxfId="281"/>
    <tableColumn id="43" xr3:uid="{91398764-FC73-43A6-BCC7-5E0EAC7127FD}" name="EFG_PCT_RANK" dataDxfId="280"/>
    <tableColumn id="44" xr3:uid="{B8A9C252-B252-497C-9489-135A2A31D56C}" name="TS_PCT_RANK" dataDxfId="279"/>
    <tableColumn id="45" xr3:uid="{397CD61C-7265-4FB7-97EE-DF21A76EAAF6}" name="PACE_RANK" dataDxfId="278"/>
    <tableColumn id="46" xr3:uid="{447142A4-31C9-40BA-B493-245737A7D73E}" name="PIE_RANK" dataDxfId="277"/>
    <tableColumn id="47" xr3:uid="{1AC0C7F9-BE88-4E21-9BF5-F74056D543E6}" name="CFID" dataDxfId="276"/>
    <tableColumn id="48" xr3:uid="{43A4759E-0D36-4485-B009-BED7ABF848C4}" name="CFPARAMS" dataDxfId="27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D7804F-4697-438B-8549-D0902DA5BD2F}" name="TableAdvancedNStarters" displayName="TableAdvancedNStarters" ref="A1:AV31" totalsRowShown="0" headerRowDxfId="225">
  <autoFilter ref="A1:AV31" xr:uid="{C1D7804F-4697-438B-8549-D0902DA5BD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F68E0DC-A0AD-44F0-975C-13207A3D136A}" name="TEAM_ID" dataDxfId="273"/>
    <tableColumn id="2" xr3:uid="{D5B17FAA-647C-4F38-8F11-F81CB91CDA83}" name="TEAM_NAME" dataDxfId="272"/>
    <tableColumn id="3" xr3:uid="{9879CECD-B59E-430D-805B-FAD78B28BF74}" name="GP" dataDxfId="271"/>
    <tableColumn id="4" xr3:uid="{A5BA1917-998A-4965-B7EA-3C9E26342234}" name="W" dataDxfId="270"/>
    <tableColumn id="5" xr3:uid="{11A94F7D-39FD-4F83-BAD1-47F262EB2675}" name="L" dataDxfId="269"/>
    <tableColumn id="6" xr3:uid="{74848C42-3F30-467A-9E5B-CE4F87330385}" name="W_PCT" dataDxfId="268"/>
    <tableColumn id="7" xr3:uid="{E7945195-E062-41F0-B50E-15A75A30CD67}" name="MIN" dataDxfId="267"/>
    <tableColumn id="8" xr3:uid="{4F3EC2D9-5DFB-4BEB-84E1-ABDCCCD8B1F8}" name="E_OFF_RATING" dataDxfId="266"/>
    <tableColumn id="9" xr3:uid="{864D9F79-01F7-45D2-9A17-6A2EF790D290}" name="OFF_RATING" dataDxfId="265"/>
    <tableColumn id="10" xr3:uid="{2A33F0AE-13E6-4F91-A030-3798A26DA95F}" name="E_DEF_RATING" dataDxfId="264"/>
    <tableColumn id="11" xr3:uid="{E9A774B8-4B10-4B01-B155-0CD04896BD1F}" name="DEF_RATING" dataDxfId="263"/>
    <tableColumn id="12" xr3:uid="{2732777D-52B4-4C2A-A4BB-677024C455CE}" name="E_NET_RATING" dataDxfId="262"/>
    <tableColumn id="13" xr3:uid="{534E17C9-E300-4972-845F-1E81EA965BFB}" name="NET_RATING" dataDxfId="261"/>
    <tableColumn id="14" xr3:uid="{04EC2942-6F31-44D1-B468-15E0AFFDD43F}" name="AST_PCT" dataDxfId="260"/>
    <tableColumn id="15" xr3:uid="{4CEDF9C9-9B46-4407-BA3F-E4BB093366BA}" name="AST_TO" dataDxfId="259"/>
    <tableColumn id="16" xr3:uid="{A8EC2ADF-5680-4D42-9C85-E2683BCCCE61}" name="AST_RATIO" dataDxfId="258"/>
    <tableColumn id="17" xr3:uid="{E2405724-BA21-48A5-8B1B-8D06D8FF9930}" name="OREB_PCT" dataDxfId="257"/>
    <tableColumn id="18" xr3:uid="{BB6C48D4-FFF8-4C72-86A0-0EB975AEF33F}" name="DREB_PCT" dataDxfId="256"/>
    <tableColumn id="19" xr3:uid="{FE07CD36-B5D3-4F4F-84CF-95F7938D715E}" name="REB_PCT" dataDxfId="255"/>
    <tableColumn id="20" xr3:uid="{D4C16C4D-4224-427C-996F-A1AB10D41252}" name="TM_TOV_PCT" dataDxfId="254"/>
    <tableColumn id="21" xr3:uid="{457E3380-751B-40E1-8780-5AFB330846A6}" name="EFG_PCT" dataDxfId="253"/>
    <tableColumn id="22" xr3:uid="{94D98F5F-9CC4-4A60-A3E9-999F9E352DFD}" name="TS_PCT" dataDxfId="252"/>
    <tableColumn id="23" xr3:uid="{BBD429CE-14E0-445B-BE7D-C4ABB485B59B}" name="E_PACE" dataDxfId="251"/>
    <tableColumn id="24" xr3:uid="{8AFBC799-0770-492A-967B-641F9386A3CF}" name="PACE" dataDxfId="250"/>
    <tableColumn id="25" xr3:uid="{50277E52-5636-437F-8645-D4C99A5530D3}" name="PACE_PER40" dataDxfId="249"/>
    <tableColumn id="26" xr3:uid="{CA7EB8A5-66E2-42F9-B287-72A8EB45FF5F}" name="POSS" dataDxfId="248"/>
    <tableColumn id="27" xr3:uid="{F44E3174-1C7B-4DD6-ACC2-F1B89FACD885}" name="PIE" dataDxfId="247"/>
    <tableColumn id="28" xr3:uid="{6229281C-F73F-4819-8048-38158238E51F}" name="GP_RANK" dataDxfId="246"/>
    <tableColumn id="29" xr3:uid="{78B831C8-924C-4EFD-8E7C-18351B74FCA7}" name="W_RANK" dataDxfId="245"/>
    <tableColumn id="30" xr3:uid="{677B0669-4C49-47E9-BE73-28E2772CE100}" name="L_RANK" dataDxfId="244"/>
    <tableColumn id="31" xr3:uid="{86DB3A79-9E06-42BF-9289-C445DB2B418D}" name="W_PCT_RANK" dataDxfId="243"/>
    <tableColumn id="32" xr3:uid="{8F82875C-4679-4D2A-8A3B-6BF94EB87020}" name="MIN_RANK" dataDxfId="242"/>
    <tableColumn id="33" xr3:uid="{76329C6D-3819-4010-ACEC-248D0C00C1F0}" name="OFF_RATING_RANK" dataDxfId="241"/>
    <tableColumn id="34" xr3:uid="{4E6A1015-95F7-4A9C-A259-75600DB1716D}" name="DEF_RATING_RANK" dataDxfId="240"/>
    <tableColumn id="35" xr3:uid="{2B049814-4881-4C0A-A6DC-8D03BD4F12C6}" name="NET_RATING_RANK" dataDxfId="239"/>
    <tableColumn id="36" xr3:uid="{819EB360-B544-498D-B95E-86682250E767}" name="AST_PCT_RANK" dataDxfId="238"/>
    <tableColumn id="37" xr3:uid="{2827A1EB-E190-4401-BB9D-1727E77FFC8C}" name="AST_TO_RANK" dataDxfId="237"/>
    <tableColumn id="38" xr3:uid="{9535864C-9820-45A6-949F-CE9BBC71D3CF}" name="AST_RATIO_RANK" dataDxfId="236"/>
    <tableColumn id="39" xr3:uid="{9BD33690-277B-4FA3-BB86-00B48B250A6B}" name="OREB_PCT_RANK" dataDxfId="235"/>
    <tableColumn id="40" xr3:uid="{82FF8C05-DEA1-479C-841B-D6A060A9C1A5}" name="DREB_PCT_RANK" dataDxfId="234"/>
    <tableColumn id="41" xr3:uid="{43C2E251-3AA0-4F57-85DF-C84189682FD1}" name="REB_PCT_RANK" dataDxfId="233"/>
    <tableColumn id="42" xr3:uid="{4D579CF1-9441-4E17-97AD-100B5047E4F7}" name="TM_TOV_PCT_RANK" dataDxfId="232"/>
    <tableColumn id="43" xr3:uid="{BB903A75-E347-4A85-BA5E-E41C36A293D0}" name="EFG_PCT_RANK" dataDxfId="231"/>
    <tableColumn id="44" xr3:uid="{2526908A-FD29-4ADF-AB7A-0E6D9C1FD462}" name="TS_PCT_RANK" dataDxfId="230"/>
    <tableColumn id="45" xr3:uid="{AC02C3B6-3282-485B-A7C2-8244A42048E1}" name="PACE_RANK" dataDxfId="229"/>
    <tableColumn id="46" xr3:uid="{3EC07EFD-B2CD-498F-AB77-60E941FFB74F}" name="PIE_RANK" dataDxfId="228"/>
    <tableColumn id="47" xr3:uid="{DE60AA70-0F9B-4DE9-BFAB-6C25EFD3425E}" name="CFID" dataDxfId="227"/>
    <tableColumn id="48" xr3:uid="{9D80FE6B-5831-4E46-BBD5-B3DBDB7DA205}" name="CFPARAMS" dataDxfId="22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520BA70-23D7-4E4E-B2AE-28C1177EB3B3}" name="TableAdvancedNBench" displayName="TableAdvancedNBench" ref="A1:AV31" totalsRowShown="0" headerRowDxfId="176">
  <autoFilter ref="A1:AV31" xr:uid="{9520BA70-23D7-4E4E-B2AE-28C1177EB3B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25B5658-BEEB-4498-A725-ACF53A6E2D4D}" name="TEAM_ID" dataDxfId="224"/>
    <tableColumn id="2" xr3:uid="{B7619ACC-12D1-4A5F-B120-8D7DD7705360}" name="TEAM_NAME" dataDxfId="223"/>
    <tableColumn id="3" xr3:uid="{82A14821-B260-4EDA-8D5E-2ECD3A1804DC}" name="GP" dataDxfId="222"/>
    <tableColumn id="4" xr3:uid="{6ACE9EE7-B20C-4229-92B2-35774C3BC424}" name="W" dataDxfId="221"/>
    <tableColumn id="5" xr3:uid="{45B89BFA-5DCF-49EC-BB76-BE2714CB1CE1}" name="L" dataDxfId="220"/>
    <tableColumn id="6" xr3:uid="{31FEF3EF-7AD6-4FE3-8520-DB9A9DF3B521}" name="W_PCT" dataDxfId="219"/>
    <tableColumn id="7" xr3:uid="{D94B3C65-9990-4942-B9A8-28F406694309}" name="MIN" dataDxfId="218"/>
    <tableColumn id="8" xr3:uid="{E42AB4BE-D014-4D0D-97BC-F58CAA299F4B}" name="E_OFF_RATING" dataDxfId="217"/>
    <tableColumn id="9" xr3:uid="{9F3AAED3-0348-4C14-BF15-041657B06E1C}" name="OFF_RATING" dataDxfId="216"/>
    <tableColumn id="10" xr3:uid="{15A41A16-5362-4A51-8EBE-40F3E0BC8784}" name="E_DEF_RATING" dataDxfId="215"/>
    <tableColumn id="11" xr3:uid="{B1F61D4F-8A4C-4A0F-88BC-98CB08B1273E}" name="DEF_RATING" dataDxfId="214"/>
    <tableColumn id="12" xr3:uid="{9338982F-45F2-4F55-9264-AFAAF5BE8E2F}" name="E_NET_RATING" dataDxfId="213"/>
    <tableColumn id="13" xr3:uid="{AD17A21A-3199-4F12-BCC1-C6C90E8F82E0}" name="NET_RATING" dataDxfId="212"/>
    <tableColumn id="14" xr3:uid="{94CD9EA8-8964-4435-8B00-5D588342735F}" name="AST_PCT" dataDxfId="211"/>
    <tableColumn id="15" xr3:uid="{9457B130-4462-465D-BAAE-D4288C9C8D56}" name="AST_TO" dataDxfId="210"/>
    <tableColumn id="16" xr3:uid="{53CC2162-F70C-48FE-9620-8C6764D17EFD}" name="AST_RATIO" dataDxfId="209"/>
    <tableColumn id="17" xr3:uid="{C2D75AE5-A640-4CB4-ABF6-00B1042B8B8A}" name="OREB_PCT" dataDxfId="208"/>
    <tableColumn id="18" xr3:uid="{EE8CB21C-BF73-4D7C-812C-DB17C8D95C79}" name="DREB_PCT" dataDxfId="207"/>
    <tableColumn id="19" xr3:uid="{22AAF15E-B3FE-45CB-BA91-5CFB0338C9F3}" name="REB_PCT" dataDxfId="206"/>
    <tableColumn id="20" xr3:uid="{B6AB1486-091B-42B7-8532-2E8F6EE171F3}" name="TM_TOV_PCT" dataDxfId="205"/>
    <tableColumn id="21" xr3:uid="{DAEA851E-943D-4DE9-A8F8-26AA402E33CA}" name="EFG_PCT" dataDxfId="204"/>
    <tableColumn id="22" xr3:uid="{2CB4777F-B511-46F3-92CF-85EE81199DFD}" name="TS_PCT" dataDxfId="203"/>
    <tableColumn id="23" xr3:uid="{CDA1F4E9-29A1-401F-B8B3-02440AEBAAA3}" name="E_PACE" dataDxfId="202"/>
    <tableColumn id="24" xr3:uid="{16F6EE3D-1B44-47AB-BBB9-77657538872E}" name="PACE" dataDxfId="201"/>
    <tableColumn id="25" xr3:uid="{924A5E4F-01D1-498D-B0D4-249E9A01BD01}" name="PACE_PER40" dataDxfId="200"/>
    <tableColumn id="26" xr3:uid="{E2550F03-EC2E-4220-9C59-C9A9A36147D9}" name="POSS" dataDxfId="199"/>
    <tableColumn id="27" xr3:uid="{55252E80-27FD-485A-B441-62860FDB862A}" name="PIE" dataDxfId="198"/>
    <tableColumn id="28" xr3:uid="{A1599D96-BABF-4F00-B6CD-4C32AEF469B7}" name="GP_RANK" dataDxfId="197"/>
    <tableColumn id="29" xr3:uid="{F0F8F3DA-9927-4F39-B82C-8BD4240772B1}" name="W_RANK" dataDxfId="196"/>
    <tableColumn id="30" xr3:uid="{FF0F3FDB-29B5-4F09-8F55-F2665861D51F}" name="L_RANK" dataDxfId="195"/>
    <tableColumn id="31" xr3:uid="{8A99C4A2-6D9C-48F2-B1E8-975FF4E271CD}" name="W_PCT_RANK" dataDxfId="194"/>
    <tableColumn id="32" xr3:uid="{9907B780-94E9-44EA-B0D4-6D45D1089C8B}" name="MIN_RANK" dataDxfId="193"/>
    <tableColumn id="33" xr3:uid="{C189E544-7030-48EE-9BA1-C20D8033B9D0}" name="OFF_RATING_RANK" dataDxfId="192"/>
    <tableColumn id="34" xr3:uid="{3FEC48FF-F7AE-47F7-83CA-3D9C9C13C462}" name="DEF_RATING_RANK" dataDxfId="191"/>
    <tableColumn id="35" xr3:uid="{50C14E29-BBBF-45ED-BC52-95D39616EAB9}" name="NET_RATING_RANK" dataDxfId="190"/>
    <tableColumn id="36" xr3:uid="{DFBC3C3F-B7DF-4B57-BB4E-D2EA54C6B3B3}" name="AST_PCT_RANK" dataDxfId="189"/>
    <tableColumn id="37" xr3:uid="{E7F21374-057B-4021-AB6C-3DFC06E2AF39}" name="AST_TO_RANK" dataDxfId="188"/>
    <tableColumn id="38" xr3:uid="{3A21E23E-7EED-4FE4-B4F7-8962E5E8AD64}" name="AST_RATIO_RANK" dataDxfId="187"/>
    <tableColumn id="39" xr3:uid="{7EA27B05-4374-4C9E-A629-1C2AA8DC3F90}" name="OREB_PCT_RANK" dataDxfId="186"/>
    <tableColumn id="40" xr3:uid="{BE9D6731-A884-4FC2-A83E-4EECE1CAD277}" name="DREB_PCT_RANK" dataDxfId="185"/>
    <tableColumn id="41" xr3:uid="{48BE4A0E-F8FF-4D54-B89C-7EAA1476DA35}" name="REB_PCT_RANK" dataDxfId="184"/>
    <tableColumn id="42" xr3:uid="{8B66171D-D81F-4D62-94DB-6BAA1779842A}" name="TM_TOV_PCT_RANK" dataDxfId="183"/>
    <tableColumn id="43" xr3:uid="{088CFC4B-CA32-415C-975E-2E5C21258C28}" name="EFG_PCT_RANK" dataDxfId="182"/>
    <tableColumn id="44" xr3:uid="{DBF99DB7-07DC-4DFB-8832-4E56C41CB5A1}" name="TS_PCT_RANK" dataDxfId="181"/>
    <tableColumn id="45" xr3:uid="{6E2B2525-4FC8-44AE-A895-222291BA1638}" name="PACE_RANK" dataDxfId="180"/>
    <tableColumn id="46" xr3:uid="{930BCB8D-36F6-4DE2-9A78-40E0861AE7DC}" name="PIE_RANK" dataDxfId="179"/>
    <tableColumn id="47" xr3:uid="{A7EF4728-495D-4AF0-9C33-B8A8AE732F73}" name="CFID" dataDxfId="178"/>
    <tableColumn id="48" xr3:uid="{D7A128EC-7608-4B7A-A431-28804E2B7759}" name="CFPARAMS" dataDxfId="17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0DB4D86-8571-4BD0-A03B-B1C6677174FD}" name="TableMiscN" displayName="TableMiscN" ref="A1:AD31" totalsRowShown="0" headerRowDxfId="145">
  <autoFilter ref="A1:AD31" xr:uid="{90DB4D86-8571-4BD0-A03B-B1C6677174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364FBF74-79CC-49B1-A0F7-2707F1971604}" name="TEAM_ID" dataDxfId="175"/>
    <tableColumn id="2" xr3:uid="{3EE9529B-7846-4037-8F4F-A9CDAC78E1A0}" name="TEAM_NAME" dataDxfId="174"/>
    <tableColumn id="3" xr3:uid="{2A3B8B92-3A95-4BDA-AAEB-7DCE8855C755}" name="GP" dataDxfId="173"/>
    <tableColumn id="4" xr3:uid="{9BC654B1-736A-4BD5-8FCF-999092CA8083}" name="W" dataDxfId="172"/>
    <tableColumn id="5" xr3:uid="{47C98416-E429-40B9-9F75-2B6C94447EB7}" name="L" dataDxfId="171"/>
    <tableColumn id="6" xr3:uid="{9B3B8CAC-AA6B-4F19-9C56-2144033699B7}" name="W_PCT" dataDxfId="170"/>
    <tableColumn id="7" xr3:uid="{779B68F7-BF03-467F-AB84-740F071CD661}" name="MIN" dataDxfId="169"/>
    <tableColumn id="8" xr3:uid="{552DEBF4-96E5-4B02-B1BC-A8F1F8804D24}" name="PTS_OFF_TOV" dataDxfId="168"/>
    <tableColumn id="9" xr3:uid="{1B2A6DD1-A0B1-4535-8CC7-C47E88C83796}" name="PTS_2ND_CHANCE" dataDxfId="167"/>
    <tableColumn id="10" xr3:uid="{1D001EC6-11AB-4C85-87A4-CA794129D385}" name="PTS_FB" dataDxfId="166"/>
    <tableColumn id="11" xr3:uid="{6F4D87B9-27ED-48C7-A796-6B7BB8D6980D}" name="PTS_PAINT" dataDxfId="165"/>
    <tableColumn id="12" xr3:uid="{A9C4FB1B-DC14-4CB6-99BD-DBC1F0DEB94E}" name="OPP_PTS_OFF_TOV" dataDxfId="164"/>
    <tableColumn id="13" xr3:uid="{D7A13EDF-5584-412B-8942-4643607BAAA7}" name="OPP_PTS_2ND_CHANCE" dataDxfId="163"/>
    <tableColumn id="14" xr3:uid="{B317BFAE-54E1-4B64-8350-848779108D5F}" name="OPP_PTS_FB" dataDxfId="162"/>
    <tableColumn id="15" xr3:uid="{B619F604-977D-43DE-9560-D1E8C19A13CC}" name="OPP_PTS_PAINT" dataDxfId="161"/>
    <tableColumn id="16" xr3:uid="{71B530BC-CA43-437B-A888-7FE8F8609DA6}" name="GP_RANK" dataDxfId="160"/>
    <tableColumn id="17" xr3:uid="{1248DAFA-22B2-45CD-8433-F86D92F28982}" name="W_RANK" dataDxfId="159"/>
    <tableColumn id="18" xr3:uid="{7C11211D-2758-47ED-970D-8BEF15FA527E}" name="L_RANK" dataDxfId="158"/>
    <tableColumn id="19" xr3:uid="{412ACAE2-4F77-492D-BEDA-61941C1B9130}" name="W_PCT_RANK" dataDxfId="157"/>
    <tableColumn id="20" xr3:uid="{30A9CC14-C9D3-4F9A-8009-11A87943CF9A}" name="MIN_RANK" dataDxfId="156"/>
    <tableColumn id="21" xr3:uid="{47FEE688-96AB-4110-9E0C-11724B96CFBC}" name="PTS_OFF_TOV_RANK" dataDxfId="155"/>
    <tableColumn id="22" xr3:uid="{0BAAF644-45B0-4206-B22D-CE2553CB6EA1}" name="PTS_2ND_CHANCE_RANK" dataDxfId="154"/>
    <tableColumn id="23" xr3:uid="{A910A403-0723-4D7E-B6D3-FD6AA28292AC}" name="PTS_FB_RANK" dataDxfId="153"/>
    <tableColumn id="24" xr3:uid="{0AA97477-A510-4676-A94E-9303BE8D3544}" name="PTS_PAINT_RANK" dataDxfId="152"/>
    <tableColumn id="25" xr3:uid="{DFA97E9B-10AB-4212-8267-AB048A468510}" name="OPP_PTS_OFF_TOV_RANK" dataDxfId="151"/>
    <tableColumn id="26" xr3:uid="{4B214D49-B9C8-42A0-8A74-CE9FFF9CDD8A}" name="OPP_PTS_2ND_CHANCE_RANK" dataDxfId="150"/>
    <tableColumn id="27" xr3:uid="{FF943BED-1541-4EA4-AAFD-FFBDF8C8D074}" name="OPP_PTS_FB_RANK" dataDxfId="149"/>
    <tableColumn id="28" xr3:uid="{A5440268-E37E-4F05-BB1E-AAC066ACBE50}" name="OPP_PTS_PAINT_RANK" dataDxfId="148"/>
    <tableColumn id="29" xr3:uid="{6C9A7100-22DB-4B24-9D99-CA91D95E7278}" name="CFID" dataDxfId="147"/>
    <tableColumn id="30" xr3:uid="{F275ECA4-C7A9-4BA3-A042-DACCDC86D502}" name="CFPARAMS" dataDxfId="1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B467B5-A418-4CB8-9169-ECC8AA6D7AE8}" name="TableFourFactorsN" displayName="TableFourFactorsN" ref="A1:AD31" totalsRowShown="0" headerRowDxfId="114">
  <autoFilter ref="A1:AD31" xr:uid="{B2B467B5-A418-4CB8-9169-ECC8AA6D7A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485B94C-AAA3-4BF1-9F17-92B6B952E087}" name="TEAM_ID" dataDxfId="144"/>
    <tableColumn id="2" xr3:uid="{9D8B42B9-7C53-40C5-BB2C-F50F1871FACF}" name="TEAM_NAME" dataDxfId="143"/>
    <tableColumn id="3" xr3:uid="{C50505EF-7257-4C5C-91A3-6773A8B73172}" name="GP" dataDxfId="142"/>
    <tableColumn id="4" xr3:uid="{B9989175-837C-43D1-B418-9A7E6E7F044A}" name="W" dataDxfId="141"/>
    <tableColumn id="5" xr3:uid="{CA4FEE53-4F33-4E0C-8652-424649B55929}" name="L" dataDxfId="140"/>
    <tableColumn id="6" xr3:uid="{FD0B612A-39A9-4109-A766-25A60EB20166}" name="W_PCT" dataDxfId="139"/>
    <tableColumn id="7" xr3:uid="{7BE93BA9-AAC0-4C2E-97D9-5A1773D35028}" name="MIN" dataDxfId="138"/>
    <tableColumn id="8" xr3:uid="{11411B14-57CB-4863-AD4F-1A3F3B2C92F8}" name="EFG_PCT" dataDxfId="137"/>
    <tableColumn id="9" xr3:uid="{DB1BEC5B-F9CF-4FE0-84D5-F17AC57CEF4A}" name="FTA_RATE" dataDxfId="136"/>
    <tableColumn id="10" xr3:uid="{14041F3C-A08F-40E8-88DF-302442D12A34}" name="TM_TOV_PCT" dataDxfId="135"/>
    <tableColumn id="11" xr3:uid="{9AFB5854-3DEC-4512-A9B3-9841F8F3EA23}" name="OREB_PCT" dataDxfId="134"/>
    <tableColumn id="12" xr3:uid="{DD6726A0-9AAB-43FD-81AD-5891BA82549A}" name="OPP_EFG_PCT" dataDxfId="133"/>
    <tableColumn id="13" xr3:uid="{922BEE76-FEAD-40B9-8956-9ED06A542224}" name="OPP_FTA_RATE" dataDxfId="132"/>
    <tableColumn id="14" xr3:uid="{3A18D0D4-2BAE-4DB8-8ACF-8866C0941948}" name="OPP_TOV_PCT" dataDxfId="131"/>
    <tableColumn id="15" xr3:uid="{01E2BF28-8781-4BCA-A6F5-A5490E7F5437}" name="OPP_OREB_PCT" dataDxfId="130"/>
    <tableColumn id="16" xr3:uid="{634A78F5-5427-4872-BCA9-230B01DA142C}" name="GP_RANK" dataDxfId="129"/>
    <tableColumn id="17" xr3:uid="{36F5AB28-E9BD-4E6D-A237-B16AA987C5A3}" name="W_RANK" dataDxfId="128"/>
    <tableColumn id="18" xr3:uid="{FACEEF15-FAAF-4538-8A93-6427361BB571}" name="L_RANK" dataDxfId="127"/>
    <tableColumn id="19" xr3:uid="{EA86664F-DD01-42B6-9F20-6229EA4EA306}" name="W_PCT_RANK" dataDxfId="126"/>
    <tableColumn id="20" xr3:uid="{D7CA5FBA-8E28-4EA7-A26B-49C212354C92}" name="MIN_RANK" dataDxfId="125"/>
    <tableColumn id="21" xr3:uid="{6405CD2E-BBCF-44B6-B6B9-176BB8E585A8}" name="EFG_PCT_RANK" dataDxfId="124"/>
    <tableColumn id="22" xr3:uid="{B8EB58F4-4579-4E1F-A471-2E25730A7B89}" name="FTA_RATE_RANK" dataDxfId="123"/>
    <tableColumn id="23" xr3:uid="{FBB7D3FC-7109-495D-AFE9-A2088449F08E}" name="TM_TOV_PCT_RANK" dataDxfId="122"/>
    <tableColumn id="24" xr3:uid="{0D725E3B-C6C8-4636-83E5-8D61F5F9152C}" name="OREB_PCT_RANK" dataDxfId="121"/>
    <tableColumn id="25" xr3:uid="{7EA0D516-F4A5-4445-8915-53DC703207F8}" name="OPP_EFG_PCT_RANK" dataDxfId="120"/>
    <tableColumn id="26" xr3:uid="{AD8A4BD8-9008-4D30-AA25-9E390C6E22D2}" name="OPP_FTA_RATE_RANK" dataDxfId="119"/>
    <tableColumn id="27" xr3:uid="{055C72AF-DE33-4FEE-85BB-B67D264C152E}" name="OPP_TOV_PCT_RANK" dataDxfId="118"/>
    <tableColumn id="28" xr3:uid="{A73AD9A5-156D-4ADA-8075-9B115935A053}" name="OPP_OREB_PCT_RANK" dataDxfId="117"/>
    <tableColumn id="29" xr3:uid="{555B3C75-DCC2-4DFC-BDB9-DC7022ADDD16}" name="CFID" dataDxfId="116"/>
    <tableColumn id="30" xr3:uid="{9D91B287-7E88-4872-96BD-398D9C3F6581}" name="CFPARAMS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450D86-E96F-4078-A0B5-2CD518B7B30B}" name="TableOppBaseN" displayName="TableOppBaseN" ref="A1:BD31" totalsRowShown="0" headerRowDxfId="57">
  <autoFilter ref="A1:BD31" xr:uid="{6B450D86-E96F-4078-A0B5-2CD518B7B3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FC7BD15-8C06-4C22-A806-E6C50FB4B45D}" name="TEAM_ID" dataDxfId="113"/>
    <tableColumn id="2" xr3:uid="{26278542-5341-4903-BA4D-E3CF91762DE0}" name="TEAM_NAME" dataDxfId="112"/>
    <tableColumn id="3" xr3:uid="{644BF2A5-A7B4-456B-83B1-E588E1FC3ACC}" name="GP" dataDxfId="111"/>
    <tableColumn id="4" xr3:uid="{9BF59319-B36D-41F8-A144-1600458BE906}" name="W" dataDxfId="110"/>
    <tableColumn id="5" xr3:uid="{6D23381B-D2F1-4143-8FD1-3D007DB96594}" name="L" dataDxfId="109"/>
    <tableColumn id="6" xr3:uid="{6370E105-67D9-4294-A311-69FAD4FF4ED6}" name="W_PCT" dataDxfId="108"/>
    <tableColumn id="7" xr3:uid="{E8B0B153-5B10-4003-849A-DF1964790AAC}" name="MIN" dataDxfId="107"/>
    <tableColumn id="8" xr3:uid="{D64DED5B-45BB-4CC0-BD76-AF2A7F45A516}" name="OPP_FGM" dataDxfId="106"/>
    <tableColumn id="9" xr3:uid="{2C4D1D87-087D-4E02-99DE-CD9A3D9E4A94}" name="OPP_FGA" dataDxfId="105"/>
    <tableColumn id="10" xr3:uid="{25DE5683-10AB-4BC5-B0E4-F7734FD127CF}" name="OPP_FG_PCT" dataDxfId="104"/>
    <tableColumn id="11" xr3:uid="{16A5AA33-EFE6-4EB8-BFB6-FE9458977D94}" name="OPP_FG3M" dataDxfId="103"/>
    <tableColumn id="12" xr3:uid="{BCCB18E2-4C3C-4E33-BF07-6EF1877FA7A9}" name="OPP_FG3A" dataDxfId="102"/>
    <tableColumn id="13" xr3:uid="{86B2CAFE-E05A-4622-B9EA-CE53E6D203BC}" name="OPP_FG3_PCT" dataDxfId="101"/>
    <tableColumn id="14" xr3:uid="{3F69D03F-7956-49D0-87E9-B1C39C439C34}" name="OPP_FTM" dataDxfId="100"/>
    <tableColumn id="15" xr3:uid="{86848557-D106-4BC0-853D-6E251BDABD60}" name="OPP_FTA" dataDxfId="99"/>
    <tableColumn id="16" xr3:uid="{1D5DA6EB-DC04-42D5-AD50-E3CC7EFA5C64}" name="OPP_FT_PCT" dataDxfId="98"/>
    <tableColumn id="17" xr3:uid="{091EC6F6-E77B-4111-8D07-7EE53903665A}" name="OPP_OREB" dataDxfId="97"/>
    <tableColumn id="18" xr3:uid="{BC4BA507-27A3-447B-BA8A-03FC7AB7A064}" name="OPP_DREB" dataDxfId="96"/>
    <tableColumn id="19" xr3:uid="{66B3000B-6D47-497B-8047-3BCF2C091A72}" name="OPP_REB" dataDxfId="95"/>
    <tableColumn id="20" xr3:uid="{47274255-8427-4FD7-BEC3-4B779F04F617}" name="OPP_AST" dataDxfId="94"/>
    <tableColumn id="21" xr3:uid="{321CA35F-2FDC-4210-A94D-7EA89B798E6F}" name="OPP_TOV" dataDxfId="93"/>
    <tableColumn id="22" xr3:uid="{4F691AE0-47F3-4E3F-8056-E24B55D1D76A}" name="OPP_STL" dataDxfId="92"/>
    <tableColumn id="23" xr3:uid="{58575613-BE81-4BEE-BA21-F5572F93164A}" name="OPP_BLK" dataDxfId="91"/>
    <tableColumn id="24" xr3:uid="{A15FBC17-5AFB-440E-AC28-C815AA864C18}" name="OPP_BLKA" dataDxfId="90"/>
    <tableColumn id="25" xr3:uid="{70B95FAF-D658-4891-9475-3E2FA9ACB8CC}" name="OPP_PF" dataDxfId="89"/>
    <tableColumn id="26" xr3:uid="{3351653A-AA9A-4C4E-A537-7D564495C522}" name="OPP_PFD" dataDxfId="88"/>
    <tableColumn id="27" xr3:uid="{E44B2A01-13B9-4E3B-834D-DAA65F5B299C}" name="OPP_PTS" dataDxfId="87"/>
    <tableColumn id="28" xr3:uid="{461C9FCC-CB8E-4C59-A7B2-EF27D2826E85}" name="PLUS_MINUS" dataDxfId="86"/>
    <tableColumn id="29" xr3:uid="{462DCD79-5C1C-45C2-88FC-45955D3C4857}" name="GP_RANK" dataDxfId="85"/>
    <tableColumn id="30" xr3:uid="{75112657-A2B1-4A95-8583-3264091FC99B}" name="W_RANK" dataDxfId="84"/>
    <tableColumn id="31" xr3:uid="{072B4E9E-EBC9-4600-98D9-61A6298D4C9F}" name="L_RANK" dataDxfId="83"/>
    <tableColumn id="32" xr3:uid="{4F547679-3945-4DDD-864F-F62F5C7AF70B}" name="W_PCT_RANK" dataDxfId="82"/>
    <tableColumn id="33" xr3:uid="{4A257DD7-06F7-4032-8196-4ABEAE3051E8}" name="MIN_RANK" dataDxfId="81"/>
    <tableColumn id="34" xr3:uid="{ABF92F21-8FFF-431A-89FD-BE37DE73F50C}" name="OPP_FGM_RANK" dataDxfId="80"/>
    <tableColumn id="35" xr3:uid="{8F710BD2-3EF9-44E2-AAE8-D4F6AE90688F}" name="OPP_FGA_RANK" dataDxfId="79"/>
    <tableColumn id="36" xr3:uid="{D41B0876-D669-4FDD-B391-FBCEFD86E283}" name="OPP_FG_PCT_RANK" dataDxfId="78"/>
    <tableColumn id="37" xr3:uid="{E9BE4961-E184-4E77-81C3-D1F04C9F68CE}" name="OPP_FG3M_RANK" dataDxfId="77"/>
    <tableColumn id="38" xr3:uid="{63945156-9494-45EF-A886-4FD753F8601B}" name="OPP_FG3A_RANK" dataDxfId="76"/>
    <tableColumn id="39" xr3:uid="{A9702317-1B91-406D-AFB5-4975D533F583}" name="OPP_FG3_PCT_RANK" dataDxfId="75"/>
    <tableColumn id="40" xr3:uid="{03D1C75A-EE11-4FFA-9B8F-2BB455486E36}" name="OPP_FTM_RANK" dataDxfId="74"/>
    <tableColumn id="41" xr3:uid="{773EFFDA-54CB-487E-93BF-AE8BAD0202A5}" name="OPP_FTA_RANK" dataDxfId="73"/>
    <tableColumn id="42" xr3:uid="{97C368EF-63D1-4079-B4DA-254F791CB49D}" name="OPP_FT_PCT_RANK" dataDxfId="72"/>
    <tableColumn id="43" xr3:uid="{E5B0FDED-8DE4-4F5B-939A-6EA05F0D6A82}" name="OPP_OREB_RANK" dataDxfId="71"/>
    <tableColumn id="44" xr3:uid="{009AB613-2A11-4DB0-9E9E-B9ADCA5177E2}" name="OPP_DREB_RANK" dataDxfId="70"/>
    <tableColumn id="45" xr3:uid="{0918D229-E7D8-434C-B3B0-479198135739}" name="OPP_REB_RANK" dataDxfId="69"/>
    <tableColumn id="46" xr3:uid="{8A7B3042-D087-4CE4-80AC-8C3E104299D7}" name="OPP_AST_RANK" dataDxfId="68"/>
    <tableColumn id="47" xr3:uid="{E5A2675E-A404-4A47-9440-CCDDD5409C2F}" name="OPP_TOV_RANK" dataDxfId="67"/>
    <tableColumn id="48" xr3:uid="{6208245C-81B5-4ACC-A3C0-4F2296A33DFD}" name="OPP_STL_RANK" dataDxfId="66"/>
    <tableColumn id="49" xr3:uid="{8059DD81-C22F-421A-80AE-AF80B83DA6BB}" name="OPP_BLK_RANK" dataDxfId="65"/>
    <tableColumn id="50" xr3:uid="{4F177FC4-96D8-4366-92CE-01A620273D78}" name="OPP_BLKA_RANK" dataDxfId="64"/>
    <tableColumn id="51" xr3:uid="{1374FCD6-FA52-44ED-AE2D-B2CF513F7EA2}" name="OPP_PF_RANK" dataDxfId="63"/>
    <tableColumn id="52" xr3:uid="{31E01892-F570-4540-BC77-84DF9BB0EC3A}" name="OPP_PFD_RANK" dataDxfId="62"/>
    <tableColumn id="53" xr3:uid="{8F8F2785-1ED1-41A3-B231-2111DFCE024E}" name="OPP_PTS_RANK" dataDxfId="61"/>
    <tableColumn id="54" xr3:uid="{2FC7C2DF-0417-4EEF-8B2C-0AD31E8ABD35}" name="PLUS_MINUS_RANK" dataDxfId="60"/>
    <tableColumn id="55" xr3:uid="{0CD01AF0-B7C3-4C19-80E0-1DE81F068B30}" name="CFID" dataDxfId="59"/>
    <tableColumn id="56" xr3:uid="{B43CD4C5-F0C5-4BB4-893B-712F4EB37C86}" name="CFPARAMS" dataDxfId="5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4799EEB-2389-4110-AECF-7344B1B401F5}" name="TableClutchBasePerGameN" displayName="TableClutchBasePerGameN" ref="A1:BD14" totalsRowShown="0" headerRowDxfId="0">
  <autoFilter ref="A1:BD14" xr:uid="{94799EEB-2389-4110-AECF-7344B1B401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BE26AB5-0D27-41AC-ACCA-EC17F6398668}" name="TEAM_ID" dataDxfId="56"/>
    <tableColumn id="2" xr3:uid="{7A942F46-61C1-49B0-9640-D6DFBC8F5A16}" name="TEAM_NAME" dataDxfId="55"/>
    <tableColumn id="3" xr3:uid="{D8A1F566-5B2B-40C4-9A66-F10D26FAF922}" name="GP" dataDxfId="54"/>
    <tableColumn id="4" xr3:uid="{550A8172-A27A-498C-AE12-D0567F195A59}" name="W" dataDxfId="53"/>
    <tableColumn id="5" xr3:uid="{DA5A2E18-3386-48C2-AC86-FA2B58209A6A}" name="L" dataDxfId="52"/>
    <tableColumn id="6" xr3:uid="{F7B54B43-185E-4097-9C82-BA5617EB3F5D}" name="W_PCT" dataDxfId="51"/>
    <tableColumn id="7" xr3:uid="{224324A9-87C0-4401-BE51-6C3D9678204E}" name="MIN" dataDxfId="50"/>
    <tableColumn id="8" xr3:uid="{29875D24-6BAF-431B-B5B7-6A48E989CE6D}" name="FGM" dataDxfId="49"/>
    <tableColumn id="9" xr3:uid="{57DA32A9-64A2-40C5-950C-217E6744A6E7}" name="FGA" dataDxfId="48"/>
    <tableColumn id="10" xr3:uid="{0C6EF06B-0E9A-4825-A42E-25E5DFF24D38}" name="FG_PCT" dataDxfId="47"/>
    <tableColumn id="11" xr3:uid="{4A50E878-34D0-4E37-8A5F-C24B5514D0F4}" name="FG3M" dataDxfId="46"/>
    <tableColumn id="12" xr3:uid="{90274BF2-53AA-4A15-93EE-9B087345B6CB}" name="FG3A" dataDxfId="45"/>
    <tableColumn id="13" xr3:uid="{814C6271-9CEE-4233-85DF-46B9B54C3F1B}" name="FG3_PCT" dataDxfId="44"/>
    <tableColumn id="14" xr3:uid="{FF6F87CE-7985-460E-813E-32F412B18C8A}" name="FTM" dataDxfId="43"/>
    <tableColumn id="15" xr3:uid="{E196516F-93C3-42CA-BF91-72D6247EC073}" name="FTA" dataDxfId="42"/>
    <tableColumn id="16" xr3:uid="{D0897BD1-2137-48C8-B8BF-3FB0E12E0AD0}" name="FT_PCT" dataDxfId="41"/>
    <tableColumn id="17" xr3:uid="{D5E6649F-486F-4B79-80CD-4E8D45A86F3A}" name="OREB" dataDxfId="40"/>
    <tableColumn id="18" xr3:uid="{EC083D24-B0E0-46E1-B6C6-F098965262AC}" name="DREB" dataDxfId="39"/>
    <tableColumn id="19" xr3:uid="{0BDE3178-2C9E-464E-95BB-3E4071913CD6}" name="REB" dataDxfId="38"/>
    <tableColumn id="20" xr3:uid="{5A7CCB9C-C933-4008-A770-A3686FD66FD3}" name="AST" dataDxfId="37"/>
    <tableColumn id="21" xr3:uid="{DBDD31A4-F1F3-4AB4-B1BB-D15793D49AB2}" name="TOV" dataDxfId="36"/>
    <tableColumn id="22" xr3:uid="{8F6A6913-6E05-42A0-8A75-3D8C1028EB59}" name="STL" dataDxfId="35"/>
    <tableColumn id="23" xr3:uid="{EF1F15BD-AF16-40D6-8C5E-C83799943696}" name="BLK" dataDxfId="34"/>
    <tableColumn id="24" xr3:uid="{C8370E45-4E96-4013-A9A7-62C3D08789E5}" name="BLKA" dataDxfId="33"/>
    <tableColumn id="25" xr3:uid="{7A35C8AD-48DA-4404-AEC4-DB9B97E7F77F}" name="PF" dataDxfId="32"/>
    <tableColumn id="26" xr3:uid="{16310E23-E46A-46E4-910F-1671A8DD7A23}" name="PFD" dataDxfId="31"/>
    <tableColumn id="27" xr3:uid="{FAA5904C-CF00-4AC1-A59E-5D3DEF6F086E}" name="PTS" dataDxfId="30"/>
    <tableColumn id="28" xr3:uid="{8BF21813-7508-402C-9055-6DD19B7FFCED}" name="PLUS_MINUS" dataDxfId="29"/>
    <tableColumn id="29" xr3:uid="{0C256DA2-1AF7-45D3-BB63-81320F44EE11}" name="GP_RANK" dataDxfId="28"/>
    <tableColumn id="30" xr3:uid="{28D75E13-248D-49E8-B019-03DA24F4A8E8}" name="W_RANK" dataDxfId="27"/>
    <tableColumn id="31" xr3:uid="{731854FA-8965-48A1-91A9-9393E861F32B}" name="L_RANK" dataDxfId="26"/>
    <tableColumn id="32" xr3:uid="{7B68FCFB-BADC-4FEF-9CC9-C12D87C17C86}" name="W_PCT_RANK" dataDxfId="25"/>
    <tableColumn id="33" xr3:uid="{C1A29778-4E29-4DCF-B055-D31382F9CAD7}" name="MIN_RANK" dataDxfId="24"/>
    <tableColumn id="34" xr3:uid="{EDA0E069-275A-4FF8-8D14-54D7257B1947}" name="FGM_RANK" dataDxfId="23"/>
    <tableColumn id="35" xr3:uid="{3FCA4AFF-C4A3-4ADB-AAF5-F065219AF439}" name="FGA_RANK" dataDxfId="22"/>
    <tableColumn id="36" xr3:uid="{C367F3ED-1CA2-4C80-AF80-BBBBC9336F36}" name="FG_PCT_RANK" dataDxfId="21"/>
    <tableColumn id="37" xr3:uid="{97472EFF-2C0A-4585-A157-A0069C51E03E}" name="FG3M_RANK" dataDxfId="20"/>
    <tableColumn id="38" xr3:uid="{7964DC42-D079-4187-A321-3F016F5416B2}" name="FG3A_RANK" dataDxfId="19"/>
    <tableColumn id="39" xr3:uid="{BE1E8720-32EB-4ACA-B009-FC5346B7F797}" name="FG3_PCT_RANK" dataDxfId="18"/>
    <tableColumn id="40" xr3:uid="{33F034A5-8D78-450D-B4E6-0AEC7F850E20}" name="FTM_RANK" dataDxfId="17"/>
    <tableColumn id="41" xr3:uid="{DE9A6D02-5551-419A-9789-6E6347BBFC54}" name="FTA_RANK" dataDxfId="16"/>
    <tableColumn id="42" xr3:uid="{82547091-C58B-43AF-BCBD-9FB773D8C430}" name="FT_PCT_RANK" dataDxfId="15"/>
    <tableColumn id="43" xr3:uid="{6B8D0564-E20F-4166-988A-F218588EAA1B}" name="OREB_RANK" dataDxfId="14"/>
    <tableColumn id="44" xr3:uid="{984F1994-5B3D-4777-9C19-B15B3411548D}" name="DREB_RANK" dataDxfId="13"/>
    <tableColumn id="45" xr3:uid="{7BC54A9C-A319-4EE3-8F02-BA96426AEA26}" name="REB_RANK" dataDxfId="12"/>
    <tableColumn id="46" xr3:uid="{64D477B3-ACB2-47EB-81D1-D7C8EC67FFF9}" name="AST_RANK" dataDxfId="11"/>
    <tableColumn id="47" xr3:uid="{E8FB61CA-9F3C-4E05-8D62-8201A4AD69D4}" name="TOV_RANK" dataDxfId="10"/>
    <tableColumn id="48" xr3:uid="{D65F24D3-6CFB-43C4-8D82-FDB6CE92B714}" name="STL_RANK" dataDxfId="9"/>
    <tableColumn id="49" xr3:uid="{EBF957FC-2250-4367-96B4-4484FEB36B39}" name="BLK_RANK" dataDxfId="8"/>
    <tableColumn id="50" xr3:uid="{F6482E7B-760A-4A9F-9031-228FDDF321A5}" name="BLKA_RANK" dataDxfId="7"/>
    <tableColumn id="51" xr3:uid="{F9809722-B47A-44A9-923F-D0499D4BC1A5}" name="PF_RANK" dataDxfId="6"/>
    <tableColumn id="52" xr3:uid="{46883338-669D-4C64-98C7-6458562CC027}" name="PFD_RANK" dataDxfId="5"/>
    <tableColumn id="53" xr3:uid="{C82423EE-C240-4861-9277-DCB7A5A07F0B}" name="PTS_RANK" dataDxfId="4"/>
    <tableColumn id="54" xr3:uid="{F6CF0E86-0C2C-41D1-BC71-696B03BB87AD}" name="PLUS_MINUS_RANK" dataDxfId="3"/>
    <tableColumn id="55" xr3:uid="{1FC1CF24-E66C-4479-AE47-593C93FE320D}" name="CFID" dataDxfId="2"/>
    <tableColumn id="56" xr3:uid="{3D4E7913-BB51-44ED-B66C-5657B0644D90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D2" sqref="D2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86</v>
      </c>
      <c r="F2" s="23" t="s">
        <v>65</v>
      </c>
    </row>
    <row r="3" spans="2:6" x14ac:dyDescent="0.25">
      <c r="F3" s="23" t="s">
        <v>76</v>
      </c>
    </row>
    <row r="4" spans="2:6" x14ac:dyDescent="0.25">
      <c r="F4" s="23" t="s">
        <v>66</v>
      </c>
    </row>
    <row r="5" spans="2:6" x14ac:dyDescent="0.25">
      <c r="F5" s="23" t="s">
        <v>91</v>
      </c>
    </row>
    <row r="6" spans="2:6" x14ac:dyDescent="0.25">
      <c r="F6" s="23" t="s">
        <v>68</v>
      </c>
    </row>
    <row r="7" spans="2:6" x14ac:dyDescent="0.25">
      <c r="F7" s="23" t="s">
        <v>92</v>
      </c>
    </row>
    <row r="8" spans="2:6" x14ac:dyDescent="0.25">
      <c r="F8" s="23" t="s">
        <v>69</v>
      </c>
    </row>
    <row r="9" spans="2:6" x14ac:dyDescent="0.25">
      <c r="F9" s="23" t="s">
        <v>70</v>
      </c>
    </row>
    <row r="10" spans="2:6" x14ac:dyDescent="0.25">
      <c r="F10" s="23" t="s">
        <v>90</v>
      </c>
    </row>
    <row r="11" spans="2:6" x14ac:dyDescent="0.25">
      <c r="F11" s="23" t="s">
        <v>93</v>
      </c>
    </row>
    <row r="12" spans="2:6" x14ac:dyDescent="0.25">
      <c r="F12" s="23" t="s">
        <v>71</v>
      </c>
    </row>
    <row r="13" spans="2:6" x14ac:dyDescent="0.25">
      <c r="F13" s="23" t="s">
        <v>79</v>
      </c>
    </row>
    <row r="14" spans="2:6" x14ac:dyDescent="0.25">
      <c r="F14" s="23" t="s">
        <v>72</v>
      </c>
    </row>
    <row r="15" spans="2:6" x14ac:dyDescent="0.25">
      <c r="F15" s="23" t="s">
        <v>73</v>
      </c>
    </row>
    <row r="16" spans="2:6" x14ac:dyDescent="0.25">
      <c r="F16" s="23" t="s">
        <v>88</v>
      </c>
    </row>
    <row r="17" spans="6:6" x14ac:dyDescent="0.25">
      <c r="F17" s="23" t="s">
        <v>74</v>
      </c>
    </row>
    <row r="18" spans="6:6" x14ac:dyDescent="0.25">
      <c r="F18" s="23" t="s">
        <v>75</v>
      </c>
    </row>
    <row r="19" spans="6:6" x14ac:dyDescent="0.25">
      <c r="F19" s="23" t="s">
        <v>64</v>
      </c>
    </row>
    <row r="20" spans="6:6" x14ac:dyDescent="0.25">
      <c r="F20" s="23" t="s">
        <v>67</v>
      </c>
    </row>
    <row r="21" spans="6:6" x14ac:dyDescent="0.25">
      <c r="F21" s="23" t="s">
        <v>77</v>
      </c>
    </row>
    <row r="22" spans="6:6" x14ac:dyDescent="0.25">
      <c r="F22" s="23" t="s">
        <v>85</v>
      </c>
    </row>
    <row r="23" spans="6:6" x14ac:dyDescent="0.25">
      <c r="F23" s="23" t="s">
        <v>78</v>
      </c>
    </row>
    <row r="24" spans="6:6" x14ac:dyDescent="0.25">
      <c r="F24" s="23" t="s">
        <v>80</v>
      </c>
    </row>
    <row r="25" spans="6:6" x14ac:dyDescent="0.25">
      <c r="F25" s="23" t="s">
        <v>81</v>
      </c>
    </row>
    <row r="26" spans="6:6" x14ac:dyDescent="0.25">
      <c r="F26" s="23" t="s">
        <v>82</v>
      </c>
    </row>
    <row r="27" spans="6:6" x14ac:dyDescent="0.25">
      <c r="F27" s="23" t="s">
        <v>83</v>
      </c>
    </row>
    <row r="28" spans="6:6" x14ac:dyDescent="0.25">
      <c r="F28" s="23" t="s">
        <v>84</v>
      </c>
    </row>
    <row r="29" spans="6:6" x14ac:dyDescent="0.25">
      <c r="F29" s="23" t="s">
        <v>86</v>
      </c>
    </row>
    <row r="30" spans="6:6" x14ac:dyDescent="0.25">
      <c r="F30" s="23" t="s">
        <v>87</v>
      </c>
    </row>
    <row r="31" spans="6:6" x14ac:dyDescent="0.25">
      <c r="F31" s="23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2"/>
  <sheetViews>
    <sheetView workbookViewId="0">
      <selection activeCell="C3" sqref="C3:G7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 t="s">
        <v>407</v>
      </c>
      <c r="C2" s="15" t="str">
        <f xml:space="preserve"> GetSeason(1)</f>
        <v>2020-21</v>
      </c>
      <c r="D2" s="15" t="s">
        <v>4</v>
      </c>
      <c r="E2" s="15"/>
      <c r="F2" s="15" t="str">
        <f xml:space="preserve"> GetSeason(0)</f>
        <v>2021-22</v>
      </c>
      <c r="G2" s="15" t="s">
        <v>4</v>
      </c>
    </row>
    <row r="3" spans="1:7" x14ac:dyDescent="0.25">
      <c r="A3" s="28" t="s">
        <v>63</v>
      </c>
      <c r="B3" s="5" t="s">
        <v>5</v>
      </c>
      <c r="C3" s="1"/>
      <c r="D3" s="2"/>
      <c r="F3" s="1" t="s">
        <v>377</v>
      </c>
      <c r="G3" s="2">
        <v>12</v>
      </c>
    </row>
    <row r="4" spans="1:7" x14ac:dyDescent="0.25">
      <c r="A4" s="28"/>
      <c r="B4" s="5" t="s">
        <v>6</v>
      </c>
      <c r="C4" s="11"/>
      <c r="F4" s="11">
        <v>0</v>
      </c>
    </row>
    <row r="5" spans="1:7" x14ac:dyDescent="0.25">
      <c r="A5" s="28"/>
      <c r="B5" s="5" t="s">
        <v>7</v>
      </c>
      <c r="C5" s="1"/>
      <c r="F5" s="1" t="s">
        <v>375</v>
      </c>
    </row>
    <row r="6" spans="1:7" x14ac:dyDescent="0.25">
      <c r="A6" s="28"/>
      <c r="B6" s="5" t="s">
        <v>2</v>
      </c>
      <c r="C6" s="1"/>
      <c r="F6" s="1" t="s">
        <v>375</v>
      </c>
    </row>
    <row r="7" spans="1:7" x14ac:dyDescent="0.25">
      <c r="A7" s="28"/>
      <c r="B7" s="5" t="s">
        <v>3</v>
      </c>
      <c r="C7" s="1"/>
      <c r="F7" s="1" t="s">
        <v>335</v>
      </c>
    </row>
    <row r="8" spans="1:7" x14ac:dyDescent="0.25">
      <c r="A8" s="28"/>
      <c r="B8" s="5" t="s">
        <v>0</v>
      </c>
      <c r="C8" s="1"/>
      <c r="F8" s="1" t="s">
        <v>377</v>
      </c>
    </row>
    <row r="9" spans="1:7" x14ac:dyDescent="0.25">
      <c r="A9" s="28"/>
      <c r="B9" s="5" t="s">
        <v>1</v>
      </c>
      <c r="C9" s="1"/>
      <c r="F9" s="1" t="s">
        <v>331</v>
      </c>
    </row>
    <row r="10" spans="1:7" x14ac:dyDescent="0.25">
      <c r="B10" s="12"/>
      <c r="C10" s="1"/>
      <c r="F10" s="1"/>
    </row>
    <row r="11" spans="1:7" x14ac:dyDescent="0.25">
      <c r="A11" s="28" t="s">
        <v>62</v>
      </c>
      <c r="B11" s="14" t="s">
        <v>26</v>
      </c>
      <c r="C11" s="9"/>
      <c r="D11" s="3"/>
      <c r="F11" s="9">
        <v>0.309</v>
      </c>
      <c r="G11" s="3">
        <v>30</v>
      </c>
    </row>
    <row r="12" spans="1:7" x14ac:dyDescent="0.25">
      <c r="A12" s="28"/>
      <c r="B12" s="14" t="s">
        <v>36</v>
      </c>
      <c r="C12" s="8"/>
      <c r="D12" s="3"/>
      <c r="F12" s="8">
        <v>30</v>
      </c>
      <c r="G12" s="3">
        <v>30</v>
      </c>
    </row>
    <row r="13" spans="1:7" x14ac:dyDescent="0.25">
      <c r="A13" s="28"/>
      <c r="B13" s="14" t="s">
        <v>37</v>
      </c>
      <c r="C13" s="8"/>
      <c r="D13" s="3"/>
      <c r="F13" s="8">
        <v>97</v>
      </c>
      <c r="G13" s="3">
        <v>6</v>
      </c>
    </row>
    <row r="14" spans="1:7" x14ac:dyDescent="0.25">
      <c r="A14" s="28"/>
      <c r="B14" s="14" t="s">
        <v>27</v>
      </c>
      <c r="C14" s="9"/>
      <c r="D14" s="3"/>
      <c r="F14" s="9">
        <v>0.20599999999999999</v>
      </c>
      <c r="G14" s="3">
        <v>28</v>
      </c>
    </row>
    <row r="15" spans="1:7" x14ac:dyDescent="0.25">
      <c r="A15" s="28"/>
      <c r="B15" s="14" t="s">
        <v>38</v>
      </c>
      <c r="C15" s="8"/>
      <c r="D15" s="3"/>
      <c r="F15" s="8">
        <v>7</v>
      </c>
      <c r="G15" s="3">
        <v>26</v>
      </c>
    </row>
    <row r="16" spans="1:7" x14ac:dyDescent="0.25">
      <c r="A16" s="28"/>
      <c r="B16" s="14" t="s">
        <v>39</v>
      </c>
      <c r="C16" s="8"/>
      <c r="D16" s="3"/>
      <c r="F16" s="8">
        <v>34</v>
      </c>
      <c r="G16" s="3">
        <v>19</v>
      </c>
    </row>
    <row r="17" spans="1:7" x14ac:dyDescent="0.25">
      <c r="A17" s="28"/>
      <c r="B17" s="14" t="s">
        <v>28</v>
      </c>
      <c r="C17" s="9"/>
      <c r="D17" s="3"/>
      <c r="F17" s="9">
        <v>0.72699999999999998</v>
      </c>
      <c r="G17" s="3">
        <v>16</v>
      </c>
    </row>
    <row r="18" spans="1:7" x14ac:dyDescent="0.25">
      <c r="A18" s="28"/>
      <c r="B18" s="14" t="s">
        <v>41</v>
      </c>
      <c r="C18" s="8"/>
      <c r="D18" s="3"/>
      <c r="F18" s="8">
        <v>16</v>
      </c>
      <c r="G18" s="3">
        <v>13</v>
      </c>
    </row>
    <row r="19" spans="1:7" x14ac:dyDescent="0.25">
      <c r="A19" s="28"/>
      <c r="B19" s="14" t="s">
        <v>40</v>
      </c>
      <c r="C19" s="8"/>
      <c r="D19" s="3"/>
      <c r="F19" s="8">
        <v>22</v>
      </c>
      <c r="G19" s="3">
        <v>13</v>
      </c>
    </row>
    <row r="20" spans="1:7" x14ac:dyDescent="0.25">
      <c r="A20" s="28"/>
      <c r="B20" s="14" t="s">
        <v>29</v>
      </c>
      <c r="C20" s="8"/>
      <c r="D20" s="3"/>
      <c r="F20" s="8">
        <v>14</v>
      </c>
      <c r="G20" s="3">
        <v>30</v>
      </c>
    </row>
    <row r="21" spans="1:7" x14ac:dyDescent="0.25">
      <c r="A21" s="28"/>
      <c r="B21" s="14" t="s">
        <v>30</v>
      </c>
      <c r="C21" s="8"/>
      <c r="D21" s="3"/>
      <c r="F21" s="8">
        <v>19</v>
      </c>
      <c r="G21" s="3">
        <v>25</v>
      </c>
    </row>
    <row r="22" spans="1:7" x14ac:dyDescent="0.25">
      <c r="A22" s="28"/>
      <c r="B22" s="14" t="s">
        <v>32</v>
      </c>
      <c r="C22" s="8"/>
      <c r="D22" s="3"/>
      <c r="F22" s="8">
        <v>54</v>
      </c>
      <c r="G22" s="3">
        <v>5</v>
      </c>
    </row>
    <row r="23" spans="1:7" x14ac:dyDescent="0.25">
      <c r="A23" s="28"/>
      <c r="B23" s="14" t="s">
        <v>31</v>
      </c>
      <c r="C23" s="8"/>
      <c r="D23" s="3"/>
      <c r="F23" s="8">
        <v>19</v>
      </c>
      <c r="G23" s="3">
        <v>1</v>
      </c>
    </row>
    <row r="24" spans="1:7" x14ac:dyDescent="0.25">
      <c r="A24" s="28"/>
      <c r="B24" s="14" t="s">
        <v>33</v>
      </c>
      <c r="C24" s="8"/>
      <c r="D24" s="3"/>
      <c r="F24" s="8">
        <v>35</v>
      </c>
      <c r="G24" s="3">
        <v>20</v>
      </c>
    </row>
    <row r="25" spans="1:7" x14ac:dyDescent="0.25">
      <c r="A25" s="28"/>
      <c r="B25" s="14" t="s">
        <v>34</v>
      </c>
      <c r="C25" s="8"/>
      <c r="D25" s="3"/>
      <c r="F25" s="8">
        <v>10</v>
      </c>
      <c r="G25" s="3">
        <v>5</v>
      </c>
    </row>
    <row r="26" spans="1:7" x14ac:dyDescent="0.25">
      <c r="A26" s="28"/>
      <c r="B26" s="14" t="s">
        <v>35</v>
      </c>
      <c r="C26" s="8"/>
      <c r="D26" s="3"/>
      <c r="F26" s="8">
        <v>4</v>
      </c>
      <c r="G26" s="3">
        <v>19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8" t="s">
        <v>61</v>
      </c>
      <c r="B28" s="16" t="s">
        <v>42</v>
      </c>
      <c r="C28" s="9"/>
      <c r="D28" s="3"/>
      <c r="F28" s="9">
        <v>0.44400000000000001</v>
      </c>
      <c r="G28" s="3">
        <v>14</v>
      </c>
    </row>
    <row r="29" spans="1:7" x14ac:dyDescent="0.25">
      <c r="A29" s="28"/>
      <c r="B29" s="17" t="s">
        <v>43</v>
      </c>
      <c r="C29" s="9"/>
      <c r="D29" s="3"/>
      <c r="F29" s="9">
        <v>0.185</v>
      </c>
      <c r="G29" s="3">
        <v>1</v>
      </c>
    </row>
    <row r="30" spans="1:7" x14ac:dyDescent="0.25">
      <c r="A30" s="28"/>
      <c r="B30" s="17" t="s">
        <v>44</v>
      </c>
      <c r="C30" s="8"/>
      <c r="D30" s="3"/>
      <c r="F30" s="8">
        <v>5</v>
      </c>
      <c r="G30" s="3">
        <v>1</v>
      </c>
    </row>
    <row r="31" spans="1:7" x14ac:dyDescent="0.25">
      <c r="A31" s="28"/>
      <c r="B31" s="16" t="s">
        <v>45</v>
      </c>
      <c r="C31" s="8"/>
      <c r="D31" s="3"/>
      <c r="F31" s="8">
        <v>27</v>
      </c>
      <c r="G31" s="3">
        <v>3</v>
      </c>
    </row>
    <row r="32" spans="1:7" x14ac:dyDescent="0.25">
      <c r="A32" s="28"/>
      <c r="B32" s="16" t="s">
        <v>46</v>
      </c>
      <c r="C32" s="8"/>
      <c r="D32" s="3"/>
      <c r="F32" s="8">
        <v>22</v>
      </c>
      <c r="G32" s="3">
        <v>2</v>
      </c>
    </row>
    <row r="33" spans="1:7" x14ac:dyDescent="0.25">
      <c r="A33" s="28"/>
      <c r="B33" s="16" t="s">
        <v>47</v>
      </c>
      <c r="C33" s="8"/>
      <c r="D33" s="3"/>
      <c r="F33" s="8">
        <v>7</v>
      </c>
      <c r="G33" s="3">
        <v>6</v>
      </c>
    </row>
    <row r="35" spans="1:7" x14ac:dyDescent="0.25">
      <c r="A35" s="28" t="s">
        <v>60</v>
      </c>
      <c r="B35" s="4" t="s">
        <v>8</v>
      </c>
      <c r="C35" s="8"/>
      <c r="D35" s="3"/>
      <c r="F35" s="8">
        <v>77.599999999999994</v>
      </c>
      <c r="G35" s="3">
        <v>30</v>
      </c>
    </row>
    <row r="36" spans="1:7" x14ac:dyDescent="0.25">
      <c r="A36" s="28"/>
      <c r="B36" s="4" t="s">
        <v>9</v>
      </c>
      <c r="C36" s="8"/>
      <c r="D36" s="3"/>
      <c r="F36" s="8">
        <v>92.5</v>
      </c>
      <c r="G36" s="3">
        <v>6</v>
      </c>
    </row>
    <row r="37" spans="1:7" x14ac:dyDescent="0.25">
      <c r="A37" s="28"/>
      <c r="B37" s="4" t="s">
        <v>10</v>
      </c>
      <c r="C37" s="8"/>
      <c r="D37" s="3"/>
      <c r="F37" s="8">
        <v>-14.9</v>
      </c>
      <c r="G37" s="3">
        <v>24</v>
      </c>
    </row>
    <row r="38" spans="1:7" x14ac:dyDescent="0.25">
      <c r="A38" s="28"/>
      <c r="B38" s="4" t="s">
        <v>11</v>
      </c>
      <c r="C38" s="13"/>
      <c r="D38" s="3"/>
      <c r="F38" s="13">
        <v>106.5</v>
      </c>
      <c r="G38" s="3">
        <v>5</v>
      </c>
    </row>
    <row r="39" spans="1:7" x14ac:dyDescent="0.25">
      <c r="A39" s="28"/>
      <c r="B39" s="4" t="s">
        <v>12</v>
      </c>
      <c r="C39" s="10"/>
      <c r="D39" s="3"/>
      <c r="F39" s="9">
        <v>0.34499999999999997</v>
      </c>
      <c r="G39" s="3">
        <v>30</v>
      </c>
    </row>
    <row r="40" spans="1:7" x14ac:dyDescent="0.25">
      <c r="A40" s="28"/>
      <c r="B40" s="4" t="s">
        <v>13</v>
      </c>
      <c r="C40" s="10"/>
      <c r="D40" s="3"/>
      <c r="F40" s="9">
        <v>0.46700000000000003</v>
      </c>
      <c r="G40" s="3">
        <v>28</v>
      </c>
    </row>
    <row r="41" spans="1:7" x14ac:dyDescent="0.25">
      <c r="A41" s="28"/>
      <c r="B41" s="4" t="s">
        <v>14</v>
      </c>
      <c r="C41" s="10"/>
      <c r="D41" s="3"/>
      <c r="F41" s="9">
        <v>0.5</v>
      </c>
      <c r="G41" s="3">
        <v>14</v>
      </c>
    </row>
    <row r="42" spans="1:7" x14ac:dyDescent="0.25">
      <c r="A42" s="28"/>
      <c r="B42" s="4" t="s">
        <v>15</v>
      </c>
      <c r="C42" s="10"/>
      <c r="D42" s="3"/>
      <c r="F42" s="9">
        <v>0.30399999999999999</v>
      </c>
      <c r="G42" s="3">
        <v>6</v>
      </c>
    </row>
    <row r="43" spans="1:7" x14ac:dyDescent="0.25">
      <c r="A43" s="28"/>
      <c r="B43" s="4" t="s">
        <v>16</v>
      </c>
      <c r="C43" s="10"/>
      <c r="D43" s="3"/>
      <c r="F43" s="9">
        <v>0.8</v>
      </c>
      <c r="G43" s="3">
        <v>7</v>
      </c>
    </row>
    <row r="44" spans="1:7" x14ac:dyDescent="0.25">
      <c r="A44" s="28"/>
      <c r="B44" s="4" t="s">
        <v>17</v>
      </c>
      <c r="C44" s="10"/>
      <c r="D44" s="3"/>
      <c r="F44" s="9">
        <v>0.17799999999999999</v>
      </c>
      <c r="G44" s="3">
        <v>26</v>
      </c>
    </row>
    <row r="45" spans="1:7" x14ac:dyDescent="0.25">
      <c r="A45" s="25"/>
      <c r="B45" s="26"/>
      <c r="C45" s="10"/>
      <c r="D45" s="3"/>
      <c r="F45" s="9"/>
      <c r="G45" s="3"/>
    </row>
    <row r="46" spans="1:7" x14ac:dyDescent="0.25">
      <c r="A46" s="28" t="s">
        <v>97</v>
      </c>
      <c r="B46" s="27" t="s">
        <v>95</v>
      </c>
      <c r="C46" s="9"/>
      <c r="D46" s="3"/>
      <c r="F46" s="9">
        <v>0.2</v>
      </c>
      <c r="G46" s="3">
        <v>7</v>
      </c>
    </row>
    <row r="47" spans="1:7" x14ac:dyDescent="0.25">
      <c r="A47" s="28"/>
      <c r="B47" s="27" t="s">
        <v>96</v>
      </c>
      <c r="C47" s="9"/>
      <c r="D47" s="3"/>
      <c r="F47" s="9">
        <v>0.20799999999999999</v>
      </c>
      <c r="G47" s="3">
        <v>2</v>
      </c>
    </row>
    <row r="48" spans="1:7" x14ac:dyDescent="0.25">
      <c r="B48" s="18"/>
      <c r="C48" s="10"/>
      <c r="D48" s="3"/>
      <c r="F48" s="9"/>
      <c r="G48" s="3"/>
    </row>
    <row r="49" spans="1:7" x14ac:dyDescent="0.25">
      <c r="A49" s="29" t="s">
        <v>59</v>
      </c>
      <c r="B49" s="19" t="s">
        <v>48</v>
      </c>
      <c r="C49" s="8"/>
      <c r="D49" s="3"/>
      <c r="F49" s="8">
        <v>43.7</v>
      </c>
      <c r="G49" s="3">
        <v>30</v>
      </c>
    </row>
    <row r="50" spans="1:7" x14ac:dyDescent="0.25">
      <c r="A50" s="28"/>
      <c r="B50" s="19" t="s">
        <v>49</v>
      </c>
      <c r="C50" s="8"/>
      <c r="D50" s="3"/>
      <c r="F50" s="8">
        <v>58.5</v>
      </c>
      <c r="G50" s="3">
        <v>5</v>
      </c>
    </row>
    <row r="51" spans="1:7" x14ac:dyDescent="0.25">
      <c r="A51" s="28"/>
      <c r="B51" s="19" t="s">
        <v>50</v>
      </c>
      <c r="C51" s="8"/>
      <c r="D51" s="3"/>
      <c r="F51" s="8">
        <v>-14.8</v>
      </c>
      <c r="G51" s="3">
        <v>25</v>
      </c>
    </row>
    <row r="52" spans="1:7" x14ac:dyDescent="0.25">
      <c r="A52" s="28"/>
      <c r="B52" s="19" t="s">
        <v>51</v>
      </c>
      <c r="C52" s="8"/>
      <c r="D52" s="3"/>
      <c r="F52" s="8">
        <v>43.6</v>
      </c>
      <c r="G52" s="3">
        <v>28</v>
      </c>
    </row>
    <row r="53" spans="1:7" x14ac:dyDescent="0.25">
      <c r="A53" s="28"/>
      <c r="B53" s="19" t="s">
        <v>52</v>
      </c>
      <c r="C53" s="8"/>
      <c r="D53" s="3"/>
      <c r="F53" s="8">
        <v>43.4</v>
      </c>
      <c r="G53" s="3">
        <v>4</v>
      </c>
    </row>
    <row r="54" spans="1:7" x14ac:dyDescent="0.25">
      <c r="A54" s="28"/>
      <c r="B54" s="19" t="s">
        <v>53</v>
      </c>
      <c r="C54" s="8"/>
      <c r="D54" s="3"/>
      <c r="F54" s="8">
        <v>0.2</v>
      </c>
      <c r="G54" s="3">
        <v>13</v>
      </c>
    </row>
    <row r="56" spans="1:7" x14ac:dyDescent="0.25">
      <c r="A56" s="28" t="s">
        <v>57</v>
      </c>
      <c r="B56" s="6" t="s">
        <v>18</v>
      </c>
      <c r="C56" s="7"/>
      <c r="D56" s="3"/>
      <c r="F56" s="7">
        <v>17</v>
      </c>
      <c r="G56" s="3">
        <v>15</v>
      </c>
    </row>
    <row r="57" spans="1:7" x14ac:dyDescent="0.25">
      <c r="A57" s="28"/>
      <c r="B57" s="6" t="s">
        <v>19</v>
      </c>
      <c r="C57" s="7"/>
      <c r="D57" s="3"/>
      <c r="F57" s="7">
        <v>18</v>
      </c>
      <c r="G57" s="3">
        <v>17</v>
      </c>
    </row>
    <row r="58" spans="1:7" x14ac:dyDescent="0.25">
      <c r="A58" s="28"/>
      <c r="B58" s="6" t="s">
        <v>20</v>
      </c>
      <c r="C58" s="7"/>
      <c r="D58" s="3"/>
      <c r="F58" s="7">
        <v>11</v>
      </c>
      <c r="G58" s="3">
        <v>14</v>
      </c>
    </row>
    <row r="59" spans="1:7" x14ac:dyDescent="0.25">
      <c r="A59" s="28"/>
      <c r="B59" s="6" t="s">
        <v>21</v>
      </c>
      <c r="C59" s="7"/>
      <c r="D59" s="3"/>
      <c r="F59" s="7">
        <v>11</v>
      </c>
      <c r="G59" s="3">
        <v>13</v>
      </c>
    </row>
    <row r="60" spans="1:7" x14ac:dyDescent="0.25">
      <c r="A60" s="28"/>
      <c r="B60" s="6" t="s">
        <v>22</v>
      </c>
      <c r="C60" s="7"/>
      <c r="D60" s="3"/>
      <c r="F60" s="7">
        <v>18</v>
      </c>
      <c r="G60" s="3">
        <v>12</v>
      </c>
    </row>
    <row r="61" spans="1:7" x14ac:dyDescent="0.25">
      <c r="A61" s="28"/>
      <c r="B61" s="6" t="s">
        <v>23</v>
      </c>
      <c r="C61" s="7"/>
      <c r="D61" s="3"/>
      <c r="F61" s="7">
        <v>8</v>
      </c>
      <c r="G61" s="3">
        <v>8</v>
      </c>
    </row>
    <row r="62" spans="1:7" x14ac:dyDescent="0.25">
      <c r="A62" s="28"/>
      <c r="B62" s="6" t="s">
        <v>24</v>
      </c>
      <c r="C62" s="7"/>
      <c r="D62" s="3"/>
      <c r="F62" s="7">
        <v>40</v>
      </c>
      <c r="G62" s="3">
        <v>24</v>
      </c>
    </row>
    <row r="63" spans="1:7" x14ac:dyDescent="0.25">
      <c r="A63" s="28"/>
      <c r="B63" s="6" t="s">
        <v>25</v>
      </c>
      <c r="C63" s="7"/>
      <c r="D63" s="3"/>
      <c r="F63" s="7">
        <v>56</v>
      </c>
      <c r="G63" s="3">
        <v>25</v>
      </c>
    </row>
    <row r="65" spans="1:7" x14ac:dyDescent="0.25">
      <c r="A65" s="28" t="s">
        <v>58</v>
      </c>
      <c r="B65" s="20" t="s">
        <v>54</v>
      </c>
      <c r="C65" s="3"/>
      <c r="D65" s="3"/>
      <c r="F65" s="3"/>
      <c r="G65" s="3"/>
    </row>
    <row r="66" spans="1:7" x14ac:dyDescent="0.25">
      <c r="A66" s="28"/>
      <c r="B66" s="20" t="s">
        <v>55</v>
      </c>
      <c r="C66" s="3"/>
      <c r="D66" s="3"/>
      <c r="F66" s="3"/>
      <c r="G66" s="3"/>
    </row>
    <row r="67" spans="1:7" x14ac:dyDescent="0.25">
      <c r="A67" s="28"/>
      <c r="B67" s="20" t="s">
        <v>56</v>
      </c>
      <c r="C67" s="3"/>
      <c r="D67" s="3"/>
      <c r="F67" s="3"/>
      <c r="G67" s="3"/>
    </row>
    <row r="68" spans="1:7" x14ac:dyDescent="0.25">
      <c r="A68" s="28"/>
      <c r="B68" s="20" t="s">
        <v>26</v>
      </c>
      <c r="C68" s="9"/>
      <c r="D68" s="3"/>
      <c r="F68" s="9"/>
      <c r="G68" s="3"/>
    </row>
    <row r="69" spans="1:7" x14ac:dyDescent="0.25">
      <c r="A69" s="28"/>
      <c r="B69" s="20" t="s">
        <v>42</v>
      </c>
      <c r="C69" s="9"/>
      <c r="D69" s="3"/>
      <c r="F69" s="9"/>
      <c r="G69" s="3"/>
    </row>
    <row r="70" spans="1:7" x14ac:dyDescent="0.25">
      <c r="A70" s="28"/>
      <c r="B70" s="20" t="s">
        <v>8</v>
      </c>
      <c r="C70" s="8"/>
      <c r="D70" s="3"/>
      <c r="F70" s="8"/>
      <c r="G70" s="3"/>
    </row>
    <row r="71" spans="1:7" x14ac:dyDescent="0.25">
      <c r="A71" s="28"/>
      <c r="B71" s="20" t="s">
        <v>9</v>
      </c>
      <c r="C71" s="8"/>
      <c r="D71" s="3"/>
      <c r="F71" s="8"/>
      <c r="G71" s="3"/>
    </row>
    <row r="72" spans="1:7" x14ac:dyDescent="0.25">
      <c r="A72" s="28"/>
      <c r="B72" s="20" t="s">
        <v>10</v>
      </c>
      <c r="C72" s="8"/>
      <c r="D72" s="3"/>
      <c r="F72" s="8"/>
      <c r="G72" s="3"/>
    </row>
  </sheetData>
  <mergeCells count="8">
    <mergeCell ref="A3:A9"/>
    <mergeCell ref="A56:A63"/>
    <mergeCell ref="A65:A72"/>
    <mergeCell ref="A49:A54"/>
    <mergeCell ref="A35:A44"/>
    <mergeCell ref="A28:A33"/>
    <mergeCell ref="A11:A26"/>
    <mergeCell ref="A46:A47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2F91-5902-4187-AE01-723EC515B233}">
  <dimension ref="A1:O18"/>
  <sheetViews>
    <sheetView tabSelected="1" workbookViewId="0">
      <selection activeCell="D12" sqref="D12"/>
    </sheetView>
  </sheetViews>
  <sheetFormatPr defaultRowHeight="13.3" x14ac:dyDescent="0.25"/>
  <cols>
    <col min="1" max="1" width="10.23046875" customWidth="1"/>
    <col min="2" max="2" width="11.15234375" customWidth="1"/>
    <col min="3" max="3" width="12" customWidth="1"/>
    <col min="4" max="4" width="10.61328125" customWidth="1"/>
    <col min="5" max="5" width="13.4609375" customWidth="1"/>
    <col min="6" max="6" width="17" customWidth="1"/>
    <col min="8" max="8" width="12.921875" customWidth="1"/>
    <col min="9" max="9" width="10.53515625" customWidth="1"/>
    <col min="10" max="10" width="10.61328125" customWidth="1"/>
    <col min="11" max="11" width="15.3828125" customWidth="1"/>
    <col min="14" max="14" width="11.61328125" customWidth="1"/>
    <col min="15" max="15" width="13.61328125" customWidth="1"/>
  </cols>
  <sheetData>
    <row r="1" spans="1:15" x14ac:dyDescent="0.25">
      <c r="A1" s="1" t="s">
        <v>99</v>
      </c>
      <c r="B1" s="1" t="s">
        <v>100</v>
      </c>
      <c r="C1" s="1" t="s">
        <v>101</v>
      </c>
      <c r="D1" s="1" t="s">
        <v>102</v>
      </c>
      <c r="E1" s="1" t="s">
        <v>103</v>
      </c>
      <c r="F1" s="1" t="s">
        <v>104</v>
      </c>
      <c r="G1" s="1" t="s">
        <v>105</v>
      </c>
      <c r="H1" s="1" t="s">
        <v>106</v>
      </c>
      <c r="I1" s="1" t="s">
        <v>107</v>
      </c>
      <c r="J1" s="1" t="s">
        <v>108</v>
      </c>
      <c r="K1" s="1" t="s">
        <v>109</v>
      </c>
      <c r="L1" s="1" t="s">
        <v>110</v>
      </c>
      <c r="M1" s="1" t="s">
        <v>111</v>
      </c>
      <c r="N1" s="1" t="s">
        <v>112</v>
      </c>
      <c r="O1" s="1" t="s">
        <v>113</v>
      </c>
    </row>
    <row r="2" spans="1:15" x14ac:dyDescent="0.25">
      <c r="A2" s="1">
        <v>1610612761</v>
      </c>
      <c r="B2" s="1" t="s">
        <v>114</v>
      </c>
      <c r="C2" s="1" t="s">
        <v>115</v>
      </c>
      <c r="D2" s="1" t="s">
        <v>116</v>
      </c>
      <c r="E2" s="1" t="s">
        <v>117</v>
      </c>
      <c r="F2" s="1" t="s">
        <v>118</v>
      </c>
      <c r="G2" s="1"/>
      <c r="H2" s="1" t="s">
        <v>119</v>
      </c>
      <c r="I2" s="1" t="s">
        <v>120</v>
      </c>
      <c r="J2" s="1" t="s">
        <v>121</v>
      </c>
      <c r="K2" s="1" t="s">
        <v>122</v>
      </c>
      <c r="L2" s="1">
        <v>20</v>
      </c>
      <c r="M2" s="1" t="s">
        <v>123</v>
      </c>
      <c r="N2" s="1" t="s">
        <v>124</v>
      </c>
      <c r="O2" s="1">
        <v>1630551</v>
      </c>
    </row>
    <row r="3" spans="1:15" x14ac:dyDescent="0.25">
      <c r="A3" s="1">
        <v>1610612761</v>
      </c>
      <c r="B3" s="1" t="s">
        <v>114</v>
      </c>
      <c r="C3" s="1" t="s">
        <v>115</v>
      </c>
      <c r="D3" s="1" t="s">
        <v>125</v>
      </c>
      <c r="E3" s="1" t="s">
        <v>126</v>
      </c>
      <c r="F3" s="1" t="s">
        <v>127</v>
      </c>
      <c r="G3" s="1"/>
      <c r="H3" s="1" t="s">
        <v>128</v>
      </c>
      <c r="I3" s="1" t="s">
        <v>129</v>
      </c>
      <c r="J3" s="1" t="s">
        <v>130</v>
      </c>
      <c r="K3" s="1" t="s">
        <v>131</v>
      </c>
      <c r="L3" s="1">
        <v>20</v>
      </c>
      <c r="M3" s="1" t="s">
        <v>123</v>
      </c>
      <c r="N3" s="1" t="s">
        <v>132</v>
      </c>
      <c r="O3" s="1">
        <v>1630525</v>
      </c>
    </row>
    <row r="4" spans="1:15" x14ac:dyDescent="0.25">
      <c r="A4" s="1">
        <v>1610612761</v>
      </c>
      <c r="B4" s="1" t="s">
        <v>114</v>
      </c>
      <c r="C4" s="1" t="s">
        <v>115</v>
      </c>
      <c r="D4" s="1" t="s">
        <v>133</v>
      </c>
      <c r="E4" s="1" t="s">
        <v>134</v>
      </c>
      <c r="F4" s="1" t="s">
        <v>135</v>
      </c>
      <c r="G4" s="1" t="s">
        <v>136</v>
      </c>
      <c r="H4" s="1" t="s">
        <v>137</v>
      </c>
      <c r="I4" s="1" t="s">
        <v>138</v>
      </c>
      <c r="J4" s="1" t="s">
        <v>139</v>
      </c>
      <c r="K4" s="1" t="s">
        <v>140</v>
      </c>
      <c r="L4" s="1">
        <v>24</v>
      </c>
      <c r="M4" s="1" t="s">
        <v>141</v>
      </c>
      <c r="N4" s="1" t="s">
        <v>142</v>
      </c>
      <c r="O4" s="1">
        <v>1628384</v>
      </c>
    </row>
    <row r="5" spans="1:15" x14ac:dyDescent="0.25">
      <c r="A5" s="1">
        <v>1610612761</v>
      </c>
      <c r="B5" s="1" t="s">
        <v>114</v>
      </c>
      <c r="C5" s="1" t="s">
        <v>115</v>
      </c>
      <c r="D5" s="1" t="s">
        <v>143</v>
      </c>
      <c r="E5" s="1" t="s">
        <v>144</v>
      </c>
      <c r="F5" s="1" t="s">
        <v>145</v>
      </c>
      <c r="G5" s="1" t="s">
        <v>141</v>
      </c>
      <c r="H5" s="1" t="s">
        <v>137</v>
      </c>
      <c r="I5" s="1" t="s">
        <v>138</v>
      </c>
      <c r="J5" s="1" t="s">
        <v>146</v>
      </c>
      <c r="K5" s="1" t="s">
        <v>147</v>
      </c>
      <c r="L5" s="1">
        <v>20</v>
      </c>
      <c r="M5" s="1" t="s">
        <v>123</v>
      </c>
      <c r="N5" s="1" t="s">
        <v>148</v>
      </c>
      <c r="O5" s="1">
        <v>1630567</v>
      </c>
    </row>
    <row r="6" spans="1:15" x14ac:dyDescent="0.25">
      <c r="A6" s="1">
        <v>1610612761</v>
      </c>
      <c r="B6" s="1" t="s">
        <v>114</v>
      </c>
      <c r="C6" s="1" t="s">
        <v>115</v>
      </c>
      <c r="D6" s="1" t="s">
        <v>149</v>
      </c>
      <c r="E6" s="1" t="s">
        <v>150</v>
      </c>
      <c r="F6" s="1" t="s">
        <v>151</v>
      </c>
      <c r="G6" s="1" t="s">
        <v>152</v>
      </c>
      <c r="H6" s="1" t="s">
        <v>137</v>
      </c>
      <c r="I6" s="1" t="s">
        <v>153</v>
      </c>
      <c r="J6" s="1" t="s">
        <v>146</v>
      </c>
      <c r="K6" s="1" t="s">
        <v>154</v>
      </c>
      <c r="L6" s="1">
        <v>22</v>
      </c>
      <c r="M6" s="1" t="s">
        <v>155</v>
      </c>
      <c r="N6" s="1" t="s">
        <v>156</v>
      </c>
      <c r="O6" s="1">
        <v>1630173</v>
      </c>
    </row>
    <row r="7" spans="1:15" x14ac:dyDescent="0.25">
      <c r="A7" s="1">
        <v>1610612761</v>
      </c>
      <c r="B7" s="1" t="s">
        <v>114</v>
      </c>
      <c r="C7" s="1" t="s">
        <v>115</v>
      </c>
      <c r="D7" s="1" t="s">
        <v>157</v>
      </c>
      <c r="E7" s="1" t="s">
        <v>158</v>
      </c>
      <c r="F7" s="1" t="s">
        <v>159</v>
      </c>
      <c r="G7" s="1" t="s">
        <v>160</v>
      </c>
      <c r="H7" s="1" t="s">
        <v>128</v>
      </c>
      <c r="I7" s="1" t="s">
        <v>161</v>
      </c>
      <c r="J7" s="1" t="s">
        <v>162</v>
      </c>
      <c r="K7" s="1" t="s">
        <v>163</v>
      </c>
      <c r="L7" s="1">
        <v>35</v>
      </c>
      <c r="M7" s="1" t="s">
        <v>164</v>
      </c>
      <c r="N7" s="1" t="s">
        <v>165</v>
      </c>
      <c r="O7" s="1">
        <v>201609</v>
      </c>
    </row>
    <row r="8" spans="1:15" x14ac:dyDescent="0.25">
      <c r="A8" s="1">
        <v>1610612761</v>
      </c>
      <c r="B8" s="1" t="s">
        <v>114</v>
      </c>
      <c r="C8" s="1" t="s">
        <v>115</v>
      </c>
      <c r="D8" s="1" t="s">
        <v>166</v>
      </c>
      <c r="E8" s="1" t="s">
        <v>167</v>
      </c>
      <c r="F8" s="1" t="s">
        <v>168</v>
      </c>
      <c r="G8" s="1" t="s">
        <v>169</v>
      </c>
      <c r="H8" s="1" t="s">
        <v>128</v>
      </c>
      <c r="I8" s="1" t="s">
        <v>170</v>
      </c>
      <c r="J8" s="1" t="s">
        <v>171</v>
      </c>
      <c r="K8" s="1" t="s">
        <v>172</v>
      </c>
      <c r="L8" s="1">
        <v>23</v>
      </c>
      <c r="M8" s="1" t="s">
        <v>155</v>
      </c>
      <c r="N8" s="1" t="s">
        <v>173</v>
      </c>
      <c r="O8" s="1">
        <v>1630201</v>
      </c>
    </row>
    <row r="9" spans="1:15" x14ac:dyDescent="0.25">
      <c r="A9" s="1">
        <v>1610612761</v>
      </c>
      <c r="B9" s="1" t="s">
        <v>114</v>
      </c>
      <c r="C9" s="1" t="s">
        <v>115</v>
      </c>
      <c r="D9" s="1" t="s">
        <v>174</v>
      </c>
      <c r="E9" s="1" t="s">
        <v>175</v>
      </c>
      <c r="F9" s="1" t="s">
        <v>176</v>
      </c>
      <c r="G9" s="1" t="s">
        <v>169</v>
      </c>
      <c r="H9" s="1" t="s">
        <v>137</v>
      </c>
      <c r="I9" s="1" t="s">
        <v>153</v>
      </c>
      <c r="J9" s="1" t="s">
        <v>177</v>
      </c>
      <c r="K9" s="1" t="s">
        <v>178</v>
      </c>
      <c r="L9" s="1">
        <v>27</v>
      </c>
      <c r="M9" s="1" t="s">
        <v>141</v>
      </c>
      <c r="N9" s="1" t="s">
        <v>179</v>
      </c>
      <c r="O9" s="1">
        <v>1626155</v>
      </c>
    </row>
    <row r="10" spans="1:15" x14ac:dyDescent="0.25">
      <c r="A10" s="1">
        <v>1610612761</v>
      </c>
      <c r="B10" s="1" t="s">
        <v>114</v>
      </c>
      <c r="C10" s="1" t="s">
        <v>115</v>
      </c>
      <c r="D10" s="1" t="s">
        <v>180</v>
      </c>
      <c r="E10" s="1" t="s">
        <v>181</v>
      </c>
      <c r="F10" s="1" t="s">
        <v>182</v>
      </c>
      <c r="G10" s="1" t="s">
        <v>183</v>
      </c>
      <c r="H10" s="1" t="s">
        <v>119</v>
      </c>
      <c r="I10" s="1" t="s">
        <v>138</v>
      </c>
      <c r="J10" s="1" t="s">
        <v>184</v>
      </c>
      <c r="K10" s="1" t="s">
        <v>185</v>
      </c>
      <c r="L10" s="1">
        <v>24</v>
      </c>
      <c r="M10" s="1" t="s">
        <v>136</v>
      </c>
      <c r="N10" s="1" t="s">
        <v>186</v>
      </c>
      <c r="O10" s="1">
        <v>1629004</v>
      </c>
    </row>
    <row r="11" spans="1:15" x14ac:dyDescent="0.25">
      <c r="A11" s="1">
        <v>1610612761</v>
      </c>
      <c r="B11" s="1" t="s">
        <v>114</v>
      </c>
      <c r="C11" s="1" t="s">
        <v>115</v>
      </c>
      <c r="D11" s="1" t="s">
        <v>187</v>
      </c>
      <c r="E11" s="1" t="s">
        <v>188</v>
      </c>
      <c r="F11" s="1" t="s">
        <v>189</v>
      </c>
      <c r="G11" s="1" t="s">
        <v>190</v>
      </c>
      <c r="H11" s="1" t="s">
        <v>128</v>
      </c>
      <c r="I11" s="1" t="s">
        <v>153</v>
      </c>
      <c r="J11" s="1" t="s">
        <v>191</v>
      </c>
      <c r="K11" s="1" t="s">
        <v>192</v>
      </c>
      <c r="L11" s="1">
        <v>21</v>
      </c>
      <c r="M11" s="1" t="s">
        <v>136</v>
      </c>
      <c r="N11" s="1" t="s">
        <v>193</v>
      </c>
      <c r="O11" s="1">
        <v>1629067</v>
      </c>
    </row>
    <row r="12" spans="1:15" x14ac:dyDescent="0.25">
      <c r="A12" s="1">
        <v>1610612761</v>
      </c>
      <c r="B12" s="1" t="s">
        <v>114</v>
      </c>
      <c r="C12" s="1" t="s">
        <v>115</v>
      </c>
      <c r="D12" s="1" t="s">
        <v>194</v>
      </c>
      <c r="E12" s="1" t="s">
        <v>195</v>
      </c>
      <c r="F12" s="1" t="s">
        <v>196</v>
      </c>
      <c r="G12" s="1" t="s">
        <v>197</v>
      </c>
      <c r="H12" s="1" t="s">
        <v>119</v>
      </c>
      <c r="I12" s="1" t="s">
        <v>198</v>
      </c>
      <c r="J12" s="1" t="s">
        <v>199</v>
      </c>
      <c r="K12" s="1" t="s">
        <v>200</v>
      </c>
      <c r="L12" s="1">
        <v>27</v>
      </c>
      <c r="M12" s="1" t="s">
        <v>136</v>
      </c>
      <c r="N12" s="1" t="s">
        <v>201</v>
      </c>
      <c r="O12" s="1">
        <v>1629139</v>
      </c>
    </row>
    <row r="13" spans="1:15" x14ac:dyDescent="0.25">
      <c r="A13" s="1">
        <v>1610612761</v>
      </c>
      <c r="B13" s="1" t="s">
        <v>114</v>
      </c>
      <c r="C13" s="1" t="s">
        <v>115</v>
      </c>
      <c r="D13" s="1" t="s">
        <v>202</v>
      </c>
      <c r="E13" s="1" t="s">
        <v>203</v>
      </c>
      <c r="F13" s="1" t="s">
        <v>204</v>
      </c>
      <c r="G13" s="1" t="s">
        <v>205</v>
      </c>
      <c r="H13" s="1" t="s">
        <v>128</v>
      </c>
      <c r="I13" s="1" t="s">
        <v>170</v>
      </c>
      <c r="J13" s="1" t="s">
        <v>206</v>
      </c>
      <c r="K13" s="1" t="s">
        <v>207</v>
      </c>
      <c r="L13" s="1">
        <v>27</v>
      </c>
      <c r="M13" s="1" t="s">
        <v>152</v>
      </c>
      <c r="N13" s="1" t="s">
        <v>208</v>
      </c>
      <c r="O13" s="1">
        <v>1627832</v>
      </c>
    </row>
    <row r="14" spans="1:15" x14ac:dyDescent="0.25">
      <c r="A14" s="1">
        <v>1610612761</v>
      </c>
      <c r="B14" s="1" t="s">
        <v>114</v>
      </c>
      <c r="C14" s="1" t="s">
        <v>115</v>
      </c>
      <c r="D14" s="1" t="s">
        <v>209</v>
      </c>
      <c r="E14" s="1" t="s">
        <v>210</v>
      </c>
      <c r="F14" s="1" t="s">
        <v>211</v>
      </c>
      <c r="G14" s="1" t="s">
        <v>212</v>
      </c>
      <c r="H14" s="1" t="s">
        <v>213</v>
      </c>
      <c r="I14" s="1" t="s">
        <v>198</v>
      </c>
      <c r="J14" s="1" t="s">
        <v>214</v>
      </c>
      <c r="K14" s="1" t="s">
        <v>215</v>
      </c>
      <c r="L14" s="1">
        <v>29</v>
      </c>
      <c r="M14" s="1" t="s">
        <v>141</v>
      </c>
      <c r="N14" s="1" t="s">
        <v>216</v>
      </c>
      <c r="O14" s="1">
        <v>203920</v>
      </c>
    </row>
    <row r="15" spans="1:15" x14ac:dyDescent="0.25">
      <c r="A15" s="1">
        <v>1610612761</v>
      </c>
      <c r="B15" s="1" t="s">
        <v>114</v>
      </c>
      <c r="C15" s="1" t="s">
        <v>115</v>
      </c>
      <c r="D15" s="1" t="s">
        <v>217</v>
      </c>
      <c r="E15" s="1" t="s">
        <v>218</v>
      </c>
      <c r="F15" s="1" t="s">
        <v>219</v>
      </c>
      <c r="G15" s="1" t="s">
        <v>220</v>
      </c>
      <c r="H15" s="1" t="s">
        <v>221</v>
      </c>
      <c r="I15" s="1" t="s">
        <v>198</v>
      </c>
      <c r="J15" s="1" t="s">
        <v>222</v>
      </c>
      <c r="K15" s="1" t="s">
        <v>223</v>
      </c>
      <c r="L15" s="1">
        <v>28</v>
      </c>
      <c r="M15" s="1" t="s">
        <v>141</v>
      </c>
      <c r="N15" s="1" t="s">
        <v>224</v>
      </c>
      <c r="O15" s="1">
        <v>1628449</v>
      </c>
    </row>
    <row r="16" spans="1:15" x14ac:dyDescent="0.25">
      <c r="A16" s="1">
        <v>1610612761</v>
      </c>
      <c r="B16" s="1" t="s">
        <v>114</v>
      </c>
      <c r="C16" s="1" t="s">
        <v>115</v>
      </c>
      <c r="D16" s="1" t="s">
        <v>225</v>
      </c>
      <c r="E16" s="1" t="s">
        <v>226</v>
      </c>
      <c r="F16" s="1" t="s">
        <v>227</v>
      </c>
      <c r="G16" s="1" t="s">
        <v>228</v>
      </c>
      <c r="H16" s="1" t="s">
        <v>119</v>
      </c>
      <c r="I16" s="1" t="s">
        <v>229</v>
      </c>
      <c r="J16" s="1" t="s">
        <v>230</v>
      </c>
      <c r="K16" s="1" t="s">
        <v>231</v>
      </c>
      <c r="L16" s="1">
        <v>22</v>
      </c>
      <c r="M16" s="1" t="s">
        <v>136</v>
      </c>
      <c r="N16" s="1" t="s">
        <v>232</v>
      </c>
      <c r="O16" s="1">
        <v>1629018</v>
      </c>
    </row>
    <row r="17" spans="1:15" x14ac:dyDescent="0.25">
      <c r="A17" s="1">
        <v>1610612761</v>
      </c>
      <c r="B17" s="1" t="s">
        <v>114</v>
      </c>
      <c r="C17" s="1" t="s">
        <v>115</v>
      </c>
      <c r="D17" s="1" t="s">
        <v>233</v>
      </c>
      <c r="E17" s="1" t="s">
        <v>234</v>
      </c>
      <c r="F17" s="1" t="s">
        <v>235</v>
      </c>
      <c r="G17" s="1" t="s">
        <v>236</v>
      </c>
      <c r="H17" s="1" t="s">
        <v>137</v>
      </c>
      <c r="I17" s="1" t="s">
        <v>153</v>
      </c>
      <c r="J17" s="1" t="s">
        <v>237</v>
      </c>
      <c r="K17" s="1" t="s">
        <v>238</v>
      </c>
      <c r="L17" s="1">
        <v>27</v>
      </c>
      <c r="M17" s="1" t="s">
        <v>152</v>
      </c>
      <c r="N17" s="1" t="s">
        <v>239</v>
      </c>
      <c r="O17" s="1">
        <v>1627783</v>
      </c>
    </row>
    <row r="18" spans="1:15" x14ac:dyDescent="0.25">
      <c r="A18" s="1">
        <v>1610612761</v>
      </c>
      <c r="B18" s="1" t="s">
        <v>114</v>
      </c>
      <c r="C18" s="1" t="s">
        <v>115</v>
      </c>
      <c r="D18" s="1" t="s">
        <v>240</v>
      </c>
      <c r="E18" s="1" t="s">
        <v>241</v>
      </c>
      <c r="F18" s="1" t="s">
        <v>242</v>
      </c>
      <c r="G18" s="1" t="s">
        <v>243</v>
      </c>
      <c r="H18" s="1" t="s">
        <v>137</v>
      </c>
      <c r="I18" s="1" t="s">
        <v>138</v>
      </c>
      <c r="J18" s="1" t="s">
        <v>244</v>
      </c>
      <c r="K18" s="1" t="s">
        <v>245</v>
      </c>
      <c r="L18" s="1">
        <v>21</v>
      </c>
      <c r="M18" s="1" t="s">
        <v>123</v>
      </c>
      <c r="N18" s="1" t="s">
        <v>246</v>
      </c>
      <c r="O18" s="1">
        <v>1630625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6BFA-4DAC-494A-8BF3-67DDE6D60F2B}">
  <dimension ref="A1:CC31"/>
  <sheetViews>
    <sheetView workbookViewId="0"/>
  </sheetViews>
  <sheetFormatPr defaultRowHeight="13.3" x14ac:dyDescent="0.25"/>
  <cols>
    <col min="1" max="1" width="12" customWidth="1"/>
    <col min="2" max="2" width="12.15234375" customWidth="1"/>
    <col min="3" max="3" width="10.23046875" customWidth="1"/>
    <col min="4" max="4" width="12" customWidth="1"/>
    <col min="5" max="5" width="13.4609375" customWidth="1"/>
    <col min="6" max="6" width="14.3828125" customWidth="1"/>
    <col min="7" max="7" width="21.3046875" customWidth="1"/>
    <col min="8" max="8" width="14.3828125" customWidth="1"/>
    <col min="9" max="9" width="17.61328125" customWidth="1"/>
    <col min="10" max="10" width="10.53515625" customWidth="1"/>
    <col min="11" max="11" width="17.3828125" customWidth="1"/>
    <col min="12" max="12" width="15.23046875" customWidth="1"/>
    <col min="14" max="14" width="10.921875" customWidth="1"/>
    <col min="15" max="15" width="10.3828125" customWidth="1"/>
    <col min="16" max="16" width="14.53515625" customWidth="1"/>
    <col min="17" max="17" width="9.69140625" customWidth="1"/>
    <col min="21" max="21" width="14.921875" customWidth="1"/>
    <col min="22" max="22" width="14.15234375" customWidth="1"/>
    <col min="24" max="24" width="19.69140625" customWidth="1"/>
    <col min="25" max="25" width="17.921875" customWidth="1"/>
    <col min="26" max="26" width="19.3828125" customWidth="1"/>
    <col min="27" max="27" width="22.07421875" customWidth="1"/>
    <col min="28" max="28" width="18.61328125" customWidth="1"/>
    <col min="29" max="29" width="21.3046875" customWidth="1"/>
    <col min="30" max="30" width="17.23046875" customWidth="1"/>
    <col min="31" max="31" width="18.4609375" customWidth="1"/>
    <col min="32" max="32" width="22.23046875" customWidth="1"/>
    <col min="33" max="33" width="24.921875" customWidth="1"/>
    <col min="34" max="34" width="21.3828125" customWidth="1"/>
    <col min="35" max="35" width="24.07421875" customWidth="1"/>
    <col min="36" max="36" width="16.69140625" customWidth="1"/>
    <col min="37" max="37" width="19.3828125" customWidth="1"/>
    <col min="38" max="38" width="25.69140625" customWidth="1"/>
    <col min="39" max="39" width="21.84375" customWidth="1"/>
    <col min="40" max="40" width="27.3046875" customWidth="1"/>
    <col min="41" max="41" width="23.4609375" customWidth="1"/>
    <col min="42" max="42" width="23" customWidth="1"/>
    <col min="43" max="43" width="24.23046875" customWidth="1"/>
    <col min="44" max="44" width="20.3046875" customWidth="1"/>
    <col min="45" max="45" width="14.84375" customWidth="1"/>
    <col min="46" max="46" width="15.61328125" customWidth="1"/>
    <col min="47" max="47" width="13.07421875" customWidth="1"/>
    <col min="48" max="48" width="15.921875" customWidth="1"/>
    <col min="49" max="49" width="16.69140625" customWidth="1"/>
    <col min="50" max="50" width="14.15234375" customWidth="1"/>
    <col min="51" max="51" width="16.3046875" customWidth="1"/>
    <col min="52" max="52" width="20.07421875" customWidth="1"/>
    <col min="53" max="53" width="14.921875" customWidth="1"/>
    <col min="54" max="54" width="16.15234375" customWidth="1"/>
    <col min="55" max="55" width="12.921875" customWidth="1"/>
    <col min="56" max="56" width="18.69140625" customWidth="1"/>
    <col min="57" max="57" width="11.84375" customWidth="1"/>
    <col min="58" max="58" width="15.61328125" customWidth="1"/>
    <col min="59" max="59" width="15.4609375" customWidth="1"/>
    <col min="61" max="61" width="12.53515625" customWidth="1"/>
    <col min="62" max="62" width="12.15234375" customWidth="1"/>
    <col min="63" max="63" width="14.921875" customWidth="1"/>
    <col min="64" max="64" width="9.69140625" customWidth="1"/>
    <col min="65" max="65" width="15.07421875" customWidth="1"/>
    <col min="66" max="66" width="11.69140625" customWidth="1"/>
    <col min="67" max="67" width="15.3828125" customWidth="1"/>
    <col min="81" max="81" width="10" customWidth="1"/>
  </cols>
  <sheetData>
    <row r="1" spans="1:81" x14ac:dyDescent="0.25">
      <c r="A1" s="1" t="s">
        <v>101</v>
      </c>
      <c r="B1" s="1" t="s">
        <v>247</v>
      </c>
      <c r="C1" s="1" t="s">
        <v>99</v>
      </c>
      <c r="D1" s="1" t="s">
        <v>248</v>
      </c>
      <c r="E1" s="1" t="s">
        <v>249</v>
      </c>
      <c r="F1" s="1" t="s">
        <v>250</v>
      </c>
      <c r="G1" s="1" t="s">
        <v>251</v>
      </c>
      <c r="H1" s="1" t="s">
        <v>252</v>
      </c>
      <c r="I1" s="1" t="s">
        <v>253</v>
      </c>
      <c r="J1" s="1" t="s">
        <v>254</v>
      </c>
      <c r="K1" s="1" t="s">
        <v>255</v>
      </c>
      <c r="L1" s="1" t="s">
        <v>256</v>
      </c>
      <c r="M1" s="1" t="s">
        <v>257</v>
      </c>
      <c r="N1" s="1" t="s">
        <v>258</v>
      </c>
      <c r="O1" s="1" t="s">
        <v>259</v>
      </c>
      <c r="P1" s="1" t="s">
        <v>260</v>
      </c>
      <c r="Q1" s="1" t="s">
        <v>261</v>
      </c>
      <c r="R1" s="1" t="s">
        <v>262</v>
      </c>
      <c r="S1" s="1" t="s">
        <v>263</v>
      </c>
      <c r="T1" s="1" t="s">
        <v>264</v>
      </c>
      <c r="U1" s="1" t="s">
        <v>265</v>
      </c>
      <c r="V1" s="1" t="s">
        <v>266</v>
      </c>
      <c r="W1" s="1" t="s">
        <v>267</v>
      </c>
      <c r="X1" s="1" t="s">
        <v>268</v>
      </c>
      <c r="Y1" s="1" t="s">
        <v>269</v>
      </c>
      <c r="Z1" s="1" t="s">
        <v>270</v>
      </c>
      <c r="AA1" s="1" t="s">
        <v>271</v>
      </c>
      <c r="AB1" s="1" t="s">
        <v>272</v>
      </c>
      <c r="AC1" s="1" t="s">
        <v>273</v>
      </c>
      <c r="AD1" s="1" t="s">
        <v>274</v>
      </c>
      <c r="AE1" s="1" t="s">
        <v>275</v>
      </c>
      <c r="AF1" s="1" t="s">
        <v>276</v>
      </c>
      <c r="AG1" s="1" t="s">
        <v>277</v>
      </c>
      <c r="AH1" s="1" t="s">
        <v>278</v>
      </c>
      <c r="AI1" s="1" t="s">
        <v>279</v>
      </c>
      <c r="AJ1" s="1" t="s">
        <v>280</v>
      </c>
      <c r="AK1" s="1" t="s">
        <v>281</v>
      </c>
      <c r="AL1" s="1" t="s">
        <v>282</v>
      </c>
      <c r="AM1" s="1" t="s">
        <v>283</v>
      </c>
      <c r="AN1" s="1" t="s">
        <v>284</v>
      </c>
      <c r="AO1" s="1" t="s">
        <v>285</v>
      </c>
      <c r="AP1" s="1" t="s">
        <v>286</v>
      </c>
      <c r="AQ1" s="1" t="s">
        <v>287</v>
      </c>
      <c r="AR1" s="1" t="s">
        <v>288</v>
      </c>
      <c r="AS1" s="1" t="s">
        <v>289</v>
      </c>
      <c r="AT1" s="1" t="s">
        <v>290</v>
      </c>
      <c r="AU1" s="1" t="s">
        <v>291</v>
      </c>
      <c r="AV1" s="1" t="s">
        <v>292</v>
      </c>
      <c r="AW1" s="1" t="s">
        <v>293</v>
      </c>
      <c r="AX1" s="1" t="s">
        <v>294</v>
      </c>
      <c r="AY1" s="1" t="s">
        <v>295</v>
      </c>
      <c r="AZ1" s="1" t="s">
        <v>296</v>
      </c>
      <c r="BA1" s="1" t="s">
        <v>297</v>
      </c>
      <c r="BB1" s="1" t="s">
        <v>298</v>
      </c>
      <c r="BC1" s="1" t="s">
        <v>299</v>
      </c>
      <c r="BD1" s="1" t="s">
        <v>300</v>
      </c>
      <c r="BE1" s="1" t="s">
        <v>301</v>
      </c>
      <c r="BF1" s="1" t="s">
        <v>302</v>
      </c>
      <c r="BG1" s="1" t="s">
        <v>303</v>
      </c>
      <c r="BH1" s="1" t="s">
        <v>304</v>
      </c>
      <c r="BI1" s="1" t="s">
        <v>305</v>
      </c>
      <c r="BJ1" s="1" t="s">
        <v>306</v>
      </c>
      <c r="BK1" s="1" t="s">
        <v>307</v>
      </c>
      <c r="BL1" s="1" t="s">
        <v>308</v>
      </c>
      <c r="BM1" s="1" t="s">
        <v>309</v>
      </c>
      <c r="BN1" s="1" t="s">
        <v>310</v>
      </c>
      <c r="BO1" s="1" t="s">
        <v>311</v>
      </c>
      <c r="BP1" s="1" t="s">
        <v>312</v>
      </c>
      <c r="BQ1" s="1" t="s">
        <v>313</v>
      </c>
      <c r="BR1" s="1" t="s">
        <v>314</v>
      </c>
      <c r="BS1" s="1" t="s">
        <v>315</v>
      </c>
      <c r="BT1" s="1" t="s">
        <v>316</v>
      </c>
      <c r="BU1" s="1" t="s">
        <v>317</v>
      </c>
      <c r="BV1" s="1" t="s">
        <v>318</v>
      </c>
      <c r="BW1" s="1" t="s">
        <v>319</v>
      </c>
      <c r="BX1" s="1" t="s">
        <v>320</v>
      </c>
      <c r="BY1" s="1" t="s">
        <v>321</v>
      </c>
      <c r="BZ1" s="1" t="s">
        <v>322</v>
      </c>
      <c r="CA1" s="1" t="s">
        <v>323</v>
      </c>
      <c r="CB1" s="1" t="s">
        <v>324</v>
      </c>
      <c r="CC1" s="1" t="s">
        <v>325</v>
      </c>
    </row>
    <row r="2" spans="1:81" x14ac:dyDescent="0.25">
      <c r="A2" s="1" t="s">
        <v>115</v>
      </c>
      <c r="B2" s="1" t="s">
        <v>326</v>
      </c>
      <c r="C2" s="1">
        <v>1610612744</v>
      </c>
      <c r="D2" s="1" t="s">
        <v>327</v>
      </c>
      <c r="E2" s="1" t="s">
        <v>328</v>
      </c>
      <c r="F2" s="1" t="s">
        <v>329</v>
      </c>
      <c r="G2" s="1" t="s">
        <v>330</v>
      </c>
      <c r="H2" s="1">
        <v>1</v>
      </c>
      <c r="I2" s="1" t="s">
        <v>331</v>
      </c>
      <c r="J2" s="1" t="s">
        <v>332</v>
      </c>
      <c r="K2" s="1" t="s">
        <v>330</v>
      </c>
      <c r="L2" s="1">
        <v>1</v>
      </c>
      <c r="M2" s="1">
        <v>2</v>
      </c>
      <c r="N2" s="1">
        <v>0</v>
      </c>
      <c r="O2" s="1">
        <v>1</v>
      </c>
      <c r="P2" s="1">
        <v>0</v>
      </c>
      <c r="Q2" s="1" t="s">
        <v>333</v>
      </c>
      <c r="R2" s="1" t="s">
        <v>334</v>
      </c>
      <c r="S2" s="1" t="s">
        <v>334</v>
      </c>
      <c r="T2" s="1" t="s">
        <v>330</v>
      </c>
      <c r="U2" s="1" t="s">
        <v>334</v>
      </c>
      <c r="V2" s="1" t="s">
        <v>334</v>
      </c>
      <c r="W2" s="1" t="s">
        <v>335</v>
      </c>
      <c r="X2" s="1" t="s">
        <v>334</v>
      </c>
      <c r="Y2" s="1" t="s">
        <v>335</v>
      </c>
      <c r="Z2" s="1">
        <v>1</v>
      </c>
      <c r="AA2" s="1" t="s">
        <v>336</v>
      </c>
      <c r="AB2" s="1">
        <v>1</v>
      </c>
      <c r="AC2" s="1" t="s">
        <v>336</v>
      </c>
      <c r="AD2" s="1">
        <v>2</v>
      </c>
      <c r="AE2" s="1">
        <v>0</v>
      </c>
      <c r="AF2" s="1">
        <v>1</v>
      </c>
      <c r="AG2" s="1" t="s">
        <v>336</v>
      </c>
      <c r="AH2" s="1">
        <v>1</v>
      </c>
      <c r="AI2" s="1" t="s">
        <v>336</v>
      </c>
      <c r="AJ2" s="1">
        <v>2</v>
      </c>
      <c r="AK2" s="1" t="s">
        <v>337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335</v>
      </c>
      <c r="AT2" s="1" t="s">
        <v>330</v>
      </c>
      <c r="AU2" s="1" t="s">
        <v>335</v>
      </c>
      <c r="AV2" s="1" t="s">
        <v>335</v>
      </c>
      <c r="AW2" s="1" t="s">
        <v>330</v>
      </c>
      <c r="AX2" s="1" t="s">
        <v>335</v>
      </c>
      <c r="AY2" s="1" t="s">
        <v>330</v>
      </c>
      <c r="AZ2" s="1" t="s">
        <v>330</v>
      </c>
      <c r="BA2" s="1" t="s">
        <v>330</v>
      </c>
      <c r="BB2" s="1" t="s">
        <v>334</v>
      </c>
      <c r="BC2" s="1" t="s">
        <v>330</v>
      </c>
      <c r="BD2" s="1" t="s">
        <v>334</v>
      </c>
      <c r="BE2" s="1">
        <v>118</v>
      </c>
      <c r="BF2" s="1">
        <v>113.5</v>
      </c>
      <c r="BG2" s="1">
        <v>4.5</v>
      </c>
      <c r="BH2" s="1" t="s">
        <v>338</v>
      </c>
      <c r="BI2" s="1" t="s">
        <v>338</v>
      </c>
      <c r="BJ2" s="1" t="s">
        <v>338</v>
      </c>
      <c r="BK2" s="1" t="s">
        <v>338</v>
      </c>
      <c r="BL2" s="1" t="s">
        <v>333</v>
      </c>
      <c r="BM2" s="1" t="s">
        <v>338</v>
      </c>
      <c r="BN2" s="1" t="s">
        <v>333</v>
      </c>
      <c r="BO2" s="1" t="s">
        <v>338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333</v>
      </c>
      <c r="BZ2" s="1"/>
      <c r="CA2" s="1"/>
      <c r="CB2" s="1" t="s">
        <v>333</v>
      </c>
      <c r="CC2" s="1"/>
    </row>
    <row r="3" spans="1:81" x14ac:dyDescent="0.25">
      <c r="A3" s="1" t="s">
        <v>115</v>
      </c>
      <c r="B3" s="1" t="s">
        <v>326</v>
      </c>
      <c r="C3" s="1">
        <v>1610612748</v>
      </c>
      <c r="D3" s="1" t="s">
        <v>339</v>
      </c>
      <c r="E3" s="1" t="s">
        <v>340</v>
      </c>
      <c r="F3" s="1" t="s">
        <v>341</v>
      </c>
      <c r="G3" s="1" t="s">
        <v>334</v>
      </c>
      <c r="H3" s="1">
        <v>1</v>
      </c>
      <c r="I3" s="1" t="s">
        <v>331</v>
      </c>
      <c r="J3" s="1" t="s">
        <v>342</v>
      </c>
      <c r="K3" s="1" t="s">
        <v>335</v>
      </c>
      <c r="L3" s="1">
        <v>1</v>
      </c>
      <c r="M3" s="1">
        <v>1</v>
      </c>
      <c r="N3" s="1">
        <v>0</v>
      </c>
      <c r="O3" s="1">
        <v>1</v>
      </c>
      <c r="P3" s="1">
        <v>0</v>
      </c>
      <c r="Q3" s="1" t="s">
        <v>343</v>
      </c>
      <c r="R3" s="1" t="s">
        <v>334</v>
      </c>
      <c r="S3" s="1" t="s">
        <v>335</v>
      </c>
      <c r="T3" s="1" t="s">
        <v>334</v>
      </c>
      <c r="U3" s="1" t="s">
        <v>334</v>
      </c>
      <c r="V3" s="1" t="s">
        <v>335</v>
      </c>
      <c r="W3" s="1" t="s">
        <v>335</v>
      </c>
      <c r="X3" s="1" t="s">
        <v>335</v>
      </c>
      <c r="Y3" s="1" t="s">
        <v>334</v>
      </c>
      <c r="Z3" s="1">
        <v>1</v>
      </c>
      <c r="AA3" s="1" t="s">
        <v>336</v>
      </c>
      <c r="AB3" s="1">
        <v>0</v>
      </c>
      <c r="AC3" s="1" t="s">
        <v>344</v>
      </c>
      <c r="AD3" s="1">
        <v>1</v>
      </c>
      <c r="AE3" s="1">
        <v>0</v>
      </c>
      <c r="AF3" s="1">
        <v>1</v>
      </c>
      <c r="AG3" s="1" t="s">
        <v>336</v>
      </c>
      <c r="AH3" s="1">
        <v>0</v>
      </c>
      <c r="AI3" s="1" t="s">
        <v>344</v>
      </c>
      <c r="AJ3" s="1">
        <v>1</v>
      </c>
      <c r="AK3" s="1" t="s">
        <v>336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334</v>
      </c>
      <c r="AT3" s="1" t="s">
        <v>335</v>
      </c>
      <c r="AU3" s="1" t="s">
        <v>335</v>
      </c>
      <c r="AV3" s="1" t="s">
        <v>334</v>
      </c>
      <c r="AW3" s="1" t="s">
        <v>335</v>
      </c>
      <c r="AX3" s="1" t="s">
        <v>335</v>
      </c>
      <c r="AY3" s="1" t="s">
        <v>334</v>
      </c>
      <c r="AZ3" s="1" t="s">
        <v>335</v>
      </c>
      <c r="BA3" s="1" t="s">
        <v>334</v>
      </c>
      <c r="BB3" s="1" t="s">
        <v>334</v>
      </c>
      <c r="BC3" s="1" t="s">
        <v>334</v>
      </c>
      <c r="BD3" s="1" t="s">
        <v>334</v>
      </c>
      <c r="BE3" s="1">
        <v>137</v>
      </c>
      <c r="BF3" s="1">
        <v>95</v>
      </c>
      <c r="BG3" s="1">
        <v>42</v>
      </c>
      <c r="BH3" s="1" t="s">
        <v>343</v>
      </c>
      <c r="BI3" s="1" t="s">
        <v>338</v>
      </c>
      <c r="BJ3" s="1" t="s">
        <v>343</v>
      </c>
      <c r="BK3" s="1" t="s">
        <v>338</v>
      </c>
      <c r="BL3" s="1" t="s">
        <v>338</v>
      </c>
      <c r="BM3" s="1" t="s">
        <v>338</v>
      </c>
      <c r="BN3" s="1" t="s">
        <v>338</v>
      </c>
      <c r="BO3" s="1" t="s">
        <v>338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343</v>
      </c>
      <c r="BZ3" s="1"/>
      <c r="CA3" s="1"/>
      <c r="CB3" s="1" t="s">
        <v>343</v>
      </c>
      <c r="CC3" s="1"/>
    </row>
    <row r="4" spans="1:81" x14ac:dyDescent="0.25">
      <c r="A4" s="1" t="s">
        <v>115</v>
      </c>
      <c r="B4" s="1" t="s">
        <v>326</v>
      </c>
      <c r="C4" s="1">
        <v>1610612762</v>
      </c>
      <c r="D4" s="1" t="s">
        <v>345</v>
      </c>
      <c r="E4" s="1" t="s">
        <v>346</v>
      </c>
      <c r="F4" s="1" t="s">
        <v>329</v>
      </c>
      <c r="G4" s="1" t="s">
        <v>334</v>
      </c>
      <c r="H4" s="1">
        <v>2</v>
      </c>
      <c r="I4" s="1" t="s">
        <v>331</v>
      </c>
      <c r="J4" s="1" t="s">
        <v>347</v>
      </c>
      <c r="K4" s="1" t="s">
        <v>334</v>
      </c>
      <c r="L4" s="1">
        <v>1</v>
      </c>
      <c r="M4" s="1">
        <v>1</v>
      </c>
      <c r="N4" s="1">
        <v>0</v>
      </c>
      <c r="O4" s="1">
        <v>1</v>
      </c>
      <c r="P4" s="1">
        <v>0</v>
      </c>
      <c r="Q4" s="1" t="s">
        <v>343</v>
      </c>
      <c r="R4" s="1" t="s">
        <v>334</v>
      </c>
      <c r="S4" s="1" t="s">
        <v>335</v>
      </c>
      <c r="T4" s="1" t="s">
        <v>334</v>
      </c>
      <c r="U4" s="1" t="s">
        <v>334</v>
      </c>
      <c r="V4" s="1" t="s">
        <v>335</v>
      </c>
      <c r="W4" s="1" t="s">
        <v>335</v>
      </c>
      <c r="X4" s="1" t="s">
        <v>335</v>
      </c>
      <c r="Y4" s="1" t="s">
        <v>334</v>
      </c>
      <c r="Z4" s="1">
        <v>1</v>
      </c>
      <c r="AA4" s="1" t="s">
        <v>336</v>
      </c>
      <c r="AB4" s="1">
        <v>0</v>
      </c>
      <c r="AC4" s="1" t="s">
        <v>344</v>
      </c>
      <c r="AD4" s="1">
        <v>1</v>
      </c>
      <c r="AE4" s="1">
        <v>0</v>
      </c>
      <c r="AF4" s="1">
        <v>1</v>
      </c>
      <c r="AG4" s="1" t="s">
        <v>336</v>
      </c>
      <c r="AH4" s="1">
        <v>0</v>
      </c>
      <c r="AI4" s="1" t="s">
        <v>344</v>
      </c>
      <c r="AJ4" s="1">
        <v>1</v>
      </c>
      <c r="AK4" s="1" t="s">
        <v>336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334</v>
      </c>
      <c r="AT4" s="1" t="s">
        <v>335</v>
      </c>
      <c r="AU4" s="1" t="s">
        <v>335</v>
      </c>
      <c r="AV4" s="1" t="s">
        <v>334</v>
      </c>
      <c r="AW4" s="1" t="s">
        <v>335</v>
      </c>
      <c r="AX4" s="1" t="s">
        <v>335</v>
      </c>
      <c r="AY4" s="1" t="s">
        <v>334</v>
      </c>
      <c r="AZ4" s="1" t="s">
        <v>335</v>
      </c>
      <c r="BA4" s="1" t="s">
        <v>334</v>
      </c>
      <c r="BB4" s="1" t="s">
        <v>334</v>
      </c>
      <c r="BC4" s="1" t="s">
        <v>334</v>
      </c>
      <c r="BD4" s="1" t="s">
        <v>334</v>
      </c>
      <c r="BE4" s="1">
        <v>107</v>
      </c>
      <c r="BF4" s="1">
        <v>86</v>
      </c>
      <c r="BG4" s="1">
        <v>21</v>
      </c>
      <c r="BH4" s="1" t="s">
        <v>338</v>
      </c>
      <c r="BI4" s="1" t="s">
        <v>338</v>
      </c>
      <c r="BJ4" s="1" t="s">
        <v>338</v>
      </c>
      <c r="BK4" s="1" t="s">
        <v>338</v>
      </c>
      <c r="BL4" s="1" t="s">
        <v>343</v>
      </c>
      <c r="BM4" s="1" t="s">
        <v>343</v>
      </c>
      <c r="BN4" s="1" t="s">
        <v>338</v>
      </c>
      <c r="BO4" s="1" t="s">
        <v>338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343</v>
      </c>
      <c r="BZ4" s="1"/>
      <c r="CA4" s="1"/>
      <c r="CB4" s="1" t="s">
        <v>343</v>
      </c>
      <c r="CC4" s="1"/>
    </row>
    <row r="5" spans="1:81" x14ac:dyDescent="0.25">
      <c r="A5" s="1" t="s">
        <v>115</v>
      </c>
      <c r="B5" s="1" t="s">
        <v>326</v>
      </c>
      <c r="C5" s="1">
        <v>1610612741</v>
      </c>
      <c r="D5" s="1" t="s">
        <v>348</v>
      </c>
      <c r="E5" s="1" t="s">
        <v>349</v>
      </c>
      <c r="F5" s="1" t="s">
        <v>341</v>
      </c>
      <c r="G5" s="1" t="s">
        <v>334</v>
      </c>
      <c r="H5" s="1">
        <v>2</v>
      </c>
      <c r="I5" s="1" t="s">
        <v>331</v>
      </c>
      <c r="J5" s="1" t="s">
        <v>350</v>
      </c>
      <c r="K5" s="1" t="s">
        <v>334</v>
      </c>
      <c r="L5" s="1">
        <v>1</v>
      </c>
      <c r="M5" s="1">
        <v>1</v>
      </c>
      <c r="N5" s="1">
        <v>0</v>
      </c>
      <c r="O5" s="1">
        <v>1</v>
      </c>
      <c r="P5" s="1">
        <v>0</v>
      </c>
      <c r="Q5" s="1" t="s">
        <v>343</v>
      </c>
      <c r="R5" s="1" t="s">
        <v>335</v>
      </c>
      <c r="S5" s="1" t="s">
        <v>334</v>
      </c>
      <c r="T5" s="1" t="s">
        <v>334</v>
      </c>
      <c r="U5" s="1" t="s">
        <v>335</v>
      </c>
      <c r="V5" s="1" t="s">
        <v>334</v>
      </c>
      <c r="W5" s="1" t="s">
        <v>335</v>
      </c>
      <c r="X5" s="1" t="s">
        <v>335</v>
      </c>
      <c r="Y5" s="1" t="s">
        <v>335</v>
      </c>
      <c r="Z5" s="1">
        <v>0</v>
      </c>
      <c r="AA5" s="1" t="s">
        <v>344</v>
      </c>
      <c r="AB5" s="1">
        <v>1</v>
      </c>
      <c r="AC5" s="1" t="s">
        <v>336</v>
      </c>
      <c r="AD5" s="1">
        <v>1</v>
      </c>
      <c r="AE5" s="1">
        <v>0</v>
      </c>
      <c r="AF5" s="1">
        <v>0</v>
      </c>
      <c r="AG5" s="1" t="s">
        <v>344</v>
      </c>
      <c r="AH5" s="1">
        <v>1</v>
      </c>
      <c r="AI5" s="1" t="s">
        <v>336</v>
      </c>
      <c r="AJ5" s="1">
        <v>1</v>
      </c>
      <c r="AK5" s="1" t="s">
        <v>336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335</v>
      </c>
      <c r="AT5" s="1" t="s">
        <v>334</v>
      </c>
      <c r="AU5" s="1" t="s">
        <v>335</v>
      </c>
      <c r="AV5" s="1" t="s">
        <v>334</v>
      </c>
      <c r="AW5" s="1" t="s">
        <v>335</v>
      </c>
      <c r="AX5" s="1" t="s">
        <v>335</v>
      </c>
      <c r="AY5" s="1" t="s">
        <v>335</v>
      </c>
      <c r="AZ5" s="1" t="s">
        <v>335</v>
      </c>
      <c r="BA5" s="1" t="s">
        <v>334</v>
      </c>
      <c r="BB5" s="1" t="s">
        <v>334</v>
      </c>
      <c r="BC5" s="1" t="s">
        <v>334</v>
      </c>
      <c r="BD5" s="1" t="s">
        <v>335</v>
      </c>
      <c r="BE5" s="1">
        <v>94</v>
      </c>
      <c r="BF5" s="1">
        <v>88</v>
      </c>
      <c r="BG5" s="1">
        <v>6</v>
      </c>
      <c r="BH5" s="1" t="s">
        <v>343</v>
      </c>
      <c r="BI5" s="1" t="s">
        <v>338</v>
      </c>
      <c r="BJ5" s="1" t="s">
        <v>343</v>
      </c>
      <c r="BK5" s="1" t="s">
        <v>338</v>
      </c>
      <c r="BL5" s="1" t="s">
        <v>338</v>
      </c>
      <c r="BM5" s="1" t="s">
        <v>338</v>
      </c>
      <c r="BN5" s="1" t="s">
        <v>338</v>
      </c>
      <c r="BO5" s="1" t="s">
        <v>338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343</v>
      </c>
      <c r="BZ5" s="1"/>
      <c r="CA5" s="1"/>
      <c r="CB5" s="1" t="s">
        <v>343</v>
      </c>
      <c r="CC5" s="1"/>
    </row>
    <row r="6" spans="1:81" x14ac:dyDescent="0.25">
      <c r="A6" s="1" t="s">
        <v>115</v>
      </c>
      <c r="B6" s="1" t="s">
        <v>326</v>
      </c>
      <c r="C6" s="1">
        <v>1610612759</v>
      </c>
      <c r="D6" s="1" t="s">
        <v>351</v>
      </c>
      <c r="E6" s="1" t="s">
        <v>352</v>
      </c>
      <c r="F6" s="1" t="s">
        <v>329</v>
      </c>
      <c r="G6" s="1" t="s">
        <v>335</v>
      </c>
      <c r="H6" s="1">
        <v>3</v>
      </c>
      <c r="I6" s="1" t="s">
        <v>331</v>
      </c>
      <c r="J6" s="1" t="s">
        <v>353</v>
      </c>
      <c r="K6" s="1" t="s">
        <v>335</v>
      </c>
      <c r="L6" s="1">
        <v>1</v>
      </c>
      <c r="M6" s="1">
        <v>1</v>
      </c>
      <c r="N6" s="1">
        <v>0</v>
      </c>
      <c r="O6" s="1">
        <v>1</v>
      </c>
      <c r="P6" s="1">
        <v>0</v>
      </c>
      <c r="Q6" s="1" t="s">
        <v>343</v>
      </c>
      <c r="R6" s="1" t="s">
        <v>334</v>
      </c>
      <c r="S6" s="1" t="s">
        <v>335</v>
      </c>
      <c r="T6" s="1" t="s">
        <v>334</v>
      </c>
      <c r="U6" s="1" t="s">
        <v>334</v>
      </c>
      <c r="V6" s="1" t="s">
        <v>335</v>
      </c>
      <c r="W6" s="1" t="s">
        <v>335</v>
      </c>
      <c r="X6" s="1" t="s">
        <v>335</v>
      </c>
      <c r="Y6" s="1" t="s">
        <v>334</v>
      </c>
      <c r="Z6" s="1">
        <v>1</v>
      </c>
      <c r="AA6" s="1" t="s">
        <v>336</v>
      </c>
      <c r="AB6" s="1">
        <v>0</v>
      </c>
      <c r="AC6" s="1" t="s">
        <v>344</v>
      </c>
      <c r="AD6" s="1">
        <v>1</v>
      </c>
      <c r="AE6" s="1">
        <v>0</v>
      </c>
      <c r="AF6" s="1">
        <v>1</v>
      </c>
      <c r="AG6" s="1" t="s">
        <v>336</v>
      </c>
      <c r="AH6" s="1">
        <v>0</v>
      </c>
      <c r="AI6" s="1" t="s">
        <v>344</v>
      </c>
      <c r="AJ6" s="1">
        <v>1</v>
      </c>
      <c r="AK6" s="1" t="s">
        <v>336</v>
      </c>
      <c r="AL6" s="1">
        <v>0.5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334</v>
      </c>
      <c r="AT6" s="1" t="s">
        <v>335</v>
      </c>
      <c r="AU6" s="1" t="s">
        <v>335</v>
      </c>
      <c r="AV6" s="1" t="s">
        <v>334</v>
      </c>
      <c r="AW6" s="1" t="s">
        <v>335</v>
      </c>
      <c r="AX6" s="1" t="s">
        <v>335</v>
      </c>
      <c r="AY6" s="1" t="s">
        <v>334</v>
      </c>
      <c r="AZ6" s="1" t="s">
        <v>335</v>
      </c>
      <c r="BA6" s="1" t="s">
        <v>334</v>
      </c>
      <c r="BB6" s="1" t="s">
        <v>334</v>
      </c>
      <c r="BC6" s="1" t="s">
        <v>335</v>
      </c>
      <c r="BD6" s="1" t="s">
        <v>334</v>
      </c>
      <c r="BE6" s="1">
        <v>123</v>
      </c>
      <c r="BF6" s="1">
        <v>97</v>
      </c>
      <c r="BG6" s="1">
        <v>26</v>
      </c>
      <c r="BH6" s="1" t="s">
        <v>343</v>
      </c>
      <c r="BI6" s="1" t="s">
        <v>338</v>
      </c>
      <c r="BJ6" s="1" t="s">
        <v>338</v>
      </c>
      <c r="BK6" s="1" t="s">
        <v>343</v>
      </c>
      <c r="BL6" s="1" t="s">
        <v>338</v>
      </c>
      <c r="BM6" s="1" t="s">
        <v>338</v>
      </c>
      <c r="BN6" s="1" t="s">
        <v>338</v>
      </c>
      <c r="BO6" s="1" t="s">
        <v>338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343</v>
      </c>
      <c r="BZ6" s="1"/>
      <c r="CA6" s="1"/>
      <c r="CB6" s="1" t="s">
        <v>343</v>
      </c>
      <c r="CC6" s="1"/>
    </row>
    <row r="7" spans="1:81" x14ac:dyDescent="0.25">
      <c r="A7" s="1" t="s">
        <v>115</v>
      </c>
      <c r="B7" s="1" t="s">
        <v>326</v>
      </c>
      <c r="C7" s="1">
        <v>1610612752</v>
      </c>
      <c r="D7" s="1" t="s">
        <v>354</v>
      </c>
      <c r="E7" s="1" t="s">
        <v>355</v>
      </c>
      <c r="F7" s="1" t="s">
        <v>341</v>
      </c>
      <c r="G7" s="1" t="s">
        <v>334</v>
      </c>
      <c r="H7" s="1">
        <v>3</v>
      </c>
      <c r="I7" s="1" t="s">
        <v>331</v>
      </c>
      <c r="J7" s="1" t="s">
        <v>356</v>
      </c>
      <c r="K7" s="1" t="s">
        <v>334</v>
      </c>
      <c r="L7" s="1">
        <v>1</v>
      </c>
      <c r="M7" s="1">
        <v>1</v>
      </c>
      <c r="N7" s="1">
        <v>0</v>
      </c>
      <c r="O7" s="1">
        <v>1</v>
      </c>
      <c r="P7" s="1">
        <v>0</v>
      </c>
      <c r="Q7" s="1" t="s">
        <v>343</v>
      </c>
      <c r="R7" s="1" t="s">
        <v>334</v>
      </c>
      <c r="S7" s="1" t="s">
        <v>335</v>
      </c>
      <c r="T7" s="1" t="s">
        <v>334</v>
      </c>
      <c r="U7" s="1" t="s">
        <v>334</v>
      </c>
      <c r="V7" s="1" t="s">
        <v>335</v>
      </c>
      <c r="W7" s="1" t="s">
        <v>334</v>
      </c>
      <c r="X7" s="1" t="s">
        <v>335</v>
      </c>
      <c r="Y7" s="1" t="s">
        <v>335</v>
      </c>
      <c r="Z7" s="1">
        <v>1</v>
      </c>
      <c r="AA7" s="1" t="s">
        <v>336</v>
      </c>
      <c r="AB7" s="1">
        <v>0</v>
      </c>
      <c r="AC7" s="1" t="s">
        <v>344</v>
      </c>
      <c r="AD7" s="1">
        <v>1</v>
      </c>
      <c r="AE7" s="1">
        <v>0</v>
      </c>
      <c r="AF7" s="1">
        <v>1</v>
      </c>
      <c r="AG7" s="1" t="s">
        <v>336</v>
      </c>
      <c r="AH7" s="1">
        <v>0</v>
      </c>
      <c r="AI7" s="1" t="s">
        <v>344</v>
      </c>
      <c r="AJ7" s="1">
        <v>1</v>
      </c>
      <c r="AK7" s="1" t="s">
        <v>336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335</v>
      </c>
      <c r="AT7" s="1" t="s">
        <v>334</v>
      </c>
      <c r="AU7" s="1" t="s">
        <v>335</v>
      </c>
      <c r="AV7" s="1" t="s">
        <v>334</v>
      </c>
      <c r="AW7" s="1" t="s">
        <v>335</v>
      </c>
      <c r="AX7" s="1" t="s">
        <v>335</v>
      </c>
      <c r="AY7" s="1" t="s">
        <v>334</v>
      </c>
      <c r="AZ7" s="1" t="s">
        <v>334</v>
      </c>
      <c r="BA7" s="1" t="s">
        <v>334</v>
      </c>
      <c r="BB7" s="1" t="s">
        <v>334</v>
      </c>
      <c r="BC7" s="1" t="s">
        <v>335</v>
      </c>
      <c r="BD7" s="1" t="s">
        <v>335</v>
      </c>
      <c r="BE7" s="1">
        <v>138</v>
      </c>
      <c r="BF7" s="1">
        <v>134</v>
      </c>
      <c r="BG7" s="1">
        <v>4</v>
      </c>
      <c r="BH7" s="1" t="s">
        <v>343</v>
      </c>
      <c r="BI7" s="1" t="s">
        <v>343</v>
      </c>
      <c r="BJ7" s="1" t="s">
        <v>338</v>
      </c>
      <c r="BK7" s="1" t="s">
        <v>338</v>
      </c>
      <c r="BL7" s="1" t="s">
        <v>338</v>
      </c>
      <c r="BM7" s="1" t="s">
        <v>338</v>
      </c>
      <c r="BN7" s="1" t="s">
        <v>338</v>
      </c>
      <c r="BO7" s="1" t="s">
        <v>338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343</v>
      </c>
      <c r="BZ7" s="1"/>
      <c r="CA7" s="1"/>
      <c r="CB7" s="1" t="s">
        <v>343</v>
      </c>
      <c r="CC7" s="1"/>
    </row>
    <row r="8" spans="1:81" x14ac:dyDescent="0.25">
      <c r="A8" s="1" t="s">
        <v>115</v>
      </c>
      <c r="B8" s="1" t="s">
        <v>326</v>
      </c>
      <c r="C8" s="1">
        <v>1610612764</v>
      </c>
      <c r="D8" s="1" t="s">
        <v>357</v>
      </c>
      <c r="E8" s="1" t="s">
        <v>358</v>
      </c>
      <c r="F8" s="1" t="s">
        <v>341</v>
      </c>
      <c r="G8" s="1" t="s">
        <v>334</v>
      </c>
      <c r="H8" s="1">
        <v>4</v>
      </c>
      <c r="I8" s="1" t="s">
        <v>331</v>
      </c>
      <c r="J8" s="1" t="s">
        <v>342</v>
      </c>
      <c r="K8" s="1" t="s">
        <v>335</v>
      </c>
      <c r="L8" s="1">
        <v>2</v>
      </c>
      <c r="M8" s="1">
        <v>1</v>
      </c>
      <c r="N8" s="1">
        <v>0</v>
      </c>
      <c r="O8" s="1">
        <v>1</v>
      </c>
      <c r="P8" s="1">
        <v>0</v>
      </c>
      <c r="Q8" s="1" t="s">
        <v>343</v>
      </c>
      <c r="R8" s="1" t="s">
        <v>335</v>
      </c>
      <c r="S8" s="1" t="s">
        <v>334</v>
      </c>
      <c r="T8" s="1" t="s">
        <v>334</v>
      </c>
      <c r="U8" s="1" t="s">
        <v>335</v>
      </c>
      <c r="V8" s="1" t="s">
        <v>334</v>
      </c>
      <c r="W8" s="1" t="s">
        <v>335</v>
      </c>
      <c r="X8" s="1" t="s">
        <v>335</v>
      </c>
      <c r="Y8" s="1" t="s">
        <v>334</v>
      </c>
      <c r="Z8" s="1">
        <v>0</v>
      </c>
      <c r="AA8" s="1" t="s">
        <v>344</v>
      </c>
      <c r="AB8" s="1">
        <v>1</v>
      </c>
      <c r="AC8" s="1" t="s">
        <v>336</v>
      </c>
      <c r="AD8" s="1">
        <v>1</v>
      </c>
      <c r="AE8" s="1">
        <v>0</v>
      </c>
      <c r="AF8" s="1">
        <v>0</v>
      </c>
      <c r="AG8" s="1" t="s">
        <v>344</v>
      </c>
      <c r="AH8" s="1">
        <v>1</v>
      </c>
      <c r="AI8" s="1" t="s">
        <v>336</v>
      </c>
      <c r="AJ8" s="1">
        <v>1</v>
      </c>
      <c r="AK8" s="1" t="s">
        <v>336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334</v>
      </c>
      <c r="AT8" s="1" t="s">
        <v>335</v>
      </c>
      <c r="AU8" s="1" t="s">
        <v>335</v>
      </c>
      <c r="AV8" s="1" t="s">
        <v>334</v>
      </c>
      <c r="AW8" s="1" t="s">
        <v>335</v>
      </c>
      <c r="AX8" s="1" t="s">
        <v>335</v>
      </c>
      <c r="AY8" s="1" t="s">
        <v>335</v>
      </c>
      <c r="AZ8" s="1" t="s">
        <v>335</v>
      </c>
      <c r="BA8" s="1" t="s">
        <v>334</v>
      </c>
      <c r="BB8" s="1" t="s">
        <v>334</v>
      </c>
      <c r="BC8" s="1" t="s">
        <v>335</v>
      </c>
      <c r="BD8" s="1" t="s">
        <v>335</v>
      </c>
      <c r="BE8" s="1">
        <v>98</v>
      </c>
      <c r="BF8" s="1">
        <v>83</v>
      </c>
      <c r="BG8" s="1">
        <v>15</v>
      </c>
      <c r="BH8" s="1" t="s">
        <v>343</v>
      </c>
      <c r="BI8" s="1" t="s">
        <v>343</v>
      </c>
      <c r="BJ8" s="1" t="s">
        <v>338</v>
      </c>
      <c r="BK8" s="1" t="s">
        <v>338</v>
      </c>
      <c r="BL8" s="1" t="s">
        <v>338</v>
      </c>
      <c r="BM8" s="1" t="s">
        <v>338</v>
      </c>
      <c r="BN8" s="1" t="s">
        <v>338</v>
      </c>
      <c r="BO8" s="1" t="s">
        <v>338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343</v>
      </c>
      <c r="BZ8" s="1"/>
      <c r="CA8" s="1"/>
      <c r="CB8" s="1" t="s">
        <v>343</v>
      </c>
      <c r="CC8" s="1"/>
    </row>
    <row r="9" spans="1:81" x14ac:dyDescent="0.25">
      <c r="A9" s="1" t="s">
        <v>115</v>
      </c>
      <c r="B9" s="1" t="s">
        <v>326</v>
      </c>
      <c r="C9" s="1">
        <v>1610612750</v>
      </c>
      <c r="D9" s="1" t="s">
        <v>359</v>
      </c>
      <c r="E9" s="1" t="s">
        <v>360</v>
      </c>
      <c r="F9" s="1" t="s">
        <v>329</v>
      </c>
      <c r="G9" s="1" t="s">
        <v>334</v>
      </c>
      <c r="H9" s="1">
        <v>4</v>
      </c>
      <c r="I9" s="1" t="s">
        <v>331</v>
      </c>
      <c r="J9" s="1" t="s">
        <v>347</v>
      </c>
      <c r="K9" s="1" t="s">
        <v>335</v>
      </c>
      <c r="L9" s="1">
        <v>2</v>
      </c>
      <c r="M9" s="1">
        <v>1</v>
      </c>
      <c r="N9" s="1">
        <v>0</v>
      </c>
      <c r="O9" s="1">
        <v>1</v>
      </c>
      <c r="P9" s="1">
        <v>0</v>
      </c>
      <c r="Q9" s="1" t="s">
        <v>343</v>
      </c>
      <c r="R9" s="1" t="s">
        <v>334</v>
      </c>
      <c r="S9" s="1" t="s">
        <v>335</v>
      </c>
      <c r="T9" s="1" t="s">
        <v>334</v>
      </c>
      <c r="U9" s="1" t="s">
        <v>334</v>
      </c>
      <c r="V9" s="1" t="s">
        <v>335</v>
      </c>
      <c r="W9" s="1" t="s">
        <v>335</v>
      </c>
      <c r="X9" s="1" t="s">
        <v>335</v>
      </c>
      <c r="Y9" s="1" t="s">
        <v>334</v>
      </c>
      <c r="Z9" s="1">
        <v>1</v>
      </c>
      <c r="AA9" s="1" t="s">
        <v>336</v>
      </c>
      <c r="AB9" s="1">
        <v>0</v>
      </c>
      <c r="AC9" s="1" t="s">
        <v>344</v>
      </c>
      <c r="AD9" s="1">
        <v>1</v>
      </c>
      <c r="AE9" s="1">
        <v>0</v>
      </c>
      <c r="AF9" s="1">
        <v>1</v>
      </c>
      <c r="AG9" s="1" t="s">
        <v>336</v>
      </c>
      <c r="AH9" s="1">
        <v>0</v>
      </c>
      <c r="AI9" s="1" t="s">
        <v>344</v>
      </c>
      <c r="AJ9" s="1">
        <v>1</v>
      </c>
      <c r="AK9" s="1" t="s">
        <v>336</v>
      </c>
      <c r="AL9" s="1">
        <v>0.5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334</v>
      </c>
      <c r="AT9" s="1" t="s">
        <v>335</v>
      </c>
      <c r="AU9" s="1" t="s">
        <v>335</v>
      </c>
      <c r="AV9" s="1" t="s">
        <v>334</v>
      </c>
      <c r="AW9" s="1" t="s">
        <v>335</v>
      </c>
      <c r="AX9" s="1" t="s">
        <v>335</v>
      </c>
      <c r="AY9" s="1" t="s">
        <v>334</v>
      </c>
      <c r="AZ9" s="1" t="s">
        <v>334</v>
      </c>
      <c r="BA9" s="1" t="s">
        <v>334</v>
      </c>
      <c r="BB9" s="1" t="s">
        <v>334</v>
      </c>
      <c r="BC9" s="1" t="s">
        <v>334</v>
      </c>
      <c r="BD9" s="1" t="s">
        <v>334</v>
      </c>
      <c r="BE9" s="1">
        <v>124</v>
      </c>
      <c r="BF9" s="1">
        <v>106</v>
      </c>
      <c r="BG9" s="1">
        <v>18</v>
      </c>
      <c r="BH9" s="1" t="s">
        <v>338</v>
      </c>
      <c r="BI9" s="1" t="s">
        <v>338</v>
      </c>
      <c r="BJ9" s="1" t="s">
        <v>338</v>
      </c>
      <c r="BK9" s="1" t="s">
        <v>338</v>
      </c>
      <c r="BL9" s="1" t="s">
        <v>343</v>
      </c>
      <c r="BM9" s="1" t="s">
        <v>338</v>
      </c>
      <c r="BN9" s="1" t="s">
        <v>338</v>
      </c>
      <c r="BO9" s="1" t="s">
        <v>343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343</v>
      </c>
      <c r="BZ9" s="1"/>
      <c r="CA9" s="1"/>
      <c r="CB9" s="1" t="s">
        <v>343</v>
      </c>
      <c r="CC9" s="1"/>
    </row>
    <row r="10" spans="1:81" x14ac:dyDescent="0.25">
      <c r="A10" s="1" t="s">
        <v>115</v>
      </c>
      <c r="B10" s="1" t="s">
        <v>326</v>
      </c>
      <c r="C10" s="1">
        <v>1610612766</v>
      </c>
      <c r="D10" s="1" t="s">
        <v>361</v>
      </c>
      <c r="E10" s="1" t="s">
        <v>362</v>
      </c>
      <c r="F10" s="1" t="s">
        <v>341</v>
      </c>
      <c r="G10" s="1" t="s">
        <v>334</v>
      </c>
      <c r="H10" s="1">
        <v>5</v>
      </c>
      <c r="I10" s="1" t="s">
        <v>331</v>
      </c>
      <c r="J10" s="1" t="s">
        <v>342</v>
      </c>
      <c r="K10" s="1" t="s">
        <v>335</v>
      </c>
      <c r="L10" s="1">
        <v>3</v>
      </c>
      <c r="M10" s="1">
        <v>1</v>
      </c>
      <c r="N10" s="1">
        <v>0</v>
      </c>
      <c r="O10" s="1">
        <v>1</v>
      </c>
      <c r="P10" s="1">
        <v>0</v>
      </c>
      <c r="Q10" s="1" t="s">
        <v>343</v>
      </c>
      <c r="R10" s="1" t="s">
        <v>334</v>
      </c>
      <c r="S10" s="1" t="s">
        <v>335</v>
      </c>
      <c r="T10" s="1" t="s">
        <v>334</v>
      </c>
      <c r="U10" s="1" t="s">
        <v>334</v>
      </c>
      <c r="V10" s="1" t="s">
        <v>335</v>
      </c>
      <c r="W10" s="1" t="s">
        <v>335</v>
      </c>
      <c r="X10" s="1" t="s">
        <v>334</v>
      </c>
      <c r="Y10" s="1" t="s">
        <v>335</v>
      </c>
      <c r="Z10" s="1">
        <v>1</v>
      </c>
      <c r="AA10" s="1" t="s">
        <v>336</v>
      </c>
      <c r="AB10" s="1">
        <v>0</v>
      </c>
      <c r="AC10" s="1" t="s">
        <v>344</v>
      </c>
      <c r="AD10" s="1">
        <v>1</v>
      </c>
      <c r="AE10" s="1">
        <v>0</v>
      </c>
      <c r="AF10" s="1">
        <v>1</v>
      </c>
      <c r="AG10" s="1" t="s">
        <v>336</v>
      </c>
      <c r="AH10" s="1">
        <v>0</v>
      </c>
      <c r="AI10" s="1" t="s">
        <v>344</v>
      </c>
      <c r="AJ10" s="1">
        <v>1</v>
      </c>
      <c r="AK10" s="1" t="s">
        <v>336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335</v>
      </c>
      <c r="AT10" s="1" t="s">
        <v>334</v>
      </c>
      <c r="AU10" s="1" t="s">
        <v>335</v>
      </c>
      <c r="AV10" s="1" t="s">
        <v>334</v>
      </c>
      <c r="AW10" s="1" t="s">
        <v>335</v>
      </c>
      <c r="AX10" s="1" t="s">
        <v>335</v>
      </c>
      <c r="AY10" s="1" t="s">
        <v>334</v>
      </c>
      <c r="AZ10" s="1" t="s">
        <v>334</v>
      </c>
      <c r="BA10" s="1" t="s">
        <v>334</v>
      </c>
      <c r="BB10" s="1" t="s">
        <v>335</v>
      </c>
      <c r="BC10" s="1" t="s">
        <v>335</v>
      </c>
      <c r="BD10" s="1" t="s">
        <v>334</v>
      </c>
      <c r="BE10" s="1">
        <v>123</v>
      </c>
      <c r="BF10" s="1">
        <v>122</v>
      </c>
      <c r="BG10" s="1">
        <v>1</v>
      </c>
      <c r="BH10" s="1" t="s">
        <v>343</v>
      </c>
      <c r="BI10" s="1" t="s">
        <v>338</v>
      </c>
      <c r="BJ10" s="1" t="s">
        <v>343</v>
      </c>
      <c r="BK10" s="1" t="s">
        <v>338</v>
      </c>
      <c r="BL10" s="1" t="s">
        <v>338</v>
      </c>
      <c r="BM10" s="1" t="s">
        <v>338</v>
      </c>
      <c r="BN10" s="1" t="s">
        <v>338</v>
      </c>
      <c r="BO10" s="1" t="s">
        <v>338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343</v>
      </c>
      <c r="BZ10" s="1"/>
      <c r="CA10" s="1"/>
      <c r="CB10" s="1" t="s">
        <v>343</v>
      </c>
      <c r="CC10" s="1"/>
    </row>
    <row r="11" spans="1:81" x14ac:dyDescent="0.25">
      <c r="A11" s="1" t="s">
        <v>115</v>
      </c>
      <c r="B11" s="1" t="s">
        <v>326</v>
      </c>
      <c r="C11" s="1">
        <v>1610612743</v>
      </c>
      <c r="D11" s="1" t="s">
        <v>363</v>
      </c>
      <c r="E11" s="1" t="s">
        <v>364</v>
      </c>
      <c r="F11" s="1" t="s">
        <v>329</v>
      </c>
      <c r="G11" s="1" t="s">
        <v>334</v>
      </c>
      <c r="H11" s="1">
        <v>5</v>
      </c>
      <c r="I11" s="1" t="s">
        <v>331</v>
      </c>
      <c r="J11" s="1" t="s">
        <v>347</v>
      </c>
      <c r="K11" s="1" t="s">
        <v>335</v>
      </c>
      <c r="L11" s="1">
        <v>3</v>
      </c>
      <c r="M11" s="1">
        <v>1</v>
      </c>
      <c r="N11" s="1">
        <v>0</v>
      </c>
      <c r="O11" s="1">
        <v>1</v>
      </c>
      <c r="P11" s="1">
        <v>0</v>
      </c>
      <c r="Q11" s="1" t="s">
        <v>343</v>
      </c>
      <c r="R11" s="1" t="s">
        <v>335</v>
      </c>
      <c r="S11" s="1" t="s">
        <v>334</v>
      </c>
      <c r="T11" s="1" t="s">
        <v>334</v>
      </c>
      <c r="U11" s="1" t="s">
        <v>335</v>
      </c>
      <c r="V11" s="1" t="s">
        <v>334</v>
      </c>
      <c r="W11" s="1" t="s">
        <v>335</v>
      </c>
      <c r="X11" s="1" t="s">
        <v>335</v>
      </c>
      <c r="Y11" s="1" t="s">
        <v>334</v>
      </c>
      <c r="Z11" s="1">
        <v>0</v>
      </c>
      <c r="AA11" s="1" t="s">
        <v>344</v>
      </c>
      <c r="AB11" s="1">
        <v>1</v>
      </c>
      <c r="AC11" s="1" t="s">
        <v>336</v>
      </c>
      <c r="AD11" s="1">
        <v>1</v>
      </c>
      <c r="AE11" s="1">
        <v>0</v>
      </c>
      <c r="AF11" s="1">
        <v>0</v>
      </c>
      <c r="AG11" s="1" t="s">
        <v>344</v>
      </c>
      <c r="AH11" s="1">
        <v>1</v>
      </c>
      <c r="AI11" s="1" t="s">
        <v>336</v>
      </c>
      <c r="AJ11" s="1">
        <v>1</v>
      </c>
      <c r="AK11" s="1" t="s">
        <v>336</v>
      </c>
      <c r="AL11" s="1">
        <v>0.5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335</v>
      </c>
      <c r="AT11" s="1" t="s">
        <v>334</v>
      </c>
      <c r="AU11" s="1" t="s">
        <v>335</v>
      </c>
      <c r="AV11" s="1" t="s">
        <v>334</v>
      </c>
      <c r="AW11" s="1" t="s">
        <v>335</v>
      </c>
      <c r="AX11" s="1" t="s">
        <v>335</v>
      </c>
      <c r="AY11" s="1" t="s">
        <v>334</v>
      </c>
      <c r="AZ11" s="1" t="s">
        <v>335</v>
      </c>
      <c r="BA11" s="1" t="s">
        <v>334</v>
      </c>
      <c r="BB11" s="1" t="s">
        <v>334</v>
      </c>
      <c r="BC11" s="1" t="s">
        <v>334</v>
      </c>
      <c r="BD11" s="1" t="s">
        <v>335</v>
      </c>
      <c r="BE11" s="1">
        <v>110</v>
      </c>
      <c r="BF11" s="1">
        <v>98</v>
      </c>
      <c r="BG11" s="1">
        <v>12</v>
      </c>
      <c r="BH11" s="1" t="s">
        <v>338</v>
      </c>
      <c r="BI11" s="1" t="s">
        <v>338</v>
      </c>
      <c r="BJ11" s="1" t="s">
        <v>338</v>
      </c>
      <c r="BK11" s="1" t="s">
        <v>338</v>
      </c>
      <c r="BL11" s="1" t="s">
        <v>343</v>
      </c>
      <c r="BM11" s="1" t="s">
        <v>338</v>
      </c>
      <c r="BN11" s="1" t="s">
        <v>343</v>
      </c>
      <c r="BO11" s="1" t="s">
        <v>338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343</v>
      </c>
      <c r="BZ11" s="1"/>
      <c r="CA11" s="1"/>
      <c r="CB11" s="1" t="s">
        <v>343</v>
      </c>
      <c r="CC11" s="1"/>
    </row>
    <row r="12" spans="1:81" x14ac:dyDescent="0.25">
      <c r="A12" s="1" t="s">
        <v>115</v>
      </c>
      <c r="B12" s="1" t="s">
        <v>326</v>
      </c>
      <c r="C12" s="1">
        <v>1610612737</v>
      </c>
      <c r="D12" s="1" t="s">
        <v>365</v>
      </c>
      <c r="E12" s="1" t="s">
        <v>98</v>
      </c>
      <c r="F12" s="1" t="s">
        <v>341</v>
      </c>
      <c r="G12" s="1" t="s">
        <v>335</v>
      </c>
      <c r="H12" s="1">
        <v>6</v>
      </c>
      <c r="I12" s="1" t="s">
        <v>331</v>
      </c>
      <c r="J12" s="1" t="s">
        <v>342</v>
      </c>
      <c r="K12" s="1" t="s">
        <v>335</v>
      </c>
      <c r="L12" s="1">
        <v>4</v>
      </c>
      <c r="M12" s="1">
        <v>1</v>
      </c>
      <c r="N12" s="1">
        <v>0</v>
      </c>
      <c r="O12" s="1">
        <v>1</v>
      </c>
      <c r="P12" s="1">
        <v>0</v>
      </c>
      <c r="Q12" s="1" t="s">
        <v>343</v>
      </c>
      <c r="R12" s="1" t="s">
        <v>334</v>
      </c>
      <c r="S12" s="1" t="s">
        <v>335</v>
      </c>
      <c r="T12" s="1" t="s">
        <v>334</v>
      </c>
      <c r="U12" s="1" t="s">
        <v>334</v>
      </c>
      <c r="V12" s="1" t="s">
        <v>335</v>
      </c>
      <c r="W12" s="1" t="s">
        <v>335</v>
      </c>
      <c r="X12" s="1" t="s">
        <v>335</v>
      </c>
      <c r="Y12" s="1" t="s">
        <v>334</v>
      </c>
      <c r="Z12" s="1">
        <v>1</v>
      </c>
      <c r="AA12" s="1" t="s">
        <v>336</v>
      </c>
      <c r="AB12" s="1">
        <v>0</v>
      </c>
      <c r="AC12" s="1" t="s">
        <v>344</v>
      </c>
      <c r="AD12" s="1">
        <v>1</v>
      </c>
      <c r="AE12" s="1">
        <v>0</v>
      </c>
      <c r="AF12" s="1">
        <v>1</v>
      </c>
      <c r="AG12" s="1" t="s">
        <v>336</v>
      </c>
      <c r="AH12" s="1">
        <v>0</v>
      </c>
      <c r="AI12" s="1" t="s">
        <v>344</v>
      </c>
      <c r="AJ12" s="1">
        <v>1</v>
      </c>
      <c r="AK12" s="1" t="s">
        <v>336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334</v>
      </c>
      <c r="AT12" s="1" t="s">
        <v>335</v>
      </c>
      <c r="AU12" s="1" t="s">
        <v>335</v>
      </c>
      <c r="AV12" s="1" t="s">
        <v>334</v>
      </c>
      <c r="AW12" s="1" t="s">
        <v>335</v>
      </c>
      <c r="AX12" s="1" t="s">
        <v>335</v>
      </c>
      <c r="AY12" s="1" t="s">
        <v>334</v>
      </c>
      <c r="AZ12" s="1" t="s">
        <v>335</v>
      </c>
      <c r="BA12" s="1" t="s">
        <v>334</v>
      </c>
      <c r="BB12" s="1" t="s">
        <v>334</v>
      </c>
      <c r="BC12" s="1" t="s">
        <v>334</v>
      </c>
      <c r="BD12" s="1" t="s">
        <v>334</v>
      </c>
      <c r="BE12" s="1">
        <v>113</v>
      </c>
      <c r="BF12" s="1">
        <v>87</v>
      </c>
      <c r="BG12" s="1">
        <v>26</v>
      </c>
      <c r="BH12" s="1" t="s">
        <v>338</v>
      </c>
      <c r="BI12" s="1" t="s">
        <v>338</v>
      </c>
      <c r="BJ12" s="1" t="s">
        <v>338</v>
      </c>
      <c r="BK12" s="1" t="s">
        <v>338</v>
      </c>
      <c r="BL12" s="1" t="s">
        <v>343</v>
      </c>
      <c r="BM12" s="1" t="s">
        <v>338</v>
      </c>
      <c r="BN12" s="1" t="s">
        <v>338</v>
      </c>
      <c r="BO12" s="1" t="s">
        <v>343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343</v>
      </c>
      <c r="BZ12" s="1"/>
      <c r="CA12" s="1"/>
      <c r="CB12" s="1" t="s">
        <v>343</v>
      </c>
      <c r="CC12" s="1"/>
    </row>
    <row r="13" spans="1:81" x14ac:dyDescent="0.25">
      <c r="A13" s="1" t="s">
        <v>115</v>
      </c>
      <c r="B13" s="1" t="s">
        <v>326</v>
      </c>
      <c r="C13" s="1">
        <v>1610612758</v>
      </c>
      <c r="D13" s="1" t="s">
        <v>366</v>
      </c>
      <c r="E13" s="1" t="s">
        <v>367</v>
      </c>
      <c r="F13" s="1" t="s">
        <v>329</v>
      </c>
      <c r="G13" s="1" t="s">
        <v>334</v>
      </c>
      <c r="H13" s="1">
        <v>6</v>
      </c>
      <c r="I13" s="1" t="s">
        <v>331</v>
      </c>
      <c r="J13" s="1" t="s">
        <v>332</v>
      </c>
      <c r="K13" s="1" t="s">
        <v>335</v>
      </c>
      <c r="L13" s="1">
        <v>2</v>
      </c>
      <c r="M13" s="1">
        <v>1</v>
      </c>
      <c r="N13" s="1">
        <v>0</v>
      </c>
      <c r="O13" s="1">
        <v>1</v>
      </c>
      <c r="P13" s="1">
        <v>0</v>
      </c>
      <c r="Q13" s="1" t="s">
        <v>343</v>
      </c>
      <c r="R13" s="1" t="s">
        <v>335</v>
      </c>
      <c r="S13" s="1" t="s">
        <v>334</v>
      </c>
      <c r="T13" s="1" t="s">
        <v>334</v>
      </c>
      <c r="U13" s="1" t="s">
        <v>335</v>
      </c>
      <c r="V13" s="1" t="s">
        <v>334</v>
      </c>
      <c r="W13" s="1" t="s">
        <v>335</v>
      </c>
      <c r="X13" s="1" t="s">
        <v>334</v>
      </c>
      <c r="Y13" s="1" t="s">
        <v>335</v>
      </c>
      <c r="Z13" s="1">
        <v>0</v>
      </c>
      <c r="AA13" s="1" t="s">
        <v>344</v>
      </c>
      <c r="AB13" s="1">
        <v>1</v>
      </c>
      <c r="AC13" s="1" t="s">
        <v>336</v>
      </c>
      <c r="AD13" s="1">
        <v>1</v>
      </c>
      <c r="AE13" s="1">
        <v>0</v>
      </c>
      <c r="AF13" s="1">
        <v>0</v>
      </c>
      <c r="AG13" s="1" t="s">
        <v>344</v>
      </c>
      <c r="AH13" s="1">
        <v>1</v>
      </c>
      <c r="AI13" s="1" t="s">
        <v>336</v>
      </c>
      <c r="AJ13" s="1">
        <v>1</v>
      </c>
      <c r="AK13" s="1" t="s">
        <v>336</v>
      </c>
      <c r="AL13" s="1">
        <v>0.5</v>
      </c>
      <c r="AM13" s="1">
        <v>0.5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334</v>
      </c>
      <c r="AT13" s="1" t="s">
        <v>335</v>
      </c>
      <c r="AU13" s="1" t="s">
        <v>335</v>
      </c>
      <c r="AV13" s="1" t="s">
        <v>334</v>
      </c>
      <c r="AW13" s="1" t="s">
        <v>335</v>
      </c>
      <c r="AX13" s="1" t="s">
        <v>335</v>
      </c>
      <c r="AY13" s="1" t="s">
        <v>334</v>
      </c>
      <c r="AZ13" s="1" t="s">
        <v>334</v>
      </c>
      <c r="BA13" s="1" t="s">
        <v>334</v>
      </c>
      <c r="BB13" s="1" t="s">
        <v>335</v>
      </c>
      <c r="BC13" s="1" t="s">
        <v>335</v>
      </c>
      <c r="BD13" s="1" t="s">
        <v>334</v>
      </c>
      <c r="BE13" s="1">
        <v>124</v>
      </c>
      <c r="BF13" s="1">
        <v>121</v>
      </c>
      <c r="BG13" s="1">
        <v>3</v>
      </c>
      <c r="BH13" s="1" t="s">
        <v>338</v>
      </c>
      <c r="BI13" s="1" t="s">
        <v>338</v>
      </c>
      <c r="BJ13" s="1" t="s">
        <v>338</v>
      </c>
      <c r="BK13" s="1" t="s">
        <v>338</v>
      </c>
      <c r="BL13" s="1" t="s">
        <v>343</v>
      </c>
      <c r="BM13" s="1" t="s">
        <v>343</v>
      </c>
      <c r="BN13" s="1" t="s">
        <v>338</v>
      </c>
      <c r="BO13" s="1" t="s">
        <v>338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343</v>
      </c>
      <c r="BZ13" s="1"/>
      <c r="CA13" s="1"/>
      <c r="CB13" s="1" t="s">
        <v>343</v>
      </c>
      <c r="CC13" s="1"/>
    </row>
    <row r="14" spans="1:81" x14ac:dyDescent="0.25">
      <c r="A14" s="1" t="s">
        <v>115</v>
      </c>
      <c r="B14" s="1" t="s">
        <v>326</v>
      </c>
      <c r="C14" s="1">
        <v>1610612763</v>
      </c>
      <c r="D14" s="1" t="s">
        <v>156</v>
      </c>
      <c r="E14" s="1" t="s">
        <v>368</v>
      </c>
      <c r="F14" s="1" t="s">
        <v>329</v>
      </c>
      <c r="G14" s="1" t="s">
        <v>335</v>
      </c>
      <c r="H14" s="1">
        <v>7</v>
      </c>
      <c r="I14" s="1" t="s">
        <v>331</v>
      </c>
      <c r="J14" s="1" t="s">
        <v>353</v>
      </c>
      <c r="K14" s="1" t="s">
        <v>335</v>
      </c>
      <c r="L14" s="1">
        <v>2</v>
      </c>
      <c r="M14" s="1">
        <v>1</v>
      </c>
      <c r="N14" s="1">
        <v>0</v>
      </c>
      <c r="O14" s="1">
        <v>1</v>
      </c>
      <c r="P14" s="1">
        <v>0</v>
      </c>
      <c r="Q14" s="1" t="s">
        <v>343</v>
      </c>
      <c r="R14" s="1" t="s">
        <v>334</v>
      </c>
      <c r="S14" s="1" t="s">
        <v>335</v>
      </c>
      <c r="T14" s="1" t="s">
        <v>334</v>
      </c>
      <c r="U14" s="1" t="s">
        <v>334</v>
      </c>
      <c r="V14" s="1" t="s">
        <v>335</v>
      </c>
      <c r="W14" s="1" t="s">
        <v>335</v>
      </c>
      <c r="X14" s="1" t="s">
        <v>335</v>
      </c>
      <c r="Y14" s="1" t="s">
        <v>334</v>
      </c>
      <c r="Z14" s="1">
        <v>1</v>
      </c>
      <c r="AA14" s="1" t="s">
        <v>336</v>
      </c>
      <c r="AB14" s="1">
        <v>0</v>
      </c>
      <c r="AC14" s="1" t="s">
        <v>344</v>
      </c>
      <c r="AD14" s="1">
        <v>1</v>
      </c>
      <c r="AE14" s="1">
        <v>0</v>
      </c>
      <c r="AF14" s="1">
        <v>1</v>
      </c>
      <c r="AG14" s="1" t="s">
        <v>336</v>
      </c>
      <c r="AH14" s="1">
        <v>0</v>
      </c>
      <c r="AI14" s="1" t="s">
        <v>344</v>
      </c>
      <c r="AJ14" s="1">
        <v>1</v>
      </c>
      <c r="AK14" s="1" t="s">
        <v>336</v>
      </c>
      <c r="AL14" s="1">
        <v>0.5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334</v>
      </c>
      <c r="AT14" s="1" t="s">
        <v>335</v>
      </c>
      <c r="AU14" s="1" t="s">
        <v>335</v>
      </c>
      <c r="AV14" s="1" t="s">
        <v>334</v>
      </c>
      <c r="AW14" s="1" t="s">
        <v>335</v>
      </c>
      <c r="AX14" s="1" t="s">
        <v>335</v>
      </c>
      <c r="AY14" s="1" t="s">
        <v>334</v>
      </c>
      <c r="AZ14" s="1" t="s">
        <v>334</v>
      </c>
      <c r="BA14" s="1" t="s">
        <v>334</v>
      </c>
      <c r="BB14" s="1" t="s">
        <v>334</v>
      </c>
      <c r="BC14" s="1" t="s">
        <v>334</v>
      </c>
      <c r="BD14" s="1" t="s">
        <v>335</v>
      </c>
      <c r="BE14" s="1">
        <v>132</v>
      </c>
      <c r="BF14" s="1">
        <v>121</v>
      </c>
      <c r="BG14" s="1">
        <v>11</v>
      </c>
      <c r="BH14" s="1" t="s">
        <v>343</v>
      </c>
      <c r="BI14" s="1" t="s">
        <v>338</v>
      </c>
      <c r="BJ14" s="1" t="s">
        <v>343</v>
      </c>
      <c r="BK14" s="1" t="s">
        <v>338</v>
      </c>
      <c r="BL14" s="1" t="s">
        <v>338</v>
      </c>
      <c r="BM14" s="1" t="s">
        <v>338</v>
      </c>
      <c r="BN14" s="1" t="s">
        <v>338</v>
      </c>
      <c r="BO14" s="1" t="s">
        <v>338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343</v>
      </c>
      <c r="BZ14" s="1"/>
      <c r="CA14" s="1"/>
      <c r="CB14" s="1" t="s">
        <v>343</v>
      </c>
      <c r="CC14" s="1"/>
    </row>
    <row r="15" spans="1:81" x14ac:dyDescent="0.25">
      <c r="A15" s="1" t="s">
        <v>115</v>
      </c>
      <c r="B15" s="1" t="s">
        <v>326</v>
      </c>
      <c r="C15" s="1">
        <v>1610612755</v>
      </c>
      <c r="D15" s="1" t="s">
        <v>369</v>
      </c>
      <c r="E15" s="1" t="s">
        <v>370</v>
      </c>
      <c r="F15" s="1" t="s">
        <v>341</v>
      </c>
      <c r="G15" s="1" t="s">
        <v>335</v>
      </c>
      <c r="H15" s="1">
        <v>7</v>
      </c>
      <c r="I15" s="1" t="s">
        <v>331</v>
      </c>
      <c r="J15" s="1" t="s">
        <v>356</v>
      </c>
      <c r="K15" s="1" t="s">
        <v>335</v>
      </c>
      <c r="L15" s="1">
        <v>2</v>
      </c>
      <c r="M15" s="1">
        <v>1</v>
      </c>
      <c r="N15" s="1">
        <v>0</v>
      </c>
      <c r="O15" s="1">
        <v>1</v>
      </c>
      <c r="P15" s="1">
        <v>0</v>
      </c>
      <c r="Q15" s="1" t="s">
        <v>343</v>
      </c>
      <c r="R15" s="1" t="s">
        <v>335</v>
      </c>
      <c r="S15" s="1" t="s">
        <v>334</v>
      </c>
      <c r="T15" s="1" t="s">
        <v>334</v>
      </c>
      <c r="U15" s="1" t="s">
        <v>335</v>
      </c>
      <c r="V15" s="1" t="s">
        <v>334</v>
      </c>
      <c r="W15" s="1" t="s">
        <v>335</v>
      </c>
      <c r="X15" s="1" t="s">
        <v>335</v>
      </c>
      <c r="Y15" s="1" t="s">
        <v>334</v>
      </c>
      <c r="Z15" s="1">
        <v>0</v>
      </c>
      <c r="AA15" s="1" t="s">
        <v>344</v>
      </c>
      <c r="AB15" s="1">
        <v>1</v>
      </c>
      <c r="AC15" s="1" t="s">
        <v>336</v>
      </c>
      <c r="AD15" s="1">
        <v>1</v>
      </c>
      <c r="AE15" s="1">
        <v>0</v>
      </c>
      <c r="AF15" s="1">
        <v>0</v>
      </c>
      <c r="AG15" s="1" t="s">
        <v>344</v>
      </c>
      <c r="AH15" s="1">
        <v>1</v>
      </c>
      <c r="AI15" s="1" t="s">
        <v>336</v>
      </c>
      <c r="AJ15" s="1">
        <v>1</v>
      </c>
      <c r="AK15" s="1" t="s">
        <v>336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335</v>
      </c>
      <c r="AT15" s="1" t="s">
        <v>335</v>
      </c>
      <c r="AU15" s="1" t="s">
        <v>334</v>
      </c>
      <c r="AV15" s="1" t="s">
        <v>334</v>
      </c>
      <c r="AW15" s="1" t="s">
        <v>335</v>
      </c>
      <c r="AX15" s="1" t="s">
        <v>335</v>
      </c>
      <c r="AY15" s="1" t="s">
        <v>334</v>
      </c>
      <c r="AZ15" s="1" t="s">
        <v>335</v>
      </c>
      <c r="BA15" s="1" t="s">
        <v>334</v>
      </c>
      <c r="BB15" s="1" t="s">
        <v>334</v>
      </c>
      <c r="BC15" s="1" t="s">
        <v>334</v>
      </c>
      <c r="BD15" s="1" t="s">
        <v>334</v>
      </c>
      <c r="BE15" s="1">
        <v>117</v>
      </c>
      <c r="BF15" s="1">
        <v>97</v>
      </c>
      <c r="BG15" s="1">
        <v>20</v>
      </c>
      <c r="BH15" s="1" t="s">
        <v>338</v>
      </c>
      <c r="BI15" s="1" t="s">
        <v>338</v>
      </c>
      <c r="BJ15" s="1" t="s">
        <v>338</v>
      </c>
      <c r="BK15" s="1" t="s">
        <v>338</v>
      </c>
      <c r="BL15" s="1" t="s">
        <v>343</v>
      </c>
      <c r="BM15" s="1" t="s">
        <v>338</v>
      </c>
      <c r="BN15" s="1" t="s">
        <v>338</v>
      </c>
      <c r="BO15" s="1" t="s">
        <v>343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343</v>
      </c>
      <c r="BZ15" s="1"/>
      <c r="CA15" s="1"/>
      <c r="CB15" s="1" t="s">
        <v>343</v>
      </c>
      <c r="CC15" s="1"/>
    </row>
    <row r="16" spans="1:81" x14ac:dyDescent="0.25">
      <c r="A16" s="1" t="s">
        <v>115</v>
      </c>
      <c r="B16" s="1" t="s">
        <v>326</v>
      </c>
      <c r="C16" s="1">
        <v>1610612749</v>
      </c>
      <c r="D16" s="1" t="s">
        <v>371</v>
      </c>
      <c r="E16" s="1" t="s">
        <v>372</v>
      </c>
      <c r="F16" s="1" t="s">
        <v>341</v>
      </c>
      <c r="G16" s="1" t="s">
        <v>373</v>
      </c>
      <c r="H16" s="1">
        <v>8</v>
      </c>
      <c r="I16" s="1" t="s">
        <v>331</v>
      </c>
      <c r="J16" s="1" t="s">
        <v>350</v>
      </c>
      <c r="K16" s="1" t="s">
        <v>335</v>
      </c>
      <c r="L16" s="1">
        <v>2</v>
      </c>
      <c r="M16" s="1">
        <v>1</v>
      </c>
      <c r="N16" s="1">
        <v>1</v>
      </c>
      <c r="O16" s="1">
        <v>0.5</v>
      </c>
      <c r="P16" s="1">
        <v>0</v>
      </c>
      <c r="Q16" s="1" t="s">
        <v>374</v>
      </c>
      <c r="R16" s="1" t="s">
        <v>334</v>
      </c>
      <c r="S16" s="1" t="s">
        <v>375</v>
      </c>
      <c r="T16" s="1" t="s">
        <v>373</v>
      </c>
      <c r="U16" s="1" t="s">
        <v>334</v>
      </c>
      <c r="V16" s="1" t="s">
        <v>375</v>
      </c>
      <c r="W16" s="1" t="s">
        <v>335</v>
      </c>
      <c r="X16" s="1" t="s">
        <v>335</v>
      </c>
      <c r="Y16" s="1" t="s">
        <v>373</v>
      </c>
      <c r="Z16" s="1">
        <v>1</v>
      </c>
      <c r="AA16" s="1" t="s">
        <v>336</v>
      </c>
      <c r="AB16" s="1">
        <v>-1</v>
      </c>
      <c r="AC16" s="1" t="s">
        <v>376</v>
      </c>
      <c r="AD16" s="1">
        <v>1</v>
      </c>
      <c r="AE16" s="1">
        <v>1</v>
      </c>
      <c r="AF16" s="1">
        <v>1</v>
      </c>
      <c r="AG16" s="1" t="s">
        <v>336</v>
      </c>
      <c r="AH16" s="1">
        <v>-1</v>
      </c>
      <c r="AI16" s="1" t="s">
        <v>376</v>
      </c>
      <c r="AJ16" s="1">
        <v>-1</v>
      </c>
      <c r="AK16" s="1" t="s">
        <v>376</v>
      </c>
      <c r="AL16" s="1">
        <v>0.5</v>
      </c>
      <c r="AM16" s="1">
        <v>0.5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334</v>
      </c>
      <c r="AT16" s="1" t="s">
        <v>375</v>
      </c>
      <c r="AU16" s="1" t="s">
        <v>335</v>
      </c>
      <c r="AV16" s="1" t="s">
        <v>334</v>
      </c>
      <c r="AW16" s="1" t="s">
        <v>375</v>
      </c>
      <c r="AX16" s="1" t="s">
        <v>335</v>
      </c>
      <c r="AY16" s="1" t="s">
        <v>334</v>
      </c>
      <c r="AZ16" s="1" t="s">
        <v>373</v>
      </c>
      <c r="BA16" s="1" t="s">
        <v>373</v>
      </c>
      <c r="BB16" s="1" t="s">
        <v>334</v>
      </c>
      <c r="BC16" s="1" t="s">
        <v>334</v>
      </c>
      <c r="BD16" s="1" t="s">
        <v>334</v>
      </c>
      <c r="BE16" s="1">
        <v>111</v>
      </c>
      <c r="BF16" s="1">
        <v>120.5</v>
      </c>
      <c r="BG16" s="1">
        <v>-9.5</v>
      </c>
      <c r="BH16" s="1" t="s">
        <v>374</v>
      </c>
      <c r="BI16" s="1" t="s">
        <v>343</v>
      </c>
      <c r="BJ16" s="1" t="s">
        <v>338</v>
      </c>
      <c r="BK16" s="1" t="s">
        <v>377</v>
      </c>
      <c r="BL16" s="1" t="s">
        <v>338</v>
      </c>
      <c r="BM16" s="1" t="s">
        <v>338</v>
      </c>
      <c r="BN16" s="1" t="s">
        <v>338</v>
      </c>
      <c r="BO16" s="1" t="s">
        <v>338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374</v>
      </c>
      <c r="BZ16" s="1"/>
      <c r="CA16" s="1"/>
      <c r="CB16" s="1" t="s">
        <v>374</v>
      </c>
      <c r="CC16" s="1"/>
    </row>
    <row r="17" spans="1:81" x14ac:dyDescent="0.25">
      <c r="A17" s="1" t="s">
        <v>115</v>
      </c>
      <c r="B17" s="1" t="s">
        <v>326</v>
      </c>
      <c r="C17" s="1">
        <v>1610612746</v>
      </c>
      <c r="D17" s="1" t="s">
        <v>378</v>
      </c>
      <c r="E17" s="1" t="s">
        <v>379</v>
      </c>
      <c r="F17" s="1" t="s">
        <v>329</v>
      </c>
      <c r="G17" s="1" t="s">
        <v>375</v>
      </c>
      <c r="H17" s="1">
        <v>8</v>
      </c>
      <c r="I17" s="1" t="s">
        <v>331</v>
      </c>
      <c r="J17" s="1" t="s">
        <v>332</v>
      </c>
      <c r="K17" s="1" t="s">
        <v>375</v>
      </c>
      <c r="L17" s="1">
        <v>3</v>
      </c>
      <c r="M17" s="1">
        <v>0</v>
      </c>
      <c r="N17" s="1">
        <v>1</v>
      </c>
      <c r="O17" s="1">
        <v>0</v>
      </c>
      <c r="P17" s="1">
        <v>0</v>
      </c>
      <c r="Q17" s="1" t="s">
        <v>377</v>
      </c>
      <c r="R17" s="1" t="s">
        <v>335</v>
      </c>
      <c r="S17" s="1" t="s">
        <v>375</v>
      </c>
      <c r="T17" s="1" t="s">
        <v>375</v>
      </c>
      <c r="U17" s="1" t="s">
        <v>335</v>
      </c>
      <c r="V17" s="1" t="s">
        <v>375</v>
      </c>
      <c r="W17" s="1" t="s">
        <v>335</v>
      </c>
      <c r="X17" s="1" t="s">
        <v>375</v>
      </c>
      <c r="Y17" s="1" t="s">
        <v>335</v>
      </c>
      <c r="Z17" s="1">
        <v>0</v>
      </c>
      <c r="AA17" s="1" t="s">
        <v>344</v>
      </c>
      <c r="AB17" s="1">
        <v>-1</v>
      </c>
      <c r="AC17" s="1" t="s">
        <v>376</v>
      </c>
      <c r="AD17" s="1">
        <v>0</v>
      </c>
      <c r="AE17" s="1">
        <v>1</v>
      </c>
      <c r="AF17" s="1">
        <v>0</v>
      </c>
      <c r="AG17" s="1" t="s">
        <v>344</v>
      </c>
      <c r="AH17" s="1">
        <v>-1</v>
      </c>
      <c r="AI17" s="1" t="s">
        <v>376</v>
      </c>
      <c r="AJ17" s="1">
        <v>-1</v>
      </c>
      <c r="AK17" s="1" t="s">
        <v>376</v>
      </c>
      <c r="AL17" s="1">
        <v>1.5</v>
      </c>
      <c r="AM17" s="1">
        <v>1.5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375</v>
      </c>
      <c r="AT17" s="1" t="s">
        <v>335</v>
      </c>
      <c r="AU17" s="1" t="s">
        <v>335</v>
      </c>
      <c r="AV17" s="1" t="s">
        <v>375</v>
      </c>
      <c r="AW17" s="1" t="s">
        <v>335</v>
      </c>
      <c r="AX17" s="1" t="s">
        <v>335</v>
      </c>
      <c r="AY17" s="1" t="s">
        <v>375</v>
      </c>
      <c r="AZ17" s="1" t="s">
        <v>375</v>
      </c>
      <c r="BA17" s="1" t="s">
        <v>375</v>
      </c>
      <c r="BB17" s="1" t="s">
        <v>335</v>
      </c>
      <c r="BC17" s="1" t="s">
        <v>335</v>
      </c>
      <c r="BD17" s="1" t="s">
        <v>375</v>
      </c>
      <c r="BE17" s="1">
        <v>113</v>
      </c>
      <c r="BF17" s="1">
        <v>115</v>
      </c>
      <c r="BG17" s="1">
        <v>-2</v>
      </c>
      <c r="BH17" s="1" t="s">
        <v>338</v>
      </c>
      <c r="BI17" s="1" t="s">
        <v>338</v>
      </c>
      <c r="BJ17" s="1" t="s">
        <v>338</v>
      </c>
      <c r="BK17" s="1" t="s">
        <v>338</v>
      </c>
      <c r="BL17" s="1" t="s">
        <v>377</v>
      </c>
      <c r="BM17" s="1" t="s">
        <v>338</v>
      </c>
      <c r="BN17" s="1" t="s">
        <v>377</v>
      </c>
      <c r="BO17" s="1" t="s">
        <v>338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377</v>
      </c>
      <c r="BZ17" s="1"/>
      <c r="CA17" s="1"/>
      <c r="CB17" s="1" t="s">
        <v>377</v>
      </c>
      <c r="CC17" s="1"/>
    </row>
    <row r="18" spans="1:81" x14ac:dyDescent="0.25">
      <c r="A18" s="1" t="s">
        <v>115</v>
      </c>
      <c r="B18" s="1" t="s">
        <v>326</v>
      </c>
      <c r="C18" s="1">
        <v>1610612754</v>
      </c>
      <c r="D18" s="1" t="s">
        <v>142</v>
      </c>
      <c r="E18" s="1" t="s">
        <v>380</v>
      </c>
      <c r="F18" s="1" t="s">
        <v>341</v>
      </c>
      <c r="G18" s="1" t="s">
        <v>375</v>
      </c>
      <c r="H18" s="1">
        <v>9</v>
      </c>
      <c r="I18" s="1" t="s">
        <v>331</v>
      </c>
      <c r="J18" s="1" t="s">
        <v>350</v>
      </c>
      <c r="K18" s="1" t="s">
        <v>335</v>
      </c>
      <c r="L18" s="1">
        <v>4</v>
      </c>
      <c r="M18" s="1">
        <v>0</v>
      </c>
      <c r="N18" s="1">
        <v>1</v>
      </c>
      <c r="O18" s="1">
        <v>0</v>
      </c>
      <c r="P18" s="1">
        <v>0</v>
      </c>
      <c r="Q18" s="1" t="s">
        <v>377</v>
      </c>
      <c r="R18" s="1" t="s">
        <v>335</v>
      </c>
      <c r="S18" s="1" t="s">
        <v>375</v>
      </c>
      <c r="T18" s="1" t="s">
        <v>375</v>
      </c>
      <c r="U18" s="1" t="s">
        <v>335</v>
      </c>
      <c r="V18" s="1" t="s">
        <v>375</v>
      </c>
      <c r="W18" s="1" t="s">
        <v>335</v>
      </c>
      <c r="X18" s="1" t="s">
        <v>375</v>
      </c>
      <c r="Y18" s="1" t="s">
        <v>335</v>
      </c>
      <c r="Z18" s="1">
        <v>0</v>
      </c>
      <c r="AA18" s="1" t="s">
        <v>344</v>
      </c>
      <c r="AB18" s="1">
        <v>-1</v>
      </c>
      <c r="AC18" s="1" t="s">
        <v>376</v>
      </c>
      <c r="AD18" s="1">
        <v>0</v>
      </c>
      <c r="AE18" s="1">
        <v>1</v>
      </c>
      <c r="AF18" s="1">
        <v>0</v>
      </c>
      <c r="AG18" s="1" t="s">
        <v>344</v>
      </c>
      <c r="AH18" s="1">
        <v>-1</v>
      </c>
      <c r="AI18" s="1" t="s">
        <v>376</v>
      </c>
      <c r="AJ18" s="1">
        <v>-1</v>
      </c>
      <c r="AK18" s="1" t="s">
        <v>376</v>
      </c>
      <c r="AL18" s="1">
        <v>1</v>
      </c>
      <c r="AM18" s="1">
        <v>1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375</v>
      </c>
      <c r="AT18" s="1" t="s">
        <v>335</v>
      </c>
      <c r="AU18" s="1" t="s">
        <v>335</v>
      </c>
      <c r="AV18" s="1" t="s">
        <v>335</v>
      </c>
      <c r="AW18" s="1" t="s">
        <v>375</v>
      </c>
      <c r="AX18" s="1" t="s">
        <v>335</v>
      </c>
      <c r="AY18" s="1" t="s">
        <v>375</v>
      </c>
      <c r="AZ18" s="1" t="s">
        <v>375</v>
      </c>
      <c r="BA18" s="1" t="s">
        <v>375</v>
      </c>
      <c r="BB18" s="1" t="s">
        <v>375</v>
      </c>
      <c r="BC18" s="1" t="s">
        <v>375</v>
      </c>
      <c r="BD18" s="1" t="s">
        <v>335</v>
      </c>
      <c r="BE18" s="1">
        <v>122</v>
      </c>
      <c r="BF18" s="1">
        <v>123</v>
      </c>
      <c r="BG18" s="1">
        <v>-1</v>
      </c>
      <c r="BH18" s="1" t="s">
        <v>377</v>
      </c>
      <c r="BI18" s="1" t="s">
        <v>338</v>
      </c>
      <c r="BJ18" s="1" t="s">
        <v>338</v>
      </c>
      <c r="BK18" s="1" t="s">
        <v>377</v>
      </c>
      <c r="BL18" s="1" t="s">
        <v>338</v>
      </c>
      <c r="BM18" s="1" t="s">
        <v>338</v>
      </c>
      <c r="BN18" s="1" t="s">
        <v>338</v>
      </c>
      <c r="BO18" s="1" t="s">
        <v>338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377</v>
      </c>
      <c r="BZ18" s="1"/>
      <c r="CA18" s="1"/>
      <c r="CB18" s="1" t="s">
        <v>377</v>
      </c>
      <c r="CC18" s="1"/>
    </row>
    <row r="19" spans="1:81" x14ac:dyDescent="0.25">
      <c r="A19" s="1" t="s">
        <v>115</v>
      </c>
      <c r="B19" s="1" t="s">
        <v>326</v>
      </c>
      <c r="C19" s="1">
        <v>1610612757</v>
      </c>
      <c r="D19" s="1" t="s">
        <v>381</v>
      </c>
      <c r="E19" s="1" t="s">
        <v>382</v>
      </c>
      <c r="F19" s="1" t="s">
        <v>329</v>
      </c>
      <c r="G19" s="1" t="s">
        <v>375</v>
      </c>
      <c r="H19" s="1">
        <v>9</v>
      </c>
      <c r="I19" s="1" t="s">
        <v>331</v>
      </c>
      <c r="J19" s="1" t="s">
        <v>347</v>
      </c>
      <c r="K19" s="1" t="s">
        <v>335</v>
      </c>
      <c r="L19" s="1">
        <v>5</v>
      </c>
      <c r="M19" s="1">
        <v>0</v>
      </c>
      <c r="N19" s="1">
        <v>1</v>
      </c>
      <c r="O19" s="1">
        <v>0</v>
      </c>
      <c r="P19" s="1">
        <v>0</v>
      </c>
      <c r="Q19" s="1" t="s">
        <v>377</v>
      </c>
      <c r="R19" s="1" t="s">
        <v>375</v>
      </c>
      <c r="S19" s="1" t="s">
        <v>335</v>
      </c>
      <c r="T19" s="1" t="s">
        <v>375</v>
      </c>
      <c r="U19" s="1" t="s">
        <v>375</v>
      </c>
      <c r="V19" s="1" t="s">
        <v>335</v>
      </c>
      <c r="W19" s="1" t="s">
        <v>335</v>
      </c>
      <c r="X19" s="1" t="s">
        <v>375</v>
      </c>
      <c r="Y19" s="1" t="s">
        <v>335</v>
      </c>
      <c r="Z19" s="1">
        <v>-1</v>
      </c>
      <c r="AA19" s="1" t="s">
        <v>376</v>
      </c>
      <c r="AB19" s="1">
        <v>0</v>
      </c>
      <c r="AC19" s="1" t="s">
        <v>344</v>
      </c>
      <c r="AD19" s="1">
        <v>0</v>
      </c>
      <c r="AE19" s="1">
        <v>1</v>
      </c>
      <c r="AF19" s="1">
        <v>-1</v>
      </c>
      <c r="AG19" s="1" t="s">
        <v>376</v>
      </c>
      <c r="AH19" s="1">
        <v>0</v>
      </c>
      <c r="AI19" s="1" t="s">
        <v>344</v>
      </c>
      <c r="AJ19" s="1">
        <v>-1</v>
      </c>
      <c r="AK19" s="1" t="s">
        <v>376</v>
      </c>
      <c r="AL19" s="1">
        <v>1.5</v>
      </c>
      <c r="AM19" s="1">
        <v>1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335</v>
      </c>
      <c r="AT19" s="1" t="s">
        <v>375</v>
      </c>
      <c r="AU19" s="1" t="s">
        <v>335</v>
      </c>
      <c r="AV19" s="1" t="s">
        <v>335</v>
      </c>
      <c r="AW19" s="1" t="s">
        <v>375</v>
      </c>
      <c r="AX19" s="1" t="s">
        <v>335</v>
      </c>
      <c r="AY19" s="1" t="s">
        <v>375</v>
      </c>
      <c r="AZ19" s="1" t="s">
        <v>375</v>
      </c>
      <c r="BA19" s="1" t="s">
        <v>375</v>
      </c>
      <c r="BB19" s="1" t="s">
        <v>375</v>
      </c>
      <c r="BC19" s="1" t="s">
        <v>375</v>
      </c>
      <c r="BD19" s="1" t="s">
        <v>335</v>
      </c>
      <c r="BE19" s="1">
        <v>121</v>
      </c>
      <c r="BF19" s="1">
        <v>124</v>
      </c>
      <c r="BG19" s="1">
        <v>-3</v>
      </c>
      <c r="BH19" s="1" t="s">
        <v>338</v>
      </c>
      <c r="BI19" s="1" t="s">
        <v>338</v>
      </c>
      <c r="BJ19" s="1" t="s">
        <v>338</v>
      </c>
      <c r="BK19" s="1" t="s">
        <v>338</v>
      </c>
      <c r="BL19" s="1" t="s">
        <v>377</v>
      </c>
      <c r="BM19" s="1" t="s">
        <v>338</v>
      </c>
      <c r="BN19" s="1" t="s">
        <v>377</v>
      </c>
      <c r="BO19" s="1" t="s">
        <v>338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377</v>
      </c>
      <c r="BZ19" s="1"/>
      <c r="CA19" s="1"/>
      <c r="CB19" s="1" t="s">
        <v>377</v>
      </c>
      <c r="CC19" s="1"/>
    </row>
    <row r="20" spans="1:81" x14ac:dyDescent="0.25">
      <c r="A20" s="1" t="s">
        <v>115</v>
      </c>
      <c r="B20" s="1" t="s">
        <v>326</v>
      </c>
      <c r="C20" s="1">
        <v>1610612747</v>
      </c>
      <c r="D20" s="1" t="s">
        <v>383</v>
      </c>
      <c r="E20" s="1" t="s">
        <v>384</v>
      </c>
      <c r="F20" s="1" t="s">
        <v>329</v>
      </c>
      <c r="G20" s="1" t="s">
        <v>375</v>
      </c>
      <c r="H20" s="1">
        <v>10</v>
      </c>
      <c r="I20" s="1" t="s">
        <v>331</v>
      </c>
      <c r="J20" s="1" t="s">
        <v>332</v>
      </c>
      <c r="K20" s="1" t="s">
        <v>375</v>
      </c>
      <c r="L20" s="1">
        <v>4</v>
      </c>
      <c r="M20" s="1">
        <v>0</v>
      </c>
      <c r="N20" s="1">
        <v>1</v>
      </c>
      <c r="O20" s="1">
        <v>0</v>
      </c>
      <c r="P20" s="1">
        <v>0</v>
      </c>
      <c r="Q20" s="1" t="s">
        <v>377</v>
      </c>
      <c r="R20" s="1" t="s">
        <v>375</v>
      </c>
      <c r="S20" s="1" t="s">
        <v>335</v>
      </c>
      <c r="T20" s="1" t="s">
        <v>375</v>
      </c>
      <c r="U20" s="1" t="s">
        <v>375</v>
      </c>
      <c r="V20" s="1" t="s">
        <v>335</v>
      </c>
      <c r="W20" s="1" t="s">
        <v>335</v>
      </c>
      <c r="X20" s="1" t="s">
        <v>335</v>
      </c>
      <c r="Y20" s="1" t="s">
        <v>335</v>
      </c>
      <c r="Z20" s="1">
        <v>-1</v>
      </c>
      <c r="AA20" s="1" t="s">
        <v>376</v>
      </c>
      <c r="AB20" s="1">
        <v>0</v>
      </c>
      <c r="AC20" s="1" t="s">
        <v>344</v>
      </c>
      <c r="AD20" s="1">
        <v>0</v>
      </c>
      <c r="AE20" s="1">
        <v>1</v>
      </c>
      <c r="AF20" s="1">
        <v>-1</v>
      </c>
      <c r="AG20" s="1" t="s">
        <v>376</v>
      </c>
      <c r="AH20" s="1">
        <v>0</v>
      </c>
      <c r="AI20" s="1" t="s">
        <v>344</v>
      </c>
      <c r="AJ20" s="1">
        <v>-1</v>
      </c>
      <c r="AK20" s="1" t="s">
        <v>376</v>
      </c>
      <c r="AL20" s="1">
        <v>1.5</v>
      </c>
      <c r="AM20" s="1">
        <v>1.5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375</v>
      </c>
      <c r="AT20" s="1" t="s">
        <v>335</v>
      </c>
      <c r="AU20" s="1" t="s">
        <v>335</v>
      </c>
      <c r="AV20" s="1" t="s">
        <v>375</v>
      </c>
      <c r="AW20" s="1" t="s">
        <v>335</v>
      </c>
      <c r="AX20" s="1" t="s">
        <v>335</v>
      </c>
      <c r="AY20" s="1" t="s">
        <v>375</v>
      </c>
      <c r="AZ20" s="1" t="s">
        <v>375</v>
      </c>
      <c r="BA20" s="1" t="s">
        <v>375</v>
      </c>
      <c r="BB20" s="1" t="s">
        <v>375</v>
      </c>
      <c r="BC20" s="1" t="s">
        <v>335</v>
      </c>
      <c r="BD20" s="1" t="s">
        <v>335</v>
      </c>
      <c r="BE20" s="1">
        <v>114</v>
      </c>
      <c r="BF20" s="1">
        <v>121</v>
      </c>
      <c r="BG20" s="1">
        <v>-7</v>
      </c>
      <c r="BH20" s="1" t="s">
        <v>338</v>
      </c>
      <c r="BI20" s="1" t="s">
        <v>338</v>
      </c>
      <c r="BJ20" s="1" t="s">
        <v>338</v>
      </c>
      <c r="BK20" s="1" t="s">
        <v>338</v>
      </c>
      <c r="BL20" s="1" t="s">
        <v>377</v>
      </c>
      <c r="BM20" s="1" t="s">
        <v>338</v>
      </c>
      <c r="BN20" s="1" t="s">
        <v>377</v>
      </c>
      <c r="BO20" s="1" t="s">
        <v>338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377</v>
      </c>
      <c r="BZ20" s="1"/>
      <c r="CA20" s="1"/>
      <c r="CB20" s="1" t="s">
        <v>377</v>
      </c>
      <c r="CC20" s="1"/>
    </row>
    <row r="21" spans="1:81" x14ac:dyDescent="0.25">
      <c r="A21" s="1" t="s">
        <v>115</v>
      </c>
      <c r="B21" s="1" t="s">
        <v>326</v>
      </c>
      <c r="C21" s="1">
        <v>1610612738</v>
      </c>
      <c r="D21" s="1" t="s">
        <v>385</v>
      </c>
      <c r="E21" s="1" t="s">
        <v>386</v>
      </c>
      <c r="F21" s="1" t="s">
        <v>341</v>
      </c>
      <c r="G21" s="1" t="s">
        <v>375</v>
      </c>
      <c r="H21" s="1">
        <v>10</v>
      </c>
      <c r="I21" s="1" t="s">
        <v>331</v>
      </c>
      <c r="J21" s="1" t="s">
        <v>356</v>
      </c>
      <c r="K21" s="1" t="s">
        <v>375</v>
      </c>
      <c r="L21" s="1">
        <v>3</v>
      </c>
      <c r="M21" s="1">
        <v>0</v>
      </c>
      <c r="N21" s="1">
        <v>1</v>
      </c>
      <c r="O21" s="1">
        <v>0</v>
      </c>
      <c r="P21" s="1">
        <v>0</v>
      </c>
      <c r="Q21" s="1" t="s">
        <v>377</v>
      </c>
      <c r="R21" s="1" t="s">
        <v>335</v>
      </c>
      <c r="S21" s="1" t="s">
        <v>375</v>
      </c>
      <c r="T21" s="1" t="s">
        <v>375</v>
      </c>
      <c r="U21" s="1" t="s">
        <v>335</v>
      </c>
      <c r="V21" s="1" t="s">
        <v>375</v>
      </c>
      <c r="W21" s="1" t="s">
        <v>375</v>
      </c>
      <c r="X21" s="1" t="s">
        <v>335</v>
      </c>
      <c r="Y21" s="1" t="s">
        <v>335</v>
      </c>
      <c r="Z21" s="1">
        <v>0</v>
      </c>
      <c r="AA21" s="1" t="s">
        <v>344</v>
      </c>
      <c r="AB21" s="1">
        <v>-1</v>
      </c>
      <c r="AC21" s="1" t="s">
        <v>376</v>
      </c>
      <c r="AD21" s="1">
        <v>0</v>
      </c>
      <c r="AE21" s="1">
        <v>1</v>
      </c>
      <c r="AF21" s="1">
        <v>0</v>
      </c>
      <c r="AG21" s="1" t="s">
        <v>344</v>
      </c>
      <c r="AH21" s="1">
        <v>-1</v>
      </c>
      <c r="AI21" s="1" t="s">
        <v>376</v>
      </c>
      <c r="AJ21" s="1">
        <v>-1</v>
      </c>
      <c r="AK21" s="1" t="s">
        <v>376</v>
      </c>
      <c r="AL21" s="1">
        <v>1</v>
      </c>
      <c r="AM21" s="1">
        <v>1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375</v>
      </c>
      <c r="AT21" s="1" t="s">
        <v>335</v>
      </c>
      <c r="AU21" s="1" t="s">
        <v>335</v>
      </c>
      <c r="AV21" s="1" t="s">
        <v>335</v>
      </c>
      <c r="AW21" s="1" t="s">
        <v>375</v>
      </c>
      <c r="AX21" s="1" t="s">
        <v>335</v>
      </c>
      <c r="AY21" s="1" t="s">
        <v>375</v>
      </c>
      <c r="AZ21" s="1" t="s">
        <v>375</v>
      </c>
      <c r="BA21" s="1" t="s">
        <v>375</v>
      </c>
      <c r="BB21" s="1" t="s">
        <v>335</v>
      </c>
      <c r="BC21" s="1" t="s">
        <v>375</v>
      </c>
      <c r="BD21" s="1" t="s">
        <v>375</v>
      </c>
      <c r="BE21" s="1">
        <v>134</v>
      </c>
      <c r="BF21" s="1">
        <v>138</v>
      </c>
      <c r="BG21" s="1">
        <v>-4</v>
      </c>
      <c r="BH21" s="1" t="s">
        <v>377</v>
      </c>
      <c r="BI21" s="1" t="s">
        <v>377</v>
      </c>
      <c r="BJ21" s="1" t="s">
        <v>338</v>
      </c>
      <c r="BK21" s="1" t="s">
        <v>338</v>
      </c>
      <c r="BL21" s="1" t="s">
        <v>338</v>
      </c>
      <c r="BM21" s="1" t="s">
        <v>338</v>
      </c>
      <c r="BN21" s="1" t="s">
        <v>338</v>
      </c>
      <c r="BO21" s="1" t="s">
        <v>338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377</v>
      </c>
      <c r="BZ21" s="1"/>
      <c r="CA21" s="1"/>
      <c r="CB21" s="1" t="s">
        <v>377</v>
      </c>
      <c r="CC21" s="1"/>
    </row>
    <row r="22" spans="1:81" x14ac:dyDescent="0.25">
      <c r="A22" s="1" t="s">
        <v>115</v>
      </c>
      <c r="B22" s="1" t="s">
        <v>326</v>
      </c>
      <c r="C22" s="1">
        <v>1610612756</v>
      </c>
      <c r="D22" s="1" t="s">
        <v>387</v>
      </c>
      <c r="E22" s="1" t="s">
        <v>388</v>
      </c>
      <c r="F22" s="1" t="s">
        <v>329</v>
      </c>
      <c r="G22" s="1" t="s">
        <v>375</v>
      </c>
      <c r="H22" s="1">
        <v>11</v>
      </c>
      <c r="I22" s="1" t="s">
        <v>331</v>
      </c>
      <c r="J22" s="1" t="s">
        <v>332</v>
      </c>
      <c r="K22" s="1" t="s">
        <v>335</v>
      </c>
      <c r="L22" s="1">
        <v>5</v>
      </c>
      <c r="M22" s="1">
        <v>0</v>
      </c>
      <c r="N22" s="1">
        <v>1</v>
      </c>
      <c r="O22" s="1">
        <v>0</v>
      </c>
      <c r="P22" s="1">
        <v>0</v>
      </c>
      <c r="Q22" s="1" t="s">
        <v>377</v>
      </c>
      <c r="R22" s="1" t="s">
        <v>375</v>
      </c>
      <c r="S22" s="1" t="s">
        <v>335</v>
      </c>
      <c r="T22" s="1" t="s">
        <v>375</v>
      </c>
      <c r="U22" s="1" t="s">
        <v>375</v>
      </c>
      <c r="V22" s="1" t="s">
        <v>335</v>
      </c>
      <c r="W22" s="1" t="s">
        <v>335</v>
      </c>
      <c r="X22" s="1" t="s">
        <v>335</v>
      </c>
      <c r="Y22" s="1" t="s">
        <v>375</v>
      </c>
      <c r="Z22" s="1">
        <v>-1</v>
      </c>
      <c r="AA22" s="1" t="s">
        <v>376</v>
      </c>
      <c r="AB22" s="1">
        <v>0</v>
      </c>
      <c r="AC22" s="1" t="s">
        <v>344</v>
      </c>
      <c r="AD22" s="1">
        <v>0</v>
      </c>
      <c r="AE22" s="1">
        <v>1</v>
      </c>
      <c r="AF22" s="1">
        <v>-1</v>
      </c>
      <c r="AG22" s="1" t="s">
        <v>376</v>
      </c>
      <c r="AH22" s="1">
        <v>0</v>
      </c>
      <c r="AI22" s="1" t="s">
        <v>344</v>
      </c>
      <c r="AJ22" s="1">
        <v>-1</v>
      </c>
      <c r="AK22" s="1" t="s">
        <v>376</v>
      </c>
      <c r="AL22" s="1">
        <v>1.5</v>
      </c>
      <c r="AM22" s="1">
        <v>1.5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375</v>
      </c>
      <c r="AT22" s="1" t="s">
        <v>335</v>
      </c>
      <c r="AU22" s="1" t="s">
        <v>335</v>
      </c>
      <c r="AV22" s="1" t="s">
        <v>335</v>
      </c>
      <c r="AW22" s="1" t="s">
        <v>375</v>
      </c>
      <c r="AX22" s="1" t="s">
        <v>335</v>
      </c>
      <c r="AY22" s="1" t="s">
        <v>335</v>
      </c>
      <c r="AZ22" s="1" t="s">
        <v>375</v>
      </c>
      <c r="BA22" s="1" t="s">
        <v>375</v>
      </c>
      <c r="BB22" s="1" t="s">
        <v>335</v>
      </c>
      <c r="BC22" s="1" t="s">
        <v>335</v>
      </c>
      <c r="BD22" s="1" t="s">
        <v>375</v>
      </c>
      <c r="BE22" s="1">
        <v>98</v>
      </c>
      <c r="BF22" s="1">
        <v>110</v>
      </c>
      <c r="BG22" s="1">
        <v>-12</v>
      </c>
      <c r="BH22" s="1" t="s">
        <v>338</v>
      </c>
      <c r="BI22" s="1" t="s">
        <v>338</v>
      </c>
      <c r="BJ22" s="1" t="s">
        <v>338</v>
      </c>
      <c r="BK22" s="1" t="s">
        <v>338</v>
      </c>
      <c r="BL22" s="1" t="s">
        <v>377</v>
      </c>
      <c r="BM22" s="1" t="s">
        <v>377</v>
      </c>
      <c r="BN22" s="1" t="s">
        <v>338</v>
      </c>
      <c r="BO22" s="1" t="s">
        <v>338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377</v>
      </c>
      <c r="BZ22" s="1"/>
      <c r="CA22" s="1"/>
      <c r="CB22" s="1" t="s">
        <v>377</v>
      </c>
      <c r="CC22" s="1"/>
    </row>
    <row r="23" spans="1:81" x14ac:dyDescent="0.25">
      <c r="A23" s="1" t="s">
        <v>115</v>
      </c>
      <c r="B23" s="1" t="s">
        <v>326</v>
      </c>
      <c r="C23" s="1">
        <v>1610612765</v>
      </c>
      <c r="D23" s="1" t="s">
        <v>389</v>
      </c>
      <c r="E23" s="1" t="s">
        <v>390</v>
      </c>
      <c r="F23" s="1" t="s">
        <v>341</v>
      </c>
      <c r="G23" s="1" t="s">
        <v>375</v>
      </c>
      <c r="H23" s="1">
        <v>11</v>
      </c>
      <c r="I23" s="1" t="s">
        <v>331</v>
      </c>
      <c r="J23" s="1" t="s">
        <v>350</v>
      </c>
      <c r="K23" s="1" t="s">
        <v>375</v>
      </c>
      <c r="L23" s="1">
        <v>3</v>
      </c>
      <c r="M23" s="1">
        <v>0</v>
      </c>
      <c r="N23" s="1">
        <v>1</v>
      </c>
      <c r="O23" s="1">
        <v>0</v>
      </c>
      <c r="P23" s="1">
        <v>0</v>
      </c>
      <c r="Q23" s="1" t="s">
        <v>377</v>
      </c>
      <c r="R23" s="1" t="s">
        <v>375</v>
      </c>
      <c r="S23" s="1" t="s">
        <v>335</v>
      </c>
      <c r="T23" s="1" t="s">
        <v>375</v>
      </c>
      <c r="U23" s="1" t="s">
        <v>375</v>
      </c>
      <c r="V23" s="1" t="s">
        <v>335</v>
      </c>
      <c r="W23" s="1" t="s">
        <v>335</v>
      </c>
      <c r="X23" s="1" t="s">
        <v>335</v>
      </c>
      <c r="Y23" s="1" t="s">
        <v>335</v>
      </c>
      <c r="Z23" s="1">
        <v>-1</v>
      </c>
      <c r="AA23" s="1" t="s">
        <v>376</v>
      </c>
      <c r="AB23" s="1">
        <v>0</v>
      </c>
      <c r="AC23" s="1" t="s">
        <v>344</v>
      </c>
      <c r="AD23" s="1">
        <v>0</v>
      </c>
      <c r="AE23" s="1">
        <v>1</v>
      </c>
      <c r="AF23" s="1">
        <v>-1</v>
      </c>
      <c r="AG23" s="1" t="s">
        <v>376</v>
      </c>
      <c r="AH23" s="1">
        <v>0</v>
      </c>
      <c r="AI23" s="1" t="s">
        <v>344</v>
      </c>
      <c r="AJ23" s="1">
        <v>-1</v>
      </c>
      <c r="AK23" s="1" t="s">
        <v>376</v>
      </c>
      <c r="AL23" s="1">
        <v>1</v>
      </c>
      <c r="AM23" s="1">
        <v>1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375</v>
      </c>
      <c r="AT23" s="1" t="s">
        <v>335</v>
      </c>
      <c r="AU23" s="1" t="s">
        <v>335</v>
      </c>
      <c r="AV23" s="1" t="s">
        <v>335</v>
      </c>
      <c r="AW23" s="1" t="s">
        <v>375</v>
      </c>
      <c r="AX23" s="1" t="s">
        <v>335</v>
      </c>
      <c r="AY23" s="1" t="s">
        <v>335</v>
      </c>
      <c r="AZ23" s="1" t="s">
        <v>335</v>
      </c>
      <c r="BA23" s="1" t="s">
        <v>375</v>
      </c>
      <c r="BB23" s="1" t="s">
        <v>335</v>
      </c>
      <c r="BC23" s="1" t="s">
        <v>335</v>
      </c>
      <c r="BD23" s="1" t="s">
        <v>335</v>
      </c>
      <c r="BE23" s="1">
        <v>88</v>
      </c>
      <c r="BF23" s="1">
        <v>94</v>
      </c>
      <c r="BG23" s="1">
        <v>-6</v>
      </c>
      <c r="BH23" s="1" t="s">
        <v>377</v>
      </c>
      <c r="BI23" s="1" t="s">
        <v>338</v>
      </c>
      <c r="BJ23" s="1" t="s">
        <v>377</v>
      </c>
      <c r="BK23" s="1" t="s">
        <v>338</v>
      </c>
      <c r="BL23" s="1" t="s">
        <v>338</v>
      </c>
      <c r="BM23" s="1" t="s">
        <v>338</v>
      </c>
      <c r="BN23" s="1" t="s">
        <v>338</v>
      </c>
      <c r="BO23" s="1" t="s">
        <v>338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377</v>
      </c>
      <c r="BZ23" s="1"/>
      <c r="CA23" s="1"/>
      <c r="CB23" s="1" t="s">
        <v>377</v>
      </c>
      <c r="CC23" s="1"/>
    </row>
    <row r="24" spans="1:81" x14ac:dyDescent="0.25">
      <c r="A24" s="1" t="s">
        <v>115</v>
      </c>
      <c r="B24" s="1" t="s">
        <v>326</v>
      </c>
      <c r="C24" s="1">
        <v>1610612745</v>
      </c>
      <c r="D24" s="1" t="s">
        <v>391</v>
      </c>
      <c r="E24" s="1" t="s">
        <v>392</v>
      </c>
      <c r="F24" s="1" t="s">
        <v>329</v>
      </c>
      <c r="G24" s="1" t="s">
        <v>375</v>
      </c>
      <c r="H24" s="1">
        <v>12</v>
      </c>
      <c r="I24" s="1" t="s">
        <v>331</v>
      </c>
      <c r="J24" s="1" t="s">
        <v>353</v>
      </c>
      <c r="K24" s="1" t="s">
        <v>335</v>
      </c>
      <c r="L24" s="1">
        <v>3</v>
      </c>
      <c r="M24" s="1">
        <v>0</v>
      </c>
      <c r="N24" s="1">
        <v>1</v>
      </c>
      <c r="O24" s="1">
        <v>0</v>
      </c>
      <c r="P24" s="1">
        <v>0</v>
      </c>
      <c r="Q24" s="1" t="s">
        <v>377</v>
      </c>
      <c r="R24" s="1" t="s">
        <v>335</v>
      </c>
      <c r="S24" s="1" t="s">
        <v>375</v>
      </c>
      <c r="T24" s="1" t="s">
        <v>375</v>
      </c>
      <c r="U24" s="1" t="s">
        <v>335</v>
      </c>
      <c r="V24" s="1" t="s">
        <v>375</v>
      </c>
      <c r="W24" s="1" t="s">
        <v>335</v>
      </c>
      <c r="X24" s="1" t="s">
        <v>335</v>
      </c>
      <c r="Y24" s="1" t="s">
        <v>375</v>
      </c>
      <c r="Z24" s="1">
        <v>0</v>
      </c>
      <c r="AA24" s="1" t="s">
        <v>344</v>
      </c>
      <c r="AB24" s="1">
        <v>-1</v>
      </c>
      <c r="AC24" s="1" t="s">
        <v>376</v>
      </c>
      <c r="AD24" s="1">
        <v>0</v>
      </c>
      <c r="AE24" s="1">
        <v>1</v>
      </c>
      <c r="AF24" s="1">
        <v>0</v>
      </c>
      <c r="AG24" s="1" t="s">
        <v>344</v>
      </c>
      <c r="AH24" s="1">
        <v>-1</v>
      </c>
      <c r="AI24" s="1" t="s">
        <v>376</v>
      </c>
      <c r="AJ24" s="1">
        <v>-1</v>
      </c>
      <c r="AK24" s="1" t="s">
        <v>376</v>
      </c>
      <c r="AL24" s="1">
        <v>1.5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335</v>
      </c>
      <c r="AT24" s="1" t="s">
        <v>375</v>
      </c>
      <c r="AU24" s="1" t="s">
        <v>335</v>
      </c>
      <c r="AV24" s="1" t="s">
        <v>335</v>
      </c>
      <c r="AW24" s="1" t="s">
        <v>375</v>
      </c>
      <c r="AX24" s="1" t="s">
        <v>335</v>
      </c>
      <c r="AY24" s="1" t="s">
        <v>375</v>
      </c>
      <c r="AZ24" s="1" t="s">
        <v>375</v>
      </c>
      <c r="BA24" s="1" t="s">
        <v>375</v>
      </c>
      <c r="BB24" s="1" t="s">
        <v>335</v>
      </c>
      <c r="BC24" s="1" t="s">
        <v>335</v>
      </c>
      <c r="BD24" s="1" t="s">
        <v>335</v>
      </c>
      <c r="BE24" s="1">
        <v>106</v>
      </c>
      <c r="BF24" s="1">
        <v>124</v>
      </c>
      <c r="BG24" s="1">
        <v>-18</v>
      </c>
      <c r="BH24" s="1" t="s">
        <v>338</v>
      </c>
      <c r="BI24" s="1" t="s">
        <v>338</v>
      </c>
      <c r="BJ24" s="1" t="s">
        <v>338</v>
      </c>
      <c r="BK24" s="1" t="s">
        <v>338</v>
      </c>
      <c r="BL24" s="1" t="s">
        <v>377</v>
      </c>
      <c r="BM24" s="1" t="s">
        <v>377</v>
      </c>
      <c r="BN24" s="1" t="s">
        <v>338</v>
      </c>
      <c r="BO24" s="1" t="s">
        <v>338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377</v>
      </c>
      <c r="BZ24" s="1"/>
      <c r="CA24" s="1"/>
      <c r="CB24" s="1" t="s">
        <v>377</v>
      </c>
      <c r="CC24" s="1"/>
    </row>
    <row r="25" spans="1:81" x14ac:dyDescent="0.25">
      <c r="A25" s="1" t="s">
        <v>115</v>
      </c>
      <c r="B25" s="1" t="s">
        <v>326</v>
      </c>
      <c r="C25" s="1">
        <v>1610612761</v>
      </c>
      <c r="D25" s="1" t="s">
        <v>393</v>
      </c>
      <c r="E25" s="1" t="s">
        <v>394</v>
      </c>
      <c r="F25" s="1" t="s">
        <v>341</v>
      </c>
      <c r="G25" s="1" t="s">
        <v>375</v>
      </c>
      <c r="H25" s="1">
        <v>12</v>
      </c>
      <c r="I25" s="1" t="s">
        <v>331</v>
      </c>
      <c r="J25" s="1" t="s">
        <v>356</v>
      </c>
      <c r="K25" s="1" t="s">
        <v>335</v>
      </c>
      <c r="L25" s="1">
        <v>4</v>
      </c>
      <c r="M25" s="1">
        <v>0</v>
      </c>
      <c r="N25" s="1">
        <v>1</v>
      </c>
      <c r="O25" s="1">
        <v>0</v>
      </c>
      <c r="P25" s="1">
        <v>0</v>
      </c>
      <c r="Q25" s="1" t="s">
        <v>377</v>
      </c>
      <c r="R25" s="1" t="s">
        <v>375</v>
      </c>
      <c r="S25" s="1" t="s">
        <v>335</v>
      </c>
      <c r="T25" s="1" t="s">
        <v>375</v>
      </c>
      <c r="U25" s="1" t="s">
        <v>375</v>
      </c>
      <c r="V25" s="1" t="s">
        <v>335</v>
      </c>
      <c r="W25" s="1" t="s">
        <v>335</v>
      </c>
      <c r="X25" s="1" t="s">
        <v>335</v>
      </c>
      <c r="Y25" s="1" t="s">
        <v>375</v>
      </c>
      <c r="Z25" s="1">
        <v>-1</v>
      </c>
      <c r="AA25" s="1" t="s">
        <v>376</v>
      </c>
      <c r="AB25" s="1">
        <v>0</v>
      </c>
      <c r="AC25" s="1" t="s">
        <v>344</v>
      </c>
      <c r="AD25" s="1">
        <v>0</v>
      </c>
      <c r="AE25" s="1">
        <v>1</v>
      </c>
      <c r="AF25" s="1">
        <v>-1</v>
      </c>
      <c r="AG25" s="1" t="s">
        <v>376</v>
      </c>
      <c r="AH25" s="1">
        <v>0</v>
      </c>
      <c r="AI25" s="1" t="s">
        <v>344</v>
      </c>
      <c r="AJ25" s="1">
        <v>-1</v>
      </c>
      <c r="AK25" s="1" t="s">
        <v>376</v>
      </c>
      <c r="AL25" s="1">
        <v>1</v>
      </c>
      <c r="AM25" s="1">
        <v>1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335</v>
      </c>
      <c r="AT25" s="1" t="s">
        <v>375</v>
      </c>
      <c r="AU25" s="1" t="s">
        <v>335</v>
      </c>
      <c r="AV25" s="1" t="s">
        <v>335</v>
      </c>
      <c r="AW25" s="1" t="s">
        <v>375</v>
      </c>
      <c r="AX25" s="1" t="s">
        <v>335</v>
      </c>
      <c r="AY25" s="1" t="s">
        <v>335</v>
      </c>
      <c r="AZ25" s="1" t="s">
        <v>335</v>
      </c>
      <c r="BA25" s="1" t="s">
        <v>375</v>
      </c>
      <c r="BB25" s="1" t="s">
        <v>335</v>
      </c>
      <c r="BC25" s="1" t="s">
        <v>375</v>
      </c>
      <c r="BD25" s="1" t="s">
        <v>375</v>
      </c>
      <c r="BE25" s="1">
        <v>83</v>
      </c>
      <c r="BF25" s="1">
        <v>98</v>
      </c>
      <c r="BG25" s="1">
        <v>-15</v>
      </c>
      <c r="BH25" s="1" t="s">
        <v>377</v>
      </c>
      <c r="BI25" s="1" t="s">
        <v>338</v>
      </c>
      <c r="BJ25" s="1" t="s">
        <v>338</v>
      </c>
      <c r="BK25" s="1" t="s">
        <v>377</v>
      </c>
      <c r="BL25" s="1" t="s">
        <v>338</v>
      </c>
      <c r="BM25" s="1" t="s">
        <v>338</v>
      </c>
      <c r="BN25" s="1" t="s">
        <v>338</v>
      </c>
      <c r="BO25" s="1" t="s">
        <v>338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377</v>
      </c>
      <c r="BZ25" s="1"/>
      <c r="CA25" s="1"/>
      <c r="CB25" s="1" t="s">
        <v>377</v>
      </c>
      <c r="CC25" s="1"/>
    </row>
    <row r="26" spans="1:81" x14ac:dyDescent="0.25">
      <c r="A26" s="1" t="s">
        <v>115</v>
      </c>
      <c r="B26" s="1" t="s">
        <v>326</v>
      </c>
      <c r="C26" s="1">
        <v>1610612751</v>
      </c>
      <c r="D26" s="1" t="s">
        <v>395</v>
      </c>
      <c r="E26" s="1" t="s">
        <v>396</v>
      </c>
      <c r="F26" s="1" t="s">
        <v>341</v>
      </c>
      <c r="G26" s="1" t="s">
        <v>375</v>
      </c>
      <c r="H26" s="1">
        <v>13</v>
      </c>
      <c r="I26" s="1" t="s">
        <v>331</v>
      </c>
      <c r="J26" s="1" t="s">
        <v>356</v>
      </c>
      <c r="K26" s="1" t="s">
        <v>335</v>
      </c>
      <c r="L26" s="1">
        <v>5</v>
      </c>
      <c r="M26" s="1">
        <v>0</v>
      </c>
      <c r="N26" s="1">
        <v>1</v>
      </c>
      <c r="O26" s="1">
        <v>0</v>
      </c>
      <c r="P26" s="1">
        <v>0</v>
      </c>
      <c r="Q26" s="1" t="s">
        <v>377</v>
      </c>
      <c r="R26" s="1" t="s">
        <v>335</v>
      </c>
      <c r="S26" s="1" t="s">
        <v>375</v>
      </c>
      <c r="T26" s="1" t="s">
        <v>375</v>
      </c>
      <c r="U26" s="1" t="s">
        <v>335</v>
      </c>
      <c r="V26" s="1" t="s">
        <v>375</v>
      </c>
      <c r="W26" s="1" t="s">
        <v>335</v>
      </c>
      <c r="X26" s="1" t="s">
        <v>335</v>
      </c>
      <c r="Y26" s="1" t="s">
        <v>375</v>
      </c>
      <c r="Z26" s="1">
        <v>0</v>
      </c>
      <c r="AA26" s="1" t="s">
        <v>344</v>
      </c>
      <c r="AB26" s="1">
        <v>-1</v>
      </c>
      <c r="AC26" s="1" t="s">
        <v>376</v>
      </c>
      <c r="AD26" s="1">
        <v>0</v>
      </c>
      <c r="AE26" s="1">
        <v>1</v>
      </c>
      <c r="AF26" s="1">
        <v>0</v>
      </c>
      <c r="AG26" s="1" t="s">
        <v>344</v>
      </c>
      <c r="AH26" s="1">
        <v>-1</v>
      </c>
      <c r="AI26" s="1" t="s">
        <v>376</v>
      </c>
      <c r="AJ26" s="1">
        <v>-1</v>
      </c>
      <c r="AK26" s="1" t="s">
        <v>376</v>
      </c>
      <c r="AL26" s="1">
        <v>1</v>
      </c>
      <c r="AM26" s="1">
        <v>1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335</v>
      </c>
      <c r="AT26" s="1" t="s">
        <v>375</v>
      </c>
      <c r="AU26" s="1" t="s">
        <v>335</v>
      </c>
      <c r="AV26" s="1" t="s">
        <v>335</v>
      </c>
      <c r="AW26" s="1" t="s">
        <v>375</v>
      </c>
      <c r="AX26" s="1" t="s">
        <v>335</v>
      </c>
      <c r="AY26" s="1" t="s">
        <v>375</v>
      </c>
      <c r="AZ26" s="1" t="s">
        <v>375</v>
      </c>
      <c r="BA26" s="1" t="s">
        <v>375</v>
      </c>
      <c r="BB26" s="1" t="s">
        <v>335</v>
      </c>
      <c r="BC26" s="1" t="s">
        <v>335</v>
      </c>
      <c r="BD26" s="1" t="s">
        <v>335</v>
      </c>
      <c r="BE26" s="1">
        <v>104</v>
      </c>
      <c r="BF26" s="1">
        <v>127</v>
      </c>
      <c r="BG26" s="1">
        <v>-23</v>
      </c>
      <c r="BH26" s="1" t="s">
        <v>377</v>
      </c>
      <c r="BI26" s="1" t="s">
        <v>338</v>
      </c>
      <c r="BJ26" s="1" t="s">
        <v>377</v>
      </c>
      <c r="BK26" s="1" t="s">
        <v>338</v>
      </c>
      <c r="BL26" s="1" t="s">
        <v>338</v>
      </c>
      <c r="BM26" s="1" t="s">
        <v>338</v>
      </c>
      <c r="BN26" s="1" t="s">
        <v>338</v>
      </c>
      <c r="BO26" s="1" t="s">
        <v>338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377</v>
      </c>
      <c r="BZ26" s="1"/>
      <c r="CA26" s="1"/>
      <c r="CB26" s="1" t="s">
        <v>377</v>
      </c>
      <c r="CC26" s="1"/>
    </row>
    <row r="27" spans="1:81" x14ac:dyDescent="0.25">
      <c r="A27" s="1" t="s">
        <v>115</v>
      </c>
      <c r="B27" s="1" t="s">
        <v>326</v>
      </c>
      <c r="C27" s="1">
        <v>1610612760</v>
      </c>
      <c r="D27" s="1" t="s">
        <v>397</v>
      </c>
      <c r="E27" s="1" t="s">
        <v>398</v>
      </c>
      <c r="F27" s="1" t="s">
        <v>329</v>
      </c>
      <c r="G27" s="1" t="s">
        <v>375</v>
      </c>
      <c r="H27" s="1">
        <v>13</v>
      </c>
      <c r="I27" s="1" t="s">
        <v>331</v>
      </c>
      <c r="J27" s="1" t="s">
        <v>347</v>
      </c>
      <c r="K27" s="1" t="s">
        <v>375</v>
      </c>
      <c r="L27" s="1">
        <v>4</v>
      </c>
      <c r="M27" s="1">
        <v>0</v>
      </c>
      <c r="N27" s="1">
        <v>1</v>
      </c>
      <c r="O27" s="1">
        <v>0</v>
      </c>
      <c r="P27" s="1">
        <v>0</v>
      </c>
      <c r="Q27" s="1" t="s">
        <v>377</v>
      </c>
      <c r="R27" s="1" t="s">
        <v>335</v>
      </c>
      <c r="S27" s="1" t="s">
        <v>375</v>
      </c>
      <c r="T27" s="1" t="s">
        <v>375</v>
      </c>
      <c r="U27" s="1" t="s">
        <v>335</v>
      </c>
      <c r="V27" s="1" t="s">
        <v>375</v>
      </c>
      <c r="W27" s="1" t="s">
        <v>335</v>
      </c>
      <c r="X27" s="1" t="s">
        <v>335</v>
      </c>
      <c r="Y27" s="1" t="s">
        <v>375</v>
      </c>
      <c r="Z27" s="1">
        <v>0</v>
      </c>
      <c r="AA27" s="1" t="s">
        <v>344</v>
      </c>
      <c r="AB27" s="1">
        <v>-1</v>
      </c>
      <c r="AC27" s="1" t="s">
        <v>376</v>
      </c>
      <c r="AD27" s="1">
        <v>0</v>
      </c>
      <c r="AE27" s="1">
        <v>1</v>
      </c>
      <c r="AF27" s="1">
        <v>0</v>
      </c>
      <c r="AG27" s="1" t="s">
        <v>344</v>
      </c>
      <c r="AH27" s="1">
        <v>-1</v>
      </c>
      <c r="AI27" s="1" t="s">
        <v>376</v>
      </c>
      <c r="AJ27" s="1">
        <v>-1</v>
      </c>
      <c r="AK27" s="1" t="s">
        <v>376</v>
      </c>
      <c r="AL27" s="1">
        <v>1.5</v>
      </c>
      <c r="AM27" s="1">
        <v>1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335</v>
      </c>
      <c r="AT27" s="1" t="s">
        <v>375</v>
      </c>
      <c r="AU27" s="1" t="s">
        <v>335</v>
      </c>
      <c r="AV27" s="1" t="s">
        <v>335</v>
      </c>
      <c r="AW27" s="1" t="s">
        <v>375</v>
      </c>
      <c r="AX27" s="1" t="s">
        <v>335</v>
      </c>
      <c r="AY27" s="1" t="s">
        <v>335</v>
      </c>
      <c r="AZ27" s="1" t="s">
        <v>375</v>
      </c>
      <c r="BA27" s="1" t="s">
        <v>375</v>
      </c>
      <c r="BB27" s="1" t="s">
        <v>335</v>
      </c>
      <c r="BC27" s="1" t="s">
        <v>335</v>
      </c>
      <c r="BD27" s="1" t="s">
        <v>335</v>
      </c>
      <c r="BE27" s="1">
        <v>86</v>
      </c>
      <c r="BF27" s="1">
        <v>107</v>
      </c>
      <c r="BG27" s="1">
        <v>-21</v>
      </c>
      <c r="BH27" s="1" t="s">
        <v>338</v>
      </c>
      <c r="BI27" s="1" t="s">
        <v>338</v>
      </c>
      <c r="BJ27" s="1" t="s">
        <v>338</v>
      </c>
      <c r="BK27" s="1" t="s">
        <v>338</v>
      </c>
      <c r="BL27" s="1" t="s">
        <v>377</v>
      </c>
      <c r="BM27" s="1" t="s">
        <v>377</v>
      </c>
      <c r="BN27" s="1" t="s">
        <v>338</v>
      </c>
      <c r="BO27" s="1" t="s">
        <v>338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377</v>
      </c>
      <c r="BZ27" s="1"/>
      <c r="CA27" s="1"/>
      <c r="CB27" s="1" t="s">
        <v>377</v>
      </c>
      <c r="CC27" s="1"/>
    </row>
    <row r="28" spans="1:81" x14ac:dyDescent="0.25">
      <c r="A28" s="1" t="s">
        <v>115</v>
      </c>
      <c r="B28" s="1" t="s">
        <v>326</v>
      </c>
      <c r="C28" s="1">
        <v>1610612740</v>
      </c>
      <c r="D28" s="1" t="s">
        <v>399</v>
      </c>
      <c r="E28" s="1" t="s">
        <v>400</v>
      </c>
      <c r="F28" s="1" t="s">
        <v>329</v>
      </c>
      <c r="G28" s="1" t="s">
        <v>335</v>
      </c>
      <c r="H28" s="1">
        <v>14</v>
      </c>
      <c r="I28" s="1" t="s">
        <v>331</v>
      </c>
      <c r="J28" s="1" t="s">
        <v>353</v>
      </c>
      <c r="K28" s="1" t="s">
        <v>335</v>
      </c>
      <c r="L28" s="1">
        <v>4</v>
      </c>
      <c r="M28" s="1">
        <v>0</v>
      </c>
      <c r="N28" s="1">
        <v>1</v>
      </c>
      <c r="O28" s="1">
        <v>0</v>
      </c>
      <c r="P28" s="1">
        <v>0</v>
      </c>
      <c r="Q28" s="1" t="s">
        <v>377</v>
      </c>
      <c r="R28" s="1" t="s">
        <v>375</v>
      </c>
      <c r="S28" s="1" t="s">
        <v>335</v>
      </c>
      <c r="T28" s="1" t="s">
        <v>375</v>
      </c>
      <c r="U28" s="1" t="s">
        <v>375</v>
      </c>
      <c r="V28" s="1" t="s">
        <v>335</v>
      </c>
      <c r="W28" s="1" t="s">
        <v>335</v>
      </c>
      <c r="X28" s="1" t="s">
        <v>335</v>
      </c>
      <c r="Y28" s="1" t="s">
        <v>375</v>
      </c>
      <c r="Z28" s="1">
        <v>-1</v>
      </c>
      <c r="AA28" s="1" t="s">
        <v>376</v>
      </c>
      <c r="AB28" s="1">
        <v>0</v>
      </c>
      <c r="AC28" s="1" t="s">
        <v>344</v>
      </c>
      <c r="AD28" s="1">
        <v>0</v>
      </c>
      <c r="AE28" s="1">
        <v>1</v>
      </c>
      <c r="AF28" s="1">
        <v>-1</v>
      </c>
      <c r="AG28" s="1" t="s">
        <v>376</v>
      </c>
      <c r="AH28" s="1">
        <v>0</v>
      </c>
      <c r="AI28" s="1" t="s">
        <v>344</v>
      </c>
      <c r="AJ28" s="1">
        <v>-1</v>
      </c>
      <c r="AK28" s="1" t="s">
        <v>376</v>
      </c>
      <c r="AL28" s="1">
        <v>1.5</v>
      </c>
      <c r="AM28" s="1">
        <v>1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335</v>
      </c>
      <c r="AT28" s="1" t="s">
        <v>335</v>
      </c>
      <c r="AU28" s="1" t="s">
        <v>375</v>
      </c>
      <c r="AV28" s="1" t="s">
        <v>335</v>
      </c>
      <c r="AW28" s="1" t="s">
        <v>375</v>
      </c>
      <c r="AX28" s="1" t="s">
        <v>335</v>
      </c>
      <c r="AY28" s="1" t="s">
        <v>335</v>
      </c>
      <c r="AZ28" s="1" t="s">
        <v>375</v>
      </c>
      <c r="BA28" s="1" t="s">
        <v>375</v>
      </c>
      <c r="BB28" s="1" t="s">
        <v>335</v>
      </c>
      <c r="BC28" s="1" t="s">
        <v>335</v>
      </c>
      <c r="BD28" s="1" t="s">
        <v>335</v>
      </c>
      <c r="BE28" s="1">
        <v>97</v>
      </c>
      <c r="BF28" s="1">
        <v>117</v>
      </c>
      <c r="BG28" s="1">
        <v>-20</v>
      </c>
      <c r="BH28" s="1" t="s">
        <v>377</v>
      </c>
      <c r="BI28" s="1" t="s">
        <v>377</v>
      </c>
      <c r="BJ28" s="1" t="s">
        <v>338</v>
      </c>
      <c r="BK28" s="1" t="s">
        <v>338</v>
      </c>
      <c r="BL28" s="1" t="s">
        <v>338</v>
      </c>
      <c r="BM28" s="1" t="s">
        <v>338</v>
      </c>
      <c r="BN28" s="1" t="s">
        <v>338</v>
      </c>
      <c r="BO28" s="1" t="s">
        <v>338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377</v>
      </c>
      <c r="BZ28" s="1"/>
      <c r="CA28" s="1"/>
      <c r="CB28" s="1" t="s">
        <v>377</v>
      </c>
      <c r="CC28" s="1"/>
    </row>
    <row r="29" spans="1:81" x14ac:dyDescent="0.25">
      <c r="A29" s="1" t="s">
        <v>115</v>
      </c>
      <c r="B29" s="1" t="s">
        <v>326</v>
      </c>
      <c r="C29" s="1">
        <v>1610612739</v>
      </c>
      <c r="D29" s="1" t="s">
        <v>401</v>
      </c>
      <c r="E29" s="1" t="s">
        <v>402</v>
      </c>
      <c r="F29" s="1" t="s">
        <v>341</v>
      </c>
      <c r="G29" s="1" t="s">
        <v>335</v>
      </c>
      <c r="H29" s="1">
        <v>14</v>
      </c>
      <c r="I29" s="1" t="s">
        <v>331</v>
      </c>
      <c r="J29" s="1" t="s">
        <v>350</v>
      </c>
      <c r="K29" s="1" t="s">
        <v>335</v>
      </c>
      <c r="L29" s="1">
        <v>5</v>
      </c>
      <c r="M29" s="1">
        <v>0</v>
      </c>
      <c r="N29" s="1">
        <v>1</v>
      </c>
      <c r="O29" s="1">
        <v>0</v>
      </c>
      <c r="P29" s="1">
        <v>0</v>
      </c>
      <c r="Q29" s="1" t="s">
        <v>377</v>
      </c>
      <c r="R29" s="1" t="s">
        <v>335</v>
      </c>
      <c r="S29" s="1" t="s">
        <v>375</v>
      </c>
      <c r="T29" s="1" t="s">
        <v>375</v>
      </c>
      <c r="U29" s="1" t="s">
        <v>335</v>
      </c>
      <c r="V29" s="1" t="s">
        <v>375</v>
      </c>
      <c r="W29" s="1" t="s">
        <v>335</v>
      </c>
      <c r="X29" s="1" t="s">
        <v>335</v>
      </c>
      <c r="Y29" s="1" t="s">
        <v>375</v>
      </c>
      <c r="Z29" s="1">
        <v>0</v>
      </c>
      <c r="AA29" s="1" t="s">
        <v>344</v>
      </c>
      <c r="AB29" s="1">
        <v>-1</v>
      </c>
      <c r="AC29" s="1" t="s">
        <v>376</v>
      </c>
      <c r="AD29" s="1">
        <v>0</v>
      </c>
      <c r="AE29" s="1">
        <v>1</v>
      </c>
      <c r="AF29" s="1">
        <v>0</v>
      </c>
      <c r="AG29" s="1" t="s">
        <v>344</v>
      </c>
      <c r="AH29" s="1">
        <v>-1</v>
      </c>
      <c r="AI29" s="1" t="s">
        <v>376</v>
      </c>
      <c r="AJ29" s="1">
        <v>-1</v>
      </c>
      <c r="AK29" s="1" t="s">
        <v>376</v>
      </c>
      <c r="AL29" s="1">
        <v>1</v>
      </c>
      <c r="AM29" s="1">
        <v>1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335</v>
      </c>
      <c r="AT29" s="1" t="s">
        <v>375</v>
      </c>
      <c r="AU29" s="1" t="s">
        <v>335</v>
      </c>
      <c r="AV29" s="1" t="s">
        <v>335</v>
      </c>
      <c r="AW29" s="1" t="s">
        <v>375</v>
      </c>
      <c r="AX29" s="1" t="s">
        <v>335</v>
      </c>
      <c r="AY29" s="1" t="s">
        <v>375</v>
      </c>
      <c r="AZ29" s="1" t="s">
        <v>375</v>
      </c>
      <c r="BA29" s="1" t="s">
        <v>375</v>
      </c>
      <c r="BB29" s="1" t="s">
        <v>335</v>
      </c>
      <c r="BC29" s="1" t="s">
        <v>335</v>
      </c>
      <c r="BD29" s="1" t="s">
        <v>375</v>
      </c>
      <c r="BE29" s="1">
        <v>121</v>
      </c>
      <c r="BF29" s="1">
        <v>132</v>
      </c>
      <c r="BG29" s="1">
        <v>-11</v>
      </c>
      <c r="BH29" s="1" t="s">
        <v>338</v>
      </c>
      <c r="BI29" s="1" t="s">
        <v>338</v>
      </c>
      <c r="BJ29" s="1" t="s">
        <v>338</v>
      </c>
      <c r="BK29" s="1" t="s">
        <v>338</v>
      </c>
      <c r="BL29" s="1" t="s">
        <v>377</v>
      </c>
      <c r="BM29" s="1" t="s">
        <v>338</v>
      </c>
      <c r="BN29" s="1" t="s">
        <v>338</v>
      </c>
      <c r="BO29" s="1" t="s">
        <v>377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377</v>
      </c>
      <c r="BZ29" s="1"/>
      <c r="CA29" s="1"/>
      <c r="CB29" s="1" t="s">
        <v>377</v>
      </c>
      <c r="CC29" s="1"/>
    </row>
    <row r="30" spans="1:81" x14ac:dyDescent="0.25">
      <c r="A30" s="1" t="s">
        <v>115</v>
      </c>
      <c r="B30" s="1" t="s">
        <v>326</v>
      </c>
      <c r="C30" s="1">
        <v>1610612742</v>
      </c>
      <c r="D30" s="1" t="s">
        <v>403</v>
      </c>
      <c r="E30" s="1" t="s">
        <v>404</v>
      </c>
      <c r="F30" s="1" t="s">
        <v>329</v>
      </c>
      <c r="G30" s="1" t="s">
        <v>335</v>
      </c>
      <c r="H30" s="1">
        <v>15</v>
      </c>
      <c r="I30" s="1" t="s">
        <v>331</v>
      </c>
      <c r="J30" s="1" t="s">
        <v>353</v>
      </c>
      <c r="K30" s="1" t="s">
        <v>335</v>
      </c>
      <c r="L30" s="1">
        <v>5</v>
      </c>
      <c r="M30" s="1">
        <v>0</v>
      </c>
      <c r="N30" s="1">
        <v>1</v>
      </c>
      <c r="O30" s="1">
        <v>0</v>
      </c>
      <c r="P30" s="1">
        <v>0</v>
      </c>
      <c r="Q30" s="1" t="s">
        <v>377</v>
      </c>
      <c r="R30" s="1" t="s">
        <v>335</v>
      </c>
      <c r="S30" s="1" t="s">
        <v>375</v>
      </c>
      <c r="T30" s="1" t="s">
        <v>375</v>
      </c>
      <c r="U30" s="1" t="s">
        <v>335</v>
      </c>
      <c r="V30" s="1" t="s">
        <v>375</v>
      </c>
      <c r="W30" s="1" t="s">
        <v>335</v>
      </c>
      <c r="X30" s="1" t="s">
        <v>335</v>
      </c>
      <c r="Y30" s="1" t="s">
        <v>375</v>
      </c>
      <c r="Z30" s="1">
        <v>0</v>
      </c>
      <c r="AA30" s="1" t="s">
        <v>344</v>
      </c>
      <c r="AB30" s="1">
        <v>-1</v>
      </c>
      <c r="AC30" s="1" t="s">
        <v>376</v>
      </c>
      <c r="AD30" s="1">
        <v>0</v>
      </c>
      <c r="AE30" s="1">
        <v>1</v>
      </c>
      <c r="AF30" s="1">
        <v>0</v>
      </c>
      <c r="AG30" s="1" t="s">
        <v>344</v>
      </c>
      <c r="AH30" s="1">
        <v>-1</v>
      </c>
      <c r="AI30" s="1" t="s">
        <v>376</v>
      </c>
      <c r="AJ30" s="1">
        <v>-1</v>
      </c>
      <c r="AK30" s="1" t="s">
        <v>376</v>
      </c>
      <c r="AL30" s="1">
        <v>1.5</v>
      </c>
      <c r="AM30" s="1">
        <v>1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335</v>
      </c>
      <c r="AT30" s="1" t="s">
        <v>375</v>
      </c>
      <c r="AU30" s="1" t="s">
        <v>335</v>
      </c>
      <c r="AV30" s="1" t="s">
        <v>335</v>
      </c>
      <c r="AW30" s="1" t="s">
        <v>375</v>
      </c>
      <c r="AX30" s="1" t="s">
        <v>335</v>
      </c>
      <c r="AY30" s="1" t="s">
        <v>335</v>
      </c>
      <c r="AZ30" s="1" t="s">
        <v>375</v>
      </c>
      <c r="BA30" s="1" t="s">
        <v>375</v>
      </c>
      <c r="BB30" s="1" t="s">
        <v>335</v>
      </c>
      <c r="BC30" s="1" t="s">
        <v>335</v>
      </c>
      <c r="BD30" s="1" t="s">
        <v>335</v>
      </c>
      <c r="BE30" s="1">
        <v>87</v>
      </c>
      <c r="BF30" s="1">
        <v>113</v>
      </c>
      <c r="BG30" s="1">
        <v>-26</v>
      </c>
      <c r="BH30" s="1" t="s">
        <v>377</v>
      </c>
      <c r="BI30" s="1" t="s">
        <v>338</v>
      </c>
      <c r="BJ30" s="1" t="s">
        <v>338</v>
      </c>
      <c r="BK30" s="1" t="s">
        <v>377</v>
      </c>
      <c r="BL30" s="1" t="s">
        <v>338</v>
      </c>
      <c r="BM30" s="1" t="s">
        <v>338</v>
      </c>
      <c r="BN30" s="1" t="s">
        <v>338</v>
      </c>
      <c r="BO30" s="1" t="s">
        <v>338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377</v>
      </c>
      <c r="BZ30" s="1"/>
      <c r="CA30" s="1"/>
      <c r="CB30" s="1" t="s">
        <v>377</v>
      </c>
      <c r="CC30" s="1"/>
    </row>
    <row r="31" spans="1:81" x14ac:dyDescent="0.25">
      <c r="A31" s="1" t="s">
        <v>115</v>
      </c>
      <c r="B31" s="1" t="s">
        <v>326</v>
      </c>
      <c r="C31" s="1">
        <v>1610612753</v>
      </c>
      <c r="D31" s="1" t="s">
        <v>405</v>
      </c>
      <c r="E31" s="1" t="s">
        <v>406</v>
      </c>
      <c r="F31" s="1" t="s">
        <v>341</v>
      </c>
      <c r="G31" s="1" t="s">
        <v>335</v>
      </c>
      <c r="H31" s="1">
        <v>15</v>
      </c>
      <c r="I31" s="1" t="s">
        <v>331</v>
      </c>
      <c r="J31" s="1" t="s">
        <v>342</v>
      </c>
      <c r="K31" s="1" t="s">
        <v>335</v>
      </c>
      <c r="L31" s="1">
        <v>5</v>
      </c>
      <c r="M31" s="1">
        <v>0</v>
      </c>
      <c r="N31" s="1">
        <v>1</v>
      </c>
      <c r="O31" s="1">
        <v>0</v>
      </c>
      <c r="P31" s="1">
        <v>0</v>
      </c>
      <c r="Q31" s="1" t="s">
        <v>377</v>
      </c>
      <c r="R31" s="1" t="s">
        <v>335</v>
      </c>
      <c r="S31" s="1" t="s">
        <v>375</v>
      </c>
      <c r="T31" s="1" t="s">
        <v>375</v>
      </c>
      <c r="U31" s="1" t="s">
        <v>335</v>
      </c>
      <c r="V31" s="1" t="s">
        <v>375</v>
      </c>
      <c r="W31" s="1" t="s">
        <v>335</v>
      </c>
      <c r="X31" s="1" t="s">
        <v>335</v>
      </c>
      <c r="Y31" s="1" t="s">
        <v>375</v>
      </c>
      <c r="Z31" s="1">
        <v>0</v>
      </c>
      <c r="AA31" s="1" t="s">
        <v>344</v>
      </c>
      <c r="AB31" s="1">
        <v>-1</v>
      </c>
      <c r="AC31" s="1" t="s">
        <v>376</v>
      </c>
      <c r="AD31" s="1">
        <v>0</v>
      </c>
      <c r="AE31" s="1">
        <v>1</v>
      </c>
      <c r="AF31" s="1">
        <v>0</v>
      </c>
      <c r="AG31" s="1" t="s">
        <v>344</v>
      </c>
      <c r="AH31" s="1">
        <v>-1</v>
      </c>
      <c r="AI31" s="1" t="s">
        <v>376</v>
      </c>
      <c r="AJ31" s="1">
        <v>-1</v>
      </c>
      <c r="AK31" s="1" t="s">
        <v>376</v>
      </c>
      <c r="AL31" s="1">
        <v>1</v>
      </c>
      <c r="AM31" s="1">
        <v>1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335</v>
      </c>
      <c r="AT31" s="1" t="s">
        <v>375</v>
      </c>
      <c r="AU31" s="1" t="s">
        <v>335</v>
      </c>
      <c r="AV31" s="1" t="s">
        <v>335</v>
      </c>
      <c r="AW31" s="1" t="s">
        <v>375</v>
      </c>
      <c r="AX31" s="1" t="s">
        <v>335</v>
      </c>
      <c r="AY31" s="1" t="s">
        <v>335</v>
      </c>
      <c r="AZ31" s="1" t="s">
        <v>375</v>
      </c>
      <c r="BA31" s="1" t="s">
        <v>375</v>
      </c>
      <c r="BB31" s="1" t="s">
        <v>335</v>
      </c>
      <c r="BC31" s="1" t="s">
        <v>375</v>
      </c>
      <c r="BD31" s="1" t="s">
        <v>335</v>
      </c>
      <c r="BE31" s="1">
        <v>97</v>
      </c>
      <c r="BF31" s="1">
        <v>123</v>
      </c>
      <c r="BG31" s="1">
        <v>-26</v>
      </c>
      <c r="BH31" s="1" t="s">
        <v>338</v>
      </c>
      <c r="BI31" s="1" t="s">
        <v>338</v>
      </c>
      <c r="BJ31" s="1" t="s">
        <v>338</v>
      </c>
      <c r="BK31" s="1" t="s">
        <v>338</v>
      </c>
      <c r="BL31" s="1" t="s">
        <v>377</v>
      </c>
      <c r="BM31" s="1" t="s">
        <v>338</v>
      </c>
      <c r="BN31" s="1" t="s">
        <v>338</v>
      </c>
      <c r="BO31" s="1" t="s">
        <v>377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377</v>
      </c>
      <c r="BZ31" s="1"/>
      <c r="CA31" s="1"/>
      <c r="CB31" s="1" t="s">
        <v>377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DAE89-76BC-47CA-AE0B-B6DBA15EBF93}">
  <dimension ref="A1:BD31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10" max="10" width="10.53515625" customWidth="1"/>
    <col min="13" max="13" width="11.69140625" customWidth="1"/>
    <col min="16" max="16" width="10.3828125" customWidth="1"/>
    <col min="28" max="28" width="15.61328125" customWidth="1"/>
    <col min="29" max="29" width="12" customWidth="1"/>
    <col min="30" max="30" width="10.765625" customWidth="1"/>
    <col min="31" max="31" width="10.3828125" customWidth="1"/>
    <col min="32" max="32" width="15.765625" customWidth="1"/>
    <col min="33" max="33" width="12.921875" customWidth="1"/>
    <col min="34" max="34" width="13.4609375" customWidth="1"/>
    <col min="35" max="35" width="13.23046875" customWidth="1"/>
    <col min="36" max="36" width="16.84375" customWidth="1"/>
    <col min="37" max="37" width="14.69140625" customWidth="1"/>
    <col min="38" max="38" width="14.3828125" customWidth="1"/>
    <col min="39" max="39" width="18.07421875" customWidth="1"/>
    <col min="40" max="40" width="13.3046875" customWidth="1"/>
    <col min="41" max="41" width="13.07421875" customWidth="1"/>
    <col min="42" max="42" width="16.69140625" customWidth="1"/>
    <col min="43" max="43" width="14.84375" customWidth="1"/>
    <col min="44" max="44" width="14.69140625" customWidth="1"/>
    <col min="45" max="46" width="13.23046875" customWidth="1"/>
    <col min="47" max="47" width="13.4609375" customWidth="1"/>
    <col min="48" max="48" width="13.07421875" customWidth="1"/>
    <col min="49" max="49" width="13.23046875" customWidth="1"/>
    <col min="50" max="50" width="14.53515625" customWidth="1"/>
    <col min="51" max="51" width="11.69140625" customWidth="1"/>
    <col min="52" max="53" width="13.23046875" customWidth="1"/>
    <col min="54" max="54" width="21.921875" customWidth="1"/>
    <col min="56" max="56" width="13.84375" customWidth="1"/>
  </cols>
  <sheetData>
    <row r="1" spans="1:56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414</v>
      </c>
      <c r="I1" s="1" t="s">
        <v>415</v>
      </c>
      <c r="J1" s="1" t="s">
        <v>416</v>
      </c>
      <c r="K1" s="1" t="s">
        <v>417</v>
      </c>
      <c r="L1" s="1" t="s">
        <v>418</v>
      </c>
      <c r="M1" s="1" t="s">
        <v>419</v>
      </c>
      <c r="N1" s="1" t="s">
        <v>420</v>
      </c>
      <c r="O1" s="1" t="s">
        <v>421</v>
      </c>
      <c r="P1" s="1" t="s">
        <v>422</v>
      </c>
      <c r="Q1" s="1" t="s">
        <v>423</v>
      </c>
      <c r="R1" s="1" t="s">
        <v>424</v>
      </c>
      <c r="S1" s="1" t="s">
        <v>425</v>
      </c>
      <c r="T1" s="1" t="s">
        <v>426</v>
      </c>
      <c r="U1" s="1" t="s">
        <v>427</v>
      </c>
      <c r="V1" s="1" t="s">
        <v>428</v>
      </c>
      <c r="W1" s="1" t="s">
        <v>429</v>
      </c>
      <c r="X1" s="1" t="s">
        <v>430</v>
      </c>
      <c r="Y1" s="1" t="s">
        <v>431</v>
      </c>
      <c r="Z1" s="1" t="s">
        <v>432</v>
      </c>
      <c r="AA1" s="1" t="s">
        <v>433</v>
      </c>
      <c r="AB1" s="1" t="s">
        <v>434</v>
      </c>
      <c r="AC1" s="1" t="s">
        <v>435</v>
      </c>
      <c r="AD1" s="1" t="s">
        <v>436</v>
      </c>
      <c r="AE1" s="1" t="s">
        <v>437</v>
      </c>
      <c r="AF1" s="1" t="s">
        <v>438</v>
      </c>
      <c r="AG1" s="1" t="s">
        <v>439</v>
      </c>
      <c r="AH1" s="1" t="s">
        <v>440</v>
      </c>
      <c r="AI1" s="1" t="s">
        <v>441</v>
      </c>
      <c r="AJ1" s="1" t="s">
        <v>442</v>
      </c>
      <c r="AK1" s="1" t="s">
        <v>443</v>
      </c>
      <c r="AL1" s="1" t="s">
        <v>444</v>
      </c>
      <c r="AM1" s="1" t="s">
        <v>445</v>
      </c>
      <c r="AN1" s="1" t="s">
        <v>446</v>
      </c>
      <c r="AO1" s="1" t="s">
        <v>447</v>
      </c>
      <c r="AP1" s="1" t="s">
        <v>448</v>
      </c>
      <c r="AQ1" s="1" t="s">
        <v>449</v>
      </c>
      <c r="AR1" s="1" t="s">
        <v>450</v>
      </c>
      <c r="AS1" s="1" t="s">
        <v>451</v>
      </c>
      <c r="AT1" s="1" t="s">
        <v>452</v>
      </c>
      <c r="AU1" s="1" t="s">
        <v>453</v>
      </c>
      <c r="AV1" s="1" t="s">
        <v>454</v>
      </c>
      <c r="AW1" s="1" t="s">
        <v>455</v>
      </c>
      <c r="AX1" s="1" t="s">
        <v>456</v>
      </c>
      <c r="AY1" s="1" t="s">
        <v>457</v>
      </c>
      <c r="AZ1" s="1" t="s">
        <v>458</v>
      </c>
      <c r="BA1" s="1" t="s">
        <v>459</v>
      </c>
      <c r="BB1" s="1" t="s">
        <v>460</v>
      </c>
      <c r="BC1" s="1" t="s">
        <v>461</v>
      </c>
      <c r="BD1" s="1" t="s">
        <v>462</v>
      </c>
    </row>
    <row r="2" spans="1:56" x14ac:dyDescent="0.25">
      <c r="A2" s="1">
        <v>1610612737</v>
      </c>
      <c r="B2" s="1" t="s">
        <v>463</v>
      </c>
      <c r="C2" s="1">
        <v>1</v>
      </c>
      <c r="D2" s="1">
        <v>1</v>
      </c>
      <c r="E2" s="1">
        <v>0</v>
      </c>
      <c r="F2" s="1">
        <v>1</v>
      </c>
      <c r="G2" s="1">
        <v>48</v>
      </c>
      <c r="H2" s="1">
        <v>45</v>
      </c>
      <c r="I2" s="1">
        <v>94</v>
      </c>
      <c r="J2" s="1">
        <v>0.47899999999999998</v>
      </c>
      <c r="K2" s="1">
        <v>15</v>
      </c>
      <c r="L2" s="1">
        <v>35</v>
      </c>
      <c r="M2" s="1">
        <v>0.42899999999999999</v>
      </c>
      <c r="N2" s="1">
        <v>8</v>
      </c>
      <c r="O2" s="1">
        <v>9</v>
      </c>
      <c r="P2" s="1">
        <v>0.88900000000000001</v>
      </c>
      <c r="Q2" s="1">
        <v>6</v>
      </c>
      <c r="R2" s="1">
        <v>49</v>
      </c>
      <c r="S2" s="1">
        <v>55</v>
      </c>
      <c r="T2" s="1">
        <v>31</v>
      </c>
      <c r="U2" s="1" t="s">
        <v>464</v>
      </c>
      <c r="V2" s="1">
        <v>8</v>
      </c>
      <c r="W2" s="1">
        <v>9</v>
      </c>
      <c r="X2" s="1">
        <v>3</v>
      </c>
      <c r="Y2" s="1">
        <v>16</v>
      </c>
      <c r="Z2" s="1">
        <v>21</v>
      </c>
      <c r="AA2" s="1">
        <v>113</v>
      </c>
      <c r="AB2" s="1" t="s">
        <v>465</v>
      </c>
      <c r="AC2" s="1">
        <v>3</v>
      </c>
      <c r="AD2" s="1">
        <v>2</v>
      </c>
      <c r="AE2" s="1">
        <v>1</v>
      </c>
      <c r="AF2" s="1">
        <v>1</v>
      </c>
      <c r="AG2" s="1">
        <v>3</v>
      </c>
      <c r="AH2" s="1">
        <v>8</v>
      </c>
      <c r="AI2" s="1">
        <v>11</v>
      </c>
      <c r="AJ2" s="1">
        <v>10</v>
      </c>
      <c r="AK2" s="1">
        <v>8</v>
      </c>
      <c r="AL2" s="1">
        <v>14</v>
      </c>
      <c r="AM2" s="1">
        <v>6</v>
      </c>
      <c r="AN2" s="1">
        <v>28</v>
      </c>
      <c r="AO2" s="1">
        <v>28</v>
      </c>
      <c r="AP2" s="1">
        <v>3</v>
      </c>
      <c r="AQ2" s="1">
        <v>26</v>
      </c>
      <c r="AR2" s="1">
        <v>1</v>
      </c>
      <c r="AS2" s="1">
        <v>3</v>
      </c>
      <c r="AT2" s="1">
        <v>4</v>
      </c>
      <c r="AU2" s="1">
        <v>10</v>
      </c>
      <c r="AV2" s="1">
        <v>12</v>
      </c>
      <c r="AW2" s="1">
        <v>4</v>
      </c>
      <c r="AX2" s="1">
        <v>5</v>
      </c>
      <c r="AY2" s="1">
        <v>4</v>
      </c>
      <c r="AZ2" s="1">
        <v>12</v>
      </c>
      <c r="BA2" s="1">
        <v>15</v>
      </c>
      <c r="BB2" s="1">
        <v>2</v>
      </c>
      <c r="BC2" s="1">
        <v>10</v>
      </c>
      <c r="BD2" s="1" t="s">
        <v>463</v>
      </c>
    </row>
    <row r="3" spans="1:56" x14ac:dyDescent="0.25">
      <c r="A3" s="1">
        <v>1610612738</v>
      </c>
      <c r="B3" s="1" t="s">
        <v>466</v>
      </c>
      <c r="C3" s="1">
        <v>1</v>
      </c>
      <c r="D3" s="1">
        <v>0</v>
      </c>
      <c r="E3" s="1">
        <v>1</v>
      </c>
      <c r="F3" s="1">
        <v>0</v>
      </c>
      <c r="G3" s="1">
        <v>58</v>
      </c>
      <c r="H3" s="1">
        <v>48</v>
      </c>
      <c r="I3" s="1">
        <v>117</v>
      </c>
      <c r="J3" s="1">
        <v>0.41</v>
      </c>
      <c r="K3" s="1">
        <v>21</v>
      </c>
      <c r="L3" s="1">
        <v>57</v>
      </c>
      <c r="M3" s="1">
        <v>0.36799999999999999</v>
      </c>
      <c r="N3" s="1">
        <v>17</v>
      </c>
      <c r="O3" s="1">
        <v>23</v>
      </c>
      <c r="P3" s="1">
        <v>0.73899999999999999</v>
      </c>
      <c r="Q3" s="1">
        <v>15</v>
      </c>
      <c r="R3" s="1">
        <v>41</v>
      </c>
      <c r="S3" s="1">
        <v>56</v>
      </c>
      <c r="T3" s="1">
        <v>34</v>
      </c>
      <c r="U3" s="1" t="s">
        <v>467</v>
      </c>
      <c r="V3" s="1">
        <v>13</v>
      </c>
      <c r="W3" s="1">
        <v>9</v>
      </c>
      <c r="X3" s="1">
        <v>10</v>
      </c>
      <c r="Y3" s="1">
        <v>24</v>
      </c>
      <c r="Z3" s="1">
        <v>22</v>
      </c>
      <c r="AA3" s="1">
        <v>134</v>
      </c>
      <c r="AB3" s="1" t="s">
        <v>468</v>
      </c>
      <c r="AC3" s="1">
        <v>3</v>
      </c>
      <c r="AD3" s="1">
        <v>16</v>
      </c>
      <c r="AE3" s="1">
        <v>15</v>
      </c>
      <c r="AF3" s="1">
        <v>16</v>
      </c>
      <c r="AG3" s="1">
        <v>1</v>
      </c>
      <c r="AH3" s="1">
        <v>5</v>
      </c>
      <c r="AI3" s="1">
        <v>1</v>
      </c>
      <c r="AJ3" s="1">
        <v>25</v>
      </c>
      <c r="AK3" s="1">
        <v>1</v>
      </c>
      <c r="AL3" s="1">
        <v>1</v>
      </c>
      <c r="AM3" s="1">
        <v>15</v>
      </c>
      <c r="AN3" s="1">
        <v>11</v>
      </c>
      <c r="AO3" s="1">
        <v>10</v>
      </c>
      <c r="AP3" s="1">
        <v>15</v>
      </c>
      <c r="AQ3" s="1">
        <v>2</v>
      </c>
      <c r="AR3" s="1">
        <v>7</v>
      </c>
      <c r="AS3" s="1">
        <v>2</v>
      </c>
      <c r="AT3" s="1">
        <v>2</v>
      </c>
      <c r="AU3" s="1">
        <v>21</v>
      </c>
      <c r="AV3" s="1">
        <v>3</v>
      </c>
      <c r="AW3" s="1">
        <v>4</v>
      </c>
      <c r="AX3" s="1">
        <v>28</v>
      </c>
      <c r="AY3" s="1">
        <v>25</v>
      </c>
      <c r="AZ3" s="1">
        <v>6</v>
      </c>
      <c r="BA3" s="1">
        <v>3</v>
      </c>
      <c r="BB3" s="1">
        <v>18</v>
      </c>
      <c r="BC3" s="1">
        <v>10</v>
      </c>
      <c r="BD3" s="1" t="s">
        <v>466</v>
      </c>
    </row>
    <row r="4" spans="1:56" x14ac:dyDescent="0.25">
      <c r="A4" s="1">
        <v>1610612751</v>
      </c>
      <c r="B4" s="1" t="s">
        <v>469</v>
      </c>
      <c r="C4" s="1">
        <v>1</v>
      </c>
      <c r="D4" s="1">
        <v>0</v>
      </c>
      <c r="E4" s="1">
        <v>1</v>
      </c>
      <c r="F4" s="1">
        <v>0</v>
      </c>
      <c r="G4" s="1">
        <v>48</v>
      </c>
      <c r="H4" s="1">
        <v>37</v>
      </c>
      <c r="I4" s="1">
        <v>84</v>
      </c>
      <c r="J4" s="1">
        <v>0.44</v>
      </c>
      <c r="K4" s="1">
        <v>17</v>
      </c>
      <c r="L4" s="1">
        <v>32</v>
      </c>
      <c r="M4" s="1">
        <v>0.53100000000000003</v>
      </c>
      <c r="N4" s="1">
        <v>13</v>
      </c>
      <c r="O4" s="1">
        <v>23</v>
      </c>
      <c r="P4" s="1">
        <v>0.56499999999999995</v>
      </c>
      <c r="Q4" s="1">
        <v>5</v>
      </c>
      <c r="R4" s="1">
        <v>39</v>
      </c>
      <c r="S4" s="1">
        <v>44</v>
      </c>
      <c r="T4" s="1">
        <v>19</v>
      </c>
      <c r="U4" s="1" t="s">
        <v>464</v>
      </c>
      <c r="V4" s="1">
        <v>3</v>
      </c>
      <c r="W4" s="1">
        <v>9</v>
      </c>
      <c r="X4" s="1">
        <v>9</v>
      </c>
      <c r="Y4" s="1">
        <v>17</v>
      </c>
      <c r="Z4" s="1">
        <v>19</v>
      </c>
      <c r="AA4" s="1">
        <v>104</v>
      </c>
      <c r="AB4" s="1" t="s">
        <v>470</v>
      </c>
      <c r="AC4" s="1">
        <v>3</v>
      </c>
      <c r="AD4" s="1">
        <v>16</v>
      </c>
      <c r="AE4" s="1">
        <v>15</v>
      </c>
      <c r="AF4" s="1">
        <v>16</v>
      </c>
      <c r="AG4" s="1">
        <v>3</v>
      </c>
      <c r="AH4" s="1">
        <v>22</v>
      </c>
      <c r="AI4" s="1">
        <v>28</v>
      </c>
      <c r="AJ4" s="1">
        <v>17</v>
      </c>
      <c r="AK4" s="1">
        <v>2</v>
      </c>
      <c r="AL4" s="1">
        <v>22</v>
      </c>
      <c r="AM4" s="1">
        <v>1</v>
      </c>
      <c r="AN4" s="1">
        <v>17</v>
      </c>
      <c r="AO4" s="1">
        <v>10</v>
      </c>
      <c r="AP4" s="1">
        <v>28</v>
      </c>
      <c r="AQ4" s="1">
        <v>29</v>
      </c>
      <c r="AR4" s="1">
        <v>15</v>
      </c>
      <c r="AS4" s="1">
        <v>23</v>
      </c>
      <c r="AT4" s="1">
        <v>23</v>
      </c>
      <c r="AU4" s="1">
        <v>10</v>
      </c>
      <c r="AV4" s="1">
        <v>29</v>
      </c>
      <c r="AW4" s="1">
        <v>4</v>
      </c>
      <c r="AX4" s="1">
        <v>25</v>
      </c>
      <c r="AY4" s="1">
        <v>7</v>
      </c>
      <c r="AZ4" s="1">
        <v>18</v>
      </c>
      <c r="BA4" s="1">
        <v>21</v>
      </c>
      <c r="BB4" s="1">
        <v>28</v>
      </c>
      <c r="BC4" s="1">
        <v>10</v>
      </c>
      <c r="BD4" s="1" t="s">
        <v>469</v>
      </c>
    </row>
    <row r="5" spans="1:56" x14ac:dyDescent="0.25">
      <c r="A5" s="1">
        <v>1610612766</v>
      </c>
      <c r="B5" s="1" t="s">
        <v>471</v>
      </c>
      <c r="C5" s="1">
        <v>1</v>
      </c>
      <c r="D5" s="1">
        <v>1</v>
      </c>
      <c r="E5" s="1">
        <v>0</v>
      </c>
      <c r="F5" s="1">
        <v>1</v>
      </c>
      <c r="G5" s="1">
        <v>48</v>
      </c>
      <c r="H5" s="1">
        <v>46</v>
      </c>
      <c r="I5" s="1">
        <v>107</v>
      </c>
      <c r="J5" s="1">
        <v>0.43</v>
      </c>
      <c r="K5" s="1">
        <v>13</v>
      </c>
      <c r="L5" s="1">
        <v>31</v>
      </c>
      <c r="M5" s="1">
        <v>0.41899999999999998</v>
      </c>
      <c r="N5" s="1">
        <v>18</v>
      </c>
      <c r="O5" s="1">
        <v>27</v>
      </c>
      <c r="P5" s="1">
        <v>0.66700000000000004</v>
      </c>
      <c r="Q5" s="1">
        <v>12</v>
      </c>
      <c r="R5" s="1">
        <v>34</v>
      </c>
      <c r="S5" s="1">
        <v>46</v>
      </c>
      <c r="T5" s="1">
        <v>29</v>
      </c>
      <c r="U5" s="1" t="s">
        <v>472</v>
      </c>
      <c r="V5" s="1">
        <v>9</v>
      </c>
      <c r="W5" s="1">
        <v>5</v>
      </c>
      <c r="X5" s="1">
        <v>10</v>
      </c>
      <c r="Y5" s="1">
        <v>21</v>
      </c>
      <c r="Z5" s="1">
        <v>24</v>
      </c>
      <c r="AA5" s="1">
        <v>123</v>
      </c>
      <c r="AB5" s="1" t="s">
        <v>473</v>
      </c>
      <c r="AC5" s="1">
        <v>3</v>
      </c>
      <c r="AD5" s="1">
        <v>2</v>
      </c>
      <c r="AE5" s="1">
        <v>1</v>
      </c>
      <c r="AF5" s="1">
        <v>1</v>
      </c>
      <c r="AG5" s="1">
        <v>3</v>
      </c>
      <c r="AH5" s="1">
        <v>7</v>
      </c>
      <c r="AI5" s="1">
        <v>2</v>
      </c>
      <c r="AJ5" s="1">
        <v>21</v>
      </c>
      <c r="AK5" s="1">
        <v>18</v>
      </c>
      <c r="AL5" s="1">
        <v>23</v>
      </c>
      <c r="AM5" s="1">
        <v>10</v>
      </c>
      <c r="AN5" s="1">
        <v>9</v>
      </c>
      <c r="AO5" s="1">
        <v>4</v>
      </c>
      <c r="AP5" s="1">
        <v>23</v>
      </c>
      <c r="AQ5" s="1">
        <v>8</v>
      </c>
      <c r="AR5" s="1">
        <v>22</v>
      </c>
      <c r="AS5" s="1">
        <v>17</v>
      </c>
      <c r="AT5" s="1">
        <v>5</v>
      </c>
      <c r="AU5" s="1">
        <v>2</v>
      </c>
      <c r="AV5" s="1">
        <v>6</v>
      </c>
      <c r="AW5" s="1">
        <v>11</v>
      </c>
      <c r="AX5" s="1">
        <v>28</v>
      </c>
      <c r="AY5" s="1">
        <v>16</v>
      </c>
      <c r="AZ5" s="1">
        <v>4</v>
      </c>
      <c r="BA5" s="1">
        <v>7</v>
      </c>
      <c r="BB5" s="1">
        <v>14</v>
      </c>
      <c r="BC5" s="1">
        <v>10</v>
      </c>
      <c r="BD5" s="1" t="s">
        <v>471</v>
      </c>
    </row>
    <row r="6" spans="1:56" x14ac:dyDescent="0.25">
      <c r="A6" s="1">
        <v>1610612741</v>
      </c>
      <c r="B6" s="1" t="s">
        <v>474</v>
      </c>
      <c r="C6" s="1">
        <v>1</v>
      </c>
      <c r="D6" s="1">
        <v>1</v>
      </c>
      <c r="E6" s="1">
        <v>0</v>
      </c>
      <c r="F6" s="1">
        <v>1</v>
      </c>
      <c r="G6" s="1">
        <v>48</v>
      </c>
      <c r="H6" s="1">
        <v>37</v>
      </c>
      <c r="I6" s="1">
        <v>86</v>
      </c>
      <c r="J6" s="1">
        <v>0.43</v>
      </c>
      <c r="K6" s="1">
        <v>7</v>
      </c>
      <c r="L6" s="1">
        <v>23</v>
      </c>
      <c r="M6" s="1">
        <v>0.30399999999999999</v>
      </c>
      <c r="N6" s="1">
        <v>13</v>
      </c>
      <c r="O6" s="1">
        <v>15</v>
      </c>
      <c r="P6" s="1">
        <v>0.86699999999999999</v>
      </c>
      <c r="Q6" s="1">
        <v>9</v>
      </c>
      <c r="R6" s="1">
        <v>39</v>
      </c>
      <c r="S6" s="1">
        <v>48</v>
      </c>
      <c r="T6" s="1">
        <v>18</v>
      </c>
      <c r="U6" s="1" t="s">
        <v>475</v>
      </c>
      <c r="V6" s="1">
        <v>8</v>
      </c>
      <c r="W6" s="1">
        <v>5</v>
      </c>
      <c r="X6" s="1">
        <v>5</v>
      </c>
      <c r="Y6" s="1">
        <v>19</v>
      </c>
      <c r="Z6" s="1">
        <v>16</v>
      </c>
      <c r="AA6" s="1">
        <v>94</v>
      </c>
      <c r="AB6" s="1" t="s">
        <v>476</v>
      </c>
      <c r="AC6" s="1">
        <v>3</v>
      </c>
      <c r="AD6" s="1">
        <v>2</v>
      </c>
      <c r="AE6" s="1">
        <v>1</v>
      </c>
      <c r="AF6" s="1">
        <v>1</v>
      </c>
      <c r="AG6" s="1">
        <v>3</v>
      </c>
      <c r="AH6" s="1">
        <v>22</v>
      </c>
      <c r="AI6" s="1">
        <v>25</v>
      </c>
      <c r="AJ6" s="1">
        <v>20</v>
      </c>
      <c r="AK6" s="1">
        <v>26</v>
      </c>
      <c r="AL6" s="1">
        <v>30</v>
      </c>
      <c r="AM6" s="1">
        <v>24</v>
      </c>
      <c r="AN6" s="1">
        <v>17</v>
      </c>
      <c r="AO6" s="1">
        <v>23</v>
      </c>
      <c r="AP6" s="1">
        <v>5</v>
      </c>
      <c r="AQ6" s="1">
        <v>17</v>
      </c>
      <c r="AR6" s="1">
        <v>15</v>
      </c>
      <c r="AS6" s="1">
        <v>14</v>
      </c>
      <c r="AT6" s="1">
        <v>25</v>
      </c>
      <c r="AU6" s="1">
        <v>18</v>
      </c>
      <c r="AV6" s="1">
        <v>12</v>
      </c>
      <c r="AW6" s="1">
        <v>11</v>
      </c>
      <c r="AX6" s="1">
        <v>13</v>
      </c>
      <c r="AY6" s="1">
        <v>11</v>
      </c>
      <c r="AZ6" s="1">
        <v>25</v>
      </c>
      <c r="BA6" s="1">
        <v>26</v>
      </c>
      <c r="BB6" s="1">
        <v>10</v>
      </c>
      <c r="BC6" s="1">
        <v>10</v>
      </c>
      <c r="BD6" s="1" t="s">
        <v>474</v>
      </c>
    </row>
    <row r="7" spans="1:56" x14ac:dyDescent="0.25">
      <c r="A7" s="1">
        <v>1610612739</v>
      </c>
      <c r="B7" s="1" t="s">
        <v>477</v>
      </c>
      <c r="C7" s="1">
        <v>1</v>
      </c>
      <c r="D7" s="1">
        <v>0</v>
      </c>
      <c r="E7" s="1">
        <v>1</v>
      </c>
      <c r="F7" s="1">
        <v>0</v>
      </c>
      <c r="G7" s="1">
        <v>48</v>
      </c>
      <c r="H7" s="1">
        <v>47</v>
      </c>
      <c r="I7" s="1">
        <v>93</v>
      </c>
      <c r="J7" s="1">
        <v>0.505</v>
      </c>
      <c r="K7" s="1">
        <v>14</v>
      </c>
      <c r="L7" s="1">
        <v>38</v>
      </c>
      <c r="M7" s="1">
        <v>0.36799999999999999</v>
      </c>
      <c r="N7" s="1">
        <v>13</v>
      </c>
      <c r="O7" s="1">
        <v>18</v>
      </c>
      <c r="P7" s="1">
        <v>0.72199999999999998</v>
      </c>
      <c r="Q7" s="1">
        <v>7</v>
      </c>
      <c r="R7" s="1">
        <v>29</v>
      </c>
      <c r="S7" s="1">
        <v>36</v>
      </c>
      <c r="T7" s="1">
        <v>38</v>
      </c>
      <c r="U7" s="1" t="s">
        <v>478</v>
      </c>
      <c r="V7" s="1">
        <v>6</v>
      </c>
      <c r="W7" s="1">
        <v>5</v>
      </c>
      <c r="X7" s="1">
        <v>8</v>
      </c>
      <c r="Y7" s="1">
        <v>17</v>
      </c>
      <c r="Z7" s="1">
        <v>15</v>
      </c>
      <c r="AA7" s="1">
        <v>121</v>
      </c>
      <c r="AB7" s="1" t="s">
        <v>479</v>
      </c>
      <c r="AC7" s="1">
        <v>3</v>
      </c>
      <c r="AD7" s="1">
        <v>16</v>
      </c>
      <c r="AE7" s="1">
        <v>15</v>
      </c>
      <c r="AF7" s="1">
        <v>16</v>
      </c>
      <c r="AG7" s="1">
        <v>3</v>
      </c>
      <c r="AH7" s="1">
        <v>6</v>
      </c>
      <c r="AI7" s="1">
        <v>12</v>
      </c>
      <c r="AJ7" s="1">
        <v>5</v>
      </c>
      <c r="AK7" s="1">
        <v>13</v>
      </c>
      <c r="AL7" s="1">
        <v>11</v>
      </c>
      <c r="AM7" s="1">
        <v>15</v>
      </c>
      <c r="AN7" s="1">
        <v>17</v>
      </c>
      <c r="AO7" s="1">
        <v>19</v>
      </c>
      <c r="AP7" s="1">
        <v>17</v>
      </c>
      <c r="AQ7" s="1">
        <v>22</v>
      </c>
      <c r="AR7" s="1">
        <v>29</v>
      </c>
      <c r="AS7" s="1">
        <v>30</v>
      </c>
      <c r="AT7" s="1">
        <v>1</v>
      </c>
      <c r="AU7" s="1">
        <v>6</v>
      </c>
      <c r="AV7" s="1">
        <v>22</v>
      </c>
      <c r="AW7" s="1">
        <v>11</v>
      </c>
      <c r="AX7" s="1">
        <v>23</v>
      </c>
      <c r="AY7" s="1">
        <v>7</v>
      </c>
      <c r="AZ7" s="1">
        <v>28</v>
      </c>
      <c r="BA7" s="1">
        <v>10</v>
      </c>
      <c r="BB7" s="1">
        <v>22</v>
      </c>
      <c r="BC7" s="1">
        <v>10</v>
      </c>
      <c r="BD7" s="1" t="s">
        <v>477</v>
      </c>
    </row>
    <row r="8" spans="1:56" x14ac:dyDescent="0.25">
      <c r="A8" s="1">
        <v>1610612742</v>
      </c>
      <c r="B8" s="1" t="s">
        <v>480</v>
      </c>
      <c r="C8" s="1">
        <v>1</v>
      </c>
      <c r="D8" s="1">
        <v>0</v>
      </c>
      <c r="E8" s="1">
        <v>1</v>
      </c>
      <c r="F8" s="1">
        <v>0</v>
      </c>
      <c r="G8" s="1">
        <v>48</v>
      </c>
      <c r="H8" s="1">
        <v>31</v>
      </c>
      <c r="I8" s="1">
        <v>93</v>
      </c>
      <c r="J8" s="1">
        <v>0.33300000000000002</v>
      </c>
      <c r="K8" s="1">
        <v>13</v>
      </c>
      <c r="L8" s="1">
        <v>43</v>
      </c>
      <c r="M8" s="1">
        <v>0.30199999999999999</v>
      </c>
      <c r="N8" s="1">
        <v>12</v>
      </c>
      <c r="O8" s="1">
        <v>13</v>
      </c>
      <c r="P8" s="1">
        <v>0.92300000000000004</v>
      </c>
      <c r="Q8" s="1">
        <v>10</v>
      </c>
      <c r="R8" s="1">
        <v>40</v>
      </c>
      <c r="S8" s="1">
        <v>50</v>
      </c>
      <c r="T8" s="1">
        <v>16</v>
      </c>
      <c r="U8" s="1" t="s">
        <v>481</v>
      </c>
      <c r="V8" s="1">
        <v>7</v>
      </c>
      <c r="W8" s="1">
        <v>3</v>
      </c>
      <c r="X8" s="1">
        <v>9</v>
      </c>
      <c r="Y8" s="1">
        <v>21</v>
      </c>
      <c r="Z8" s="1">
        <v>16</v>
      </c>
      <c r="AA8" s="1">
        <v>87</v>
      </c>
      <c r="AB8" s="1" t="s">
        <v>482</v>
      </c>
      <c r="AC8" s="1">
        <v>3</v>
      </c>
      <c r="AD8" s="1">
        <v>16</v>
      </c>
      <c r="AE8" s="1">
        <v>15</v>
      </c>
      <c r="AF8" s="1">
        <v>16</v>
      </c>
      <c r="AG8" s="1">
        <v>3</v>
      </c>
      <c r="AH8" s="1">
        <v>29</v>
      </c>
      <c r="AI8" s="1">
        <v>12</v>
      </c>
      <c r="AJ8" s="1">
        <v>29</v>
      </c>
      <c r="AK8" s="1">
        <v>18</v>
      </c>
      <c r="AL8" s="1">
        <v>6</v>
      </c>
      <c r="AM8" s="1">
        <v>25</v>
      </c>
      <c r="AN8" s="1">
        <v>21</v>
      </c>
      <c r="AO8" s="1">
        <v>25</v>
      </c>
      <c r="AP8" s="1">
        <v>2</v>
      </c>
      <c r="AQ8" s="1">
        <v>14</v>
      </c>
      <c r="AR8" s="1">
        <v>10</v>
      </c>
      <c r="AS8" s="1">
        <v>11</v>
      </c>
      <c r="AT8" s="1">
        <v>29</v>
      </c>
      <c r="AU8" s="1">
        <v>15</v>
      </c>
      <c r="AV8" s="1">
        <v>17</v>
      </c>
      <c r="AW8" s="1">
        <v>22</v>
      </c>
      <c r="AX8" s="1">
        <v>25</v>
      </c>
      <c r="AY8" s="1">
        <v>16</v>
      </c>
      <c r="AZ8" s="1">
        <v>25</v>
      </c>
      <c r="BA8" s="1">
        <v>28</v>
      </c>
      <c r="BB8" s="1">
        <v>29</v>
      </c>
      <c r="BC8" s="1">
        <v>10</v>
      </c>
      <c r="BD8" s="1" t="s">
        <v>480</v>
      </c>
    </row>
    <row r="9" spans="1:56" x14ac:dyDescent="0.25">
      <c r="A9" s="1">
        <v>1610612743</v>
      </c>
      <c r="B9" s="1" t="s">
        <v>483</v>
      </c>
      <c r="C9" s="1">
        <v>1</v>
      </c>
      <c r="D9" s="1">
        <v>1</v>
      </c>
      <c r="E9" s="1">
        <v>0</v>
      </c>
      <c r="F9" s="1">
        <v>1</v>
      </c>
      <c r="G9" s="1">
        <v>48</v>
      </c>
      <c r="H9" s="1">
        <v>44</v>
      </c>
      <c r="I9" s="1">
        <v>83</v>
      </c>
      <c r="J9" s="1">
        <v>0.53</v>
      </c>
      <c r="K9" s="1">
        <v>17</v>
      </c>
      <c r="L9" s="1">
        <v>39</v>
      </c>
      <c r="M9" s="1">
        <v>0.436</v>
      </c>
      <c r="N9" s="1">
        <v>5</v>
      </c>
      <c r="O9" s="1">
        <v>9</v>
      </c>
      <c r="P9" s="1">
        <v>0.55600000000000005</v>
      </c>
      <c r="Q9" s="1">
        <v>6</v>
      </c>
      <c r="R9" s="1">
        <v>40</v>
      </c>
      <c r="S9" s="1">
        <v>46</v>
      </c>
      <c r="T9" s="1">
        <v>25</v>
      </c>
      <c r="U9" s="1" t="s">
        <v>484</v>
      </c>
      <c r="V9" s="1">
        <v>9</v>
      </c>
      <c r="W9" s="1">
        <v>1</v>
      </c>
      <c r="X9" s="1">
        <v>3</v>
      </c>
      <c r="Y9" s="1">
        <v>20</v>
      </c>
      <c r="Z9" s="1">
        <v>18</v>
      </c>
      <c r="AA9" s="1">
        <v>110</v>
      </c>
      <c r="AB9" s="1" t="s">
        <v>485</v>
      </c>
      <c r="AC9" s="1">
        <v>3</v>
      </c>
      <c r="AD9" s="1">
        <v>2</v>
      </c>
      <c r="AE9" s="1">
        <v>1</v>
      </c>
      <c r="AF9" s="1">
        <v>1</v>
      </c>
      <c r="AG9" s="1">
        <v>3</v>
      </c>
      <c r="AH9" s="1">
        <v>11</v>
      </c>
      <c r="AI9" s="1">
        <v>29</v>
      </c>
      <c r="AJ9" s="1">
        <v>2</v>
      </c>
      <c r="AK9" s="1">
        <v>2</v>
      </c>
      <c r="AL9" s="1">
        <v>10</v>
      </c>
      <c r="AM9" s="1">
        <v>3</v>
      </c>
      <c r="AN9" s="1">
        <v>30</v>
      </c>
      <c r="AO9" s="1">
        <v>28</v>
      </c>
      <c r="AP9" s="1">
        <v>29</v>
      </c>
      <c r="AQ9" s="1">
        <v>26</v>
      </c>
      <c r="AR9" s="1">
        <v>10</v>
      </c>
      <c r="AS9" s="1">
        <v>17</v>
      </c>
      <c r="AT9" s="1">
        <v>13</v>
      </c>
      <c r="AU9" s="1">
        <v>25</v>
      </c>
      <c r="AV9" s="1">
        <v>6</v>
      </c>
      <c r="AW9" s="1">
        <v>30</v>
      </c>
      <c r="AX9" s="1">
        <v>5</v>
      </c>
      <c r="AY9" s="1">
        <v>14</v>
      </c>
      <c r="AZ9" s="1">
        <v>21</v>
      </c>
      <c r="BA9" s="1">
        <v>18</v>
      </c>
      <c r="BB9" s="1">
        <v>8</v>
      </c>
      <c r="BC9" s="1">
        <v>10</v>
      </c>
      <c r="BD9" s="1" t="s">
        <v>483</v>
      </c>
    </row>
    <row r="10" spans="1:56" x14ac:dyDescent="0.25">
      <c r="A10" s="1">
        <v>1610612765</v>
      </c>
      <c r="B10" s="1" t="s">
        <v>486</v>
      </c>
      <c r="C10" s="1">
        <v>1</v>
      </c>
      <c r="D10" s="1">
        <v>0</v>
      </c>
      <c r="E10" s="1">
        <v>1</v>
      </c>
      <c r="F10" s="1">
        <v>0</v>
      </c>
      <c r="G10" s="1">
        <v>48</v>
      </c>
      <c r="H10" s="1">
        <v>36</v>
      </c>
      <c r="I10" s="1">
        <v>90</v>
      </c>
      <c r="J10" s="1">
        <v>0.4</v>
      </c>
      <c r="K10" s="1">
        <v>6</v>
      </c>
      <c r="L10" s="1">
        <v>28</v>
      </c>
      <c r="M10" s="1">
        <v>0.214</v>
      </c>
      <c r="N10" s="1">
        <v>10</v>
      </c>
      <c r="O10" s="1">
        <v>13</v>
      </c>
      <c r="P10" s="1">
        <v>0.76900000000000002</v>
      </c>
      <c r="Q10" s="1">
        <v>11</v>
      </c>
      <c r="R10" s="1">
        <v>36</v>
      </c>
      <c r="S10" s="1">
        <v>47</v>
      </c>
      <c r="T10" s="1">
        <v>17</v>
      </c>
      <c r="U10" s="1" t="s">
        <v>475</v>
      </c>
      <c r="V10" s="1">
        <v>7</v>
      </c>
      <c r="W10" s="1">
        <v>5</v>
      </c>
      <c r="X10" s="1">
        <v>5</v>
      </c>
      <c r="Y10" s="1">
        <v>16</v>
      </c>
      <c r="Z10" s="1">
        <v>19</v>
      </c>
      <c r="AA10" s="1">
        <v>88</v>
      </c>
      <c r="AB10" s="1" t="s">
        <v>487</v>
      </c>
      <c r="AC10" s="1">
        <v>3</v>
      </c>
      <c r="AD10" s="1">
        <v>16</v>
      </c>
      <c r="AE10" s="1">
        <v>15</v>
      </c>
      <c r="AF10" s="1">
        <v>16</v>
      </c>
      <c r="AG10" s="1">
        <v>3</v>
      </c>
      <c r="AH10" s="1">
        <v>24</v>
      </c>
      <c r="AI10" s="1">
        <v>19</v>
      </c>
      <c r="AJ10" s="1">
        <v>27</v>
      </c>
      <c r="AK10" s="1">
        <v>29</v>
      </c>
      <c r="AL10" s="1">
        <v>27</v>
      </c>
      <c r="AM10" s="1">
        <v>27</v>
      </c>
      <c r="AN10" s="1">
        <v>26</v>
      </c>
      <c r="AO10" s="1">
        <v>25</v>
      </c>
      <c r="AP10" s="1">
        <v>13</v>
      </c>
      <c r="AQ10" s="1">
        <v>11</v>
      </c>
      <c r="AR10" s="1">
        <v>18</v>
      </c>
      <c r="AS10" s="1">
        <v>15</v>
      </c>
      <c r="AT10" s="1">
        <v>27</v>
      </c>
      <c r="AU10" s="1">
        <v>18</v>
      </c>
      <c r="AV10" s="1">
        <v>17</v>
      </c>
      <c r="AW10" s="1">
        <v>11</v>
      </c>
      <c r="AX10" s="1">
        <v>13</v>
      </c>
      <c r="AY10" s="1">
        <v>4</v>
      </c>
      <c r="AZ10" s="1">
        <v>18</v>
      </c>
      <c r="BA10" s="1">
        <v>27</v>
      </c>
      <c r="BB10" s="1">
        <v>19</v>
      </c>
      <c r="BC10" s="1">
        <v>10</v>
      </c>
      <c r="BD10" s="1" t="s">
        <v>486</v>
      </c>
    </row>
    <row r="11" spans="1:56" x14ac:dyDescent="0.25">
      <c r="A11" s="1">
        <v>1610612744</v>
      </c>
      <c r="B11" s="1" t="s">
        <v>488</v>
      </c>
      <c r="C11" s="1">
        <v>2</v>
      </c>
      <c r="D11" s="1">
        <v>2</v>
      </c>
      <c r="E11" s="1">
        <v>0</v>
      </c>
      <c r="F11" s="1">
        <v>1</v>
      </c>
      <c r="G11" s="1">
        <v>48</v>
      </c>
      <c r="H11" s="1">
        <v>42</v>
      </c>
      <c r="I11" s="1">
        <v>88</v>
      </c>
      <c r="J11" s="1">
        <v>0.47699999999999998</v>
      </c>
      <c r="K11" s="1">
        <v>14.5</v>
      </c>
      <c r="L11" s="1">
        <v>35</v>
      </c>
      <c r="M11" s="1">
        <v>0.41399999999999998</v>
      </c>
      <c r="N11" s="1">
        <v>19.5</v>
      </c>
      <c r="O11" s="1">
        <v>26</v>
      </c>
      <c r="P11" s="1">
        <v>0.75</v>
      </c>
      <c r="Q11" s="1">
        <v>9.5</v>
      </c>
      <c r="R11" s="1">
        <v>42</v>
      </c>
      <c r="S11" s="1">
        <v>51.5</v>
      </c>
      <c r="T11" s="1">
        <v>28.5</v>
      </c>
      <c r="U11" s="1" t="s">
        <v>484</v>
      </c>
      <c r="V11" s="1">
        <v>7</v>
      </c>
      <c r="W11" s="1">
        <v>3</v>
      </c>
      <c r="X11" s="1">
        <v>3</v>
      </c>
      <c r="Y11" s="1">
        <v>19</v>
      </c>
      <c r="Z11" s="1">
        <v>25</v>
      </c>
      <c r="AA11" s="1">
        <v>118</v>
      </c>
      <c r="AB11" s="1" t="s">
        <v>489</v>
      </c>
      <c r="AC11" s="1">
        <v>1</v>
      </c>
      <c r="AD11" s="1">
        <v>1</v>
      </c>
      <c r="AE11" s="1">
        <v>1</v>
      </c>
      <c r="AF11" s="1">
        <v>1</v>
      </c>
      <c r="AG11" s="1">
        <v>3</v>
      </c>
      <c r="AH11" s="1">
        <v>13</v>
      </c>
      <c r="AI11" s="1">
        <v>21</v>
      </c>
      <c r="AJ11" s="1">
        <v>11</v>
      </c>
      <c r="AK11" s="1">
        <v>11</v>
      </c>
      <c r="AL11" s="1">
        <v>14</v>
      </c>
      <c r="AM11" s="1">
        <v>12</v>
      </c>
      <c r="AN11" s="1">
        <v>6</v>
      </c>
      <c r="AO11" s="1">
        <v>6</v>
      </c>
      <c r="AP11" s="1">
        <v>14</v>
      </c>
      <c r="AQ11" s="1">
        <v>16</v>
      </c>
      <c r="AR11" s="1">
        <v>6</v>
      </c>
      <c r="AS11" s="1">
        <v>8</v>
      </c>
      <c r="AT11" s="1">
        <v>7</v>
      </c>
      <c r="AU11" s="1">
        <v>25</v>
      </c>
      <c r="AV11" s="1">
        <v>17</v>
      </c>
      <c r="AW11" s="1">
        <v>22</v>
      </c>
      <c r="AX11" s="1">
        <v>5</v>
      </c>
      <c r="AY11" s="1">
        <v>11</v>
      </c>
      <c r="AZ11" s="1">
        <v>2</v>
      </c>
      <c r="BA11" s="1">
        <v>12</v>
      </c>
      <c r="BB11" s="1">
        <v>11</v>
      </c>
      <c r="BC11" s="1">
        <v>10</v>
      </c>
      <c r="BD11" s="1" t="s">
        <v>488</v>
      </c>
    </row>
    <row r="12" spans="1:56" x14ac:dyDescent="0.25">
      <c r="A12" s="1">
        <v>1610612745</v>
      </c>
      <c r="B12" s="1" t="s">
        <v>490</v>
      </c>
      <c r="C12" s="1">
        <v>1</v>
      </c>
      <c r="D12" s="1">
        <v>0</v>
      </c>
      <c r="E12" s="1">
        <v>1</v>
      </c>
      <c r="F12" s="1">
        <v>0</v>
      </c>
      <c r="G12" s="1">
        <v>48</v>
      </c>
      <c r="H12" s="1">
        <v>40</v>
      </c>
      <c r="I12" s="1">
        <v>88</v>
      </c>
      <c r="J12" s="1">
        <v>0.45500000000000002</v>
      </c>
      <c r="K12" s="1">
        <v>11</v>
      </c>
      <c r="L12" s="1">
        <v>33</v>
      </c>
      <c r="M12" s="1">
        <v>0.33300000000000002</v>
      </c>
      <c r="N12" s="1">
        <v>15</v>
      </c>
      <c r="O12" s="1">
        <v>22</v>
      </c>
      <c r="P12" s="1">
        <v>0.68200000000000005</v>
      </c>
      <c r="Q12" s="1">
        <v>12</v>
      </c>
      <c r="R12" s="1">
        <v>29</v>
      </c>
      <c r="S12" s="1">
        <v>41</v>
      </c>
      <c r="T12" s="1">
        <v>21</v>
      </c>
      <c r="U12" s="1" t="s">
        <v>491</v>
      </c>
      <c r="V12" s="1">
        <v>13</v>
      </c>
      <c r="W12" s="1">
        <v>3</v>
      </c>
      <c r="X12" s="1">
        <v>12</v>
      </c>
      <c r="Y12" s="1">
        <v>25</v>
      </c>
      <c r="Z12" s="1">
        <v>22</v>
      </c>
      <c r="AA12" s="1">
        <v>106</v>
      </c>
      <c r="AB12" s="1" t="s">
        <v>492</v>
      </c>
      <c r="AC12" s="1">
        <v>3</v>
      </c>
      <c r="AD12" s="1">
        <v>16</v>
      </c>
      <c r="AE12" s="1">
        <v>15</v>
      </c>
      <c r="AF12" s="1">
        <v>16</v>
      </c>
      <c r="AG12" s="1">
        <v>3</v>
      </c>
      <c r="AH12" s="1">
        <v>18</v>
      </c>
      <c r="AI12" s="1">
        <v>21</v>
      </c>
      <c r="AJ12" s="1">
        <v>15</v>
      </c>
      <c r="AK12" s="1">
        <v>24</v>
      </c>
      <c r="AL12" s="1">
        <v>20</v>
      </c>
      <c r="AM12" s="1">
        <v>21</v>
      </c>
      <c r="AN12" s="1">
        <v>15</v>
      </c>
      <c r="AO12" s="1">
        <v>13</v>
      </c>
      <c r="AP12" s="1">
        <v>22</v>
      </c>
      <c r="AQ12" s="1">
        <v>8</v>
      </c>
      <c r="AR12" s="1">
        <v>29</v>
      </c>
      <c r="AS12" s="1">
        <v>28</v>
      </c>
      <c r="AT12" s="1">
        <v>20</v>
      </c>
      <c r="AU12" s="1">
        <v>30</v>
      </c>
      <c r="AV12" s="1">
        <v>3</v>
      </c>
      <c r="AW12" s="1">
        <v>22</v>
      </c>
      <c r="AX12" s="1">
        <v>30</v>
      </c>
      <c r="AY12" s="1">
        <v>27</v>
      </c>
      <c r="AZ12" s="1">
        <v>6</v>
      </c>
      <c r="BA12" s="1">
        <v>20</v>
      </c>
      <c r="BB12" s="1">
        <v>25</v>
      </c>
      <c r="BC12" s="1">
        <v>10</v>
      </c>
      <c r="BD12" s="1" t="s">
        <v>490</v>
      </c>
    </row>
    <row r="13" spans="1:56" x14ac:dyDescent="0.25">
      <c r="A13" s="1">
        <v>1610612754</v>
      </c>
      <c r="B13" s="1" t="s">
        <v>493</v>
      </c>
      <c r="C13" s="1">
        <v>1</v>
      </c>
      <c r="D13" s="1">
        <v>0</v>
      </c>
      <c r="E13" s="1">
        <v>1</v>
      </c>
      <c r="F13" s="1">
        <v>0</v>
      </c>
      <c r="G13" s="1">
        <v>48</v>
      </c>
      <c r="H13" s="1">
        <v>42</v>
      </c>
      <c r="I13" s="1">
        <v>90</v>
      </c>
      <c r="J13" s="1">
        <v>0.46700000000000003</v>
      </c>
      <c r="K13" s="1">
        <v>17</v>
      </c>
      <c r="L13" s="1">
        <v>47</v>
      </c>
      <c r="M13" s="1">
        <v>0.36199999999999999</v>
      </c>
      <c r="N13" s="1">
        <v>21</v>
      </c>
      <c r="O13" s="1">
        <v>24</v>
      </c>
      <c r="P13" s="1">
        <v>0.875</v>
      </c>
      <c r="Q13" s="1">
        <v>8</v>
      </c>
      <c r="R13" s="1">
        <v>43</v>
      </c>
      <c r="S13" s="1">
        <v>51</v>
      </c>
      <c r="T13" s="1">
        <v>29</v>
      </c>
      <c r="U13" s="1" t="s">
        <v>475</v>
      </c>
      <c r="V13" s="1">
        <v>2</v>
      </c>
      <c r="W13" s="1">
        <v>10</v>
      </c>
      <c r="X13" s="1">
        <v>5</v>
      </c>
      <c r="Y13" s="1">
        <v>24</v>
      </c>
      <c r="Z13" s="1">
        <v>21</v>
      </c>
      <c r="AA13" s="1">
        <v>122</v>
      </c>
      <c r="AB13" s="1" t="s">
        <v>494</v>
      </c>
      <c r="AC13" s="1">
        <v>3</v>
      </c>
      <c r="AD13" s="1">
        <v>16</v>
      </c>
      <c r="AE13" s="1">
        <v>15</v>
      </c>
      <c r="AF13" s="1">
        <v>16</v>
      </c>
      <c r="AG13" s="1">
        <v>3</v>
      </c>
      <c r="AH13" s="1">
        <v>13</v>
      </c>
      <c r="AI13" s="1">
        <v>19</v>
      </c>
      <c r="AJ13" s="1">
        <v>13</v>
      </c>
      <c r="AK13" s="1">
        <v>2</v>
      </c>
      <c r="AL13" s="1">
        <v>2</v>
      </c>
      <c r="AM13" s="1">
        <v>17</v>
      </c>
      <c r="AN13" s="1">
        <v>3</v>
      </c>
      <c r="AO13" s="1">
        <v>8</v>
      </c>
      <c r="AP13" s="1">
        <v>4</v>
      </c>
      <c r="AQ13" s="1">
        <v>20</v>
      </c>
      <c r="AR13" s="1">
        <v>5</v>
      </c>
      <c r="AS13" s="1">
        <v>9</v>
      </c>
      <c r="AT13" s="1">
        <v>5</v>
      </c>
      <c r="AU13" s="1">
        <v>18</v>
      </c>
      <c r="AV13" s="1">
        <v>30</v>
      </c>
      <c r="AW13" s="1">
        <v>2</v>
      </c>
      <c r="AX13" s="1">
        <v>13</v>
      </c>
      <c r="AY13" s="1">
        <v>25</v>
      </c>
      <c r="AZ13" s="1">
        <v>12</v>
      </c>
      <c r="BA13" s="1">
        <v>9</v>
      </c>
      <c r="BB13" s="1">
        <v>15</v>
      </c>
      <c r="BC13" s="1">
        <v>10</v>
      </c>
      <c r="BD13" s="1" t="s">
        <v>493</v>
      </c>
    </row>
    <row r="14" spans="1:56" x14ac:dyDescent="0.25">
      <c r="A14" s="1">
        <v>1610612746</v>
      </c>
      <c r="B14" s="1" t="s">
        <v>495</v>
      </c>
      <c r="C14" s="1">
        <v>1</v>
      </c>
      <c r="D14" s="1">
        <v>0</v>
      </c>
      <c r="E14" s="1">
        <v>1</v>
      </c>
      <c r="F14" s="1">
        <v>0</v>
      </c>
      <c r="G14" s="1">
        <v>48</v>
      </c>
      <c r="H14" s="1">
        <v>42</v>
      </c>
      <c r="I14" s="1">
        <v>96</v>
      </c>
      <c r="J14" s="1">
        <v>0.438</v>
      </c>
      <c r="K14" s="1">
        <v>14</v>
      </c>
      <c r="L14" s="1">
        <v>40</v>
      </c>
      <c r="M14" s="1">
        <v>0.35</v>
      </c>
      <c r="N14" s="1">
        <v>15</v>
      </c>
      <c r="O14" s="1">
        <v>21</v>
      </c>
      <c r="P14" s="1">
        <v>0.71399999999999997</v>
      </c>
      <c r="Q14" s="1">
        <v>8</v>
      </c>
      <c r="R14" s="1">
        <v>31</v>
      </c>
      <c r="S14" s="1">
        <v>39</v>
      </c>
      <c r="T14" s="1">
        <v>24</v>
      </c>
      <c r="U14" s="1" t="s">
        <v>496</v>
      </c>
      <c r="V14" s="1">
        <v>9</v>
      </c>
      <c r="W14" s="1">
        <v>2</v>
      </c>
      <c r="X14" s="1">
        <v>4</v>
      </c>
      <c r="Y14" s="1">
        <v>25</v>
      </c>
      <c r="Z14" s="1">
        <v>20</v>
      </c>
      <c r="AA14" s="1">
        <v>113</v>
      </c>
      <c r="AB14" s="1" t="s">
        <v>497</v>
      </c>
      <c r="AC14" s="1">
        <v>3</v>
      </c>
      <c r="AD14" s="1">
        <v>16</v>
      </c>
      <c r="AE14" s="1">
        <v>15</v>
      </c>
      <c r="AF14" s="1">
        <v>16</v>
      </c>
      <c r="AG14" s="1">
        <v>3</v>
      </c>
      <c r="AH14" s="1">
        <v>13</v>
      </c>
      <c r="AI14" s="1">
        <v>7</v>
      </c>
      <c r="AJ14" s="1">
        <v>19</v>
      </c>
      <c r="AK14" s="1">
        <v>13</v>
      </c>
      <c r="AL14" s="1">
        <v>9</v>
      </c>
      <c r="AM14" s="1">
        <v>19</v>
      </c>
      <c r="AN14" s="1">
        <v>15</v>
      </c>
      <c r="AO14" s="1">
        <v>16</v>
      </c>
      <c r="AP14" s="1">
        <v>18</v>
      </c>
      <c r="AQ14" s="1">
        <v>20</v>
      </c>
      <c r="AR14" s="1">
        <v>26</v>
      </c>
      <c r="AS14" s="1">
        <v>29</v>
      </c>
      <c r="AT14" s="1">
        <v>15</v>
      </c>
      <c r="AU14" s="1">
        <v>1</v>
      </c>
      <c r="AV14" s="1">
        <v>6</v>
      </c>
      <c r="AW14" s="1">
        <v>27</v>
      </c>
      <c r="AX14" s="1">
        <v>10</v>
      </c>
      <c r="AY14" s="1">
        <v>27</v>
      </c>
      <c r="AZ14" s="1">
        <v>15</v>
      </c>
      <c r="BA14" s="1">
        <v>15</v>
      </c>
      <c r="BB14" s="1">
        <v>16</v>
      </c>
      <c r="BC14" s="1">
        <v>10</v>
      </c>
      <c r="BD14" s="1" t="s">
        <v>495</v>
      </c>
    </row>
    <row r="15" spans="1:56" x14ac:dyDescent="0.25">
      <c r="A15" s="1">
        <v>1610612747</v>
      </c>
      <c r="B15" s="1" t="s">
        <v>498</v>
      </c>
      <c r="C15" s="1">
        <v>1</v>
      </c>
      <c r="D15" s="1">
        <v>0</v>
      </c>
      <c r="E15" s="1">
        <v>1</v>
      </c>
      <c r="F15" s="1">
        <v>0</v>
      </c>
      <c r="G15" s="1">
        <v>48</v>
      </c>
      <c r="H15" s="1">
        <v>45</v>
      </c>
      <c r="I15" s="1">
        <v>95</v>
      </c>
      <c r="J15" s="1">
        <v>0.47399999999999998</v>
      </c>
      <c r="K15" s="1">
        <v>15</v>
      </c>
      <c r="L15" s="1">
        <v>42</v>
      </c>
      <c r="M15" s="1">
        <v>0.35699999999999998</v>
      </c>
      <c r="N15" s="1">
        <v>9</v>
      </c>
      <c r="O15" s="1">
        <v>19</v>
      </c>
      <c r="P15" s="1">
        <v>0.47399999999999998</v>
      </c>
      <c r="Q15" s="1">
        <v>5</v>
      </c>
      <c r="R15" s="1">
        <v>40</v>
      </c>
      <c r="S15" s="1">
        <v>45</v>
      </c>
      <c r="T15" s="1">
        <v>21</v>
      </c>
      <c r="U15" s="1" t="s">
        <v>467</v>
      </c>
      <c r="V15" s="1">
        <v>7</v>
      </c>
      <c r="W15" s="1">
        <v>4</v>
      </c>
      <c r="X15" s="1">
        <v>2</v>
      </c>
      <c r="Y15" s="1">
        <v>25</v>
      </c>
      <c r="Z15" s="1">
        <v>18</v>
      </c>
      <c r="AA15" s="1">
        <v>114</v>
      </c>
      <c r="AB15" s="1" t="s">
        <v>499</v>
      </c>
      <c r="AC15" s="1">
        <v>3</v>
      </c>
      <c r="AD15" s="1">
        <v>16</v>
      </c>
      <c r="AE15" s="1">
        <v>15</v>
      </c>
      <c r="AF15" s="1">
        <v>16</v>
      </c>
      <c r="AG15" s="1">
        <v>3</v>
      </c>
      <c r="AH15" s="1">
        <v>8</v>
      </c>
      <c r="AI15" s="1">
        <v>9</v>
      </c>
      <c r="AJ15" s="1">
        <v>12</v>
      </c>
      <c r="AK15" s="1">
        <v>8</v>
      </c>
      <c r="AL15" s="1">
        <v>7</v>
      </c>
      <c r="AM15" s="1">
        <v>18</v>
      </c>
      <c r="AN15" s="1">
        <v>27</v>
      </c>
      <c r="AO15" s="1">
        <v>18</v>
      </c>
      <c r="AP15" s="1">
        <v>30</v>
      </c>
      <c r="AQ15" s="1">
        <v>29</v>
      </c>
      <c r="AR15" s="1">
        <v>10</v>
      </c>
      <c r="AS15" s="1">
        <v>21</v>
      </c>
      <c r="AT15" s="1">
        <v>20</v>
      </c>
      <c r="AU15" s="1">
        <v>21</v>
      </c>
      <c r="AV15" s="1">
        <v>17</v>
      </c>
      <c r="AW15" s="1">
        <v>19</v>
      </c>
      <c r="AX15" s="1">
        <v>3</v>
      </c>
      <c r="AY15" s="1">
        <v>27</v>
      </c>
      <c r="AZ15" s="1">
        <v>21</v>
      </c>
      <c r="BA15" s="1">
        <v>14</v>
      </c>
      <c r="BB15" s="1">
        <v>20</v>
      </c>
      <c r="BC15" s="1">
        <v>10</v>
      </c>
      <c r="BD15" s="1" t="s">
        <v>498</v>
      </c>
    </row>
    <row r="16" spans="1:56" x14ac:dyDescent="0.25">
      <c r="A16" s="1">
        <v>1610612763</v>
      </c>
      <c r="B16" s="1" t="s">
        <v>500</v>
      </c>
      <c r="C16" s="1">
        <v>1</v>
      </c>
      <c r="D16" s="1">
        <v>1</v>
      </c>
      <c r="E16" s="1">
        <v>0</v>
      </c>
      <c r="F16" s="1">
        <v>1</v>
      </c>
      <c r="G16" s="1">
        <v>48</v>
      </c>
      <c r="H16" s="1">
        <v>53</v>
      </c>
      <c r="I16" s="1">
        <v>100</v>
      </c>
      <c r="J16" s="1">
        <v>0.53</v>
      </c>
      <c r="K16" s="1">
        <v>14</v>
      </c>
      <c r="L16" s="1">
        <v>33</v>
      </c>
      <c r="M16" s="1">
        <v>0.42399999999999999</v>
      </c>
      <c r="N16" s="1">
        <v>12</v>
      </c>
      <c r="O16" s="1">
        <v>12</v>
      </c>
      <c r="P16" s="1">
        <v>1</v>
      </c>
      <c r="Q16" s="1">
        <v>13</v>
      </c>
      <c r="R16" s="1">
        <v>40</v>
      </c>
      <c r="S16" s="1">
        <v>53</v>
      </c>
      <c r="T16" s="1">
        <v>28</v>
      </c>
      <c r="U16" s="1" t="s">
        <v>485</v>
      </c>
      <c r="V16" s="1">
        <v>8</v>
      </c>
      <c r="W16" s="1">
        <v>8</v>
      </c>
      <c r="X16" s="1">
        <v>5</v>
      </c>
      <c r="Y16" s="1">
        <v>15</v>
      </c>
      <c r="Z16" s="1">
        <v>17</v>
      </c>
      <c r="AA16" s="1">
        <v>132</v>
      </c>
      <c r="AB16" s="1" t="s">
        <v>478</v>
      </c>
      <c r="AC16" s="1">
        <v>3</v>
      </c>
      <c r="AD16" s="1">
        <v>2</v>
      </c>
      <c r="AE16" s="1">
        <v>1</v>
      </c>
      <c r="AF16" s="1">
        <v>1</v>
      </c>
      <c r="AG16" s="1">
        <v>3</v>
      </c>
      <c r="AH16" s="1">
        <v>1</v>
      </c>
      <c r="AI16" s="1">
        <v>4</v>
      </c>
      <c r="AJ16" s="1">
        <v>3</v>
      </c>
      <c r="AK16" s="1">
        <v>13</v>
      </c>
      <c r="AL16" s="1">
        <v>20</v>
      </c>
      <c r="AM16" s="1">
        <v>8</v>
      </c>
      <c r="AN16" s="1">
        <v>21</v>
      </c>
      <c r="AO16" s="1">
        <v>27</v>
      </c>
      <c r="AP16" s="1">
        <v>1</v>
      </c>
      <c r="AQ16" s="1">
        <v>4</v>
      </c>
      <c r="AR16" s="1">
        <v>10</v>
      </c>
      <c r="AS16" s="1">
        <v>6</v>
      </c>
      <c r="AT16" s="1">
        <v>8</v>
      </c>
      <c r="AU16" s="1">
        <v>9</v>
      </c>
      <c r="AV16" s="1">
        <v>12</v>
      </c>
      <c r="AW16" s="1">
        <v>7</v>
      </c>
      <c r="AX16" s="1">
        <v>13</v>
      </c>
      <c r="AY16" s="1">
        <v>2</v>
      </c>
      <c r="AZ16" s="1">
        <v>23</v>
      </c>
      <c r="BA16" s="1">
        <v>4</v>
      </c>
      <c r="BB16" s="1">
        <v>9</v>
      </c>
      <c r="BC16" s="1">
        <v>10</v>
      </c>
      <c r="BD16" s="1" t="s">
        <v>500</v>
      </c>
    </row>
    <row r="17" spans="1:56" x14ac:dyDescent="0.25">
      <c r="A17" s="1">
        <v>1610612748</v>
      </c>
      <c r="B17" s="1" t="s">
        <v>501</v>
      </c>
      <c r="C17" s="1">
        <v>1</v>
      </c>
      <c r="D17" s="1">
        <v>1</v>
      </c>
      <c r="E17" s="1">
        <v>0</v>
      </c>
      <c r="F17" s="1">
        <v>1</v>
      </c>
      <c r="G17" s="1">
        <v>48</v>
      </c>
      <c r="H17" s="1">
        <v>51</v>
      </c>
      <c r="I17" s="1">
        <v>96</v>
      </c>
      <c r="J17" s="1">
        <v>0.53100000000000003</v>
      </c>
      <c r="K17" s="1">
        <v>15</v>
      </c>
      <c r="L17" s="1">
        <v>35</v>
      </c>
      <c r="M17" s="1">
        <v>0.42899999999999999</v>
      </c>
      <c r="N17" s="1">
        <v>20</v>
      </c>
      <c r="O17" s="1">
        <v>31</v>
      </c>
      <c r="P17" s="1">
        <v>0.64500000000000002</v>
      </c>
      <c r="Q17" s="1">
        <v>11</v>
      </c>
      <c r="R17" s="1">
        <v>47</v>
      </c>
      <c r="S17" s="1">
        <v>58</v>
      </c>
      <c r="T17" s="1">
        <v>28</v>
      </c>
      <c r="U17" s="1" t="s">
        <v>478</v>
      </c>
      <c r="V17" s="1">
        <v>8</v>
      </c>
      <c r="W17" s="1">
        <v>2</v>
      </c>
      <c r="X17" s="1">
        <v>0</v>
      </c>
      <c r="Y17" s="1">
        <v>26</v>
      </c>
      <c r="Z17" s="1">
        <v>26</v>
      </c>
      <c r="AA17" s="1">
        <v>137</v>
      </c>
      <c r="AB17" s="1" t="s">
        <v>502</v>
      </c>
      <c r="AC17" s="1">
        <v>3</v>
      </c>
      <c r="AD17" s="1">
        <v>2</v>
      </c>
      <c r="AE17" s="1">
        <v>1</v>
      </c>
      <c r="AF17" s="1">
        <v>1</v>
      </c>
      <c r="AG17" s="1">
        <v>3</v>
      </c>
      <c r="AH17" s="1">
        <v>2</v>
      </c>
      <c r="AI17" s="1">
        <v>7</v>
      </c>
      <c r="AJ17" s="1">
        <v>1</v>
      </c>
      <c r="AK17" s="1">
        <v>8</v>
      </c>
      <c r="AL17" s="1">
        <v>14</v>
      </c>
      <c r="AM17" s="1">
        <v>6</v>
      </c>
      <c r="AN17" s="1">
        <v>5</v>
      </c>
      <c r="AO17" s="1">
        <v>1</v>
      </c>
      <c r="AP17" s="1">
        <v>26</v>
      </c>
      <c r="AQ17" s="1">
        <v>11</v>
      </c>
      <c r="AR17" s="1">
        <v>3</v>
      </c>
      <c r="AS17" s="1">
        <v>1</v>
      </c>
      <c r="AT17" s="1">
        <v>8</v>
      </c>
      <c r="AU17" s="1">
        <v>6</v>
      </c>
      <c r="AV17" s="1">
        <v>12</v>
      </c>
      <c r="AW17" s="1">
        <v>27</v>
      </c>
      <c r="AX17" s="1">
        <v>1</v>
      </c>
      <c r="AY17" s="1">
        <v>30</v>
      </c>
      <c r="AZ17" s="1">
        <v>1</v>
      </c>
      <c r="BA17" s="1">
        <v>2</v>
      </c>
      <c r="BB17" s="1">
        <v>1</v>
      </c>
      <c r="BC17" s="1">
        <v>10</v>
      </c>
      <c r="BD17" s="1" t="s">
        <v>501</v>
      </c>
    </row>
    <row r="18" spans="1:56" x14ac:dyDescent="0.25">
      <c r="A18" s="1">
        <v>1610612749</v>
      </c>
      <c r="B18" s="1" t="s">
        <v>503</v>
      </c>
      <c r="C18" s="1">
        <v>2</v>
      </c>
      <c r="D18" s="1">
        <v>1</v>
      </c>
      <c r="E18" s="1">
        <v>1</v>
      </c>
      <c r="F18" s="1">
        <v>0.5</v>
      </c>
      <c r="G18" s="1">
        <v>48</v>
      </c>
      <c r="H18" s="1">
        <v>40</v>
      </c>
      <c r="I18" s="1">
        <v>94.5</v>
      </c>
      <c r="J18" s="1">
        <v>0.42299999999999999</v>
      </c>
      <c r="K18" s="1">
        <v>14.5</v>
      </c>
      <c r="L18" s="1">
        <v>43.5</v>
      </c>
      <c r="M18" s="1">
        <v>0.33300000000000002</v>
      </c>
      <c r="N18" s="1">
        <v>16.5</v>
      </c>
      <c r="O18" s="1">
        <v>23.5</v>
      </c>
      <c r="P18" s="1">
        <v>0.70199999999999996</v>
      </c>
      <c r="Q18" s="1">
        <v>9</v>
      </c>
      <c r="R18" s="1">
        <v>37</v>
      </c>
      <c r="S18" s="1">
        <v>46</v>
      </c>
      <c r="T18" s="1">
        <v>22</v>
      </c>
      <c r="U18" s="1" t="s">
        <v>504</v>
      </c>
      <c r="V18" s="1">
        <v>7</v>
      </c>
      <c r="W18" s="1">
        <v>4.5</v>
      </c>
      <c r="X18" s="1">
        <v>5.5</v>
      </c>
      <c r="Y18" s="1">
        <v>22.5</v>
      </c>
      <c r="Z18" s="1">
        <v>21.5</v>
      </c>
      <c r="AA18" s="1">
        <v>111</v>
      </c>
      <c r="AB18" s="1" t="s">
        <v>505</v>
      </c>
      <c r="AC18" s="1">
        <v>1</v>
      </c>
      <c r="AD18" s="1">
        <v>2</v>
      </c>
      <c r="AE18" s="1">
        <v>15</v>
      </c>
      <c r="AF18" s="1">
        <v>15</v>
      </c>
      <c r="AG18" s="1">
        <v>3</v>
      </c>
      <c r="AH18" s="1">
        <v>18</v>
      </c>
      <c r="AI18" s="1">
        <v>10</v>
      </c>
      <c r="AJ18" s="1">
        <v>22</v>
      </c>
      <c r="AK18" s="1">
        <v>11</v>
      </c>
      <c r="AL18" s="1">
        <v>5</v>
      </c>
      <c r="AM18" s="1">
        <v>21</v>
      </c>
      <c r="AN18" s="1">
        <v>12</v>
      </c>
      <c r="AO18" s="1">
        <v>9</v>
      </c>
      <c r="AP18" s="1">
        <v>21</v>
      </c>
      <c r="AQ18" s="1">
        <v>17</v>
      </c>
      <c r="AR18" s="1">
        <v>17</v>
      </c>
      <c r="AS18" s="1">
        <v>17</v>
      </c>
      <c r="AT18" s="1">
        <v>19</v>
      </c>
      <c r="AU18" s="1">
        <v>8</v>
      </c>
      <c r="AV18" s="1">
        <v>17</v>
      </c>
      <c r="AW18" s="1">
        <v>18</v>
      </c>
      <c r="AX18" s="1">
        <v>20</v>
      </c>
      <c r="AY18" s="1">
        <v>24</v>
      </c>
      <c r="AZ18" s="1">
        <v>11</v>
      </c>
      <c r="BA18" s="1">
        <v>17</v>
      </c>
      <c r="BB18" s="1">
        <v>21</v>
      </c>
      <c r="BC18" s="1">
        <v>10</v>
      </c>
      <c r="BD18" s="1" t="s">
        <v>503</v>
      </c>
    </row>
    <row r="19" spans="1:56" x14ac:dyDescent="0.25">
      <c r="A19" s="1">
        <v>1610612750</v>
      </c>
      <c r="B19" s="1" t="s">
        <v>506</v>
      </c>
      <c r="C19" s="1">
        <v>1</v>
      </c>
      <c r="D19" s="1">
        <v>1</v>
      </c>
      <c r="E19" s="1">
        <v>0</v>
      </c>
      <c r="F19" s="1">
        <v>1</v>
      </c>
      <c r="G19" s="1">
        <v>48</v>
      </c>
      <c r="H19" s="1">
        <v>42</v>
      </c>
      <c r="I19" s="1">
        <v>87</v>
      </c>
      <c r="J19" s="1">
        <v>0.48299999999999998</v>
      </c>
      <c r="K19" s="1">
        <v>16</v>
      </c>
      <c r="L19" s="1">
        <v>38</v>
      </c>
      <c r="M19" s="1">
        <v>0.42099999999999999</v>
      </c>
      <c r="N19" s="1">
        <v>24</v>
      </c>
      <c r="O19" s="1">
        <v>31</v>
      </c>
      <c r="P19" s="1">
        <v>0.77400000000000002</v>
      </c>
      <c r="Q19" s="1">
        <v>13</v>
      </c>
      <c r="R19" s="1">
        <v>33</v>
      </c>
      <c r="S19" s="1">
        <v>46</v>
      </c>
      <c r="T19" s="1">
        <v>26</v>
      </c>
      <c r="U19" s="1" t="s">
        <v>467</v>
      </c>
      <c r="V19" s="1">
        <v>18</v>
      </c>
      <c r="W19" s="1">
        <v>12</v>
      </c>
      <c r="X19" s="1">
        <v>3</v>
      </c>
      <c r="Y19" s="1">
        <v>22</v>
      </c>
      <c r="Z19" s="1">
        <v>25</v>
      </c>
      <c r="AA19" s="1">
        <v>124</v>
      </c>
      <c r="AB19" s="1" t="s">
        <v>467</v>
      </c>
      <c r="AC19" s="1">
        <v>3</v>
      </c>
      <c r="AD19" s="1">
        <v>2</v>
      </c>
      <c r="AE19" s="1">
        <v>1</v>
      </c>
      <c r="AF19" s="1">
        <v>1</v>
      </c>
      <c r="AG19" s="1">
        <v>3</v>
      </c>
      <c r="AH19" s="1">
        <v>13</v>
      </c>
      <c r="AI19" s="1">
        <v>23</v>
      </c>
      <c r="AJ19" s="1">
        <v>9</v>
      </c>
      <c r="AK19" s="1">
        <v>7</v>
      </c>
      <c r="AL19" s="1">
        <v>11</v>
      </c>
      <c r="AM19" s="1">
        <v>9</v>
      </c>
      <c r="AN19" s="1">
        <v>1</v>
      </c>
      <c r="AO19" s="1">
        <v>1</v>
      </c>
      <c r="AP19" s="1">
        <v>12</v>
      </c>
      <c r="AQ19" s="1">
        <v>4</v>
      </c>
      <c r="AR19" s="1">
        <v>25</v>
      </c>
      <c r="AS19" s="1">
        <v>17</v>
      </c>
      <c r="AT19" s="1">
        <v>12</v>
      </c>
      <c r="AU19" s="1">
        <v>21</v>
      </c>
      <c r="AV19" s="1">
        <v>1</v>
      </c>
      <c r="AW19" s="1">
        <v>1</v>
      </c>
      <c r="AX19" s="1">
        <v>5</v>
      </c>
      <c r="AY19" s="1">
        <v>19</v>
      </c>
      <c r="AZ19" s="1">
        <v>2</v>
      </c>
      <c r="BA19" s="1">
        <v>5</v>
      </c>
      <c r="BB19" s="1">
        <v>6</v>
      </c>
      <c r="BC19" s="1">
        <v>10</v>
      </c>
      <c r="BD19" s="1" t="s">
        <v>506</v>
      </c>
    </row>
    <row r="20" spans="1:56" x14ac:dyDescent="0.25">
      <c r="A20" s="1">
        <v>1610612740</v>
      </c>
      <c r="B20" s="1" t="s">
        <v>507</v>
      </c>
      <c r="C20" s="1">
        <v>1</v>
      </c>
      <c r="D20" s="1">
        <v>0</v>
      </c>
      <c r="E20" s="1">
        <v>1</v>
      </c>
      <c r="F20" s="1">
        <v>0</v>
      </c>
      <c r="G20" s="1">
        <v>48</v>
      </c>
      <c r="H20" s="1">
        <v>39</v>
      </c>
      <c r="I20" s="1">
        <v>93</v>
      </c>
      <c r="J20" s="1">
        <v>0.41899999999999998</v>
      </c>
      <c r="K20" s="1">
        <v>13</v>
      </c>
      <c r="L20" s="1">
        <v>30</v>
      </c>
      <c r="M20" s="1">
        <v>0.433</v>
      </c>
      <c r="N20" s="1">
        <v>6</v>
      </c>
      <c r="O20" s="1">
        <v>9</v>
      </c>
      <c r="P20" s="1">
        <v>0.66700000000000004</v>
      </c>
      <c r="Q20" s="1">
        <v>10</v>
      </c>
      <c r="R20" s="1">
        <v>34</v>
      </c>
      <c r="S20" s="1">
        <v>44</v>
      </c>
      <c r="T20" s="1">
        <v>28</v>
      </c>
      <c r="U20" s="1" t="s">
        <v>508</v>
      </c>
      <c r="V20" s="1">
        <v>5</v>
      </c>
      <c r="W20" s="1">
        <v>6</v>
      </c>
      <c r="X20" s="1">
        <v>5</v>
      </c>
      <c r="Y20" s="1">
        <v>16</v>
      </c>
      <c r="Z20" s="1">
        <v>11</v>
      </c>
      <c r="AA20" s="1">
        <v>97</v>
      </c>
      <c r="AB20" s="1" t="s">
        <v>509</v>
      </c>
      <c r="AC20" s="1">
        <v>3</v>
      </c>
      <c r="AD20" s="1">
        <v>16</v>
      </c>
      <c r="AE20" s="1">
        <v>15</v>
      </c>
      <c r="AF20" s="1">
        <v>16</v>
      </c>
      <c r="AG20" s="1">
        <v>3</v>
      </c>
      <c r="AH20" s="1">
        <v>21</v>
      </c>
      <c r="AI20" s="1">
        <v>12</v>
      </c>
      <c r="AJ20" s="1">
        <v>23</v>
      </c>
      <c r="AK20" s="1">
        <v>18</v>
      </c>
      <c r="AL20" s="1">
        <v>24</v>
      </c>
      <c r="AM20" s="1">
        <v>4</v>
      </c>
      <c r="AN20" s="1">
        <v>29</v>
      </c>
      <c r="AO20" s="1">
        <v>28</v>
      </c>
      <c r="AP20" s="1">
        <v>23</v>
      </c>
      <c r="AQ20" s="1">
        <v>14</v>
      </c>
      <c r="AR20" s="1">
        <v>22</v>
      </c>
      <c r="AS20" s="1">
        <v>23</v>
      </c>
      <c r="AT20" s="1">
        <v>8</v>
      </c>
      <c r="AU20" s="1">
        <v>14</v>
      </c>
      <c r="AV20" s="1">
        <v>26</v>
      </c>
      <c r="AW20" s="1">
        <v>9</v>
      </c>
      <c r="AX20" s="1">
        <v>13</v>
      </c>
      <c r="AY20" s="1">
        <v>4</v>
      </c>
      <c r="AZ20" s="1">
        <v>30</v>
      </c>
      <c r="BA20" s="1">
        <v>24</v>
      </c>
      <c r="BB20" s="1">
        <v>26</v>
      </c>
      <c r="BC20" s="1">
        <v>10</v>
      </c>
      <c r="BD20" s="1" t="s">
        <v>507</v>
      </c>
    </row>
    <row r="21" spans="1:56" x14ac:dyDescent="0.25">
      <c r="A21" s="1">
        <v>1610612752</v>
      </c>
      <c r="B21" s="1" t="s">
        <v>510</v>
      </c>
      <c r="C21" s="1">
        <v>1</v>
      </c>
      <c r="D21" s="1">
        <v>1</v>
      </c>
      <c r="E21" s="1">
        <v>0</v>
      </c>
      <c r="F21" s="1">
        <v>1</v>
      </c>
      <c r="G21" s="1">
        <v>58</v>
      </c>
      <c r="H21" s="1">
        <v>51</v>
      </c>
      <c r="I21" s="1">
        <v>105</v>
      </c>
      <c r="J21" s="1">
        <v>0.48599999999999999</v>
      </c>
      <c r="K21" s="1">
        <v>17</v>
      </c>
      <c r="L21" s="1">
        <v>45</v>
      </c>
      <c r="M21" s="1">
        <v>0.378</v>
      </c>
      <c r="N21" s="1">
        <v>19</v>
      </c>
      <c r="O21" s="1">
        <v>27</v>
      </c>
      <c r="P21" s="1">
        <v>0.70399999999999996</v>
      </c>
      <c r="Q21" s="1">
        <v>7</v>
      </c>
      <c r="R21" s="1">
        <v>48</v>
      </c>
      <c r="S21" s="1">
        <v>55</v>
      </c>
      <c r="T21" s="1">
        <v>27</v>
      </c>
      <c r="U21" s="1" t="s">
        <v>484</v>
      </c>
      <c r="V21" s="1">
        <v>9</v>
      </c>
      <c r="W21" s="1">
        <v>10</v>
      </c>
      <c r="X21" s="1">
        <v>9</v>
      </c>
      <c r="Y21" s="1">
        <v>22</v>
      </c>
      <c r="Z21" s="1">
        <v>24</v>
      </c>
      <c r="AA21" s="1">
        <v>138</v>
      </c>
      <c r="AB21" s="1" t="s">
        <v>511</v>
      </c>
      <c r="AC21" s="1">
        <v>3</v>
      </c>
      <c r="AD21" s="1">
        <v>2</v>
      </c>
      <c r="AE21" s="1">
        <v>1</v>
      </c>
      <c r="AF21" s="1">
        <v>1</v>
      </c>
      <c r="AG21" s="1">
        <v>1</v>
      </c>
      <c r="AH21" s="1">
        <v>2</v>
      </c>
      <c r="AI21" s="1">
        <v>3</v>
      </c>
      <c r="AJ21" s="1">
        <v>7</v>
      </c>
      <c r="AK21" s="1">
        <v>2</v>
      </c>
      <c r="AL21" s="1">
        <v>4</v>
      </c>
      <c r="AM21" s="1">
        <v>14</v>
      </c>
      <c r="AN21" s="1">
        <v>7</v>
      </c>
      <c r="AO21" s="1">
        <v>4</v>
      </c>
      <c r="AP21" s="1">
        <v>20</v>
      </c>
      <c r="AQ21" s="1">
        <v>22</v>
      </c>
      <c r="AR21" s="1">
        <v>2</v>
      </c>
      <c r="AS21" s="1">
        <v>3</v>
      </c>
      <c r="AT21" s="1">
        <v>11</v>
      </c>
      <c r="AU21" s="1">
        <v>25</v>
      </c>
      <c r="AV21" s="1">
        <v>6</v>
      </c>
      <c r="AW21" s="1">
        <v>2</v>
      </c>
      <c r="AX21" s="1">
        <v>25</v>
      </c>
      <c r="AY21" s="1">
        <v>19</v>
      </c>
      <c r="AZ21" s="1">
        <v>4</v>
      </c>
      <c r="BA21" s="1">
        <v>1</v>
      </c>
      <c r="BB21" s="1">
        <v>12</v>
      </c>
      <c r="BC21" s="1">
        <v>10</v>
      </c>
      <c r="BD21" s="1" t="s">
        <v>510</v>
      </c>
    </row>
    <row r="22" spans="1:56" x14ac:dyDescent="0.25">
      <c r="A22" s="1">
        <v>1610612760</v>
      </c>
      <c r="B22" s="1" t="s">
        <v>512</v>
      </c>
      <c r="C22" s="1">
        <v>1</v>
      </c>
      <c r="D22" s="1">
        <v>0</v>
      </c>
      <c r="E22" s="1">
        <v>1</v>
      </c>
      <c r="F22" s="1">
        <v>0</v>
      </c>
      <c r="G22" s="1">
        <v>48</v>
      </c>
      <c r="H22" s="1">
        <v>34</v>
      </c>
      <c r="I22" s="1">
        <v>91</v>
      </c>
      <c r="J22" s="1">
        <v>0.374</v>
      </c>
      <c r="K22" s="1">
        <v>7</v>
      </c>
      <c r="L22" s="1">
        <v>35</v>
      </c>
      <c r="M22" s="1">
        <v>0.2</v>
      </c>
      <c r="N22" s="1">
        <v>11</v>
      </c>
      <c r="O22" s="1">
        <v>18</v>
      </c>
      <c r="P22" s="1">
        <v>0.61099999999999999</v>
      </c>
      <c r="Q22" s="1">
        <v>15</v>
      </c>
      <c r="R22" s="1">
        <v>35</v>
      </c>
      <c r="S22" s="1">
        <v>50</v>
      </c>
      <c r="T22" s="1">
        <v>19</v>
      </c>
      <c r="U22" s="1" t="s">
        <v>481</v>
      </c>
      <c r="V22" s="1">
        <v>4</v>
      </c>
      <c r="W22" s="1">
        <v>2</v>
      </c>
      <c r="X22" s="1">
        <v>5</v>
      </c>
      <c r="Y22" s="1">
        <v>15</v>
      </c>
      <c r="Z22" s="1">
        <v>19</v>
      </c>
      <c r="AA22" s="1">
        <v>86</v>
      </c>
      <c r="AB22" s="1" t="s">
        <v>513</v>
      </c>
      <c r="AC22" s="1">
        <v>3</v>
      </c>
      <c r="AD22" s="1">
        <v>16</v>
      </c>
      <c r="AE22" s="1">
        <v>15</v>
      </c>
      <c r="AF22" s="1">
        <v>16</v>
      </c>
      <c r="AG22" s="1">
        <v>3</v>
      </c>
      <c r="AH22" s="1">
        <v>28</v>
      </c>
      <c r="AI22" s="1">
        <v>17</v>
      </c>
      <c r="AJ22" s="1">
        <v>28</v>
      </c>
      <c r="AK22" s="1">
        <v>26</v>
      </c>
      <c r="AL22" s="1">
        <v>14</v>
      </c>
      <c r="AM22" s="1">
        <v>29</v>
      </c>
      <c r="AN22" s="1">
        <v>25</v>
      </c>
      <c r="AO22" s="1">
        <v>19</v>
      </c>
      <c r="AP22" s="1">
        <v>27</v>
      </c>
      <c r="AQ22" s="1">
        <v>2</v>
      </c>
      <c r="AR22" s="1">
        <v>20</v>
      </c>
      <c r="AS22" s="1">
        <v>11</v>
      </c>
      <c r="AT22" s="1">
        <v>23</v>
      </c>
      <c r="AU22" s="1">
        <v>15</v>
      </c>
      <c r="AV22" s="1">
        <v>28</v>
      </c>
      <c r="AW22" s="1">
        <v>27</v>
      </c>
      <c r="AX22" s="1">
        <v>13</v>
      </c>
      <c r="AY22" s="1">
        <v>2</v>
      </c>
      <c r="AZ22" s="1">
        <v>18</v>
      </c>
      <c r="BA22" s="1">
        <v>29</v>
      </c>
      <c r="BB22" s="1">
        <v>27</v>
      </c>
      <c r="BC22" s="1">
        <v>10</v>
      </c>
      <c r="BD22" s="1" t="s">
        <v>512</v>
      </c>
    </row>
    <row r="23" spans="1:56" x14ac:dyDescent="0.25">
      <c r="A23" s="1">
        <v>1610612753</v>
      </c>
      <c r="B23" s="1" t="s">
        <v>514</v>
      </c>
      <c r="C23" s="1">
        <v>1</v>
      </c>
      <c r="D23" s="1">
        <v>0</v>
      </c>
      <c r="E23" s="1">
        <v>1</v>
      </c>
      <c r="F23" s="1">
        <v>0</v>
      </c>
      <c r="G23" s="1">
        <v>48</v>
      </c>
      <c r="H23" s="1">
        <v>35</v>
      </c>
      <c r="I23" s="1">
        <v>86</v>
      </c>
      <c r="J23" s="1">
        <v>0.40699999999999997</v>
      </c>
      <c r="K23" s="1">
        <v>9</v>
      </c>
      <c r="L23" s="1">
        <v>29</v>
      </c>
      <c r="M23" s="1">
        <v>0.31</v>
      </c>
      <c r="N23" s="1">
        <v>18</v>
      </c>
      <c r="O23" s="1">
        <v>23</v>
      </c>
      <c r="P23" s="1">
        <v>0.78300000000000003</v>
      </c>
      <c r="Q23" s="1">
        <v>13</v>
      </c>
      <c r="R23" s="1">
        <v>31</v>
      </c>
      <c r="S23" s="1">
        <v>44</v>
      </c>
      <c r="T23" s="1">
        <v>17</v>
      </c>
      <c r="U23" s="1" t="s">
        <v>515</v>
      </c>
      <c r="V23" s="1">
        <v>6</v>
      </c>
      <c r="W23" s="1">
        <v>6</v>
      </c>
      <c r="X23" s="1">
        <v>3</v>
      </c>
      <c r="Y23" s="1">
        <v>20</v>
      </c>
      <c r="Z23" s="1">
        <v>22</v>
      </c>
      <c r="AA23" s="1">
        <v>97</v>
      </c>
      <c r="AB23" s="1" t="s">
        <v>482</v>
      </c>
      <c r="AC23" s="1">
        <v>3</v>
      </c>
      <c r="AD23" s="1">
        <v>16</v>
      </c>
      <c r="AE23" s="1">
        <v>15</v>
      </c>
      <c r="AF23" s="1">
        <v>16</v>
      </c>
      <c r="AG23" s="1">
        <v>3</v>
      </c>
      <c r="AH23" s="1">
        <v>27</v>
      </c>
      <c r="AI23" s="1">
        <v>25</v>
      </c>
      <c r="AJ23" s="1">
        <v>26</v>
      </c>
      <c r="AK23" s="1">
        <v>25</v>
      </c>
      <c r="AL23" s="1">
        <v>26</v>
      </c>
      <c r="AM23" s="1">
        <v>23</v>
      </c>
      <c r="AN23" s="1">
        <v>9</v>
      </c>
      <c r="AO23" s="1">
        <v>10</v>
      </c>
      <c r="AP23" s="1">
        <v>11</v>
      </c>
      <c r="AQ23" s="1">
        <v>4</v>
      </c>
      <c r="AR23" s="1">
        <v>26</v>
      </c>
      <c r="AS23" s="1">
        <v>23</v>
      </c>
      <c r="AT23" s="1">
        <v>27</v>
      </c>
      <c r="AU23" s="1">
        <v>17</v>
      </c>
      <c r="AV23" s="1">
        <v>22</v>
      </c>
      <c r="AW23" s="1">
        <v>9</v>
      </c>
      <c r="AX23" s="1">
        <v>5</v>
      </c>
      <c r="AY23" s="1">
        <v>14</v>
      </c>
      <c r="AZ23" s="1">
        <v>6</v>
      </c>
      <c r="BA23" s="1">
        <v>24</v>
      </c>
      <c r="BB23" s="1">
        <v>29</v>
      </c>
      <c r="BC23" s="1">
        <v>10</v>
      </c>
      <c r="BD23" s="1" t="s">
        <v>514</v>
      </c>
    </row>
    <row r="24" spans="1:56" x14ac:dyDescent="0.25">
      <c r="A24" s="1">
        <v>1610612755</v>
      </c>
      <c r="B24" s="1" t="s">
        <v>516</v>
      </c>
      <c r="C24" s="1">
        <v>1</v>
      </c>
      <c r="D24" s="1">
        <v>1</v>
      </c>
      <c r="E24" s="1">
        <v>0</v>
      </c>
      <c r="F24" s="1">
        <v>1</v>
      </c>
      <c r="G24" s="1">
        <v>48</v>
      </c>
      <c r="H24" s="1">
        <v>44</v>
      </c>
      <c r="I24" s="1">
        <v>85</v>
      </c>
      <c r="J24" s="1">
        <v>0.51800000000000002</v>
      </c>
      <c r="K24" s="1">
        <v>13</v>
      </c>
      <c r="L24" s="1">
        <v>25</v>
      </c>
      <c r="M24" s="1">
        <v>0.52</v>
      </c>
      <c r="N24" s="1">
        <v>16</v>
      </c>
      <c r="O24" s="1">
        <v>20</v>
      </c>
      <c r="P24" s="1">
        <v>0.8</v>
      </c>
      <c r="Q24" s="1">
        <v>6</v>
      </c>
      <c r="R24" s="1">
        <v>41</v>
      </c>
      <c r="S24" s="1">
        <v>47</v>
      </c>
      <c r="T24" s="1">
        <v>24</v>
      </c>
      <c r="U24" s="1" t="s">
        <v>464</v>
      </c>
      <c r="V24" s="1">
        <v>9</v>
      </c>
      <c r="W24" s="1">
        <v>5</v>
      </c>
      <c r="X24" s="1">
        <v>6</v>
      </c>
      <c r="Y24" s="1">
        <v>11</v>
      </c>
      <c r="Z24" s="1">
        <v>16</v>
      </c>
      <c r="AA24" s="1">
        <v>117</v>
      </c>
      <c r="AB24" s="1" t="s">
        <v>517</v>
      </c>
      <c r="AC24" s="1">
        <v>3</v>
      </c>
      <c r="AD24" s="1">
        <v>2</v>
      </c>
      <c r="AE24" s="1">
        <v>1</v>
      </c>
      <c r="AF24" s="1">
        <v>1</v>
      </c>
      <c r="AG24" s="1">
        <v>3</v>
      </c>
      <c r="AH24" s="1">
        <v>11</v>
      </c>
      <c r="AI24" s="1">
        <v>27</v>
      </c>
      <c r="AJ24" s="1">
        <v>4</v>
      </c>
      <c r="AK24" s="1">
        <v>18</v>
      </c>
      <c r="AL24" s="1">
        <v>29</v>
      </c>
      <c r="AM24" s="1">
        <v>2</v>
      </c>
      <c r="AN24" s="1">
        <v>13</v>
      </c>
      <c r="AO24" s="1">
        <v>17</v>
      </c>
      <c r="AP24" s="1">
        <v>9</v>
      </c>
      <c r="AQ24" s="1">
        <v>26</v>
      </c>
      <c r="AR24" s="1">
        <v>7</v>
      </c>
      <c r="AS24" s="1">
        <v>15</v>
      </c>
      <c r="AT24" s="1">
        <v>15</v>
      </c>
      <c r="AU24" s="1">
        <v>10</v>
      </c>
      <c r="AV24" s="1">
        <v>6</v>
      </c>
      <c r="AW24" s="1">
        <v>11</v>
      </c>
      <c r="AX24" s="1">
        <v>21</v>
      </c>
      <c r="AY24" s="1">
        <v>1</v>
      </c>
      <c r="AZ24" s="1">
        <v>25</v>
      </c>
      <c r="BA24" s="1">
        <v>13</v>
      </c>
      <c r="BB24" s="1">
        <v>5</v>
      </c>
      <c r="BC24" s="1">
        <v>10</v>
      </c>
      <c r="BD24" s="1" t="s">
        <v>516</v>
      </c>
    </row>
    <row r="25" spans="1:56" x14ac:dyDescent="0.25">
      <c r="A25" s="1">
        <v>1610612756</v>
      </c>
      <c r="B25" s="1" t="s">
        <v>518</v>
      </c>
      <c r="C25" s="1">
        <v>1</v>
      </c>
      <c r="D25" s="1">
        <v>0</v>
      </c>
      <c r="E25" s="1">
        <v>1</v>
      </c>
      <c r="F25" s="1">
        <v>0</v>
      </c>
      <c r="G25" s="1">
        <v>48</v>
      </c>
      <c r="H25" s="1">
        <v>36</v>
      </c>
      <c r="I25" s="1">
        <v>87</v>
      </c>
      <c r="J25" s="1">
        <v>0.41399999999999998</v>
      </c>
      <c r="K25" s="1">
        <v>14</v>
      </c>
      <c r="L25" s="1">
        <v>37</v>
      </c>
      <c r="M25" s="1">
        <v>0.378</v>
      </c>
      <c r="N25" s="1">
        <v>12</v>
      </c>
      <c r="O25" s="1">
        <v>17</v>
      </c>
      <c r="P25" s="1">
        <v>0.70599999999999996</v>
      </c>
      <c r="Q25" s="1">
        <v>11</v>
      </c>
      <c r="R25" s="1">
        <v>34</v>
      </c>
      <c r="S25" s="1">
        <v>45</v>
      </c>
      <c r="T25" s="1">
        <v>23</v>
      </c>
      <c r="U25" s="1" t="s">
        <v>467</v>
      </c>
      <c r="V25" s="1">
        <v>9</v>
      </c>
      <c r="W25" s="1">
        <v>3</v>
      </c>
      <c r="X25" s="1">
        <v>1</v>
      </c>
      <c r="Y25" s="1">
        <v>18</v>
      </c>
      <c r="Z25" s="1">
        <v>20</v>
      </c>
      <c r="AA25" s="1">
        <v>98</v>
      </c>
      <c r="AB25" s="1" t="s">
        <v>519</v>
      </c>
      <c r="AC25" s="1">
        <v>3</v>
      </c>
      <c r="AD25" s="1">
        <v>16</v>
      </c>
      <c r="AE25" s="1">
        <v>15</v>
      </c>
      <c r="AF25" s="1">
        <v>16</v>
      </c>
      <c r="AG25" s="1">
        <v>3</v>
      </c>
      <c r="AH25" s="1">
        <v>24</v>
      </c>
      <c r="AI25" s="1">
        <v>23</v>
      </c>
      <c r="AJ25" s="1">
        <v>24</v>
      </c>
      <c r="AK25" s="1">
        <v>13</v>
      </c>
      <c r="AL25" s="1">
        <v>13</v>
      </c>
      <c r="AM25" s="1">
        <v>13</v>
      </c>
      <c r="AN25" s="1">
        <v>21</v>
      </c>
      <c r="AO25" s="1">
        <v>22</v>
      </c>
      <c r="AP25" s="1">
        <v>19</v>
      </c>
      <c r="AQ25" s="1">
        <v>11</v>
      </c>
      <c r="AR25" s="1">
        <v>22</v>
      </c>
      <c r="AS25" s="1">
        <v>21</v>
      </c>
      <c r="AT25" s="1">
        <v>18</v>
      </c>
      <c r="AU25" s="1">
        <v>21</v>
      </c>
      <c r="AV25" s="1">
        <v>6</v>
      </c>
      <c r="AW25" s="1">
        <v>22</v>
      </c>
      <c r="AX25" s="1">
        <v>2</v>
      </c>
      <c r="AY25" s="1">
        <v>10</v>
      </c>
      <c r="AZ25" s="1">
        <v>15</v>
      </c>
      <c r="BA25" s="1">
        <v>22</v>
      </c>
      <c r="BB25" s="1">
        <v>23</v>
      </c>
      <c r="BC25" s="1">
        <v>10</v>
      </c>
      <c r="BD25" s="1" t="s">
        <v>518</v>
      </c>
    </row>
    <row r="26" spans="1:56" x14ac:dyDescent="0.25">
      <c r="A26" s="1">
        <v>1610612757</v>
      </c>
      <c r="B26" s="1" t="s">
        <v>520</v>
      </c>
      <c r="C26" s="1">
        <v>1</v>
      </c>
      <c r="D26" s="1">
        <v>0</v>
      </c>
      <c r="E26" s="1">
        <v>1</v>
      </c>
      <c r="F26" s="1">
        <v>0</v>
      </c>
      <c r="G26" s="1">
        <v>48</v>
      </c>
      <c r="H26" s="1">
        <v>45</v>
      </c>
      <c r="I26" s="1">
        <v>93</v>
      </c>
      <c r="J26" s="1">
        <v>0.48399999999999999</v>
      </c>
      <c r="K26" s="1">
        <v>12</v>
      </c>
      <c r="L26" s="1">
        <v>35</v>
      </c>
      <c r="M26" s="1">
        <v>0.34300000000000003</v>
      </c>
      <c r="N26" s="1">
        <v>19</v>
      </c>
      <c r="O26" s="1">
        <v>22</v>
      </c>
      <c r="P26" s="1">
        <v>0.86399999999999999</v>
      </c>
      <c r="Q26" s="1">
        <v>9</v>
      </c>
      <c r="R26" s="1">
        <v>40</v>
      </c>
      <c r="S26" s="1">
        <v>49</v>
      </c>
      <c r="T26" s="1">
        <v>25</v>
      </c>
      <c r="U26" s="1" t="s">
        <v>464</v>
      </c>
      <c r="V26" s="1">
        <v>5</v>
      </c>
      <c r="W26" s="1">
        <v>5</v>
      </c>
      <c r="X26" s="1">
        <v>4</v>
      </c>
      <c r="Y26" s="1">
        <v>22</v>
      </c>
      <c r="Z26" s="1">
        <v>22</v>
      </c>
      <c r="AA26" s="1">
        <v>121</v>
      </c>
      <c r="AB26" s="1" t="s">
        <v>521</v>
      </c>
      <c r="AC26" s="1">
        <v>3</v>
      </c>
      <c r="AD26" s="1">
        <v>16</v>
      </c>
      <c r="AE26" s="1">
        <v>15</v>
      </c>
      <c r="AF26" s="1">
        <v>16</v>
      </c>
      <c r="AG26" s="1">
        <v>3</v>
      </c>
      <c r="AH26" s="1">
        <v>8</v>
      </c>
      <c r="AI26" s="1">
        <v>12</v>
      </c>
      <c r="AJ26" s="1">
        <v>8</v>
      </c>
      <c r="AK26" s="1">
        <v>23</v>
      </c>
      <c r="AL26" s="1">
        <v>14</v>
      </c>
      <c r="AM26" s="1">
        <v>20</v>
      </c>
      <c r="AN26" s="1">
        <v>7</v>
      </c>
      <c r="AO26" s="1">
        <v>13</v>
      </c>
      <c r="AP26" s="1">
        <v>7</v>
      </c>
      <c r="AQ26" s="1">
        <v>17</v>
      </c>
      <c r="AR26" s="1">
        <v>10</v>
      </c>
      <c r="AS26" s="1">
        <v>13</v>
      </c>
      <c r="AT26" s="1">
        <v>13</v>
      </c>
      <c r="AU26" s="1">
        <v>10</v>
      </c>
      <c r="AV26" s="1">
        <v>26</v>
      </c>
      <c r="AW26" s="1">
        <v>11</v>
      </c>
      <c r="AX26" s="1">
        <v>10</v>
      </c>
      <c r="AY26" s="1">
        <v>19</v>
      </c>
      <c r="AZ26" s="1">
        <v>6</v>
      </c>
      <c r="BA26" s="1">
        <v>10</v>
      </c>
      <c r="BB26" s="1">
        <v>17</v>
      </c>
      <c r="BC26" s="1">
        <v>10</v>
      </c>
      <c r="BD26" s="1" t="s">
        <v>520</v>
      </c>
    </row>
    <row r="27" spans="1:56" x14ac:dyDescent="0.25">
      <c r="A27" s="1">
        <v>1610612758</v>
      </c>
      <c r="B27" s="1" t="s">
        <v>522</v>
      </c>
      <c r="C27" s="1">
        <v>1</v>
      </c>
      <c r="D27" s="1">
        <v>1</v>
      </c>
      <c r="E27" s="1">
        <v>0</v>
      </c>
      <c r="F27" s="1">
        <v>1</v>
      </c>
      <c r="G27" s="1">
        <v>48</v>
      </c>
      <c r="H27" s="1">
        <v>42</v>
      </c>
      <c r="I27" s="1">
        <v>92</v>
      </c>
      <c r="J27" s="1">
        <v>0.45700000000000002</v>
      </c>
      <c r="K27" s="1">
        <v>17</v>
      </c>
      <c r="L27" s="1">
        <v>41</v>
      </c>
      <c r="M27" s="1">
        <v>0.41499999999999998</v>
      </c>
      <c r="N27" s="1">
        <v>23</v>
      </c>
      <c r="O27" s="1">
        <v>29</v>
      </c>
      <c r="P27" s="1">
        <v>0.79300000000000004</v>
      </c>
      <c r="Q27" s="1">
        <v>7</v>
      </c>
      <c r="R27" s="1">
        <v>36</v>
      </c>
      <c r="S27" s="1">
        <v>43</v>
      </c>
      <c r="T27" s="1">
        <v>24</v>
      </c>
      <c r="U27" s="1" t="s">
        <v>523</v>
      </c>
      <c r="V27" s="1">
        <v>6</v>
      </c>
      <c r="W27" s="1">
        <v>4</v>
      </c>
      <c r="X27" s="1">
        <v>5</v>
      </c>
      <c r="Y27" s="1">
        <v>22</v>
      </c>
      <c r="Z27" s="1">
        <v>22</v>
      </c>
      <c r="AA27" s="1">
        <v>124</v>
      </c>
      <c r="AB27" s="1" t="s">
        <v>524</v>
      </c>
      <c r="AC27" s="1">
        <v>3</v>
      </c>
      <c r="AD27" s="1">
        <v>2</v>
      </c>
      <c r="AE27" s="1">
        <v>1</v>
      </c>
      <c r="AF27" s="1">
        <v>1</v>
      </c>
      <c r="AG27" s="1">
        <v>3</v>
      </c>
      <c r="AH27" s="1">
        <v>13</v>
      </c>
      <c r="AI27" s="1">
        <v>16</v>
      </c>
      <c r="AJ27" s="1">
        <v>14</v>
      </c>
      <c r="AK27" s="1">
        <v>2</v>
      </c>
      <c r="AL27" s="1">
        <v>8</v>
      </c>
      <c r="AM27" s="1">
        <v>11</v>
      </c>
      <c r="AN27" s="1">
        <v>2</v>
      </c>
      <c r="AO27" s="1">
        <v>3</v>
      </c>
      <c r="AP27" s="1">
        <v>10</v>
      </c>
      <c r="AQ27" s="1">
        <v>22</v>
      </c>
      <c r="AR27" s="1">
        <v>18</v>
      </c>
      <c r="AS27" s="1">
        <v>26</v>
      </c>
      <c r="AT27" s="1">
        <v>15</v>
      </c>
      <c r="AU27" s="1">
        <v>4</v>
      </c>
      <c r="AV27" s="1">
        <v>22</v>
      </c>
      <c r="AW27" s="1">
        <v>19</v>
      </c>
      <c r="AX27" s="1">
        <v>13</v>
      </c>
      <c r="AY27" s="1">
        <v>19</v>
      </c>
      <c r="AZ27" s="1">
        <v>6</v>
      </c>
      <c r="BA27" s="1">
        <v>5</v>
      </c>
      <c r="BB27" s="1">
        <v>13</v>
      </c>
      <c r="BC27" s="1">
        <v>10</v>
      </c>
      <c r="BD27" s="1" t="s">
        <v>522</v>
      </c>
    </row>
    <row r="28" spans="1:56" x14ac:dyDescent="0.25">
      <c r="A28" s="1">
        <v>1610612759</v>
      </c>
      <c r="B28" s="1" t="s">
        <v>525</v>
      </c>
      <c r="C28" s="1">
        <v>1</v>
      </c>
      <c r="D28" s="1">
        <v>1</v>
      </c>
      <c r="E28" s="1">
        <v>0</v>
      </c>
      <c r="F28" s="1">
        <v>1</v>
      </c>
      <c r="G28" s="1">
        <v>48</v>
      </c>
      <c r="H28" s="1">
        <v>49</v>
      </c>
      <c r="I28" s="1">
        <v>98</v>
      </c>
      <c r="J28" s="1">
        <v>0.5</v>
      </c>
      <c r="K28" s="1">
        <v>13</v>
      </c>
      <c r="L28" s="1">
        <v>30</v>
      </c>
      <c r="M28" s="1">
        <v>0.433</v>
      </c>
      <c r="N28" s="1">
        <v>12</v>
      </c>
      <c r="O28" s="1">
        <v>18</v>
      </c>
      <c r="P28" s="1">
        <v>0.66700000000000004</v>
      </c>
      <c r="Q28" s="1">
        <v>13</v>
      </c>
      <c r="R28" s="1">
        <v>30</v>
      </c>
      <c r="S28" s="1">
        <v>43</v>
      </c>
      <c r="T28" s="1">
        <v>32</v>
      </c>
      <c r="U28" s="1" t="s">
        <v>472</v>
      </c>
      <c r="V28" s="1">
        <v>8</v>
      </c>
      <c r="W28" s="1">
        <v>3</v>
      </c>
      <c r="X28" s="1">
        <v>6</v>
      </c>
      <c r="Y28" s="1">
        <v>22</v>
      </c>
      <c r="Z28" s="1">
        <v>20</v>
      </c>
      <c r="AA28" s="1">
        <v>123</v>
      </c>
      <c r="AB28" s="1" t="s">
        <v>465</v>
      </c>
      <c r="AC28" s="1">
        <v>3</v>
      </c>
      <c r="AD28" s="1">
        <v>2</v>
      </c>
      <c r="AE28" s="1">
        <v>1</v>
      </c>
      <c r="AF28" s="1">
        <v>1</v>
      </c>
      <c r="AG28" s="1">
        <v>3</v>
      </c>
      <c r="AH28" s="1">
        <v>4</v>
      </c>
      <c r="AI28" s="1">
        <v>5</v>
      </c>
      <c r="AJ28" s="1">
        <v>6</v>
      </c>
      <c r="AK28" s="1">
        <v>18</v>
      </c>
      <c r="AL28" s="1">
        <v>24</v>
      </c>
      <c r="AM28" s="1">
        <v>4</v>
      </c>
      <c r="AN28" s="1">
        <v>21</v>
      </c>
      <c r="AO28" s="1">
        <v>19</v>
      </c>
      <c r="AP28" s="1">
        <v>23</v>
      </c>
      <c r="AQ28" s="1">
        <v>4</v>
      </c>
      <c r="AR28" s="1">
        <v>28</v>
      </c>
      <c r="AS28" s="1">
        <v>26</v>
      </c>
      <c r="AT28" s="1">
        <v>3</v>
      </c>
      <c r="AU28" s="1">
        <v>2</v>
      </c>
      <c r="AV28" s="1">
        <v>12</v>
      </c>
      <c r="AW28" s="1">
        <v>22</v>
      </c>
      <c r="AX28" s="1">
        <v>21</v>
      </c>
      <c r="AY28" s="1">
        <v>19</v>
      </c>
      <c r="AZ28" s="1">
        <v>15</v>
      </c>
      <c r="BA28" s="1">
        <v>7</v>
      </c>
      <c r="BB28" s="1">
        <v>2</v>
      </c>
      <c r="BC28" s="1">
        <v>10</v>
      </c>
      <c r="BD28" s="1" t="s">
        <v>525</v>
      </c>
    </row>
    <row r="29" spans="1:56" x14ac:dyDescent="0.25">
      <c r="A29" s="1">
        <v>1610612761</v>
      </c>
      <c r="B29" s="1" t="s">
        <v>526</v>
      </c>
      <c r="C29" s="1">
        <v>1</v>
      </c>
      <c r="D29" s="1">
        <v>0</v>
      </c>
      <c r="E29" s="1">
        <v>1</v>
      </c>
      <c r="F29" s="1">
        <v>0</v>
      </c>
      <c r="G29" s="1">
        <v>48</v>
      </c>
      <c r="H29" s="1">
        <v>30</v>
      </c>
      <c r="I29" s="1">
        <v>97</v>
      </c>
      <c r="J29" s="1">
        <v>0.309</v>
      </c>
      <c r="K29" s="1">
        <v>7</v>
      </c>
      <c r="L29" s="1">
        <v>34</v>
      </c>
      <c r="M29" s="1">
        <v>0.20599999999999999</v>
      </c>
      <c r="N29" s="1">
        <v>16</v>
      </c>
      <c r="O29" s="1">
        <v>22</v>
      </c>
      <c r="P29" s="1">
        <v>0.72699999999999998</v>
      </c>
      <c r="Q29" s="1">
        <v>19</v>
      </c>
      <c r="R29" s="1">
        <v>35</v>
      </c>
      <c r="S29" s="1">
        <v>54</v>
      </c>
      <c r="T29" s="1">
        <v>14</v>
      </c>
      <c r="U29" s="1" t="s">
        <v>484</v>
      </c>
      <c r="V29" s="1">
        <v>10</v>
      </c>
      <c r="W29" s="1">
        <v>4</v>
      </c>
      <c r="X29" s="1">
        <v>8</v>
      </c>
      <c r="Y29" s="1">
        <v>21</v>
      </c>
      <c r="Z29" s="1">
        <v>17</v>
      </c>
      <c r="AA29" s="1">
        <v>83</v>
      </c>
      <c r="AB29" s="1" t="s">
        <v>527</v>
      </c>
      <c r="AC29" s="1">
        <v>3</v>
      </c>
      <c r="AD29" s="1">
        <v>16</v>
      </c>
      <c r="AE29" s="1">
        <v>15</v>
      </c>
      <c r="AF29" s="1">
        <v>16</v>
      </c>
      <c r="AG29" s="1">
        <v>3</v>
      </c>
      <c r="AH29" s="1">
        <v>30</v>
      </c>
      <c r="AI29" s="1">
        <v>6</v>
      </c>
      <c r="AJ29" s="1">
        <v>30</v>
      </c>
      <c r="AK29" s="1">
        <v>26</v>
      </c>
      <c r="AL29" s="1">
        <v>19</v>
      </c>
      <c r="AM29" s="1">
        <v>28</v>
      </c>
      <c r="AN29" s="1">
        <v>13</v>
      </c>
      <c r="AO29" s="1">
        <v>13</v>
      </c>
      <c r="AP29" s="1">
        <v>16</v>
      </c>
      <c r="AQ29" s="1">
        <v>1</v>
      </c>
      <c r="AR29" s="1">
        <v>20</v>
      </c>
      <c r="AS29" s="1">
        <v>5</v>
      </c>
      <c r="AT29" s="1">
        <v>30</v>
      </c>
      <c r="AU29" s="1">
        <v>25</v>
      </c>
      <c r="AV29" s="1">
        <v>5</v>
      </c>
      <c r="AW29" s="1">
        <v>19</v>
      </c>
      <c r="AX29" s="1">
        <v>23</v>
      </c>
      <c r="AY29" s="1">
        <v>16</v>
      </c>
      <c r="AZ29" s="1">
        <v>23</v>
      </c>
      <c r="BA29" s="1">
        <v>30</v>
      </c>
      <c r="BB29" s="1">
        <v>24</v>
      </c>
      <c r="BC29" s="1">
        <v>10</v>
      </c>
      <c r="BD29" s="1" t="s">
        <v>526</v>
      </c>
    </row>
    <row r="30" spans="1:56" x14ac:dyDescent="0.25">
      <c r="A30" s="1">
        <v>1610612762</v>
      </c>
      <c r="B30" s="1" t="s">
        <v>528</v>
      </c>
      <c r="C30" s="1">
        <v>1</v>
      </c>
      <c r="D30" s="1">
        <v>1</v>
      </c>
      <c r="E30" s="1">
        <v>0</v>
      </c>
      <c r="F30" s="1">
        <v>1</v>
      </c>
      <c r="G30" s="1">
        <v>48</v>
      </c>
      <c r="H30" s="1">
        <v>40</v>
      </c>
      <c r="I30" s="1">
        <v>91</v>
      </c>
      <c r="J30" s="1">
        <v>0.44</v>
      </c>
      <c r="K30" s="1">
        <v>14</v>
      </c>
      <c r="L30" s="1">
        <v>47</v>
      </c>
      <c r="M30" s="1">
        <v>0.29799999999999999</v>
      </c>
      <c r="N30" s="1">
        <v>13</v>
      </c>
      <c r="O30" s="1">
        <v>15</v>
      </c>
      <c r="P30" s="1">
        <v>0.86699999999999999</v>
      </c>
      <c r="Q30" s="1">
        <v>12</v>
      </c>
      <c r="R30" s="1">
        <v>41</v>
      </c>
      <c r="S30" s="1">
        <v>53</v>
      </c>
      <c r="T30" s="1">
        <v>18</v>
      </c>
      <c r="U30" s="1" t="s">
        <v>523</v>
      </c>
      <c r="V30" s="1">
        <v>6</v>
      </c>
      <c r="W30" s="1">
        <v>5</v>
      </c>
      <c r="X30" s="1">
        <v>2</v>
      </c>
      <c r="Y30" s="1">
        <v>19</v>
      </c>
      <c r="Z30" s="1">
        <v>15</v>
      </c>
      <c r="AA30" s="1">
        <v>107</v>
      </c>
      <c r="AB30" s="1" t="s">
        <v>529</v>
      </c>
      <c r="AC30" s="1">
        <v>3</v>
      </c>
      <c r="AD30" s="1">
        <v>2</v>
      </c>
      <c r="AE30" s="1">
        <v>1</v>
      </c>
      <c r="AF30" s="1">
        <v>1</v>
      </c>
      <c r="AG30" s="1">
        <v>3</v>
      </c>
      <c r="AH30" s="1">
        <v>18</v>
      </c>
      <c r="AI30" s="1">
        <v>17</v>
      </c>
      <c r="AJ30" s="1">
        <v>18</v>
      </c>
      <c r="AK30" s="1">
        <v>13</v>
      </c>
      <c r="AL30" s="1">
        <v>2</v>
      </c>
      <c r="AM30" s="1">
        <v>26</v>
      </c>
      <c r="AN30" s="1">
        <v>17</v>
      </c>
      <c r="AO30" s="1">
        <v>23</v>
      </c>
      <c r="AP30" s="1">
        <v>5</v>
      </c>
      <c r="AQ30" s="1">
        <v>8</v>
      </c>
      <c r="AR30" s="1">
        <v>7</v>
      </c>
      <c r="AS30" s="1">
        <v>6</v>
      </c>
      <c r="AT30" s="1">
        <v>25</v>
      </c>
      <c r="AU30" s="1">
        <v>4</v>
      </c>
      <c r="AV30" s="1">
        <v>22</v>
      </c>
      <c r="AW30" s="1">
        <v>11</v>
      </c>
      <c r="AX30" s="1">
        <v>3</v>
      </c>
      <c r="AY30" s="1">
        <v>11</v>
      </c>
      <c r="AZ30" s="1">
        <v>28</v>
      </c>
      <c r="BA30" s="1">
        <v>19</v>
      </c>
      <c r="BB30" s="1">
        <v>4</v>
      </c>
      <c r="BC30" s="1">
        <v>10</v>
      </c>
      <c r="BD30" s="1" t="s">
        <v>528</v>
      </c>
    </row>
    <row r="31" spans="1:56" x14ac:dyDescent="0.25">
      <c r="A31" s="1">
        <v>1610612764</v>
      </c>
      <c r="B31" s="1" t="s">
        <v>530</v>
      </c>
      <c r="C31" s="1">
        <v>1</v>
      </c>
      <c r="D31" s="1">
        <v>1</v>
      </c>
      <c r="E31" s="1">
        <v>0</v>
      </c>
      <c r="F31" s="1">
        <v>1</v>
      </c>
      <c r="G31" s="1">
        <v>48</v>
      </c>
      <c r="H31" s="1">
        <v>36</v>
      </c>
      <c r="I31" s="1">
        <v>81</v>
      </c>
      <c r="J31" s="1">
        <v>0.44400000000000001</v>
      </c>
      <c r="K31" s="1">
        <v>5</v>
      </c>
      <c r="L31" s="1">
        <v>27</v>
      </c>
      <c r="M31" s="1">
        <v>0.185</v>
      </c>
      <c r="N31" s="1">
        <v>21</v>
      </c>
      <c r="O31" s="1">
        <v>26</v>
      </c>
      <c r="P31" s="1">
        <v>0.80800000000000005</v>
      </c>
      <c r="Q31" s="1">
        <v>7</v>
      </c>
      <c r="R31" s="1">
        <v>44</v>
      </c>
      <c r="S31" s="1">
        <v>51</v>
      </c>
      <c r="T31" s="1">
        <v>20</v>
      </c>
      <c r="U31" s="1" t="s">
        <v>531</v>
      </c>
      <c r="V31" s="1">
        <v>14</v>
      </c>
      <c r="W31" s="1">
        <v>8</v>
      </c>
      <c r="X31" s="1">
        <v>4</v>
      </c>
      <c r="Y31" s="1">
        <v>17</v>
      </c>
      <c r="Z31" s="1">
        <v>21</v>
      </c>
      <c r="AA31" s="1">
        <v>98</v>
      </c>
      <c r="AB31" s="1" t="s">
        <v>481</v>
      </c>
      <c r="AC31" s="1">
        <v>3</v>
      </c>
      <c r="AD31" s="1">
        <v>2</v>
      </c>
      <c r="AE31" s="1">
        <v>1</v>
      </c>
      <c r="AF31" s="1">
        <v>1</v>
      </c>
      <c r="AG31" s="1">
        <v>3</v>
      </c>
      <c r="AH31" s="1">
        <v>24</v>
      </c>
      <c r="AI31" s="1">
        <v>30</v>
      </c>
      <c r="AJ31" s="1">
        <v>16</v>
      </c>
      <c r="AK31" s="1">
        <v>30</v>
      </c>
      <c r="AL31" s="1">
        <v>28</v>
      </c>
      <c r="AM31" s="1">
        <v>30</v>
      </c>
      <c r="AN31" s="1">
        <v>3</v>
      </c>
      <c r="AO31" s="1">
        <v>6</v>
      </c>
      <c r="AP31" s="1">
        <v>8</v>
      </c>
      <c r="AQ31" s="1">
        <v>22</v>
      </c>
      <c r="AR31" s="1">
        <v>4</v>
      </c>
      <c r="AS31" s="1">
        <v>9</v>
      </c>
      <c r="AT31" s="1">
        <v>22</v>
      </c>
      <c r="AU31" s="1">
        <v>29</v>
      </c>
      <c r="AV31" s="1">
        <v>2</v>
      </c>
      <c r="AW31" s="1">
        <v>7</v>
      </c>
      <c r="AX31" s="1">
        <v>10</v>
      </c>
      <c r="AY31" s="1">
        <v>7</v>
      </c>
      <c r="AZ31" s="1">
        <v>12</v>
      </c>
      <c r="BA31" s="1">
        <v>22</v>
      </c>
      <c r="BB31" s="1">
        <v>7</v>
      </c>
      <c r="BC31" s="1">
        <v>10</v>
      </c>
      <c r="BD31" s="1" t="s">
        <v>530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CF41-61A1-44F6-9F74-CFE4719BF892}">
  <dimension ref="A1:AV31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8" max="8" width="17.3828125" customWidth="1"/>
    <col min="9" max="9" width="15.3828125" customWidth="1"/>
    <col min="10" max="10" width="17.23046875" customWidth="1"/>
    <col min="11" max="11" width="15.23046875" customWidth="1"/>
    <col min="12" max="12" width="17.3828125" customWidth="1"/>
    <col min="13" max="13" width="15.3828125" customWidth="1"/>
    <col min="14" max="14" width="11.84375" customWidth="1"/>
    <col min="15" max="15" width="10.61328125" customWidth="1"/>
    <col min="16" max="16" width="14" customWidth="1"/>
    <col min="17" max="17" width="13.4609375" customWidth="1"/>
    <col min="18" max="18" width="13.3046875" customWidth="1"/>
    <col min="19" max="19" width="11.84375" customWidth="1"/>
    <col min="20" max="20" width="15.921875" customWidth="1"/>
    <col min="21" max="21" width="11.69140625" customWidth="1"/>
    <col min="22" max="22" width="10.53515625" customWidth="1"/>
    <col min="23" max="23" width="10.23046875" customWidth="1"/>
    <col min="25" max="25" width="15.3828125" customWidth="1"/>
    <col min="28" max="28" width="12" customWidth="1"/>
    <col min="29" max="29" width="10.765625" customWidth="1"/>
    <col min="30" max="30" width="10.3828125" customWidth="1"/>
    <col min="31" max="31" width="15.765625" customWidth="1"/>
    <col min="32" max="32" width="12.921875" customWidth="1"/>
    <col min="33" max="33" width="21.69140625" customWidth="1"/>
    <col min="34" max="34" width="21.53515625" customWidth="1"/>
    <col min="35" max="35" width="21.69140625" customWidth="1"/>
    <col min="36" max="36" width="18.15234375" customWidth="1"/>
    <col min="37" max="37" width="17" customWidth="1"/>
    <col min="38" max="38" width="20.3046875" customWidth="1"/>
    <col min="39" max="39" width="19.765625" customWidth="1"/>
    <col min="40" max="40" width="19.69140625" customWidth="1"/>
    <col min="41" max="41" width="18.15234375" customWidth="1"/>
    <col min="42" max="42" width="22.23046875" customWidth="1"/>
    <col min="43" max="43" width="18.07421875" customWidth="1"/>
    <col min="44" max="44" width="16.84375" customWidth="1"/>
    <col min="45" max="45" width="14.53515625" customWidth="1"/>
    <col min="46" max="46" width="12.3828125" customWidth="1"/>
    <col min="48" max="48" width="13.84375" customWidth="1"/>
  </cols>
  <sheetData>
    <row r="1" spans="1:48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435</v>
      </c>
      <c r="AC1" s="1" t="s">
        <v>436</v>
      </c>
      <c r="AD1" s="1" t="s">
        <v>437</v>
      </c>
      <c r="AE1" s="1" t="s">
        <v>438</v>
      </c>
      <c r="AF1" s="1" t="s">
        <v>439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461</v>
      </c>
      <c r="AV1" s="1" t="s">
        <v>462</v>
      </c>
    </row>
    <row r="2" spans="1:48" x14ac:dyDescent="0.25">
      <c r="A2" s="1">
        <v>1610612737</v>
      </c>
      <c r="B2" s="1" t="s">
        <v>463</v>
      </c>
      <c r="C2" s="1">
        <v>1</v>
      </c>
      <c r="D2" s="1">
        <v>1</v>
      </c>
      <c r="E2" s="1">
        <v>0</v>
      </c>
      <c r="F2" s="1">
        <v>1</v>
      </c>
      <c r="G2" s="1">
        <v>48</v>
      </c>
      <c r="H2" s="1">
        <v>107.7</v>
      </c>
      <c r="I2" s="1">
        <v>108.7</v>
      </c>
      <c r="J2" s="1">
        <v>83.9</v>
      </c>
      <c r="K2" s="1">
        <v>83.7</v>
      </c>
      <c r="L2" s="1">
        <v>23.8</v>
      </c>
      <c r="M2" s="1">
        <v>25</v>
      </c>
      <c r="N2" s="1">
        <v>0.68899999999999995</v>
      </c>
      <c r="O2" s="1">
        <v>2.38</v>
      </c>
      <c r="P2" s="1">
        <v>21.7</v>
      </c>
      <c r="Q2" s="1">
        <v>0.16</v>
      </c>
      <c r="R2" s="1">
        <v>0.81</v>
      </c>
      <c r="S2" s="1">
        <v>0.52200000000000002</v>
      </c>
      <c r="T2" s="1">
        <v>0.125</v>
      </c>
      <c r="U2" s="1">
        <v>0.55900000000000005</v>
      </c>
      <c r="V2" s="1">
        <v>0.57699999999999996</v>
      </c>
      <c r="W2" s="1">
        <v>104.3</v>
      </c>
      <c r="X2" s="1">
        <v>104</v>
      </c>
      <c r="Y2" s="1">
        <v>86.67</v>
      </c>
      <c r="Z2" s="1">
        <v>104</v>
      </c>
      <c r="AA2" s="1">
        <v>0.69299999999999995</v>
      </c>
      <c r="AB2" s="1">
        <v>3</v>
      </c>
      <c r="AC2" s="1">
        <v>2</v>
      </c>
      <c r="AD2" s="1">
        <v>1</v>
      </c>
      <c r="AE2" s="1">
        <v>1</v>
      </c>
      <c r="AF2" s="1">
        <v>5</v>
      </c>
      <c r="AG2" s="1">
        <v>15</v>
      </c>
      <c r="AH2" s="1">
        <v>2</v>
      </c>
      <c r="AI2" s="1">
        <v>3</v>
      </c>
      <c r="AJ2" s="1">
        <v>5</v>
      </c>
      <c r="AK2" s="1">
        <v>7</v>
      </c>
      <c r="AL2" s="1">
        <v>2</v>
      </c>
      <c r="AM2" s="1">
        <v>30</v>
      </c>
      <c r="AN2" s="1">
        <v>5</v>
      </c>
      <c r="AO2" s="1">
        <v>6</v>
      </c>
      <c r="AP2" s="1">
        <v>11</v>
      </c>
      <c r="AQ2" s="1">
        <v>11</v>
      </c>
      <c r="AR2" s="1">
        <v>13</v>
      </c>
      <c r="AS2" s="1">
        <v>14</v>
      </c>
      <c r="AT2" s="1">
        <v>3</v>
      </c>
      <c r="AU2" s="1">
        <v>10</v>
      </c>
      <c r="AV2" s="1" t="s">
        <v>463</v>
      </c>
    </row>
    <row r="3" spans="1:48" x14ac:dyDescent="0.25">
      <c r="A3" s="1">
        <v>1610612738</v>
      </c>
      <c r="B3" s="1" t="s">
        <v>466</v>
      </c>
      <c r="C3" s="1">
        <v>1</v>
      </c>
      <c r="D3" s="1">
        <v>0</v>
      </c>
      <c r="E3" s="1">
        <v>1</v>
      </c>
      <c r="F3" s="1">
        <v>0</v>
      </c>
      <c r="G3" s="1">
        <v>58</v>
      </c>
      <c r="H3" s="1">
        <v>103</v>
      </c>
      <c r="I3" s="1">
        <v>108.1</v>
      </c>
      <c r="J3" s="1">
        <v>107.1</v>
      </c>
      <c r="K3" s="1">
        <v>110.4</v>
      </c>
      <c r="L3" s="1">
        <v>-4.0999999999999996</v>
      </c>
      <c r="M3" s="1">
        <v>-2.2999999999999998</v>
      </c>
      <c r="N3" s="1">
        <v>0.70799999999999996</v>
      </c>
      <c r="O3" s="1">
        <v>1.89</v>
      </c>
      <c r="P3" s="1">
        <v>19</v>
      </c>
      <c r="Q3" s="1">
        <v>0.29599999999999999</v>
      </c>
      <c r="R3" s="1">
        <v>0.71899999999999997</v>
      </c>
      <c r="S3" s="1">
        <v>0.48399999999999999</v>
      </c>
      <c r="T3" s="1">
        <v>0.14499999999999999</v>
      </c>
      <c r="U3" s="1">
        <v>0.5</v>
      </c>
      <c r="V3" s="1">
        <v>0.52700000000000002</v>
      </c>
      <c r="W3" s="1">
        <v>107.2</v>
      </c>
      <c r="X3" s="1">
        <v>103.03</v>
      </c>
      <c r="Y3" s="1">
        <v>85.86</v>
      </c>
      <c r="Z3" s="1">
        <v>124</v>
      </c>
      <c r="AA3" s="1">
        <v>0.47899999999999998</v>
      </c>
      <c r="AB3" s="1">
        <v>3</v>
      </c>
      <c r="AC3" s="1">
        <v>16</v>
      </c>
      <c r="AD3" s="1">
        <v>15</v>
      </c>
      <c r="AE3" s="1">
        <v>16</v>
      </c>
      <c r="AF3" s="1">
        <v>3</v>
      </c>
      <c r="AG3" s="1">
        <v>17</v>
      </c>
      <c r="AH3" s="1">
        <v>17</v>
      </c>
      <c r="AI3" s="1">
        <v>16</v>
      </c>
      <c r="AJ3" s="1">
        <v>3</v>
      </c>
      <c r="AK3" s="1">
        <v>12</v>
      </c>
      <c r="AL3" s="1">
        <v>7</v>
      </c>
      <c r="AM3" s="1">
        <v>8</v>
      </c>
      <c r="AN3" s="1">
        <v>20</v>
      </c>
      <c r="AO3" s="1">
        <v>22</v>
      </c>
      <c r="AP3" s="1">
        <v>16</v>
      </c>
      <c r="AQ3" s="1">
        <v>19</v>
      </c>
      <c r="AR3" s="1">
        <v>21</v>
      </c>
      <c r="AS3" s="1">
        <v>17</v>
      </c>
      <c r="AT3" s="1">
        <v>17</v>
      </c>
      <c r="AU3" s="1">
        <v>10</v>
      </c>
      <c r="AV3" s="1" t="s">
        <v>466</v>
      </c>
    </row>
    <row r="4" spans="1:48" x14ac:dyDescent="0.25">
      <c r="A4" s="1">
        <v>1610612751</v>
      </c>
      <c r="B4" s="1" t="s">
        <v>469</v>
      </c>
      <c r="C4" s="1">
        <v>1</v>
      </c>
      <c r="D4" s="1">
        <v>0</v>
      </c>
      <c r="E4" s="1">
        <v>1</v>
      </c>
      <c r="F4" s="1">
        <v>0</v>
      </c>
      <c r="G4" s="1">
        <v>48</v>
      </c>
      <c r="H4" s="1">
        <v>101.8</v>
      </c>
      <c r="I4" s="1">
        <v>102</v>
      </c>
      <c r="J4" s="1">
        <v>117.7</v>
      </c>
      <c r="K4" s="1">
        <v>124.5</v>
      </c>
      <c r="L4" s="1">
        <v>-15.8</v>
      </c>
      <c r="M4" s="1">
        <v>-22.5</v>
      </c>
      <c r="N4" s="1">
        <v>0.51400000000000001</v>
      </c>
      <c r="O4" s="1">
        <v>1.46</v>
      </c>
      <c r="P4" s="1">
        <v>14.8</v>
      </c>
      <c r="Q4" s="1">
        <v>0.17599999999999999</v>
      </c>
      <c r="R4" s="1">
        <v>0.70699999999999996</v>
      </c>
      <c r="S4" s="1">
        <v>0.45900000000000002</v>
      </c>
      <c r="T4" s="1">
        <v>0.127</v>
      </c>
      <c r="U4" s="1">
        <v>0.54200000000000004</v>
      </c>
      <c r="V4" s="1">
        <v>0.55200000000000005</v>
      </c>
      <c r="W4" s="1">
        <v>105</v>
      </c>
      <c r="X4" s="1">
        <v>102</v>
      </c>
      <c r="Y4" s="1">
        <v>85</v>
      </c>
      <c r="Z4" s="1">
        <v>102</v>
      </c>
      <c r="AA4" s="1">
        <v>0.40699999999999997</v>
      </c>
      <c r="AB4" s="1">
        <v>3</v>
      </c>
      <c r="AC4" s="1">
        <v>16</v>
      </c>
      <c r="AD4" s="1">
        <v>15</v>
      </c>
      <c r="AE4" s="1">
        <v>16</v>
      </c>
      <c r="AF4" s="1">
        <v>5</v>
      </c>
      <c r="AG4" s="1">
        <v>20</v>
      </c>
      <c r="AH4" s="1">
        <v>28</v>
      </c>
      <c r="AI4" s="1">
        <v>28</v>
      </c>
      <c r="AJ4" s="1">
        <v>24</v>
      </c>
      <c r="AK4" s="1">
        <v>17</v>
      </c>
      <c r="AL4" s="1">
        <v>20</v>
      </c>
      <c r="AM4" s="1">
        <v>27</v>
      </c>
      <c r="AN4" s="1">
        <v>22</v>
      </c>
      <c r="AO4" s="1">
        <v>28</v>
      </c>
      <c r="AP4" s="1">
        <v>12</v>
      </c>
      <c r="AQ4" s="1">
        <v>15</v>
      </c>
      <c r="AR4" s="1">
        <v>14</v>
      </c>
      <c r="AS4" s="1">
        <v>20</v>
      </c>
      <c r="AT4" s="1">
        <v>24</v>
      </c>
      <c r="AU4" s="1">
        <v>10</v>
      </c>
      <c r="AV4" s="1" t="s">
        <v>469</v>
      </c>
    </row>
    <row r="5" spans="1:48" x14ac:dyDescent="0.25">
      <c r="A5" s="1">
        <v>1610612766</v>
      </c>
      <c r="B5" s="1" t="s">
        <v>471</v>
      </c>
      <c r="C5" s="1">
        <v>1</v>
      </c>
      <c r="D5" s="1">
        <v>1</v>
      </c>
      <c r="E5" s="1">
        <v>0</v>
      </c>
      <c r="F5" s="1">
        <v>1</v>
      </c>
      <c r="G5" s="1">
        <v>48</v>
      </c>
      <c r="H5" s="1">
        <v>107.1</v>
      </c>
      <c r="I5" s="1">
        <v>116</v>
      </c>
      <c r="J5" s="1">
        <v>111.4</v>
      </c>
      <c r="K5" s="1">
        <v>114</v>
      </c>
      <c r="L5" s="1">
        <v>-4.3</v>
      </c>
      <c r="M5" s="1">
        <v>2</v>
      </c>
      <c r="N5" s="1">
        <v>0.63</v>
      </c>
      <c r="O5" s="1">
        <v>3.63</v>
      </c>
      <c r="P5" s="1">
        <v>18.600000000000001</v>
      </c>
      <c r="Q5" s="1">
        <v>0.33300000000000002</v>
      </c>
      <c r="R5" s="1">
        <v>0.745</v>
      </c>
      <c r="S5" s="1">
        <v>0.51300000000000001</v>
      </c>
      <c r="T5" s="1">
        <v>7.4999999999999997E-2</v>
      </c>
      <c r="U5" s="1">
        <v>0.49099999999999999</v>
      </c>
      <c r="V5" s="1">
        <v>0.51700000000000002</v>
      </c>
      <c r="W5" s="1">
        <v>112.2</v>
      </c>
      <c r="X5" s="1">
        <v>106.5</v>
      </c>
      <c r="Y5" s="1">
        <v>88.75</v>
      </c>
      <c r="Z5" s="1">
        <v>106</v>
      </c>
      <c r="AA5" s="1">
        <v>0.48</v>
      </c>
      <c r="AB5" s="1">
        <v>3</v>
      </c>
      <c r="AC5" s="1">
        <v>2</v>
      </c>
      <c r="AD5" s="1">
        <v>1</v>
      </c>
      <c r="AE5" s="1">
        <v>1</v>
      </c>
      <c r="AF5" s="1">
        <v>5</v>
      </c>
      <c r="AG5" s="1">
        <v>7</v>
      </c>
      <c r="AH5" s="1">
        <v>20</v>
      </c>
      <c r="AI5" s="1">
        <v>14</v>
      </c>
      <c r="AJ5" s="1">
        <v>9</v>
      </c>
      <c r="AK5" s="1">
        <v>2</v>
      </c>
      <c r="AL5" s="1">
        <v>10</v>
      </c>
      <c r="AM5" s="1">
        <v>4</v>
      </c>
      <c r="AN5" s="1">
        <v>14</v>
      </c>
      <c r="AO5" s="1">
        <v>10</v>
      </c>
      <c r="AP5" s="1">
        <v>2</v>
      </c>
      <c r="AQ5" s="1">
        <v>22</v>
      </c>
      <c r="AR5" s="1">
        <v>23</v>
      </c>
      <c r="AS5" s="1">
        <v>5</v>
      </c>
      <c r="AT5" s="1">
        <v>16</v>
      </c>
      <c r="AU5" s="1">
        <v>10</v>
      </c>
      <c r="AV5" s="1" t="s">
        <v>471</v>
      </c>
    </row>
    <row r="6" spans="1:48" x14ac:dyDescent="0.25">
      <c r="A6" s="1">
        <v>1610612741</v>
      </c>
      <c r="B6" s="1" t="s">
        <v>474</v>
      </c>
      <c r="C6" s="1">
        <v>1</v>
      </c>
      <c r="D6" s="1">
        <v>1</v>
      </c>
      <c r="E6" s="1">
        <v>0</v>
      </c>
      <c r="F6" s="1">
        <v>1</v>
      </c>
      <c r="G6" s="1">
        <v>48</v>
      </c>
      <c r="H6" s="1">
        <v>93.4</v>
      </c>
      <c r="I6" s="1">
        <v>95.9</v>
      </c>
      <c r="J6" s="1">
        <v>86.5</v>
      </c>
      <c r="K6" s="1">
        <v>89.8</v>
      </c>
      <c r="L6" s="1">
        <v>6.9</v>
      </c>
      <c r="M6" s="1">
        <v>6.1</v>
      </c>
      <c r="N6" s="1">
        <v>0.48599999999999999</v>
      </c>
      <c r="O6" s="1">
        <v>1.06</v>
      </c>
      <c r="P6" s="1">
        <v>14.1</v>
      </c>
      <c r="Q6" s="1">
        <v>0.26</v>
      </c>
      <c r="R6" s="1">
        <v>0.73699999999999999</v>
      </c>
      <c r="S6" s="1">
        <v>0.51400000000000001</v>
      </c>
      <c r="T6" s="1">
        <v>0.17299999999999999</v>
      </c>
      <c r="U6" s="1">
        <v>0.47099999999999997</v>
      </c>
      <c r="V6" s="1">
        <v>0.50800000000000001</v>
      </c>
      <c r="W6" s="1">
        <v>101.2</v>
      </c>
      <c r="X6" s="1">
        <v>98</v>
      </c>
      <c r="Y6" s="1">
        <v>81.67</v>
      </c>
      <c r="Z6" s="1">
        <v>98</v>
      </c>
      <c r="AA6" s="1">
        <v>0.54500000000000004</v>
      </c>
      <c r="AB6" s="1">
        <v>3</v>
      </c>
      <c r="AC6" s="1">
        <v>2</v>
      </c>
      <c r="AD6" s="1">
        <v>1</v>
      </c>
      <c r="AE6" s="1">
        <v>1</v>
      </c>
      <c r="AF6" s="1">
        <v>5</v>
      </c>
      <c r="AG6" s="1">
        <v>25</v>
      </c>
      <c r="AH6" s="1">
        <v>3</v>
      </c>
      <c r="AI6" s="1">
        <v>10</v>
      </c>
      <c r="AJ6" s="1">
        <v>25</v>
      </c>
      <c r="AK6" s="1">
        <v>26</v>
      </c>
      <c r="AL6" s="1">
        <v>26</v>
      </c>
      <c r="AM6" s="1">
        <v>14</v>
      </c>
      <c r="AN6" s="1">
        <v>17</v>
      </c>
      <c r="AO6" s="1">
        <v>9</v>
      </c>
      <c r="AP6" s="1">
        <v>23</v>
      </c>
      <c r="AQ6" s="1">
        <v>25</v>
      </c>
      <c r="AR6" s="1">
        <v>24</v>
      </c>
      <c r="AS6" s="1">
        <v>25</v>
      </c>
      <c r="AT6" s="1">
        <v>10</v>
      </c>
      <c r="AU6" s="1">
        <v>10</v>
      </c>
      <c r="AV6" s="1" t="s">
        <v>474</v>
      </c>
    </row>
    <row r="7" spans="1:48" x14ac:dyDescent="0.25">
      <c r="A7" s="1">
        <v>1610612739</v>
      </c>
      <c r="B7" s="1" t="s">
        <v>477</v>
      </c>
      <c r="C7" s="1">
        <v>1</v>
      </c>
      <c r="D7" s="1">
        <v>0</v>
      </c>
      <c r="E7" s="1">
        <v>1</v>
      </c>
      <c r="F7" s="1">
        <v>0</v>
      </c>
      <c r="G7" s="1">
        <v>48</v>
      </c>
      <c r="H7" s="1">
        <v>115.3</v>
      </c>
      <c r="I7" s="1">
        <v>116.3</v>
      </c>
      <c r="J7" s="1">
        <v>126.6</v>
      </c>
      <c r="K7" s="1">
        <v>125.7</v>
      </c>
      <c r="L7" s="1">
        <v>-11.3</v>
      </c>
      <c r="M7" s="1">
        <v>-9.4</v>
      </c>
      <c r="N7" s="1">
        <v>0.80900000000000005</v>
      </c>
      <c r="O7" s="1">
        <v>3.45</v>
      </c>
      <c r="P7" s="1">
        <v>25.5</v>
      </c>
      <c r="Q7" s="1">
        <v>0.16300000000000001</v>
      </c>
      <c r="R7" s="1">
        <v>0.66</v>
      </c>
      <c r="S7" s="1">
        <v>0.40600000000000003</v>
      </c>
      <c r="T7" s="1">
        <v>0.106</v>
      </c>
      <c r="U7" s="1">
        <v>0.58099999999999996</v>
      </c>
      <c r="V7" s="1">
        <v>0.59899999999999998</v>
      </c>
      <c r="W7" s="1">
        <v>104.6</v>
      </c>
      <c r="X7" s="1">
        <v>104.5</v>
      </c>
      <c r="Y7" s="1">
        <v>87.08</v>
      </c>
      <c r="Z7" s="1">
        <v>104</v>
      </c>
      <c r="AA7" s="1">
        <v>0.45600000000000002</v>
      </c>
      <c r="AB7" s="1">
        <v>3</v>
      </c>
      <c r="AC7" s="1">
        <v>16</v>
      </c>
      <c r="AD7" s="1">
        <v>15</v>
      </c>
      <c r="AE7" s="1">
        <v>16</v>
      </c>
      <c r="AF7" s="1">
        <v>5</v>
      </c>
      <c r="AG7" s="1">
        <v>6</v>
      </c>
      <c r="AH7" s="1">
        <v>29</v>
      </c>
      <c r="AI7" s="1">
        <v>22</v>
      </c>
      <c r="AJ7" s="1">
        <v>1</v>
      </c>
      <c r="AK7" s="1">
        <v>3</v>
      </c>
      <c r="AL7" s="1">
        <v>1</v>
      </c>
      <c r="AM7" s="1">
        <v>29</v>
      </c>
      <c r="AN7" s="1">
        <v>29</v>
      </c>
      <c r="AO7" s="1">
        <v>30</v>
      </c>
      <c r="AP7" s="1">
        <v>7</v>
      </c>
      <c r="AQ7" s="1">
        <v>5</v>
      </c>
      <c r="AR7" s="1">
        <v>7</v>
      </c>
      <c r="AS7" s="1">
        <v>12</v>
      </c>
      <c r="AT7" s="1">
        <v>18</v>
      </c>
      <c r="AU7" s="1">
        <v>10</v>
      </c>
      <c r="AV7" s="1" t="s">
        <v>477</v>
      </c>
    </row>
    <row r="8" spans="1:48" x14ac:dyDescent="0.25">
      <c r="A8" s="1">
        <v>1610612742</v>
      </c>
      <c r="B8" s="1" t="s">
        <v>480</v>
      </c>
      <c r="C8" s="1">
        <v>1</v>
      </c>
      <c r="D8" s="1">
        <v>0</v>
      </c>
      <c r="E8" s="1">
        <v>1</v>
      </c>
      <c r="F8" s="1">
        <v>0</v>
      </c>
      <c r="G8" s="1">
        <v>48</v>
      </c>
      <c r="H8" s="1">
        <v>83.9</v>
      </c>
      <c r="I8" s="1">
        <v>83.7</v>
      </c>
      <c r="J8" s="1">
        <v>107.7</v>
      </c>
      <c r="K8" s="1">
        <v>108.7</v>
      </c>
      <c r="L8" s="1">
        <v>-23.8</v>
      </c>
      <c r="M8" s="1">
        <v>-25</v>
      </c>
      <c r="N8" s="1">
        <v>0.51600000000000001</v>
      </c>
      <c r="O8" s="1">
        <v>1.07</v>
      </c>
      <c r="P8" s="1">
        <v>12.2</v>
      </c>
      <c r="Q8" s="1">
        <v>0.19</v>
      </c>
      <c r="R8" s="1">
        <v>0.84</v>
      </c>
      <c r="S8" s="1">
        <v>0.47799999999999998</v>
      </c>
      <c r="T8" s="1">
        <v>0.14399999999999999</v>
      </c>
      <c r="U8" s="1">
        <v>0.40300000000000002</v>
      </c>
      <c r="V8" s="1">
        <v>0.441</v>
      </c>
      <c r="W8" s="1">
        <v>104.3</v>
      </c>
      <c r="X8" s="1">
        <v>104</v>
      </c>
      <c r="Y8" s="1">
        <v>86.67</v>
      </c>
      <c r="Z8" s="1">
        <v>104</v>
      </c>
      <c r="AA8" s="1">
        <v>0.307</v>
      </c>
      <c r="AB8" s="1">
        <v>3</v>
      </c>
      <c r="AC8" s="1">
        <v>16</v>
      </c>
      <c r="AD8" s="1">
        <v>15</v>
      </c>
      <c r="AE8" s="1">
        <v>16</v>
      </c>
      <c r="AF8" s="1">
        <v>5</v>
      </c>
      <c r="AG8" s="1">
        <v>29</v>
      </c>
      <c r="AH8" s="1">
        <v>15</v>
      </c>
      <c r="AI8" s="1">
        <v>29</v>
      </c>
      <c r="AJ8" s="1">
        <v>23</v>
      </c>
      <c r="AK8" s="1">
        <v>24</v>
      </c>
      <c r="AL8" s="1">
        <v>29</v>
      </c>
      <c r="AM8" s="1">
        <v>25</v>
      </c>
      <c r="AN8" s="1">
        <v>2</v>
      </c>
      <c r="AO8" s="1">
        <v>23</v>
      </c>
      <c r="AP8" s="1">
        <v>15</v>
      </c>
      <c r="AQ8" s="1">
        <v>29</v>
      </c>
      <c r="AR8" s="1">
        <v>28</v>
      </c>
      <c r="AS8" s="1">
        <v>14</v>
      </c>
      <c r="AT8" s="1">
        <v>29</v>
      </c>
      <c r="AU8" s="1">
        <v>10</v>
      </c>
      <c r="AV8" s="1" t="s">
        <v>480</v>
      </c>
    </row>
    <row r="9" spans="1:48" x14ac:dyDescent="0.25">
      <c r="A9" s="1">
        <v>1610612743</v>
      </c>
      <c r="B9" s="1" t="s">
        <v>483</v>
      </c>
      <c r="C9" s="1">
        <v>1</v>
      </c>
      <c r="D9" s="1">
        <v>1</v>
      </c>
      <c r="E9" s="1">
        <v>0</v>
      </c>
      <c r="F9" s="1">
        <v>1</v>
      </c>
      <c r="G9" s="1">
        <v>48</v>
      </c>
      <c r="H9" s="1">
        <v>110</v>
      </c>
      <c r="I9" s="1">
        <v>108.9</v>
      </c>
      <c r="J9" s="1">
        <v>96.6</v>
      </c>
      <c r="K9" s="1">
        <v>97</v>
      </c>
      <c r="L9" s="1">
        <v>13.5</v>
      </c>
      <c r="M9" s="1">
        <v>11.9</v>
      </c>
      <c r="N9" s="1">
        <v>0.56799999999999995</v>
      </c>
      <c r="O9" s="1">
        <v>1.32</v>
      </c>
      <c r="P9" s="1">
        <v>18.8</v>
      </c>
      <c r="Q9" s="1">
        <v>0.17100000000000001</v>
      </c>
      <c r="R9" s="1">
        <v>0.74099999999999999</v>
      </c>
      <c r="S9" s="1">
        <v>0.495</v>
      </c>
      <c r="T9" s="1">
        <v>0.188</v>
      </c>
      <c r="U9" s="1">
        <v>0.63300000000000001</v>
      </c>
      <c r="V9" s="1">
        <v>0.63200000000000001</v>
      </c>
      <c r="W9" s="1">
        <v>100.7</v>
      </c>
      <c r="X9" s="1">
        <v>101</v>
      </c>
      <c r="Y9" s="1">
        <v>84.17</v>
      </c>
      <c r="Z9" s="1">
        <v>101</v>
      </c>
      <c r="AA9" s="1">
        <v>0.57199999999999995</v>
      </c>
      <c r="AB9" s="1">
        <v>3</v>
      </c>
      <c r="AC9" s="1">
        <v>2</v>
      </c>
      <c r="AD9" s="1">
        <v>1</v>
      </c>
      <c r="AE9" s="1">
        <v>1</v>
      </c>
      <c r="AF9" s="1">
        <v>5</v>
      </c>
      <c r="AG9" s="1">
        <v>14</v>
      </c>
      <c r="AH9" s="1">
        <v>8</v>
      </c>
      <c r="AI9" s="1">
        <v>8</v>
      </c>
      <c r="AJ9" s="1">
        <v>13</v>
      </c>
      <c r="AK9" s="1">
        <v>20</v>
      </c>
      <c r="AL9" s="1">
        <v>8</v>
      </c>
      <c r="AM9" s="1">
        <v>28</v>
      </c>
      <c r="AN9" s="1">
        <v>15</v>
      </c>
      <c r="AO9" s="1">
        <v>17</v>
      </c>
      <c r="AP9" s="1">
        <v>28</v>
      </c>
      <c r="AQ9" s="1">
        <v>1</v>
      </c>
      <c r="AR9" s="1">
        <v>1</v>
      </c>
      <c r="AS9" s="1">
        <v>21</v>
      </c>
      <c r="AT9" s="1">
        <v>8</v>
      </c>
      <c r="AU9" s="1">
        <v>10</v>
      </c>
      <c r="AV9" s="1" t="s">
        <v>483</v>
      </c>
    </row>
    <row r="10" spans="1:48" x14ac:dyDescent="0.25">
      <c r="A10" s="1">
        <v>1610612765</v>
      </c>
      <c r="B10" s="1" t="s">
        <v>486</v>
      </c>
      <c r="C10" s="1">
        <v>1</v>
      </c>
      <c r="D10" s="1">
        <v>0</v>
      </c>
      <c r="E10" s="1">
        <v>1</v>
      </c>
      <c r="F10" s="1">
        <v>0</v>
      </c>
      <c r="G10" s="1">
        <v>48</v>
      </c>
      <c r="H10" s="1">
        <v>86.5</v>
      </c>
      <c r="I10" s="1">
        <v>89.8</v>
      </c>
      <c r="J10" s="1">
        <v>93.4</v>
      </c>
      <c r="K10" s="1">
        <v>95.9</v>
      </c>
      <c r="L10" s="1">
        <v>-6.9</v>
      </c>
      <c r="M10" s="1">
        <v>-6.1</v>
      </c>
      <c r="N10" s="1">
        <v>0.47199999999999998</v>
      </c>
      <c r="O10" s="1">
        <v>1</v>
      </c>
      <c r="P10" s="1">
        <v>13.2</v>
      </c>
      <c r="Q10" s="1">
        <v>0.26300000000000001</v>
      </c>
      <c r="R10" s="1">
        <v>0.74</v>
      </c>
      <c r="S10" s="1">
        <v>0.48599999999999999</v>
      </c>
      <c r="T10" s="1">
        <v>0.17299999999999999</v>
      </c>
      <c r="U10" s="1">
        <v>0.433</v>
      </c>
      <c r="V10" s="1">
        <v>0.46</v>
      </c>
      <c r="W10" s="1">
        <v>101.2</v>
      </c>
      <c r="X10" s="1">
        <v>98</v>
      </c>
      <c r="Y10" s="1">
        <v>81.67</v>
      </c>
      <c r="Z10" s="1">
        <v>98</v>
      </c>
      <c r="AA10" s="1">
        <v>0.45500000000000002</v>
      </c>
      <c r="AB10" s="1">
        <v>3</v>
      </c>
      <c r="AC10" s="1">
        <v>16</v>
      </c>
      <c r="AD10" s="1">
        <v>15</v>
      </c>
      <c r="AE10" s="1">
        <v>16</v>
      </c>
      <c r="AF10" s="1">
        <v>5</v>
      </c>
      <c r="AG10" s="1">
        <v>28</v>
      </c>
      <c r="AH10" s="1">
        <v>7</v>
      </c>
      <c r="AI10" s="1">
        <v>20</v>
      </c>
      <c r="AJ10" s="1">
        <v>27</v>
      </c>
      <c r="AK10" s="1">
        <v>27</v>
      </c>
      <c r="AL10" s="1">
        <v>27</v>
      </c>
      <c r="AM10" s="1">
        <v>13</v>
      </c>
      <c r="AN10" s="1">
        <v>16</v>
      </c>
      <c r="AO10" s="1">
        <v>20</v>
      </c>
      <c r="AP10" s="1">
        <v>23</v>
      </c>
      <c r="AQ10" s="1">
        <v>27</v>
      </c>
      <c r="AR10" s="1">
        <v>27</v>
      </c>
      <c r="AS10" s="1">
        <v>25</v>
      </c>
      <c r="AT10" s="1">
        <v>19</v>
      </c>
      <c r="AU10" s="1">
        <v>10</v>
      </c>
      <c r="AV10" s="1" t="s">
        <v>486</v>
      </c>
    </row>
    <row r="11" spans="1:48" x14ac:dyDescent="0.25">
      <c r="A11" s="1">
        <v>1610612744</v>
      </c>
      <c r="B11" s="1" t="s">
        <v>488</v>
      </c>
      <c r="C11" s="1">
        <v>2</v>
      </c>
      <c r="D11" s="1">
        <v>2</v>
      </c>
      <c r="E11" s="1">
        <v>0</v>
      </c>
      <c r="F11" s="1">
        <v>1</v>
      </c>
      <c r="G11" s="1">
        <v>96</v>
      </c>
      <c r="H11" s="1">
        <v>108.3</v>
      </c>
      <c r="I11" s="1">
        <v>109.8</v>
      </c>
      <c r="J11" s="1">
        <v>102.9</v>
      </c>
      <c r="K11" s="1">
        <v>105.1</v>
      </c>
      <c r="L11" s="1">
        <v>5.4</v>
      </c>
      <c r="M11" s="1">
        <v>4.7</v>
      </c>
      <c r="N11" s="1">
        <v>0.67900000000000005</v>
      </c>
      <c r="O11" s="1">
        <v>1.5</v>
      </c>
      <c r="P11" s="1">
        <v>19.2</v>
      </c>
      <c r="Q11" s="1">
        <v>0.255</v>
      </c>
      <c r="R11" s="1">
        <v>0.80200000000000005</v>
      </c>
      <c r="S11" s="1">
        <v>0.54500000000000004</v>
      </c>
      <c r="T11" s="1">
        <v>0.17699999999999999</v>
      </c>
      <c r="U11" s="1">
        <v>0.56000000000000005</v>
      </c>
      <c r="V11" s="1">
        <v>0.59299999999999997</v>
      </c>
      <c r="W11" s="1">
        <v>109.6</v>
      </c>
      <c r="X11" s="1">
        <v>107.75</v>
      </c>
      <c r="Y11" s="1">
        <v>89.79</v>
      </c>
      <c r="Z11" s="1">
        <v>215</v>
      </c>
      <c r="AA11" s="1">
        <v>0.56200000000000006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13</v>
      </c>
      <c r="AH11" s="1">
        <v>12</v>
      </c>
      <c r="AI11" s="1">
        <v>11</v>
      </c>
      <c r="AJ11" s="1">
        <v>6</v>
      </c>
      <c r="AK11" s="1">
        <v>16</v>
      </c>
      <c r="AL11" s="1">
        <v>6</v>
      </c>
      <c r="AM11" s="1">
        <v>16</v>
      </c>
      <c r="AN11" s="1">
        <v>6</v>
      </c>
      <c r="AO11" s="1">
        <v>3</v>
      </c>
      <c r="AP11" s="1">
        <v>25</v>
      </c>
      <c r="AQ11" s="1">
        <v>10</v>
      </c>
      <c r="AR11" s="1">
        <v>8</v>
      </c>
      <c r="AS11" s="1">
        <v>4</v>
      </c>
      <c r="AT11" s="1">
        <v>9</v>
      </c>
      <c r="AU11" s="1">
        <v>10</v>
      </c>
      <c r="AV11" s="1" t="s">
        <v>488</v>
      </c>
    </row>
    <row r="12" spans="1:48" x14ac:dyDescent="0.25">
      <c r="A12" s="1">
        <v>1610612745</v>
      </c>
      <c r="B12" s="1" t="s">
        <v>490</v>
      </c>
      <c r="C12" s="1">
        <v>1</v>
      </c>
      <c r="D12" s="1">
        <v>0</v>
      </c>
      <c r="E12" s="1">
        <v>1</v>
      </c>
      <c r="F12" s="1">
        <v>0</v>
      </c>
      <c r="G12" s="1">
        <v>48</v>
      </c>
      <c r="H12" s="1">
        <v>96.6</v>
      </c>
      <c r="I12" s="1">
        <v>98.1</v>
      </c>
      <c r="J12" s="1">
        <v>117.4</v>
      </c>
      <c r="K12" s="1">
        <v>114.8</v>
      </c>
      <c r="L12" s="1">
        <v>-20.7</v>
      </c>
      <c r="M12" s="1">
        <v>-16.7</v>
      </c>
      <c r="N12" s="1">
        <v>0.52500000000000002</v>
      </c>
      <c r="O12" s="1">
        <v>0.88</v>
      </c>
      <c r="P12" s="1">
        <v>14.5</v>
      </c>
      <c r="Q12" s="1">
        <v>0.314</v>
      </c>
      <c r="R12" s="1">
        <v>0.70799999999999996</v>
      </c>
      <c r="S12" s="1">
        <v>0.505</v>
      </c>
      <c r="T12" s="1">
        <v>0.222</v>
      </c>
      <c r="U12" s="1">
        <v>0.51700000000000002</v>
      </c>
      <c r="V12" s="1">
        <v>0.54300000000000004</v>
      </c>
      <c r="W12" s="1">
        <v>107.7</v>
      </c>
      <c r="X12" s="1">
        <v>108</v>
      </c>
      <c r="Y12" s="1">
        <v>90</v>
      </c>
      <c r="Z12" s="1">
        <v>108</v>
      </c>
      <c r="AA12" s="1">
        <v>0.374</v>
      </c>
      <c r="AB12" s="1">
        <v>3</v>
      </c>
      <c r="AC12" s="1">
        <v>16</v>
      </c>
      <c r="AD12" s="1">
        <v>15</v>
      </c>
      <c r="AE12" s="1">
        <v>16</v>
      </c>
      <c r="AF12" s="1">
        <v>5</v>
      </c>
      <c r="AG12" s="1">
        <v>22</v>
      </c>
      <c r="AH12" s="1">
        <v>22</v>
      </c>
      <c r="AI12" s="1">
        <v>25</v>
      </c>
      <c r="AJ12" s="1">
        <v>22</v>
      </c>
      <c r="AK12" s="1">
        <v>29</v>
      </c>
      <c r="AL12" s="1">
        <v>23</v>
      </c>
      <c r="AM12" s="1">
        <v>5</v>
      </c>
      <c r="AN12" s="1">
        <v>21</v>
      </c>
      <c r="AO12" s="1">
        <v>13</v>
      </c>
      <c r="AP12" s="1">
        <v>30</v>
      </c>
      <c r="AQ12" s="1">
        <v>16</v>
      </c>
      <c r="AR12" s="1">
        <v>17</v>
      </c>
      <c r="AS12" s="1">
        <v>2</v>
      </c>
      <c r="AT12" s="1">
        <v>26</v>
      </c>
      <c r="AU12" s="1">
        <v>10</v>
      </c>
      <c r="AV12" s="1" t="s">
        <v>490</v>
      </c>
    </row>
    <row r="13" spans="1:48" x14ac:dyDescent="0.25">
      <c r="A13" s="1">
        <v>1610612754</v>
      </c>
      <c r="B13" s="1" t="s">
        <v>493</v>
      </c>
      <c r="C13" s="1">
        <v>1</v>
      </c>
      <c r="D13" s="1">
        <v>0</v>
      </c>
      <c r="E13" s="1">
        <v>1</v>
      </c>
      <c r="F13" s="1">
        <v>0</v>
      </c>
      <c r="G13" s="1">
        <v>48</v>
      </c>
      <c r="H13" s="1">
        <v>111.4</v>
      </c>
      <c r="I13" s="1">
        <v>114</v>
      </c>
      <c r="J13" s="1">
        <v>107.1</v>
      </c>
      <c r="K13" s="1">
        <v>116</v>
      </c>
      <c r="L13" s="1">
        <v>4.3</v>
      </c>
      <c r="M13" s="1">
        <v>-2</v>
      </c>
      <c r="N13" s="1">
        <v>0.69</v>
      </c>
      <c r="O13" s="1">
        <v>1.71</v>
      </c>
      <c r="P13" s="1">
        <v>19.7</v>
      </c>
      <c r="Q13" s="1">
        <v>0.255</v>
      </c>
      <c r="R13" s="1">
        <v>0.66700000000000004</v>
      </c>
      <c r="S13" s="1">
        <v>0.48699999999999999</v>
      </c>
      <c r="T13" s="1">
        <v>0.159</v>
      </c>
      <c r="U13" s="1">
        <v>0.56100000000000005</v>
      </c>
      <c r="V13" s="1">
        <v>0.60699999999999998</v>
      </c>
      <c r="W13" s="1">
        <v>112.2</v>
      </c>
      <c r="X13" s="1">
        <v>106.5</v>
      </c>
      <c r="Y13" s="1">
        <v>88.75</v>
      </c>
      <c r="Z13" s="1">
        <v>107</v>
      </c>
      <c r="AA13" s="1">
        <v>0.52</v>
      </c>
      <c r="AB13" s="1">
        <v>3</v>
      </c>
      <c r="AC13" s="1">
        <v>16</v>
      </c>
      <c r="AD13" s="1">
        <v>15</v>
      </c>
      <c r="AE13" s="1">
        <v>16</v>
      </c>
      <c r="AF13" s="1">
        <v>5</v>
      </c>
      <c r="AG13" s="1">
        <v>10</v>
      </c>
      <c r="AH13" s="1">
        <v>24</v>
      </c>
      <c r="AI13" s="1">
        <v>15</v>
      </c>
      <c r="AJ13" s="1">
        <v>4</v>
      </c>
      <c r="AK13" s="1">
        <v>15</v>
      </c>
      <c r="AL13" s="1">
        <v>5</v>
      </c>
      <c r="AM13" s="1">
        <v>17</v>
      </c>
      <c r="AN13" s="1">
        <v>27</v>
      </c>
      <c r="AO13" s="1">
        <v>19</v>
      </c>
      <c r="AP13" s="1">
        <v>19</v>
      </c>
      <c r="AQ13" s="1">
        <v>9</v>
      </c>
      <c r="AR13" s="1">
        <v>6</v>
      </c>
      <c r="AS13" s="1">
        <v>5</v>
      </c>
      <c r="AT13" s="1">
        <v>13</v>
      </c>
      <c r="AU13" s="1">
        <v>10</v>
      </c>
      <c r="AV13" s="1" t="s">
        <v>493</v>
      </c>
    </row>
    <row r="14" spans="1:48" x14ac:dyDescent="0.25">
      <c r="A14" s="1">
        <v>1610612746</v>
      </c>
      <c r="B14" s="1" t="s">
        <v>495</v>
      </c>
      <c r="C14" s="1">
        <v>1</v>
      </c>
      <c r="D14" s="1">
        <v>0</v>
      </c>
      <c r="E14" s="1">
        <v>1</v>
      </c>
      <c r="F14" s="1">
        <v>0</v>
      </c>
      <c r="G14" s="1">
        <v>48</v>
      </c>
      <c r="H14" s="1">
        <v>108.4</v>
      </c>
      <c r="I14" s="1">
        <v>108.7</v>
      </c>
      <c r="J14" s="1">
        <v>110.9</v>
      </c>
      <c r="K14" s="1">
        <v>112.7</v>
      </c>
      <c r="L14" s="1">
        <v>-2.5</v>
      </c>
      <c r="M14" s="1">
        <v>-4.0999999999999996</v>
      </c>
      <c r="N14" s="1">
        <v>0.57099999999999995</v>
      </c>
      <c r="O14" s="1">
        <v>3.43</v>
      </c>
      <c r="P14" s="1">
        <v>17.3</v>
      </c>
      <c r="Q14" s="1">
        <v>0.20699999999999999</v>
      </c>
      <c r="R14" s="1">
        <v>0.72699999999999998</v>
      </c>
      <c r="S14" s="1">
        <v>0.43099999999999999</v>
      </c>
      <c r="T14" s="1">
        <v>6.7000000000000004E-2</v>
      </c>
      <c r="U14" s="1">
        <v>0.51</v>
      </c>
      <c r="V14" s="1">
        <v>0.53700000000000003</v>
      </c>
      <c r="W14" s="1">
        <v>104</v>
      </c>
      <c r="X14" s="1">
        <v>103</v>
      </c>
      <c r="Y14" s="1">
        <v>85.83</v>
      </c>
      <c r="Z14" s="1">
        <v>104</v>
      </c>
      <c r="AA14" s="1">
        <v>0.45500000000000002</v>
      </c>
      <c r="AB14" s="1">
        <v>3</v>
      </c>
      <c r="AC14" s="1">
        <v>16</v>
      </c>
      <c r="AD14" s="1">
        <v>15</v>
      </c>
      <c r="AE14" s="1">
        <v>16</v>
      </c>
      <c r="AF14" s="1">
        <v>5</v>
      </c>
      <c r="AG14" s="1">
        <v>15</v>
      </c>
      <c r="AH14" s="1">
        <v>19</v>
      </c>
      <c r="AI14" s="1">
        <v>18</v>
      </c>
      <c r="AJ14" s="1">
        <v>11</v>
      </c>
      <c r="AK14" s="1">
        <v>4</v>
      </c>
      <c r="AL14" s="1">
        <v>15</v>
      </c>
      <c r="AM14" s="1">
        <v>20</v>
      </c>
      <c r="AN14" s="1">
        <v>18</v>
      </c>
      <c r="AO14" s="1">
        <v>29</v>
      </c>
      <c r="AP14" s="1">
        <v>1</v>
      </c>
      <c r="AQ14" s="1">
        <v>18</v>
      </c>
      <c r="AR14" s="1">
        <v>18</v>
      </c>
      <c r="AS14" s="1">
        <v>19</v>
      </c>
      <c r="AT14" s="1">
        <v>20</v>
      </c>
      <c r="AU14" s="1">
        <v>10</v>
      </c>
      <c r="AV14" s="1" t="s">
        <v>495</v>
      </c>
    </row>
    <row r="15" spans="1:48" x14ac:dyDescent="0.25">
      <c r="A15" s="1">
        <v>1610612747</v>
      </c>
      <c r="B15" s="1" t="s">
        <v>498</v>
      </c>
      <c r="C15" s="1">
        <v>1</v>
      </c>
      <c r="D15" s="1">
        <v>0</v>
      </c>
      <c r="E15" s="1">
        <v>1</v>
      </c>
      <c r="F15" s="1">
        <v>0</v>
      </c>
      <c r="G15" s="1">
        <v>48</v>
      </c>
      <c r="H15" s="1">
        <v>98</v>
      </c>
      <c r="I15" s="1">
        <v>101.8</v>
      </c>
      <c r="J15" s="1">
        <v>106</v>
      </c>
      <c r="K15" s="1">
        <v>107.1</v>
      </c>
      <c r="L15" s="1">
        <v>-8</v>
      </c>
      <c r="M15" s="1">
        <v>-5.3</v>
      </c>
      <c r="N15" s="1">
        <v>0.46700000000000003</v>
      </c>
      <c r="O15" s="1">
        <v>1.17</v>
      </c>
      <c r="P15" s="1">
        <v>14.7</v>
      </c>
      <c r="Q15" s="1">
        <v>0.189</v>
      </c>
      <c r="R15" s="1">
        <v>0.75900000000000001</v>
      </c>
      <c r="S15" s="1">
        <v>0.47699999999999998</v>
      </c>
      <c r="T15" s="1">
        <v>0.161</v>
      </c>
      <c r="U15" s="1">
        <v>0.55300000000000005</v>
      </c>
      <c r="V15" s="1">
        <v>0.55100000000000005</v>
      </c>
      <c r="W15" s="1">
        <v>115.3</v>
      </c>
      <c r="X15" s="1">
        <v>112.5</v>
      </c>
      <c r="Y15" s="1">
        <v>93.75</v>
      </c>
      <c r="Z15" s="1">
        <v>112</v>
      </c>
      <c r="AA15" s="1">
        <v>0.42199999999999999</v>
      </c>
      <c r="AB15" s="1">
        <v>3</v>
      </c>
      <c r="AC15" s="1">
        <v>16</v>
      </c>
      <c r="AD15" s="1">
        <v>15</v>
      </c>
      <c r="AE15" s="1">
        <v>16</v>
      </c>
      <c r="AF15" s="1">
        <v>5</v>
      </c>
      <c r="AG15" s="1">
        <v>21</v>
      </c>
      <c r="AH15" s="1">
        <v>13</v>
      </c>
      <c r="AI15" s="1">
        <v>19</v>
      </c>
      <c r="AJ15" s="1">
        <v>28</v>
      </c>
      <c r="AK15" s="1">
        <v>23</v>
      </c>
      <c r="AL15" s="1">
        <v>22</v>
      </c>
      <c r="AM15" s="1">
        <v>26</v>
      </c>
      <c r="AN15" s="1">
        <v>12</v>
      </c>
      <c r="AO15" s="1">
        <v>24</v>
      </c>
      <c r="AP15" s="1">
        <v>20</v>
      </c>
      <c r="AQ15" s="1">
        <v>12</v>
      </c>
      <c r="AR15" s="1">
        <v>15</v>
      </c>
      <c r="AS15" s="1">
        <v>1</v>
      </c>
      <c r="AT15" s="1">
        <v>23</v>
      </c>
      <c r="AU15" s="1">
        <v>10</v>
      </c>
      <c r="AV15" s="1" t="s">
        <v>498</v>
      </c>
    </row>
    <row r="16" spans="1:48" x14ac:dyDescent="0.25">
      <c r="A16" s="1">
        <v>1610612763</v>
      </c>
      <c r="B16" s="1" t="s">
        <v>500</v>
      </c>
      <c r="C16" s="1">
        <v>1</v>
      </c>
      <c r="D16" s="1">
        <v>1</v>
      </c>
      <c r="E16" s="1">
        <v>0</v>
      </c>
      <c r="F16" s="1">
        <v>1</v>
      </c>
      <c r="G16" s="1">
        <v>48</v>
      </c>
      <c r="H16" s="1">
        <v>126.6</v>
      </c>
      <c r="I16" s="1">
        <v>125.7</v>
      </c>
      <c r="J16" s="1">
        <v>115.3</v>
      </c>
      <c r="K16" s="1">
        <v>116.3</v>
      </c>
      <c r="L16" s="1">
        <v>11.3</v>
      </c>
      <c r="M16" s="1">
        <v>9.4</v>
      </c>
      <c r="N16" s="1">
        <v>0.52800000000000002</v>
      </c>
      <c r="O16" s="1">
        <v>2.33</v>
      </c>
      <c r="P16" s="1">
        <v>18.8</v>
      </c>
      <c r="Q16" s="1">
        <v>0.34</v>
      </c>
      <c r="R16" s="1">
        <v>0.83699999999999997</v>
      </c>
      <c r="S16" s="1">
        <v>0.59399999999999997</v>
      </c>
      <c r="T16" s="1">
        <v>0.114</v>
      </c>
      <c r="U16" s="1">
        <v>0.6</v>
      </c>
      <c r="V16" s="1">
        <v>0.627</v>
      </c>
      <c r="W16" s="1">
        <v>104.6</v>
      </c>
      <c r="X16" s="1">
        <v>104.5</v>
      </c>
      <c r="Y16" s="1">
        <v>87.08</v>
      </c>
      <c r="Z16" s="1">
        <v>105</v>
      </c>
      <c r="AA16" s="1">
        <v>0.54400000000000004</v>
      </c>
      <c r="AB16" s="1">
        <v>3</v>
      </c>
      <c r="AC16" s="1">
        <v>2</v>
      </c>
      <c r="AD16" s="1">
        <v>1</v>
      </c>
      <c r="AE16" s="1">
        <v>1</v>
      </c>
      <c r="AF16" s="1">
        <v>5</v>
      </c>
      <c r="AG16" s="1">
        <v>3</v>
      </c>
      <c r="AH16" s="1">
        <v>25</v>
      </c>
      <c r="AI16" s="1">
        <v>9</v>
      </c>
      <c r="AJ16" s="1">
        <v>21</v>
      </c>
      <c r="AK16" s="1">
        <v>8</v>
      </c>
      <c r="AL16" s="1">
        <v>9</v>
      </c>
      <c r="AM16" s="1">
        <v>2</v>
      </c>
      <c r="AN16" s="1">
        <v>3</v>
      </c>
      <c r="AO16" s="1">
        <v>2</v>
      </c>
      <c r="AP16" s="1">
        <v>9</v>
      </c>
      <c r="AQ16" s="1">
        <v>3</v>
      </c>
      <c r="AR16" s="1">
        <v>2</v>
      </c>
      <c r="AS16" s="1">
        <v>12</v>
      </c>
      <c r="AT16" s="1">
        <v>11</v>
      </c>
      <c r="AU16" s="1">
        <v>10</v>
      </c>
      <c r="AV16" s="1" t="s">
        <v>500</v>
      </c>
    </row>
    <row r="17" spans="1:48" x14ac:dyDescent="0.25">
      <c r="A17" s="1">
        <v>1610612748</v>
      </c>
      <c r="B17" s="1" t="s">
        <v>501</v>
      </c>
      <c r="C17" s="1">
        <v>1</v>
      </c>
      <c r="D17" s="1">
        <v>1</v>
      </c>
      <c r="E17" s="1">
        <v>0</v>
      </c>
      <c r="F17" s="1">
        <v>1</v>
      </c>
      <c r="G17" s="1">
        <v>48</v>
      </c>
      <c r="H17" s="1">
        <v>125</v>
      </c>
      <c r="I17" s="1">
        <v>128</v>
      </c>
      <c r="J17" s="1">
        <v>89</v>
      </c>
      <c r="K17" s="1">
        <v>90.5</v>
      </c>
      <c r="L17" s="1">
        <v>36</v>
      </c>
      <c r="M17" s="1">
        <v>37.6</v>
      </c>
      <c r="N17" s="1">
        <v>0.54900000000000004</v>
      </c>
      <c r="O17" s="1">
        <v>2.5499999999999998</v>
      </c>
      <c r="P17" s="1">
        <v>18.5</v>
      </c>
      <c r="Q17" s="1">
        <v>0.30199999999999999</v>
      </c>
      <c r="R17" s="1">
        <v>0.89300000000000002</v>
      </c>
      <c r="S17" s="1">
        <v>0.60599999999999998</v>
      </c>
      <c r="T17" s="1">
        <v>0.10299999999999999</v>
      </c>
      <c r="U17" s="1">
        <v>0.60899999999999999</v>
      </c>
      <c r="V17" s="1">
        <v>0.625</v>
      </c>
      <c r="W17" s="1">
        <v>108.2</v>
      </c>
      <c r="X17" s="1">
        <v>106</v>
      </c>
      <c r="Y17" s="1">
        <v>88.33</v>
      </c>
      <c r="Z17" s="1">
        <v>107</v>
      </c>
      <c r="AA17" s="1">
        <v>0.71799999999999997</v>
      </c>
      <c r="AB17" s="1">
        <v>3</v>
      </c>
      <c r="AC17" s="1">
        <v>2</v>
      </c>
      <c r="AD17" s="1">
        <v>1</v>
      </c>
      <c r="AE17" s="1">
        <v>1</v>
      </c>
      <c r="AF17" s="1">
        <v>5</v>
      </c>
      <c r="AG17" s="1">
        <v>2</v>
      </c>
      <c r="AH17" s="1">
        <v>4</v>
      </c>
      <c r="AI17" s="1">
        <v>1</v>
      </c>
      <c r="AJ17" s="1">
        <v>18</v>
      </c>
      <c r="AK17" s="1">
        <v>5</v>
      </c>
      <c r="AL17" s="1">
        <v>11</v>
      </c>
      <c r="AM17" s="1">
        <v>7</v>
      </c>
      <c r="AN17" s="1">
        <v>1</v>
      </c>
      <c r="AO17" s="1">
        <v>1</v>
      </c>
      <c r="AP17" s="1">
        <v>5</v>
      </c>
      <c r="AQ17" s="1">
        <v>2</v>
      </c>
      <c r="AR17" s="1">
        <v>3</v>
      </c>
      <c r="AS17" s="1">
        <v>9</v>
      </c>
      <c r="AT17" s="1">
        <v>1</v>
      </c>
      <c r="AU17" s="1">
        <v>10</v>
      </c>
      <c r="AV17" s="1" t="s">
        <v>501</v>
      </c>
    </row>
    <row r="18" spans="1:48" x14ac:dyDescent="0.25">
      <c r="A18" s="1">
        <v>1610612749</v>
      </c>
      <c r="B18" s="1" t="s">
        <v>503</v>
      </c>
      <c r="C18" s="1">
        <v>2</v>
      </c>
      <c r="D18" s="1">
        <v>1</v>
      </c>
      <c r="E18" s="1">
        <v>1</v>
      </c>
      <c r="F18" s="1">
        <v>0.5</v>
      </c>
      <c r="G18" s="1">
        <v>96</v>
      </c>
      <c r="H18" s="1">
        <v>103.4</v>
      </c>
      <c r="I18" s="1">
        <v>107.2</v>
      </c>
      <c r="J18" s="1">
        <v>113.8</v>
      </c>
      <c r="K18" s="1">
        <v>115.3</v>
      </c>
      <c r="L18" s="1">
        <v>-10.4</v>
      </c>
      <c r="M18" s="1">
        <v>-8.1</v>
      </c>
      <c r="N18" s="1">
        <v>0.55000000000000004</v>
      </c>
      <c r="O18" s="1">
        <v>1.91</v>
      </c>
      <c r="P18" s="1">
        <v>16.100000000000001</v>
      </c>
      <c r="Q18" s="1">
        <v>0.20200000000000001</v>
      </c>
      <c r="R18" s="1">
        <v>0.76</v>
      </c>
      <c r="S18" s="1">
        <v>0.46800000000000003</v>
      </c>
      <c r="T18" s="1">
        <v>0.111</v>
      </c>
      <c r="U18" s="1">
        <v>0.5</v>
      </c>
      <c r="V18" s="1">
        <v>0.52900000000000003</v>
      </c>
      <c r="W18" s="1">
        <v>106.6</v>
      </c>
      <c r="X18" s="1">
        <v>104</v>
      </c>
      <c r="Y18" s="1">
        <v>86.67</v>
      </c>
      <c r="Z18" s="1">
        <v>207</v>
      </c>
      <c r="AA18" s="1">
        <v>0.44700000000000001</v>
      </c>
      <c r="AB18" s="1">
        <v>1</v>
      </c>
      <c r="AC18" s="1">
        <v>2</v>
      </c>
      <c r="AD18" s="1">
        <v>15</v>
      </c>
      <c r="AE18" s="1">
        <v>15</v>
      </c>
      <c r="AF18" s="1">
        <v>1</v>
      </c>
      <c r="AG18" s="1">
        <v>18</v>
      </c>
      <c r="AH18" s="1">
        <v>23</v>
      </c>
      <c r="AI18" s="1">
        <v>21</v>
      </c>
      <c r="AJ18" s="1">
        <v>17</v>
      </c>
      <c r="AK18" s="1">
        <v>11</v>
      </c>
      <c r="AL18" s="1">
        <v>19</v>
      </c>
      <c r="AM18" s="1">
        <v>23</v>
      </c>
      <c r="AN18" s="1">
        <v>11</v>
      </c>
      <c r="AO18" s="1">
        <v>26</v>
      </c>
      <c r="AP18" s="1">
        <v>8</v>
      </c>
      <c r="AQ18" s="1">
        <v>19</v>
      </c>
      <c r="AR18" s="1">
        <v>20</v>
      </c>
      <c r="AS18" s="1">
        <v>14</v>
      </c>
      <c r="AT18" s="1">
        <v>21</v>
      </c>
      <c r="AU18" s="1">
        <v>10</v>
      </c>
      <c r="AV18" s="1" t="s">
        <v>503</v>
      </c>
    </row>
    <row r="19" spans="1:48" x14ac:dyDescent="0.25">
      <c r="A19" s="1">
        <v>1610612750</v>
      </c>
      <c r="B19" s="1" t="s">
        <v>506</v>
      </c>
      <c r="C19" s="1">
        <v>1</v>
      </c>
      <c r="D19" s="1">
        <v>1</v>
      </c>
      <c r="E19" s="1">
        <v>0</v>
      </c>
      <c r="F19" s="1">
        <v>1</v>
      </c>
      <c r="G19" s="1">
        <v>48</v>
      </c>
      <c r="H19" s="1">
        <v>117.4</v>
      </c>
      <c r="I19" s="1">
        <v>114.8</v>
      </c>
      <c r="J19" s="1">
        <v>96.6</v>
      </c>
      <c r="K19" s="1">
        <v>98.1</v>
      </c>
      <c r="L19" s="1">
        <v>20.7</v>
      </c>
      <c r="M19" s="1">
        <v>16.7</v>
      </c>
      <c r="N19" s="1">
        <v>0.61899999999999999</v>
      </c>
      <c r="O19" s="1">
        <v>1.44</v>
      </c>
      <c r="P19" s="1">
        <v>17.600000000000001</v>
      </c>
      <c r="Q19" s="1">
        <v>0.29199999999999998</v>
      </c>
      <c r="R19" s="1">
        <v>0.68600000000000005</v>
      </c>
      <c r="S19" s="1">
        <v>0.495</v>
      </c>
      <c r="T19" s="1">
        <v>0.16700000000000001</v>
      </c>
      <c r="U19" s="1">
        <v>0.57499999999999996</v>
      </c>
      <c r="V19" s="1">
        <v>0.61599999999999999</v>
      </c>
      <c r="W19" s="1">
        <v>107.7</v>
      </c>
      <c r="X19" s="1">
        <v>108</v>
      </c>
      <c r="Y19" s="1">
        <v>90</v>
      </c>
      <c r="Z19" s="1">
        <v>108</v>
      </c>
      <c r="AA19" s="1">
        <v>0.626</v>
      </c>
      <c r="AB19" s="1">
        <v>3</v>
      </c>
      <c r="AC19" s="1">
        <v>2</v>
      </c>
      <c r="AD19" s="1">
        <v>1</v>
      </c>
      <c r="AE19" s="1">
        <v>1</v>
      </c>
      <c r="AF19" s="1">
        <v>5</v>
      </c>
      <c r="AG19" s="1">
        <v>8</v>
      </c>
      <c r="AH19" s="1">
        <v>10</v>
      </c>
      <c r="AI19" s="1">
        <v>6</v>
      </c>
      <c r="AJ19" s="1">
        <v>10</v>
      </c>
      <c r="AK19" s="1">
        <v>18</v>
      </c>
      <c r="AL19" s="1">
        <v>14</v>
      </c>
      <c r="AM19" s="1">
        <v>10</v>
      </c>
      <c r="AN19" s="1">
        <v>26</v>
      </c>
      <c r="AO19" s="1">
        <v>16</v>
      </c>
      <c r="AP19" s="1">
        <v>21</v>
      </c>
      <c r="AQ19" s="1">
        <v>6</v>
      </c>
      <c r="AR19" s="1">
        <v>5</v>
      </c>
      <c r="AS19" s="1">
        <v>2</v>
      </c>
      <c r="AT19" s="1">
        <v>6</v>
      </c>
      <c r="AU19" s="1">
        <v>10</v>
      </c>
      <c r="AV19" s="1" t="s">
        <v>506</v>
      </c>
    </row>
    <row r="20" spans="1:48" x14ac:dyDescent="0.25">
      <c r="A20" s="1">
        <v>1610612740</v>
      </c>
      <c r="B20" s="1" t="s">
        <v>507</v>
      </c>
      <c r="C20" s="1">
        <v>1</v>
      </c>
      <c r="D20" s="1">
        <v>0</v>
      </c>
      <c r="E20" s="1">
        <v>1</v>
      </c>
      <c r="F20" s="1">
        <v>0</v>
      </c>
      <c r="G20" s="1">
        <v>48</v>
      </c>
      <c r="H20" s="1">
        <v>96.1</v>
      </c>
      <c r="I20" s="1">
        <v>98</v>
      </c>
      <c r="J20" s="1">
        <v>116.1</v>
      </c>
      <c r="K20" s="1">
        <v>118.2</v>
      </c>
      <c r="L20" s="1">
        <v>-20</v>
      </c>
      <c r="M20" s="1">
        <v>-20.2</v>
      </c>
      <c r="N20" s="1">
        <v>0.71799999999999997</v>
      </c>
      <c r="O20" s="1">
        <v>2</v>
      </c>
      <c r="P20" s="1">
        <v>20</v>
      </c>
      <c r="Q20" s="1">
        <v>0.23599999999999999</v>
      </c>
      <c r="R20" s="1">
        <v>0.79500000000000004</v>
      </c>
      <c r="S20" s="1">
        <v>0.48499999999999999</v>
      </c>
      <c r="T20" s="1">
        <v>0.14099999999999999</v>
      </c>
      <c r="U20" s="1">
        <v>0.48899999999999999</v>
      </c>
      <c r="V20" s="1">
        <v>0.5</v>
      </c>
      <c r="W20" s="1">
        <v>100.9</v>
      </c>
      <c r="X20" s="1">
        <v>99</v>
      </c>
      <c r="Y20" s="1">
        <v>82.5</v>
      </c>
      <c r="Z20" s="1">
        <v>99</v>
      </c>
      <c r="AA20" s="1">
        <v>0.4</v>
      </c>
      <c r="AB20" s="1">
        <v>3</v>
      </c>
      <c r="AC20" s="1">
        <v>16</v>
      </c>
      <c r="AD20" s="1">
        <v>15</v>
      </c>
      <c r="AE20" s="1">
        <v>16</v>
      </c>
      <c r="AF20" s="1">
        <v>5</v>
      </c>
      <c r="AG20" s="1">
        <v>23</v>
      </c>
      <c r="AH20" s="1">
        <v>27</v>
      </c>
      <c r="AI20" s="1">
        <v>26</v>
      </c>
      <c r="AJ20" s="1">
        <v>2</v>
      </c>
      <c r="AK20" s="1">
        <v>9</v>
      </c>
      <c r="AL20" s="1">
        <v>4</v>
      </c>
      <c r="AM20" s="1">
        <v>19</v>
      </c>
      <c r="AN20" s="1">
        <v>9</v>
      </c>
      <c r="AO20" s="1">
        <v>21</v>
      </c>
      <c r="AP20" s="1">
        <v>14</v>
      </c>
      <c r="AQ20" s="1">
        <v>23</v>
      </c>
      <c r="AR20" s="1">
        <v>26</v>
      </c>
      <c r="AS20" s="1">
        <v>23</v>
      </c>
      <c r="AT20" s="1">
        <v>25</v>
      </c>
      <c r="AU20" s="1">
        <v>10</v>
      </c>
      <c r="AV20" s="1" t="s">
        <v>507</v>
      </c>
    </row>
    <row r="21" spans="1:48" x14ac:dyDescent="0.25">
      <c r="A21" s="1">
        <v>1610612752</v>
      </c>
      <c r="B21" s="1" t="s">
        <v>510</v>
      </c>
      <c r="C21" s="1">
        <v>1</v>
      </c>
      <c r="D21" s="1">
        <v>1</v>
      </c>
      <c r="E21" s="1">
        <v>0</v>
      </c>
      <c r="F21" s="1">
        <v>1</v>
      </c>
      <c r="G21" s="1">
        <v>58</v>
      </c>
      <c r="H21" s="1">
        <v>107.1</v>
      </c>
      <c r="I21" s="1">
        <v>110.4</v>
      </c>
      <c r="J21" s="1">
        <v>103</v>
      </c>
      <c r="K21" s="1">
        <v>108.1</v>
      </c>
      <c r="L21" s="1">
        <v>4.0999999999999996</v>
      </c>
      <c r="M21" s="1">
        <v>2.2999999999999998</v>
      </c>
      <c r="N21" s="1">
        <v>0.52900000000000003</v>
      </c>
      <c r="O21" s="1">
        <v>1.42</v>
      </c>
      <c r="P21" s="1">
        <v>16.100000000000001</v>
      </c>
      <c r="Q21" s="1">
        <v>0.28100000000000003</v>
      </c>
      <c r="R21" s="1">
        <v>0.70399999999999996</v>
      </c>
      <c r="S21" s="1">
        <v>0.51600000000000001</v>
      </c>
      <c r="T21" s="1">
        <v>0.152</v>
      </c>
      <c r="U21" s="1">
        <v>0.56699999999999995</v>
      </c>
      <c r="V21" s="1">
        <v>0.59</v>
      </c>
      <c r="W21" s="1">
        <v>107.2</v>
      </c>
      <c r="X21" s="1">
        <v>103.03</v>
      </c>
      <c r="Y21" s="1">
        <v>85.86</v>
      </c>
      <c r="Z21" s="1">
        <v>125</v>
      </c>
      <c r="AA21" s="1">
        <v>0.52100000000000002</v>
      </c>
      <c r="AB21" s="1">
        <v>3</v>
      </c>
      <c r="AC21" s="1">
        <v>2</v>
      </c>
      <c r="AD21" s="1">
        <v>1</v>
      </c>
      <c r="AE21" s="1">
        <v>1</v>
      </c>
      <c r="AF21" s="1">
        <v>3</v>
      </c>
      <c r="AG21" s="1">
        <v>12</v>
      </c>
      <c r="AH21" s="1">
        <v>14</v>
      </c>
      <c r="AI21" s="1">
        <v>13</v>
      </c>
      <c r="AJ21" s="1">
        <v>20</v>
      </c>
      <c r="AK21" s="1">
        <v>19</v>
      </c>
      <c r="AL21" s="1">
        <v>18</v>
      </c>
      <c r="AM21" s="1">
        <v>11</v>
      </c>
      <c r="AN21" s="1">
        <v>24</v>
      </c>
      <c r="AO21" s="1">
        <v>7</v>
      </c>
      <c r="AP21" s="1">
        <v>17</v>
      </c>
      <c r="AQ21" s="1">
        <v>7</v>
      </c>
      <c r="AR21" s="1">
        <v>10</v>
      </c>
      <c r="AS21" s="1">
        <v>17</v>
      </c>
      <c r="AT21" s="1">
        <v>12</v>
      </c>
      <c r="AU21" s="1">
        <v>10</v>
      </c>
      <c r="AV21" s="1" t="s">
        <v>510</v>
      </c>
    </row>
    <row r="22" spans="1:48" x14ac:dyDescent="0.25">
      <c r="A22" s="1">
        <v>1610612760</v>
      </c>
      <c r="B22" s="1" t="s">
        <v>512</v>
      </c>
      <c r="C22" s="1">
        <v>1</v>
      </c>
      <c r="D22" s="1">
        <v>0</v>
      </c>
      <c r="E22" s="1">
        <v>1</v>
      </c>
      <c r="F22" s="1">
        <v>0</v>
      </c>
      <c r="G22" s="1">
        <v>48</v>
      </c>
      <c r="H22" s="1">
        <v>86.9</v>
      </c>
      <c r="I22" s="1">
        <v>90.5</v>
      </c>
      <c r="J22" s="1">
        <v>111.9</v>
      </c>
      <c r="K22" s="1">
        <v>111.5</v>
      </c>
      <c r="L22" s="1">
        <v>-25</v>
      </c>
      <c r="M22" s="1">
        <v>-20.9</v>
      </c>
      <c r="N22" s="1">
        <v>0.55900000000000005</v>
      </c>
      <c r="O22" s="1">
        <v>1.27</v>
      </c>
      <c r="P22" s="1">
        <v>14.4</v>
      </c>
      <c r="Q22" s="1">
        <v>0.29499999999999998</v>
      </c>
      <c r="R22" s="1">
        <v>0.72499999999999998</v>
      </c>
      <c r="S22" s="1">
        <v>0.49099999999999999</v>
      </c>
      <c r="T22" s="1">
        <v>0.158</v>
      </c>
      <c r="U22" s="1">
        <v>0.41199999999999998</v>
      </c>
      <c r="V22" s="1">
        <v>0.435</v>
      </c>
      <c r="W22" s="1">
        <v>97.3</v>
      </c>
      <c r="X22" s="1">
        <v>95.5</v>
      </c>
      <c r="Y22" s="1">
        <v>79.58</v>
      </c>
      <c r="Z22" s="1">
        <v>95</v>
      </c>
      <c r="AA22" s="1">
        <v>0.373</v>
      </c>
      <c r="AB22" s="1">
        <v>3</v>
      </c>
      <c r="AC22" s="1">
        <v>16</v>
      </c>
      <c r="AD22" s="1">
        <v>15</v>
      </c>
      <c r="AE22" s="1">
        <v>16</v>
      </c>
      <c r="AF22" s="1">
        <v>5</v>
      </c>
      <c r="AG22" s="1">
        <v>27</v>
      </c>
      <c r="AH22" s="1">
        <v>18</v>
      </c>
      <c r="AI22" s="1">
        <v>27</v>
      </c>
      <c r="AJ22" s="1">
        <v>14</v>
      </c>
      <c r="AK22" s="1">
        <v>22</v>
      </c>
      <c r="AL22" s="1">
        <v>24</v>
      </c>
      <c r="AM22" s="1">
        <v>9</v>
      </c>
      <c r="AN22" s="1">
        <v>19</v>
      </c>
      <c r="AO22" s="1">
        <v>18</v>
      </c>
      <c r="AP22" s="1">
        <v>18</v>
      </c>
      <c r="AQ22" s="1">
        <v>28</v>
      </c>
      <c r="AR22" s="1">
        <v>29</v>
      </c>
      <c r="AS22" s="1">
        <v>27</v>
      </c>
      <c r="AT22" s="1">
        <v>27</v>
      </c>
      <c r="AU22" s="1">
        <v>10</v>
      </c>
      <c r="AV22" s="1" t="s">
        <v>512</v>
      </c>
    </row>
    <row r="23" spans="1:48" x14ac:dyDescent="0.25">
      <c r="A23" s="1">
        <v>1610612753</v>
      </c>
      <c r="B23" s="1" t="s">
        <v>514</v>
      </c>
      <c r="C23" s="1">
        <v>1</v>
      </c>
      <c r="D23" s="1">
        <v>0</v>
      </c>
      <c r="E23" s="1">
        <v>1</v>
      </c>
      <c r="F23" s="1">
        <v>0</v>
      </c>
      <c r="G23" s="1">
        <v>48</v>
      </c>
      <c r="H23" s="1">
        <v>97.9</v>
      </c>
      <c r="I23" s="1">
        <v>102.1</v>
      </c>
      <c r="J23" s="1">
        <v>121.9</v>
      </c>
      <c r="K23" s="1">
        <v>128.1</v>
      </c>
      <c r="L23" s="1">
        <v>-24</v>
      </c>
      <c r="M23" s="1">
        <v>-26</v>
      </c>
      <c r="N23" s="1">
        <v>0.48599999999999999</v>
      </c>
      <c r="O23" s="1">
        <v>1.06</v>
      </c>
      <c r="P23" s="1">
        <v>13.2</v>
      </c>
      <c r="Q23" s="1">
        <v>0.34</v>
      </c>
      <c r="R23" s="1">
        <v>0.61499999999999999</v>
      </c>
      <c r="S23" s="1">
        <v>0.47599999999999998</v>
      </c>
      <c r="T23" s="1">
        <v>0.16800000000000001</v>
      </c>
      <c r="U23" s="1">
        <v>0.45900000000000002</v>
      </c>
      <c r="V23" s="1">
        <v>0.505</v>
      </c>
      <c r="W23" s="1">
        <v>100</v>
      </c>
      <c r="X23" s="1">
        <v>95.5</v>
      </c>
      <c r="Y23" s="1">
        <v>79.58</v>
      </c>
      <c r="Z23" s="1">
        <v>95</v>
      </c>
      <c r="AA23" s="1">
        <v>0.371</v>
      </c>
      <c r="AB23" s="1">
        <v>3</v>
      </c>
      <c r="AC23" s="1">
        <v>16</v>
      </c>
      <c r="AD23" s="1">
        <v>15</v>
      </c>
      <c r="AE23" s="1">
        <v>16</v>
      </c>
      <c r="AF23" s="1">
        <v>5</v>
      </c>
      <c r="AG23" s="1">
        <v>19</v>
      </c>
      <c r="AH23" s="1">
        <v>30</v>
      </c>
      <c r="AI23" s="1">
        <v>30</v>
      </c>
      <c r="AJ23" s="1">
        <v>26</v>
      </c>
      <c r="AK23" s="1">
        <v>25</v>
      </c>
      <c r="AL23" s="1">
        <v>27</v>
      </c>
      <c r="AM23" s="1">
        <v>3</v>
      </c>
      <c r="AN23" s="1">
        <v>30</v>
      </c>
      <c r="AO23" s="1">
        <v>25</v>
      </c>
      <c r="AP23" s="1">
        <v>22</v>
      </c>
      <c r="AQ23" s="1">
        <v>26</v>
      </c>
      <c r="AR23" s="1">
        <v>25</v>
      </c>
      <c r="AS23" s="1">
        <v>27</v>
      </c>
      <c r="AT23" s="1">
        <v>28</v>
      </c>
      <c r="AU23" s="1">
        <v>10</v>
      </c>
      <c r="AV23" s="1" t="s">
        <v>514</v>
      </c>
    </row>
    <row r="24" spans="1:48" x14ac:dyDescent="0.25">
      <c r="A24" s="1">
        <v>1610612755</v>
      </c>
      <c r="B24" s="1" t="s">
        <v>516</v>
      </c>
      <c r="C24" s="1">
        <v>1</v>
      </c>
      <c r="D24" s="1">
        <v>1</v>
      </c>
      <c r="E24" s="1">
        <v>0</v>
      </c>
      <c r="F24" s="1">
        <v>1</v>
      </c>
      <c r="G24" s="1">
        <v>48</v>
      </c>
      <c r="H24" s="1">
        <v>116.1</v>
      </c>
      <c r="I24" s="1">
        <v>118.2</v>
      </c>
      <c r="J24" s="1">
        <v>96.1</v>
      </c>
      <c r="K24" s="1">
        <v>98</v>
      </c>
      <c r="L24" s="1">
        <v>20</v>
      </c>
      <c r="M24" s="1">
        <v>20.2</v>
      </c>
      <c r="N24" s="1">
        <v>0.54500000000000004</v>
      </c>
      <c r="O24" s="1">
        <v>1.85</v>
      </c>
      <c r="P24" s="1">
        <v>18.2</v>
      </c>
      <c r="Q24" s="1">
        <v>0.20499999999999999</v>
      </c>
      <c r="R24" s="1">
        <v>0.76400000000000001</v>
      </c>
      <c r="S24" s="1">
        <v>0.51500000000000001</v>
      </c>
      <c r="T24" s="1">
        <v>0.13100000000000001</v>
      </c>
      <c r="U24" s="1">
        <v>0.59399999999999997</v>
      </c>
      <c r="V24" s="1">
        <v>0.624</v>
      </c>
      <c r="W24" s="1">
        <v>100.9</v>
      </c>
      <c r="X24" s="1">
        <v>99</v>
      </c>
      <c r="Y24" s="1">
        <v>82.5</v>
      </c>
      <c r="Z24" s="1">
        <v>99</v>
      </c>
      <c r="AA24" s="1">
        <v>0.6</v>
      </c>
      <c r="AB24" s="1">
        <v>3</v>
      </c>
      <c r="AC24" s="1">
        <v>2</v>
      </c>
      <c r="AD24" s="1">
        <v>1</v>
      </c>
      <c r="AE24" s="1">
        <v>1</v>
      </c>
      <c r="AF24" s="1">
        <v>5</v>
      </c>
      <c r="AG24" s="1">
        <v>4</v>
      </c>
      <c r="AH24" s="1">
        <v>9</v>
      </c>
      <c r="AI24" s="1">
        <v>5</v>
      </c>
      <c r="AJ24" s="1">
        <v>19</v>
      </c>
      <c r="AK24" s="1">
        <v>13</v>
      </c>
      <c r="AL24" s="1">
        <v>12</v>
      </c>
      <c r="AM24" s="1">
        <v>21</v>
      </c>
      <c r="AN24" s="1">
        <v>10</v>
      </c>
      <c r="AO24" s="1">
        <v>8</v>
      </c>
      <c r="AP24" s="1">
        <v>13</v>
      </c>
      <c r="AQ24" s="1">
        <v>4</v>
      </c>
      <c r="AR24" s="1">
        <v>4</v>
      </c>
      <c r="AS24" s="1">
        <v>23</v>
      </c>
      <c r="AT24" s="1">
        <v>7</v>
      </c>
      <c r="AU24" s="1">
        <v>10</v>
      </c>
      <c r="AV24" s="1" t="s">
        <v>516</v>
      </c>
    </row>
    <row r="25" spans="1:48" x14ac:dyDescent="0.25">
      <c r="A25" s="1">
        <v>1610612756</v>
      </c>
      <c r="B25" s="1" t="s">
        <v>518</v>
      </c>
      <c r="C25" s="1">
        <v>1</v>
      </c>
      <c r="D25" s="1">
        <v>0</v>
      </c>
      <c r="E25" s="1">
        <v>1</v>
      </c>
      <c r="F25" s="1">
        <v>0</v>
      </c>
      <c r="G25" s="1">
        <v>48</v>
      </c>
      <c r="H25" s="1">
        <v>96.6</v>
      </c>
      <c r="I25" s="1">
        <v>97</v>
      </c>
      <c r="J25" s="1">
        <v>110</v>
      </c>
      <c r="K25" s="1">
        <v>108.9</v>
      </c>
      <c r="L25" s="1">
        <v>-13.5</v>
      </c>
      <c r="M25" s="1">
        <v>-11.9</v>
      </c>
      <c r="N25" s="1">
        <v>0.63900000000000001</v>
      </c>
      <c r="O25" s="1">
        <v>1.28</v>
      </c>
      <c r="P25" s="1">
        <v>16.7</v>
      </c>
      <c r="Q25" s="1">
        <v>0.25900000000000001</v>
      </c>
      <c r="R25" s="1">
        <v>0.82899999999999996</v>
      </c>
      <c r="S25" s="1">
        <v>0.505</v>
      </c>
      <c r="T25" s="1">
        <v>0.17799999999999999</v>
      </c>
      <c r="U25" s="1">
        <v>0.49399999999999999</v>
      </c>
      <c r="V25" s="1">
        <v>0.51900000000000002</v>
      </c>
      <c r="W25" s="1">
        <v>100.7</v>
      </c>
      <c r="X25" s="1">
        <v>101</v>
      </c>
      <c r="Y25" s="1">
        <v>84.17</v>
      </c>
      <c r="Z25" s="1">
        <v>101</v>
      </c>
      <c r="AA25" s="1">
        <v>0.42799999999999999</v>
      </c>
      <c r="AB25" s="1">
        <v>3</v>
      </c>
      <c r="AC25" s="1">
        <v>16</v>
      </c>
      <c r="AD25" s="1">
        <v>15</v>
      </c>
      <c r="AE25" s="1">
        <v>16</v>
      </c>
      <c r="AF25" s="1">
        <v>5</v>
      </c>
      <c r="AG25" s="1">
        <v>24</v>
      </c>
      <c r="AH25" s="1">
        <v>16</v>
      </c>
      <c r="AI25" s="1">
        <v>23</v>
      </c>
      <c r="AJ25" s="1">
        <v>8</v>
      </c>
      <c r="AK25" s="1">
        <v>21</v>
      </c>
      <c r="AL25" s="1">
        <v>17</v>
      </c>
      <c r="AM25" s="1">
        <v>15</v>
      </c>
      <c r="AN25" s="1">
        <v>4</v>
      </c>
      <c r="AO25" s="1">
        <v>12</v>
      </c>
      <c r="AP25" s="1">
        <v>27</v>
      </c>
      <c r="AQ25" s="1">
        <v>21</v>
      </c>
      <c r="AR25" s="1">
        <v>22</v>
      </c>
      <c r="AS25" s="1">
        <v>21</v>
      </c>
      <c r="AT25" s="1">
        <v>22</v>
      </c>
      <c r="AU25" s="1">
        <v>10</v>
      </c>
      <c r="AV25" s="1" t="s">
        <v>518</v>
      </c>
    </row>
    <row r="26" spans="1:48" x14ac:dyDescent="0.25">
      <c r="A26" s="1">
        <v>1610612757</v>
      </c>
      <c r="B26" s="1" t="s">
        <v>520</v>
      </c>
      <c r="C26" s="1">
        <v>1</v>
      </c>
      <c r="D26" s="1">
        <v>0</v>
      </c>
      <c r="E26" s="1">
        <v>1</v>
      </c>
      <c r="F26" s="1">
        <v>0</v>
      </c>
      <c r="G26" s="1">
        <v>48</v>
      </c>
      <c r="H26" s="1">
        <v>113.4</v>
      </c>
      <c r="I26" s="1">
        <v>114.2</v>
      </c>
      <c r="J26" s="1">
        <v>115.1</v>
      </c>
      <c r="K26" s="1">
        <v>117</v>
      </c>
      <c r="L26" s="1">
        <v>-1.6</v>
      </c>
      <c r="M26" s="1">
        <v>-2.8</v>
      </c>
      <c r="N26" s="1">
        <v>0.55600000000000005</v>
      </c>
      <c r="O26" s="1">
        <v>1.92</v>
      </c>
      <c r="P26" s="1">
        <v>17.600000000000001</v>
      </c>
      <c r="Q26" s="1">
        <v>0.245</v>
      </c>
      <c r="R26" s="1">
        <v>0.79600000000000004</v>
      </c>
      <c r="S26" s="1">
        <v>0.53400000000000003</v>
      </c>
      <c r="T26" s="1">
        <v>0.123</v>
      </c>
      <c r="U26" s="1">
        <v>0.54800000000000004</v>
      </c>
      <c r="V26" s="1">
        <v>0.58899999999999997</v>
      </c>
      <c r="W26" s="1">
        <v>107.2</v>
      </c>
      <c r="X26" s="1">
        <v>106</v>
      </c>
      <c r="Y26" s="1">
        <v>88.33</v>
      </c>
      <c r="Z26" s="1">
        <v>106</v>
      </c>
      <c r="AA26" s="1">
        <v>0.51</v>
      </c>
      <c r="AB26" s="1">
        <v>3</v>
      </c>
      <c r="AC26" s="1">
        <v>16</v>
      </c>
      <c r="AD26" s="1">
        <v>15</v>
      </c>
      <c r="AE26" s="1">
        <v>16</v>
      </c>
      <c r="AF26" s="1">
        <v>5</v>
      </c>
      <c r="AG26" s="1">
        <v>9</v>
      </c>
      <c r="AH26" s="1">
        <v>26</v>
      </c>
      <c r="AI26" s="1">
        <v>17</v>
      </c>
      <c r="AJ26" s="1">
        <v>15</v>
      </c>
      <c r="AK26" s="1">
        <v>10</v>
      </c>
      <c r="AL26" s="1">
        <v>13</v>
      </c>
      <c r="AM26" s="1">
        <v>18</v>
      </c>
      <c r="AN26" s="1">
        <v>8</v>
      </c>
      <c r="AO26" s="1">
        <v>4</v>
      </c>
      <c r="AP26" s="1">
        <v>10</v>
      </c>
      <c r="AQ26" s="1">
        <v>14</v>
      </c>
      <c r="AR26" s="1">
        <v>11</v>
      </c>
      <c r="AS26" s="1">
        <v>9</v>
      </c>
      <c r="AT26" s="1">
        <v>14</v>
      </c>
      <c r="AU26" s="1">
        <v>10</v>
      </c>
      <c r="AV26" s="1" t="s">
        <v>520</v>
      </c>
    </row>
    <row r="27" spans="1:48" x14ac:dyDescent="0.25">
      <c r="A27" s="1">
        <v>1610612758</v>
      </c>
      <c r="B27" s="1" t="s">
        <v>522</v>
      </c>
      <c r="C27" s="1">
        <v>1</v>
      </c>
      <c r="D27" s="1">
        <v>1</v>
      </c>
      <c r="E27" s="1">
        <v>0</v>
      </c>
      <c r="F27" s="1">
        <v>1</v>
      </c>
      <c r="G27" s="1">
        <v>48</v>
      </c>
      <c r="H27" s="1">
        <v>115.1</v>
      </c>
      <c r="I27" s="1">
        <v>117</v>
      </c>
      <c r="J27" s="1">
        <v>113.4</v>
      </c>
      <c r="K27" s="1">
        <v>114.2</v>
      </c>
      <c r="L27" s="1">
        <v>1.6</v>
      </c>
      <c r="M27" s="1">
        <v>2.8</v>
      </c>
      <c r="N27" s="1">
        <v>0.57099999999999995</v>
      </c>
      <c r="O27" s="1">
        <v>2.4</v>
      </c>
      <c r="P27" s="1">
        <v>17</v>
      </c>
      <c r="Q27" s="1">
        <v>0.20399999999999999</v>
      </c>
      <c r="R27" s="1">
        <v>0.755</v>
      </c>
      <c r="S27" s="1">
        <v>0.46600000000000003</v>
      </c>
      <c r="T27" s="1">
        <v>9.4E-2</v>
      </c>
      <c r="U27" s="1">
        <v>0.54900000000000004</v>
      </c>
      <c r="V27" s="1">
        <v>0.59199999999999997</v>
      </c>
      <c r="W27" s="1">
        <v>107.2</v>
      </c>
      <c r="X27" s="1">
        <v>106</v>
      </c>
      <c r="Y27" s="1">
        <v>88.33</v>
      </c>
      <c r="Z27" s="1">
        <v>106</v>
      </c>
      <c r="AA27" s="1">
        <v>0.49</v>
      </c>
      <c r="AB27" s="1">
        <v>3</v>
      </c>
      <c r="AC27" s="1">
        <v>2</v>
      </c>
      <c r="AD27" s="1">
        <v>1</v>
      </c>
      <c r="AE27" s="1">
        <v>1</v>
      </c>
      <c r="AF27" s="1">
        <v>5</v>
      </c>
      <c r="AG27" s="1">
        <v>5</v>
      </c>
      <c r="AH27" s="1">
        <v>21</v>
      </c>
      <c r="AI27" s="1">
        <v>12</v>
      </c>
      <c r="AJ27" s="1">
        <v>11</v>
      </c>
      <c r="AK27" s="1">
        <v>6</v>
      </c>
      <c r="AL27" s="1">
        <v>16</v>
      </c>
      <c r="AM27" s="1">
        <v>22</v>
      </c>
      <c r="AN27" s="1">
        <v>13</v>
      </c>
      <c r="AO27" s="1">
        <v>27</v>
      </c>
      <c r="AP27" s="1">
        <v>4</v>
      </c>
      <c r="AQ27" s="1">
        <v>13</v>
      </c>
      <c r="AR27" s="1">
        <v>9</v>
      </c>
      <c r="AS27" s="1">
        <v>9</v>
      </c>
      <c r="AT27" s="1">
        <v>15</v>
      </c>
      <c r="AU27" s="1">
        <v>10</v>
      </c>
      <c r="AV27" s="1" t="s">
        <v>522</v>
      </c>
    </row>
    <row r="28" spans="1:48" x14ac:dyDescent="0.25">
      <c r="A28" s="1">
        <v>1610612759</v>
      </c>
      <c r="B28" s="1" t="s">
        <v>525</v>
      </c>
      <c r="C28" s="1">
        <v>1</v>
      </c>
      <c r="D28" s="1">
        <v>1</v>
      </c>
      <c r="E28" s="1">
        <v>0</v>
      </c>
      <c r="F28" s="1">
        <v>1</v>
      </c>
      <c r="G28" s="1">
        <v>48</v>
      </c>
      <c r="H28" s="1">
        <v>121.9</v>
      </c>
      <c r="I28" s="1">
        <v>128.1</v>
      </c>
      <c r="J28" s="1">
        <v>97.9</v>
      </c>
      <c r="K28" s="1">
        <v>102.1</v>
      </c>
      <c r="L28" s="1">
        <v>24</v>
      </c>
      <c r="M28" s="1">
        <v>26</v>
      </c>
      <c r="N28" s="1">
        <v>0.65300000000000002</v>
      </c>
      <c r="O28" s="1">
        <v>4</v>
      </c>
      <c r="P28" s="1">
        <v>21.6</v>
      </c>
      <c r="Q28" s="1">
        <v>0.38500000000000001</v>
      </c>
      <c r="R28" s="1">
        <v>0.66</v>
      </c>
      <c r="S28" s="1">
        <v>0.52400000000000002</v>
      </c>
      <c r="T28" s="1">
        <v>8.3000000000000004E-2</v>
      </c>
      <c r="U28" s="1">
        <v>0.56599999999999995</v>
      </c>
      <c r="V28" s="1">
        <v>0.58099999999999996</v>
      </c>
      <c r="W28" s="1">
        <v>100</v>
      </c>
      <c r="X28" s="1">
        <v>95.5</v>
      </c>
      <c r="Y28" s="1">
        <v>79.58</v>
      </c>
      <c r="Z28" s="1">
        <v>96</v>
      </c>
      <c r="AA28" s="1">
        <v>0.629</v>
      </c>
      <c r="AB28" s="1">
        <v>3</v>
      </c>
      <c r="AC28" s="1">
        <v>2</v>
      </c>
      <c r="AD28" s="1">
        <v>1</v>
      </c>
      <c r="AE28" s="1">
        <v>1</v>
      </c>
      <c r="AF28" s="1">
        <v>5</v>
      </c>
      <c r="AG28" s="1">
        <v>1</v>
      </c>
      <c r="AH28" s="1">
        <v>11</v>
      </c>
      <c r="AI28" s="1">
        <v>2</v>
      </c>
      <c r="AJ28" s="1">
        <v>7</v>
      </c>
      <c r="AK28" s="1">
        <v>1</v>
      </c>
      <c r="AL28" s="1">
        <v>3</v>
      </c>
      <c r="AM28" s="1">
        <v>1</v>
      </c>
      <c r="AN28" s="1">
        <v>28</v>
      </c>
      <c r="AO28" s="1">
        <v>5</v>
      </c>
      <c r="AP28" s="1">
        <v>3</v>
      </c>
      <c r="AQ28" s="1">
        <v>8</v>
      </c>
      <c r="AR28" s="1">
        <v>12</v>
      </c>
      <c r="AS28" s="1">
        <v>27</v>
      </c>
      <c r="AT28" s="1">
        <v>4</v>
      </c>
      <c r="AU28" s="1">
        <v>10</v>
      </c>
      <c r="AV28" s="1" t="s">
        <v>525</v>
      </c>
    </row>
    <row r="29" spans="1:48" x14ac:dyDescent="0.25">
      <c r="A29" s="1">
        <v>1610612761</v>
      </c>
      <c r="B29" s="1" t="s">
        <v>526</v>
      </c>
      <c r="C29" s="1">
        <v>1</v>
      </c>
      <c r="D29" s="1">
        <v>0</v>
      </c>
      <c r="E29" s="1">
        <v>1</v>
      </c>
      <c r="F29" s="1">
        <v>0</v>
      </c>
      <c r="G29" s="1">
        <v>48</v>
      </c>
      <c r="H29" s="1">
        <v>77.8</v>
      </c>
      <c r="I29" s="1">
        <v>77.599999999999994</v>
      </c>
      <c r="J29" s="1">
        <v>91.2</v>
      </c>
      <c r="K29" s="1">
        <v>92.5</v>
      </c>
      <c r="L29" s="1">
        <v>-13.4</v>
      </c>
      <c r="M29" s="1">
        <v>-14.9</v>
      </c>
      <c r="N29" s="1">
        <v>0.46700000000000003</v>
      </c>
      <c r="O29" s="1">
        <v>0.74</v>
      </c>
      <c r="P29" s="1">
        <v>9.9</v>
      </c>
      <c r="Q29" s="1">
        <v>0.30399999999999999</v>
      </c>
      <c r="R29" s="1">
        <v>0.8</v>
      </c>
      <c r="S29" s="1">
        <v>0.5</v>
      </c>
      <c r="T29" s="1">
        <v>0.17799999999999999</v>
      </c>
      <c r="U29" s="1">
        <v>0.34499999999999997</v>
      </c>
      <c r="V29" s="1">
        <v>0.38900000000000001</v>
      </c>
      <c r="W29" s="1">
        <v>107.1</v>
      </c>
      <c r="X29" s="1">
        <v>106.5</v>
      </c>
      <c r="Y29" s="1">
        <v>88.75</v>
      </c>
      <c r="Z29" s="1">
        <v>107</v>
      </c>
      <c r="AA29" s="1">
        <v>0.3</v>
      </c>
      <c r="AB29" s="1">
        <v>3</v>
      </c>
      <c r="AC29" s="1">
        <v>16</v>
      </c>
      <c r="AD29" s="1">
        <v>15</v>
      </c>
      <c r="AE29" s="1">
        <v>16</v>
      </c>
      <c r="AF29" s="1">
        <v>5</v>
      </c>
      <c r="AG29" s="1">
        <v>30</v>
      </c>
      <c r="AH29" s="1">
        <v>6</v>
      </c>
      <c r="AI29" s="1">
        <v>24</v>
      </c>
      <c r="AJ29" s="1">
        <v>28</v>
      </c>
      <c r="AK29" s="1">
        <v>30</v>
      </c>
      <c r="AL29" s="1">
        <v>30</v>
      </c>
      <c r="AM29" s="1">
        <v>6</v>
      </c>
      <c r="AN29" s="1">
        <v>7</v>
      </c>
      <c r="AO29" s="1">
        <v>14</v>
      </c>
      <c r="AP29" s="1">
        <v>26</v>
      </c>
      <c r="AQ29" s="1">
        <v>30</v>
      </c>
      <c r="AR29" s="1">
        <v>30</v>
      </c>
      <c r="AS29" s="1">
        <v>5</v>
      </c>
      <c r="AT29" s="1">
        <v>30</v>
      </c>
      <c r="AU29" s="1">
        <v>10</v>
      </c>
      <c r="AV29" s="1" t="s">
        <v>526</v>
      </c>
    </row>
    <row r="30" spans="1:48" x14ac:dyDescent="0.25">
      <c r="A30" s="1">
        <v>1610612762</v>
      </c>
      <c r="B30" s="1" t="s">
        <v>528</v>
      </c>
      <c r="C30" s="1">
        <v>1</v>
      </c>
      <c r="D30" s="1">
        <v>1</v>
      </c>
      <c r="E30" s="1">
        <v>0</v>
      </c>
      <c r="F30" s="1">
        <v>1</v>
      </c>
      <c r="G30" s="1">
        <v>48</v>
      </c>
      <c r="H30" s="1">
        <v>111.9</v>
      </c>
      <c r="I30" s="1">
        <v>111.5</v>
      </c>
      <c r="J30" s="1">
        <v>86.9</v>
      </c>
      <c r="K30" s="1">
        <v>90.5</v>
      </c>
      <c r="L30" s="1">
        <v>25</v>
      </c>
      <c r="M30" s="1">
        <v>20.9</v>
      </c>
      <c r="N30" s="1">
        <v>0.45</v>
      </c>
      <c r="O30" s="1">
        <v>1.8</v>
      </c>
      <c r="P30" s="1">
        <v>14.2</v>
      </c>
      <c r="Q30" s="1">
        <v>0.27500000000000002</v>
      </c>
      <c r="R30" s="1">
        <v>0.70499999999999996</v>
      </c>
      <c r="S30" s="1">
        <v>0.50900000000000001</v>
      </c>
      <c r="T30" s="1">
        <v>0.104</v>
      </c>
      <c r="U30" s="1">
        <v>0.51600000000000001</v>
      </c>
      <c r="V30" s="1">
        <v>0.54800000000000004</v>
      </c>
      <c r="W30" s="1">
        <v>97.3</v>
      </c>
      <c r="X30" s="1">
        <v>95.5</v>
      </c>
      <c r="Y30" s="1">
        <v>79.58</v>
      </c>
      <c r="Z30" s="1">
        <v>96</v>
      </c>
      <c r="AA30" s="1">
        <v>0.627</v>
      </c>
      <c r="AB30" s="1">
        <v>3</v>
      </c>
      <c r="AC30" s="1">
        <v>2</v>
      </c>
      <c r="AD30" s="1">
        <v>1</v>
      </c>
      <c r="AE30" s="1">
        <v>1</v>
      </c>
      <c r="AF30" s="1">
        <v>5</v>
      </c>
      <c r="AG30" s="1">
        <v>11</v>
      </c>
      <c r="AH30" s="1">
        <v>5</v>
      </c>
      <c r="AI30" s="1">
        <v>4</v>
      </c>
      <c r="AJ30" s="1">
        <v>30</v>
      </c>
      <c r="AK30" s="1">
        <v>14</v>
      </c>
      <c r="AL30" s="1">
        <v>25</v>
      </c>
      <c r="AM30" s="1">
        <v>12</v>
      </c>
      <c r="AN30" s="1">
        <v>23</v>
      </c>
      <c r="AO30" s="1">
        <v>11</v>
      </c>
      <c r="AP30" s="1">
        <v>6</v>
      </c>
      <c r="AQ30" s="1">
        <v>17</v>
      </c>
      <c r="AR30" s="1">
        <v>16</v>
      </c>
      <c r="AS30" s="1">
        <v>27</v>
      </c>
      <c r="AT30" s="1">
        <v>5</v>
      </c>
      <c r="AU30" s="1">
        <v>10</v>
      </c>
      <c r="AV30" s="1" t="s">
        <v>528</v>
      </c>
    </row>
    <row r="31" spans="1:48" x14ac:dyDescent="0.25">
      <c r="A31" s="1">
        <v>1610612764</v>
      </c>
      <c r="B31" s="1" t="s">
        <v>530</v>
      </c>
      <c r="C31" s="1">
        <v>1</v>
      </c>
      <c r="D31" s="1">
        <v>1</v>
      </c>
      <c r="E31" s="1">
        <v>0</v>
      </c>
      <c r="F31" s="1">
        <v>1</v>
      </c>
      <c r="G31" s="1">
        <v>48</v>
      </c>
      <c r="H31" s="1">
        <v>91.2</v>
      </c>
      <c r="I31" s="1">
        <v>92.5</v>
      </c>
      <c r="J31" s="1">
        <v>77.8</v>
      </c>
      <c r="K31" s="1">
        <v>77.599999999999994</v>
      </c>
      <c r="L31" s="1">
        <v>13.4</v>
      </c>
      <c r="M31" s="1">
        <v>14.9</v>
      </c>
      <c r="N31" s="1">
        <v>0.55600000000000005</v>
      </c>
      <c r="O31" s="1">
        <v>0.91</v>
      </c>
      <c r="P31" s="1">
        <v>14.8</v>
      </c>
      <c r="Q31" s="1">
        <v>0.2</v>
      </c>
      <c r="R31" s="1">
        <v>0.69599999999999995</v>
      </c>
      <c r="S31" s="1">
        <v>0.5</v>
      </c>
      <c r="T31" s="1">
        <v>0.20799999999999999</v>
      </c>
      <c r="U31" s="1">
        <v>0.47499999999999998</v>
      </c>
      <c r="V31" s="1">
        <v>0.53</v>
      </c>
      <c r="W31" s="1">
        <v>107.1</v>
      </c>
      <c r="X31" s="1">
        <v>106.5</v>
      </c>
      <c r="Y31" s="1">
        <v>88.75</v>
      </c>
      <c r="Z31" s="1">
        <v>106</v>
      </c>
      <c r="AA31" s="1">
        <v>0.7</v>
      </c>
      <c r="AB31" s="1">
        <v>3</v>
      </c>
      <c r="AC31" s="1">
        <v>2</v>
      </c>
      <c r="AD31" s="1">
        <v>1</v>
      </c>
      <c r="AE31" s="1">
        <v>1</v>
      </c>
      <c r="AF31" s="1">
        <v>5</v>
      </c>
      <c r="AG31" s="1">
        <v>26</v>
      </c>
      <c r="AH31" s="1">
        <v>1</v>
      </c>
      <c r="AI31" s="1">
        <v>7</v>
      </c>
      <c r="AJ31" s="1">
        <v>15</v>
      </c>
      <c r="AK31" s="1">
        <v>28</v>
      </c>
      <c r="AL31" s="1">
        <v>21</v>
      </c>
      <c r="AM31" s="1">
        <v>24</v>
      </c>
      <c r="AN31" s="1">
        <v>25</v>
      </c>
      <c r="AO31" s="1">
        <v>14</v>
      </c>
      <c r="AP31" s="1">
        <v>29</v>
      </c>
      <c r="AQ31" s="1">
        <v>24</v>
      </c>
      <c r="AR31" s="1">
        <v>19</v>
      </c>
      <c r="AS31" s="1">
        <v>5</v>
      </c>
      <c r="AT31" s="1">
        <v>2</v>
      </c>
      <c r="AU31" s="1">
        <v>10</v>
      </c>
      <c r="AV31" s="1" t="s">
        <v>530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4BE5E-5D0D-4C58-B719-FC9D1568108C}">
  <dimension ref="A1:AV31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8" max="8" width="17.3828125" customWidth="1"/>
    <col min="9" max="9" width="15.3828125" customWidth="1"/>
    <col min="10" max="10" width="17.23046875" customWidth="1"/>
    <col min="11" max="11" width="15.23046875" customWidth="1"/>
    <col min="12" max="12" width="17.3828125" customWidth="1"/>
    <col min="13" max="13" width="15.3828125" customWidth="1"/>
    <col min="14" max="14" width="11.84375" customWidth="1"/>
    <col min="15" max="15" width="10.61328125" customWidth="1"/>
    <col min="16" max="16" width="14" customWidth="1"/>
    <col min="17" max="17" width="13.4609375" customWidth="1"/>
    <col min="18" max="18" width="13.3046875" customWidth="1"/>
    <col min="19" max="19" width="11.84375" customWidth="1"/>
    <col min="20" max="20" width="15.921875" customWidth="1"/>
    <col min="21" max="21" width="11.69140625" customWidth="1"/>
    <col min="22" max="22" width="10.53515625" customWidth="1"/>
    <col min="23" max="23" width="10.23046875" customWidth="1"/>
    <col min="25" max="25" width="15.3828125" customWidth="1"/>
    <col min="28" max="28" width="12" customWidth="1"/>
    <col min="29" max="29" width="10.765625" customWidth="1"/>
    <col min="30" max="30" width="10.3828125" customWidth="1"/>
    <col min="31" max="31" width="15.765625" customWidth="1"/>
    <col min="32" max="32" width="12.921875" customWidth="1"/>
    <col min="33" max="33" width="21.69140625" customWidth="1"/>
    <col min="34" max="34" width="21.53515625" customWidth="1"/>
    <col min="35" max="35" width="21.69140625" customWidth="1"/>
    <col min="36" max="36" width="18.15234375" customWidth="1"/>
    <col min="37" max="37" width="17" customWidth="1"/>
    <col min="38" max="38" width="20.3046875" customWidth="1"/>
    <col min="39" max="39" width="19.765625" customWidth="1"/>
    <col min="40" max="40" width="19.69140625" customWidth="1"/>
    <col min="41" max="41" width="18.15234375" customWidth="1"/>
    <col min="42" max="42" width="22.23046875" customWidth="1"/>
    <col min="43" max="43" width="18.07421875" customWidth="1"/>
    <col min="44" max="44" width="16.84375" customWidth="1"/>
    <col min="45" max="45" width="14.53515625" customWidth="1"/>
    <col min="46" max="46" width="12.3828125" customWidth="1"/>
    <col min="48" max="48" width="13.84375" customWidth="1"/>
  </cols>
  <sheetData>
    <row r="1" spans="1:48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435</v>
      </c>
      <c r="AC1" s="1" t="s">
        <v>436</v>
      </c>
      <c r="AD1" s="1" t="s">
        <v>437</v>
      </c>
      <c r="AE1" s="1" t="s">
        <v>438</v>
      </c>
      <c r="AF1" s="1" t="s">
        <v>439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461</v>
      </c>
      <c r="AV1" s="1" t="s">
        <v>462</v>
      </c>
    </row>
    <row r="2" spans="1:48" x14ac:dyDescent="0.25">
      <c r="A2" s="1">
        <v>1610612737</v>
      </c>
      <c r="B2" s="1" t="s">
        <v>463</v>
      </c>
      <c r="C2" s="1">
        <v>1</v>
      </c>
      <c r="D2" s="1">
        <v>1</v>
      </c>
      <c r="E2" s="1">
        <v>0</v>
      </c>
      <c r="F2" s="1">
        <v>1</v>
      </c>
      <c r="G2" s="1">
        <v>28</v>
      </c>
      <c r="H2" s="1">
        <v>118.4</v>
      </c>
      <c r="I2" s="1">
        <v>93.6</v>
      </c>
      <c r="J2" s="1">
        <v>91.1</v>
      </c>
      <c r="K2" s="1">
        <v>73.099999999999994</v>
      </c>
      <c r="L2" s="1">
        <v>27.3</v>
      </c>
      <c r="M2" s="1">
        <v>20.5</v>
      </c>
      <c r="N2" s="1">
        <v>0.65300000000000002</v>
      </c>
      <c r="O2" s="1">
        <v>2.2400000000000002</v>
      </c>
      <c r="P2" s="1">
        <v>20.399999999999999</v>
      </c>
      <c r="Q2" s="1">
        <v>0.14499999999999999</v>
      </c>
      <c r="R2" s="1">
        <v>0.75900000000000001</v>
      </c>
      <c r="S2" s="1">
        <v>0.52300000000000002</v>
      </c>
      <c r="T2" s="1">
        <v>0.112</v>
      </c>
      <c r="U2" s="1">
        <v>0.64500000000000002</v>
      </c>
      <c r="V2" s="1">
        <v>0.63100000000000001</v>
      </c>
      <c r="W2" s="1">
        <v>101.8</v>
      </c>
      <c r="X2" s="1">
        <v>127.8</v>
      </c>
      <c r="Y2" s="1">
        <v>106.5</v>
      </c>
      <c r="Z2" s="1">
        <v>75</v>
      </c>
      <c r="AA2" s="1">
        <v>0.71899999999999997</v>
      </c>
      <c r="AB2" s="1">
        <v>3</v>
      </c>
      <c r="AC2" s="1">
        <v>2</v>
      </c>
      <c r="AD2" s="1">
        <v>1</v>
      </c>
      <c r="AE2" s="1">
        <v>1</v>
      </c>
      <c r="AF2" s="1">
        <v>26</v>
      </c>
      <c r="AG2" s="1">
        <v>1</v>
      </c>
      <c r="AH2" s="1">
        <v>16</v>
      </c>
      <c r="AI2" s="1">
        <v>4</v>
      </c>
      <c r="AJ2" s="1">
        <v>7</v>
      </c>
      <c r="AK2" s="1">
        <v>11</v>
      </c>
      <c r="AL2" s="1">
        <v>1</v>
      </c>
      <c r="AM2" s="1">
        <v>28</v>
      </c>
      <c r="AN2" s="1">
        <v>12</v>
      </c>
      <c r="AO2" s="1">
        <v>6</v>
      </c>
      <c r="AP2" s="1">
        <v>26</v>
      </c>
      <c r="AQ2" s="1">
        <v>2</v>
      </c>
      <c r="AR2" s="1">
        <v>5</v>
      </c>
      <c r="AS2" s="1">
        <v>29</v>
      </c>
      <c r="AT2" s="1">
        <v>3</v>
      </c>
      <c r="AU2" s="1">
        <v>10</v>
      </c>
      <c r="AV2" s="1" t="s">
        <v>463</v>
      </c>
    </row>
    <row r="3" spans="1:48" x14ac:dyDescent="0.25">
      <c r="A3" s="1">
        <v>1610612738</v>
      </c>
      <c r="B3" s="1" t="s">
        <v>466</v>
      </c>
      <c r="C3" s="1">
        <v>1</v>
      </c>
      <c r="D3" s="1">
        <v>0</v>
      </c>
      <c r="E3" s="1">
        <v>1</v>
      </c>
      <c r="F3" s="1">
        <v>0</v>
      </c>
      <c r="G3" s="1">
        <v>43</v>
      </c>
      <c r="H3" s="1">
        <v>107.8</v>
      </c>
      <c r="I3" s="1">
        <v>82.6</v>
      </c>
      <c r="J3" s="1">
        <v>104.8</v>
      </c>
      <c r="K3" s="1">
        <v>78.7</v>
      </c>
      <c r="L3" s="1">
        <v>3</v>
      </c>
      <c r="M3" s="1">
        <v>3.9</v>
      </c>
      <c r="N3" s="1">
        <v>0.71799999999999997</v>
      </c>
      <c r="O3" s="1">
        <v>2</v>
      </c>
      <c r="P3" s="1">
        <v>13.5</v>
      </c>
      <c r="Q3" s="1">
        <v>0.28100000000000003</v>
      </c>
      <c r="R3" s="1">
        <v>0.73499999999999999</v>
      </c>
      <c r="S3" s="1">
        <v>0.48899999999999999</v>
      </c>
      <c r="T3" s="1">
        <v>0.105</v>
      </c>
      <c r="U3" s="1">
        <v>0.52700000000000002</v>
      </c>
      <c r="V3" s="1">
        <v>0.57599999999999996</v>
      </c>
      <c r="W3" s="1">
        <v>106.5</v>
      </c>
      <c r="X3" s="1">
        <v>140.41</v>
      </c>
      <c r="Y3" s="1">
        <v>117.01</v>
      </c>
      <c r="Z3" s="1">
        <v>124</v>
      </c>
      <c r="AA3" s="1">
        <v>0.52400000000000002</v>
      </c>
      <c r="AB3" s="1">
        <v>3</v>
      </c>
      <c r="AC3" s="1">
        <v>16</v>
      </c>
      <c r="AD3" s="1">
        <v>15</v>
      </c>
      <c r="AE3" s="1">
        <v>16</v>
      </c>
      <c r="AF3" s="1">
        <v>3</v>
      </c>
      <c r="AG3" s="1">
        <v>6</v>
      </c>
      <c r="AH3" s="1">
        <v>21</v>
      </c>
      <c r="AI3" s="1">
        <v>13</v>
      </c>
      <c r="AJ3" s="1">
        <v>3</v>
      </c>
      <c r="AK3" s="1">
        <v>13</v>
      </c>
      <c r="AL3" s="1">
        <v>11</v>
      </c>
      <c r="AM3" s="1">
        <v>10</v>
      </c>
      <c r="AN3" s="1">
        <v>18</v>
      </c>
      <c r="AO3" s="1">
        <v>19</v>
      </c>
      <c r="AP3" s="1">
        <v>23</v>
      </c>
      <c r="AQ3" s="1">
        <v>14</v>
      </c>
      <c r="AR3" s="1">
        <v>11</v>
      </c>
      <c r="AS3" s="1">
        <v>24</v>
      </c>
      <c r="AT3" s="1">
        <v>15</v>
      </c>
      <c r="AU3" s="1">
        <v>10</v>
      </c>
      <c r="AV3" s="1" t="s">
        <v>466</v>
      </c>
    </row>
    <row r="4" spans="1:48" x14ac:dyDescent="0.25">
      <c r="A4" s="1">
        <v>1610612751</v>
      </c>
      <c r="B4" s="1" t="s">
        <v>469</v>
      </c>
      <c r="C4" s="1">
        <v>1</v>
      </c>
      <c r="D4" s="1">
        <v>0</v>
      </c>
      <c r="E4" s="1">
        <v>1</v>
      </c>
      <c r="F4" s="1">
        <v>0</v>
      </c>
      <c r="G4" s="1">
        <v>28</v>
      </c>
      <c r="H4" s="1">
        <v>107.2</v>
      </c>
      <c r="I4" s="1">
        <v>66.8</v>
      </c>
      <c r="J4" s="1">
        <v>120.2</v>
      </c>
      <c r="K4" s="1">
        <v>78.900000000000006</v>
      </c>
      <c r="L4" s="1">
        <v>-13</v>
      </c>
      <c r="M4" s="1">
        <v>-12.1</v>
      </c>
      <c r="N4" s="1">
        <v>0.53800000000000003</v>
      </c>
      <c r="O4" s="1">
        <v>1.73</v>
      </c>
      <c r="P4" s="1">
        <v>12.3</v>
      </c>
      <c r="Q4" s="1">
        <v>0.14099999999999999</v>
      </c>
      <c r="R4" s="1">
        <v>0.68899999999999995</v>
      </c>
      <c r="S4" s="1">
        <v>0.45200000000000001</v>
      </c>
      <c r="T4" s="1">
        <v>7.9000000000000001E-2</v>
      </c>
      <c r="U4" s="1">
        <v>0.58199999999999996</v>
      </c>
      <c r="V4" s="1">
        <v>0.55900000000000005</v>
      </c>
      <c r="W4" s="1">
        <v>104.6</v>
      </c>
      <c r="X4" s="1">
        <v>163.4</v>
      </c>
      <c r="Y4" s="1">
        <v>136.16999999999999</v>
      </c>
      <c r="Z4" s="1">
        <v>94</v>
      </c>
      <c r="AA4" s="1">
        <v>0.44400000000000001</v>
      </c>
      <c r="AB4" s="1">
        <v>3</v>
      </c>
      <c r="AC4" s="1">
        <v>16</v>
      </c>
      <c r="AD4" s="1">
        <v>15</v>
      </c>
      <c r="AE4" s="1">
        <v>16</v>
      </c>
      <c r="AF4" s="1">
        <v>24</v>
      </c>
      <c r="AG4" s="1">
        <v>19</v>
      </c>
      <c r="AH4" s="1">
        <v>22</v>
      </c>
      <c r="AI4" s="1">
        <v>23</v>
      </c>
      <c r="AJ4" s="1">
        <v>20</v>
      </c>
      <c r="AK4" s="1">
        <v>16</v>
      </c>
      <c r="AL4" s="1">
        <v>16</v>
      </c>
      <c r="AM4" s="1">
        <v>30</v>
      </c>
      <c r="AN4" s="1">
        <v>24</v>
      </c>
      <c r="AO4" s="1">
        <v>28</v>
      </c>
      <c r="AP4" s="1">
        <v>12</v>
      </c>
      <c r="AQ4" s="1">
        <v>8</v>
      </c>
      <c r="AR4" s="1">
        <v>15</v>
      </c>
      <c r="AS4" s="1">
        <v>11</v>
      </c>
      <c r="AT4" s="1">
        <v>21</v>
      </c>
      <c r="AU4" s="1">
        <v>10</v>
      </c>
      <c r="AV4" s="1" t="s">
        <v>469</v>
      </c>
    </row>
    <row r="5" spans="1:48" x14ac:dyDescent="0.25">
      <c r="A5" s="1">
        <v>1610612766</v>
      </c>
      <c r="B5" s="1" t="s">
        <v>471</v>
      </c>
      <c r="C5" s="1">
        <v>1</v>
      </c>
      <c r="D5" s="1">
        <v>1</v>
      </c>
      <c r="E5" s="1">
        <v>0</v>
      </c>
      <c r="F5" s="1">
        <v>1</v>
      </c>
      <c r="G5" s="1">
        <v>33</v>
      </c>
      <c r="H5" s="1">
        <v>111.2</v>
      </c>
      <c r="I5" s="1">
        <v>82.3</v>
      </c>
      <c r="J5" s="1">
        <v>108.8</v>
      </c>
      <c r="K5" s="1">
        <v>75.5</v>
      </c>
      <c r="L5" s="1">
        <v>2.4</v>
      </c>
      <c r="M5" s="1">
        <v>6.8</v>
      </c>
      <c r="N5" s="1">
        <v>0.65800000000000003</v>
      </c>
      <c r="O5" s="1">
        <v>3.66</v>
      </c>
      <c r="P5" s="1">
        <v>13.5</v>
      </c>
      <c r="Q5" s="1">
        <v>0.33800000000000002</v>
      </c>
      <c r="R5" s="1">
        <v>0.73099999999999998</v>
      </c>
      <c r="S5" s="1">
        <v>0.51700000000000002</v>
      </c>
      <c r="T5" s="1">
        <v>5.5E-2</v>
      </c>
      <c r="U5" s="1">
        <v>0.51</v>
      </c>
      <c r="V5" s="1">
        <v>0.52600000000000002</v>
      </c>
      <c r="W5" s="1">
        <v>111.3</v>
      </c>
      <c r="X5" s="1">
        <v>155.31</v>
      </c>
      <c r="Y5" s="1">
        <v>129.43</v>
      </c>
      <c r="Z5" s="1">
        <v>106</v>
      </c>
      <c r="AA5" s="1">
        <v>0.52200000000000002</v>
      </c>
      <c r="AB5" s="1">
        <v>3</v>
      </c>
      <c r="AC5" s="1">
        <v>2</v>
      </c>
      <c r="AD5" s="1">
        <v>1</v>
      </c>
      <c r="AE5" s="1">
        <v>1</v>
      </c>
      <c r="AF5" s="1">
        <v>7</v>
      </c>
      <c r="AG5" s="1">
        <v>7</v>
      </c>
      <c r="AH5" s="1">
        <v>17</v>
      </c>
      <c r="AI5" s="1">
        <v>11</v>
      </c>
      <c r="AJ5" s="1">
        <v>6</v>
      </c>
      <c r="AK5" s="1">
        <v>4</v>
      </c>
      <c r="AL5" s="1">
        <v>9</v>
      </c>
      <c r="AM5" s="1">
        <v>5</v>
      </c>
      <c r="AN5" s="1">
        <v>21</v>
      </c>
      <c r="AO5" s="1">
        <v>8</v>
      </c>
      <c r="AP5" s="1">
        <v>5</v>
      </c>
      <c r="AQ5" s="1">
        <v>18</v>
      </c>
      <c r="AR5" s="1">
        <v>21</v>
      </c>
      <c r="AS5" s="1">
        <v>18</v>
      </c>
      <c r="AT5" s="1">
        <v>16</v>
      </c>
      <c r="AU5" s="1">
        <v>10</v>
      </c>
      <c r="AV5" s="1" t="s">
        <v>471</v>
      </c>
    </row>
    <row r="6" spans="1:48" x14ac:dyDescent="0.25">
      <c r="A6" s="1">
        <v>1610612741</v>
      </c>
      <c r="B6" s="1" t="s">
        <v>474</v>
      </c>
      <c r="C6" s="1">
        <v>1</v>
      </c>
      <c r="D6" s="1">
        <v>1</v>
      </c>
      <c r="E6" s="1">
        <v>0</v>
      </c>
      <c r="F6" s="1">
        <v>1</v>
      </c>
      <c r="G6" s="1">
        <v>34</v>
      </c>
      <c r="H6" s="1">
        <v>100.6</v>
      </c>
      <c r="I6" s="1">
        <v>73.900000000000006</v>
      </c>
      <c r="J6" s="1">
        <v>86.4</v>
      </c>
      <c r="K6" s="1">
        <v>62.7</v>
      </c>
      <c r="L6" s="1">
        <v>14.2</v>
      </c>
      <c r="M6" s="1">
        <v>11.2</v>
      </c>
      <c r="N6" s="1">
        <v>0.46100000000000002</v>
      </c>
      <c r="O6" s="1">
        <v>1.33</v>
      </c>
      <c r="P6" s="1">
        <v>11.4</v>
      </c>
      <c r="Q6" s="1">
        <v>0.24199999999999999</v>
      </c>
      <c r="R6" s="1">
        <v>0.73599999999999999</v>
      </c>
      <c r="S6" s="1">
        <v>0.51</v>
      </c>
      <c r="T6" s="1">
        <v>0.1</v>
      </c>
      <c r="U6" s="1">
        <v>0.48</v>
      </c>
      <c r="V6" s="1">
        <v>0.54800000000000004</v>
      </c>
      <c r="W6" s="1">
        <v>100.5</v>
      </c>
      <c r="X6" s="1">
        <v>137.71</v>
      </c>
      <c r="Y6" s="1">
        <v>114.76</v>
      </c>
      <c r="Z6" s="1">
        <v>98</v>
      </c>
      <c r="AA6" s="1">
        <v>0.59799999999999998</v>
      </c>
      <c r="AB6" s="1">
        <v>3</v>
      </c>
      <c r="AC6" s="1">
        <v>2</v>
      </c>
      <c r="AD6" s="1">
        <v>1</v>
      </c>
      <c r="AE6" s="1">
        <v>1</v>
      </c>
      <c r="AF6" s="1">
        <v>5</v>
      </c>
      <c r="AG6" s="1">
        <v>15</v>
      </c>
      <c r="AH6" s="1">
        <v>7</v>
      </c>
      <c r="AI6" s="1">
        <v>8</v>
      </c>
      <c r="AJ6" s="1">
        <v>28</v>
      </c>
      <c r="AK6" s="1">
        <v>23</v>
      </c>
      <c r="AL6" s="1">
        <v>21</v>
      </c>
      <c r="AM6" s="1">
        <v>15</v>
      </c>
      <c r="AN6" s="1">
        <v>17</v>
      </c>
      <c r="AO6" s="1">
        <v>12</v>
      </c>
      <c r="AP6" s="1">
        <v>20</v>
      </c>
      <c r="AQ6" s="1">
        <v>24</v>
      </c>
      <c r="AR6" s="1">
        <v>16</v>
      </c>
      <c r="AS6" s="1">
        <v>25</v>
      </c>
      <c r="AT6" s="1">
        <v>7</v>
      </c>
      <c r="AU6" s="1">
        <v>10</v>
      </c>
      <c r="AV6" s="1" t="s">
        <v>474</v>
      </c>
    </row>
    <row r="7" spans="1:48" x14ac:dyDescent="0.25">
      <c r="A7" s="1">
        <v>1610612739</v>
      </c>
      <c r="B7" s="1" t="s">
        <v>477</v>
      </c>
      <c r="C7" s="1">
        <v>1</v>
      </c>
      <c r="D7" s="1">
        <v>0</v>
      </c>
      <c r="E7" s="1">
        <v>1</v>
      </c>
      <c r="F7" s="1">
        <v>0</v>
      </c>
      <c r="G7" s="1">
        <v>32</v>
      </c>
      <c r="H7" s="1">
        <v>118</v>
      </c>
      <c r="I7" s="1">
        <v>78.3</v>
      </c>
      <c r="J7" s="1">
        <v>124.6</v>
      </c>
      <c r="K7" s="1">
        <v>83.4</v>
      </c>
      <c r="L7" s="1">
        <v>-6.6</v>
      </c>
      <c r="M7" s="1">
        <v>-5.2</v>
      </c>
      <c r="N7" s="1">
        <v>0.79100000000000004</v>
      </c>
      <c r="O7" s="1">
        <v>3.91</v>
      </c>
      <c r="P7" s="1">
        <v>16.100000000000001</v>
      </c>
      <c r="Q7" s="1">
        <v>0.14499999999999999</v>
      </c>
      <c r="R7" s="1">
        <v>0.63100000000000001</v>
      </c>
      <c r="S7" s="1">
        <v>0.38900000000000001</v>
      </c>
      <c r="T7" s="1">
        <v>6.3E-2</v>
      </c>
      <c r="U7" s="1">
        <v>0.59499999999999997</v>
      </c>
      <c r="V7" s="1">
        <v>0.58199999999999996</v>
      </c>
      <c r="W7" s="1">
        <v>104.5</v>
      </c>
      <c r="X7" s="1">
        <v>156.78</v>
      </c>
      <c r="Y7" s="1">
        <v>130.65</v>
      </c>
      <c r="Z7" s="1">
        <v>104</v>
      </c>
      <c r="AA7" s="1">
        <v>0.47099999999999997</v>
      </c>
      <c r="AB7" s="1">
        <v>3</v>
      </c>
      <c r="AC7" s="1">
        <v>16</v>
      </c>
      <c r="AD7" s="1">
        <v>15</v>
      </c>
      <c r="AE7" s="1">
        <v>16</v>
      </c>
      <c r="AF7" s="1">
        <v>9</v>
      </c>
      <c r="AG7" s="1">
        <v>11</v>
      </c>
      <c r="AH7" s="1">
        <v>30</v>
      </c>
      <c r="AI7" s="1">
        <v>21</v>
      </c>
      <c r="AJ7" s="1">
        <v>1</v>
      </c>
      <c r="AK7" s="1">
        <v>1</v>
      </c>
      <c r="AL7" s="1">
        <v>4</v>
      </c>
      <c r="AM7" s="1">
        <v>29</v>
      </c>
      <c r="AN7" s="1">
        <v>30</v>
      </c>
      <c r="AO7" s="1">
        <v>30</v>
      </c>
      <c r="AP7" s="1">
        <v>8</v>
      </c>
      <c r="AQ7" s="1">
        <v>3</v>
      </c>
      <c r="AR7" s="1">
        <v>9</v>
      </c>
      <c r="AS7" s="1">
        <v>15</v>
      </c>
      <c r="AT7" s="1">
        <v>20</v>
      </c>
      <c r="AU7" s="1">
        <v>10</v>
      </c>
      <c r="AV7" s="1" t="s">
        <v>477</v>
      </c>
    </row>
    <row r="8" spans="1:48" x14ac:dyDescent="0.25">
      <c r="A8" s="1">
        <v>1610612742</v>
      </c>
      <c r="B8" s="1" t="s">
        <v>480</v>
      </c>
      <c r="C8" s="1">
        <v>1</v>
      </c>
      <c r="D8" s="1">
        <v>0</v>
      </c>
      <c r="E8" s="1">
        <v>1</v>
      </c>
      <c r="F8" s="1">
        <v>0</v>
      </c>
      <c r="G8" s="1">
        <v>28</v>
      </c>
      <c r="H8" s="1">
        <v>85.1</v>
      </c>
      <c r="I8" s="1">
        <v>57.3</v>
      </c>
      <c r="J8" s="1">
        <v>117.3</v>
      </c>
      <c r="K8" s="1">
        <v>80.2</v>
      </c>
      <c r="L8" s="1">
        <v>-32.200000000000003</v>
      </c>
      <c r="M8" s="1">
        <v>-22.9</v>
      </c>
      <c r="N8" s="1">
        <v>0.51100000000000001</v>
      </c>
      <c r="O8" s="1">
        <v>1.02</v>
      </c>
      <c r="P8" s="1">
        <v>9.1999999999999993</v>
      </c>
      <c r="Q8" s="1">
        <v>0.22800000000000001</v>
      </c>
      <c r="R8" s="1">
        <v>0.82299999999999995</v>
      </c>
      <c r="S8" s="1">
        <v>0.46700000000000003</v>
      </c>
      <c r="T8" s="1">
        <v>0.10100000000000001</v>
      </c>
      <c r="U8" s="1">
        <v>0.39200000000000002</v>
      </c>
      <c r="V8" s="1">
        <v>0.42099999999999999</v>
      </c>
      <c r="W8" s="1">
        <v>103.3</v>
      </c>
      <c r="X8" s="1">
        <v>152.16999999999999</v>
      </c>
      <c r="Y8" s="1">
        <v>126.81</v>
      </c>
      <c r="Z8" s="1">
        <v>89</v>
      </c>
      <c r="AA8" s="1">
        <v>0.25800000000000001</v>
      </c>
      <c r="AB8" s="1">
        <v>3</v>
      </c>
      <c r="AC8" s="1">
        <v>16</v>
      </c>
      <c r="AD8" s="1">
        <v>15</v>
      </c>
      <c r="AE8" s="1">
        <v>16</v>
      </c>
      <c r="AF8" s="1">
        <v>19</v>
      </c>
      <c r="AG8" s="1">
        <v>27</v>
      </c>
      <c r="AH8" s="1">
        <v>23</v>
      </c>
      <c r="AI8" s="1">
        <v>29</v>
      </c>
      <c r="AJ8" s="1">
        <v>22</v>
      </c>
      <c r="AK8" s="1">
        <v>27</v>
      </c>
      <c r="AL8" s="1">
        <v>26</v>
      </c>
      <c r="AM8" s="1">
        <v>18</v>
      </c>
      <c r="AN8" s="1">
        <v>6</v>
      </c>
      <c r="AO8" s="1">
        <v>25</v>
      </c>
      <c r="AP8" s="1">
        <v>21</v>
      </c>
      <c r="AQ8" s="1">
        <v>28</v>
      </c>
      <c r="AR8" s="1">
        <v>28</v>
      </c>
      <c r="AS8" s="1">
        <v>20</v>
      </c>
      <c r="AT8" s="1">
        <v>28</v>
      </c>
      <c r="AU8" s="1">
        <v>10</v>
      </c>
      <c r="AV8" s="1" t="s">
        <v>480</v>
      </c>
    </row>
    <row r="9" spans="1:48" x14ac:dyDescent="0.25">
      <c r="A9" s="1">
        <v>1610612743</v>
      </c>
      <c r="B9" s="1" t="s">
        <v>483</v>
      </c>
      <c r="C9" s="1">
        <v>1</v>
      </c>
      <c r="D9" s="1">
        <v>1</v>
      </c>
      <c r="E9" s="1">
        <v>0</v>
      </c>
      <c r="F9" s="1">
        <v>1</v>
      </c>
      <c r="G9" s="1">
        <v>32</v>
      </c>
      <c r="H9" s="1">
        <v>116.9</v>
      </c>
      <c r="I9" s="1">
        <v>87.9</v>
      </c>
      <c r="J9" s="1">
        <v>81.900000000000006</v>
      </c>
      <c r="K9" s="1">
        <v>62.7</v>
      </c>
      <c r="L9" s="1">
        <v>35</v>
      </c>
      <c r="M9" s="1">
        <v>25.2</v>
      </c>
      <c r="N9" s="1">
        <v>0.57899999999999996</v>
      </c>
      <c r="O9" s="1">
        <v>1.39</v>
      </c>
      <c r="P9" s="1">
        <v>16.600000000000001</v>
      </c>
      <c r="Q9" s="1">
        <v>0.158</v>
      </c>
      <c r="R9" s="1">
        <v>0.75800000000000001</v>
      </c>
      <c r="S9" s="1">
        <v>0.53800000000000003</v>
      </c>
      <c r="T9" s="1">
        <v>0.14799999999999999</v>
      </c>
      <c r="U9" s="1">
        <v>0.69199999999999995</v>
      </c>
      <c r="V9" s="1">
        <v>0.66700000000000004</v>
      </c>
      <c r="W9" s="1">
        <v>101.5</v>
      </c>
      <c r="X9" s="1">
        <v>133.78</v>
      </c>
      <c r="Y9" s="1">
        <v>111.48</v>
      </c>
      <c r="Z9" s="1">
        <v>89</v>
      </c>
      <c r="AA9" s="1">
        <v>0.70599999999999996</v>
      </c>
      <c r="AB9" s="1">
        <v>3</v>
      </c>
      <c r="AC9" s="1">
        <v>2</v>
      </c>
      <c r="AD9" s="1">
        <v>1</v>
      </c>
      <c r="AE9" s="1">
        <v>1</v>
      </c>
      <c r="AF9" s="1">
        <v>10</v>
      </c>
      <c r="AG9" s="1">
        <v>3</v>
      </c>
      <c r="AH9" s="1">
        <v>8</v>
      </c>
      <c r="AI9" s="1">
        <v>3</v>
      </c>
      <c r="AJ9" s="1">
        <v>12</v>
      </c>
      <c r="AK9" s="1">
        <v>21</v>
      </c>
      <c r="AL9" s="1">
        <v>2</v>
      </c>
      <c r="AM9" s="1">
        <v>25</v>
      </c>
      <c r="AN9" s="1">
        <v>13</v>
      </c>
      <c r="AO9" s="1">
        <v>4</v>
      </c>
      <c r="AP9" s="1">
        <v>29</v>
      </c>
      <c r="AQ9" s="1">
        <v>1</v>
      </c>
      <c r="AR9" s="1">
        <v>2</v>
      </c>
      <c r="AS9" s="1">
        <v>28</v>
      </c>
      <c r="AT9" s="1">
        <v>5</v>
      </c>
      <c r="AU9" s="1">
        <v>10</v>
      </c>
      <c r="AV9" s="1" t="s">
        <v>483</v>
      </c>
    </row>
    <row r="10" spans="1:48" x14ac:dyDescent="0.25">
      <c r="A10" s="1">
        <v>1610612765</v>
      </c>
      <c r="B10" s="1" t="s">
        <v>486</v>
      </c>
      <c r="C10" s="1">
        <v>1</v>
      </c>
      <c r="D10" s="1">
        <v>0</v>
      </c>
      <c r="E10" s="1">
        <v>1</v>
      </c>
      <c r="F10" s="1">
        <v>0</v>
      </c>
      <c r="G10" s="1">
        <v>28</v>
      </c>
      <c r="H10" s="1">
        <v>88.3</v>
      </c>
      <c r="I10" s="1">
        <v>69</v>
      </c>
      <c r="J10" s="1">
        <v>101.6</v>
      </c>
      <c r="K10" s="1">
        <v>83.1</v>
      </c>
      <c r="L10" s="1">
        <v>-13.3</v>
      </c>
      <c r="M10" s="1">
        <v>-14</v>
      </c>
      <c r="N10" s="1">
        <v>0.39300000000000002</v>
      </c>
      <c r="O10" s="1">
        <v>1.35</v>
      </c>
      <c r="P10" s="1">
        <v>8.6</v>
      </c>
      <c r="Q10" s="1">
        <v>0.27600000000000002</v>
      </c>
      <c r="R10" s="1">
        <v>0.75800000000000001</v>
      </c>
      <c r="S10" s="1">
        <v>0.49399999999999999</v>
      </c>
      <c r="T10" s="1">
        <v>8.5000000000000006E-2</v>
      </c>
      <c r="U10" s="1">
        <v>0.40400000000000003</v>
      </c>
      <c r="V10" s="1">
        <v>0.45800000000000002</v>
      </c>
      <c r="W10" s="1">
        <v>99.7</v>
      </c>
      <c r="X10" s="1">
        <v>124.68</v>
      </c>
      <c r="Y10" s="1">
        <v>103.9</v>
      </c>
      <c r="Z10" s="1">
        <v>73</v>
      </c>
      <c r="AA10" s="1">
        <v>0.38700000000000001</v>
      </c>
      <c r="AB10" s="1">
        <v>3</v>
      </c>
      <c r="AC10" s="1">
        <v>16</v>
      </c>
      <c r="AD10" s="1">
        <v>15</v>
      </c>
      <c r="AE10" s="1">
        <v>16</v>
      </c>
      <c r="AF10" s="1">
        <v>21</v>
      </c>
      <c r="AG10" s="1">
        <v>16</v>
      </c>
      <c r="AH10" s="1">
        <v>29</v>
      </c>
      <c r="AI10" s="1">
        <v>24</v>
      </c>
      <c r="AJ10" s="1">
        <v>30</v>
      </c>
      <c r="AK10" s="1">
        <v>22</v>
      </c>
      <c r="AL10" s="1">
        <v>29</v>
      </c>
      <c r="AM10" s="1">
        <v>13</v>
      </c>
      <c r="AN10" s="1">
        <v>14</v>
      </c>
      <c r="AO10" s="1">
        <v>18</v>
      </c>
      <c r="AP10" s="1">
        <v>13</v>
      </c>
      <c r="AQ10" s="1">
        <v>27</v>
      </c>
      <c r="AR10" s="1">
        <v>26</v>
      </c>
      <c r="AS10" s="1">
        <v>30</v>
      </c>
      <c r="AT10" s="1">
        <v>24</v>
      </c>
      <c r="AU10" s="1">
        <v>10</v>
      </c>
      <c r="AV10" s="1" t="s">
        <v>486</v>
      </c>
    </row>
    <row r="11" spans="1:48" x14ac:dyDescent="0.25">
      <c r="A11" s="1">
        <v>1610612744</v>
      </c>
      <c r="B11" s="1" t="s">
        <v>488</v>
      </c>
      <c r="C11" s="1">
        <v>2</v>
      </c>
      <c r="D11" s="1">
        <v>2</v>
      </c>
      <c r="E11" s="1">
        <v>0</v>
      </c>
      <c r="F11" s="1">
        <v>1</v>
      </c>
      <c r="G11" s="1">
        <v>55</v>
      </c>
      <c r="H11" s="1">
        <v>106.2</v>
      </c>
      <c r="I11" s="1">
        <v>62.4</v>
      </c>
      <c r="J11" s="1">
        <v>105.7</v>
      </c>
      <c r="K11" s="1">
        <v>62.6</v>
      </c>
      <c r="L11" s="1">
        <v>0.5</v>
      </c>
      <c r="M11" s="1">
        <v>-0.2</v>
      </c>
      <c r="N11" s="1">
        <v>0.73499999999999999</v>
      </c>
      <c r="O11" s="1">
        <v>1.51</v>
      </c>
      <c r="P11" s="1">
        <v>13.5</v>
      </c>
      <c r="Q11" s="1">
        <v>0.26700000000000002</v>
      </c>
      <c r="R11" s="1">
        <v>0.83</v>
      </c>
      <c r="S11" s="1">
        <v>0.55400000000000005</v>
      </c>
      <c r="T11" s="1">
        <v>0.108</v>
      </c>
      <c r="U11" s="1">
        <v>0.54600000000000004</v>
      </c>
      <c r="V11" s="1">
        <v>0.56299999999999994</v>
      </c>
      <c r="W11" s="1">
        <v>111.5</v>
      </c>
      <c r="X11" s="1">
        <v>188.96</v>
      </c>
      <c r="Y11" s="1">
        <v>157.47</v>
      </c>
      <c r="Z11" s="1">
        <v>215</v>
      </c>
      <c r="AA11" s="1">
        <v>0.53100000000000003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23</v>
      </c>
      <c r="AH11" s="1">
        <v>6</v>
      </c>
      <c r="AI11" s="1">
        <v>15</v>
      </c>
      <c r="AJ11" s="1">
        <v>2</v>
      </c>
      <c r="AK11" s="1">
        <v>20</v>
      </c>
      <c r="AL11" s="1">
        <v>10</v>
      </c>
      <c r="AM11" s="1">
        <v>14</v>
      </c>
      <c r="AN11" s="1">
        <v>5</v>
      </c>
      <c r="AO11" s="1">
        <v>3</v>
      </c>
      <c r="AP11" s="1">
        <v>24</v>
      </c>
      <c r="AQ11" s="1">
        <v>13</v>
      </c>
      <c r="AR11" s="1">
        <v>14</v>
      </c>
      <c r="AS11" s="1">
        <v>1</v>
      </c>
      <c r="AT11" s="1">
        <v>12</v>
      </c>
      <c r="AU11" s="1">
        <v>10</v>
      </c>
      <c r="AV11" s="1" t="s">
        <v>488</v>
      </c>
    </row>
    <row r="12" spans="1:48" x14ac:dyDescent="0.25">
      <c r="A12" s="1">
        <v>1610612745</v>
      </c>
      <c r="B12" s="1" t="s">
        <v>490</v>
      </c>
      <c r="C12" s="1">
        <v>1</v>
      </c>
      <c r="D12" s="1">
        <v>0</v>
      </c>
      <c r="E12" s="1">
        <v>1</v>
      </c>
      <c r="F12" s="1">
        <v>0</v>
      </c>
      <c r="G12" s="1">
        <v>26</v>
      </c>
      <c r="H12" s="1">
        <v>83.2</v>
      </c>
      <c r="I12" s="1">
        <v>56.4</v>
      </c>
      <c r="J12" s="1">
        <v>126.6</v>
      </c>
      <c r="K12" s="1">
        <v>82.9</v>
      </c>
      <c r="L12" s="1">
        <v>-43.4</v>
      </c>
      <c r="M12" s="1">
        <v>-26.5</v>
      </c>
      <c r="N12" s="1">
        <v>0.626</v>
      </c>
      <c r="O12" s="1">
        <v>0.76</v>
      </c>
      <c r="P12" s="1">
        <v>10.6</v>
      </c>
      <c r="Q12" s="1">
        <v>0.28100000000000003</v>
      </c>
      <c r="R12" s="1">
        <v>0.73899999999999999</v>
      </c>
      <c r="S12" s="1">
        <v>0.5</v>
      </c>
      <c r="T12" s="1">
        <v>0.16900000000000001</v>
      </c>
      <c r="U12" s="1">
        <v>0.45900000000000002</v>
      </c>
      <c r="V12" s="1">
        <v>0.44900000000000001</v>
      </c>
      <c r="W12" s="1">
        <v>108.9</v>
      </c>
      <c r="X12" s="1">
        <v>163.43</v>
      </c>
      <c r="Y12" s="1">
        <v>136.19</v>
      </c>
      <c r="Z12" s="1">
        <v>89</v>
      </c>
      <c r="AA12" s="1">
        <v>0.25600000000000001</v>
      </c>
      <c r="AB12" s="1">
        <v>3</v>
      </c>
      <c r="AC12" s="1">
        <v>16</v>
      </c>
      <c r="AD12" s="1">
        <v>15</v>
      </c>
      <c r="AE12" s="1">
        <v>16</v>
      </c>
      <c r="AF12" s="1">
        <v>29</v>
      </c>
      <c r="AG12" s="1">
        <v>28</v>
      </c>
      <c r="AH12" s="1">
        <v>28</v>
      </c>
      <c r="AI12" s="1">
        <v>30</v>
      </c>
      <c r="AJ12" s="1">
        <v>10</v>
      </c>
      <c r="AK12" s="1">
        <v>29</v>
      </c>
      <c r="AL12" s="1">
        <v>23</v>
      </c>
      <c r="AM12" s="1">
        <v>11</v>
      </c>
      <c r="AN12" s="1">
        <v>15</v>
      </c>
      <c r="AO12" s="1">
        <v>16</v>
      </c>
      <c r="AP12" s="1">
        <v>30</v>
      </c>
      <c r="AQ12" s="1">
        <v>25</v>
      </c>
      <c r="AR12" s="1">
        <v>27</v>
      </c>
      <c r="AS12" s="1">
        <v>10</v>
      </c>
      <c r="AT12" s="1">
        <v>29</v>
      </c>
      <c r="AU12" s="1">
        <v>10</v>
      </c>
      <c r="AV12" s="1" t="s">
        <v>490</v>
      </c>
    </row>
    <row r="13" spans="1:48" x14ac:dyDescent="0.25">
      <c r="A13" s="1">
        <v>1610612754</v>
      </c>
      <c r="B13" s="1" t="s">
        <v>493</v>
      </c>
      <c r="C13" s="1">
        <v>1</v>
      </c>
      <c r="D13" s="1">
        <v>0</v>
      </c>
      <c r="E13" s="1">
        <v>1</v>
      </c>
      <c r="F13" s="1">
        <v>0</v>
      </c>
      <c r="G13" s="1">
        <v>33</v>
      </c>
      <c r="H13" s="1">
        <v>111</v>
      </c>
      <c r="I13" s="1">
        <v>76.8</v>
      </c>
      <c r="J13" s="1">
        <v>105.2</v>
      </c>
      <c r="K13" s="1">
        <v>77.400000000000006</v>
      </c>
      <c r="L13" s="1">
        <v>5.8</v>
      </c>
      <c r="M13" s="1">
        <v>-0.5</v>
      </c>
      <c r="N13" s="1">
        <v>0.69699999999999995</v>
      </c>
      <c r="O13" s="1">
        <v>1.8</v>
      </c>
      <c r="P13" s="1">
        <v>13.7</v>
      </c>
      <c r="Q13" s="1">
        <v>0.23799999999999999</v>
      </c>
      <c r="R13" s="1">
        <v>0.66800000000000004</v>
      </c>
      <c r="S13" s="1">
        <v>0.48499999999999999</v>
      </c>
      <c r="T13" s="1">
        <v>0.105</v>
      </c>
      <c r="U13" s="1">
        <v>0.55500000000000005</v>
      </c>
      <c r="V13" s="1">
        <v>0.67800000000000005</v>
      </c>
      <c r="W13" s="1">
        <v>111.3</v>
      </c>
      <c r="X13" s="1">
        <v>155.97999999999999</v>
      </c>
      <c r="Y13" s="1">
        <v>129.97999999999999</v>
      </c>
      <c r="Z13" s="1">
        <v>107</v>
      </c>
      <c r="AA13" s="1">
        <v>0.52600000000000002</v>
      </c>
      <c r="AB13" s="1">
        <v>3</v>
      </c>
      <c r="AC13" s="1">
        <v>16</v>
      </c>
      <c r="AD13" s="1">
        <v>15</v>
      </c>
      <c r="AE13" s="1">
        <v>16</v>
      </c>
      <c r="AF13" s="1">
        <v>8</v>
      </c>
      <c r="AG13" s="1">
        <v>13</v>
      </c>
      <c r="AH13" s="1">
        <v>18</v>
      </c>
      <c r="AI13" s="1">
        <v>16</v>
      </c>
      <c r="AJ13" s="1">
        <v>5</v>
      </c>
      <c r="AK13" s="1">
        <v>15</v>
      </c>
      <c r="AL13" s="1">
        <v>8</v>
      </c>
      <c r="AM13" s="1">
        <v>16</v>
      </c>
      <c r="AN13" s="1">
        <v>27</v>
      </c>
      <c r="AO13" s="1">
        <v>21</v>
      </c>
      <c r="AP13" s="1">
        <v>22</v>
      </c>
      <c r="AQ13" s="1">
        <v>12</v>
      </c>
      <c r="AR13" s="1">
        <v>1</v>
      </c>
      <c r="AS13" s="1">
        <v>17</v>
      </c>
      <c r="AT13" s="1">
        <v>14</v>
      </c>
      <c r="AU13" s="1">
        <v>10</v>
      </c>
      <c r="AV13" s="1" t="s">
        <v>493</v>
      </c>
    </row>
    <row r="14" spans="1:48" x14ac:dyDescent="0.25">
      <c r="A14" s="1">
        <v>1610612746</v>
      </c>
      <c r="B14" s="1" t="s">
        <v>495</v>
      </c>
      <c r="C14" s="1">
        <v>1</v>
      </c>
      <c r="D14" s="1">
        <v>0</v>
      </c>
      <c r="E14" s="1">
        <v>1</v>
      </c>
      <c r="F14" s="1">
        <v>0</v>
      </c>
      <c r="G14" s="1">
        <v>30</v>
      </c>
      <c r="H14" s="1">
        <v>108.4</v>
      </c>
      <c r="I14" s="1">
        <v>67.3</v>
      </c>
      <c r="J14" s="1">
        <v>122.2</v>
      </c>
      <c r="K14" s="1">
        <v>78</v>
      </c>
      <c r="L14" s="1">
        <v>-13.8</v>
      </c>
      <c r="M14" s="1">
        <v>-10.7</v>
      </c>
      <c r="N14" s="1">
        <v>0.55900000000000005</v>
      </c>
      <c r="O14" s="1">
        <v>3.8</v>
      </c>
      <c r="P14" s="1">
        <v>12.3</v>
      </c>
      <c r="Q14" s="1">
        <v>0.17699999999999999</v>
      </c>
      <c r="R14" s="1">
        <v>0.69399999999999995</v>
      </c>
      <c r="S14" s="1">
        <v>0.40100000000000002</v>
      </c>
      <c r="T14" s="1">
        <v>3.7999999999999999E-2</v>
      </c>
      <c r="U14" s="1">
        <v>0.52</v>
      </c>
      <c r="V14" s="1">
        <v>0.54700000000000004</v>
      </c>
      <c r="W14" s="1">
        <v>105.2</v>
      </c>
      <c r="X14" s="1">
        <v>167.11</v>
      </c>
      <c r="Y14" s="1">
        <v>139.26</v>
      </c>
      <c r="Z14" s="1">
        <v>104</v>
      </c>
      <c r="AA14" s="1">
        <v>0.41199999999999998</v>
      </c>
      <c r="AB14" s="1">
        <v>3</v>
      </c>
      <c r="AC14" s="1">
        <v>16</v>
      </c>
      <c r="AD14" s="1">
        <v>15</v>
      </c>
      <c r="AE14" s="1">
        <v>16</v>
      </c>
      <c r="AF14" s="1">
        <v>15</v>
      </c>
      <c r="AG14" s="1">
        <v>17</v>
      </c>
      <c r="AH14" s="1">
        <v>20</v>
      </c>
      <c r="AI14" s="1">
        <v>22</v>
      </c>
      <c r="AJ14" s="1">
        <v>13</v>
      </c>
      <c r="AK14" s="1">
        <v>3</v>
      </c>
      <c r="AL14" s="1">
        <v>18</v>
      </c>
      <c r="AM14" s="1">
        <v>23</v>
      </c>
      <c r="AN14" s="1">
        <v>23</v>
      </c>
      <c r="AO14" s="1">
        <v>29</v>
      </c>
      <c r="AP14" s="1">
        <v>1</v>
      </c>
      <c r="AQ14" s="1">
        <v>16</v>
      </c>
      <c r="AR14" s="1">
        <v>17</v>
      </c>
      <c r="AS14" s="1">
        <v>5</v>
      </c>
      <c r="AT14" s="1">
        <v>23</v>
      </c>
      <c r="AU14" s="1">
        <v>10</v>
      </c>
      <c r="AV14" s="1" t="s">
        <v>495</v>
      </c>
    </row>
    <row r="15" spans="1:48" x14ac:dyDescent="0.25">
      <c r="A15" s="1">
        <v>1610612747</v>
      </c>
      <c r="B15" s="1" t="s">
        <v>498</v>
      </c>
      <c r="C15" s="1">
        <v>1</v>
      </c>
      <c r="D15" s="1">
        <v>0</v>
      </c>
      <c r="E15" s="1">
        <v>1</v>
      </c>
      <c r="F15" s="1">
        <v>0</v>
      </c>
      <c r="G15" s="1">
        <v>31</v>
      </c>
      <c r="H15" s="1">
        <v>102.2</v>
      </c>
      <c r="I15" s="1">
        <v>67.099999999999994</v>
      </c>
      <c r="J15" s="1">
        <v>106.7</v>
      </c>
      <c r="K15" s="1">
        <v>69.2</v>
      </c>
      <c r="L15" s="1">
        <v>-4.5</v>
      </c>
      <c r="M15" s="1">
        <v>-2.1</v>
      </c>
      <c r="N15" s="1">
        <v>0.41299999999999998</v>
      </c>
      <c r="O15" s="1">
        <v>1.29</v>
      </c>
      <c r="P15" s="1">
        <v>8.9</v>
      </c>
      <c r="Q15" s="1">
        <v>0.157</v>
      </c>
      <c r="R15" s="1">
        <v>0.73899999999999999</v>
      </c>
      <c r="S15" s="1">
        <v>0.45600000000000002</v>
      </c>
      <c r="T15" s="1">
        <v>8.5999999999999993E-2</v>
      </c>
      <c r="U15" s="1">
        <v>0.56299999999999994</v>
      </c>
      <c r="V15" s="1">
        <v>0.54700000000000004</v>
      </c>
      <c r="W15" s="1">
        <v>114.2</v>
      </c>
      <c r="X15" s="1">
        <v>174.95</v>
      </c>
      <c r="Y15" s="1">
        <v>145.79</v>
      </c>
      <c r="Z15" s="1">
        <v>112</v>
      </c>
      <c r="AA15" s="1">
        <v>0.438</v>
      </c>
      <c r="AB15" s="1">
        <v>3</v>
      </c>
      <c r="AC15" s="1">
        <v>16</v>
      </c>
      <c r="AD15" s="1">
        <v>15</v>
      </c>
      <c r="AE15" s="1">
        <v>16</v>
      </c>
      <c r="AF15" s="1">
        <v>12</v>
      </c>
      <c r="AG15" s="1">
        <v>18</v>
      </c>
      <c r="AH15" s="1">
        <v>14</v>
      </c>
      <c r="AI15" s="1">
        <v>19</v>
      </c>
      <c r="AJ15" s="1">
        <v>29</v>
      </c>
      <c r="AK15" s="1">
        <v>24</v>
      </c>
      <c r="AL15" s="1">
        <v>27</v>
      </c>
      <c r="AM15" s="1">
        <v>26</v>
      </c>
      <c r="AN15" s="1">
        <v>16</v>
      </c>
      <c r="AO15" s="1">
        <v>27</v>
      </c>
      <c r="AP15" s="1">
        <v>14</v>
      </c>
      <c r="AQ15" s="1">
        <v>10</v>
      </c>
      <c r="AR15" s="1">
        <v>18</v>
      </c>
      <c r="AS15" s="1">
        <v>3</v>
      </c>
      <c r="AT15" s="1">
        <v>22</v>
      </c>
      <c r="AU15" s="1">
        <v>10</v>
      </c>
      <c r="AV15" s="1" t="s">
        <v>498</v>
      </c>
    </row>
    <row r="16" spans="1:48" x14ac:dyDescent="0.25">
      <c r="A16" s="1">
        <v>1610612763</v>
      </c>
      <c r="B16" s="1" t="s">
        <v>500</v>
      </c>
      <c r="C16" s="1">
        <v>1</v>
      </c>
      <c r="D16" s="1">
        <v>1</v>
      </c>
      <c r="E16" s="1">
        <v>0</v>
      </c>
      <c r="F16" s="1">
        <v>1</v>
      </c>
      <c r="G16" s="1">
        <v>31</v>
      </c>
      <c r="H16" s="1">
        <v>122.7</v>
      </c>
      <c r="I16" s="1">
        <v>81.099999999999994</v>
      </c>
      <c r="J16" s="1">
        <v>118.6</v>
      </c>
      <c r="K16" s="1">
        <v>77.900000000000006</v>
      </c>
      <c r="L16" s="1">
        <v>4.2</v>
      </c>
      <c r="M16" s="1">
        <v>3.3</v>
      </c>
      <c r="N16" s="1">
        <v>0.50600000000000001</v>
      </c>
      <c r="O16" s="1">
        <v>1.83</v>
      </c>
      <c r="P16" s="1">
        <v>12.3</v>
      </c>
      <c r="Q16" s="1">
        <v>0.373</v>
      </c>
      <c r="R16" s="1">
        <v>0.88200000000000001</v>
      </c>
      <c r="S16" s="1">
        <v>0.626</v>
      </c>
      <c r="T16" s="1">
        <v>0.09</v>
      </c>
      <c r="U16" s="1">
        <v>0.58499999999999996</v>
      </c>
      <c r="V16" s="1">
        <v>0.60699999999999998</v>
      </c>
      <c r="W16" s="1">
        <v>105.6</v>
      </c>
      <c r="X16" s="1">
        <v>160.31</v>
      </c>
      <c r="Y16" s="1">
        <v>133.59</v>
      </c>
      <c r="Z16" s="1">
        <v>105</v>
      </c>
      <c r="AA16" s="1">
        <v>0.52800000000000002</v>
      </c>
      <c r="AB16" s="1">
        <v>3</v>
      </c>
      <c r="AC16" s="1">
        <v>2</v>
      </c>
      <c r="AD16" s="1">
        <v>1</v>
      </c>
      <c r="AE16" s="1">
        <v>1</v>
      </c>
      <c r="AF16" s="1">
        <v>11</v>
      </c>
      <c r="AG16" s="1">
        <v>8</v>
      </c>
      <c r="AH16" s="1">
        <v>19</v>
      </c>
      <c r="AI16" s="1">
        <v>14</v>
      </c>
      <c r="AJ16" s="1">
        <v>24</v>
      </c>
      <c r="AK16" s="1">
        <v>14</v>
      </c>
      <c r="AL16" s="1">
        <v>17</v>
      </c>
      <c r="AM16" s="1">
        <v>2</v>
      </c>
      <c r="AN16" s="1">
        <v>2</v>
      </c>
      <c r="AO16" s="1">
        <v>2</v>
      </c>
      <c r="AP16" s="1">
        <v>17</v>
      </c>
      <c r="AQ16" s="1">
        <v>7</v>
      </c>
      <c r="AR16" s="1">
        <v>8</v>
      </c>
      <c r="AS16" s="1">
        <v>12</v>
      </c>
      <c r="AT16" s="1">
        <v>13</v>
      </c>
      <c r="AU16" s="1">
        <v>10</v>
      </c>
      <c r="AV16" s="1" t="s">
        <v>500</v>
      </c>
    </row>
    <row r="17" spans="1:48" x14ac:dyDescent="0.25">
      <c r="A17" s="1">
        <v>1610612748</v>
      </c>
      <c r="B17" s="1" t="s">
        <v>501</v>
      </c>
      <c r="C17" s="1">
        <v>1</v>
      </c>
      <c r="D17" s="1">
        <v>1</v>
      </c>
      <c r="E17" s="1">
        <v>0</v>
      </c>
      <c r="F17" s="1">
        <v>1</v>
      </c>
      <c r="G17" s="1">
        <v>24</v>
      </c>
      <c r="H17" s="1">
        <v>122.4</v>
      </c>
      <c r="I17" s="1">
        <v>89.8</v>
      </c>
      <c r="J17" s="1">
        <v>79.5</v>
      </c>
      <c r="K17" s="1">
        <v>55.7</v>
      </c>
      <c r="L17" s="1">
        <v>42.9</v>
      </c>
      <c r="M17" s="1">
        <v>34.1</v>
      </c>
      <c r="N17" s="1">
        <v>0.57899999999999996</v>
      </c>
      <c r="O17" s="1">
        <v>2.75</v>
      </c>
      <c r="P17" s="1">
        <v>15.3</v>
      </c>
      <c r="Q17" s="1">
        <v>0.35</v>
      </c>
      <c r="R17" s="1">
        <v>0.94599999999999995</v>
      </c>
      <c r="S17" s="1">
        <v>0.66</v>
      </c>
      <c r="T17" s="1">
        <v>7.0000000000000007E-2</v>
      </c>
      <c r="U17" s="1">
        <v>0.58699999999999997</v>
      </c>
      <c r="V17" s="1">
        <v>0.58099999999999996</v>
      </c>
      <c r="W17" s="1">
        <v>112</v>
      </c>
      <c r="X17" s="1">
        <v>156.22</v>
      </c>
      <c r="Y17" s="1">
        <v>130.19</v>
      </c>
      <c r="Z17" s="1">
        <v>80</v>
      </c>
      <c r="AA17" s="1">
        <v>0.80600000000000005</v>
      </c>
      <c r="AB17" s="1">
        <v>3</v>
      </c>
      <c r="AC17" s="1">
        <v>2</v>
      </c>
      <c r="AD17" s="1">
        <v>1</v>
      </c>
      <c r="AE17" s="1">
        <v>1</v>
      </c>
      <c r="AF17" s="1">
        <v>30</v>
      </c>
      <c r="AG17" s="1">
        <v>2</v>
      </c>
      <c r="AH17" s="1">
        <v>4</v>
      </c>
      <c r="AI17" s="1">
        <v>1</v>
      </c>
      <c r="AJ17" s="1">
        <v>11</v>
      </c>
      <c r="AK17" s="1">
        <v>7</v>
      </c>
      <c r="AL17" s="1">
        <v>6</v>
      </c>
      <c r="AM17" s="1">
        <v>3</v>
      </c>
      <c r="AN17" s="1">
        <v>1</v>
      </c>
      <c r="AO17" s="1">
        <v>1</v>
      </c>
      <c r="AP17" s="1">
        <v>10</v>
      </c>
      <c r="AQ17" s="1">
        <v>4</v>
      </c>
      <c r="AR17" s="1">
        <v>10</v>
      </c>
      <c r="AS17" s="1">
        <v>16</v>
      </c>
      <c r="AT17" s="1">
        <v>1</v>
      </c>
      <c r="AU17" s="1">
        <v>10</v>
      </c>
      <c r="AV17" s="1" t="s">
        <v>501</v>
      </c>
    </row>
    <row r="18" spans="1:48" x14ac:dyDescent="0.25">
      <c r="A18" s="1">
        <v>1610612749</v>
      </c>
      <c r="B18" s="1" t="s">
        <v>503</v>
      </c>
      <c r="C18" s="1">
        <v>2</v>
      </c>
      <c r="D18" s="1">
        <v>1</v>
      </c>
      <c r="E18" s="1">
        <v>1</v>
      </c>
      <c r="F18" s="1">
        <v>0.5</v>
      </c>
      <c r="G18" s="1">
        <v>52</v>
      </c>
      <c r="H18" s="1">
        <v>105</v>
      </c>
      <c r="I18" s="1">
        <v>65.599999999999994</v>
      </c>
      <c r="J18" s="1">
        <v>109.7</v>
      </c>
      <c r="K18" s="1">
        <v>66.900000000000006</v>
      </c>
      <c r="L18" s="1">
        <v>-4.7</v>
      </c>
      <c r="M18" s="1">
        <v>-1.3</v>
      </c>
      <c r="N18" s="1">
        <v>0.54700000000000004</v>
      </c>
      <c r="O18" s="1">
        <v>2.41</v>
      </c>
      <c r="P18" s="1">
        <v>13</v>
      </c>
      <c r="Q18" s="1">
        <v>0.20399999999999999</v>
      </c>
      <c r="R18" s="1">
        <v>0.80900000000000005</v>
      </c>
      <c r="S18" s="1">
        <v>0.48499999999999999</v>
      </c>
      <c r="T18" s="1">
        <v>5.5E-2</v>
      </c>
      <c r="U18" s="1">
        <v>0.498</v>
      </c>
      <c r="V18" s="1">
        <v>0.52400000000000002</v>
      </c>
      <c r="W18" s="1">
        <v>107.5</v>
      </c>
      <c r="X18" s="1">
        <v>174.16</v>
      </c>
      <c r="Y18" s="1">
        <v>145.13999999999999</v>
      </c>
      <c r="Z18" s="1">
        <v>187</v>
      </c>
      <c r="AA18" s="1">
        <v>0.47599999999999998</v>
      </c>
      <c r="AB18" s="1">
        <v>1</v>
      </c>
      <c r="AC18" s="1">
        <v>2</v>
      </c>
      <c r="AD18" s="1">
        <v>15</v>
      </c>
      <c r="AE18" s="1">
        <v>15</v>
      </c>
      <c r="AF18" s="1">
        <v>2</v>
      </c>
      <c r="AG18" s="1">
        <v>21</v>
      </c>
      <c r="AH18" s="1">
        <v>11</v>
      </c>
      <c r="AI18" s="1">
        <v>17</v>
      </c>
      <c r="AJ18" s="1">
        <v>18</v>
      </c>
      <c r="AK18" s="1">
        <v>9</v>
      </c>
      <c r="AL18" s="1">
        <v>15</v>
      </c>
      <c r="AM18" s="1">
        <v>20</v>
      </c>
      <c r="AN18" s="1">
        <v>8</v>
      </c>
      <c r="AO18" s="1">
        <v>22</v>
      </c>
      <c r="AP18" s="1">
        <v>4</v>
      </c>
      <c r="AQ18" s="1">
        <v>20</v>
      </c>
      <c r="AR18" s="1">
        <v>22</v>
      </c>
      <c r="AS18" s="1">
        <v>4</v>
      </c>
      <c r="AT18" s="1">
        <v>19</v>
      </c>
      <c r="AU18" s="1">
        <v>10</v>
      </c>
      <c r="AV18" s="1" t="s">
        <v>503</v>
      </c>
    </row>
    <row r="19" spans="1:48" x14ac:dyDescent="0.25">
      <c r="A19" s="1">
        <v>1610612750</v>
      </c>
      <c r="B19" s="1" t="s">
        <v>506</v>
      </c>
      <c r="C19" s="1">
        <v>1</v>
      </c>
      <c r="D19" s="1">
        <v>1</v>
      </c>
      <c r="E19" s="1">
        <v>0</v>
      </c>
      <c r="F19" s="1">
        <v>1</v>
      </c>
      <c r="G19" s="1">
        <v>26</v>
      </c>
      <c r="H19" s="1">
        <v>125.6</v>
      </c>
      <c r="I19" s="1">
        <v>79.099999999999994</v>
      </c>
      <c r="J19" s="1">
        <v>81.599999999999994</v>
      </c>
      <c r="K19" s="1">
        <v>53.8</v>
      </c>
      <c r="L19" s="1">
        <v>44</v>
      </c>
      <c r="M19" s="1">
        <v>25.3</v>
      </c>
      <c r="N19" s="1">
        <v>0.55400000000000005</v>
      </c>
      <c r="O19" s="1">
        <v>1.68</v>
      </c>
      <c r="P19" s="1">
        <v>11.1</v>
      </c>
      <c r="Q19" s="1">
        <v>0.313</v>
      </c>
      <c r="R19" s="1">
        <v>0.73299999999999998</v>
      </c>
      <c r="S19" s="1">
        <v>0.53200000000000003</v>
      </c>
      <c r="T19" s="1">
        <v>8.7999999999999995E-2</v>
      </c>
      <c r="U19" s="1">
        <v>0.58699999999999997</v>
      </c>
      <c r="V19" s="1">
        <v>0.66600000000000004</v>
      </c>
      <c r="W19" s="1">
        <v>106.8</v>
      </c>
      <c r="X19" s="1">
        <v>165.52</v>
      </c>
      <c r="Y19" s="1">
        <v>137.93</v>
      </c>
      <c r="Z19" s="1">
        <v>91</v>
      </c>
      <c r="AA19" s="1">
        <v>0.75900000000000001</v>
      </c>
      <c r="AB19" s="1">
        <v>3</v>
      </c>
      <c r="AC19" s="1">
        <v>2</v>
      </c>
      <c r="AD19" s="1">
        <v>1</v>
      </c>
      <c r="AE19" s="1">
        <v>1</v>
      </c>
      <c r="AF19" s="1">
        <v>28</v>
      </c>
      <c r="AG19" s="1">
        <v>10</v>
      </c>
      <c r="AH19" s="1">
        <v>3</v>
      </c>
      <c r="AI19" s="1">
        <v>2</v>
      </c>
      <c r="AJ19" s="1">
        <v>15</v>
      </c>
      <c r="AK19" s="1">
        <v>17</v>
      </c>
      <c r="AL19" s="1">
        <v>22</v>
      </c>
      <c r="AM19" s="1">
        <v>7</v>
      </c>
      <c r="AN19" s="1">
        <v>19</v>
      </c>
      <c r="AO19" s="1">
        <v>5</v>
      </c>
      <c r="AP19" s="1">
        <v>16</v>
      </c>
      <c r="AQ19" s="1">
        <v>5</v>
      </c>
      <c r="AR19" s="1">
        <v>3</v>
      </c>
      <c r="AS19" s="1">
        <v>8</v>
      </c>
      <c r="AT19" s="1">
        <v>2</v>
      </c>
      <c r="AU19" s="1">
        <v>10</v>
      </c>
      <c r="AV19" s="1" t="s">
        <v>506</v>
      </c>
    </row>
    <row r="20" spans="1:48" x14ac:dyDescent="0.25">
      <c r="A20" s="1">
        <v>1610612740</v>
      </c>
      <c r="B20" s="1" t="s">
        <v>507</v>
      </c>
      <c r="C20" s="1">
        <v>1</v>
      </c>
      <c r="D20" s="1">
        <v>0</v>
      </c>
      <c r="E20" s="1">
        <v>1</v>
      </c>
      <c r="F20" s="1">
        <v>0</v>
      </c>
      <c r="G20" s="1">
        <v>28</v>
      </c>
      <c r="H20" s="1">
        <v>96</v>
      </c>
      <c r="I20" s="1">
        <v>61.3</v>
      </c>
      <c r="J20" s="1">
        <v>127.7</v>
      </c>
      <c r="K20" s="1">
        <v>80.900000000000006</v>
      </c>
      <c r="L20" s="1">
        <v>-31.7</v>
      </c>
      <c r="M20" s="1">
        <v>-19.600000000000001</v>
      </c>
      <c r="N20" s="1">
        <v>0.70799999999999996</v>
      </c>
      <c r="O20" s="1">
        <v>2.2200000000000002</v>
      </c>
      <c r="P20" s="1">
        <v>13.3</v>
      </c>
      <c r="Q20" s="1">
        <v>0.22500000000000001</v>
      </c>
      <c r="R20" s="1">
        <v>0.82099999999999995</v>
      </c>
      <c r="S20" s="1">
        <v>0.48399999999999999</v>
      </c>
      <c r="T20" s="1">
        <v>7.8E-2</v>
      </c>
      <c r="U20" s="1">
        <v>0.48499999999999999</v>
      </c>
      <c r="V20" s="1">
        <v>0.52700000000000002</v>
      </c>
      <c r="W20" s="1">
        <v>100.6</v>
      </c>
      <c r="X20" s="1">
        <v>158.26</v>
      </c>
      <c r="Y20" s="1">
        <v>131.88999999999999</v>
      </c>
      <c r="Z20" s="1">
        <v>92</v>
      </c>
      <c r="AA20" s="1">
        <v>0.36199999999999999</v>
      </c>
      <c r="AB20" s="1">
        <v>3</v>
      </c>
      <c r="AC20" s="1">
        <v>16</v>
      </c>
      <c r="AD20" s="1">
        <v>15</v>
      </c>
      <c r="AE20" s="1">
        <v>16</v>
      </c>
      <c r="AF20" s="1">
        <v>22</v>
      </c>
      <c r="AG20" s="1">
        <v>24</v>
      </c>
      <c r="AH20" s="1">
        <v>25</v>
      </c>
      <c r="AI20" s="1">
        <v>27</v>
      </c>
      <c r="AJ20" s="1">
        <v>4</v>
      </c>
      <c r="AK20" s="1">
        <v>12</v>
      </c>
      <c r="AL20" s="1">
        <v>13</v>
      </c>
      <c r="AM20" s="1">
        <v>19</v>
      </c>
      <c r="AN20" s="1">
        <v>7</v>
      </c>
      <c r="AO20" s="1">
        <v>23</v>
      </c>
      <c r="AP20" s="1">
        <v>11</v>
      </c>
      <c r="AQ20" s="1">
        <v>23</v>
      </c>
      <c r="AR20" s="1">
        <v>20</v>
      </c>
      <c r="AS20" s="1">
        <v>14</v>
      </c>
      <c r="AT20" s="1">
        <v>25</v>
      </c>
      <c r="AU20" s="1">
        <v>10</v>
      </c>
      <c r="AV20" s="1" t="s">
        <v>507</v>
      </c>
    </row>
    <row r="21" spans="1:48" x14ac:dyDescent="0.25">
      <c r="A21" s="1">
        <v>1610612752</v>
      </c>
      <c r="B21" s="1" t="s">
        <v>510</v>
      </c>
      <c r="C21" s="1">
        <v>1</v>
      </c>
      <c r="D21" s="1">
        <v>1</v>
      </c>
      <c r="E21" s="1">
        <v>0</v>
      </c>
      <c r="F21" s="1">
        <v>1</v>
      </c>
      <c r="G21" s="1">
        <v>41</v>
      </c>
      <c r="H21" s="1">
        <v>109.9</v>
      </c>
      <c r="I21" s="1">
        <v>85.3</v>
      </c>
      <c r="J21" s="1">
        <v>101.6</v>
      </c>
      <c r="K21" s="1">
        <v>80.7</v>
      </c>
      <c r="L21" s="1">
        <v>8.3000000000000007</v>
      </c>
      <c r="M21" s="1">
        <v>4.5999999999999996</v>
      </c>
      <c r="N21" s="1">
        <v>0.53700000000000003</v>
      </c>
      <c r="O21" s="1">
        <v>1.55</v>
      </c>
      <c r="P21" s="1">
        <v>13.2</v>
      </c>
      <c r="Q21" s="1">
        <v>0.27800000000000002</v>
      </c>
      <c r="R21" s="1">
        <v>0.72299999999999998</v>
      </c>
      <c r="S21" s="1">
        <v>0.52200000000000002</v>
      </c>
      <c r="T21" s="1">
        <v>0.111</v>
      </c>
      <c r="U21" s="1">
        <v>0.58599999999999997</v>
      </c>
      <c r="V21" s="1">
        <v>0.63100000000000001</v>
      </c>
      <c r="W21" s="1">
        <v>105.8</v>
      </c>
      <c r="X21" s="1">
        <v>134.77000000000001</v>
      </c>
      <c r="Y21" s="1">
        <v>112.31</v>
      </c>
      <c r="Z21" s="1">
        <v>117</v>
      </c>
      <c r="AA21" s="1">
        <v>0.53400000000000003</v>
      </c>
      <c r="AB21" s="1">
        <v>3</v>
      </c>
      <c r="AC21" s="1">
        <v>2</v>
      </c>
      <c r="AD21" s="1">
        <v>1</v>
      </c>
      <c r="AE21" s="1">
        <v>1</v>
      </c>
      <c r="AF21" s="1">
        <v>4</v>
      </c>
      <c r="AG21" s="1">
        <v>5</v>
      </c>
      <c r="AH21" s="1">
        <v>24</v>
      </c>
      <c r="AI21" s="1">
        <v>12</v>
      </c>
      <c r="AJ21" s="1">
        <v>21</v>
      </c>
      <c r="AK21" s="1">
        <v>19</v>
      </c>
      <c r="AL21" s="1">
        <v>14</v>
      </c>
      <c r="AM21" s="1">
        <v>12</v>
      </c>
      <c r="AN21" s="1">
        <v>22</v>
      </c>
      <c r="AO21" s="1">
        <v>7</v>
      </c>
      <c r="AP21" s="1">
        <v>25</v>
      </c>
      <c r="AQ21" s="1">
        <v>6</v>
      </c>
      <c r="AR21" s="1">
        <v>6</v>
      </c>
      <c r="AS21" s="1">
        <v>26</v>
      </c>
      <c r="AT21" s="1">
        <v>11</v>
      </c>
      <c r="AU21" s="1">
        <v>10</v>
      </c>
      <c r="AV21" s="1" t="s">
        <v>510</v>
      </c>
    </row>
    <row r="22" spans="1:48" x14ac:dyDescent="0.25">
      <c r="A22" s="1">
        <v>1610612760</v>
      </c>
      <c r="B22" s="1" t="s">
        <v>512</v>
      </c>
      <c r="C22" s="1">
        <v>1</v>
      </c>
      <c r="D22" s="1">
        <v>0</v>
      </c>
      <c r="E22" s="1">
        <v>1</v>
      </c>
      <c r="F22" s="1">
        <v>0</v>
      </c>
      <c r="G22" s="1">
        <v>28</v>
      </c>
      <c r="H22" s="1">
        <v>77.900000000000006</v>
      </c>
      <c r="I22" s="1">
        <v>48.6</v>
      </c>
      <c r="J22" s="1">
        <v>109</v>
      </c>
      <c r="K22" s="1">
        <v>67.599999999999994</v>
      </c>
      <c r="L22" s="1">
        <v>-31.1</v>
      </c>
      <c r="M22" s="1">
        <v>-19</v>
      </c>
      <c r="N22" s="1">
        <v>0.55700000000000005</v>
      </c>
      <c r="O22" s="1">
        <v>1.1399999999999999</v>
      </c>
      <c r="P22" s="1">
        <v>8.4</v>
      </c>
      <c r="Q22" s="1">
        <v>0.318</v>
      </c>
      <c r="R22" s="1">
        <v>0.73199999999999998</v>
      </c>
      <c r="S22" s="1">
        <v>0.50700000000000001</v>
      </c>
      <c r="T22" s="1">
        <v>9.5000000000000001E-2</v>
      </c>
      <c r="U22" s="1">
        <v>0.34799999999999998</v>
      </c>
      <c r="V22" s="1">
        <v>0.38</v>
      </c>
      <c r="W22" s="1">
        <v>96.1</v>
      </c>
      <c r="X22" s="1">
        <v>154.44</v>
      </c>
      <c r="Y22" s="1">
        <v>128.69999999999999</v>
      </c>
      <c r="Z22" s="1">
        <v>91</v>
      </c>
      <c r="AA22" s="1">
        <v>0.312</v>
      </c>
      <c r="AB22" s="1">
        <v>3</v>
      </c>
      <c r="AC22" s="1">
        <v>16</v>
      </c>
      <c r="AD22" s="1">
        <v>15</v>
      </c>
      <c r="AE22" s="1">
        <v>16</v>
      </c>
      <c r="AF22" s="1">
        <v>17</v>
      </c>
      <c r="AG22" s="1">
        <v>29</v>
      </c>
      <c r="AH22" s="1">
        <v>12</v>
      </c>
      <c r="AI22" s="1">
        <v>26</v>
      </c>
      <c r="AJ22" s="1">
        <v>14</v>
      </c>
      <c r="AK22" s="1">
        <v>26</v>
      </c>
      <c r="AL22" s="1">
        <v>30</v>
      </c>
      <c r="AM22" s="1">
        <v>6</v>
      </c>
      <c r="AN22" s="1">
        <v>20</v>
      </c>
      <c r="AO22" s="1">
        <v>14</v>
      </c>
      <c r="AP22" s="1">
        <v>18</v>
      </c>
      <c r="AQ22" s="1">
        <v>30</v>
      </c>
      <c r="AR22" s="1">
        <v>29</v>
      </c>
      <c r="AS22" s="1">
        <v>19</v>
      </c>
      <c r="AT22" s="1">
        <v>27</v>
      </c>
      <c r="AU22" s="1">
        <v>10</v>
      </c>
      <c r="AV22" s="1" t="s">
        <v>512</v>
      </c>
    </row>
    <row r="23" spans="1:48" x14ac:dyDescent="0.25">
      <c r="A23" s="1">
        <v>1610612753</v>
      </c>
      <c r="B23" s="1" t="s">
        <v>514</v>
      </c>
      <c r="C23" s="1">
        <v>1</v>
      </c>
      <c r="D23" s="1">
        <v>0</v>
      </c>
      <c r="E23" s="1">
        <v>1</v>
      </c>
      <c r="F23" s="1">
        <v>0</v>
      </c>
      <c r="G23" s="1">
        <v>28</v>
      </c>
      <c r="H23" s="1">
        <v>103.7</v>
      </c>
      <c r="I23" s="1">
        <v>62.5</v>
      </c>
      <c r="J23" s="1">
        <v>106.5</v>
      </c>
      <c r="K23" s="1">
        <v>65.2</v>
      </c>
      <c r="L23" s="1">
        <v>-2.8</v>
      </c>
      <c r="M23" s="1">
        <v>-2.7</v>
      </c>
      <c r="N23" s="1">
        <v>0.50900000000000001</v>
      </c>
      <c r="O23" s="1">
        <v>1.22</v>
      </c>
      <c r="P23" s="1">
        <v>9.8000000000000007</v>
      </c>
      <c r="Q23" s="1">
        <v>0.34</v>
      </c>
      <c r="R23" s="1">
        <v>0.66300000000000003</v>
      </c>
      <c r="S23" s="1">
        <v>0.51200000000000001</v>
      </c>
      <c r="T23" s="1">
        <v>9.5000000000000001E-2</v>
      </c>
      <c r="U23" s="1">
        <v>0.49399999999999999</v>
      </c>
      <c r="V23" s="1">
        <v>0.53600000000000003</v>
      </c>
      <c r="W23" s="1">
        <v>100.5</v>
      </c>
      <c r="X23" s="1">
        <v>165.39</v>
      </c>
      <c r="Y23" s="1">
        <v>137.82</v>
      </c>
      <c r="Z23" s="1">
        <v>95</v>
      </c>
      <c r="AA23" s="1">
        <v>0.49299999999999999</v>
      </c>
      <c r="AB23" s="1">
        <v>3</v>
      </c>
      <c r="AC23" s="1">
        <v>16</v>
      </c>
      <c r="AD23" s="1">
        <v>15</v>
      </c>
      <c r="AE23" s="1">
        <v>16</v>
      </c>
      <c r="AF23" s="1">
        <v>25</v>
      </c>
      <c r="AG23" s="1">
        <v>22</v>
      </c>
      <c r="AH23" s="1">
        <v>9</v>
      </c>
      <c r="AI23" s="1">
        <v>20</v>
      </c>
      <c r="AJ23" s="1">
        <v>23</v>
      </c>
      <c r="AK23" s="1">
        <v>25</v>
      </c>
      <c r="AL23" s="1">
        <v>25</v>
      </c>
      <c r="AM23" s="1">
        <v>4</v>
      </c>
      <c r="AN23" s="1">
        <v>28</v>
      </c>
      <c r="AO23" s="1">
        <v>10</v>
      </c>
      <c r="AP23" s="1">
        <v>19</v>
      </c>
      <c r="AQ23" s="1">
        <v>21</v>
      </c>
      <c r="AR23" s="1">
        <v>19</v>
      </c>
      <c r="AS23" s="1">
        <v>9</v>
      </c>
      <c r="AT23" s="1">
        <v>18</v>
      </c>
      <c r="AU23" s="1">
        <v>10</v>
      </c>
      <c r="AV23" s="1" t="s">
        <v>514</v>
      </c>
    </row>
    <row r="24" spans="1:48" x14ac:dyDescent="0.25">
      <c r="A24" s="1">
        <v>1610612755</v>
      </c>
      <c r="B24" s="1" t="s">
        <v>516</v>
      </c>
      <c r="C24" s="1">
        <v>1</v>
      </c>
      <c r="D24" s="1">
        <v>1</v>
      </c>
      <c r="E24" s="1">
        <v>0</v>
      </c>
      <c r="F24" s="1">
        <v>1</v>
      </c>
      <c r="G24" s="1">
        <v>27</v>
      </c>
      <c r="H24" s="1">
        <v>120.2</v>
      </c>
      <c r="I24" s="1">
        <v>87.6</v>
      </c>
      <c r="J24" s="1">
        <v>97.1</v>
      </c>
      <c r="K24" s="1">
        <v>72</v>
      </c>
      <c r="L24" s="1">
        <v>23.1</v>
      </c>
      <c r="M24" s="1">
        <v>15.6</v>
      </c>
      <c r="N24" s="1">
        <v>0.48799999999999999</v>
      </c>
      <c r="O24" s="1">
        <v>3.88</v>
      </c>
      <c r="P24" s="1">
        <v>15.3</v>
      </c>
      <c r="Q24" s="1">
        <v>0.16</v>
      </c>
      <c r="R24" s="1">
        <v>0.79600000000000004</v>
      </c>
      <c r="S24" s="1">
        <v>0.51400000000000001</v>
      </c>
      <c r="T24" s="1">
        <v>4.2999999999999997E-2</v>
      </c>
      <c r="U24" s="1">
        <v>0.57999999999999996</v>
      </c>
      <c r="V24" s="1">
        <v>0.61299999999999999</v>
      </c>
      <c r="W24" s="1">
        <v>98.7</v>
      </c>
      <c r="X24" s="1">
        <v>134.24</v>
      </c>
      <c r="Y24" s="1">
        <v>111.86</v>
      </c>
      <c r="Z24" s="1">
        <v>74</v>
      </c>
      <c r="AA24" s="1">
        <v>0.59199999999999997</v>
      </c>
      <c r="AB24" s="1">
        <v>3</v>
      </c>
      <c r="AC24" s="1">
        <v>2</v>
      </c>
      <c r="AD24" s="1">
        <v>1</v>
      </c>
      <c r="AE24" s="1">
        <v>1</v>
      </c>
      <c r="AF24" s="1">
        <v>27</v>
      </c>
      <c r="AG24" s="1">
        <v>4</v>
      </c>
      <c r="AH24" s="1">
        <v>15</v>
      </c>
      <c r="AI24" s="1">
        <v>6</v>
      </c>
      <c r="AJ24" s="1">
        <v>25</v>
      </c>
      <c r="AK24" s="1">
        <v>2</v>
      </c>
      <c r="AL24" s="1">
        <v>5</v>
      </c>
      <c r="AM24" s="1">
        <v>24</v>
      </c>
      <c r="AN24" s="1">
        <v>9</v>
      </c>
      <c r="AO24" s="1">
        <v>9</v>
      </c>
      <c r="AP24" s="1">
        <v>3</v>
      </c>
      <c r="AQ24" s="1">
        <v>9</v>
      </c>
      <c r="AR24" s="1">
        <v>7</v>
      </c>
      <c r="AS24" s="1">
        <v>27</v>
      </c>
      <c r="AT24" s="1">
        <v>8</v>
      </c>
      <c r="AU24" s="1">
        <v>10</v>
      </c>
      <c r="AV24" s="1" t="s">
        <v>516</v>
      </c>
    </row>
    <row r="25" spans="1:48" x14ac:dyDescent="0.25">
      <c r="A25" s="1">
        <v>1610612756</v>
      </c>
      <c r="B25" s="1" t="s">
        <v>518</v>
      </c>
      <c r="C25" s="1">
        <v>1</v>
      </c>
      <c r="D25" s="1">
        <v>0</v>
      </c>
      <c r="E25" s="1">
        <v>1</v>
      </c>
      <c r="F25" s="1">
        <v>0</v>
      </c>
      <c r="G25" s="1">
        <v>31</v>
      </c>
      <c r="H25" s="1">
        <v>85.1</v>
      </c>
      <c r="I25" s="1">
        <v>60</v>
      </c>
      <c r="J25" s="1">
        <v>114.6</v>
      </c>
      <c r="K25" s="1">
        <v>81.599999999999994</v>
      </c>
      <c r="L25" s="1">
        <v>-29.5</v>
      </c>
      <c r="M25" s="1">
        <v>-21.6</v>
      </c>
      <c r="N25" s="1">
        <v>0.63100000000000001</v>
      </c>
      <c r="O25" s="1">
        <v>1.67</v>
      </c>
      <c r="P25" s="1">
        <v>15.3</v>
      </c>
      <c r="Q25" s="1">
        <v>0.23</v>
      </c>
      <c r="R25" s="1">
        <v>0.86599999999999999</v>
      </c>
      <c r="S25" s="1">
        <v>0.46100000000000002</v>
      </c>
      <c r="T25" s="1">
        <v>8.5999999999999993E-2</v>
      </c>
      <c r="U25" s="1">
        <v>0.40899999999999997</v>
      </c>
      <c r="V25" s="1">
        <v>0.48199999999999998</v>
      </c>
      <c r="W25" s="1">
        <v>99.5</v>
      </c>
      <c r="X25" s="1">
        <v>140.44999999999999</v>
      </c>
      <c r="Y25" s="1">
        <v>117.04</v>
      </c>
      <c r="Z25" s="1">
        <v>91</v>
      </c>
      <c r="AA25" s="1">
        <v>0.32300000000000001</v>
      </c>
      <c r="AB25" s="1">
        <v>3</v>
      </c>
      <c r="AC25" s="1">
        <v>16</v>
      </c>
      <c r="AD25" s="1">
        <v>15</v>
      </c>
      <c r="AE25" s="1">
        <v>16</v>
      </c>
      <c r="AF25" s="1">
        <v>13</v>
      </c>
      <c r="AG25" s="1">
        <v>26</v>
      </c>
      <c r="AH25" s="1">
        <v>26</v>
      </c>
      <c r="AI25" s="1">
        <v>28</v>
      </c>
      <c r="AJ25" s="1">
        <v>9</v>
      </c>
      <c r="AK25" s="1">
        <v>18</v>
      </c>
      <c r="AL25" s="1">
        <v>7</v>
      </c>
      <c r="AM25" s="1">
        <v>17</v>
      </c>
      <c r="AN25" s="1">
        <v>3</v>
      </c>
      <c r="AO25" s="1">
        <v>26</v>
      </c>
      <c r="AP25" s="1">
        <v>14</v>
      </c>
      <c r="AQ25" s="1">
        <v>26</v>
      </c>
      <c r="AR25" s="1">
        <v>25</v>
      </c>
      <c r="AS25" s="1">
        <v>23</v>
      </c>
      <c r="AT25" s="1">
        <v>26</v>
      </c>
      <c r="AU25" s="1">
        <v>10</v>
      </c>
      <c r="AV25" s="1" t="s">
        <v>518</v>
      </c>
    </row>
    <row r="26" spans="1:48" x14ac:dyDescent="0.25">
      <c r="A26" s="1">
        <v>1610612757</v>
      </c>
      <c r="B26" s="1" t="s">
        <v>520</v>
      </c>
      <c r="C26" s="1">
        <v>1</v>
      </c>
      <c r="D26" s="1">
        <v>0</v>
      </c>
      <c r="E26" s="1">
        <v>1</v>
      </c>
      <c r="F26" s="1">
        <v>0</v>
      </c>
      <c r="G26" s="1">
        <v>34</v>
      </c>
      <c r="H26" s="1">
        <v>111.3</v>
      </c>
      <c r="I26" s="1">
        <v>80.900000000000006</v>
      </c>
      <c r="J26" s="1">
        <v>112.5</v>
      </c>
      <c r="K26" s="1">
        <v>82.8</v>
      </c>
      <c r="L26" s="1">
        <v>-1.2</v>
      </c>
      <c r="M26" s="1">
        <v>-1.9</v>
      </c>
      <c r="N26" s="1">
        <v>0.55000000000000004</v>
      </c>
      <c r="O26" s="1">
        <v>2.5099999999999998</v>
      </c>
      <c r="P26" s="1">
        <v>13.4</v>
      </c>
      <c r="Q26" s="1">
        <v>0.20300000000000001</v>
      </c>
      <c r="R26" s="1">
        <v>0.79400000000000004</v>
      </c>
      <c r="S26" s="1">
        <v>0.51200000000000001</v>
      </c>
      <c r="T26" s="1">
        <v>6.6000000000000003E-2</v>
      </c>
      <c r="U26" s="1">
        <v>0.52600000000000002</v>
      </c>
      <c r="V26" s="1">
        <v>0.56599999999999995</v>
      </c>
      <c r="W26" s="1">
        <v>109.3</v>
      </c>
      <c r="X26" s="1">
        <v>149.4</v>
      </c>
      <c r="Y26" s="1">
        <v>124.5</v>
      </c>
      <c r="Z26" s="1">
        <v>106</v>
      </c>
      <c r="AA26" s="1">
        <v>0.51900000000000002</v>
      </c>
      <c r="AB26" s="1">
        <v>3</v>
      </c>
      <c r="AC26" s="1">
        <v>16</v>
      </c>
      <c r="AD26" s="1">
        <v>15</v>
      </c>
      <c r="AE26" s="1">
        <v>16</v>
      </c>
      <c r="AF26" s="1">
        <v>6</v>
      </c>
      <c r="AG26" s="1">
        <v>9</v>
      </c>
      <c r="AH26" s="1">
        <v>27</v>
      </c>
      <c r="AI26" s="1">
        <v>18</v>
      </c>
      <c r="AJ26" s="1">
        <v>17</v>
      </c>
      <c r="AK26" s="1">
        <v>8</v>
      </c>
      <c r="AL26" s="1">
        <v>12</v>
      </c>
      <c r="AM26" s="1">
        <v>22</v>
      </c>
      <c r="AN26" s="1">
        <v>10</v>
      </c>
      <c r="AO26" s="1">
        <v>11</v>
      </c>
      <c r="AP26" s="1">
        <v>9</v>
      </c>
      <c r="AQ26" s="1">
        <v>15</v>
      </c>
      <c r="AR26" s="1">
        <v>13</v>
      </c>
      <c r="AS26" s="1">
        <v>21</v>
      </c>
      <c r="AT26" s="1">
        <v>17</v>
      </c>
      <c r="AU26" s="1">
        <v>10</v>
      </c>
      <c r="AV26" s="1" t="s">
        <v>520</v>
      </c>
    </row>
    <row r="27" spans="1:48" x14ac:dyDescent="0.25">
      <c r="A27" s="1">
        <v>1610612758</v>
      </c>
      <c r="B27" s="1" t="s">
        <v>522</v>
      </c>
      <c r="C27" s="1">
        <v>1</v>
      </c>
      <c r="D27" s="1">
        <v>1</v>
      </c>
      <c r="E27" s="1">
        <v>0</v>
      </c>
      <c r="F27" s="1">
        <v>1</v>
      </c>
      <c r="G27" s="1">
        <v>31</v>
      </c>
      <c r="H27" s="1">
        <v>117.6</v>
      </c>
      <c r="I27" s="1">
        <v>77.400000000000006</v>
      </c>
      <c r="J27" s="1">
        <v>105.7</v>
      </c>
      <c r="K27" s="1">
        <v>69.099999999999994</v>
      </c>
      <c r="L27" s="1">
        <v>11.9</v>
      </c>
      <c r="M27" s="1">
        <v>8.3000000000000007</v>
      </c>
      <c r="N27" s="1">
        <v>0.54300000000000004</v>
      </c>
      <c r="O27" s="1">
        <v>2.27</v>
      </c>
      <c r="P27" s="1">
        <v>12.1</v>
      </c>
      <c r="Q27" s="1">
        <v>0.20300000000000001</v>
      </c>
      <c r="R27" s="1">
        <v>0.78300000000000003</v>
      </c>
      <c r="S27" s="1">
        <v>0.48799999999999999</v>
      </c>
      <c r="T27" s="1">
        <v>6.2E-2</v>
      </c>
      <c r="U27" s="1">
        <v>0.56100000000000005</v>
      </c>
      <c r="V27" s="1">
        <v>0.63700000000000001</v>
      </c>
      <c r="W27" s="1">
        <v>109.2</v>
      </c>
      <c r="X27" s="1">
        <v>166.5</v>
      </c>
      <c r="Y27" s="1">
        <v>138.75</v>
      </c>
      <c r="Z27" s="1">
        <v>106</v>
      </c>
      <c r="AA27" s="1">
        <v>0.53400000000000003</v>
      </c>
      <c r="AB27" s="1">
        <v>3</v>
      </c>
      <c r="AC27" s="1">
        <v>2</v>
      </c>
      <c r="AD27" s="1">
        <v>1</v>
      </c>
      <c r="AE27" s="1">
        <v>1</v>
      </c>
      <c r="AF27" s="1">
        <v>14</v>
      </c>
      <c r="AG27" s="1">
        <v>12</v>
      </c>
      <c r="AH27" s="1">
        <v>13</v>
      </c>
      <c r="AI27" s="1">
        <v>10</v>
      </c>
      <c r="AJ27" s="1">
        <v>19</v>
      </c>
      <c r="AK27" s="1">
        <v>10</v>
      </c>
      <c r="AL27" s="1">
        <v>19</v>
      </c>
      <c r="AM27" s="1">
        <v>21</v>
      </c>
      <c r="AN27" s="1">
        <v>11</v>
      </c>
      <c r="AO27" s="1">
        <v>20</v>
      </c>
      <c r="AP27" s="1">
        <v>7</v>
      </c>
      <c r="AQ27" s="1">
        <v>11</v>
      </c>
      <c r="AR27" s="1">
        <v>4</v>
      </c>
      <c r="AS27" s="1">
        <v>7</v>
      </c>
      <c r="AT27" s="1">
        <v>10</v>
      </c>
      <c r="AU27" s="1">
        <v>10</v>
      </c>
      <c r="AV27" s="1" t="s">
        <v>522</v>
      </c>
    </row>
    <row r="28" spans="1:48" x14ac:dyDescent="0.25">
      <c r="A28" s="1">
        <v>1610612759</v>
      </c>
      <c r="B28" s="1" t="s">
        <v>525</v>
      </c>
      <c r="C28" s="1">
        <v>1</v>
      </c>
      <c r="D28" s="1">
        <v>1</v>
      </c>
      <c r="E28" s="1">
        <v>0</v>
      </c>
      <c r="F28" s="1">
        <v>1</v>
      </c>
      <c r="G28" s="1">
        <v>28</v>
      </c>
      <c r="H28" s="1">
        <v>109.1</v>
      </c>
      <c r="I28" s="1">
        <v>76.7</v>
      </c>
      <c r="J28" s="1">
        <v>97.4</v>
      </c>
      <c r="K28" s="1">
        <v>66.5</v>
      </c>
      <c r="L28" s="1">
        <v>11.7</v>
      </c>
      <c r="M28" s="1">
        <v>10.199999999999999</v>
      </c>
      <c r="N28" s="1">
        <v>0.63800000000000001</v>
      </c>
      <c r="O28" s="1">
        <v>3.38</v>
      </c>
      <c r="P28" s="1">
        <v>16.3</v>
      </c>
      <c r="Q28" s="1">
        <v>0.373</v>
      </c>
      <c r="R28" s="1">
        <v>0.66200000000000003</v>
      </c>
      <c r="S28" s="1">
        <v>0.51</v>
      </c>
      <c r="T28" s="1">
        <v>0.06</v>
      </c>
      <c r="U28" s="1">
        <v>0.51400000000000001</v>
      </c>
      <c r="V28" s="1">
        <v>0.57199999999999995</v>
      </c>
      <c r="W28" s="1">
        <v>101.7</v>
      </c>
      <c r="X28" s="1">
        <v>146.63</v>
      </c>
      <c r="Y28" s="1">
        <v>122.19</v>
      </c>
      <c r="Z28" s="1">
        <v>86</v>
      </c>
      <c r="AA28" s="1">
        <v>0.58399999999999996</v>
      </c>
      <c r="AB28" s="1">
        <v>3</v>
      </c>
      <c r="AC28" s="1">
        <v>2</v>
      </c>
      <c r="AD28" s="1">
        <v>1</v>
      </c>
      <c r="AE28" s="1">
        <v>1</v>
      </c>
      <c r="AF28" s="1">
        <v>20</v>
      </c>
      <c r="AG28" s="1">
        <v>14</v>
      </c>
      <c r="AH28" s="1">
        <v>10</v>
      </c>
      <c r="AI28" s="1">
        <v>9</v>
      </c>
      <c r="AJ28" s="1">
        <v>8</v>
      </c>
      <c r="AK28" s="1">
        <v>5</v>
      </c>
      <c r="AL28" s="1">
        <v>3</v>
      </c>
      <c r="AM28" s="1">
        <v>1</v>
      </c>
      <c r="AN28" s="1">
        <v>29</v>
      </c>
      <c r="AO28" s="1">
        <v>13</v>
      </c>
      <c r="AP28" s="1">
        <v>6</v>
      </c>
      <c r="AQ28" s="1">
        <v>17</v>
      </c>
      <c r="AR28" s="1">
        <v>12</v>
      </c>
      <c r="AS28" s="1">
        <v>22</v>
      </c>
      <c r="AT28" s="1">
        <v>9</v>
      </c>
      <c r="AU28" s="1">
        <v>10</v>
      </c>
      <c r="AV28" s="1" t="s">
        <v>525</v>
      </c>
    </row>
    <row r="29" spans="1:48" x14ac:dyDescent="0.25">
      <c r="A29" s="1">
        <v>1610612761</v>
      </c>
      <c r="B29" s="1" t="s">
        <v>526</v>
      </c>
      <c r="C29" s="1">
        <v>1</v>
      </c>
      <c r="D29" s="1">
        <v>0</v>
      </c>
      <c r="E29" s="1">
        <v>1</v>
      </c>
      <c r="F29" s="1">
        <v>0</v>
      </c>
      <c r="G29" s="1">
        <v>28</v>
      </c>
      <c r="H29" s="1">
        <v>74.7</v>
      </c>
      <c r="I29" s="1">
        <v>43.7</v>
      </c>
      <c r="J29" s="1">
        <v>98.7</v>
      </c>
      <c r="K29" s="1">
        <v>58.5</v>
      </c>
      <c r="L29" s="1">
        <v>-24</v>
      </c>
      <c r="M29" s="1">
        <v>-14.8</v>
      </c>
      <c r="N29" s="1">
        <v>0.47199999999999998</v>
      </c>
      <c r="O29" s="1">
        <v>0.66</v>
      </c>
      <c r="P29" s="1">
        <v>8.8000000000000007</v>
      </c>
      <c r="Q29" s="1">
        <v>0.29399999999999998</v>
      </c>
      <c r="R29" s="1">
        <v>0.84</v>
      </c>
      <c r="S29" s="1">
        <v>0.502</v>
      </c>
      <c r="T29" s="1">
        <v>0.12</v>
      </c>
      <c r="U29" s="1">
        <v>0.35699999999999998</v>
      </c>
      <c r="V29" s="1">
        <v>0.35599999999999998</v>
      </c>
      <c r="W29" s="1">
        <v>106.5</v>
      </c>
      <c r="X29" s="1">
        <v>180.77</v>
      </c>
      <c r="Y29" s="1">
        <v>150.63999999999999</v>
      </c>
      <c r="Z29" s="1">
        <v>107</v>
      </c>
      <c r="AA29" s="1">
        <v>0.24</v>
      </c>
      <c r="AB29" s="1">
        <v>3</v>
      </c>
      <c r="AC29" s="1">
        <v>16</v>
      </c>
      <c r="AD29" s="1">
        <v>15</v>
      </c>
      <c r="AE29" s="1">
        <v>16</v>
      </c>
      <c r="AF29" s="1">
        <v>18</v>
      </c>
      <c r="AG29" s="1">
        <v>30</v>
      </c>
      <c r="AH29" s="1">
        <v>5</v>
      </c>
      <c r="AI29" s="1">
        <v>25</v>
      </c>
      <c r="AJ29" s="1">
        <v>27</v>
      </c>
      <c r="AK29" s="1">
        <v>30</v>
      </c>
      <c r="AL29" s="1">
        <v>28</v>
      </c>
      <c r="AM29" s="1">
        <v>8</v>
      </c>
      <c r="AN29" s="1">
        <v>4</v>
      </c>
      <c r="AO29" s="1">
        <v>15</v>
      </c>
      <c r="AP29" s="1">
        <v>28</v>
      </c>
      <c r="AQ29" s="1">
        <v>29</v>
      </c>
      <c r="AR29" s="1">
        <v>30</v>
      </c>
      <c r="AS29" s="1">
        <v>2</v>
      </c>
      <c r="AT29" s="1">
        <v>30</v>
      </c>
      <c r="AU29" s="1">
        <v>10</v>
      </c>
      <c r="AV29" s="1" t="s">
        <v>526</v>
      </c>
    </row>
    <row r="30" spans="1:48" x14ac:dyDescent="0.25">
      <c r="A30" s="1">
        <v>1610612762</v>
      </c>
      <c r="B30" s="1" t="s">
        <v>528</v>
      </c>
      <c r="C30" s="1">
        <v>1</v>
      </c>
      <c r="D30" s="1">
        <v>1</v>
      </c>
      <c r="E30" s="1">
        <v>0</v>
      </c>
      <c r="F30" s="1">
        <v>1</v>
      </c>
      <c r="G30" s="1">
        <v>28</v>
      </c>
      <c r="H30" s="1">
        <v>112.7</v>
      </c>
      <c r="I30" s="1">
        <v>66.5</v>
      </c>
      <c r="J30" s="1">
        <v>79.5</v>
      </c>
      <c r="K30" s="1">
        <v>48.3</v>
      </c>
      <c r="L30" s="1">
        <v>33.299999999999997</v>
      </c>
      <c r="M30" s="1">
        <v>18.2</v>
      </c>
      <c r="N30" s="1">
        <v>0.47499999999999998</v>
      </c>
      <c r="O30" s="1">
        <v>2.85</v>
      </c>
      <c r="P30" s="1">
        <v>10.199999999999999</v>
      </c>
      <c r="Q30" s="1">
        <v>0.28199999999999997</v>
      </c>
      <c r="R30" s="1">
        <v>0.68500000000000005</v>
      </c>
      <c r="S30" s="1">
        <v>0.5</v>
      </c>
      <c r="T30" s="1">
        <v>4.2999999999999997E-2</v>
      </c>
      <c r="U30" s="1">
        <v>0.50900000000000001</v>
      </c>
      <c r="V30" s="1">
        <v>0.51500000000000001</v>
      </c>
      <c r="W30" s="1">
        <v>95.3</v>
      </c>
      <c r="X30" s="1">
        <v>159.29</v>
      </c>
      <c r="Y30" s="1">
        <v>132.74</v>
      </c>
      <c r="Z30" s="1">
        <v>93</v>
      </c>
      <c r="AA30" s="1">
        <v>0.69499999999999995</v>
      </c>
      <c r="AB30" s="1">
        <v>3</v>
      </c>
      <c r="AC30" s="1">
        <v>2</v>
      </c>
      <c r="AD30" s="1">
        <v>1</v>
      </c>
      <c r="AE30" s="1">
        <v>1</v>
      </c>
      <c r="AF30" s="1">
        <v>23</v>
      </c>
      <c r="AG30" s="1">
        <v>20</v>
      </c>
      <c r="AH30" s="1">
        <v>2</v>
      </c>
      <c r="AI30" s="1">
        <v>5</v>
      </c>
      <c r="AJ30" s="1">
        <v>26</v>
      </c>
      <c r="AK30" s="1">
        <v>6</v>
      </c>
      <c r="AL30" s="1">
        <v>24</v>
      </c>
      <c r="AM30" s="1">
        <v>9</v>
      </c>
      <c r="AN30" s="1">
        <v>25</v>
      </c>
      <c r="AO30" s="1">
        <v>16</v>
      </c>
      <c r="AP30" s="1">
        <v>2</v>
      </c>
      <c r="AQ30" s="1">
        <v>19</v>
      </c>
      <c r="AR30" s="1">
        <v>23</v>
      </c>
      <c r="AS30" s="1">
        <v>13</v>
      </c>
      <c r="AT30" s="1">
        <v>6</v>
      </c>
      <c r="AU30" s="1">
        <v>10</v>
      </c>
      <c r="AV30" s="1" t="s">
        <v>528</v>
      </c>
    </row>
    <row r="31" spans="1:48" x14ac:dyDescent="0.25">
      <c r="A31" s="1">
        <v>1610612764</v>
      </c>
      <c r="B31" s="1" t="s">
        <v>530</v>
      </c>
      <c r="C31" s="1">
        <v>1</v>
      </c>
      <c r="D31" s="1">
        <v>1</v>
      </c>
      <c r="E31" s="1">
        <v>0</v>
      </c>
      <c r="F31" s="1">
        <v>1</v>
      </c>
      <c r="G31" s="1">
        <v>29</v>
      </c>
      <c r="H31" s="1">
        <v>95.2</v>
      </c>
      <c r="I31" s="1">
        <v>60.6</v>
      </c>
      <c r="J31" s="1">
        <v>77.400000000000006</v>
      </c>
      <c r="K31" s="1">
        <v>47.5</v>
      </c>
      <c r="L31" s="1">
        <v>17.8</v>
      </c>
      <c r="M31" s="1">
        <v>13.1</v>
      </c>
      <c r="N31" s="1">
        <v>0.55100000000000005</v>
      </c>
      <c r="O31" s="1">
        <v>1</v>
      </c>
      <c r="P31" s="1">
        <v>11.7</v>
      </c>
      <c r="Q31" s="1">
        <v>0.154</v>
      </c>
      <c r="R31" s="1">
        <v>0.67500000000000004</v>
      </c>
      <c r="S31" s="1">
        <v>0.47299999999999998</v>
      </c>
      <c r="T31" s="1">
        <v>0.11899999999999999</v>
      </c>
      <c r="U31" s="1">
        <v>0.49199999999999999</v>
      </c>
      <c r="V31" s="1">
        <v>0.501</v>
      </c>
      <c r="W31" s="1">
        <v>104.1</v>
      </c>
      <c r="X31" s="1">
        <v>166.52</v>
      </c>
      <c r="Y31" s="1">
        <v>138.77000000000001</v>
      </c>
      <c r="Z31" s="1">
        <v>99</v>
      </c>
      <c r="AA31" s="1">
        <v>0.71399999999999997</v>
      </c>
      <c r="AB31" s="1">
        <v>3</v>
      </c>
      <c r="AC31" s="1">
        <v>2</v>
      </c>
      <c r="AD31" s="1">
        <v>1</v>
      </c>
      <c r="AE31" s="1">
        <v>1</v>
      </c>
      <c r="AF31" s="1">
        <v>16</v>
      </c>
      <c r="AG31" s="1">
        <v>25</v>
      </c>
      <c r="AH31" s="1">
        <v>1</v>
      </c>
      <c r="AI31" s="1">
        <v>7</v>
      </c>
      <c r="AJ31" s="1">
        <v>16</v>
      </c>
      <c r="AK31" s="1">
        <v>28</v>
      </c>
      <c r="AL31" s="1">
        <v>20</v>
      </c>
      <c r="AM31" s="1">
        <v>27</v>
      </c>
      <c r="AN31" s="1">
        <v>26</v>
      </c>
      <c r="AO31" s="1">
        <v>24</v>
      </c>
      <c r="AP31" s="1">
        <v>27</v>
      </c>
      <c r="AQ31" s="1">
        <v>22</v>
      </c>
      <c r="AR31" s="1">
        <v>24</v>
      </c>
      <c r="AS31" s="1">
        <v>6</v>
      </c>
      <c r="AT31" s="1">
        <v>4</v>
      </c>
      <c r="AU31" s="1">
        <v>10</v>
      </c>
      <c r="AV31" s="1" t="s">
        <v>530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A2A8-F069-44CD-8E0F-828D80129D44}">
  <dimension ref="A1:AV31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8" max="8" width="17.3828125" customWidth="1"/>
    <col min="9" max="9" width="15.3828125" customWidth="1"/>
    <col min="10" max="10" width="17.23046875" customWidth="1"/>
    <col min="11" max="11" width="15.23046875" customWidth="1"/>
    <col min="12" max="12" width="17.3828125" customWidth="1"/>
    <col min="13" max="13" width="15.3828125" customWidth="1"/>
    <col min="14" max="14" width="11.84375" customWidth="1"/>
    <col min="15" max="15" width="10.61328125" customWidth="1"/>
    <col min="16" max="16" width="14" customWidth="1"/>
    <col min="17" max="17" width="13.4609375" customWidth="1"/>
    <col min="18" max="18" width="13.3046875" customWidth="1"/>
    <col min="19" max="19" width="11.84375" customWidth="1"/>
    <col min="20" max="20" width="15.921875" customWidth="1"/>
    <col min="21" max="21" width="11.69140625" customWidth="1"/>
    <col min="22" max="22" width="10.53515625" customWidth="1"/>
    <col min="23" max="23" width="10.23046875" customWidth="1"/>
    <col min="25" max="25" width="15.3828125" customWidth="1"/>
    <col min="28" max="28" width="12" customWidth="1"/>
    <col min="29" max="29" width="10.765625" customWidth="1"/>
    <col min="30" max="30" width="10.3828125" customWidth="1"/>
    <col min="31" max="31" width="15.765625" customWidth="1"/>
    <col min="32" max="32" width="12.921875" customWidth="1"/>
    <col min="33" max="33" width="21.69140625" customWidth="1"/>
    <col min="34" max="34" width="21.53515625" customWidth="1"/>
    <col min="35" max="35" width="21.69140625" customWidth="1"/>
    <col min="36" max="36" width="18.15234375" customWidth="1"/>
    <col min="37" max="37" width="17" customWidth="1"/>
    <col min="38" max="38" width="20.3046875" customWidth="1"/>
    <col min="39" max="39" width="19.765625" customWidth="1"/>
    <col min="40" max="40" width="19.69140625" customWidth="1"/>
    <col min="41" max="41" width="18.15234375" customWidth="1"/>
    <col min="42" max="42" width="22.23046875" customWidth="1"/>
    <col min="43" max="43" width="18.07421875" customWidth="1"/>
    <col min="44" max="44" width="16.84375" customWidth="1"/>
    <col min="45" max="45" width="14.53515625" customWidth="1"/>
    <col min="46" max="46" width="12.3828125" customWidth="1"/>
    <col min="48" max="48" width="13.84375" customWidth="1"/>
  </cols>
  <sheetData>
    <row r="1" spans="1:48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532</v>
      </c>
      <c r="I1" s="1" t="s">
        <v>533</v>
      </c>
      <c r="J1" s="1" t="s">
        <v>534</v>
      </c>
      <c r="K1" s="1" t="s">
        <v>535</v>
      </c>
      <c r="L1" s="1" t="s">
        <v>536</v>
      </c>
      <c r="M1" s="1" t="s">
        <v>537</v>
      </c>
      <c r="N1" s="1" t="s">
        <v>538</v>
      </c>
      <c r="O1" s="1" t="s">
        <v>539</v>
      </c>
      <c r="P1" s="1" t="s">
        <v>540</v>
      </c>
      <c r="Q1" s="1" t="s">
        <v>541</v>
      </c>
      <c r="R1" s="1" t="s">
        <v>542</v>
      </c>
      <c r="S1" s="1" t="s">
        <v>543</v>
      </c>
      <c r="T1" s="1" t="s">
        <v>544</v>
      </c>
      <c r="U1" s="1" t="s">
        <v>545</v>
      </c>
      <c r="V1" s="1" t="s">
        <v>546</v>
      </c>
      <c r="W1" s="1" t="s">
        <v>547</v>
      </c>
      <c r="X1" s="1" t="s">
        <v>548</v>
      </c>
      <c r="Y1" s="1" t="s">
        <v>549</v>
      </c>
      <c r="Z1" s="1" t="s">
        <v>550</v>
      </c>
      <c r="AA1" s="1" t="s">
        <v>551</v>
      </c>
      <c r="AB1" s="1" t="s">
        <v>435</v>
      </c>
      <c r="AC1" s="1" t="s">
        <v>436</v>
      </c>
      <c r="AD1" s="1" t="s">
        <v>437</v>
      </c>
      <c r="AE1" s="1" t="s">
        <v>438</v>
      </c>
      <c r="AF1" s="1" t="s">
        <v>439</v>
      </c>
      <c r="AG1" s="1" t="s">
        <v>552</v>
      </c>
      <c r="AH1" s="1" t="s">
        <v>553</v>
      </c>
      <c r="AI1" s="1" t="s">
        <v>554</v>
      </c>
      <c r="AJ1" s="1" t="s">
        <v>555</v>
      </c>
      <c r="AK1" s="1" t="s">
        <v>556</v>
      </c>
      <c r="AL1" s="1" t="s">
        <v>557</v>
      </c>
      <c r="AM1" s="1" t="s">
        <v>558</v>
      </c>
      <c r="AN1" s="1" t="s">
        <v>559</v>
      </c>
      <c r="AO1" s="1" t="s">
        <v>560</v>
      </c>
      <c r="AP1" s="1" t="s">
        <v>561</v>
      </c>
      <c r="AQ1" s="1" t="s">
        <v>562</v>
      </c>
      <c r="AR1" s="1" t="s">
        <v>563</v>
      </c>
      <c r="AS1" s="1" t="s">
        <v>564</v>
      </c>
      <c r="AT1" s="1" t="s">
        <v>565</v>
      </c>
      <c r="AU1" s="1" t="s">
        <v>461</v>
      </c>
      <c r="AV1" s="1" t="s">
        <v>462</v>
      </c>
    </row>
    <row r="2" spans="1:48" x14ac:dyDescent="0.25">
      <c r="A2" s="1">
        <v>1610612737</v>
      </c>
      <c r="B2" s="1" t="s">
        <v>463</v>
      </c>
      <c r="C2" s="1">
        <v>1</v>
      </c>
      <c r="D2" s="1">
        <v>1</v>
      </c>
      <c r="E2" s="1">
        <v>0</v>
      </c>
      <c r="F2" s="1">
        <v>1</v>
      </c>
      <c r="G2" s="1">
        <v>20</v>
      </c>
      <c r="H2" s="1">
        <v>93.7</v>
      </c>
      <c r="I2" s="1">
        <v>65.8</v>
      </c>
      <c r="J2" s="1">
        <v>74.8</v>
      </c>
      <c r="K2" s="1">
        <v>52.9</v>
      </c>
      <c r="L2" s="1">
        <v>18.899999999999999</v>
      </c>
      <c r="M2" s="1">
        <v>12.9</v>
      </c>
      <c r="N2" s="1">
        <v>0.753</v>
      </c>
      <c r="O2" s="1">
        <v>2.65</v>
      </c>
      <c r="P2" s="1">
        <v>13.2</v>
      </c>
      <c r="Q2" s="1">
        <v>0.17299999999999999</v>
      </c>
      <c r="R2" s="1">
        <v>0.88300000000000001</v>
      </c>
      <c r="S2" s="1">
        <v>0.52100000000000002</v>
      </c>
      <c r="T2" s="1">
        <v>7.0999999999999994E-2</v>
      </c>
      <c r="U2" s="1">
        <v>0.45600000000000002</v>
      </c>
      <c r="V2" s="1">
        <v>0.50800000000000001</v>
      </c>
      <c r="W2" s="1">
        <v>107.8</v>
      </c>
      <c r="X2" s="1">
        <v>152.97999999999999</v>
      </c>
      <c r="Y2" s="1">
        <v>127.48</v>
      </c>
      <c r="Z2" s="1">
        <v>65</v>
      </c>
      <c r="AA2" s="1">
        <v>0.65200000000000002</v>
      </c>
      <c r="AB2" s="1">
        <v>3</v>
      </c>
      <c r="AC2" s="1">
        <v>2</v>
      </c>
      <c r="AD2" s="1">
        <v>1</v>
      </c>
      <c r="AE2" s="1">
        <v>1</v>
      </c>
      <c r="AF2" s="1">
        <v>7</v>
      </c>
      <c r="AG2" s="1">
        <v>7</v>
      </c>
      <c r="AH2" s="1">
        <v>11</v>
      </c>
      <c r="AI2" s="1">
        <v>4</v>
      </c>
      <c r="AJ2" s="1">
        <v>2</v>
      </c>
      <c r="AK2" s="1">
        <v>6</v>
      </c>
      <c r="AL2" s="1">
        <v>2</v>
      </c>
      <c r="AM2" s="1">
        <v>29</v>
      </c>
      <c r="AN2" s="1">
        <v>1</v>
      </c>
      <c r="AO2" s="1">
        <v>10</v>
      </c>
      <c r="AP2" s="1">
        <v>11</v>
      </c>
      <c r="AQ2" s="1">
        <v>23</v>
      </c>
      <c r="AR2" s="1">
        <v>18</v>
      </c>
      <c r="AS2" s="1">
        <v>27</v>
      </c>
      <c r="AT2" s="1">
        <v>3</v>
      </c>
      <c r="AU2" s="1">
        <v>10</v>
      </c>
      <c r="AV2" s="1" t="s">
        <v>463</v>
      </c>
    </row>
    <row r="3" spans="1:48" x14ac:dyDescent="0.25">
      <c r="A3" s="1">
        <v>1610612738</v>
      </c>
      <c r="B3" s="1" t="s">
        <v>466</v>
      </c>
      <c r="C3" s="1">
        <v>1</v>
      </c>
      <c r="D3" s="1">
        <v>0</v>
      </c>
      <c r="E3" s="1">
        <v>1</v>
      </c>
      <c r="F3" s="1">
        <v>0</v>
      </c>
      <c r="G3" s="1">
        <v>15</v>
      </c>
      <c r="H3" s="1">
        <v>89.9</v>
      </c>
      <c r="I3" s="1">
        <v>36.299999999999997</v>
      </c>
      <c r="J3" s="1">
        <v>113.2</v>
      </c>
      <c r="K3" s="1">
        <v>45</v>
      </c>
      <c r="L3" s="1">
        <v>-23.3</v>
      </c>
      <c r="M3" s="1">
        <v>-8.6999999999999993</v>
      </c>
      <c r="N3" s="1">
        <v>0.67800000000000005</v>
      </c>
      <c r="O3" s="1">
        <v>1.6</v>
      </c>
      <c r="P3" s="1">
        <v>9.6</v>
      </c>
      <c r="Q3" s="1">
        <v>0.33</v>
      </c>
      <c r="R3" s="1">
        <v>0.67600000000000005</v>
      </c>
      <c r="S3" s="1">
        <v>0.47199999999999998</v>
      </c>
      <c r="T3" s="1">
        <v>5.7000000000000002E-2</v>
      </c>
      <c r="U3" s="1">
        <v>0.42899999999999999</v>
      </c>
      <c r="V3" s="1">
        <v>0.36799999999999999</v>
      </c>
      <c r="W3" s="1">
        <v>109</v>
      </c>
      <c r="X3" s="1">
        <v>272.01</v>
      </c>
      <c r="Y3" s="1">
        <v>226.68</v>
      </c>
      <c r="Z3" s="1">
        <v>87</v>
      </c>
      <c r="AA3" s="1">
        <v>0.34699999999999998</v>
      </c>
      <c r="AB3" s="1">
        <v>3</v>
      </c>
      <c r="AC3" s="1">
        <v>16</v>
      </c>
      <c r="AD3" s="1">
        <v>15</v>
      </c>
      <c r="AE3" s="1">
        <v>16</v>
      </c>
      <c r="AF3" s="1">
        <v>26</v>
      </c>
      <c r="AG3" s="1">
        <v>29</v>
      </c>
      <c r="AH3" s="1">
        <v>5</v>
      </c>
      <c r="AI3" s="1">
        <v>27</v>
      </c>
      <c r="AJ3" s="1">
        <v>5</v>
      </c>
      <c r="AK3" s="1">
        <v>10</v>
      </c>
      <c r="AL3" s="1">
        <v>15</v>
      </c>
      <c r="AM3" s="1">
        <v>6</v>
      </c>
      <c r="AN3" s="1">
        <v>24</v>
      </c>
      <c r="AO3" s="1">
        <v>21</v>
      </c>
      <c r="AP3" s="1">
        <v>7</v>
      </c>
      <c r="AQ3" s="1">
        <v>27</v>
      </c>
      <c r="AR3" s="1">
        <v>28</v>
      </c>
      <c r="AS3" s="1">
        <v>1</v>
      </c>
      <c r="AT3" s="1">
        <v>27</v>
      </c>
      <c r="AU3" s="1">
        <v>10</v>
      </c>
      <c r="AV3" s="1" t="s">
        <v>466</v>
      </c>
    </row>
    <row r="4" spans="1:48" x14ac:dyDescent="0.25">
      <c r="A4" s="1">
        <v>1610612751</v>
      </c>
      <c r="B4" s="1" t="s">
        <v>469</v>
      </c>
      <c r="C4" s="1">
        <v>1</v>
      </c>
      <c r="D4" s="1">
        <v>0</v>
      </c>
      <c r="E4" s="1">
        <v>1</v>
      </c>
      <c r="F4" s="1">
        <v>0</v>
      </c>
      <c r="G4" s="1">
        <v>20</v>
      </c>
      <c r="H4" s="1">
        <v>94.6</v>
      </c>
      <c r="I4" s="1">
        <v>49.6</v>
      </c>
      <c r="J4" s="1">
        <v>114.2</v>
      </c>
      <c r="K4" s="1">
        <v>62.7</v>
      </c>
      <c r="L4" s="1">
        <v>-19.600000000000001</v>
      </c>
      <c r="M4" s="1">
        <v>-13</v>
      </c>
      <c r="N4" s="1">
        <v>0.47</v>
      </c>
      <c r="O4" s="1">
        <v>1.1100000000000001</v>
      </c>
      <c r="P4" s="1">
        <v>5.2</v>
      </c>
      <c r="Q4" s="1">
        <v>0.217</v>
      </c>
      <c r="R4" s="1">
        <v>0.73499999999999999</v>
      </c>
      <c r="S4" s="1">
        <v>0.46800000000000003</v>
      </c>
      <c r="T4" s="1">
        <v>6.7000000000000004E-2</v>
      </c>
      <c r="U4" s="1">
        <v>0.48599999999999999</v>
      </c>
      <c r="V4" s="1">
        <v>0.53100000000000003</v>
      </c>
      <c r="W4" s="1">
        <v>105.6</v>
      </c>
      <c r="X4" s="1">
        <v>196.84</v>
      </c>
      <c r="Y4" s="1">
        <v>164.03</v>
      </c>
      <c r="Z4" s="1">
        <v>83</v>
      </c>
      <c r="AA4" s="1">
        <v>0.34499999999999997</v>
      </c>
      <c r="AB4" s="1">
        <v>3</v>
      </c>
      <c r="AC4" s="1">
        <v>16</v>
      </c>
      <c r="AD4" s="1">
        <v>15</v>
      </c>
      <c r="AE4" s="1">
        <v>16</v>
      </c>
      <c r="AF4" s="1">
        <v>9</v>
      </c>
      <c r="AG4" s="1">
        <v>19</v>
      </c>
      <c r="AH4" s="1">
        <v>22</v>
      </c>
      <c r="AI4" s="1">
        <v>28</v>
      </c>
      <c r="AJ4" s="1">
        <v>26</v>
      </c>
      <c r="AK4" s="1">
        <v>21</v>
      </c>
      <c r="AL4" s="1">
        <v>27</v>
      </c>
      <c r="AM4" s="1">
        <v>24</v>
      </c>
      <c r="AN4" s="1">
        <v>15</v>
      </c>
      <c r="AO4" s="1">
        <v>23</v>
      </c>
      <c r="AP4" s="1">
        <v>8</v>
      </c>
      <c r="AQ4" s="1">
        <v>21</v>
      </c>
      <c r="AR4" s="1">
        <v>15</v>
      </c>
      <c r="AS4" s="1">
        <v>15</v>
      </c>
      <c r="AT4" s="1">
        <v>28</v>
      </c>
      <c r="AU4" s="1">
        <v>10</v>
      </c>
      <c r="AV4" s="1" t="s">
        <v>469</v>
      </c>
    </row>
    <row r="5" spans="1:48" x14ac:dyDescent="0.25">
      <c r="A5" s="1">
        <v>1610612766</v>
      </c>
      <c r="B5" s="1" t="s">
        <v>471</v>
      </c>
      <c r="C5" s="1">
        <v>1</v>
      </c>
      <c r="D5" s="1">
        <v>1</v>
      </c>
      <c r="E5" s="1">
        <v>0</v>
      </c>
      <c r="F5" s="1">
        <v>1</v>
      </c>
      <c r="G5" s="1">
        <v>15</v>
      </c>
      <c r="H5" s="1">
        <v>98.2</v>
      </c>
      <c r="I5" s="1">
        <v>55.9</v>
      </c>
      <c r="J5" s="1">
        <v>116.6</v>
      </c>
      <c r="K5" s="1">
        <v>64.400000000000006</v>
      </c>
      <c r="L5" s="1">
        <v>-18.5</v>
      </c>
      <c r="M5" s="1">
        <v>-8.4</v>
      </c>
      <c r="N5" s="1">
        <v>0.56499999999999995</v>
      </c>
      <c r="O5" s="1">
        <v>3.55</v>
      </c>
      <c r="P5" s="1">
        <v>10.6</v>
      </c>
      <c r="Q5" s="1">
        <v>0.32400000000000001</v>
      </c>
      <c r="R5" s="1">
        <v>0.78300000000000003</v>
      </c>
      <c r="S5" s="1">
        <v>0.503</v>
      </c>
      <c r="T5" s="1">
        <v>3.4000000000000002E-2</v>
      </c>
      <c r="U5" s="1">
        <v>0.45</v>
      </c>
      <c r="V5" s="1">
        <v>0.49099999999999999</v>
      </c>
      <c r="W5" s="1">
        <v>114.2</v>
      </c>
      <c r="X5" s="1">
        <v>203.64</v>
      </c>
      <c r="Y5" s="1">
        <v>169.7</v>
      </c>
      <c r="Z5" s="1">
        <v>64</v>
      </c>
      <c r="AA5" s="1">
        <v>0.377</v>
      </c>
      <c r="AB5" s="1">
        <v>3</v>
      </c>
      <c r="AC5" s="1">
        <v>2</v>
      </c>
      <c r="AD5" s="1">
        <v>1</v>
      </c>
      <c r="AE5" s="1">
        <v>1</v>
      </c>
      <c r="AF5" s="1">
        <v>28</v>
      </c>
      <c r="AG5" s="1">
        <v>16</v>
      </c>
      <c r="AH5" s="1">
        <v>23</v>
      </c>
      <c r="AI5" s="1">
        <v>26</v>
      </c>
      <c r="AJ5" s="1">
        <v>18</v>
      </c>
      <c r="AK5" s="1">
        <v>3</v>
      </c>
      <c r="AL5" s="1">
        <v>12</v>
      </c>
      <c r="AM5" s="1">
        <v>7</v>
      </c>
      <c r="AN5" s="1">
        <v>7</v>
      </c>
      <c r="AO5" s="1">
        <v>14</v>
      </c>
      <c r="AP5" s="1">
        <v>2</v>
      </c>
      <c r="AQ5" s="1">
        <v>25</v>
      </c>
      <c r="AR5" s="1">
        <v>20</v>
      </c>
      <c r="AS5" s="1">
        <v>12</v>
      </c>
      <c r="AT5" s="1">
        <v>26</v>
      </c>
      <c r="AU5" s="1">
        <v>10</v>
      </c>
      <c r="AV5" s="1" t="s">
        <v>471</v>
      </c>
    </row>
    <row r="6" spans="1:48" x14ac:dyDescent="0.25">
      <c r="A6" s="1">
        <v>1610612741</v>
      </c>
      <c r="B6" s="1" t="s">
        <v>474</v>
      </c>
      <c r="C6" s="1">
        <v>1</v>
      </c>
      <c r="D6" s="1">
        <v>1</v>
      </c>
      <c r="E6" s="1">
        <v>0</v>
      </c>
      <c r="F6" s="1">
        <v>1</v>
      </c>
      <c r="G6" s="1">
        <v>14</v>
      </c>
      <c r="H6" s="1">
        <v>75.5</v>
      </c>
      <c r="I6" s="1">
        <v>32.200000000000003</v>
      </c>
      <c r="J6" s="1">
        <v>86.9</v>
      </c>
      <c r="K6" s="1">
        <v>39.700000000000003</v>
      </c>
      <c r="L6" s="1">
        <v>-11.4</v>
      </c>
      <c r="M6" s="1">
        <v>-7.5</v>
      </c>
      <c r="N6" s="1">
        <v>0.56799999999999995</v>
      </c>
      <c r="O6" s="1">
        <v>0.69</v>
      </c>
      <c r="P6" s="1">
        <v>5</v>
      </c>
      <c r="Q6" s="1">
        <v>0.30599999999999999</v>
      </c>
      <c r="R6" s="1">
        <v>0.74</v>
      </c>
      <c r="S6" s="1">
        <v>0.52400000000000002</v>
      </c>
      <c r="T6" s="1">
        <v>0.107</v>
      </c>
      <c r="U6" s="1">
        <v>0.44600000000000001</v>
      </c>
      <c r="V6" s="1">
        <v>0.313</v>
      </c>
      <c r="W6" s="1">
        <v>102.7</v>
      </c>
      <c r="X6" s="1">
        <v>232.34</v>
      </c>
      <c r="Y6" s="1">
        <v>193.62</v>
      </c>
      <c r="Z6" s="1">
        <v>67</v>
      </c>
      <c r="AA6" s="1">
        <v>0.38100000000000001</v>
      </c>
      <c r="AB6" s="1">
        <v>3</v>
      </c>
      <c r="AC6" s="1">
        <v>2</v>
      </c>
      <c r="AD6" s="1">
        <v>1</v>
      </c>
      <c r="AE6" s="1">
        <v>1</v>
      </c>
      <c r="AF6" s="1">
        <v>30</v>
      </c>
      <c r="AG6" s="1">
        <v>30</v>
      </c>
      <c r="AH6" s="1">
        <v>1</v>
      </c>
      <c r="AI6" s="1">
        <v>24</v>
      </c>
      <c r="AJ6" s="1">
        <v>17</v>
      </c>
      <c r="AK6" s="1">
        <v>30</v>
      </c>
      <c r="AL6" s="1">
        <v>29</v>
      </c>
      <c r="AM6" s="1">
        <v>9</v>
      </c>
      <c r="AN6" s="1">
        <v>13</v>
      </c>
      <c r="AO6" s="1">
        <v>8</v>
      </c>
      <c r="AP6" s="1">
        <v>24</v>
      </c>
      <c r="AQ6" s="1">
        <v>26</v>
      </c>
      <c r="AR6" s="1">
        <v>30</v>
      </c>
      <c r="AS6" s="1">
        <v>6</v>
      </c>
      <c r="AT6" s="1">
        <v>25</v>
      </c>
      <c r="AU6" s="1">
        <v>10</v>
      </c>
      <c r="AV6" s="1" t="s">
        <v>474</v>
      </c>
    </row>
    <row r="7" spans="1:48" x14ac:dyDescent="0.25">
      <c r="A7" s="1">
        <v>1610612739</v>
      </c>
      <c r="B7" s="1" t="s">
        <v>477</v>
      </c>
      <c r="C7" s="1">
        <v>1</v>
      </c>
      <c r="D7" s="1">
        <v>0</v>
      </c>
      <c r="E7" s="1">
        <v>1</v>
      </c>
      <c r="F7" s="1">
        <v>0</v>
      </c>
      <c r="G7" s="1">
        <v>16</v>
      </c>
      <c r="H7" s="1">
        <v>110.2</v>
      </c>
      <c r="I7" s="1">
        <v>48.3</v>
      </c>
      <c r="J7" s="1">
        <v>130.6</v>
      </c>
      <c r="K7" s="1">
        <v>53.5</v>
      </c>
      <c r="L7" s="1">
        <v>-20.399999999999999</v>
      </c>
      <c r="M7" s="1">
        <v>-5.2</v>
      </c>
      <c r="N7" s="1">
        <v>0.84699999999999998</v>
      </c>
      <c r="O7" s="1">
        <v>2.77</v>
      </c>
      <c r="P7" s="1">
        <v>15.8</v>
      </c>
      <c r="Q7" s="1">
        <v>0.19800000000000001</v>
      </c>
      <c r="R7" s="1">
        <v>0.72</v>
      </c>
      <c r="S7" s="1">
        <v>0.441</v>
      </c>
      <c r="T7" s="1">
        <v>5.3999999999999999E-2</v>
      </c>
      <c r="U7" s="1">
        <v>0.55200000000000005</v>
      </c>
      <c r="V7" s="1">
        <v>0.63900000000000001</v>
      </c>
      <c r="W7" s="1">
        <v>104.8</v>
      </c>
      <c r="X7" s="1">
        <v>247.4</v>
      </c>
      <c r="Y7" s="1">
        <v>206.16</v>
      </c>
      <c r="Z7" s="1">
        <v>82</v>
      </c>
      <c r="AA7" s="1">
        <v>0.42399999999999999</v>
      </c>
      <c r="AB7" s="1">
        <v>3</v>
      </c>
      <c r="AC7" s="1">
        <v>16</v>
      </c>
      <c r="AD7" s="1">
        <v>15</v>
      </c>
      <c r="AE7" s="1">
        <v>16</v>
      </c>
      <c r="AF7" s="1">
        <v>25</v>
      </c>
      <c r="AG7" s="1">
        <v>21</v>
      </c>
      <c r="AH7" s="1">
        <v>12</v>
      </c>
      <c r="AI7" s="1">
        <v>20</v>
      </c>
      <c r="AJ7" s="1">
        <v>1</v>
      </c>
      <c r="AK7" s="1">
        <v>5</v>
      </c>
      <c r="AL7" s="1">
        <v>1</v>
      </c>
      <c r="AM7" s="1">
        <v>27</v>
      </c>
      <c r="AN7" s="1">
        <v>18</v>
      </c>
      <c r="AO7" s="1">
        <v>27</v>
      </c>
      <c r="AP7" s="1">
        <v>6</v>
      </c>
      <c r="AQ7" s="1">
        <v>11</v>
      </c>
      <c r="AR7" s="1">
        <v>7</v>
      </c>
      <c r="AS7" s="1">
        <v>4</v>
      </c>
      <c r="AT7" s="1">
        <v>19</v>
      </c>
      <c r="AU7" s="1">
        <v>10</v>
      </c>
      <c r="AV7" s="1" t="s">
        <v>477</v>
      </c>
    </row>
    <row r="8" spans="1:48" x14ac:dyDescent="0.25">
      <c r="A8" s="1">
        <v>1610612742</v>
      </c>
      <c r="B8" s="1" t="s">
        <v>480</v>
      </c>
      <c r="C8" s="1">
        <v>1</v>
      </c>
      <c r="D8" s="1">
        <v>0</v>
      </c>
      <c r="E8" s="1">
        <v>1</v>
      </c>
      <c r="F8" s="1">
        <v>0</v>
      </c>
      <c r="G8" s="1">
        <v>20</v>
      </c>
      <c r="H8" s="1">
        <v>82.2</v>
      </c>
      <c r="I8" s="1">
        <v>45</v>
      </c>
      <c r="J8" s="1">
        <v>94</v>
      </c>
      <c r="K8" s="1">
        <v>50.4</v>
      </c>
      <c r="L8" s="1">
        <v>-11.8</v>
      </c>
      <c r="M8" s="1">
        <v>-5.4</v>
      </c>
      <c r="N8" s="1">
        <v>0.52300000000000002</v>
      </c>
      <c r="O8" s="1">
        <v>1.1299999999999999</v>
      </c>
      <c r="P8" s="1">
        <v>6.4</v>
      </c>
      <c r="Q8" s="1">
        <v>0.13100000000000001</v>
      </c>
      <c r="R8" s="1">
        <v>0.85799999999999998</v>
      </c>
      <c r="S8" s="1">
        <v>0.49199999999999999</v>
      </c>
      <c r="T8" s="1">
        <v>7.4999999999999997E-2</v>
      </c>
      <c r="U8" s="1">
        <v>0.41899999999999998</v>
      </c>
      <c r="V8" s="1">
        <v>0.47299999999999998</v>
      </c>
      <c r="W8" s="1">
        <v>105.9</v>
      </c>
      <c r="X8" s="1">
        <v>195.45</v>
      </c>
      <c r="Y8" s="1">
        <v>162.88</v>
      </c>
      <c r="Z8" s="1">
        <v>80</v>
      </c>
      <c r="AA8" s="1">
        <v>0.38700000000000001</v>
      </c>
      <c r="AB8" s="1">
        <v>3</v>
      </c>
      <c r="AC8" s="1">
        <v>16</v>
      </c>
      <c r="AD8" s="1">
        <v>15</v>
      </c>
      <c r="AE8" s="1">
        <v>16</v>
      </c>
      <c r="AF8" s="1">
        <v>14</v>
      </c>
      <c r="AG8" s="1">
        <v>26</v>
      </c>
      <c r="AH8" s="1">
        <v>7</v>
      </c>
      <c r="AI8" s="1">
        <v>21</v>
      </c>
      <c r="AJ8" s="1">
        <v>23</v>
      </c>
      <c r="AK8" s="1">
        <v>19</v>
      </c>
      <c r="AL8" s="1">
        <v>24</v>
      </c>
      <c r="AM8" s="1">
        <v>30</v>
      </c>
      <c r="AN8" s="1">
        <v>2</v>
      </c>
      <c r="AO8" s="1">
        <v>17</v>
      </c>
      <c r="AP8" s="1">
        <v>14</v>
      </c>
      <c r="AQ8" s="1">
        <v>28</v>
      </c>
      <c r="AR8" s="1">
        <v>23</v>
      </c>
      <c r="AS8" s="1">
        <v>16</v>
      </c>
      <c r="AT8" s="1">
        <v>24</v>
      </c>
      <c r="AU8" s="1">
        <v>10</v>
      </c>
      <c r="AV8" s="1" t="s">
        <v>480</v>
      </c>
    </row>
    <row r="9" spans="1:48" x14ac:dyDescent="0.25">
      <c r="A9" s="1">
        <v>1610612743</v>
      </c>
      <c r="B9" s="1" t="s">
        <v>483</v>
      </c>
      <c r="C9" s="1">
        <v>1</v>
      </c>
      <c r="D9" s="1">
        <v>1</v>
      </c>
      <c r="E9" s="1">
        <v>0</v>
      </c>
      <c r="F9" s="1">
        <v>1</v>
      </c>
      <c r="G9" s="1">
        <v>16</v>
      </c>
      <c r="H9" s="1">
        <v>96.1</v>
      </c>
      <c r="I9" s="1">
        <v>72.3</v>
      </c>
      <c r="J9" s="1">
        <v>126.6</v>
      </c>
      <c r="K9" s="1">
        <v>91.7</v>
      </c>
      <c r="L9" s="1">
        <v>-30.5</v>
      </c>
      <c r="M9" s="1">
        <v>-19.5</v>
      </c>
      <c r="N9" s="1">
        <v>0.54100000000000004</v>
      </c>
      <c r="O9" s="1">
        <v>1.1399999999999999</v>
      </c>
      <c r="P9" s="1">
        <v>10.8</v>
      </c>
      <c r="Q9" s="1">
        <v>0.188</v>
      </c>
      <c r="R9" s="1">
        <v>0.68300000000000005</v>
      </c>
      <c r="S9" s="1">
        <v>0.39900000000000002</v>
      </c>
      <c r="T9" s="1">
        <v>0.13200000000000001</v>
      </c>
      <c r="U9" s="1">
        <v>0.52100000000000002</v>
      </c>
      <c r="V9" s="1">
        <v>0.54500000000000004</v>
      </c>
      <c r="W9" s="1">
        <v>99.2</v>
      </c>
      <c r="X9" s="1">
        <v>134.43</v>
      </c>
      <c r="Y9" s="1">
        <v>112.03</v>
      </c>
      <c r="Z9" s="1">
        <v>44</v>
      </c>
      <c r="AA9" s="1">
        <v>0.33800000000000002</v>
      </c>
      <c r="AB9" s="1">
        <v>3</v>
      </c>
      <c r="AC9" s="1">
        <v>2</v>
      </c>
      <c r="AD9" s="1">
        <v>1</v>
      </c>
      <c r="AE9" s="1">
        <v>1</v>
      </c>
      <c r="AF9" s="1">
        <v>24</v>
      </c>
      <c r="AG9" s="1">
        <v>4</v>
      </c>
      <c r="AH9" s="1">
        <v>30</v>
      </c>
      <c r="AI9" s="1">
        <v>29</v>
      </c>
      <c r="AJ9" s="1">
        <v>22</v>
      </c>
      <c r="AK9" s="1">
        <v>18</v>
      </c>
      <c r="AL9" s="1">
        <v>9</v>
      </c>
      <c r="AM9" s="1">
        <v>28</v>
      </c>
      <c r="AN9" s="1">
        <v>23</v>
      </c>
      <c r="AO9" s="1">
        <v>30</v>
      </c>
      <c r="AP9" s="1">
        <v>27</v>
      </c>
      <c r="AQ9" s="1">
        <v>15</v>
      </c>
      <c r="AR9" s="1">
        <v>13</v>
      </c>
      <c r="AS9" s="1">
        <v>30</v>
      </c>
      <c r="AT9" s="1">
        <v>29</v>
      </c>
      <c r="AU9" s="1">
        <v>10</v>
      </c>
      <c r="AV9" s="1" t="s">
        <v>483</v>
      </c>
    </row>
    <row r="10" spans="1:48" x14ac:dyDescent="0.25">
      <c r="A10" s="1">
        <v>1610612765</v>
      </c>
      <c r="B10" s="1" t="s">
        <v>486</v>
      </c>
      <c r="C10" s="1">
        <v>1</v>
      </c>
      <c r="D10" s="1">
        <v>0</v>
      </c>
      <c r="E10" s="1">
        <v>1</v>
      </c>
      <c r="F10" s="1">
        <v>0</v>
      </c>
      <c r="G10" s="1">
        <v>20</v>
      </c>
      <c r="H10" s="1">
        <v>84.2</v>
      </c>
      <c r="I10" s="1">
        <v>62.7</v>
      </c>
      <c r="J10" s="1">
        <v>81.900000000000006</v>
      </c>
      <c r="K10" s="1">
        <v>58</v>
      </c>
      <c r="L10" s="1">
        <v>2.2999999999999998</v>
      </c>
      <c r="M10" s="1">
        <v>4.7</v>
      </c>
      <c r="N10" s="1">
        <v>0.58899999999999997</v>
      </c>
      <c r="O10" s="1">
        <v>0.8</v>
      </c>
      <c r="P10" s="1">
        <v>11.9</v>
      </c>
      <c r="Q10" s="1">
        <v>0.24</v>
      </c>
      <c r="R10" s="1">
        <v>0.71099999999999997</v>
      </c>
      <c r="S10" s="1">
        <v>0.47199999999999998</v>
      </c>
      <c r="T10" s="1">
        <v>0.18</v>
      </c>
      <c r="U10" s="1">
        <v>0.48499999999999999</v>
      </c>
      <c r="V10" s="1">
        <v>0.46200000000000002</v>
      </c>
      <c r="W10" s="1">
        <v>103.2</v>
      </c>
      <c r="X10" s="1">
        <v>142.16999999999999</v>
      </c>
      <c r="Y10" s="1">
        <v>118.48</v>
      </c>
      <c r="Z10" s="1">
        <v>60</v>
      </c>
      <c r="AA10" s="1">
        <v>0.56100000000000005</v>
      </c>
      <c r="AB10" s="1">
        <v>3</v>
      </c>
      <c r="AC10" s="1">
        <v>16</v>
      </c>
      <c r="AD10" s="1">
        <v>15</v>
      </c>
      <c r="AE10" s="1">
        <v>16</v>
      </c>
      <c r="AF10" s="1">
        <v>12</v>
      </c>
      <c r="AG10" s="1">
        <v>12</v>
      </c>
      <c r="AH10" s="1">
        <v>16</v>
      </c>
      <c r="AI10" s="1">
        <v>10</v>
      </c>
      <c r="AJ10" s="1">
        <v>13</v>
      </c>
      <c r="AK10" s="1">
        <v>29</v>
      </c>
      <c r="AL10" s="1">
        <v>6</v>
      </c>
      <c r="AM10" s="1">
        <v>22</v>
      </c>
      <c r="AN10" s="1">
        <v>20</v>
      </c>
      <c r="AO10" s="1">
        <v>22</v>
      </c>
      <c r="AP10" s="1">
        <v>30</v>
      </c>
      <c r="AQ10" s="1">
        <v>22</v>
      </c>
      <c r="AR10" s="1">
        <v>24</v>
      </c>
      <c r="AS10" s="1">
        <v>29</v>
      </c>
      <c r="AT10" s="1">
        <v>9</v>
      </c>
      <c r="AU10" s="1">
        <v>10</v>
      </c>
      <c r="AV10" s="1" t="s">
        <v>486</v>
      </c>
    </row>
    <row r="11" spans="1:48" x14ac:dyDescent="0.25">
      <c r="A11" s="1">
        <v>1610612744</v>
      </c>
      <c r="B11" s="1" t="s">
        <v>488</v>
      </c>
      <c r="C11" s="1">
        <v>2</v>
      </c>
      <c r="D11" s="1">
        <v>2</v>
      </c>
      <c r="E11" s="1">
        <v>0</v>
      </c>
      <c r="F11" s="1">
        <v>1</v>
      </c>
      <c r="G11" s="1">
        <v>41</v>
      </c>
      <c r="H11" s="1">
        <v>111.3</v>
      </c>
      <c r="I11" s="1">
        <v>62.1</v>
      </c>
      <c r="J11" s="1">
        <v>99.1</v>
      </c>
      <c r="K11" s="1">
        <v>55.3</v>
      </c>
      <c r="L11" s="1">
        <v>12.2</v>
      </c>
      <c r="M11" s="1">
        <v>6.8</v>
      </c>
      <c r="N11" s="1">
        <v>0.60399999999999998</v>
      </c>
      <c r="O11" s="1">
        <v>1.49</v>
      </c>
      <c r="P11" s="1">
        <v>9.8000000000000007</v>
      </c>
      <c r="Q11" s="1">
        <v>0.23699999999999999</v>
      </c>
      <c r="R11" s="1">
        <v>0.76500000000000001</v>
      </c>
      <c r="S11" s="1">
        <v>0.53300000000000003</v>
      </c>
      <c r="T11" s="1">
        <v>0.09</v>
      </c>
      <c r="U11" s="1">
        <v>0.57899999999999996</v>
      </c>
      <c r="V11" s="1">
        <v>0.66</v>
      </c>
      <c r="W11" s="1">
        <v>107.1</v>
      </c>
      <c r="X11" s="1">
        <v>191.96</v>
      </c>
      <c r="Y11" s="1">
        <v>159.97</v>
      </c>
      <c r="Z11" s="1">
        <v>164</v>
      </c>
      <c r="AA11" s="1">
        <v>0.60799999999999998</v>
      </c>
      <c r="AB11" s="1">
        <v>1</v>
      </c>
      <c r="AC11" s="1">
        <v>1</v>
      </c>
      <c r="AD11" s="1">
        <v>1</v>
      </c>
      <c r="AE11" s="1">
        <v>1</v>
      </c>
      <c r="AF11" s="1">
        <v>2</v>
      </c>
      <c r="AG11" s="1">
        <v>13</v>
      </c>
      <c r="AH11" s="1">
        <v>13</v>
      </c>
      <c r="AI11" s="1">
        <v>8</v>
      </c>
      <c r="AJ11" s="1">
        <v>11</v>
      </c>
      <c r="AK11" s="1">
        <v>13</v>
      </c>
      <c r="AL11" s="1">
        <v>14</v>
      </c>
      <c r="AM11" s="1">
        <v>23</v>
      </c>
      <c r="AN11" s="1">
        <v>9</v>
      </c>
      <c r="AO11" s="1">
        <v>7</v>
      </c>
      <c r="AP11" s="1">
        <v>19</v>
      </c>
      <c r="AQ11" s="1">
        <v>8</v>
      </c>
      <c r="AR11" s="1">
        <v>5</v>
      </c>
      <c r="AS11" s="1">
        <v>17</v>
      </c>
      <c r="AT11" s="1">
        <v>6</v>
      </c>
      <c r="AU11" s="1">
        <v>10</v>
      </c>
      <c r="AV11" s="1" t="s">
        <v>488</v>
      </c>
    </row>
    <row r="12" spans="1:48" x14ac:dyDescent="0.25">
      <c r="A12" s="1">
        <v>1610612745</v>
      </c>
      <c r="B12" s="1" t="s">
        <v>490</v>
      </c>
      <c r="C12" s="1">
        <v>1</v>
      </c>
      <c r="D12" s="1">
        <v>0</v>
      </c>
      <c r="E12" s="1">
        <v>1</v>
      </c>
      <c r="F12" s="1">
        <v>0</v>
      </c>
      <c r="G12" s="1">
        <v>22</v>
      </c>
      <c r="H12" s="1">
        <v>113</v>
      </c>
      <c r="I12" s="1">
        <v>65.599999999999994</v>
      </c>
      <c r="J12" s="1">
        <v>106</v>
      </c>
      <c r="K12" s="1">
        <v>58.4</v>
      </c>
      <c r="L12" s="1">
        <v>7</v>
      </c>
      <c r="M12" s="1">
        <v>7.3</v>
      </c>
      <c r="N12" s="1">
        <v>0.44</v>
      </c>
      <c r="O12" s="1">
        <v>1.07</v>
      </c>
      <c r="P12" s="1">
        <v>8.4</v>
      </c>
      <c r="Q12" s="1">
        <v>0.35799999999999998</v>
      </c>
      <c r="R12" s="1">
        <v>0.67</v>
      </c>
      <c r="S12" s="1">
        <v>0.51200000000000001</v>
      </c>
      <c r="T12" s="1">
        <v>0.106</v>
      </c>
      <c r="U12" s="1">
        <v>0.58299999999999996</v>
      </c>
      <c r="V12" s="1">
        <v>0.66</v>
      </c>
      <c r="W12" s="1">
        <v>106.2</v>
      </c>
      <c r="X12" s="1">
        <v>187.74</v>
      </c>
      <c r="Y12" s="1">
        <v>156.44999999999999</v>
      </c>
      <c r="Z12" s="1">
        <v>85</v>
      </c>
      <c r="AA12" s="1">
        <v>0.50800000000000001</v>
      </c>
      <c r="AB12" s="1">
        <v>3</v>
      </c>
      <c r="AC12" s="1">
        <v>16</v>
      </c>
      <c r="AD12" s="1">
        <v>15</v>
      </c>
      <c r="AE12" s="1">
        <v>16</v>
      </c>
      <c r="AF12" s="1">
        <v>4</v>
      </c>
      <c r="AG12" s="1">
        <v>8</v>
      </c>
      <c r="AH12" s="1">
        <v>17</v>
      </c>
      <c r="AI12" s="1">
        <v>7</v>
      </c>
      <c r="AJ12" s="1">
        <v>29</v>
      </c>
      <c r="AK12" s="1">
        <v>23</v>
      </c>
      <c r="AL12" s="1">
        <v>18</v>
      </c>
      <c r="AM12" s="1">
        <v>3</v>
      </c>
      <c r="AN12" s="1">
        <v>25</v>
      </c>
      <c r="AO12" s="1">
        <v>13</v>
      </c>
      <c r="AP12" s="1">
        <v>23</v>
      </c>
      <c r="AQ12" s="1">
        <v>7</v>
      </c>
      <c r="AR12" s="1">
        <v>4</v>
      </c>
      <c r="AS12" s="1">
        <v>18</v>
      </c>
      <c r="AT12" s="1">
        <v>12</v>
      </c>
      <c r="AU12" s="1">
        <v>10</v>
      </c>
      <c r="AV12" s="1" t="s">
        <v>490</v>
      </c>
    </row>
    <row r="13" spans="1:48" x14ac:dyDescent="0.25">
      <c r="A13" s="1">
        <v>1610612754</v>
      </c>
      <c r="B13" s="1" t="s">
        <v>493</v>
      </c>
      <c r="C13" s="1">
        <v>1</v>
      </c>
      <c r="D13" s="1">
        <v>0</v>
      </c>
      <c r="E13" s="1">
        <v>1</v>
      </c>
      <c r="F13" s="1">
        <v>0</v>
      </c>
      <c r="G13" s="1">
        <v>15</v>
      </c>
      <c r="H13" s="1">
        <v>112.1</v>
      </c>
      <c r="I13" s="1">
        <v>49.7</v>
      </c>
      <c r="J13" s="1">
        <v>111</v>
      </c>
      <c r="K13" s="1">
        <v>51.9</v>
      </c>
      <c r="L13" s="1">
        <v>1.1000000000000001</v>
      </c>
      <c r="M13" s="1">
        <v>-2.1</v>
      </c>
      <c r="N13" s="1">
        <v>0.67700000000000005</v>
      </c>
      <c r="O13" s="1">
        <v>1.52</v>
      </c>
      <c r="P13" s="1">
        <v>10.199999999999999</v>
      </c>
      <c r="Q13" s="1">
        <v>0.28899999999999998</v>
      </c>
      <c r="R13" s="1">
        <v>0.66300000000000003</v>
      </c>
      <c r="S13" s="1">
        <v>0.49199999999999999</v>
      </c>
      <c r="T13" s="1">
        <v>7.2999999999999995E-2</v>
      </c>
      <c r="U13" s="1">
        <v>0.57399999999999995</v>
      </c>
      <c r="V13" s="1">
        <v>0.33500000000000002</v>
      </c>
      <c r="W13" s="1">
        <v>114.2</v>
      </c>
      <c r="X13" s="1">
        <v>250.61</v>
      </c>
      <c r="Y13" s="1">
        <v>208.84</v>
      </c>
      <c r="Z13" s="1">
        <v>80</v>
      </c>
      <c r="AA13" s="1">
        <v>0.50600000000000001</v>
      </c>
      <c r="AB13" s="1">
        <v>3</v>
      </c>
      <c r="AC13" s="1">
        <v>16</v>
      </c>
      <c r="AD13" s="1">
        <v>15</v>
      </c>
      <c r="AE13" s="1">
        <v>16</v>
      </c>
      <c r="AF13" s="1">
        <v>27</v>
      </c>
      <c r="AG13" s="1">
        <v>18</v>
      </c>
      <c r="AH13" s="1">
        <v>9</v>
      </c>
      <c r="AI13" s="1">
        <v>15</v>
      </c>
      <c r="AJ13" s="1">
        <v>6</v>
      </c>
      <c r="AK13" s="1">
        <v>11</v>
      </c>
      <c r="AL13" s="1">
        <v>13</v>
      </c>
      <c r="AM13" s="1">
        <v>10</v>
      </c>
      <c r="AN13" s="1">
        <v>26</v>
      </c>
      <c r="AO13" s="1">
        <v>18</v>
      </c>
      <c r="AP13" s="1">
        <v>12</v>
      </c>
      <c r="AQ13" s="1">
        <v>9</v>
      </c>
      <c r="AR13" s="1">
        <v>29</v>
      </c>
      <c r="AS13" s="1">
        <v>2</v>
      </c>
      <c r="AT13" s="1">
        <v>13</v>
      </c>
      <c r="AU13" s="1">
        <v>10</v>
      </c>
      <c r="AV13" s="1" t="s">
        <v>493</v>
      </c>
    </row>
    <row r="14" spans="1:48" x14ac:dyDescent="0.25">
      <c r="A14" s="1">
        <v>1610612746</v>
      </c>
      <c r="B14" s="1" t="s">
        <v>495</v>
      </c>
      <c r="C14" s="1">
        <v>1</v>
      </c>
      <c r="D14" s="1">
        <v>0</v>
      </c>
      <c r="E14" s="1">
        <v>1</v>
      </c>
      <c r="F14" s="1">
        <v>0</v>
      </c>
      <c r="G14" s="1">
        <v>18</v>
      </c>
      <c r="H14" s="1">
        <v>108.4</v>
      </c>
      <c r="I14" s="1">
        <v>46.2</v>
      </c>
      <c r="J14" s="1">
        <v>91.8</v>
      </c>
      <c r="K14" s="1">
        <v>39.799999999999997</v>
      </c>
      <c r="L14" s="1">
        <v>16.600000000000001</v>
      </c>
      <c r="M14" s="1">
        <v>6.5</v>
      </c>
      <c r="N14" s="1">
        <v>0.59499999999999997</v>
      </c>
      <c r="O14" s="1">
        <v>2.93</v>
      </c>
      <c r="P14" s="1">
        <v>7.2</v>
      </c>
      <c r="Q14" s="1">
        <v>0.252</v>
      </c>
      <c r="R14" s="1">
        <v>0.77900000000000003</v>
      </c>
      <c r="S14" s="1">
        <v>0.47799999999999998</v>
      </c>
      <c r="T14" s="1">
        <v>3.2000000000000001E-2</v>
      </c>
      <c r="U14" s="1">
        <v>0.495</v>
      </c>
      <c r="V14" s="1">
        <v>0.50700000000000001</v>
      </c>
      <c r="W14" s="1">
        <v>101.9</v>
      </c>
      <c r="X14" s="1">
        <v>237.2</v>
      </c>
      <c r="Y14" s="1">
        <v>197.67</v>
      </c>
      <c r="Z14" s="1">
        <v>93</v>
      </c>
      <c r="AA14" s="1">
        <v>0.54400000000000004</v>
      </c>
      <c r="AB14" s="1">
        <v>3</v>
      </c>
      <c r="AC14" s="1">
        <v>16</v>
      </c>
      <c r="AD14" s="1">
        <v>15</v>
      </c>
      <c r="AE14" s="1">
        <v>16</v>
      </c>
      <c r="AF14" s="1">
        <v>18</v>
      </c>
      <c r="AG14" s="1">
        <v>25</v>
      </c>
      <c r="AH14" s="1">
        <v>2</v>
      </c>
      <c r="AI14" s="1">
        <v>9</v>
      </c>
      <c r="AJ14" s="1">
        <v>12</v>
      </c>
      <c r="AK14" s="1">
        <v>4</v>
      </c>
      <c r="AL14" s="1">
        <v>20</v>
      </c>
      <c r="AM14" s="1">
        <v>18</v>
      </c>
      <c r="AN14" s="1">
        <v>8</v>
      </c>
      <c r="AO14" s="1">
        <v>20</v>
      </c>
      <c r="AP14" s="1">
        <v>1</v>
      </c>
      <c r="AQ14" s="1">
        <v>20</v>
      </c>
      <c r="AR14" s="1">
        <v>19</v>
      </c>
      <c r="AS14" s="1">
        <v>5</v>
      </c>
      <c r="AT14" s="1">
        <v>11</v>
      </c>
      <c r="AU14" s="1">
        <v>10</v>
      </c>
      <c r="AV14" s="1" t="s">
        <v>495</v>
      </c>
    </row>
    <row r="15" spans="1:48" x14ac:dyDescent="0.25">
      <c r="A15" s="1">
        <v>1610612747</v>
      </c>
      <c r="B15" s="1" t="s">
        <v>498</v>
      </c>
      <c r="C15" s="1">
        <v>1</v>
      </c>
      <c r="D15" s="1">
        <v>0</v>
      </c>
      <c r="E15" s="1">
        <v>1</v>
      </c>
      <c r="F15" s="1">
        <v>0</v>
      </c>
      <c r="G15" s="1">
        <v>17</v>
      </c>
      <c r="H15" s="1">
        <v>90.7</v>
      </c>
      <c r="I15" s="1">
        <v>47.3</v>
      </c>
      <c r="J15" s="1">
        <v>104.6</v>
      </c>
      <c r="K15" s="1">
        <v>52.2</v>
      </c>
      <c r="L15" s="1">
        <v>-13.9</v>
      </c>
      <c r="M15" s="1">
        <v>-4.9000000000000004</v>
      </c>
      <c r="N15" s="1">
        <v>0.57299999999999995</v>
      </c>
      <c r="O15" s="1">
        <v>1.02</v>
      </c>
      <c r="P15" s="1">
        <v>8.9</v>
      </c>
      <c r="Q15" s="1">
        <v>0.24199999999999999</v>
      </c>
      <c r="R15" s="1">
        <v>0.79800000000000004</v>
      </c>
      <c r="S15" s="1">
        <v>0.51300000000000001</v>
      </c>
      <c r="T15" s="1">
        <v>0.10199999999999999</v>
      </c>
      <c r="U15" s="1">
        <v>0.53300000000000003</v>
      </c>
      <c r="V15" s="1">
        <v>0.56599999999999995</v>
      </c>
      <c r="W15" s="1">
        <v>117.2</v>
      </c>
      <c r="X15" s="1">
        <v>229.72</v>
      </c>
      <c r="Y15" s="1">
        <v>191.44</v>
      </c>
      <c r="Z15" s="1">
        <v>82</v>
      </c>
      <c r="AA15" s="1">
        <v>0.39</v>
      </c>
      <c r="AB15" s="1">
        <v>3</v>
      </c>
      <c r="AC15" s="1">
        <v>16</v>
      </c>
      <c r="AD15" s="1">
        <v>15</v>
      </c>
      <c r="AE15" s="1">
        <v>16</v>
      </c>
      <c r="AF15" s="1">
        <v>21</v>
      </c>
      <c r="AG15" s="1">
        <v>23</v>
      </c>
      <c r="AH15" s="1">
        <v>10</v>
      </c>
      <c r="AI15" s="1">
        <v>19</v>
      </c>
      <c r="AJ15" s="1">
        <v>14</v>
      </c>
      <c r="AK15" s="1">
        <v>24</v>
      </c>
      <c r="AL15" s="1">
        <v>17</v>
      </c>
      <c r="AM15" s="1">
        <v>21</v>
      </c>
      <c r="AN15" s="1">
        <v>5</v>
      </c>
      <c r="AO15" s="1">
        <v>12</v>
      </c>
      <c r="AP15" s="1">
        <v>22</v>
      </c>
      <c r="AQ15" s="1">
        <v>12</v>
      </c>
      <c r="AR15" s="1">
        <v>12</v>
      </c>
      <c r="AS15" s="1">
        <v>7</v>
      </c>
      <c r="AT15" s="1">
        <v>23</v>
      </c>
      <c r="AU15" s="1">
        <v>10</v>
      </c>
      <c r="AV15" s="1" t="s">
        <v>498</v>
      </c>
    </row>
    <row r="16" spans="1:48" x14ac:dyDescent="0.25">
      <c r="A16" s="1">
        <v>1610612763</v>
      </c>
      <c r="B16" s="1" t="s">
        <v>500</v>
      </c>
      <c r="C16" s="1">
        <v>1</v>
      </c>
      <c r="D16" s="1">
        <v>1</v>
      </c>
      <c r="E16" s="1">
        <v>0</v>
      </c>
      <c r="F16" s="1">
        <v>1</v>
      </c>
      <c r="G16" s="1">
        <v>17</v>
      </c>
      <c r="H16" s="1">
        <v>134.30000000000001</v>
      </c>
      <c r="I16" s="1">
        <v>65</v>
      </c>
      <c r="J16" s="1">
        <v>109.3</v>
      </c>
      <c r="K16" s="1">
        <v>55.6</v>
      </c>
      <c r="L16" s="1">
        <v>25</v>
      </c>
      <c r="M16" s="1">
        <v>9.4</v>
      </c>
      <c r="N16" s="1">
        <v>0.56799999999999995</v>
      </c>
      <c r="O16" s="1">
        <v>4.1500000000000004</v>
      </c>
      <c r="P16" s="1">
        <v>11.9</v>
      </c>
      <c r="Q16" s="1">
        <v>0.28000000000000003</v>
      </c>
      <c r="R16" s="1">
        <v>0.76300000000000001</v>
      </c>
      <c r="S16" s="1">
        <v>0.53700000000000003</v>
      </c>
      <c r="T16" s="1">
        <v>3.5999999999999997E-2</v>
      </c>
      <c r="U16" s="1">
        <v>0.627</v>
      </c>
      <c r="V16" s="1">
        <v>0.69899999999999995</v>
      </c>
      <c r="W16" s="1">
        <v>102.6</v>
      </c>
      <c r="X16" s="1">
        <v>206.82</v>
      </c>
      <c r="Y16" s="1">
        <v>172.35</v>
      </c>
      <c r="Z16" s="1">
        <v>72</v>
      </c>
      <c r="AA16" s="1">
        <v>0.57599999999999996</v>
      </c>
      <c r="AB16" s="1">
        <v>3</v>
      </c>
      <c r="AC16" s="1">
        <v>2</v>
      </c>
      <c r="AD16" s="1">
        <v>1</v>
      </c>
      <c r="AE16" s="1">
        <v>1</v>
      </c>
      <c r="AF16" s="1">
        <v>22</v>
      </c>
      <c r="AG16" s="1">
        <v>10</v>
      </c>
      <c r="AH16" s="1">
        <v>14</v>
      </c>
      <c r="AI16" s="1">
        <v>5</v>
      </c>
      <c r="AJ16" s="1">
        <v>16</v>
      </c>
      <c r="AK16" s="1">
        <v>2</v>
      </c>
      <c r="AL16" s="1">
        <v>7</v>
      </c>
      <c r="AM16" s="1">
        <v>12</v>
      </c>
      <c r="AN16" s="1">
        <v>10</v>
      </c>
      <c r="AO16" s="1">
        <v>6</v>
      </c>
      <c r="AP16" s="1">
        <v>3</v>
      </c>
      <c r="AQ16" s="1">
        <v>4</v>
      </c>
      <c r="AR16" s="1">
        <v>1</v>
      </c>
      <c r="AS16" s="1">
        <v>9</v>
      </c>
      <c r="AT16" s="1">
        <v>8</v>
      </c>
      <c r="AU16" s="1">
        <v>10</v>
      </c>
      <c r="AV16" s="1" t="s">
        <v>500</v>
      </c>
    </row>
    <row r="17" spans="1:48" x14ac:dyDescent="0.25">
      <c r="A17" s="1">
        <v>1610612748</v>
      </c>
      <c r="B17" s="1" t="s">
        <v>501</v>
      </c>
      <c r="C17" s="1">
        <v>1</v>
      </c>
      <c r="D17" s="1">
        <v>1</v>
      </c>
      <c r="E17" s="1">
        <v>0</v>
      </c>
      <c r="F17" s="1">
        <v>1</v>
      </c>
      <c r="G17" s="1">
        <v>24</v>
      </c>
      <c r="H17" s="1">
        <v>127.9</v>
      </c>
      <c r="I17" s="1">
        <v>82.5</v>
      </c>
      <c r="J17" s="1">
        <v>99.2</v>
      </c>
      <c r="K17" s="1">
        <v>66.2</v>
      </c>
      <c r="L17" s="1">
        <v>28.7</v>
      </c>
      <c r="M17" s="1">
        <v>16.3</v>
      </c>
      <c r="N17" s="1">
        <v>0.51600000000000001</v>
      </c>
      <c r="O17" s="1">
        <v>2.33</v>
      </c>
      <c r="P17" s="1">
        <v>10.6</v>
      </c>
      <c r="Q17" s="1">
        <v>0.25</v>
      </c>
      <c r="R17" s="1">
        <v>0.83299999999999996</v>
      </c>
      <c r="S17" s="1">
        <v>0.54600000000000004</v>
      </c>
      <c r="T17" s="1">
        <v>6.8000000000000005E-2</v>
      </c>
      <c r="U17" s="1">
        <v>0.63400000000000001</v>
      </c>
      <c r="V17" s="1">
        <v>0.66600000000000004</v>
      </c>
      <c r="W17" s="1">
        <v>104.2</v>
      </c>
      <c r="X17" s="1">
        <v>158.82</v>
      </c>
      <c r="Y17" s="1">
        <v>132.35</v>
      </c>
      <c r="Z17" s="1">
        <v>79</v>
      </c>
      <c r="AA17" s="1">
        <v>0.63600000000000001</v>
      </c>
      <c r="AB17" s="1">
        <v>3</v>
      </c>
      <c r="AC17" s="1">
        <v>2</v>
      </c>
      <c r="AD17" s="1">
        <v>1</v>
      </c>
      <c r="AE17" s="1">
        <v>1</v>
      </c>
      <c r="AF17" s="1">
        <v>3</v>
      </c>
      <c r="AG17" s="1">
        <v>2</v>
      </c>
      <c r="AH17" s="1">
        <v>25</v>
      </c>
      <c r="AI17" s="1">
        <v>2</v>
      </c>
      <c r="AJ17" s="1">
        <v>24</v>
      </c>
      <c r="AK17" s="1">
        <v>8</v>
      </c>
      <c r="AL17" s="1">
        <v>11</v>
      </c>
      <c r="AM17" s="1">
        <v>20</v>
      </c>
      <c r="AN17" s="1">
        <v>3</v>
      </c>
      <c r="AO17" s="1">
        <v>3</v>
      </c>
      <c r="AP17" s="1">
        <v>9</v>
      </c>
      <c r="AQ17" s="1">
        <v>3</v>
      </c>
      <c r="AR17" s="1">
        <v>3</v>
      </c>
      <c r="AS17" s="1">
        <v>26</v>
      </c>
      <c r="AT17" s="1">
        <v>4</v>
      </c>
      <c r="AU17" s="1">
        <v>10</v>
      </c>
      <c r="AV17" s="1" t="s">
        <v>501</v>
      </c>
    </row>
    <row r="18" spans="1:48" x14ac:dyDescent="0.25">
      <c r="A18" s="1">
        <v>1610612749</v>
      </c>
      <c r="B18" s="1" t="s">
        <v>503</v>
      </c>
      <c r="C18" s="1">
        <v>2</v>
      </c>
      <c r="D18" s="1">
        <v>1</v>
      </c>
      <c r="E18" s="1">
        <v>1</v>
      </c>
      <c r="F18" s="1">
        <v>0.5</v>
      </c>
      <c r="G18" s="1">
        <v>44</v>
      </c>
      <c r="H18" s="1">
        <v>101.5</v>
      </c>
      <c r="I18" s="1">
        <v>59.9</v>
      </c>
      <c r="J18" s="1">
        <v>118.7</v>
      </c>
      <c r="K18" s="1">
        <v>68.2</v>
      </c>
      <c r="L18" s="1">
        <v>-17.100000000000001</v>
      </c>
      <c r="M18" s="1">
        <v>-8.3000000000000007</v>
      </c>
      <c r="N18" s="1">
        <v>0.55400000000000005</v>
      </c>
      <c r="O18" s="1">
        <v>1.52</v>
      </c>
      <c r="P18" s="1">
        <v>7</v>
      </c>
      <c r="Q18" s="1">
        <v>0.19900000000000001</v>
      </c>
      <c r="R18" s="1">
        <v>0.70399999999999996</v>
      </c>
      <c r="S18" s="1">
        <v>0.44700000000000001</v>
      </c>
      <c r="T18" s="1">
        <v>7.6999999999999999E-2</v>
      </c>
      <c r="U18" s="1">
        <v>0.502</v>
      </c>
      <c r="V18" s="1">
        <v>0.53800000000000003</v>
      </c>
      <c r="W18" s="1">
        <v>105.6</v>
      </c>
      <c r="X18" s="1">
        <v>181.41</v>
      </c>
      <c r="Y18" s="1">
        <v>151.18</v>
      </c>
      <c r="Z18" s="1">
        <v>166</v>
      </c>
      <c r="AA18" s="1">
        <v>0.41299999999999998</v>
      </c>
      <c r="AB18" s="1">
        <v>1</v>
      </c>
      <c r="AC18" s="1">
        <v>2</v>
      </c>
      <c r="AD18" s="1">
        <v>15</v>
      </c>
      <c r="AE18" s="1">
        <v>15</v>
      </c>
      <c r="AF18" s="1">
        <v>1</v>
      </c>
      <c r="AG18" s="1">
        <v>14</v>
      </c>
      <c r="AH18" s="1">
        <v>26</v>
      </c>
      <c r="AI18" s="1">
        <v>25</v>
      </c>
      <c r="AJ18" s="1">
        <v>21</v>
      </c>
      <c r="AK18" s="1">
        <v>12</v>
      </c>
      <c r="AL18" s="1">
        <v>22</v>
      </c>
      <c r="AM18" s="1">
        <v>26</v>
      </c>
      <c r="AN18" s="1">
        <v>21</v>
      </c>
      <c r="AO18" s="1">
        <v>25</v>
      </c>
      <c r="AP18" s="1">
        <v>15</v>
      </c>
      <c r="AQ18" s="1">
        <v>18</v>
      </c>
      <c r="AR18" s="1">
        <v>14</v>
      </c>
      <c r="AS18" s="1">
        <v>20</v>
      </c>
      <c r="AT18" s="1">
        <v>20</v>
      </c>
      <c r="AU18" s="1">
        <v>10</v>
      </c>
      <c r="AV18" s="1" t="s">
        <v>503</v>
      </c>
    </row>
    <row r="19" spans="1:48" x14ac:dyDescent="0.25">
      <c r="A19" s="1">
        <v>1610612750</v>
      </c>
      <c r="B19" s="1" t="s">
        <v>506</v>
      </c>
      <c r="C19" s="1">
        <v>1</v>
      </c>
      <c r="D19" s="1">
        <v>1</v>
      </c>
      <c r="E19" s="1">
        <v>0</v>
      </c>
      <c r="F19" s="1">
        <v>1</v>
      </c>
      <c r="G19" s="1">
        <v>22</v>
      </c>
      <c r="H19" s="1">
        <v>107.7</v>
      </c>
      <c r="I19" s="1">
        <v>67.5</v>
      </c>
      <c r="J19" s="1">
        <v>114.9</v>
      </c>
      <c r="K19" s="1">
        <v>74</v>
      </c>
      <c r="L19" s="1">
        <v>-7.2</v>
      </c>
      <c r="M19" s="1">
        <v>-6.5</v>
      </c>
      <c r="N19" s="1">
        <v>0.70799999999999996</v>
      </c>
      <c r="O19" s="1">
        <v>1.26</v>
      </c>
      <c r="P19" s="1">
        <v>13.1</v>
      </c>
      <c r="Q19" s="1">
        <v>0.26400000000000001</v>
      </c>
      <c r="R19" s="1">
        <v>0.624</v>
      </c>
      <c r="S19" s="1">
        <v>0.44700000000000001</v>
      </c>
      <c r="T19" s="1">
        <v>0.13</v>
      </c>
      <c r="U19" s="1">
        <v>0.55900000000000005</v>
      </c>
      <c r="V19" s="1">
        <v>0.51100000000000001</v>
      </c>
      <c r="W19" s="1">
        <v>108.7</v>
      </c>
      <c r="X19" s="1">
        <v>171.03</v>
      </c>
      <c r="Y19" s="1">
        <v>142.53</v>
      </c>
      <c r="Z19" s="1">
        <v>77</v>
      </c>
      <c r="AA19" s="1">
        <v>0.48799999999999999</v>
      </c>
      <c r="AB19" s="1">
        <v>3</v>
      </c>
      <c r="AC19" s="1">
        <v>2</v>
      </c>
      <c r="AD19" s="1">
        <v>1</v>
      </c>
      <c r="AE19" s="1">
        <v>1</v>
      </c>
      <c r="AF19" s="1">
        <v>5</v>
      </c>
      <c r="AG19" s="1">
        <v>6</v>
      </c>
      <c r="AH19" s="1">
        <v>28</v>
      </c>
      <c r="AI19" s="1">
        <v>22</v>
      </c>
      <c r="AJ19" s="1">
        <v>4</v>
      </c>
      <c r="AK19" s="1">
        <v>15</v>
      </c>
      <c r="AL19" s="1">
        <v>3</v>
      </c>
      <c r="AM19" s="1">
        <v>13</v>
      </c>
      <c r="AN19" s="1">
        <v>29</v>
      </c>
      <c r="AO19" s="1">
        <v>26</v>
      </c>
      <c r="AP19" s="1">
        <v>26</v>
      </c>
      <c r="AQ19" s="1">
        <v>10</v>
      </c>
      <c r="AR19" s="1">
        <v>17</v>
      </c>
      <c r="AS19" s="1">
        <v>22</v>
      </c>
      <c r="AT19" s="1">
        <v>15</v>
      </c>
      <c r="AU19" s="1">
        <v>10</v>
      </c>
      <c r="AV19" s="1" t="s">
        <v>506</v>
      </c>
    </row>
    <row r="20" spans="1:48" x14ac:dyDescent="0.25">
      <c r="A20" s="1">
        <v>1610612740</v>
      </c>
      <c r="B20" s="1" t="s">
        <v>507</v>
      </c>
      <c r="C20" s="1">
        <v>1</v>
      </c>
      <c r="D20" s="1">
        <v>0</v>
      </c>
      <c r="E20" s="1">
        <v>1</v>
      </c>
      <c r="F20" s="1">
        <v>0</v>
      </c>
      <c r="G20" s="1">
        <v>20</v>
      </c>
      <c r="H20" s="1">
        <v>96.2</v>
      </c>
      <c r="I20" s="1">
        <v>48.9</v>
      </c>
      <c r="J20" s="1">
        <v>100.1</v>
      </c>
      <c r="K20" s="1">
        <v>51.3</v>
      </c>
      <c r="L20" s="1">
        <v>-3.9</v>
      </c>
      <c r="M20" s="1">
        <v>-2.4</v>
      </c>
      <c r="N20" s="1">
        <v>0.73199999999999998</v>
      </c>
      <c r="O20" s="1">
        <v>1.76</v>
      </c>
      <c r="P20" s="1">
        <v>11.3</v>
      </c>
      <c r="Q20" s="1">
        <v>0.252</v>
      </c>
      <c r="R20" s="1">
        <v>0.76300000000000001</v>
      </c>
      <c r="S20" s="1">
        <v>0.48599999999999999</v>
      </c>
      <c r="T20" s="1">
        <v>8.2000000000000003E-2</v>
      </c>
      <c r="U20" s="1">
        <v>0.495</v>
      </c>
      <c r="V20" s="1">
        <v>0.40500000000000003</v>
      </c>
      <c r="W20" s="1">
        <v>101.2</v>
      </c>
      <c r="X20" s="1">
        <v>198.24</v>
      </c>
      <c r="Y20" s="1">
        <v>165.2</v>
      </c>
      <c r="Z20" s="1">
        <v>83</v>
      </c>
      <c r="AA20" s="1">
        <v>0.46200000000000002</v>
      </c>
      <c r="AB20" s="1">
        <v>3</v>
      </c>
      <c r="AC20" s="1">
        <v>16</v>
      </c>
      <c r="AD20" s="1">
        <v>15</v>
      </c>
      <c r="AE20" s="1">
        <v>16</v>
      </c>
      <c r="AF20" s="1">
        <v>11</v>
      </c>
      <c r="AG20" s="1">
        <v>20</v>
      </c>
      <c r="AH20" s="1">
        <v>8</v>
      </c>
      <c r="AI20" s="1">
        <v>16</v>
      </c>
      <c r="AJ20" s="1">
        <v>3</v>
      </c>
      <c r="AK20" s="1">
        <v>9</v>
      </c>
      <c r="AL20" s="1">
        <v>8</v>
      </c>
      <c r="AM20" s="1">
        <v>18</v>
      </c>
      <c r="AN20" s="1">
        <v>11</v>
      </c>
      <c r="AO20" s="1">
        <v>19</v>
      </c>
      <c r="AP20" s="1">
        <v>16</v>
      </c>
      <c r="AQ20" s="1">
        <v>19</v>
      </c>
      <c r="AR20" s="1">
        <v>27</v>
      </c>
      <c r="AS20" s="1">
        <v>14</v>
      </c>
      <c r="AT20" s="1">
        <v>17</v>
      </c>
      <c r="AU20" s="1">
        <v>10</v>
      </c>
      <c r="AV20" s="1" t="s">
        <v>507</v>
      </c>
    </row>
    <row r="21" spans="1:48" x14ac:dyDescent="0.25">
      <c r="A21" s="1">
        <v>1610612752</v>
      </c>
      <c r="B21" s="1" t="s">
        <v>510</v>
      </c>
      <c r="C21" s="1">
        <v>1</v>
      </c>
      <c r="D21" s="1">
        <v>1</v>
      </c>
      <c r="E21" s="1">
        <v>0</v>
      </c>
      <c r="F21" s="1">
        <v>1</v>
      </c>
      <c r="G21" s="1">
        <v>17</v>
      </c>
      <c r="H21" s="1">
        <v>100.4</v>
      </c>
      <c r="I21" s="1">
        <v>43.9</v>
      </c>
      <c r="J21" s="1">
        <v>106.4</v>
      </c>
      <c r="K21" s="1">
        <v>47.5</v>
      </c>
      <c r="L21" s="1">
        <v>-6</v>
      </c>
      <c r="M21" s="1">
        <v>-3.6</v>
      </c>
      <c r="N21" s="1">
        <v>0.50700000000000001</v>
      </c>
      <c r="O21" s="1">
        <v>1.1299999999999999</v>
      </c>
      <c r="P21" s="1">
        <v>6.8</v>
      </c>
      <c r="Q21" s="1">
        <v>0.28799999999999998</v>
      </c>
      <c r="R21" s="1">
        <v>0.66</v>
      </c>
      <c r="S21" s="1">
        <v>0.5</v>
      </c>
      <c r="T21" s="1">
        <v>6.9000000000000006E-2</v>
      </c>
      <c r="U21" s="1">
        <v>0.51700000000000002</v>
      </c>
      <c r="V21" s="1">
        <v>0.48299999999999998</v>
      </c>
      <c r="W21" s="1">
        <v>110.6</v>
      </c>
      <c r="X21" s="1">
        <v>250.09</v>
      </c>
      <c r="Y21" s="1">
        <v>208.41</v>
      </c>
      <c r="Z21" s="1">
        <v>87</v>
      </c>
      <c r="AA21" s="1">
        <v>0.49099999999999999</v>
      </c>
      <c r="AB21" s="1">
        <v>3</v>
      </c>
      <c r="AC21" s="1">
        <v>2</v>
      </c>
      <c r="AD21" s="1">
        <v>1</v>
      </c>
      <c r="AE21" s="1">
        <v>1</v>
      </c>
      <c r="AF21" s="1">
        <v>23</v>
      </c>
      <c r="AG21" s="1">
        <v>27</v>
      </c>
      <c r="AH21" s="1">
        <v>6</v>
      </c>
      <c r="AI21" s="1">
        <v>17</v>
      </c>
      <c r="AJ21" s="1">
        <v>25</v>
      </c>
      <c r="AK21" s="1">
        <v>19</v>
      </c>
      <c r="AL21" s="1">
        <v>23</v>
      </c>
      <c r="AM21" s="1">
        <v>11</v>
      </c>
      <c r="AN21" s="1">
        <v>27</v>
      </c>
      <c r="AO21" s="1">
        <v>15</v>
      </c>
      <c r="AP21" s="1">
        <v>10</v>
      </c>
      <c r="AQ21" s="1">
        <v>16</v>
      </c>
      <c r="AR21" s="1">
        <v>22</v>
      </c>
      <c r="AS21" s="1">
        <v>3</v>
      </c>
      <c r="AT21" s="1">
        <v>14</v>
      </c>
      <c r="AU21" s="1">
        <v>10</v>
      </c>
      <c r="AV21" s="1" t="s">
        <v>510</v>
      </c>
    </row>
    <row r="22" spans="1:48" x14ac:dyDescent="0.25">
      <c r="A22" s="1">
        <v>1610612760</v>
      </c>
      <c r="B22" s="1" t="s">
        <v>512</v>
      </c>
      <c r="C22" s="1">
        <v>1</v>
      </c>
      <c r="D22" s="1">
        <v>0</v>
      </c>
      <c r="E22" s="1">
        <v>1</v>
      </c>
      <c r="F22" s="1">
        <v>0</v>
      </c>
      <c r="G22" s="1">
        <v>20</v>
      </c>
      <c r="H22" s="1">
        <v>99.1</v>
      </c>
      <c r="I22" s="1">
        <v>64.3</v>
      </c>
      <c r="J22" s="1">
        <v>116.3</v>
      </c>
      <c r="K22" s="1">
        <v>68.900000000000006</v>
      </c>
      <c r="L22" s="1">
        <v>-17.2</v>
      </c>
      <c r="M22" s="1">
        <v>-4.5999999999999996</v>
      </c>
      <c r="N22" s="1">
        <v>0.56100000000000005</v>
      </c>
      <c r="O22" s="1">
        <v>1.44</v>
      </c>
      <c r="P22" s="1">
        <v>10.7</v>
      </c>
      <c r="Q22" s="1">
        <v>0.255</v>
      </c>
      <c r="R22" s="1">
        <v>0.71399999999999997</v>
      </c>
      <c r="S22" s="1">
        <v>0.46300000000000002</v>
      </c>
      <c r="T22" s="1">
        <v>9.8000000000000004E-2</v>
      </c>
      <c r="U22" s="1">
        <v>0.505</v>
      </c>
      <c r="V22" s="1">
        <v>0.53100000000000003</v>
      </c>
      <c r="W22" s="1">
        <v>99</v>
      </c>
      <c r="X22" s="1">
        <v>159.49</v>
      </c>
      <c r="Y22" s="1">
        <v>132.91</v>
      </c>
      <c r="Z22" s="1">
        <v>65</v>
      </c>
      <c r="AA22" s="1">
        <v>0.44600000000000001</v>
      </c>
      <c r="AB22" s="1">
        <v>3</v>
      </c>
      <c r="AC22" s="1">
        <v>16</v>
      </c>
      <c r="AD22" s="1">
        <v>15</v>
      </c>
      <c r="AE22" s="1">
        <v>16</v>
      </c>
      <c r="AF22" s="1">
        <v>16</v>
      </c>
      <c r="AG22" s="1">
        <v>11</v>
      </c>
      <c r="AH22" s="1">
        <v>27</v>
      </c>
      <c r="AI22" s="1">
        <v>18</v>
      </c>
      <c r="AJ22" s="1">
        <v>20</v>
      </c>
      <c r="AK22" s="1">
        <v>14</v>
      </c>
      <c r="AL22" s="1">
        <v>10</v>
      </c>
      <c r="AM22" s="1">
        <v>17</v>
      </c>
      <c r="AN22" s="1">
        <v>19</v>
      </c>
      <c r="AO22" s="1">
        <v>24</v>
      </c>
      <c r="AP22" s="1">
        <v>20</v>
      </c>
      <c r="AQ22" s="1">
        <v>17</v>
      </c>
      <c r="AR22" s="1">
        <v>16</v>
      </c>
      <c r="AS22" s="1">
        <v>25</v>
      </c>
      <c r="AT22" s="1">
        <v>18</v>
      </c>
      <c r="AU22" s="1">
        <v>10</v>
      </c>
      <c r="AV22" s="1" t="s">
        <v>512</v>
      </c>
    </row>
    <row r="23" spans="1:48" x14ac:dyDescent="0.25">
      <c r="A23" s="1">
        <v>1610612753</v>
      </c>
      <c r="B23" s="1" t="s">
        <v>514</v>
      </c>
      <c r="C23" s="1">
        <v>1</v>
      </c>
      <c r="D23" s="1">
        <v>0</v>
      </c>
      <c r="E23" s="1">
        <v>1</v>
      </c>
      <c r="F23" s="1">
        <v>0</v>
      </c>
      <c r="G23" s="1">
        <v>20</v>
      </c>
      <c r="H23" s="1">
        <v>89.9</v>
      </c>
      <c r="I23" s="1">
        <v>48.2</v>
      </c>
      <c r="J23" s="1">
        <v>143.30000000000001</v>
      </c>
      <c r="K23" s="1">
        <v>75.5</v>
      </c>
      <c r="L23" s="1">
        <v>-53.4</v>
      </c>
      <c r="M23" s="1">
        <v>-27.3</v>
      </c>
      <c r="N23" s="1">
        <v>0.44800000000000001</v>
      </c>
      <c r="O23" s="1">
        <v>0.86</v>
      </c>
      <c r="P23" s="1">
        <v>5.0999999999999996</v>
      </c>
      <c r="Q23" s="1">
        <v>0.33900000000000002</v>
      </c>
      <c r="R23" s="1">
        <v>0.54</v>
      </c>
      <c r="S23" s="1">
        <v>0.42899999999999999</v>
      </c>
      <c r="T23" s="1">
        <v>0.09</v>
      </c>
      <c r="U23" s="1">
        <v>0.41499999999999998</v>
      </c>
      <c r="V23" s="1">
        <v>0.45500000000000002</v>
      </c>
      <c r="W23" s="1">
        <v>99.4</v>
      </c>
      <c r="X23" s="1">
        <v>186.95</v>
      </c>
      <c r="Y23" s="1">
        <v>155.79</v>
      </c>
      <c r="Z23" s="1">
        <v>78</v>
      </c>
      <c r="AA23" s="1">
        <v>0.22900000000000001</v>
      </c>
      <c r="AB23" s="1">
        <v>3</v>
      </c>
      <c r="AC23" s="1">
        <v>16</v>
      </c>
      <c r="AD23" s="1">
        <v>15</v>
      </c>
      <c r="AE23" s="1">
        <v>16</v>
      </c>
      <c r="AF23" s="1">
        <v>8</v>
      </c>
      <c r="AG23" s="1">
        <v>22</v>
      </c>
      <c r="AH23" s="1">
        <v>29</v>
      </c>
      <c r="AI23" s="1">
        <v>30</v>
      </c>
      <c r="AJ23" s="1">
        <v>28</v>
      </c>
      <c r="AK23" s="1">
        <v>27</v>
      </c>
      <c r="AL23" s="1">
        <v>28</v>
      </c>
      <c r="AM23" s="1">
        <v>4</v>
      </c>
      <c r="AN23" s="1">
        <v>30</v>
      </c>
      <c r="AO23" s="1">
        <v>28</v>
      </c>
      <c r="AP23" s="1">
        <v>18</v>
      </c>
      <c r="AQ23" s="1">
        <v>29</v>
      </c>
      <c r="AR23" s="1">
        <v>25</v>
      </c>
      <c r="AS23" s="1">
        <v>19</v>
      </c>
      <c r="AT23" s="1">
        <v>30</v>
      </c>
      <c r="AU23" s="1">
        <v>10</v>
      </c>
      <c r="AV23" s="1" t="s">
        <v>514</v>
      </c>
    </row>
    <row r="24" spans="1:48" x14ac:dyDescent="0.25">
      <c r="A24" s="1">
        <v>1610612755</v>
      </c>
      <c r="B24" s="1" t="s">
        <v>516</v>
      </c>
      <c r="C24" s="1">
        <v>1</v>
      </c>
      <c r="D24" s="1">
        <v>1</v>
      </c>
      <c r="E24" s="1">
        <v>0</v>
      </c>
      <c r="F24" s="1">
        <v>1</v>
      </c>
      <c r="G24" s="1">
        <v>21</v>
      </c>
      <c r="H24" s="1">
        <v>111.3</v>
      </c>
      <c r="I24" s="1">
        <v>80.3</v>
      </c>
      <c r="J24" s="1">
        <v>94.9</v>
      </c>
      <c r="K24" s="1">
        <v>66.2</v>
      </c>
      <c r="L24" s="1">
        <v>16.399999999999999</v>
      </c>
      <c r="M24" s="1">
        <v>14.2</v>
      </c>
      <c r="N24" s="1">
        <v>0.624</v>
      </c>
      <c r="O24" s="1">
        <v>1.18</v>
      </c>
      <c r="P24" s="1">
        <v>12.1</v>
      </c>
      <c r="Q24" s="1">
        <v>0.26300000000000001</v>
      </c>
      <c r="R24" s="1">
        <v>0.72</v>
      </c>
      <c r="S24" s="1">
        <v>0.51600000000000001</v>
      </c>
      <c r="T24" s="1">
        <v>0.151</v>
      </c>
      <c r="U24" s="1">
        <v>0.61299999999999999</v>
      </c>
      <c r="V24" s="1">
        <v>0.64100000000000001</v>
      </c>
      <c r="W24" s="1">
        <v>103.6</v>
      </c>
      <c r="X24" s="1">
        <v>146.07</v>
      </c>
      <c r="Y24" s="1">
        <v>121.72</v>
      </c>
      <c r="Z24" s="1">
        <v>65</v>
      </c>
      <c r="AA24" s="1">
        <v>0.61</v>
      </c>
      <c r="AB24" s="1">
        <v>3</v>
      </c>
      <c r="AC24" s="1">
        <v>2</v>
      </c>
      <c r="AD24" s="1">
        <v>1</v>
      </c>
      <c r="AE24" s="1">
        <v>1</v>
      </c>
      <c r="AF24" s="1">
        <v>6</v>
      </c>
      <c r="AG24" s="1">
        <v>3</v>
      </c>
      <c r="AH24" s="1">
        <v>24</v>
      </c>
      <c r="AI24" s="1">
        <v>3</v>
      </c>
      <c r="AJ24" s="1">
        <v>10</v>
      </c>
      <c r="AK24" s="1">
        <v>17</v>
      </c>
      <c r="AL24" s="1">
        <v>4</v>
      </c>
      <c r="AM24" s="1">
        <v>14</v>
      </c>
      <c r="AN24" s="1">
        <v>17</v>
      </c>
      <c r="AO24" s="1">
        <v>11</v>
      </c>
      <c r="AP24" s="1">
        <v>28</v>
      </c>
      <c r="AQ24" s="1">
        <v>5</v>
      </c>
      <c r="AR24" s="1">
        <v>6</v>
      </c>
      <c r="AS24" s="1">
        <v>28</v>
      </c>
      <c r="AT24" s="1">
        <v>5</v>
      </c>
      <c r="AU24" s="1">
        <v>10</v>
      </c>
      <c r="AV24" s="1" t="s">
        <v>516</v>
      </c>
    </row>
    <row r="25" spans="1:48" x14ac:dyDescent="0.25">
      <c r="A25" s="1">
        <v>1610612756</v>
      </c>
      <c r="B25" s="1" t="s">
        <v>518</v>
      </c>
      <c r="C25" s="1">
        <v>1</v>
      </c>
      <c r="D25" s="1">
        <v>0</v>
      </c>
      <c r="E25" s="1">
        <v>1</v>
      </c>
      <c r="F25" s="1">
        <v>0</v>
      </c>
      <c r="G25" s="1">
        <v>17</v>
      </c>
      <c r="H25" s="1">
        <v>116.3</v>
      </c>
      <c r="I25" s="1">
        <v>67.8</v>
      </c>
      <c r="J25" s="1">
        <v>102.2</v>
      </c>
      <c r="K25" s="1">
        <v>60.3</v>
      </c>
      <c r="L25" s="1">
        <v>14.1</v>
      </c>
      <c r="M25" s="1">
        <v>7.5</v>
      </c>
      <c r="N25" s="1">
        <v>0.64900000000000002</v>
      </c>
      <c r="O25" s="1">
        <v>0.98</v>
      </c>
      <c r="P25" s="1">
        <v>6.1</v>
      </c>
      <c r="Q25" s="1">
        <v>0.33800000000000002</v>
      </c>
      <c r="R25" s="1">
        <v>0.78500000000000003</v>
      </c>
      <c r="S25" s="1">
        <v>0.58699999999999997</v>
      </c>
      <c r="T25" s="1">
        <v>0.159</v>
      </c>
      <c r="U25" s="1">
        <v>0.66700000000000004</v>
      </c>
      <c r="V25" s="1">
        <v>0.59</v>
      </c>
      <c r="W25" s="1">
        <v>102.9</v>
      </c>
      <c r="X25" s="1">
        <v>175.4</v>
      </c>
      <c r="Y25" s="1">
        <v>146.16999999999999</v>
      </c>
      <c r="Z25" s="1">
        <v>64</v>
      </c>
      <c r="AA25" s="1">
        <v>0.59899999999999998</v>
      </c>
      <c r="AB25" s="1">
        <v>3</v>
      </c>
      <c r="AC25" s="1">
        <v>16</v>
      </c>
      <c r="AD25" s="1">
        <v>15</v>
      </c>
      <c r="AE25" s="1">
        <v>16</v>
      </c>
      <c r="AF25" s="1">
        <v>20</v>
      </c>
      <c r="AG25" s="1">
        <v>5</v>
      </c>
      <c r="AH25" s="1">
        <v>19</v>
      </c>
      <c r="AI25" s="1">
        <v>6</v>
      </c>
      <c r="AJ25" s="1">
        <v>8</v>
      </c>
      <c r="AK25" s="1">
        <v>25</v>
      </c>
      <c r="AL25" s="1">
        <v>26</v>
      </c>
      <c r="AM25" s="1">
        <v>5</v>
      </c>
      <c r="AN25" s="1">
        <v>6</v>
      </c>
      <c r="AO25" s="1">
        <v>2</v>
      </c>
      <c r="AP25" s="1">
        <v>29</v>
      </c>
      <c r="AQ25" s="1">
        <v>1</v>
      </c>
      <c r="AR25" s="1">
        <v>10</v>
      </c>
      <c r="AS25" s="1">
        <v>21</v>
      </c>
      <c r="AT25" s="1">
        <v>7</v>
      </c>
      <c r="AU25" s="1">
        <v>10</v>
      </c>
      <c r="AV25" s="1" t="s">
        <v>518</v>
      </c>
    </row>
    <row r="26" spans="1:48" x14ac:dyDescent="0.25">
      <c r="A26" s="1">
        <v>1610612757</v>
      </c>
      <c r="B26" s="1" t="s">
        <v>520</v>
      </c>
      <c r="C26" s="1">
        <v>1</v>
      </c>
      <c r="D26" s="1">
        <v>0</v>
      </c>
      <c r="E26" s="1">
        <v>1</v>
      </c>
      <c r="F26" s="1">
        <v>0</v>
      </c>
      <c r="G26" s="1">
        <v>14</v>
      </c>
      <c r="H26" s="1">
        <v>119</v>
      </c>
      <c r="I26" s="1">
        <v>58.7</v>
      </c>
      <c r="J26" s="1">
        <v>121.9</v>
      </c>
      <c r="K26" s="1">
        <v>60.3</v>
      </c>
      <c r="L26" s="1">
        <v>-3</v>
      </c>
      <c r="M26" s="1">
        <v>-1.7</v>
      </c>
      <c r="N26" s="1">
        <v>0.56899999999999995</v>
      </c>
      <c r="O26" s="1">
        <v>1.23</v>
      </c>
      <c r="P26" s="1">
        <v>9.5</v>
      </c>
      <c r="Q26" s="1">
        <v>0.379</v>
      </c>
      <c r="R26" s="1">
        <v>0.80300000000000005</v>
      </c>
      <c r="S26" s="1">
        <v>0.60499999999999998</v>
      </c>
      <c r="T26" s="1">
        <v>0.1</v>
      </c>
      <c r="U26" s="1">
        <v>0.61199999999999999</v>
      </c>
      <c r="V26" s="1">
        <v>0.69899999999999995</v>
      </c>
      <c r="W26" s="1">
        <v>102</v>
      </c>
      <c r="X26" s="1">
        <v>206.55</v>
      </c>
      <c r="Y26" s="1">
        <v>172.13</v>
      </c>
      <c r="Z26" s="1">
        <v>60</v>
      </c>
      <c r="AA26" s="1">
        <v>0.48699999999999999</v>
      </c>
      <c r="AB26" s="1">
        <v>3</v>
      </c>
      <c r="AC26" s="1">
        <v>16</v>
      </c>
      <c r="AD26" s="1">
        <v>15</v>
      </c>
      <c r="AE26" s="1">
        <v>16</v>
      </c>
      <c r="AF26" s="1">
        <v>29</v>
      </c>
      <c r="AG26" s="1">
        <v>15</v>
      </c>
      <c r="AH26" s="1">
        <v>20</v>
      </c>
      <c r="AI26" s="1">
        <v>14</v>
      </c>
      <c r="AJ26" s="1">
        <v>15</v>
      </c>
      <c r="AK26" s="1">
        <v>16</v>
      </c>
      <c r="AL26" s="1">
        <v>16</v>
      </c>
      <c r="AM26" s="1">
        <v>2</v>
      </c>
      <c r="AN26" s="1">
        <v>4</v>
      </c>
      <c r="AO26" s="1">
        <v>1</v>
      </c>
      <c r="AP26" s="1">
        <v>21</v>
      </c>
      <c r="AQ26" s="1">
        <v>6</v>
      </c>
      <c r="AR26" s="1">
        <v>2</v>
      </c>
      <c r="AS26" s="1">
        <v>10</v>
      </c>
      <c r="AT26" s="1">
        <v>16</v>
      </c>
      <c r="AU26" s="1">
        <v>10</v>
      </c>
      <c r="AV26" s="1" t="s">
        <v>520</v>
      </c>
    </row>
    <row r="27" spans="1:48" x14ac:dyDescent="0.25">
      <c r="A27" s="1">
        <v>1610612758</v>
      </c>
      <c r="B27" s="1" t="s">
        <v>522</v>
      </c>
      <c r="C27" s="1">
        <v>1</v>
      </c>
      <c r="D27" s="1">
        <v>1</v>
      </c>
      <c r="E27" s="1">
        <v>0</v>
      </c>
      <c r="F27" s="1">
        <v>1</v>
      </c>
      <c r="G27" s="1">
        <v>17</v>
      </c>
      <c r="H27" s="1">
        <v>110.5</v>
      </c>
      <c r="I27" s="1">
        <v>50.6</v>
      </c>
      <c r="J27" s="1">
        <v>127.8</v>
      </c>
      <c r="K27" s="1">
        <v>57.6</v>
      </c>
      <c r="L27" s="1">
        <v>-17.399999999999999</v>
      </c>
      <c r="M27" s="1">
        <v>-7</v>
      </c>
      <c r="N27" s="1">
        <v>0.625</v>
      </c>
      <c r="O27" s="1">
        <v>2.65</v>
      </c>
      <c r="P27" s="1">
        <v>8</v>
      </c>
      <c r="Q27" s="1">
        <v>0.20399999999999999</v>
      </c>
      <c r="R27" s="1">
        <v>0.69599999999999995</v>
      </c>
      <c r="S27" s="1">
        <v>0.42399999999999999</v>
      </c>
      <c r="T27" s="1">
        <v>4.1000000000000002E-2</v>
      </c>
      <c r="U27" s="1">
        <v>0.52800000000000002</v>
      </c>
      <c r="V27" s="1">
        <v>0.48799999999999999</v>
      </c>
      <c r="W27" s="1">
        <v>103.8</v>
      </c>
      <c r="X27" s="1">
        <v>228.43</v>
      </c>
      <c r="Y27" s="1">
        <v>190.36</v>
      </c>
      <c r="Z27" s="1">
        <v>83</v>
      </c>
      <c r="AA27" s="1">
        <v>0.40699999999999997</v>
      </c>
      <c r="AB27" s="1">
        <v>3</v>
      </c>
      <c r="AC27" s="1">
        <v>2</v>
      </c>
      <c r="AD27" s="1">
        <v>1</v>
      </c>
      <c r="AE27" s="1">
        <v>1</v>
      </c>
      <c r="AF27" s="1">
        <v>19</v>
      </c>
      <c r="AG27" s="1">
        <v>17</v>
      </c>
      <c r="AH27" s="1">
        <v>15</v>
      </c>
      <c r="AI27" s="1">
        <v>23</v>
      </c>
      <c r="AJ27" s="1">
        <v>9</v>
      </c>
      <c r="AK27" s="1">
        <v>7</v>
      </c>
      <c r="AL27" s="1">
        <v>19</v>
      </c>
      <c r="AM27" s="1">
        <v>25</v>
      </c>
      <c r="AN27" s="1">
        <v>22</v>
      </c>
      <c r="AO27" s="1">
        <v>29</v>
      </c>
      <c r="AP27" s="1">
        <v>4</v>
      </c>
      <c r="AQ27" s="1">
        <v>14</v>
      </c>
      <c r="AR27" s="1">
        <v>21</v>
      </c>
      <c r="AS27" s="1">
        <v>8</v>
      </c>
      <c r="AT27" s="1">
        <v>21</v>
      </c>
      <c r="AU27" s="1">
        <v>10</v>
      </c>
      <c r="AV27" s="1" t="s">
        <v>522</v>
      </c>
    </row>
    <row r="28" spans="1:48" x14ac:dyDescent="0.25">
      <c r="A28" s="1">
        <v>1610612759</v>
      </c>
      <c r="B28" s="1" t="s">
        <v>525</v>
      </c>
      <c r="C28" s="1">
        <v>1</v>
      </c>
      <c r="D28" s="1">
        <v>1</v>
      </c>
      <c r="E28" s="1">
        <v>0</v>
      </c>
      <c r="F28" s="1">
        <v>1</v>
      </c>
      <c r="G28" s="1">
        <v>20</v>
      </c>
      <c r="H28" s="1">
        <v>141.1</v>
      </c>
      <c r="I28" s="1">
        <v>83.8</v>
      </c>
      <c r="J28" s="1">
        <v>98.6</v>
      </c>
      <c r="K28" s="1">
        <v>58.5</v>
      </c>
      <c r="L28" s="1">
        <v>42.5</v>
      </c>
      <c r="M28" s="1">
        <v>25.3</v>
      </c>
      <c r="N28" s="1">
        <v>0.67300000000000004</v>
      </c>
      <c r="O28" s="1">
        <v>5.14</v>
      </c>
      <c r="P28" s="1">
        <v>12.1</v>
      </c>
      <c r="Q28" s="1">
        <v>0.40400000000000003</v>
      </c>
      <c r="R28" s="1">
        <v>0.65800000000000003</v>
      </c>
      <c r="S28" s="1">
        <v>0.54300000000000004</v>
      </c>
      <c r="T28" s="1">
        <v>4.1000000000000002E-2</v>
      </c>
      <c r="U28" s="1">
        <v>0.64400000000000002</v>
      </c>
      <c r="V28" s="1">
        <v>0.59199999999999997</v>
      </c>
      <c r="W28" s="1">
        <v>97.7</v>
      </c>
      <c r="X28" s="1">
        <v>164.46</v>
      </c>
      <c r="Y28" s="1">
        <v>137.05000000000001</v>
      </c>
      <c r="Z28" s="1">
        <v>68</v>
      </c>
      <c r="AA28" s="1">
        <v>0.68200000000000005</v>
      </c>
      <c r="AB28" s="1">
        <v>3</v>
      </c>
      <c r="AC28" s="1">
        <v>2</v>
      </c>
      <c r="AD28" s="1">
        <v>1</v>
      </c>
      <c r="AE28" s="1">
        <v>1</v>
      </c>
      <c r="AF28" s="1">
        <v>13</v>
      </c>
      <c r="AG28" s="1">
        <v>1</v>
      </c>
      <c r="AH28" s="1">
        <v>18</v>
      </c>
      <c r="AI28" s="1">
        <v>1</v>
      </c>
      <c r="AJ28" s="1">
        <v>7</v>
      </c>
      <c r="AK28" s="1">
        <v>1</v>
      </c>
      <c r="AL28" s="1">
        <v>5</v>
      </c>
      <c r="AM28" s="1">
        <v>1</v>
      </c>
      <c r="AN28" s="1">
        <v>28</v>
      </c>
      <c r="AO28" s="1">
        <v>4</v>
      </c>
      <c r="AP28" s="1">
        <v>5</v>
      </c>
      <c r="AQ28" s="1">
        <v>2</v>
      </c>
      <c r="AR28" s="1">
        <v>9</v>
      </c>
      <c r="AS28" s="1">
        <v>23</v>
      </c>
      <c r="AT28" s="1">
        <v>1</v>
      </c>
      <c r="AU28" s="1">
        <v>10</v>
      </c>
      <c r="AV28" s="1" t="s">
        <v>525</v>
      </c>
    </row>
    <row r="29" spans="1:48" x14ac:dyDescent="0.25">
      <c r="A29" s="1">
        <v>1610612761</v>
      </c>
      <c r="B29" s="1" t="s">
        <v>526</v>
      </c>
      <c r="C29" s="1">
        <v>1</v>
      </c>
      <c r="D29" s="1">
        <v>0</v>
      </c>
      <c r="E29" s="1">
        <v>1</v>
      </c>
      <c r="F29" s="1">
        <v>0</v>
      </c>
      <c r="G29" s="1">
        <v>20</v>
      </c>
      <c r="H29" s="1">
        <v>82.3</v>
      </c>
      <c r="I29" s="1">
        <v>43.6</v>
      </c>
      <c r="J29" s="1">
        <v>80.7</v>
      </c>
      <c r="K29" s="1">
        <v>43.4</v>
      </c>
      <c r="L29" s="1">
        <v>1.6</v>
      </c>
      <c r="M29" s="1">
        <v>0.2</v>
      </c>
      <c r="N29" s="1">
        <v>0.45900000000000002</v>
      </c>
      <c r="O29" s="1">
        <v>0.9</v>
      </c>
      <c r="P29" s="1">
        <v>1.9</v>
      </c>
      <c r="Q29" s="1">
        <v>0.318</v>
      </c>
      <c r="R29" s="1">
        <v>0.755</v>
      </c>
      <c r="S29" s="1">
        <v>0.498</v>
      </c>
      <c r="T29" s="1">
        <v>7.4999999999999997E-2</v>
      </c>
      <c r="U29" s="1">
        <v>0.33</v>
      </c>
      <c r="V29" s="1">
        <v>0.45300000000000001</v>
      </c>
      <c r="W29" s="1">
        <v>107.9</v>
      </c>
      <c r="X29" s="1">
        <v>202.02</v>
      </c>
      <c r="Y29" s="1">
        <v>168.35</v>
      </c>
      <c r="Z29" s="1">
        <v>83</v>
      </c>
      <c r="AA29" s="1">
        <v>0.40300000000000002</v>
      </c>
      <c r="AB29" s="1">
        <v>3</v>
      </c>
      <c r="AC29" s="1">
        <v>16</v>
      </c>
      <c r="AD29" s="1">
        <v>15</v>
      </c>
      <c r="AE29" s="1">
        <v>16</v>
      </c>
      <c r="AF29" s="1">
        <v>15</v>
      </c>
      <c r="AG29" s="1">
        <v>28</v>
      </c>
      <c r="AH29" s="1">
        <v>4</v>
      </c>
      <c r="AI29" s="1">
        <v>13</v>
      </c>
      <c r="AJ29" s="1">
        <v>27</v>
      </c>
      <c r="AK29" s="1">
        <v>26</v>
      </c>
      <c r="AL29" s="1">
        <v>30</v>
      </c>
      <c r="AM29" s="1">
        <v>8</v>
      </c>
      <c r="AN29" s="1">
        <v>12</v>
      </c>
      <c r="AO29" s="1">
        <v>16</v>
      </c>
      <c r="AP29" s="1">
        <v>13</v>
      </c>
      <c r="AQ29" s="1">
        <v>30</v>
      </c>
      <c r="AR29" s="1">
        <v>26</v>
      </c>
      <c r="AS29" s="1">
        <v>13</v>
      </c>
      <c r="AT29" s="1">
        <v>22</v>
      </c>
      <c r="AU29" s="1">
        <v>10</v>
      </c>
      <c r="AV29" s="1" t="s">
        <v>526</v>
      </c>
    </row>
    <row r="30" spans="1:48" x14ac:dyDescent="0.25">
      <c r="A30" s="1">
        <v>1610612762</v>
      </c>
      <c r="B30" s="1" t="s">
        <v>528</v>
      </c>
      <c r="C30" s="1">
        <v>1</v>
      </c>
      <c r="D30" s="1">
        <v>1</v>
      </c>
      <c r="E30" s="1">
        <v>0</v>
      </c>
      <c r="F30" s="1">
        <v>1</v>
      </c>
      <c r="G30" s="1">
        <v>20</v>
      </c>
      <c r="H30" s="1">
        <v>110.8</v>
      </c>
      <c r="I30" s="1">
        <v>65.5</v>
      </c>
      <c r="J30" s="1">
        <v>96.6</v>
      </c>
      <c r="K30" s="1">
        <v>61.2</v>
      </c>
      <c r="L30" s="1">
        <v>14.2</v>
      </c>
      <c r="M30" s="1">
        <v>4.3</v>
      </c>
      <c r="N30" s="1">
        <v>0.41299999999999998</v>
      </c>
      <c r="O30" s="1">
        <v>1.1000000000000001</v>
      </c>
      <c r="P30" s="1">
        <v>7.1</v>
      </c>
      <c r="Q30" s="1">
        <v>0.26300000000000001</v>
      </c>
      <c r="R30" s="1">
        <v>0.73599999999999999</v>
      </c>
      <c r="S30" s="1">
        <v>0.52300000000000002</v>
      </c>
      <c r="T30" s="1">
        <v>8.6999999999999994E-2</v>
      </c>
      <c r="U30" s="1">
        <v>0.52800000000000002</v>
      </c>
      <c r="V30" s="1">
        <v>0.60499999999999998</v>
      </c>
      <c r="W30" s="1">
        <v>100</v>
      </c>
      <c r="X30" s="1">
        <v>163.37</v>
      </c>
      <c r="Y30" s="1">
        <v>136.13999999999999</v>
      </c>
      <c r="Z30" s="1">
        <v>69</v>
      </c>
      <c r="AA30" s="1">
        <v>0.54600000000000004</v>
      </c>
      <c r="AB30" s="1">
        <v>3</v>
      </c>
      <c r="AC30" s="1">
        <v>2</v>
      </c>
      <c r="AD30" s="1">
        <v>1</v>
      </c>
      <c r="AE30" s="1">
        <v>1</v>
      </c>
      <c r="AF30" s="1">
        <v>10</v>
      </c>
      <c r="AG30" s="1">
        <v>9</v>
      </c>
      <c r="AH30" s="1">
        <v>21</v>
      </c>
      <c r="AI30" s="1">
        <v>11</v>
      </c>
      <c r="AJ30" s="1">
        <v>30</v>
      </c>
      <c r="AK30" s="1">
        <v>22</v>
      </c>
      <c r="AL30" s="1">
        <v>21</v>
      </c>
      <c r="AM30" s="1">
        <v>16</v>
      </c>
      <c r="AN30" s="1">
        <v>14</v>
      </c>
      <c r="AO30" s="1">
        <v>9</v>
      </c>
      <c r="AP30" s="1">
        <v>17</v>
      </c>
      <c r="AQ30" s="1">
        <v>13</v>
      </c>
      <c r="AR30" s="1">
        <v>8</v>
      </c>
      <c r="AS30" s="1">
        <v>24</v>
      </c>
      <c r="AT30" s="1">
        <v>10</v>
      </c>
      <c r="AU30" s="1">
        <v>10</v>
      </c>
      <c r="AV30" s="1" t="s">
        <v>528</v>
      </c>
    </row>
    <row r="31" spans="1:48" x14ac:dyDescent="0.25">
      <c r="A31" s="1">
        <v>1610612764</v>
      </c>
      <c r="B31" s="1" t="s">
        <v>530</v>
      </c>
      <c r="C31" s="1">
        <v>1</v>
      </c>
      <c r="D31" s="1">
        <v>1</v>
      </c>
      <c r="E31" s="1">
        <v>0</v>
      </c>
      <c r="F31" s="1">
        <v>1</v>
      </c>
      <c r="G31" s="1">
        <v>19</v>
      </c>
      <c r="H31" s="1">
        <v>85.5</v>
      </c>
      <c r="I31" s="1">
        <v>46.3</v>
      </c>
      <c r="J31" s="1">
        <v>78.3</v>
      </c>
      <c r="K31" s="1">
        <v>43.2</v>
      </c>
      <c r="L31" s="1">
        <v>7.2</v>
      </c>
      <c r="M31" s="1">
        <v>3.1</v>
      </c>
      <c r="N31" s="1">
        <v>0.56200000000000006</v>
      </c>
      <c r="O31" s="1">
        <v>0.8</v>
      </c>
      <c r="P31" s="1">
        <v>6.1</v>
      </c>
      <c r="Q31" s="1">
        <v>0.26300000000000001</v>
      </c>
      <c r="R31" s="1">
        <v>0.72699999999999998</v>
      </c>
      <c r="S31" s="1">
        <v>0.53800000000000003</v>
      </c>
      <c r="T31" s="1">
        <v>0.124</v>
      </c>
      <c r="U31" s="1">
        <v>0.45200000000000001</v>
      </c>
      <c r="V31" s="1">
        <v>0.58399999999999996</v>
      </c>
      <c r="W31" s="1">
        <v>111.5</v>
      </c>
      <c r="X31" s="1">
        <v>204.01</v>
      </c>
      <c r="Y31" s="1">
        <v>170.01</v>
      </c>
      <c r="Z31" s="1">
        <v>82</v>
      </c>
      <c r="AA31" s="1">
        <v>0.67700000000000005</v>
      </c>
      <c r="AB31" s="1">
        <v>3</v>
      </c>
      <c r="AC31" s="1">
        <v>2</v>
      </c>
      <c r="AD31" s="1">
        <v>1</v>
      </c>
      <c r="AE31" s="1">
        <v>1</v>
      </c>
      <c r="AF31" s="1">
        <v>17</v>
      </c>
      <c r="AG31" s="1">
        <v>24</v>
      </c>
      <c r="AH31" s="1">
        <v>3</v>
      </c>
      <c r="AI31" s="1">
        <v>12</v>
      </c>
      <c r="AJ31" s="1">
        <v>19</v>
      </c>
      <c r="AK31" s="1">
        <v>28</v>
      </c>
      <c r="AL31" s="1">
        <v>25</v>
      </c>
      <c r="AM31" s="1">
        <v>14</v>
      </c>
      <c r="AN31" s="1">
        <v>16</v>
      </c>
      <c r="AO31" s="1">
        <v>5</v>
      </c>
      <c r="AP31" s="1">
        <v>25</v>
      </c>
      <c r="AQ31" s="1">
        <v>24</v>
      </c>
      <c r="AR31" s="1">
        <v>11</v>
      </c>
      <c r="AS31" s="1">
        <v>11</v>
      </c>
      <c r="AT31" s="1">
        <v>2</v>
      </c>
      <c r="AU31" s="1">
        <v>10</v>
      </c>
      <c r="AV31" s="1" t="s">
        <v>530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721A0-D3E7-4CCD-8F0F-78C1D487F13F}">
  <dimension ref="A1:AD31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8" max="8" width="16.84375" customWidth="1"/>
    <col min="9" max="9" width="21.15234375" customWidth="1"/>
    <col min="10" max="10" width="10.3828125" customWidth="1"/>
    <col min="11" max="11" width="13.84375" customWidth="1"/>
    <col min="12" max="12" width="21.921875" customWidth="1"/>
    <col min="13" max="13" width="26.23046875" customWidth="1"/>
    <col min="14" max="14" width="15.4609375" customWidth="1"/>
    <col min="15" max="15" width="19" customWidth="1"/>
    <col min="16" max="16" width="12" customWidth="1"/>
    <col min="17" max="17" width="10.765625" customWidth="1"/>
    <col min="18" max="18" width="10.3828125" customWidth="1"/>
    <col min="19" max="19" width="15.765625" customWidth="1"/>
    <col min="20" max="20" width="12.921875" customWidth="1"/>
    <col min="21" max="21" width="23.15234375" customWidth="1"/>
    <col min="22" max="22" width="27.4609375" customWidth="1"/>
    <col min="23" max="23" width="16.69140625" customWidth="1"/>
    <col min="24" max="24" width="20.23046875" customWidth="1"/>
    <col min="25" max="25" width="28.3046875" customWidth="1"/>
    <col min="26" max="26" width="32.61328125" customWidth="1"/>
    <col min="27" max="27" width="21.84375" customWidth="1"/>
    <col min="28" max="28" width="25.3046875" customWidth="1"/>
    <col min="30" max="30" width="13.84375" customWidth="1"/>
  </cols>
  <sheetData>
    <row r="1" spans="1:30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566</v>
      </c>
      <c r="I1" s="1" t="s">
        <v>567</v>
      </c>
      <c r="J1" s="1" t="s">
        <v>568</v>
      </c>
      <c r="K1" s="1" t="s">
        <v>569</v>
      </c>
      <c r="L1" s="1" t="s">
        <v>570</v>
      </c>
      <c r="M1" s="1" t="s">
        <v>571</v>
      </c>
      <c r="N1" s="1" t="s">
        <v>572</v>
      </c>
      <c r="O1" s="1" t="s">
        <v>573</v>
      </c>
      <c r="P1" s="1" t="s">
        <v>435</v>
      </c>
      <c r="Q1" s="1" t="s">
        <v>436</v>
      </c>
      <c r="R1" s="1" t="s">
        <v>437</v>
      </c>
      <c r="S1" s="1" t="s">
        <v>438</v>
      </c>
      <c r="T1" s="1" t="s">
        <v>439</v>
      </c>
      <c r="U1" s="1" t="s">
        <v>574</v>
      </c>
      <c r="V1" s="1" t="s">
        <v>575</v>
      </c>
      <c r="W1" s="1" t="s">
        <v>576</v>
      </c>
      <c r="X1" s="1" t="s">
        <v>577</v>
      </c>
      <c r="Y1" s="1" t="s">
        <v>578</v>
      </c>
      <c r="Z1" s="1" t="s">
        <v>579</v>
      </c>
      <c r="AA1" s="1" t="s">
        <v>580</v>
      </c>
      <c r="AB1" s="1" t="s">
        <v>581</v>
      </c>
      <c r="AC1" s="1" t="s">
        <v>461</v>
      </c>
      <c r="AD1" s="1" t="s">
        <v>462</v>
      </c>
    </row>
    <row r="2" spans="1:30" x14ac:dyDescent="0.25">
      <c r="A2" s="1">
        <v>1610612737</v>
      </c>
      <c r="B2" s="1" t="s">
        <v>463</v>
      </c>
      <c r="C2" s="1">
        <v>1</v>
      </c>
      <c r="D2" s="1">
        <v>1</v>
      </c>
      <c r="E2" s="1">
        <v>0</v>
      </c>
      <c r="F2" s="1">
        <v>1</v>
      </c>
      <c r="G2" s="1">
        <v>48</v>
      </c>
      <c r="H2" s="1">
        <v>9</v>
      </c>
      <c r="I2" s="1">
        <v>8</v>
      </c>
      <c r="J2" s="1">
        <v>11</v>
      </c>
      <c r="K2" s="1">
        <v>46</v>
      </c>
      <c r="L2" s="1">
        <v>14</v>
      </c>
      <c r="M2" s="1">
        <v>2</v>
      </c>
      <c r="N2" s="1">
        <v>7</v>
      </c>
      <c r="O2" s="1">
        <v>26</v>
      </c>
      <c r="P2" s="1">
        <v>3</v>
      </c>
      <c r="Q2" s="1">
        <v>2</v>
      </c>
      <c r="R2" s="1">
        <v>1</v>
      </c>
      <c r="S2" s="1">
        <v>1</v>
      </c>
      <c r="T2" s="1">
        <v>5</v>
      </c>
      <c r="U2" s="1">
        <v>25</v>
      </c>
      <c r="V2" s="1">
        <v>22</v>
      </c>
      <c r="W2" s="1">
        <v>21</v>
      </c>
      <c r="X2" s="1">
        <v>17</v>
      </c>
      <c r="Y2" s="1">
        <v>12</v>
      </c>
      <c r="Z2" s="1">
        <v>1</v>
      </c>
      <c r="AA2" s="1">
        <v>7</v>
      </c>
      <c r="AB2" s="1">
        <v>1</v>
      </c>
      <c r="AC2" s="1">
        <v>10</v>
      </c>
      <c r="AD2" s="1" t="s">
        <v>463</v>
      </c>
    </row>
    <row r="3" spans="1:30" x14ac:dyDescent="0.25">
      <c r="A3" s="1">
        <v>1610612738</v>
      </c>
      <c r="B3" s="1" t="s">
        <v>466</v>
      </c>
      <c r="C3" s="1">
        <v>1</v>
      </c>
      <c r="D3" s="1">
        <v>0</v>
      </c>
      <c r="E3" s="1">
        <v>1</v>
      </c>
      <c r="F3" s="1">
        <v>0</v>
      </c>
      <c r="G3" s="1">
        <v>58</v>
      </c>
      <c r="H3" s="1">
        <v>17</v>
      </c>
      <c r="I3" s="1">
        <v>9</v>
      </c>
      <c r="J3" s="1">
        <v>19</v>
      </c>
      <c r="K3" s="1">
        <v>42</v>
      </c>
      <c r="L3" s="1">
        <v>17</v>
      </c>
      <c r="M3" s="1">
        <v>14</v>
      </c>
      <c r="N3" s="1">
        <v>14</v>
      </c>
      <c r="O3" s="1">
        <v>60</v>
      </c>
      <c r="P3" s="1">
        <v>3</v>
      </c>
      <c r="Q3" s="1">
        <v>16</v>
      </c>
      <c r="R3" s="1">
        <v>15</v>
      </c>
      <c r="S3" s="1">
        <v>16</v>
      </c>
      <c r="T3" s="1">
        <v>3</v>
      </c>
      <c r="U3" s="1">
        <v>15</v>
      </c>
      <c r="V3" s="1">
        <v>20</v>
      </c>
      <c r="W3" s="1">
        <v>11</v>
      </c>
      <c r="X3" s="1">
        <v>22</v>
      </c>
      <c r="Y3" s="1">
        <v>14</v>
      </c>
      <c r="Z3" s="1">
        <v>21</v>
      </c>
      <c r="AA3" s="1">
        <v>14</v>
      </c>
      <c r="AB3" s="1">
        <v>29</v>
      </c>
      <c r="AC3" s="1">
        <v>10</v>
      </c>
      <c r="AD3" s="1" t="s">
        <v>466</v>
      </c>
    </row>
    <row r="4" spans="1:30" x14ac:dyDescent="0.25">
      <c r="A4" s="1">
        <v>1610612751</v>
      </c>
      <c r="B4" s="1" t="s">
        <v>469</v>
      </c>
      <c r="C4" s="1">
        <v>1</v>
      </c>
      <c r="D4" s="1">
        <v>0</v>
      </c>
      <c r="E4" s="1">
        <v>1</v>
      </c>
      <c r="F4" s="1">
        <v>0</v>
      </c>
      <c r="G4" s="1">
        <v>48</v>
      </c>
      <c r="H4" s="1">
        <v>2</v>
      </c>
      <c r="I4" s="1">
        <v>6</v>
      </c>
      <c r="J4" s="1">
        <v>15</v>
      </c>
      <c r="K4" s="1">
        <v>34</v>
      </c>
      <c r="L4" s="1">
        <v>22</v>
      </c>
      <c r="M4" s="1">
        <v>16</v>
      </c>
      <c r="N4" s="1">
        <v>21</v>
      </c>
      <c r="O4" s="1">
        <v>42</v>
      </c>
      <c r="P4" s="1">
        <v>3</v>
      </c>
      <c r="Q4" s="1">
        <v>16</v>
      </c>
      <c r="R4" s="1">
        <v>15</v>
      </c>
      <c r="S4" s="1">
        <v>16</v>
      </c>
      <c r="T4" s="1">
        <v>5</v>
      </c>
      <c r="U4" s="1">
        <v>30</v>
      </c>
      <c r="V4" s="1">
        <v>26</v>
      </c>
      <c r="W4" s="1">
        <v>15</v>
      </c>
      <c r="X4" s="1">
        <v>27</v>
      </c>
      <c r="Y4" s="1">
        <v>25</v>
      </c>
      <c r="Z4" s="1">
        <v>25</v>
      </c>
      <c r="AA4" s="1">
        <v>23</v>
      </c>
      <c r="AB4" s="1">
        <v>7</v>
      </c>
      <c r="AC4" s="1">
        <v>10</v>
      </c>
      <c r="AD4" s="1" t="s">
        <v>469</v>
      </c>
    </row>
    <row r="5" spans="1:30" x14ac:dyDescent="0.25">
      <c r="A5" s="1">
        <v>1610612766</v>
      </c>
      <c r="B5" s="1" t="s">
        <v>471</v>
      </c>
      <c r="C5" s="1">
        <v>1</v>
      </c>
      <c r="D5" s="1">
        <v>1</v>
      </c>
      <c r="E5" s="1">
        <v>0</v>
      </c>
      <c r="F5" s="1">
        <v>1</v>
      </c>
      <c r="G5" s="1">
        <v>48</v>
      </c>
      <c r="H5" s="1">
        <v>22</v>
      </c>
      <c r="I5" s="1">
        <v>24</v>
      </c>
      <c r="J5" s="1">
        <v>15</v>
      </c>
      <c r="K5" s="1">
        <v>54</v>
      </c>
      <c r="L5" s="1">
        <v>8</v>
      </c>
      <c r="M5" s="1">
        <v>21</v>
      </c>
      <c r="N5" s="1">
        <v>5</v>
      </c>
      <c r="O5" s="1">
        <v>44</v>
      </c>
      <c r="P5" s="1">
        <v>3</v>
      </c>
      <c r="Q5" s="1">
        <v>2</v>
      </c>
      <c r="R5" s="1">
        <v>1</v>
      </c>
      <c r="S5" s="1">
        <v>1</v>
      </c>
      <c r="T5" s="1">
        <v>5</v>
      </c>
      <c r="U5" s="1">
        <v>3</v>
      </c>
      <c r="V5" s="1">
        <v>1</v>
      </c>
      <c r="W5" s="1">
        <v>15</v>
      </c>
      <c r="X5" s="1">
        <v>8</v>
      </c>
      <c r="Y5" s="1">
        <v>4</v>
      </c>
      <c r="Z5" s="1">
        <v>29</v>
      </c>
      <c r="AA5" s="1">
        <v>4</v>
      </c>
      <c r="AB5" s="1">
        <v>10</v>
      </c>
      <c r="AC5" s="1">
        <v>10</v>
      </c>
      <c r="AD5" s="1" t="s">
        <v>471</v>
      </c>
    </row>
    <row r="6" spans="1:30" x14ac:dyDescent="0.25">
      <c r="A6" s="1">
        <v>1610612741</v>
      </c>
      <c r="B6" s="1" t="s">
        <v>474</v>
      </c>
      <c r="C6" s="1">
        <v>1</v>
      </c>
      <c r="D6" s="1">
        <v>1</v>
      </c>
      <c r="E6" s="1">
        <v>0</v>
      </c>
      <c r="F6" s="1">
        <v>1</v>
      </c>
      <c r="G6" s="1">
        <v>48</v>
      </c>
      <c r="H6" s="1">
        <v>22</v>
      </c>
      <c r="I6" s="1">
        <v>14</v>
      </c>
      <c r="J6" s="1">
        <v>15</v>
      </c>
      <c r="K6" s="1">
        <v>46</v>
      </c>
      <c r="L6" s="1">
        <v>15</v>
      </c>
      <c r="M6" s="1">
        <v>8</v>
      </c>
      <c r="N6" s="1">
        <v>6</v>
      </c>
      <c r="O6" s="1">
        <v>52</v>
      </c>
      <c r="P6" s="1">
        <v>3</v>
      </c>
      <c r="Q6" s="1">
        <v>2</v>
      </c>
      <c r="R6" s="1">
        <v>1</v>
      </c>
      <c r="S6" s="1">
        <v>1</v>
      </c>
      <c r="T6" s="1">
        <v>5</v>
      </c>
      <c r="U6" s="1">
        <v>3</v>
      </c>
      <c r="V6" s="1">
        <v>9</v>
      </c>
      <c r="W6" s="1">
        <v>15</v>
      </c>
      <c r="X6" s="1">
        <v>17</v>
      </c>
      <c r="Y6" s="1">
        <v>13</v>
      </c>
      <c r="Z6" s="1">
        <v>8</v>
      </c>
      <c r="AA6" s="1">
        <v>5</v>
      </c>
      <c r="AB6" s="1">
        <v>22</v>
      </c>
      <c r="AC6" s="1">
        <v>10</v>
      </c>
      <c r="AD6" s="1" t="s">
        <v>474</v>
      </c>
    </row>
    <row r="7" spans="1:30" x14ac:dyDescent="0.25">
      <c r="A7" s="1">
        <v>1610612739</v>
      </c>
      <c r="B7" s="1" t="s">
        <v>477</v>
      </c>
      <c r="C7" s="1">
        <v>1</v>
      </c>
      <c r="D7" s="1">
        <v>0</v>
      </c>
      <c r="E7" s="1">
        <v>1</v>
      </c>
      <c r="F7" s="1">
        <v>0</v>
      </c>
      <c r="G7" s="1">
        <v>48</v>
      </c>
      <c r="H7" s="1">
        <v>12</v>
      </c>
      <c r="I7" s="1">
        <v>7</v>
      </c>
      <c r="J7" s="1">
        <v>23</v>
      </c>
      <c r="K7" s="1">
        <v>54</v>
      </c>
      <c r="L7" s="1">
        <v>19</v>
      </c>
      <c r="M7" s="1">
        <v>13</v>
      </c>
      <c r="N7" s="1">
        <v>22</v>
      </c>
      <c r="O7" s="1">
        <v>70</v>
      </c>
      <c r="P7" s="1">
        <v>3</v>
      </c>
      <c r="Q7" s="1">
        <v>16</v>
      </c>
      <c r="R7" s="1">
        <v>15</v>
      </c>
      <c r="S7" s="1">
        <v>16</v>
      </c>
      <c r="T7" s="1">
        <v>5</v>
      </c>
      <c r="U7" s="1">
        <v>24</v>
      </c>
      <c r="V7" s="1">
        <v>24</v>
      </c>
      <c r="W7" s="1">
        <v>5</v>
      </c>
      <c r="X7" s="1">
        <v>8</v>
      </c>
      <c r="Y7" s="1">
        <v>21</v>
      </c>
      <c r="Z7" s="1">
        <v>19</v>
      </c>
      <c r="AA7" s="1">
        <v>24</v>
      </c>
      <c r="AB7" s="1">
        <v>30</v>
      </c>
      <c r="AC7" s="1">
        <v>10</v>
      </c>
      <c r="AD7" s="1" t="s">
        <v>477</v>
      </c>
    </row>
    <row r="8" spans="1:30" x14ac:dyDescent="0.25">
      <c r="A8" s="1">
        <v>1610612742</v>
      </c>
      <c r="B8" s="1" t="s">
        <v>480</v>
      </c>
      <c r="C8" s="1">
        <v>1</v>
      </c>
      <c r="D8" s="1">
        <v>0</v>
      </c>
      <c r="E8" s="1">
        <v>1</v>
      </c>
      <c r="F8" s="1">
        <v>0</v>
      </c>
      <c r="G8" s="1">
        <v>48</v>
      </c>
      <c r="H8" s="1">
        <v>14</v>
      </c>
      <c r="I8" s="1">
        <v>2</v>
      </c>
      <c r="J8" s="1">
        <v>7</v>
      </c>
      <c r="K8" s="1">
        <v>26</v>
      </c>
      <c r="L8" s="1">
        <v>9</v>
      </c>
      <c r="M8" s="1">
        <v>8</v>
      </c>
      <c r="N8" s="1">
        <v>11</v>
      </c>
      <c r="O8" s="1">
        <v>46</v>
      </c>
      <c r="P8" s="1">
        <v>3</v>
      </c>
      <c r="Q8" s="1">
        <v>16</v>
      </c>
      <c r="R8" s="1">
        <v>15</v>
      </c>
      <c r="S8" s="1">
        <v>16</v>
      </c>
      <c r="T8" s="1">
        <v>5</v>
      </c>
      <c r="U8" s="1">
        <v>19</v>
      </c>
      <c r="V8" s="1">
        <v>29</v>
      </c>
      <c r="W8" s="1">
        <v>25</v>
      </c>
      <c r="X8" s="1">
        <v>30</v>
      </c>
      <c r="Y8" s="1">
        <v>5</v>
      </c>
      <c r="Z8" s="1">
        <v>8</v>
      </c>
      <c r="AA8" s="1">
        <v>12</v>
      </c>
      <c r="AB8" s="1">
        <v>11</v>
      </c>
      <c r="AC8" s="1">
        <v>10</v>
      </c>
      <c r="AD8" s="1" t="s">
        <v>480</v>
      </c>
    </row>
    <row r="9" spans="1:30" x14ac:dyDescent="0.25">
      <c r="A9" s="1">
        <v>1610612743</v>
      </c>
      <c r="B9" s="1" t="s">
        <v>483</v>
      </c>
      <c r="C9" s="1">
        <v>1</v>
      </c>
      <c r="D9" s="1">
        <v>1</v>
      </c>
      <c r="E9" s="1">
        <v>0</v>
      </c>
      <c r="F9" s="1">
        <v>1</v>
      </c>
      <c r="G9" s="1">
        <v>48</v>
      </c>
      <c r="H9" s="1">
        <v>27</v>
      </c>
      <c r="I9" s="1">
        <v>13</v>
      </c>
      <c r="J9" s="1">
        <v>18</v>
      </c>
      <c r="K9" s="1">
        <v>42</v>
      </c>
      <c r="L9" s="1">
        <v>22</v>
      </c>
      <c r="M9" s="1">
        <v>11</v>
      </c>
      <c r="N9" s="1">
        <v>10</v>
      </c>
      <c r="O9" s="1">
        <v>34</v>
      </c>
      <c r="P9" s="1">
        <v>3</v>
      </c>
      <c r="Q9" s="1">
        <v>2</v>
      </c>
      <c r="R9" s="1">
        <v>1</v>
      </c>
      <c r="S9" s="1">
        <v>1</v>
      </c>
      <c r="T9" s="1">
        <v>5</v>
      </c>
      <c r="U9" s="1">
        <v>2</v>
      </c>
      <c r="V9" s="1">
        <v>11</v>
      </c>
      <c r="W9" s="1">
        <v>12</v>
      </c>
      <c r="X9" s="1">
        <v>22</v>
      </c>
      <c r="Y9" s="1">
        <v>25</v>
      </c>
      <c r="Z9" s="1">
        <v>13</v>
      </c>
      <c r="AA9" s="1">
        <v>9</v>
      </c>
      <c r="AB9" s="1">
        <v>2</v>
      </c>
      <c r="AC9" s="1">
        <v>10</v>
      </c>
      <c r="AD9" s="1" t="s">
        <v>483</v>
      </c>
    </row>
    <row r="10" spans="1:30" x14ac:dyDescent="0.25">
      <c r="A10" s="1">
        <v>1610612765</v>
      </c>
      <c r="B10" s="1" t="s">
        <v>486</v>
      </c>
      <c r="C10" s="1">
        <v>1</v>
      </c>
      <c r="D10" s="1">
        <v>0</v>
      </c>
      <c r="E10" s="1">
        <v>1</v>
      </c>
      <c r="F10" s="1">
        <v>0</v>
      </c>
      <c r="G10" s="1">
        <v>48</v>
      </c>
      <c r="H10" s="1">
        <v>15</v>
      </c>
      <c r="I10" s="1">
        <v>8</v>
      </c>
      <c r="J10" s="1">
        <v>6</v>
      </c>
      <c r="K10" s="1">
        <v>52</v>
      </c>
      <c r="L10" s="1">
        <v>22</v>
      </c>
      <c r="M10" s="1">
        <v>14</v>
      </c>
      <c r="N10" s="1">
        <v>15</v>
      </c>
      <c r="O10" s="1">
        <v>46</v>
      </c>
      <c r="P10" s="1">
        <v>3</v>
      </c>
      <c r="Q10" s="1">
        <v>16</v>
      </c>
      <c r="R10" s="1">
        <v>15</v>
      </c>
      <c r="S10" s="1">
        <v>16</v>
      </c>
      <c r="T10" s="1">
        <v>5</v>
      </c>
      <c r="U10" s="1">
        <v>18</v>
      </c>
      <c r="V10" s="1">
        <v>22</v>
      </c>
      <c r="W10" s="1">
        <v>26</v>
      </c>
      <c r="X10" s="1">
        <v>10</v>
      </c>
      <c r="Y10" s="1">
        <v>25</v>
      </c>
      <c r="Z10" s="1">
        <v>21</v>
      </c>
      <c r="AA10" s="1">
        <v>15</v>
      </c>
      <c r="AB10" s="1">
        <v>11</v>
      </c>
      <c r="AC10" s="1">
        <v>10</v>
      </c>
      <c r="AD10" s="1" t="s">
        <v>486</v>
      </c>
    </row>
    <row r="11" spans="1:30" x14ac:dyDescent="0.25">
      <c r="A11" s="1">
        <v>1610612744</v>
      </c>
      <c r="B11" s="1" t="s">
        <v>488</v>
      </c>
      <c r="C11" s="1">
        <v>2</v>
      </c>
      <c r="D11" s="1">
        <v>2</v>
      </c>
      <c r="E11" s="1">
        <v>0</v>
      </c>
      <c r="F11" s="1">
        <v>1</v>
      </c>
      <c r="G11" s="1">
        <v>48</v>
      </c>
      <c r="H11" s="1">
        <v>13</v>
      </c>
      <c r="I11" s="1">
        <v>8.5</v>
      </c>
      <c r="J11" s="1">
        <v>17.5</v>
      </c>
      <c r="K11" s="1">
        <v>48</v>
      </c>
      <c r="L11" s="1">
        <v>18.5</v>
      </c>
      <c r="M11" s="1">
        <v>6.5</v>
      </c>
      <c r="N11" s="1">
        <v>20</v>
      </c>
      <c r="O11" s="1">
        <v>41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21</v>
      </c>
      <c r="V11" s="1">
        <v>21</v>
      </c>
      <c r="W11" s="1">
        <v>14</v>
      </c>
      <c r="X11" s="1">
        <v>15</v>
      </c>
      <c r="Y11" s="1">
        <v>20</v>
      </c>
      <c r="Z11" s="1">
        <v>5</v>
      </c>
      <c r="AA11" s="1">
        <v>21</v>
      </c>
      <c r="AB11" s="1">
        <v>6</v>
      </c>
      <c r="AC11" s="1">
        <v>10</v>
      </c>
      <c r="AD11" s="1" t="s">
        <v>488</v>
      </c>
    </row>
    <row r="12" spans="1:30" x14ac:dyDescent="0.25">
      <c r="A12" s="1">
        <v>1610612745</v>
      </c>
      <c r="B12" s="1" t="s">
        <v>490</v>
      </c>
      <c r="C12" s="1">
        <v>1</v>
      </c>
      <c r="D12" s="1">
        <v>0</v>
      </c>
      <c r="E12" s="1">
        <v>1</v>
      </c>
      <c r="F12" s="1">
        <v>0</v>
      </c>
      <c r="G12" s="1">
        <v>48</v>
      </c>
      <c r="H12" s="1">
        <v>21</v>
      </c>
      <c r="I12" s="1">
        <v>17</v>
      </c>
      <c r="J12" s="1">
        <v>13</v>
      </c>
      <c r="K12" s="1">
        <v>58</v>
      </c>
      <c r="L12" s="1">
        <v>38</v>
      </c>
      <c r="M12" s="1">
        <v>15</v>
      </c>
      <c r="N12" s="1">
        <v>31</v>
      </c>
      <c r="O12" s="1">
        <v>50</v>
      </c>
      <c r="P12" s="1">
        <v>3</v>
      </c>
      <c r="Q12" s="1">
        <v>16</v>
      </c>
      <c r="R12" s="1">
        <v>15</v>
      </c>
      <c r="S12" s="1">
        <v>16</v>
      </c>
      <c r="T12" s="1">
        <v>5</v>
      </c>
      <c r="U12" s="1">
        <v>6</v>
      </c>
      <c r="V12" s="1">
        <v>5</v>
      </c>
      <c r="W12" s="1">
        <v>19</v>
      </c>
      <c r="X12" s="1">
        <v>4</v>
      </c>
      <c r="Y12" s="1">
        <v>30</v>
      </c>
      <c r="Z12" s="1">
        <v>23</v>
      </c>
      <c r="AA12" s="1">
        <v>30</v>
      </c>
      <c r="AB12" s="1">
        <v>17</v>
      </c>
      <c r="AC12" s="1">
        <v>10</v>
      </c>
      <c r="AD12" s="1" t="s">
        <v>490</v>
      </c>
    </row>
    <row r="13" spans="1:30" x14ac:dyDescent="0.25">
      <c r="A13" s="1">
        <v>1610612754</v>
      </c>
      <c r="B13" s="1" t="s">
        <v>493</v>
      </c>
      <c r="C13" s="1">
        <v>1</v>
      </c>
      <c r="D13" s="1">
        <v>0</v>
      </c>
      <c r="E13" s="1">
        <v>1</v>
      </c>
      <c r="F13" s="1">
        <v>0</v>
      </c>
      <c r="G13" s="1">
        <v>48</v>
      </c>
      <c r="H13" s="1">
        <v>8</v>
      </c>
      <c r="I13" s="1">
        <v>21</v>
      </c>
      <c r="J13" s="1">
        <v>5</v>
      </c>
      <c r="K13" s="1">
        <v>44</v>
      </c>
      <c r="L13" s="1">
        <v>22</v>
      </c>
      <c r="M13" s="1">
        <v>24</v>
      </c>
      <c r="N13" s="1">
        <v>15</v>
      </c>
      <c r="O13" s="1">
        <v>54</v>
      </c>
      <c r="P13" s="1">
        <v>3</v>
      </c>
      <c r="Q13" s="1">
        <v>16</v>
      </c>
      <c r="R13" s="1">
        <v>15</v>
      </c>
      <c r="S13" s="1">
        <v>16</v>
      </c>
      <c r="T13" s="1">
        <v>5</v>
      </c>
      <c r="U13" s="1">
        <v>28</v>
      </c>
      <c r="V13" s="1">
        <v>2</v>
      </c>
      <c r="W13" s="1">
        <v>28</v>
      </c>
      <c r="X13" s="1">
        <v>21</v>
      </c>
      <c r="Y13" s="1">
        <v>25</v>
      </c>
      <c r="Z13" s="1">
        <v>30</v>
      </c>
      <c r="AA13" s="1">
        <v>15</v>
      </c>
      <c r="AB13" s="1">
        <v>23</v>
      </c>
      <c r="AC13" s="1">
        <v>10</v>
      </c>
      <c r="AD13" s="1" t="s">
        <v>493</v>
      </c>
    </row>
    <row r="14" spans="1:30" x14ac:dyDescent="0.25">
      <c r="A14" s="1">
        <v>1610612746</v>
      </c>
      <c r="B14" s="1" t="s">
        <v>495</v>
      </c>
      <c r="C14" s="1">
        <v>1</v>
      </c>
      <c r="D14" s="1">
        <v>0</v>
      </c>
      <c r="E14" s="1">
        <v>1</v>
      </c>
      <c r="F14" s="1">
        <v>0</v>
      </c>
      <c r="G14" s="1">
        <v>48</v>
      </c>
      <c r="H14" s="1">
        <v>18</v>
      </c>
      <c r="I14" s="1">
        <v>7</v>
      </c>
      <c r="J14" s="1">
        <v>20</v>
      </c>
      <c r="K14" s="1">
        <v>48</v>
      </c>
      <c r="L14" s="1">
        <v>6</v>
      </c>
      <c r="M14" s="1">
        <v>7</v>
      </c>
      <c r="N14" s="1">
        <v>25</v>
      </c>
      <c r="O14" s="1">
        <v>50</v>
      </c>
      <c r="P14" s="1">
        <v>3</v>
      </c>
      <c r="Q14" s="1">
        <v>16</v>
      </c>
      <c r="R14" s="1">
        <v>15</v>
      </c>
      <c r="S14" s="1">
        <v>16</v>
      </c>
      <c r="T14" s="1">
        <v>5</v>
      </c>
      <c r="U14" s="1">
        <v>11</v>
      </c>
      <c r="V14" s="1">
        <v>24</v>
      </c>
      <c r="W14" s="1">
        <v>8</v>
      </c>
      <c r="X14" s="1">
        <v>15</v>
      </c>
      <c r="Y14" s="1">
        <v>2</v>
      </c>
      <c r="Z14" s="1">
        <v>6</v>
      </c>
      <c r="AA14" s="1">
        <v>26</v>
      </c>
      <c r="AB14" s="1">
        <v>17</v>
      </c>
      <c r="AC14" s="1">
        <v>10</v>
      </c>
      <c r="AD14" s="1" t="s">
        <v>495</v>
      </c>
    </row>
    <row r="15" spans="1:30" x14ac:dyDescent="0.25">
      <c r="A15" s="1">
        <v>1610612747</v>
      </c>
      <c r="B15" s="1" t="s">
        <v>498</v>
      </c>
      <c r="C15" s="1">
        <v>1</v>
      </c>
      <c r="D15" s="1">
        <v>0</v>
      </c>
      <c r="E15" s="1">
        <v>1</v>
      </c>
      <c r="F15" s="1">
        <v>0</v>
      </c>
      <c r="G15" s="1">
        <v>48</v>
      </c>
      <c r="H15" s="1">
        <v>19</v>
      </c>
      <c r="I15" s="1">
        <v>6</v>
      </c>
      <c r="J15" s="1">
        <v>20</v>
      </c>
      <c r="K15" s="1">
        <v>34</v>
      </c>
      <c r="L15" s="1">
        <v>20</v>
      </c>
      <c r="M15" s="1">
        <v>10</v>
      </c>
      <c r="N15" s="1">
        <v>10</v>
      </c>
      <c r="O15" s="1">
        <v>46</v>
      </c>
      <c r="P15" s="1">
        <v>3</v>
      </c>
      <c r="Q15" s="1">
        <v>16</v>
      </c>
      <c r="R15" s="1">
        <v>15</v>
      </c>
      <c r="S15" s="1">
        <v>16</v>
      </c>
      <c r="T15" s="1">
        <v>5</v>
      </c>
      <c r="U15" s="1">
        <v>9</v>
      </c>
      <c r="V15" s="1">
        <v>26</v>
      </c>
      <c r="W15" s="1">
        <v>8</v>
      </c>
      <c r="X15" s="1">
        <v>27</v>
      </c>
      <c r="Y15" s="1">
        <v>22</v>
      </c>
      <c r="Z15" s="1">
        <v>11</v>
      </c>
      <c r="AA15" s="1">
        <v>9</v>
      </c>
      <c r="AB15" s="1">
        <v>11</v>
      </c>
      <c r="AC15" s="1">
        <v>10</v>
      </c>
      <c r="AD15" s="1" t="s">
        <v>498</v>
      </c>
    </row>
    <row r="16" spans="1:30" x14ac:dyDescent="0.25">
      <c r="A16" s="1">
        <v>1610612763</v>
      </c>
      <c r="B16" s="1" t="s">
        <v>500</v>
      </c>
      <c r="C16" s="1">
        <v>1</v>
      </c>
      <c r="D16" s="1">
        <v>1</v>
      </c>
      <c r="E16" s="1">
        <v>0</v>
      </c>
      <c r="F16" s="1">
        <v>1</v>
      </c>
      <c r="G16" s="1">
        <v>48</v>
      </c>
      <c r="H16" s="1">
        <v>19</v>
      </c>
      <c r="I16" s="1">
        <v>13</v>
      </c>
      <c r="J16" s="1">
        <v>22</v>
      </c>
      <c r="K16" s="1">
        <v>70</v>
      </c>
      <c r="L16" s="1">
        <v>12</v>
      </c>
      <c r="M16" s="1">
        <v>7</v>
      </c>
      <c r="N16" s="1">
        <v>23</v>
      </c>
      <c r="O16" s="1">
        <v>54</v>
      </c>
      <c r="P16" s="1">
        <v>3</v>
      </c>
      <c r="Q16" s="1">
        <v>2</v>
      </c>
      <c r="R16" s="1">
        <v>1</v>
      </c>
      <c r="S16" s="1">
        <v>1</v>
      </c>
      <c r="T16" s="1">
        <v>5</v>
      </c>
      <c r="U16" s="1">
        <v>9</v>
      </c>
      <c r="V16" s="1">
        <v>11</v>
      </c>
      <c r="W16" s="1">
        <v>6</v>
      </c>
      <c r="X16" s="1">
        <v>1</v>
      </c>
      <c r="Y16" s="1">
        <v>9</v>
      </c>
      <c r="Z16" s="1">
        <v>6</v>
      </c>
      <c r="AA16" s="1">
        <v>25</v>
      </c>
      <c r="AB16" s="1">
        <v>23</v>
      </c>
      <c r="AC16" s="1">
        <v>10</v>
      </c>
      <c r="AD16" s="1" t="s">
        <v>500</v>
      </c>
    </row>
    <row r="17" spans="1:30" x14ac:dyDescent="0.25">
      <c r="A17" s="1">
        <v>1610612748</v>
      </c>
      <c r="B17" s="1" t="s">
        <v>501</v>
      </c>
      <c r="C17" s="1">
        <v>1</v>
      </c>
      <c r="D17" s="1">
        <v>1</v>
      </c>
      <c r="E17" s="1">
        <v>0</v>
      </c>
      <c r="F17" s="1">
        <v>1</v>
      </c>
      <c r="G17" s="1">
        <v>48</v>
      </c>
      <c r="H17" s="1">
        <v>21</v>
      </c>
      <c r="I17" s="1">
        <v>15</v>
      </c>
      <c r="J17" s="1">
        <v>22</v>
      </c>
      <c r="K17" s="1">
        <v>60</v>
      </c>
      <c r="L17" s="1">
        <v>5</v>
      </c>
      <c r="M17" s="1">
        <v>3</v>
      </c>
      <c r="N17" s="1">
        <v>2</v>
      </c>
      <c r="O17" s="1">
        <v>38</v>
      </c>
      <c r="P17" s="1">
        <v>3</v>
      </c>
      <c r="Q17" s="1">
        <v>2</v>
      </c>
      <c r="R17" s="1">
        <v>1</v>
      </c>
      <c r="S17" s="1">
        <v>1</v>
      </c>
      <c r="T17" s="1">
        <v>5</v>
      </c>
      <c r="U17" s="1">
        <v>6</v>
      </c>
      <c r="V17" s="1">
        <v>6</v>
      </c>
      <c r="W17" s="1">
        <v>6</v>
      </c>
      <c r="X17" s="1">
        <v>2</v>
      </c>
      <c r="Y17" s="1">
        <v>1</v>
      </c>
      <c r="Z17" s="1">
        <v>3</v>
      </c>
      <c r="AA17" s="1">
        <v>2</v>
      </c>
      <c r="AB17" s="1">
        <v>4</v>
      </c>
      <c r="AC17" s="1">
        <v>10</v>
      </c>
      <c r="AD17" s="1" t="s">
        <v>501</v>
      </c>
    </row>
    <row r="18" spans="1:30" x14ac:dyDescent="0.25">
      <c r="A18" s="1">
        <v>1610612749</v>
      </c>
      <c r="B18" s="1" t="s">
        <v>503</v>
      </c>
      <c r="C18" s="1">
        <v>2</v>
      </c>
      <c r="D18" s="1">
        <v>1</v>
      </c>
      <c r="E18" s="1">
        <v>1</v>
      </c>
      <c r="F18" s="1">
        <v>0.5</v>
      </c>
      <c r="G18" s="1">
        <v>48</v>
      </c>
      <c r="H18" s="1">
        <v>13.5</v>
      </c>
      <c r="I18" s="1">
        <v>9.5</v>
      </c>
      <c r="J18" s="1">
        <v>11.5</v>
      </c>
      <c r="K18" s="1">
        <v>40</v>
      </c>
      <c r="L18" s="1">
        <v>11.5</v>
      </c>
      <c r="M18" s="1">
        <v>10.5</v>
      </c>
      <c r="N18" s="1">
        <v>18.5</v>
      </c>
      <c r="O18" s="1">
        <v>47</v>
      </c>
      <c r="P18" s="1">
        <v>1</v>
      </c>
      <c r="Q18" s="1">
        <v>2</v>
      </c>
      <c r="R18" s="1">
        <v>15</v>
      </c>
      <c r="S18" s="1">
        <v>15</v>
      </c>
      <c r="T18" s="1">
        <v>1</v>
      </c>
      <c r="U18" s="1">
        <v>20</v>
      </c>
      <c r="V18" s="1">
        <v>19</v>
      </c>
      <c r="W18" s="1">
        <v>20</v>
      </c>
      <c r="X18" s="1">
        <v>24</v>
      </c>
      <c r="Y18" s="1">
        <v>8</v>
      </c>
      <c r="Z18" s="1">
        <v>12</v>
      </c>
      <c r="AA18" s="1">
        <v>19</v>
      </c>
      <c r="AB18" s="1">
        <v>16</v>
      </c>
      <c r="AC18" s="1">
        <v>10</v>
      </c>
      <c r="AD18" s="1" t="s">
        <v>503</v>
      </c>
    </row>
    <row r="19" spans="1:30" x14ac:dyDescent="0.25">
      <c r="A19" s="1">
        <v>1610612750</v>
      </c>
      <c r="B19" s="1" t="s">
        <v>506</v>
      </c>
      <c r="C19" s="1">
        <v>1</v>
      </c>
      <c r="D19" s="1">
        <v>1</v>
      </c>
      <c r="E19" s="1">
        <v>0</v>
      </c>
      <c r="F19" s="1">
        <v>1</v>
      </c>
      <c r="G19" s="1">
        <v>48</v>
      </c>
      <c r="H19" s="1">
        <v>38</v>
      </c>
      <c r="I19" s="1">
        <v>15</v>
      </c>
      <c r="J19" s="1">
        <v>31</v>
      </c>
      <c r="K19" s="1">
        <v>50</v>
      </c>
      <c r="L19" s="1">
        <v>21</v>
      </c>
      <c r="M19" s="1">
        <v>17</v>
      </c>
      <c r="N19" s="1">
        <v>13</v>
      </c>
      <c r="O19" s="1">
        <v>58</v>
      </c>
      <c r="P19" s="1">
        <v>3</v>
      </c>
      <c r="Q19" s="1">
        <v>2</v>
      </c>
      <c r="R19" s="1">
        <v>1</v>
      </c>
      <c r="S19" s="1">
        <v>1</v>
      </c>
      <c r="T19" s="1">
        <v>5</v>
      </c>
      <c r="U19" s="1">
        <v>1</v>
      </c>
      <c r="V19" s="1">
        <v>6</v>
      </c>
      <c r="W19" s="1">
        <v>1</v>
      </c>
      <c r="X19" s="1">
        <v>11</v>
      </c>
      <c r="Y19" s="1">
        <v>23</v>
      </c>
      <c r="Z19" s="1">
        <v>26</v>
      </c>
      <c r="AA19" s="1">
        <v>13</v>
      </c>
      <c r="AB19" s="1">
        <v>26</v>
      </c>
      <c r="AC19" s="1">
        <v>10</v>
      </c>
      <c r="AD19" s="1" t="s">
        <v>506</v>
      </c>
    </row>
    <row r="20" spans="1:30" x14ac:dyDescent="0.25">
      <c r="A20" s="1">
        <v>1610612740</v>
      </c>
      <c r="B20" s="1" t="s">
        <v>507</v>
      </c>
      <c r="C20" s="1">
        <v>1</v>
      </c>
      <c r="D20" s="1">
        <v>0</v>
      </c>
      <c r="E20" s="1">
        <v>1</v>
      </c>
      <c r="F20" s="1">
        <v>0</v>
      </c>
      <c r="G20" s="1">
        <v>48</v>
      </c>
      <c r="H20" s="1">
        <v>9</v>
      </c>
      <c r="I20" s="1">
        <v>2</v>
      </c>
      <c r="J20" s="1">
        <v>25</v>
      </c>
      <c r="K20" s="1">
        <v>36</v>
      </c>
      <c r="L20" s="1">
        <v>18</v>
      </c>
      <c r="M20" s="1">
        <v>6</v>
      </c>
      <c r="N20" s="1">
        <v>29</v>
      </c>
      <c r="O20" s="1">
        <v>50</v>
      </c>
      <c r="P20" s="1">
        <v>3</v>
      </c>
      <c r="Q20" s="1">
        <v>16</v>
      </c>
      <c r="R20" s="1">
        <v>15</v>
      </c>
      <c r="S20" s="1">
        <v>16</v>
      </c>
      <c r="T20" s="1">
        <v>5</v>
      </c>
      <c r="U20" s="1">
        <v>25</v>
      </c>
      <c r="V20" s="1">
        <v>29</v>
      </c>
      <c r="W20" s="1">
        <v>4</v>
      </c>
      <c r="X20" s="1">
        <v>26</v>
      </c>
      <c r="Y20" s="1">
        <v>17</v>
      </c>
      <c r="Z20" s="1">
        <v>4</v>
      </c>
      <c r="AA20" s="1">
        <v>29</v>
      </c>
      <c r="AB20" s="1">
        <v>17</v>
      </c>
      <c r="AC20" s="1">
        <v>10</v>
      </c>
      <c r="AD20" s="1" t="s">
        <v>507</v>
      </c>
    </row>
    <row r="21" spans="1:30" x14ac:dyDescent="0.25">
      <c r="A21" s="1">
        <v>1610612752</v>
      </c>
      <c r="B21" s="1" t="s">
        <v>510</v>
      </c>
      <c r="C21" s="1">
        <v>1</v>
      </c>
      <c r="D21" s="1">
        <v>1</v>
      </c>
      <c r="E21" s="1">
        <v>0</v>
      </c>
      <c r="F21" s="1">
        <v>1</v>
      </c>
      <c r="G21" s="1">
        <v>58</v>
      </c>
      <c r="H21" s="1">
        <v>17</v>
      </c>
      <c r="I21" s="1">
        <v>14</v>
      </c>
      <c r="J21" s="1">
        <v>14</v>
      </c>
      <c r="K21" s="1">
        <v>60</v>
      </c>
      <c r="L21" s="1">
        <v>17</v>
      </c>
      <c r="M21" s="1">
        <v>9</v>
      </c>
      <c r="N21" s="1">
        <v>19</v>
      </c>
      <c r="O21" s="1">
        <v>42</v>
      </c>
      <c r="P21" s="1">
        <v>3</v>
      </c>
      <c r="Q21" s="1">
        <v>2</v>
      </c>
      <c r="R21" s="1">
        <v>1</v>
      </c>
      <c r="S21" s="1">
        <v>1</v>
      </c>
      <c r="T21" s="1">
        <v>3</v>
      </c>
      <c r="U21" s="1">
        <v>15</v>
      </c>
      <c r="V21" s="1">
        <v>9</v>
      </c>
      <c r="W21" s="1">
        <v>18</v>
      </c>
      <c r="X21" s="1">
        <v>2</v>
      </c>
      <c r="Y21" s="1">
        <v>14</v>
      </c>
      <c r="Z21" s="1">
        <v>10</v>
      </c>
      <c r="AA21" s="1">
        <v>20</v>
      </c>
      <c r="AB21" s="1">
        <v>7</v>
      </c>
      <c r="AC21" s="1">
        <v>10</v>
      </c>
      <c r="AD21" s="1" t="s">
        <v>510</v>
      </c>
    </row>
    <row r="22" spans="1:30" x14ac:dyDescent="0.25">
      <c r="A22" s="1">
        <v>1610612760</v>
      </c>
      <c r="B22" s="1" t="s">
        <v>512</v>
      </c>
      <c r="C22" s="1">
        <v>1</v>
      </c>
      <c r="D22" s="1">
        <v>0</v>
      </c>
      <c r="E22" s="1">
        <v>1</v>
      </c>
      <c r="F22" s="1">
        <v>0</v>
      </c>
      <c r="G22" s="1">
        <v>48</v>
      </c>
      <c r="H22" s="1">
        <v>13</v>
      </c>
      <c r="I22" s="1">
        <v>11</v>
      </c>
      <c r="J22" s="1">
        <v>10</v>
      </c>
      <c r="K22" s="1">
        <v>46</v>
      </c>
      <c r="L22" s="1">
        <v>13</v>
      </c>
      <c r="M22" s="1">
        <v>15</v>
      </c>
      <c r="N22" s="1">
        <v>0</v>
      </c>
      <c r="O22" s="1">
        <v>50</v>
      </c>
      <c r="P22" s="1">
        <v>3</v>
      </c>
      <c r="Q22" s="1">
        <v>16</v>
      </c>
      <c r="R22" s="1">
        <v>15</v>
      </c>
      <c r="S22" s="1">
        <v>16</v>
      </c>
      <c r="T22" s="1">
        <v>5</v>
      </c>
      <c r="U22" s="1">
        <v>21</v>
      </c>
      <c r="V22" s="1">
        <v>14</v>
      </c>
      <c r="W22" s="1">
        <v>22</v>
      </c>
      <c r="X22" s="1">
        <v>17</v>
      </c>
      <c r="Y22" s="1">
        <v>10</v>
      </c>
      <c r="Z22" s="1">
        <v>23</v>
      </c>
      <c r="AA22" s="1">
        <v>1</v>
      </c>
      <c r="AB22" s="1">
        <v>17</v>
      </c>
      <c r="AC22" s="1">
        <v>10</v>
      </c>
      <c r="AD22" s="1" t="s">
        <v>512</v>
      </c>
    </row>
    <row r="23" spans="1:30" x14ac:dyDescent="0.25">
      <c r="A23" s="1">
        <v>1610612753</v>
      </c>
      <c r="B23" s="1" t="s">
        <v>514</v>
      </c>
      <c r="C23" s="1">
        <v>1</v>
      </c>
      <c r="D23" s="1">
        <v>0</v>
      </c>
      <c r="E23" s="1">
        <v>1</v>
      </c>
      <c r="F23" s="1">
        <v>0</v>
      </c>
      <c r="G23" s="1">
        <v>48</v>
      </c>
      <c r="H23" s="1">
        <v>7</v>
      </c>
      <c r="I23" s="1">
        <v>20</v>
      </c>
      <c r="J23" s="1">
        <v>6</v>
      </c>
      <c r="K23" s="1">
        <v>50</v>
      </c>
      <c r="L23" s="1">
        <v>21</v>
      </c>
      <c r="M23" s="1">
        <v>19</v>
      </c>
      <c r="N23" s="1">
        <v>26</v>
      </c>
      <c r="O23" s="1">
        <v>58</v>
      </c>
      <c r="P23" s="1">
        <v>3</v>
      </c>
      <c r="Q23" s="1">
        <v>16</v>
      </c>
      <c r="R23" s="1">
        <v>15</v>
      </c>
      <c r="S23" s="1">
        <v>16</v>
      </c>
      <c r="T23" s="1">
        <v>5</v>
      </c>
      <c r="U23" s="1">
        <v>29</v>
      </c>
      <c r="V23" s="1">
        <v>3</v>
      </c>
      <c r="W23" s="1">
        <v>26</v>
      </c>
      <c r="X23" s="1">
        <v>11</v>
      </c>
      <c r="Y23" s="1">
        <v>23</v>
      </c>
      <c r="Z23" s="1">
        <v>27</v>
      </c>
      <c r="AA23" s="1">
        <v>28</v>
      </c>
      <c r="AB23" s="1">
        <v>26</v>
      </c>
      <c r="AC23" s="1">
        <v>10</v>
      </c>
      <c r="AD23" s="1" t="s">
        <v>514</v>
      </c>
    </row>
    <row r="24" spans="1:30" x14ac:dyDescent="0.25">
      <c r="A24" s="1">
        <v>1610612755</v>
      </c>
      <c r="B24" s="1" t="s">
        <v>516</v>
      </c>
      <c r="C24" s="1">
        <v>1</v>
      </c>
      <c r="D24" s="1">
        <v>1</v>
      </c>
      <c r="E24" s="1">
        <v>0</v>
      </c>
      <c r="F24" s="1">
        <v>1</v>
      </c>
      <c r="G24" s="1">
        <v>48</v>
      </c>
      <c r="H24" s="1">
        <v>18</v>
      </c>
      <c r="I24" s="1">
        <v>6</v>
      </c>
      <c r="J24" s="1">
        <v>29</v>
      </c>
      <c r="K24" s="1">
        <v>50</v>
      </c>
      <c r="L24" s="1">
        <v>9</v>
      </c>
      <c r="M24" s="1">
        <v>2</v>
      </c>
      <c r="N24" s="1">
        <v>25</v>
      </c>
      <c r="O24" s="1">
        <v>36</v>
      </c>
      <c r="P24" s="1">
        <v>3</v>
      </c>
      <c r="Q24" s="1">
        <v>2</v>
      </c>
      <c r="R24" s="1">
        <v>1</v>
      </c>
      <c r="S24" s="1">
        <v>1</v>
      </c>
      <c r="T24" s="1">
        <v>5</v>
      </c>
      <c r="U24" s="1">
        <v>11</v>
      </c>
      <c r="V24" s="1">
        <v>26</v>
      </c>
      <c r="W24" s="1">
        <v>2</v>
      </c>
      <c r="X24" s="1">
        <v>11</v>
      </c>
      <c r="Y24" s="1">
        <v>5</v>
      </c>
      <c r="Z24" s="1">
        <v>1</v>
      </c>
      <c r="AA24" s="1">
        <v>26</v>
      </c>
      <c r="AB24" s="1">
        <v>3</v>
      </c>
      <c r="AC24" s="1">
        <v>10</v>
      </c>
      <c r="AD24" s="1" t="s">
        <v>516</v>
      </c>
    </row>
    <row r="25" spans="1:30" x14ac:dyDescent="0.25">
      <c r="A25" s="1">
        <v>1610612756</v>
      </c>
      <c r="B25" s="1" t="s">
        <v>518</v>
      </c>
      <c r="C25" s="1">
        <v>1</v>
      </c>
      <c r="D25" s="1">
        <v>0</v>
      </c>
      <c r="E25" s="1">
        <v>1</v>
      </c>
      <c r="F25" s="1">
        <v>0</v>
      </c>
      <c r="G25" s="1">
        <v>48</v>
      </c>
      <c r="H25" s="1">
        <v>22</v>
      </c>
      <c r="I25" s="1">
        <v>11</v>
      </c>
      <c r="J25" s="1">
        <v>10</v>
      </c>
      <c r="K25" s="1">
        <v>34</v>
      </c>
      <c r="L25" s="1">
        <v>27</v>
      </c>
      <c r="M25" s="1">
        <v>13</v>
      </c>
      <c r="N25" s="1">
        <v>18</v>
      </c>
      <c r="O25" s="1">
        <v>42</v>
      </c>
      <c r="P25" s="1">
        <v>3</v>
      </c>
      <c r="Q25" s="1">
        <v>16</v>
      </c>
      <c r="R25" s="1">
        <v>15</v>
      </c>
      <c r="S25" s="1">
        <v>16</v>
      </c>
      <c r="T25" s="1">
        <v>5</v>
      </c>
      <c r="U25" s="1">
        <v>3</v>
      </c>
      <c r="V25" s="1">
        <v>14</v>
      </c>
      <c r="W25" s="1">
        <v>22</v>
      </c>
      <c r="X25" s="1">
        <v>27</v>
      </c>
      <c r="Y25" s="1">
        <v>29</v>
      </c>
      <c r="Z25" s="1">
        <v>19</v>
      </c>
      <c r="AA25" s="1">
        <v>17</v>
      </c>
      <c r="AB25" s="1">
        <v>7</v>
      </c>
      <c r="AC25" s="1">
        <v>10</v>
      </c>
      <c r="AD25" s="1" t="s">
        <v>518</v>
      </c>
    </row>
    <row r="26" spans="1:30" x14ac:dyDescent="0.25">
      <c r="A26" s="1">
        <v>1610612757</v>
      </c>
      <c r="B26" s="1" t="s">
        <v>520</v>
      </c>
      <c r="C26" s="1">
        <v>1</v>
      </c>
      <c r="D26" s="1">
        <v>0</v>
      </c>
      <c r="E26" s="1">
        <v>1</v>
      </c>
      <c r="F26" s="1">
        <v>0</v>
      </c>
      <c r="G26" s="1">
        <v>48</v>
      </c>
      <c r="H26" s="1">
        <v>9</v>
      </c>
      <c r="I26" s="1">
        <v>11</v>
      </c>
      <c r="J26" s="1">
        <v>2</v>
      </c>
      <c r="K26" s="1">
        <v>58</v>
      </c>
      <c r="L26" s="1">
        <v>18</v>
      </c>
      <c r="M26" s="1">
        <v>12</v>
      </c>
      <c r="N26" s="1">
        <v>20</v>
      </c>
      <c r="O26" s="1">
        <v>46</v>
      </c>
      <c r="P26" s="1">
        <v>3</v>
      </c>
      <c r="Q26" s="1">
        <v>16</v>
      </c>
      <c r="R26" s="1">
        <v>15</v>
      </c>
      <c r="S26" s="1">
        <v>16</v>
      </c>
      <c r="T26" s="1">
        <v>5</v>
      </c>
      <c r="U26" s="1">
        <v>25</v>
      </c>
      <c r="V26" s="1">
        <v>14</v>
      </c>
      <c r="W26" s="1">
        <v>29</v>
      </c>
      <c r="X26" s="1">
        <v>4</v>
      </c>
      <c r="Y26" s="1">
        <v>17</v>
      </c>
      <c r="Z26" s="1">
        <v>18</v>
      </c>
      <c r="AA26" s="1">
        <v>21</v>
      </c>
      <c r="AB26" s="1">
        <v>11</v>
      </c>
      <c r="AC26" s="1">
        <v>10</v>
      </c>
      <c r="AD26" s="1" t="s">
        <v>520</v>
      </c>
    </row>
    <row r="27" spans="1:30" x14ac:dyDescent="0.25">
      <c r="A27" s="1">
        <v>1610612758</v>
      </c>
      <c r="B27" s="1" t="s">
        <v>522</v>
      </c>
      <c r="C27" s="1">
        <v>1</v>
      </c>
      <c r="D27" s="1">
        <v>1</v>
      </c>
      <c r="E27" s="1">
        <v>0</v>
      </c>
      <c r="F27" s="1">
        <v>1</v>
      </c>
      <c r="G27" s="1">
        <v>48</v>
      </c>
      <c r="H27" s="1">
        <v>18</v>
      </c>
      <c r="I27" s="1">
        <v>12</v>
      </c>
      <c r="J27" s="1">
        <v>20</v>
      </c>
      <c r="K27" s="1">
        <v>46</v>
      </c>
      <c r="L27" s="1">
        <v>9</v>
      </c>
      <c r="M27" s="1">
        <v>11</v>
      </c>
      <c r="N27" s="1">
        <v>2</v>
      </c>
      <c r="O27" s="1">
        <v>58</v>
      </c>
      <c r="P27" s="1">
        <v>3</v>
      </c>
      <c r="Q27" s="1">
        <v>2</v>
      </c>
      <c r="R27" s="1">
        <v>1</v>
      </c>
      <c r="S27" s="1">
        <v>1</v>
      </c>
      <c r="T27" s="1">
        <v>5</v>
      </c>
      <c r="U27" s="1">
        <v>11</v>
      </c>
      <c r="V27" s="1">
        <v>13</v>
      </c>
      <c r="W27" s="1">
        <v>8</v>
      </c>
      <c r="X27" s="1">
        <v>17</v>
      </c>
      <c r="Y27" s="1">
        <v>5</v>
      </c>
      <c r="Z27" s="1">
        <v>13</v>
      </c>
      <c r="AA27" s="1">
        <v>2</v>
      </c>
      <c r="AB27" s="1">
        <v>26</v>
      </c>
      <c r="AC27" s="1">
        <v>10</v>
      </c>
      <c r="AD27" s="1" t="s">
        <v>522</v>
      </c>
    </row>
    <row r="28" spans="1:30" x14ac:dyDescent="0.25">
      <c r="A28" s="1">
        <v>1610612759</v>
      </c>
      <c r="B28" s="1" t="s">
        <v>525</v>
      </c>
      <c r="C28" s="1">
        <v>1</v>
      </c>
      <c r="D28" s="1">
        <v>1</v>
      </c>
      <c r="E28" s="1">
        <v>0</v>
      </c>
      <c r="F28" s="1">
        <v>1</v>
      </c>
      <c r="G28" s="1">
        <v>48</v>
      </c>
      <c r="H28" s="1">
        <v>21</v>
      </c>
      <c r="I28" s="1">
        <v>19</v>
      </c>
      <c r="J28" s="1">
        <v>26</v>
      </c>
      <c r="K28" s="1">
        <v>58</v>
      </c>
      <c r="L28" s="1">
        <v>7</v>
      </c>
      <c r="M28" s="1">
        <v>20</v>
      </c>
      <c r="N28" s="1">
        <v>6</v>
      </c>
      <c r="O28" s="1">
        <v>50</v>
      </c>
      <c r="P28" s="1">
        <v>3</v>
      </c>
      <c r="Q28" s="1">
        <v>2</v>
      </c>
      <c r="R28" s="1">
        <v>1</v>
      </c>
      <c r="S28" s="1">
        <v>1</v>
      </c>
      <c r="T28" s="1">
        <v>5</v>
      </c>
      <c r="U28" s="1">
        <v>6</v>
      </c>
      <c r="V28" s="1">
        <v>4</v>
      </c>
      <c r="W28" s="1">
        <v>3</v>
      </c>
      <c r="X28" s="1">
        <v>4</v>
      </c>
      <c r="Y28" s="1">
        <v>3</v>
      </c>
      <c r="Z28" s="1">
        <v>28</v>
      </c>
      <c r="AA28" s="1">
        <v>5</v>
      </c>
      <c r="AB28" s="1">
        <v>17</v>
      </c>
      <c r="AC28" s="1">
        <v>10</v>
      </c>
      <c r="AD28" s="1" t="s">
        <v>525</v>
      </c>
    </row>
    <row r="29" spans="1:30" x14ac:dyDescent="0.25">
      <c r="A29" s="1">
        <v>1610612761</v>
      </c>
      <c r="B29" s="1" t="s">
        <v>526</v>
      </c>
      <c r="C29" s="1">
        <v>1</v>
      </c>
      <c r="D29" s="1">
        <v>0</v>
      </c>
      <c r="E29" s="1">
        <v>1</v>
      </c>
      <c r="F29" s="1">
        <v>0</v>
      </c>
      <c r="G29" s="1">
        <v>48</v>
      </c>
      <c r="H29" s="1">
        <v>17</v>
      </c>
      <c r="I29" s="1">
        <v>11</v>
      </c>
      <c r="J29" s="1">
        <v>18</v>
      </c>
      <c r="K29" s="1">
        <v>40</v>
      </c>
      <c r="L29" s="1">
        <v>18</v>
      </c>
      <c r="M29" s="1">
        <v>11</v>
      </c>
      <c r="N29" s="1">
        <v>8</v>
      </c>
      <c r="O29" s="1">
        <v>56</v>
      </c>
      <c r="P29" s="1">
        <v>3</v>
      </c>
      <c r="Q29" s="1">
        <v>16</v>
      </c>
      <c r="R29" s="1">
        <v>15</v>
      </c>
      <c r="S29" s="1">
        <v>16</v>
      </c>
      <c r="T29" s="1">
        <v>5</v>
      </c>
      <c r="U29" s="1">
        <v>15</v>
      </c>
      <c r="V29" s="1">
        <v>14</v>
      </c>
      <c r="W29" s="1">
        <v>12</v>
      </c>
      <c r="X29" s="1">
        <v>24</v>
      </c>
      <c r="Y29" s="1">
        <v>17</v>
      </c>
      <c r="Z29" s="1">
        <v>13</v>
      </c>
      <c r="AA29" s="1">
        <v>8</v>
      </c>
      <c r="AB29" s="1">
        <v>25</v>
      </c>
      <c r="AC29" s="1">
        <v>10</v>
      </c>
      <c r="AD29" s="1" t="s">
        <v>526</v>
      </c>
    </row>
    <row r="30" spans="1:30" x14ac:dyDescent="0.25">
      <c r="A30" s="1">
        <v>1610612762</v>
      </c>
      <c r="B30" s="1" t="s">
        <v>528</v>
      </c>
      <c r="C30" s="1">
        <v>1</v>
      </c>
      <c r="D30" s="1">
        <v>1</v>
      </c>
      <c r="E30" s="1">
        <v>0</v>
      </c>
      <c r="F30" s="1">
        <v>1</v>
      </c>
      <c r="G30" s="1">
        <v>48</v>
      </c>
      <c r="H30" s="1">
        <v>13</v>
      </c>
      <c r="I30" s="1">
        <v>15</v>
      </c>
      <c r="J30" s="1">
        <v>0</v>
      </c>
      <c r="K30" s="1">
        <v>50</v>
      </c>
      <c r="L30" s="1">
        <v>13</v>
      </c>
      <c r="M30" s="1">
        <v>11</v>
      </c>
      <c r="N30" s="1">
        <v>10</v>
      </c>
      <c r="O30" s="1">
        <v>46</v>
      </c>
      <c r="P30" s="1">
        <v>3</v>
      </c>
      <c r="Q30" s="1">
        <v>2</v>
      </c>
      <c r="R30" s="1">
        <v>1</v>
      </c>
      <c r="S30" s="1">
        <v>1</v>
      </c>
      <c r="T30" s="1">
        <v>5</v>
      </c>
      <c r="U30" s="1">
        <v>21</v>
      </c>
      <c r="V30" s="1">
        <v>6</v>
      </c>
      <c r="W30" s="1">
        <v>30</v>
      </c>
      <c r="X30" s="1">
        <v>11</v>
      </c>
      <c r="Y30" s="1">
        <v>10</v>
      </c>
      <c r="Z30" s="1">
        <v>13</v>
      </c>
      <c r="AA30" s="1">
        <v>9</v>
      </c>
      <c r="AB30" s="1">
        <v>11</v>
      </c>
      <c r="AC30" s="1">
        <v>10</v>
      </c>
      <c r="AD30" s="1" t="s">
        <v>528</v>
      </c>
    </row>
    <row r="31" spans="1:30" x14ac:dyDescent="0.25">
      <c r="A31" s="1">
        <v>1610612764</v>
      </c>
      <c r="B31" s="1" t="s">
        <v>530</v>
      </c>
      <c r="C31" s="1">
        <v>1</v>
      </c>
      <c r="D31" s="1">
        <v>1</v>
      </c>
      <c r="E31" s="1">
        <v>0</v>
      </c>
      <c r="F31" s="1">
        <v>1</v>
      </c>
      <c r="G31" s="1">
        <v>48</v>
      </c>
      <c r="H31" s="1">
        <v>18</v>
      </c>
      <c r="I31" s="1">
        <v>11</v>
      </c>
      <c r="J31" s="1">
        <v>8</v>
      </c>
      <c r="K31" s="1">
        <v>56</v>
      </c>
      <c r="L31" s="1">
        <v>17</v>
      </c>
      <c r="M31" s="1">
        <v>11</v>
      </c>
      <c r="N31" s="1">
        <v>18</v>
      </c>
      <c r="O31" s="1">
        <v>40</v>
      </c>
      <c r="P31" s="1">
        <v>3</v>
      </c>
      <c r="Q31" s="1">
        <v>2</v>
      </c>
      <c r="R31" s="1">
        <v>1</v>
      </c>
      <c r="S31" s="1">
        <v>1</v>
      </c>
      <c r="T31" s="1">
        <v>5</v>
      </c>
      <c r="U31" s="1">
        <v>11</v>
      </c>
      <c r="V31" s="1">
        <v>14</v>
      </c>
      <c r="W31" s="1">
        <v>24</v>
      </c>
      <c r="X31" s="1">
        <v>7</v>
      </c>
      <c r="Y31" s="1">
        <v>14</v>
      </c>
      <c r="Z31" s="1">
        <v>13</v>
      </c>
      <c r="AA31" s="1">
        <v>17</v>
      </c>
      <c r="AB31" s="1">
        <v>5</v>
      </c>
      <c r="AC31" s="1">
        <v>10</v>
      </c>
      <c r="AD31" s="1" t="s">
        <v>530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54500-8915-4A45-B84D-C06ECF9E1884}">
  <dimension ref="A1:AD31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8" max="8" width="11.69140625" customWidth="1"/>
    <col min="9" max="9" width="12.765625" customWidth="1"/>
    <col min="10" max="10" width="15.921875" customWidth="1"/>
    <col min="11" max="11" width="13.4609375" customWidth="1"/>
    <col min="12" max="12" width="16.84375" customWidth="1"/>
    <col min="13" max="13" width="17.921875" customWidth="1"/>
    <col min="14" max="14" width="17.23046875" customWidth="1"/>
    <col min="15" max="15" width="18.61328125" customWidth="1"/>
    <col min="16" max="16" width="12" customWidth="1"/>
    <col min="17" max="17" width="10.765625" customWidth="1"/>
    <col min="18" max="18" width="10.3828125" customWidth="1"/>
    <col min="19" max="19" width="15.765625" customWidth="1"/>
    <col min="20" max="20" width="12.921875" customWidth="1"/>
    <col min="21" max="21" width="18.07421875" customWidth="1"/>
    <col min="22" max="22" width="19.15234375" customWidth="1"/>
    <col min="23" max="23" width="22.23046875" customWidth="1"/>
    <col min="24" max="24" width="19.765625" customWidth="1"/>
    <col min="25" max="25" width="23.15234375" customWidth="1"/>
    <col min="26" max="26" width="24.23046875" customWidth="1"/>
    <col min="27" max="27" width="23.53515625" customWidth="1"/>
    <col min="28" max="28" width="24.921875" customWidth="1"/>
    <col min="30" max="30" width="13.84375" customWidth="1"/>
  </cols>
  <sheetData>
    <row r="1" spans="1:30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545</v>
      </c>
      <c r="I1" s="1" t="s">
        <v>582</v>
      </c>
      <c r="J1" s="1" t="s">
        <v>544</v>
      </c>
      <c r="K1" s="1" t="s">
        <v>541</v>
      </c>
      <c r="L1" s="1" t="s">
        <v>583</v>
      </c>
      <c r="M1" s="1" t="s">
        <v>584</v>
      </c>
      <c r="N1" s="1" t="s">
        <v>585</v>
      </c>
      <c r="O1" s="1" t="s">
        <v>586</v>
      </c>
      <c r="P1" s="1" t="s">
        <v>435</v>
      </c>
      <c r="Q1" s="1" t="s">
        <v>436</v>
      </c>
      <c r="R1" s="1" t="s">
        <v>437</v>
      </c>
      <c r="S1" s="1" t="s">
        <v>438</v>
      </c>
      <c r="T1" s="1" t="s">
        <v>439</v>
      </c>
      <c r="U1" s="1" t="s">
        <v>562</v>
      </c>
      <c r="V1" s="1" t="s">
        <v>587</v>
      </c>
      <c r="W1" s="1" t="s">
        <v>561</v>
      </c>
      <c r="X1" s="1" t="s">
        <v>558</v>
      </c>
      <c r="Y1" s="1" t="s">
        <v>588</v>
      </c>
      <c r="Z1" s="1" t="s">
        <v>589</v>
      </c>
      <c r="AA1" s="1" t="s">
        <v>590</v>
      </c>
      <c r="AB1" s="1" t="s">
        <v>591</v>
      </c>
      <c r="AC1" s="1" t="s">
        <v>461</v>
      </c>
      <c r="AD1" s="1" t="s">
        <v>462</v>
      </c>
    </row>
    <row r="2" spans="1:30" x14ac:dyDescent="0.25">
      <c r="A2" s="1">
        <v>1610612737</v>
      </c>
      <c r="B2" s="1" t="s">
        <v>463</v>
      </c>
      <c r="C2" s="1">
        <v>1</v>
      </c>
      <c r="D2" s="1">
        <v>1</v>
      </c>
      <c r="E2" s="1">
        <v>0</v>
      </c>
      <c r="F2" s="1">
        <v>1</v>
      </c>
      <c r="G2" s="1">
        <v>48</v>
      </c>
      <c r="H2" s="1">
        <v>0.55900000000000005</v>
      </c>
      <c r="I2" s="1">
        <v>9.6000000000000002E-2</v>
      </c>
      <c r="J2" s="1">
        <v>0.125</v>
      </c>
      <c r="K2" s="1">
        <v>0.16</v>
      </c>
      <c r="L2" s="1">
        <v>0.40300000000000002</v>
      </c>
      <c r="M2" s="1">
        <v>0.14000000000000001</v>
      </c>
      <c r="N2" s="1">
        <v>0.14399999999999999</v>
      </c>
      <c r="O2" s="1">
        <v>0.19</v>
      </c>
      <c r="P2" s="1">
        <v>3</v>
      </c>
      <c r="Q2" s="1">
        <v>2</v>
      </c>
      <c r="R2" s="1">
        <v>1</v>
      </c>
      <c r="S2" s="1">
        <v>1</v>
      </c>
      <c r="T2" s="1">
        <v>5</v>
      </c>
      <c r="U2" s="1">
        <v>11</v>
      </c>
      <c r="V2" s="1">
        <v>30</v>
      </c>
      <c r="W2" s="1">
        <v>11</v>
      </c>
      <c r="X2" s="1">
        <v>30</v>
      </c>
      <c r="Y2" s="1">
        <v>2</v>
      </c>
      <c r="Z2" s="1">
        <v>5</v>
      </c>
      <c r="AA2" s="1">
        <v>16</v>
      </c>
      <c r="AB2" s="1">
        <v>5</v>
      </c>
      <c r="AC2" s="1">
        <v>10</v>
      </c>
      <c r="AD2" s="1" t="s">
        <v>463</v>
      </c>
    </row>
    <row r="3" spans="1:30" x14ac:dyDescent="0.25">
      <c r="A3" s="1">
        <v>1610612738</v>
      </c>
      <c r="B3" s="1" t="s">
        <v>466</v>
      </c>
      <c r="C3" s="1">
        <v>1</v>
      </c>
      <c r="D3" s="1">
        <v>0</v>
      </c>
      <c r="E3" s="1">
        <v>1</v>
      </c>
      <c r="F3" s="1">
        <v>0</v>
      </c>
      <c r="G3" s="1">
        <v>58</v>
      </c>
      <c r="H3" s="1">
        <v>0.5</v>
      </c>
      <c r="I3" s="1">
        <v>0.19700000000000001</v>
      </c>
      <c r="J3" s="1">
        <v>0.14499999999999999</v>
      </c>
      <c r="K3" s="1">
        <v>0.29599999999999999</v>
      </c>
      <c r="L3" s="1">
        <v>0.56699999999999995</v>
      </c>
      <c r="M3" s="1">
        <v>0.25700000000000001</v>
      </c>
      <c r="N3" s="1">
        <v>0.152</v>
      </c>
      <c r="O3" s="1">
        <v>0.28100000000000003</v>
      </c>
      <c r="P3" s="1">
        <v>3</v>
      </c>
      <c r="Q3" s="1">
        <v>16</v>
      </c>
      <c r="R3" s="1">
        <v>15</v>
      </c>
      <c r="S3" s="1">
        <v>16</v>
      </c>
      <c r="T3" s="1">
        <v>3</v>
      </c>
      <c r="U3" s="1">
        <v>19</v>
      </c>
      <c r="V3" s="1">
        <v>19</v>
      </c>
      <c r="W3" s="1">
        <v>16</v>
      </c>
      <c r="X3" s="1">
        <v>8</v>
      </c>
      <c r="Y3" s="1">
        <v>23</v>
      </c>
      <c r="Z3" s="1">
        <v>21</v>
      </c>
      <c r="AA3" s="1">
        <v>13</v>
      </c>
      <c r="AB3" s="1">
        <v>20</v>
      </c>
      <c r="AC3" s="1">
        <v>10</v>
      </c>
      <c r="AD3" s="1" t="s">
        <v>466</v>
      </c>
    </row>
    <row r="4" spans="1:30" x14ac:dyDescent="0.25">
      <c r="A4" s="1">
        <v>1610612751</v>
      </c>
      <c r="B4" s="1" t="s">
        <v>469</v>
      </c>
      <c r="C4" s="1">
        <v>1</v>
      </c>
      <c r="D4" s="1">
        <v>0</v>
      </c>
      <c r="E4" s="1">
        <v>1</v>
      </c>
      <c r="F4" s="1">
        <v>0</v>
      </c>
      <c r="G4" s="1">
        <v>48</v>
      </c>
      <c r="H4" s="1">
        <v>0.54200000000000004</v>
      </c>
      <c r="I4" s="1">
        <v>0.27400000000000002</v>
      </c>
      <c r="J4" s="1">
        <v>0.127</v>
      </c>
      <c r="K4" s="1">
        <v>0.17599999999999999</v>
      </c>
      <c r="L4" s="1">
        <v>0.53800000000000003</v>
      </c>
      <c r="M4" s="1">
        <v>0.17100000000000001</v>
      </c>
      <c r="N4" s="1">
        <v>7.8E-2</v>
      </c>
      <c r="O4" s="1">
        <v>0.29299999999999998</v>
      </c>
      <c r="P4" s="1">
        <v>3</v>
      </c>
      <c r="Q4" s="1">
        <v>16</v>
      </c>
      <c r="R4" s="1">
        <v>15</v>
      </c>
      <c r="S4" s="1">
        <v>16</v>
      </c>
      <c r="T4" s="1">
        <v>5</v>
      </c>
      <c r="U4" s="1">
        <v>15</v>
      </c>
      <c r="V4" s="1">
        <v>6</v>
      </c>
      <c r="W4" s="1">
        <v>12</v>
      </c>
      <c r="X4" s="1">
        <v>27</v>
      </c>
      <c r="Y4" s="1">
        <v>17</v>
      </c>
      <c r="Z4" s="1">
        <v>8</v>
      </c>
      <c r="AA4" s="1">
        <v>29</v>
      </c>
      <c r="AB4" s="1">
        <v>22</v>
      </c>
      <c r="AC4" s="1">
        <v>10</v>
      </c>
      <c r="AD4" s="1" t="s">
        <v>469</v>
      </c>
    </row>
    <row r="5" spans="1:30" x14ac:dyDescent="0.25">
      <c r="A5" s="1">
        <v>1610612766</v>
      </c>
      <c r="B5" s="1" t="s">
        <v>471</v>
      </c>
      <c r="C5" s="1">
        <v>1</v>
      </c>
      <c r="D5" s="1">
        <v>1</v>
      </c>
      <c r="E5" s="1">
        <v>0</v>
      </c>
      <c r="F5" s="1">
        <v>1</v>
      </c>
      <c r="G5" s="1">
        <v>48</v>
      </c>
      <c r="H5" s="1">
        <v>0.49099999999999999</v>
      </c>
      <c r="I5" s="1">
        <v>0.252</v>
      </c>
      <c r="J5" s="1">
        <v>7.4999999999999997E-2</v>
      </c>
      <c r="K5" s="1">
        <v>0.33300000000000002</v>
      </c>
      <c r="L5" s="1">
        <v>0.56100000000000005</v>
      </c>
      <c r="M5" s="1">
        <v>0.26700000000000002</v>
      </c>
      <c r="N5" s="1">
        <v>0.159</v>
      </c>
      <c r="O5" s="1">
        <v>0.255</v>
      </c>
      <c r="P5" s="1">
        <v>3</v>
      </c>
      <c r="Q5" s="1">
        <v>2</v>
      </c>
      <c r="R5" s="1">
        <v>1</v>
      </c>
      <c r="S5" s="1">
        <v>1</v>
      </c>
      <c r="T5" s="1">
        <v>5</v>
      </c>
      <c r="U5" s="1">
        <v>22</v>
      </c>
      <c r="V5" s="1">
        <v>10</v>
      </c>
      <c r="W5" s="1">
        <v>2</v>
      </c>
      <c r="X5" s="1">
        <v>4</v>
      </c>
      <c r="Y5" s="1">
        <v>21</v>
      </c>
      <c r="Z5" s="1">
        <v>23</v>
      </c>
      <c r="AA5" s="1">
        <v>11</v>
      </c>
      <c r="AB5" s="1">
        <v>14</v>
      </c>
      <c r="AC5" s="1">
        <v>10</v>
      </c>
      <c r="AD5" s="1" t="s">
        <v>471</v>
      </c>
    </row>
    <row r="6" spans="1:30" x14ac:dyDescent="0.25">
      <c r="A6" s="1">
        <v>1610612741</v>
      </c>
      <c r="B6" s="1" t="s">
        <v>474</v>
      </c>
      <c r="C6" s="1">
        <v>1</v>
      </c>
      <c r="D6" s="1">
        <v>1</v>
      </c>
      <c r="E6" s="1">
        <v>0</v>
      </c>
      <c r="F6" s="1">
        <v>1</v>
      </c>
      <c r="G6" s="1">
        <v>48</v>
      </c>
      <c r="H6" s="1">
        <v>0.47099999999999997</v>
      </c>
      <c r="I6" s="1">
        <v>0.17399999999999999</v>
      </c>
      <c r="J6" s="1">
        <v>0.17299999999999999</v>
      </c>
      <c r="K6" s="1">
        <v>0.26</v>
      </c>
      <c r="L6" s="1">
        <v>0.433</v>
      </c>
      <c r="M6" s="1">
        <v>0.14399999999999999</v>
      </c>
      <c r="N6" s="1">
        <v>0.17299999999999999</v>
      </c>
      <c r="O6" s="1">
        <v>0.26300000000000001</v>
      </c>
      <c r="P6" s="1">
        <v>3</v>
      </c>
      <c r="Q6" s="1">
        <v>2</v>
      </c>
      <c r="R6" s="1">
        <v>1</v>
      </c>
      <c r="S6" s="1">
        <v>1</v>
      </c>
      <c r="T6" s="1">
        <v>5</v>
      </c>
      <c r="U6" s="1">
        <v>25</v>
      </c>
      <c r="V6" s="1">
        <v>23</v>
      </c>
      <c r="W6" s="1">
        <v>23</v>
      </c>
      <c r="X6" s="1">
        <v>14</v>
      </c>
      <c r="Y6" s="1">
        <v>4</v>
      </c>
      <c r="Z6" s="1">
        <v>6</v>
      </c>
      <c r="AA6" s="1">
        <v>7</v>
      </c>
      <c r="AB6" s="1">
        <v>17</v>
      </c>
      <c r="AC6" s="1">
        <v>10</v>
      </c>
      <c r="AD6" s="1" t="s">
        <v>474</v>
      </c>
    </row>
    <row r="7" spans="1:30" x14ac:dyDescent="0.25">
      <c r="A7" s="1">
        <v>1610612739</v>
      </c>
      <c r="B7" s="1" t="s">
        <v>477</v>
      </c>
      <c r="C7" s="1">
        <v>1</v>
      </c>
      <c r="D7" s="1">
        <v>0</v>
      </c>
      <c r="E7" s="1">
        <v>1</v>
      </c>
      <c r="F7" s="1">
        <v>0</v>
      </c>
      <c r="G7" s="1">
        <v>48</v>
      </c>
      <c r="H7" s="1">
        <v>0.58099999999999996</v>
      </c>
      <c r="I7" s="1">
        <v>0.19400000000000001</v>
      </c>
      <c r="J7" s="1">
        <v>0.106</v>
      </c>
      <c r="K7" s="1">
        <v>0.16300000000000001</v>
      </c>
      <c r="L7" s="1">
        <v>0.6</v>
      </c>
      <c r="M7" s="1">
        <v>0.12</v>
      </c>
      <c r="N7" s="1">
        <v>0.114</v>
      </c>
      <c r="O7" s="1">
        <v>0.34</v>
      </c>
      <c r="P7" s="1">
        <v>3</v>
      </c>
      <c r="Q7" s="1">
        <v>16</v>
      </c>
      <c r="R7" s="1">
        <v>15</v>
      </c>
      <c r="S7" s="1">
        <v>16</v>
      </c>
      <c r="T7" s="1">
        <v>5</v>
      </c>
      <c r="U7" s="1">
        <v>5</v>
      </c>
      <c r="V7" s="1">
        <v>21</v>
      </c>
      <c r="W7" s="1">
        <v>7</v>
      </c>
      <c r="X7" s="1">
        <v>29</v>
      </c>
      <c r="Y7" s="1">
        <v>28</v>
      </c>
      <c r="Z7" s="1">
        <v>4</v>
      </c>
      <c r="AA7" s="1">
        <v>24</v>
      </c>
      <c r="AB7" s="1">
        <v>29</v>
      </c>
      <c r="AC7" s="1">
        <v>10</v>
      </c>
      <c r="AD7" s="1" t="s">
        <v>477</v>
      </c>
    </row>
    <row r="8" spans="1:30" x14ac:dyDescent="0.25">
      <c r="A8" s="1">
        <v>1610612742</v>
      </c>
      <c r="B8" s="1" t="s">
        <v>480</v>
      </c>
      <c r="C8" s="1">
        <v>1</v>
      </c>
      <c r="D8" s="1">
        <v>0</v>
      </c>
      <c r="E8" s="1">
        <v>1</v>
      </c>
      <c r="F8" s="1">
        <v>0</v>
      </c>
      <c r="G8" s="1">
        <v>48</v>
      </c>
      <c r="H8" s="1">
        <v>0.40300000000000002</v>
      </c>
      <c r="I8" s="1">
        <v>0.14000000000000001</v>
      </c>
      <c r="J8" s="1">
        <v>0.14399999999999999</v>
      </c>
      <c r="K8" s="1">
        <v>0.19</v>
      </c>
      <c r="L8" s="1">
        <v>0.55900000000000005</v>
      </c>
      <c r="M8" s="1">
        <v>9.6000000000000002E-2</v>
      </c>
      <c r="N8" s="1">
        <v>0.125</v>
      </c>
      <c r="O8" s="1">
        <v>0.16</v>
      </c>
      <c r="P8" s="1">
        <v>3</v>
      </c>
      <c r="Q8" s="1">
        <v>16</v>
      </c>
      <c r="R8" s="1">
        <v>15</v>
      </c>
      <c r="S8" s="1">
        <v>16</v>
      </c>
      <c r="T8" s="1">
        <v>5</v>
      </c>
      <c r="U8" s="1">
        <v>29</v>
      </c>
      <c r="V8" s="1">
        <v>26</v>
      </c>
      <c r="W8" s="1">
        <v>15</v>
      </c>
      <c r="X8" s="1">
        <v>25</v>
      </c>
      <c r="Y8" s="1">
        <v>20</v>
      </c>
      <c r="Z8" s="1">
        <v>1</v>
      </c>
      <c r="AA8" s="1">
        <v>20</v>
      </c>
      <c r="AB8" s="1">
        <v>2</v>
      </c>
      <c r="AC8" s="1">
        <v>10</v>
      </c>
      <c r="AD8" s="1" t="s">
        <v>480</v>
      </c>
    </row>
    <row r="9" spans="1:30" x14ac:dyDescent="0.25">
      <c r="A9" s="1">
        <v>1610612743</v>
      </c>
      <c r="B9" s="1" t="s">
        <v>483</v>
      </c>
      <c r="C9" s="1">
        <v>1</v>
      </c>
      <c r="D9" s="1">
        <v>1</v>
      </c>
      <c r="E9" s="1">
        <v>0</v>
      </c>
      <c r="F9" s="1">
        <v>1</v>
      </c>
      <c r="G9" s="1">
        <v>48</v>
      </c>
      <c r="H9" s="1">
        <v>0.63300000000000001</v>
      </c>
      <c r="I9" s="1">
        <v>0.108</v>
      </c>
      <c r="J9" s="1">
        <v>0.188</v>
      </c>
      <c r="K9" s="1">
        <v>0.17100000000000001</v>
      </c>
      <c r="L9" s="1">
        <v>0.49399999999999999</v>
      </c>
      <c r="M9" s="1">
        <v>0.19500000000000001</v>
      </c>
      <c r="N9" s="1">
        <v>0.17799999999999999</v>
      </c>
      <c r="O9" s="1">
        <v>0.25900000000000001</v>
      </c>
      <c r="P9" s="1">
        <v>3</v>
      </c>
      <c r="Q9" s="1">
        <v>2</v>
      </c>
      <c r="R9" s="1">
        <v>1</v>
      </c>
      <c r="S9" s="1">
        <v>1</v>
      </c>
      <c r="T9" s="1">
        <v>5</v>
      </c>
      <c r="U9" s="1">
        <v>1</v>
      </c>
      <c r="V9" s="1">
        <v>28</v>
      </c>
      <c r="W9" s="1">
        <v>28</v>
      </c>
      <c r="X9" s="1">
        <v>28</v>
      </c>
      <c r="Y9" s="1">
        <v>11</v>
      </c>
      <c r="Z9" s="1">
        <v>12</v>
      </c>
      <c r="AA9" s="1">
        <v>5</v>
      </c>
      <c r="AB9" s="1">
        <v>15</v>
      </c>
      <c r="AC9" s="1">
        <v>10</v>
      </c>
      <c r="AD9" s="1" t="s">
        <v>483</v>
      </c>
    </row>
    <row r="10" spans="1:30" x14ac:dyDescent="0.25">
      <c r="A10" s="1">
        <v>1610612765</v>
      </c>
      <c r="B10" s="1" t="s">
        <v>486</v>
      </c>
      <c r="C10" s="1">
        <v>1</v>
      </c>
      <c r="D10" s="1">
        <v>0</v>
      </c>
      <c r="E10" s="1">
        <v>1</v>
      </c>
      <c r="F10" s="1">
        <v>0</v>
      </c>
      <c r="G10" s="1">
        <v>48</v>
      </c>
      <c r="H10" s="1">
        <v>0.433</v>
      </c>
      <c r="I10" s="1">
        <v>0.14399999999999999</v>
      </c>
      <c r="J10" s="1">
        <v>0.17299999999999999</v>
      </c>
      <c r="K10" s="1">
        <v>0.26300000000000001</v>
      </c>
      <c r="L10" s="1">
        <v>0.47099999999999997</v>
      </c>
      <c r="M10" s="1">
        <v>0.17399999999999999</v>
      </c>
      <c r="N10" s="1">
        <v>0.17299999999999999</v>
      </c>
      <c r="O10" s="1">
        <v>0.26</v>
      </c>
      <c r="P10" s="1">
        <v>3</v>
      </c>
      <c r="Q10" s="1">
        <v>16</v>
      </c>
      <c r="R10" s="1">
        <v>15</v>
      </c>
      <c r="S10" s="1">
        <v>16</v>
      </c>
      <c r="T10" s="1">
        <v>5</v>
      </c>
      <c r="U10" s="1">
        <v>27</v>
      </c>
      <c r="V10" s="1">
        <v>25</v>
      </c>
      <c r="W10" s="1">
        <v>23</v>
      </c>
      <c r="X10" s="1">
        <v>13</v>
      </c>
      <c r="Y10" s="1">
        <v>7</v>
      </c>
      <c r="Z10" s="1">
        <v>9</v>
      </c>
      <c r="AA10" s="1">
        <v>7</v>
      </c>
      <c r="AB10" s="1">
        <v>16</v>
      </c>
      <c r="AC10" s="1">
        <v>10</v>
      </c>
      <c r="AD10" s="1" t="s">
        <v>486</v>
      </c>
    </row>
    <row r="11" spans="1:30" x14ac:dyDescent="0.25">
      <c r="A11" s="1">
        <v>1610612744</v>
      </c>
      <c r="B11" s="1" t="s">
        <v>488</v>
      </c>
      <c r="C11" s="1">
        <v>2</v>
      </c>
      <c r="D11" s="1">
        <v>2</v>
      </c>
      <c r="E11" s="1">
        <v>0</v>
      </c>
      <c r="F11" s="1">
        <v>1</v>
      </c>
      <c r="G11" s="1">
        <v>96</v>
      </c>
      <c r="H11" s="1">
        <v>0.56000000000000005</v>
      </c>
      <c r="I11" s="1">
        <v>0.29499999999999998</v>
      </c>
      <c r="J11" s="1">
        <v>0.17699999999999999</v>
      </c>
      <c r="K11" s="1">
        <v>0.255</v>
      </c>
      <c r="L11" s="1">
        <v>0.53100000000000003</v>
      </c>
      <c r="M11" s="1">
        <v>0.20899999999999999</v>
      </c>
      <c r="N11" s="1">
        <v>0.11600000000000001</v>
      </c>
      <c r="O11" s="1">
        <v>0.19800000000000001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10</v>
      </c>
      <c r="V11" s="1">
        <v>5</v>
      </c>
      <c r="W11" s="1">
        <v>25</v>
      </c>
      <c r="X11" s="1">
        <v>16</v>
      </c>
      <c r="Y11" s="1">
        <v>16</v>
      </c>
      <c r="Z11" s="1">
        <v>15</v>
      </c>
      <c r="AA11" s="1">
        <v>22</v>
      </c>
      <c r="AB11" s="1">
        <v>6</v>
      </c>
      <c r="AC11" s="1">
        <v>10</v>
      </c>
      <c r="AD11" s="1" t="s">
        <v>488</v>
      </c>
    </row>
    <row r="12" spans="1:30" x14ac:dyDescent="0.25">
      <c r="A12" s="1">
        <v>1610612745</v>
      </c>
      <c r="B12" s="1" t="s">
        <v>490</v>
      </c>
      <c r="C12" s="1">
        <v>1</v>
      </c>
      <c r="D12" s="1">
        <v>0</v>
      </c>
      <c r="E12" s="1">
        <v>1</v>
      </c>
      <c r="F12" s="1">
        <v>0</v>
      </c>
      <c r="G12" s="1">
        <v>48</v>
      </c>
      <c r="H12" s="1">
        <v>0.51700000000000002</v>
      </c>
      <c r="I12" s="1">
        <v>0.25</v>
      </c>
      <c r="J12" s="1">
        <v>0.222</v>
      </c>
      <c r="K12" s="1">
        <v>0.314</v>
      </c>
      <c r="L12" s="1">
        <v>0.57499999999999996</v>
      </c>
      <c r="M12" s="1">
        <v>0.35599999999999998</v>
      </c>
      <c r="N12" s="1">
        <v>0.16700000000000001</v>
      </c>
      <c r="O12" s="1">
        <v>0.29199999999999998</v>
      </c>
      <c r="P12" s="1">
        <v>3</v>
      </c>
      <c r="Q12" s="1">
        <v>16</v>
      </c>
      <c r="R12" s="1">
        <v>15</v>
      </c>
      <c r="S12" s="1">
        <v>16</v>
      </c>
      <c r="T12" s="1">
        <v>5</v>
      </c>
      <c r="U12" s="1">
        <v>16</v>
      </c>
      <c r="V12" s="1">
        <v>11</v>
      </c>
      <c r="W12" s="1">
        <v>30</v>
      </c>
      <c r="X12" s="1">
        <v>5</v>
      </c>
      <c r="Y12" s="1">
        <v>24</v>
      </c>
      <c r="Z12" s="1">
        <v>30</v>
      </c>
      <c r="AA12" s="1">
        <v>10</v>
      </c>
      <c r="AB12" s="1">
        <v>21</v>
      </c>
      <c r="AC12" s="1">
        <v>10</v>
      </c>
      <c r="AD12" s="1" t="s">
        <v>490</v>
      </c>
    </row>
    <row r="13" spans="1:30" x14ac:dyDescent="0.25">
      <c r="A13" s="1">
        <v>1610612754</v>
      </c>
      <c r="B13" s="1" t="s">
        <v>493</v>
      </c>
      <c r="C13" s="1">
        <v>1</v>
      </c>
      <c r="D13" s="1">
        <v>0</v>
      </c>
      <c r="E13" s="1">
        <v>1</v>
      </c>
      <c r="F13" s="1">
        <v>0</v>
      </c>
      <c r="G13" s="1">
        <v>48</v>
      </c>
      <c r="H13" s="1">
        <v>0.56100000000000005</v>
      </c>
      <c r="I13" s="1">
        <v>0.26700000000000002</v>
      </c>
      <c r="J13" s="1">
        <v>0.159</v>
      </c>
      <c r="K13" s="1">
        <v>0.255</v>
      </c>
      <c r="L13" s="1">
        <v>0.49099999999999999</v>
      </c>
      <c r="M13" s="1">
        <v>0.252</v>
      </c>
      <c r="N13" s="1">
        <v>7.4999999999999997E-2</v>
      </c>
      <c r="O13" s="1">
        <v>0.33300000000000002</v>
      </c>
      <c r="P13" s="1">
        <v>3</v>
      </c>
      <c r="Q13" s="1">
        <v>16</v>
      </c>
      <c r="R13" s="1">
        <v>15</v>
      </c>
      <c r="S13" s="1">
        <v>16</v>
      </c>
      <c r="T13" s="1">
        <v>5</v>
      </c>
      <c r="U13" s="1">
        <v>9</v>
      </c>
      <c r="V13" s="1">
        <v>8</v>
      </c>
      <c r="W13" s="1">
        <v>19</v>
      </c>
      <c r="X13" s="1">
        <v>17</v>
      </c>
      <c r="Y13" s="1">
        <v>10</v>
      </c>
      <c r="Z13" s="1">
        <v>20</v>
      </c>
      <c r="AA13" s="1">
        <v>30</v>
      </c>
      <c r="AB13" s="1">
        <v>27</v>
      </c>
      <c r="AC13" s="1">
        <v>10</v>
      </c>
      <c r="AD13" s="1" t="s">
        <v>493</v>
      </c>
    </row>
    <row r="14" spans="1:30" x14ac:dyDescent="0.25">
      <c r="A14" s="1">
        <v>1610612746</v>
      </c>
      <c r="B14" s="1" t="s">
        <v>495</v>
      </c>
      <c r="C14" s="1">
        <v>1</v>
      </c>
      <c r="D14" s="1">
        <v>0</v>
      </c>
      <c r="E14" s="1">
        <v>1</v>
      </c>
      <c r="F14" s="1">
        <v>0</v>
      </c>
      <c r="G14" s="1">
        <v>48</v>
      </c>
      <c r="H14" s="1">
        <v>0.51</v>
      </c>
      <c r="I14" s="1">
        <v>0.219</v>
      </c>
      <c r="J14" s="1">
        <v>6.7000000000000004E-2</v>
      </c>
      <c r="K14" s="1">
        <v>0.20699999999999999</v>
      </c>
      <c r="L14" s="1">
        <v>0.60799999999999998</v>
      </c>
      <c r="M14" s="1">
        <v>0.26500000000000001</v>
      </c>
      <c r="N14" s="1">
        <v>0.20599999999999999</v>
      </c>
      <c r="O14" s="1">
        <v>0.27300000000000002</v>
      </c>
      <c r="P14" s="1">
        <v>3</v>
      </c>
      <c r="Q14" s="1">
        <v>16</v>
      </c>
      <c r="R14" s="1">
        <v>15</v>
      </c>
      <c r="S14" s="1">
        <v>16</v>
      </c>
      <c r="T14" s="1">
        <v>5</v>
      </c>
      <c r="U14" s="1">
        <v>18</v>
      </c>
      <c r="V14" s="1">
        <v>16</v>
      </c>
      <c r="W14" s="1">
        <v>1</v>
      </c>
      <c r="X14" s="1">
        <v>20</v>
      </c>
      <c r="Y14" s="1">
        <v>29</v>
      </c>
      <c r="Z14" s="1">
        <v>22</v>
      </c>
      <c r="AA14" s="1">
        <v>3</v>
      </c>
      <c r="AB14" s="1">
        <v>18</v>
      </c>
      <c r="AC14" s="1">
        <v>10</v>
      </c>
      <c r="AD14" s="1" t="s">
        <v>495</v>
      </c>
    </row>
    <row r="15" spans="1:30" x14ac:dyDescent="0.25">
      <c r="A15" s="1">
        <v>1610612747</v>
      </c>
      <c r="B15" s="1" t="s">
        <v>498</v>
      </c>
      <c r="C15" s="1">
        <v>1</v>
      </c>
      <c r="D15" s="1">
        <v>0</v>
      </c>
      <c r="E15" s="1">
        <v>1</v>
      </c>
      <c r="F15" s="1">
        <v>0</v>
      </c>
      <c r="G15" s="1">
        <v>48</v>
      </c>
      <c r="H15" s="1">
        <v>0.55300000000000005</v>
      </c>
      <c r="I15" s="1">
        <v>0.2</v>
      </c>
      <c r="J15" s="1">
        <v>0.161</v>
      </c>
      <c r="K15" s="1">
        <v>0.189</v>
      </c>
      <c r="L15" s="1">
        <v>0.51600000000000001</v>
      </c>
      <c r="M15" s="1">
        <v>0.32300000000000001</v>
      </c>
      <c r="N15" s="1">
        <v>0.15</v>
      </c>
      <c r="O15" s="1">
        <v>0.24099999999999999</v>
      </c>
      <c r="P15" s="1">
        <v>3</v>
      </c>
      <c r="Q15" s="1">
        <v>16</v>
      </c>
      <c r="R15" s="1">
        <v>15</v>
      </c>
      <c r="S15" s="1">
        <v>16</v>
      </c>
      <c r="T15" s="1">
        <v>5</v>
      </c>
      <c r="U15" s="1">
        <v>12</v>
      </c>
      <c r="V15" s="1">
        <v>17</v>
      </c>
      <c r="W15" s="1">
        <v>20</v>
      </c>
      <c r="X15" s="1">
        <v>26</v>
      </c>
      <c r="Y15" s="1">
        <v>13</v>
      </c>
      <c r="Z15" s="1">
        <v>28</v>
      </c>
      <c r="AA15" s="1">
        <v>14</v>
      </c>
      <c r="AB15" s="1">
        <v>12</v>
      </c>
      <c r="AC15" s="1">
        <v>10</v>
      </c>
      <c r="AD15" s="1" t="s">
        <v>498</v>
      </c>
    </row>
    <row r="16" spans="1:30" x14ac:dyDescent="0.25">
      <c r="A16" s="1">
        <v>1610612763</v>
      </c>
      <c r="B16" s="1" t="s">
        <v>500</v>
      </c>
      <c r="C16" s="1">
        <v>1</v>
      </c>
      <c r="D16" s="1">
        <v>1</v>
      </c>
      <c r="E16" s="1">
        <v>0</v>
      </c>
      <c r="F16" s="1">
        <v>1</v>
      </c>
      <c r="G16" s="1">
        <v>48</v>
      </c>
      <c r="H16" s="1">
        <v>0.6</v>
      </c>
      <c r="I16" s="1">
        <v>0.12</v>
      </c>
      <c r="J16" s="1">
        <v>0.114</v>
      </c>
      <c r="K16" s="1">
        <v>0.34</v>
      </c>
      <c r="L16" s="1">
        <v>0.58099999999999996</v>
      </c>
      <c r="M16" s="1">
        <v>0.19400000000000001</v>
      </c>
      <c r="N16" s="1">
        <v>0.106</v>
      </c>
      <c r="O16" s="1">
        <v>0.16300000000000001</v>
      </c>
      <c r="P16" s="1">
        <v>3</v>
      </c>
      <c r="Q16" s="1">
        <v>2</v>
      </c>
      <c r="R16" s="1">
        <v>1</v>
      </c>
      <c r="S16" s="1">
        <v>1</v>
      </c>
      <c r="T16" s="1">
        <v>5</v>
      </c>
      <c r="U16" s="1">
        <v>3</v>
      </c>
      <c r="V16" s="1">
        <v>27</v>
      </c>
      <c r="W16" s="1">
        <v>9</v>
      </c>
      <c r="X16" s="1">
        <v>2</v>
      </c>
      <c r="Y16" s="1">
        <v>26</v>
      </c>
      <c r="Z16" s="1">
        <v>11</v>
      </c>
      <c r="AA16" s="1">
        <v>25</v>
      </c>
      <c r="AB16" s="1">
        <v>3</v>
      </c>
      <c r="AC16" s="1">
        <v>10</v>
      </c>
      <c r="AD16" s="1" t="s">
        <v>500</v>
      </c>
    </row>
    <row r="17" spans="1:30" x14ac:dyDescent="0.25">
      <c r="A17" s="1">
        <v>1610612748</v>
      </c>
      <c r="B17" s="1" t="s">
        <v>501</v>
      </c>
      <c r="C17" s="1">
        <v>1</v>
      </c>
      <c r="D17" s="1">
        <v>1</v>
      </c>
      <c r="E17" s="1">
        <v>0</v>
      </c>
      <c r="F17" s="1">
        <v>1</v>
      </c>
      <c r="G17" s="1">
        <v>48</v>
      </c>
      <c r="H17" s="1">
        <v>0.60899999999999999</v>
      </c>
      <c r="I17" s="1">
        <v>0.32300000000000001</v>
      </c>
      <c r="J17" s="1">
        <v>0.10299999999999999</v>
      </c>
      <c r="K17" s="1">
        <v>0.30199999999999999</v>
      </c>
      <c r="L17" s="1">
        <v>0.45200000000000001</v>
      </c>
      <c r="M17" s="1">
        <v>0.34499999999999997</v>
      </c>
      <c r="N17" s="1">
        <v>0.14299999999999999</v>
      </c>
      <c r="O17" s="1">
        <v>0.107</v>
      </c>
      <c r="P17" s="1">
        <v>3</v>
      </c>
      <c r="Q17" s="1">
        <v>2</v>
      </c>
      <c r="R17" s="1">
        <v>1</v>
      </c>
      <c r="S17" s="1">
        <v>1</v>
      </c>
      <c r="T17" s="1">
        <v>5</v>
      </c>
      <c r="U17" s="1">
        <v>2</v>
      </c>
      <c r="V17" s="1">
        <v>2</v>
      </c>
      <c r="W17" s="1">
        <v>5</v>
      </c>
      <c r="X17" s="1">
        <v>7</v>
      </c>
      <c r="Y17" s="1">
        <v>5</v>
      </c>
      <c r="Z17" s="1">
        <v>29</v>
      </c>
      <c r="AA17" s="1">
        <v>17</v>
      </c>
      <c r="AB17" s="1">
        <v>1</v>
      </c>
      <c r="AC17" s="1">
        <v>10</v>
      </c>
      <c r="AD17" s="1" t="s">
        <v>501</v>
      </c>
    </row>
    <row r="18" spans="1:30" x14ac:dyDescent="0.25">
      <c r="A18" s="1">
        <v>1610612749</v>
      </c>
      <c r="B18" s="1" t="s">
        <v>503</v>
      </c>
      <c r="C18" s="1">
        <v>2</v>
      </c>
      <c r="D18" s="1">
        <v>1</v>
      </c>
      <c r="E18" s="1">
        <v>1</v>
      </c>
      <c r="F18" s="1">
        <v>0.5</v>
      </c>
      <c r="G18" s="1">
        <v>96</v>
      </c>
      <c r="H18" s="1">
        <v>0.5</v>
      </c>
      <c r="I18" s="1">
        <v>0.249</v>
      </c>
      <c r="J18" s="1">
        <v>0.111</v>
      </c>
      <c r="K18" s="1">
        <v>0.20200000000000001</v>
      </c>
      <c r="L18" s="1">
        <v>0.57799999999999996</v>
      </c>
      <c r="M18" s="1">
        <v>0.3</v>
      </c>
      <c r="N18" s="1">
        <v>0.115</v>
      </c>
      <c r="O18" s="1">
        <v>0.24</v>
      </c>
      <c r="P18" s="1">
        <v>1</v>
      </c>
      <c r="Q18" s="1">
        <v>2</v>
      </c>
      <c r="R18" s="1">
        <v>15</v>
      </c>
      <c r="S18" s="1">
        <v>15</v>
      </c>
      <c r="T18" s="1">
        <v>1</v>
      </c>
      <c r="U18" s="1">
        <v>19</v>
      </c>
      <c r="V18" s="1">
        <v>12</v>
      </c>
      <c r="W18" s="1">
        <v>8</v>
      </c>
      <c r="X18" s="1">
        <v>23</v>
      </c>
      <c r="Y18" s="1">
        <v>25</v>
      </c>
      <c r="Z18" s="1">
        <v>25</v>
      </c>
      <c r="AA18" s="1">
        <v>23</v>
      </c>
      <c r="AB18" s="1">
        <v>11</v>
      </c>
      <c r="AC18" s="1">
        <v>10</v>
      </c>
      <c r="AD18" s="1" t="s">
        <v>503</v>
      </c>
    </row>
    <row r="19" spans="1:30" x14ac:dyDescent="0.25">
      <c r="A19" s="1">
        <v>1610612750</v>
      </c>
      <c r="B19" s="1" t="s">
        <v>506</v>
      </c>
      <c r="C19" s="1">
        <v>1</v>
      </c>
      <c r="D19" s="1">
        <v>1</v>
      </c>
      <c r="E19" s="1">
        <v>0</v>
      </c>
      <c r="F19" s="1">
        <v>1</v>
      </c>
      <c r="G19" s="1">
        <v>48</v>
      </c>
      <c r="H19" s="1">
        <v>0.57499999999999996</v>
      </c>
      <c r="I19" s="1">
        <v>0.35599999999999998</v>
      </c>
      <c r="J19" s="1">
        <v>0.16700000000000001</v>
      </c>
      <c r="K19" s="1">
        <v>0.29199999999999998</v>
      </c>
      <c r="L19" s="1">
        <v>0.51700000000000002</v>
      </c>
      <c r="M19" s="1">
        <v>0.25</v>
      </c>
      <c r="N19" s="1">
        <v>0.222</v>
      </c>
      <c r="O19" s="1">
        <v>0.314</v>
      </c>
      <c r="P19" s="1">
        <v>3</v>
      </c>
      <c r="Q19" s="1">
        <v>2</v>
      </c>
      <c r="R19" s="1">
        <v>1</v>
      </c>
      <c r="S19" s="1">
        <v>1</v>
      </c>
      <c r="T19" s="1">
        <v>5</v>
      </c>
      <c r="U19" s="1">
        <v>6</v>
      </c>
      <c r="V19" s="1">
        <v>1</v>
      </c>
      <c r="W19" s="1">
        <v>21</v>
      </c>
      <c r="X19" s="1">
        <v>10</v>
      </c>
      <c r="Y19" s="1">
        <v>15</v>
      </c>
      <c r="Z19" s="1">
        <v>19</v>
      </c>
      <c r="AA19" s="1">
        <v>1</v>
      </c>
      <c r="AB19" s="1">
        <v>26</v>
      </c>
      <c r="AC19" s="1">
        <v>10</v>
      </c>
      <c r="AD19" s="1" t="s">
        <v>506</v>
      </c>
    </row>
    <row r="20" spans="1:30" x14ac:dyDescent="0.25">
      <c r="A20" s="1">
        <v>1610612740</v>
      </c>
      <c r="B20" s="1" t="s">
        <v>507</v>
      </c>
      <c r="C20" s="1">
        <v>1</v>
      </c>
      <c r="D20" s="1">
        <v>0</v>
      </c>
      <c r="E20" s="1">
        <v>1</v>
      </c>
      <c r="F20" s="1">
        <v>0</v>
      </c>
      <c r="G20" s="1">
        <v>48</v>
      </c>
      <c r="H20" s="1">
        <v>0.48899999999999999</v>
      </c>
      <c r="I20" s="1">
        <v>9.7000000000000003E-2</v>
      </c>
      <c r="J20" s="1">
        <v>0.14099999999999999</v>
      </c>
      <c r="K20" s="1">
        <v>0.23599999999999999</v>
      </c>
      <c r="L20" s="1">
        <v>0.59399999999999997</v>
      </c>
      <c r="M20" s="1">
        <v>0.23499999999999999</v>
      </c>
      <c r="N20" s="1">
        <v>0.13100000000000001</v>
      </c>
      <c r="O20" s="1">
        <v>0.20499999999999999</v>
      </c>
      <c r="P20" s="1">
        <v>3</v>
      </c>
      <c r="Q20" s="1">
        <v>16</v>
      </c>
      <c r="R20" s="1">
        <v>15</v>
      </c>
      <c r="S20" s="1">
        <v>16</v>
      </c>
      <c r="T20" s="1">
        <v>5</v>
      </c>
      <c r="U20" s="1">
        <v>23</v>
      </c>
      <c r="V20" s="1">
        <v>29</v>
      </c>
      <c r="W20" s="1">
        <v>14</v>
      </c>
      <c r="X20" s="1">
        <v>19</v>
      </c>
      <c r="Y20" s="1">
        <v>27</v>
      </c>
      <c r="Z20" s="1">
        <v>17</v>
      </c>
      <c r="AA20" s="1">
        <v>19</v>
      </c>
      <c r="AB20" s="1">
        <v>9</v>
      </c>
      <c r="AC20" s="1">
        <v>10</v>
      </c>
      <c r="AD20" s="1" t="s">
        <v>507</v>
      </c>
    </row>
    <row r="21" spans="1:30" x14ac:dyDescent="0.25">
      <c r="A21" s="1">
        <v>1610612752</v>
      </c>
      <c r="B21" s="1" t="s">
        <v>510</v>
      </c>
      <c r="C21" s="1">
        <v>1</v>
      </c>
      <c r="D21" s="1">
        <v>1</v>
      </c>
      <c r="E21" s="1">
        <v>0</v>
      </c>
      <c r="F21" s="1">
        <v>1</v>
      </c>
      <c r="G21" s="1">
        <v>58</v>
      </c>
      <c r="H21" s="1">
        <v>0.56699999999999995</v>
      </c>
      <c r="I21" s="1">
        <v>0.25700000000000001</v>
      </c>
      <c r="J21" s="1">
        <v>0.152</v>
      </c>
      <c r="K21" s="1">
        <v>0.28100000000000003</v>
      </c>
      <c r="L21" s="1">
        <v>0.5</v>
      </c>
      <c r="M21" s="1">
        <v>0.19700000000000001</v>
      </c>
      <c r="N21" s="1">
        <v>0.14499999999999999</v>
      </c>
      <c r="O21" s="1">
        <v>0.29599999999999999</v>
      </c>
      <c r="P21" s="1">
        <v>3</v>
      </c>
      <c r="Q21" s="1">
        <v>2</v>
      </c>
      <c r="R21" s="1">
        <v>1</v>
      </c>
      <c r="S21" s="1">
        <v>1</v>
      </c>
      <c r="T21" s="1">
        <v>3</v>
      </c>
      <c r="U21" s="1">
        <v>7</v>
      </c>
      <c r="V21" s="1">
        <v>9</v>
      </c>
      <c r="W21" s="1">
        <v>17</v>
      </c>
      <c r="X21" s="1">
        <v>11</v>
      </c>
      <c r="Y21" s="1">
        <v>12</v>
      </c>
      <c r="Z21" s="1">
        <v>13</v>
      </c>
      <c r="AA21" s="1">
        <v>15</v>
      </c>
      <c r="AB21" s="1">
        <v>24</v>
      </c>
      <c r="AC21" s="1">
        <v>10</v>
      </c>
      <c r="AD21" s="1" t="s">
        <v>510</v>
      </c>
    </row>
    <row r="22" spans="1:30" x14ac:dyDescent="0.25">
      <c r="A22" s="1">
        <v>1610612760</v>
      </c>
      <c r="B22" s="1" t="s">
        <v>512</v>
      </c>
      <c r="C22" s="1">
        <v>1</v>
      </c>
      <c r="D22" s="1">
        <v>0</v>
      </c>
      <c r="E22" s="1">
        <v>1</v>
      </c>
      <c r="F22" s="1">
        <v>0</v>
      </c>
      <c r="G22" s="1">
        <v>48</v>
      </c>
      <c r="H22" s="1">
        <v>0.41199999999999998</v>
      </c>
      <c r="I22" s="1">
        <v>0.19800000000000001</v>
      </c>
      <c r="J22" s="1">
        <v>0.158</v>
      </c>
      <c r="K22" s="1">
        <v>0.29499999999999998</v>
      </c>
      <c r="L22" s="1">
        <v>0.51600000000000001</v>
      </c>
      <c r="M22" s="1">
        <v>0.16500000000000001</v>
      </c>
      <c r="N22" s="1">
        <v>0.104</v>
      </c>
      <c r="O22" s="1">
        <v>0.27500000000000002</v>
      </c>
      <c r="P22" s="1">
        <v>3</v>
      </c>
      <c r="Q22" s="1">
        <v>16</v>
      </c>
      <c r="R22" s="1">
        <v>15</v>
      </c>
      <c r="S22" s="1">
        <v>16</v>
      </c>
      <c r="T22" s="1">
        <v>5</v>
      </c>
      <c r="U22" s="1">
        <v>28</v>
      </c>
      <c r="V22" s="1">
        <v>18</v>
      </c>
      <c r="W22" s="1">
        <v>18</v>
      </c>
      <c r="X22" s="1">
        <v>9</v>
      </c>
      <c r="Y22" s="1">
        <v>14</v>
      </c>
      <c r="Z22" s="1">
        <v>7</v>
      </c>
      <c r="AA22" s="1">
        <v>26</v>
      </c>
      <c r="AB22" s="1">
        <v>19</v>
      </c>
      <c r="AC22" s="1">
        <v>10</v>
      </c>
      <c r="AD22" s="1" t="s">
        <v>512</v>
      </c>
    </row>
    <row r="23" spans="1:30" x14ac:dyDescent="0.25">
      <c r="A23" s="1">
        <v>1610612753</v>
      </c>
      <c r="B23" s="1" t="s">
        <v>514</v>
      </c>
      <c r="C23" s="1">
        <v>1</v>
      </c>
      <c r="D23" s="1">
        <v>0</v>
      </c>
      <c r="E23" s="1">
        <v>1</v>
      </c>
      <c r="F23" s="1">
        <v>0</v>
      </c>
      <c r="G23" s="1">
        <v>48</v>
      </c>
      <c r="H23" s="1">
        <v>0.45900000000000002</v>
      </c>
      <c r="I23" s="1">
        <v>0.26700000000000002</v>
      </c>
      <c r="J23" s="1">
        <v>0.16800000000000001</v>
      </c>
      <c r="K23" s="1">
        <v>0.34</v>
      </c>
      <c r="L23" s="1">
        <v>0.56599999999999995</v>
      </c>
      <c r="M23" s="1">
        <v>0.184</v>
      </c>
      <c r="N23" s="1">
        <v>8.3000000000000004E-2</v>
      </c>
      <c r="O23" s="1">
        <v>0.38500000000000001</v>
      </c>
      <c r="P23" s="1">
        <v>3</v>
      </c>
      <c r="Q23" s="1">
        <v>16</v>
      </c>
      <c r="R23" s="1">
        <v>15</v>
      </c>
      <c r="S23" s="1">
        <v>16</v>
      </c>
      <c r="T23" s="1">
        <v>5</v>
      </c>
      <c r="U23" s="1">
        <v>26</v>
      </c>
      <c r="V23" s="1">
        <v>7</v>
      </c>
      <c r="W23" s="1">
        <v>22</v>
      </c>
      <c r="X23" s="1">
        <v>3</v>
      </c>
      <c r="Y23" s="1">
        <v>22</v>
      </c>
      <c r="Z23" s="1">
        <v>10</v>
      </c>
      <c r="AA23" s="1">
        <v>28</v>
      </c>
      <c r="AB23" s="1">
        <v>30</v>
      </c>
      <c r="AC23" s="1">
        <v>10</v>
      </c>
      <c r="AD23" s="1" t="s">
        <v>514</v>
      </c>
    </row>
    <row r="24" spans="1:30" x14ac:dyDescent="0.25">
      <c r="A24" s="1">
        <v>1610612755</v>
      </c>
      <c r="B24" s="1" t="s">
        <v>516</v>
      </c>
      <c r="C24" s="1">
        <v>1</v>
      </c>
      <c r="D24" s="1">
        <v>1</v>
      </c>
      <c r="E24" s="1">
        <v>0</v>
      </c>
      <c r="F24" s="1">
        <v>1</v>
      </c>
      <c r="G24" s="1">
        <v>48</v>
      </c>
      <c r="H24" s="1">
        <v>0.59399999999999997</v>
      </c>
      <c r="I24" s="1">
        <v>0.23499999999999999</v>
      </c>
      <c r="J24" s="1">
        <v>0.13100000000000001</v>
      </c>
      <c r="K24" s="1">
        <v>0.20499999999999999</v>
      </c>
      <c r="L24" s="1">
        <v>0.48899999999999999</v>
      </c>
      <c r="M24" s="1">
        <v>9.7000000000000003E-2</v>
      </c>
      <c r="N24" s="1">
        <v>0.14099999999999999</v>
      </c>
      <c r="O24" s="1">
        <v>0.23599999999999999</v>
      </c>
      <c r="P24" s="1">
        <v>3</v>
      </c>
      <c r="Q24" s="1">
        <v>2</v>
      </c>
      <c r="R24" s="1">
        <v>1</v>
      </c>
      <c r="S24" s="1">
        <v>1</v>
      </c>
      <c r="T24" s="1">
        <v>5</v>
      </c>
      <c r="U24" s="1">
        <v>4</v>
      </c>
      <c r="V24" s="1">
        <v>14</v>
      </c>
      <c r="W24" s="1">
        <v>13</v>
      </c>
      <c r="X24" s="1">
        <v>21</v>
      </c>
      <c r="Y24" s="1">
        <v>9</v>
      </c>
      <c r="Z24" s="1">
        <v>2</v>
      </c>
      <c r="AA24" s="1">
        <v>18</v>
      </c>
      <c r="AB24" s="1">
        <v>10</v>
      </c>
      <c r="AC24" s="1">
        <v>10</v>
      </c>
      <c r="AD24" s="1" t="s">
        <v>516</v>
      </c>
    </row>
    <row r="25" spans="1:30" x14ac:dyDescent="0.25">
      <c r="A25" s="1">
        <v>1610612756</v>
      </c>
      <c r="B25" s="1" t="s">
        <v>518</v>
      </c>
      <c r="C25" s="1">
        <v>1</v>
      </c>
      <c r="D25" s="1">
        <v>0</v>
      </c>
      <c r="E25" s="1">
        <v>1</v>
      </c>
      <c r="F25" s="1">
        <v>0</v>
      </c>
      <c r="G25" s="1">
        <v>48</v>
      </c>
      <c r="H25" s="1">
        <v>0.49399999999999999</v>
      </c>
      <c r="I25" s="1">
        <v>0.19500000000000001</v>
      </c>
      <c r="J25" s="1">
        <v>0.17799999999999999</v>
      </c>
      <c r="K25" s="1">
        <v>0.25900000000000001</v>
      </c>
      <c r="L25" s="1">
        <v>0.63300000000000001</v>
      </c>
      <c r="M25" s="1">
        <v>0.108</v>
      </c>
      <c r="N25" s="1">
        <v>0.188</v>
      </c>
      <c r="O25" s="1">
        <v>0.17100000000000001</v>
      </c>
      <c r="P25" s="1">
        <v>3</v>
      </c>
      <c r="Q25" s="1">
        <v>16</v>
      </c>
      <c r="R25" s="1">
        <v>15</v>
      </c>
      <c r="S25" s="1">
        <v>16</v>
      </c>
      <c r="T25" s="1">
        <v>5</v>
      </c>
      <c r="U25" s="1">
        <v>21</v>
      </c>
      <c r="V25" s="1">
        <v>20</v>
      </c>
      <c r="W25" s="1">
        <v>27</v>
      </c>
      <c r="X25" s="1">
        <v>15</v>
      </c>
      <c r="Y25" s="1">
        <v>30</v>
      </c>
      <c r="Z25" s="1">
        <v>3</v>
      </c>
      <c r="AA25" s="1">
        <v>4</v>
      </c>
      <c r="AB25" s="1">
        <v>4</v>
      </c>
      <c r="AC25" s="1">
        <v>10</v>
      </c>
      <c r="AD25" s="1" t="s">
        <v>518</v>
      </c>
    </row>
    <row r="26" spans="1:30" x14ac:dyDescent="0.25">
      <c r="A26" s="1">
        <v>1610612757</v>
      </c>
      <c r="B26" s="1" t="s">
        <v>520</v>
      </c>
      <c r="C26" s="1">
        <v>1</v>
      </c>
      <c r="D26" s="1">
        <v>0</v>
      </c>
      <c r="E26" s="1">
        <v>1</v>
      </c>
      <c r="F26" s="1">
        <v>0</v>
      </c>
      <c r="G26" s="1">
        <v>48</v>
      </c>
      <c r="H26" s="1">
        <v>0.54800000000000004</v>
      </c>
      <c r="I26" s="1">
        <v>0.23699999999999999</v>
      </c>
      <c r="J26" s="1">
        <v>0.123</v>
      </c>
      <c r="K26" s="1">
        <v>0.245</v>
      </c>
      <c r="L26" s="1">
        <v>0.54900000000000004</v>
      </c>
      <c r="M26" s="1">
        <v>0.315</v>
      </c>
      <c r="N26" s="1">
        <v>9.4E-2</v>
      </c>
      <c r="O26" s="1">
        <v>0.20399999999999999</v>
      </c>
      <c r="P26" s="1">
        <v>3</v>
      </c>
      <c r="Q26" s="1">
        <v>16</v>
      </c>
      <c r="R26" s="1">
        <v>15</v>
      </c>
      <c r="S26" s="1">
        <v>16</v>
      </c>
      <c r="T26" s="1">
        <v>5</v>
      </c>
      <c r="U26" s="1">
        <v>14</v>
      </c>
      <c r="V26" s="1">
        <v>13</v>
      </c>
      <c r="W26" s="1">
        <v>10</v>
      </c>
      <c r="X26" s="1">
        <v>18</v>
      </c>
      <c r="Y26" s="1">
        <v>19</v>
      </c>
      <c r="Z26" s="1">
        <v>26</v>
      </c>
      <c r="AA26" s="1">
        <v>27</v>
      </c>
      <c r="AB26" s="1">
        <v>8</v>
      </c>
      <c r="AC26" s="1">
        <v>10</v>
      </c>
      <c r="AD26" s="1" t="s">
        <v>520</v>
      </c>
    </row>
    <row r="27" spans="1:30" x14ac:dyDescent="0.25">
      <c r="A27" s="1">
        <v>1610612758</v>
      </c>
      <c r="B27" s="1" t="s">
        <v>522</v>
      </c>
      <c r="C27" s="1">
        <v>1</v>
      </c>
      <c r="D27" s="1">
        <v>1</v>
      </c>
      <c r="E27" s="1">
        <v>0</v>
      </c>
      <c r="F27" s="1">
        <v>1</v>
      </c>
      <c r="G27" s="1">
        <v>48</v>
      </c>
      <c r="H27" s="1">
        <v>0.54900000000000004</v>
      </c>
      <c r="I27" s="1">
        <v>0.315</v>
      </c>
      <c r="J27" s="1">
        <v>9.4E-2</v>
      </c>
      <c r="K27" s="1">
        <v>0.20399999999999999</v>
      </c>
      <c r="L27" s="1">
        <v>0.54800000000000004</v>
      </c>
      <c r="M27" s="1">
        <v>0.23699999999999999</v>
      </c>
      <c r="N27" s="1">
        <v>0.123</v>
      </c>
      <c r="O27" s="1">
        <v>0.245</v>
      </c>
      <c r="P27" s="1">
        <v>3</v>
      </c>
      <c r="Q27" s="1">
        <v>2</v>
      </c>
      <c r="R27" s="1">
        <v>1</v>
      </c>
      <c r="S27" s="1">
        <v>1</v>
      </c>
      <c r="T27" s="1">
        <v>5</v>
      </c>
      <c r="U27" s="1">
        <v>13</v>
      </c>
      <c r="V27" s="1">
        <v>4</v>
      </c>
      <c r="W27" s="1">
        <v>4</v>
      </c>
      <c r="X27" s="1">
        <v>22</v>
      </c>
      <c r="Y27" s="1">
        <v>18</v>
      </c>
      <c r="Z27" s="1">
        <v>18</v>
      </c>
      <c r="AA27" s="1">
        <v>21</v>
      </c>
      <c r="AB27" s="1">
        <v>13</v>
      </c>
      <c r="AC27" s="1">
        <v>10</v>
      </c>
      <c r="AD27" s="1" t="s">
        <v>522</v>
      </c>
    </row>
    <row r="28" spans="1:30" x14ac:dyDescent="0.25">
      <c r="A28" s="1">
        <v>1610612759</v>
      </c>
      <c r="B28" s="1" t="s">
        <v>525</v>
      </c>
      <c r="C28" s="1">
        <v>1</v>
      </c>
      <c r="D28" s="1">
        <v>1</v>
      </c>
      <c r="E28" s="1">
        <v>0</v>
      </c>
      <c r="F28" s="1">
        <v>1</v>
      </c>
      <c r="G28" s="1">
        <v>48</v>
      </c>
      <c r="H28" s="1">
        <v>0.56599999999999995</v>
      </c>
      <c r="I28" s="1">
        <v>0.184</v>
      </c>
      <c r="J28" s="1">
        <v>8.3000000000000004E-2</v>
      </c>
      <c r="K28" s="1">
        <v>0.38500000000000001</v>
      </c>
      <c r="L28" s="1">
        <v>0.45900000000000002</v>
      </c>
      <c r="M28" s="1">
        <v>0.26700000000000002</v>
      </c>
      <c r="N28" s="1">
        <v>0.16800000000000001</v>
      </c>
      <c r="O28" s="1">
        <v>0.34</v>
      </c>
      <c r="P28" s="1">
        <v>3</v>
      </c>
      <c r="Q28" s="1">
        <v>2</v>
      </c>
      <c r="R28" s="1">
        <v>1</v>
      </c>
      <c r="S28" s="1">
        <v>1</v>
      </c>
      <c r="T28" s="1">
        <v>5</v>
      </c>
      <c r="U28" s="1">
        <v>8</v>
      </c>
      <c r="V28" s="1">
        <v>22</v>
      </c>
      <c r="W28" s="1">
        <v>3</v>
      </c>
      <c r="X28" s="1">
        <v>1</v>
      </c>
      <c r="Y28" s="1">
        <v>6</v>
      </c>
      <c r="Z28" s="1">
        <v>24</v>
      </c>
      <c r="AA28" s="1">
        <v>9</v>
      </c>
      <c r="AB28" s="1">
        <v>28</v>
      </c>
      <c r="AC28" s="1">
        <v>10</v>
      </c>
      <c r="AD28" s="1" t="s">
        <v>525</v>
      </c>
    </row>
    <row r="29" spans="1:30" x14ac:dyDescent="0.25">
      <c r="A29" s="1">
        <v>1610612761</v>
      </c>
      <c r="B29" s="1" t="s">
        <v>526</v>
      </c>
      <c r="C29" s="1">
        <v>1</v>
      </c>
      <c r="D29" s="1">
        <v>0</v>
      </c>
      <c r="E29" s="1">
        <v>1</v>
      </c>
      <c r="F29" s="1">
        <v>0</v>
      </c>
      <c r="G29" s="1">
        <v>48</v>
      </c>
      <c r="H29" s="1">
        <v>0.34499999999999997</v>
      </c>
      <c r="I29" s="1">
        <v>0.22700000000000001</v>
      </c>
      <c r="J29" s="1">
        <v>0.17799999999999999</v>
      </c>
      <c r="K29" s="1">
        <v>0.30399999999999999</v>
      </c>
      <c r="L29" s="1">
        <v>0.47499999999999998</v>
      </c>
      <c r="M29" s="1">
        <v>0.32100000000000001</v>
      </c>
      <c r="N29" s="1">
        <v>0.20799999999999999</v>
      </c>
      <c r="O29" s="1">
        <v>0.2</v>
      </c>
      <c r="P29" s="1">
        <v>3</v>
      </c>
      <c r="Q29" s="1">
        <v>16</v>
      </c>
      <c r="R29" s="1">
        <v>15</v>
      </c>
      <c r="S29" s="1">
        <v>16</v>
      </c>
      <c r="T29" s="1">
        <v>5</v>
      </c>
      <c r="U29" s="1">
        <v>30</v>
      </c>
      <c r="V29" s="1">
        <v>15</v>
      </c>
      <c r="W29" s="1">
        <v>26</v>
      </c>
      <c r="X29" s="1">
        <v>6</v>
      </c>
      <c r="Y29" s="1">
        <v>8</v>
      </c>
      <c r="Z29" s="1">
        <v>27</v>
      </c>
      <c r="AA29" s="1">
        <v>2</v>
      </c>
      <c r="AB29" s="1">
        <v>7</v>
      </c>
      <c r="AC29" s="1">
        <v>10</v>
      </c>
      <c r="AD29" s="1" t="s">
        <v>526</v>
      </c>
    </row>
    <row r="30" spans="1:30" x14ac:dyDescent="0.25">
      <c r="A30" s="1">
        <v>1610612762</v>
      </c>
      <c r="B30" s="1" t="s">
        <v>528</v>
      </c>
      <c r="C30" s="1">
        <v>1</v>
      </c>
      <c r="D30" s="1">
        <v>1</v>
      </c>
      <c r="E30" s="1">
        <v>0</v>
      </c>
      <c r="F30" s="1">
        <v>1</v>
      </c>
      <c r="G30" s="1">
        <v>48</v>
      </c>
      <c r="H30" s="1">
        <v>0.51600000000000001</v>
      </c>
      <c r="I30" s="1">
        <v>0.16500000000000001</v>
      </c>
      <c r="J30" s="1">
        <v>0.104</v>
      </c>
      <c r="K30" s="1">
        <v>0.27500000000000002</v>
      </c>
      <c r="L30" s="1">
        <v>0.41199999999999998</v>
      </c>
      <c r="M30" s="1">
        <v>0.19800000000000001</v>
      </c>
      <c r="N30" s="1">
        <v>0.158</v>
      </c>
      <c r="O30" s="1">
        <v>0.29499999999999998</v>
      </c>
      <c r="P30" s="1">
        <v>3</v>
      </c>
      <c r="Q30" s="1">
        <v>2</v>
      </c>
      <c r="R30" s="1">
        <v>1</v>
      </c>
      <c r="S30" s="1">
        <v>1</v>
      </c>
      <c r="T30" s="1">
        <v>5</v>
      </c>
      <c r="U30" s="1">
        <v>17</v>
      </c>
      <c r="V30" s="1">
        <v>24</v>
      </c>
      <c r="W30" s="1">
        <v>6</v>
      </c>
      <c r="X30" s="1">
        <v>12</v>
      </c>
      <c r="Y30" s="1">
        <v>3</v>
      </c>
      <c r="Z30" s="1">
        <v>14</v>
      </c>
      <c r="AA30" s="1">
        <v>12</v>
      </c>
      <c r="AB30" s="1">
        <v>23</v>
      </c>
      <c r="AC30" s="1">
        <v>10</v>
      </c>
      <c r="AD30" s="1" t="s">
        <v>528</v>
      </c>
    </row>
    <row r="31" spans="1:30" x14ac:dyDescent="0.25">
      <c r="A31" s="1">
        <v>1610612764</v>
      </c>
      <c r="B31" s="1" t="s">
        <v>530</v>
      </c>
      <c r="C31" s="1">
        <v>1</v>
      </c>
      <c r="D31" s="1">
        <v>1</v>
      </c>
      <c r="E31" s="1">
        <v>0</v>
      </c>
      <c r="F31" s="1">
        <v>1</v>
      </c>
      <c r="G31" s="1">
        <v>48</v>
      </c>
      <c r="H31" s="1">
        <v>0.47499999999999998</v>
      </c>
      <c r="I31" s="1">
        <v>0.32100000000000001</v>
      </c>
      <c r="J31" s="1">
        <v>0.20799999999999999</v>
      </c>
      <c r="K31" s="1">
        <v>0.2</v>
      </c>
      <c r="L31" s="1">
        <v>0.34499999999999997</v>
      </c>
      <c r="M31" s="1">
        <v>0.22700000000000001</v>
      </c>
      <c r="N31" s="1">
        <v>0.17799999999999999</v>
      </c>
      <c r="O31" s="1">
        <v>0.30399999999999999</v>
      </c>
      <c r="P31" s="1">
        <v>3</v>
      </c>
      <c r="Q31" s="1">
        <v>2</v>
      </c>
      <c r="R31" s="1">
        <v>1</v>
      </c>
      <c r="S31" s="1">
        <v>1</v>
      </c>
      <c r="T31" s="1">
        <v>5</v>
      </c>
      <c r="U31" s="1">
        <v>24</v>
      </c>
      <c r="V31" s="1">
        <v>3</v>
      </c>
      <c r="W31" s="1">
        <v>29</v>
      </c>
      <c r="X31" s="1">
        <v>24</v>
      </c>
      <c r="Y31" s="1">
        <v>1</v>
      </c>
      <c r="Z31" s="1">
        <v>16</v>
      </c>
      <c r="AA31" s="1">
        <v>6</v>
      </c>
      <c r="AB31" s="1">
        <v>25</v>
      </c>
      <c r="AC31" s="1">
        <v>10</v>
      </c>
      <c r="AD31" s="1" t="s">
        <v>530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8BF73-8C81-418E-AFA4-6A65188A5857}">
  <dimension ref="A1:BD31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8" max="8" width="12.23046875" customWidth="1"/>
    <col min="9" max="9" width="12" customWidth="1"/>
    <col min="10" max="10" width="15.61328125" customWidth="1"/>
    <col min="11" max="11" width="13.4609375" customWidth="1"/>
    <col min="12" max="12" width="13.23046875" customWidth="1"/>
    <col min="13" max="13" width="16.84375" customWidth="1"/>
    <col min="14" max="14" width="12.15234375" customWidth="1"/>
    <col min="15" max="15" width="11.84375" customWidth="1"/>
    <col min="16" max="16" width="15.4609375" customWidth="1"/>
    <col min="17" max="17" width="13.61328125" customWidth="1"/>
    <col min="18" max="18" width="13.4609375" customWidth="1"/>
    <col min="19" max="20" width="12" customWidth="1"/>
    <col min="21" max="21" width="12.23046875" customWidth="1"/>
    <col min="22" max="22" width="11.84375" customWidth="1"/>
    <col min="23" max="23" width="12" customWidth="1"/>
    <col min="24" max="24" width="13.3046875" customWidth="1"/>
    <col min="25" max="25" width="10.53515625" customWidth="1"/>
    <col min="26" max="27" width="12" customWidth="1"/>
    <col min="28" max="28" width="15.61328125" customWidth="1"/>
    <col min="29" max="29" width="12" customWidth="1"/>
    <col min="30" max="30" width="10.765625" customWidth="1"/>
    <col min="31" max="31" width="10.3828125" customWidth="1"/>
    <col min="32" max="32" width="15.765625" customWidth="1"/>
    <col min="33" max="33" width="12.921875" customWidth="1"/>
    <col min="34" max="34" width="18.61328125" customWidth="1"/>
    <col min="35" max="35" width="18.3046875" customWidth="1"/>
    <col min="36" max="36" width="21.921875" customWidth="1"/>
    <col min="37" max="37" width="19.765625" customWidth="1"/>
    <col min="38" max="38" width="19.53515625" customWidth="1"/>
    <col min="39" max="39" width="23.15234375" customWidth="1"/>
    <col min="40" max="40" width="18.4609375" customWidth="1"/>
    <col min="41" max="41" width="18.15234375" customWidth="1"/>
    <col min="42" max="42" width="21.84375" customWidth="1"/>
    <col min="43" max="43" width="19.921875" customWidth="1"/>
    <col min="44" max="44" width="19.765625" customWidth="1"/>
    <col min="45" max="46" width="18.3046875" customWidth="1"/>
    <col min="47" max="47" width="18.61328125" customWidth="1"/>
    <col min="48" max="48" width="18.15234375" customWidth="1"/>
    <col min="49" max="49" width="18.3046875" customWidth="1"/>
    <col min="50" max="50" width="19.69140625" customWidth="1"/>
    <col min="51" max="51" width="16.84375" customWidth="1"/>
    <col min="52" max="53" width="18.3046875" customWidth="1"/>
    <col min="54" max="54" width="21.921875" customWidth="1"/>
    <col min="56" max="56" width="13.84375" customWidth="1"/>
  </cols>
  <sheetData>
    <row r="1" spans="1:56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592</v>
      </c>
      <c r="I1" s="1" t="s">
        <v>593</v>
      </c>
      <c r="J1" s="1" t="s">
        <v>594</v>
      </c>
      <c r="K1" s="1" t="s">
        <v>595</v>
      </c>
      <c r="L1" s="1" t="s">
        <v>596</v>
      </c>
      <c r="M1" s="1" t="s">
        <v>597</v>
      </c>
      <c r="N1" s="1" t="s">
        <v>598</v>
      </c>
      <c r="O1" s="1" t="s">
        <v>599</v>
      </c>
      <c r="P1" s="1" t="s">
        <v>600</v>
      </c>
      <c r="Q1" s="1" t="s">
        <v>601</v>
      </c>
      <c r="R1" s="1" t="s">
        <v>602</v>
      </c>
      <c r="S1" s="1" t="s">
        <v>603</v>
      </c>
      <c r="T1" s="1" t="s">
        <v>604</v>
      </c>
      <c r="U1" s="1" t="s">
        <v>605</v>
      </c>
      <c r="V1" s="1" t="s">
        <v>606</v>
      </c>
      <c r="W1" s="1" t="s">
        <v>607</v>
      </c>
      <c r="X1" s="1" t="s">
        <v>608</v>
      </c>
      <c r="Y1" s="1" t="s">
        <v>609</v>
      </c>
      <c r="Z1" s="1" t="s">
        <v>610</v>
      </c>
      <c r="AA1" s="1" t="s">
        <v>611</v>
      </c>
      <c r="AB1" s="1" t="s">
        <v>434</v>
      </c>
      <c r="AC1" s="1" t="s">
        <v>435</v>
      </c>
      <c r="AD1" s="1" t="s">
        <v>436</v>
      </c>
      <c r="AE1" s="1" t="s">
        <v>437</v>
      </c>
      <c r="AF1" s="1" t="s">
        <v>438</v>
      </c>
      <c r="AG1" s="1" t="s">
        <v>439</v>
      </c>
      <c r="AH1" s="1" t="s">
        <v>612</v>
      </c>
      <c r="AI1" s="1" t="s">
        <v>613</v>
      </c>
      <c r="AJ1" s="1" t="s">
        <v>614</v>
      </c>
      <c r="AK1" s="1" t="s">
        <v>615</v>
      </c>
      <c r="AL1" s="1" t="s">
        <v>616</v>
      </c>
      <c r="AM1" s="1" t="s">
        <v>617</v>
      </c>
      <c r="AN1" s="1" t="s">
        <v>618</v>
      </c>
      <c r="AO1" s="1" t="s">
        <v>619</v>
      </c>
      <c r="AP1" s="1" t="s">
        <v>620</v>
      </c>
      <c r="AQ1" s="1" t="s">
        <v>621</v>
      </c>
      <c r="AR1" s="1" t="s">
        <v>622</v>
      </c>
      <c r="AS1" s="1" t="s">
        <v>623</v>
      </c>
      <c r="AT1" s="1" t="s">
        <v>624</v>
      </c>
      <c r="AU1" s="1" t="s">
        <v>625</v>
      </c>
      <c r="AV1" s="1" t="s">
        <v>626</v>
      </c>
      <c r="AW1" s="1" t="s">
        <v>627</v>
      </c>
      <c r="AX1" s="1" t="s">
        <v>628</v>
      </c>
      <c r="AY1" s="1" t="s">
        <v>629</v>
      </c>
      <c r="AZ1" s="1" t="s">
        <v>630</v>
      </c>
      <c r="BA1" s="1" t="s">
        <v>631</v>
      </c>
      <c r="BB1" s="1" t="s">
        <v>460</v>
      </c>
      <c r="BC1" s="1" t="s">
        <v>461</v>
      </c>
      <c r="BD1" s="1" t="s">
        <v>462</v>
      </c>
    </row>
    <row r="2" spans="1:56" x14ac:dyDescent="0.25">
      <c r="A2" s="1">
        <v>1610612737</v>
      </c>
      <c r="B2" s="1" t="s">
        <v>463</v>
      </c>
      <c r="C2" s="1">
        <v>1</v>
      </c>
      <c r="D2" s="1">
        <v>1</v>
      </c>
      <c r="E2" s="1">
        <v>0</v>
      </c>
      <c r="F2" s="1">
        <v>1</v>
      </c>
      <c r="G2" s="1">
        <v>48</v>
      </c>
      <c r="H2" s="1">
        <v>31</v>
      </c>
      <c r="I2" s="1">
        <v>93</v>
      </c>
      <c r="J2" s="1">
        <v>0.33300000000000002</v>
      </c>
      <c r="K2" s="1">
        <v>13</v>
      </c>
      <c r="L2" s="1">
        <v>43</v>
      </c>
      <c r="M2" s="1">
        <v>0.30199999999999999</v>
      </c>
      <c r="N2" s="1">
        <v>12</v>
      </c>
      <c r="O2" s="1">
        <v>13</v>
      </c>
      <c r="P2" s="1">
        <v>0.92300000000000004</v>
      </c>
      <c r="Q2" s="1">
        <v>10</v>
      </c>
      <c r="R2" s="1">
        <v>40</v>
      </c>
      <c r="S2" s="1" t="s">
        <v>632</v>
      </c>
      <c r="T2" s="1">
        <v>16</v>
      </c>
      <c r="U2" s="1" t="s">
        <v>481</v>
      </c>
      <c r="V2" s="1">
        <v>7</v>
      </c>
      <c r="W2" s="1">
        <v>3</v>
      </c>
      <c r="X2" s="1">
        <v>9</v>
      </c>
      <c r="Y2" s="1">
        <v>21</v>
      </c>
      <c r="Z2" s="1">
        <v>16</v>
      </c>
      <c r="AA2" s="1">
        <v>87</v>
      </c>
      <c r="AB2" s="1" t="s">
        <v>482</v>
      </c>
      <c r="AC2" s="1">
        <v>3</v>
      </c>
      <c r="AD2" s="1">
        <v>2</v>
      </c>
      <c r="AE2" s="1">
        <v>1</v>
      </c>
      <c r="AF2" s="1">
        <v>1</v>
      </c>
      <c r="AG2" s="1">
        <v>3</v>
      </c>
      <c r="AH2" s="1">
        <v>2</v>
      </c>
      <c r="AI2" s="1">
        <v>17</v>
      </c>
      <c r="AJ2" s="1">
        <v>2</v>
      </c>
      <c r="AK2" s="1">
        <v>10</v>
      </c>
      <c r="AL2" s="1">
        <v>25</v>
      </c>
      <c r="AM2" s="1">
        <v>7</v>
      </c>
      <c r="AN2" s="1">
        <v>6</v>
      </c>
      <c r="AO2" s="1">
        <v>5</v>
      </c>
      <c r="AP2" s="1">
        <v>29</v>
      </c>
      <c r="AQ2" s="1">
        <v>15</v>
      </c>
      <c r="AR2" s="1">
        <v>16</v>
      </c>
      <c r="AS2" s="1">
        <v>17</v>
      </c>
      <c r="AT2" s="1">
        <v>2</v>
      </c>
      <c r="AU2" s="1">
        <v>15</v>
      </c>
      <c r="AV2" s="1">
        <v>12</v>
      </c>
      <c r="AW2" s="1">
        <v>5</v>
      </c>
      <c r="AX2" s="1">
        <v>4</v>
      </c>
      <c r="AY2" s="1">
        <v>17</v>
      </c>
      <c r="AZ2" s="1">
        <v>25</v>
      </c>
      <c r="BA2" s="1">
        <v>3</v>
      </c>
      <c r="BB2" s="1">
        <v>2</v>
      </c>
      <c r="BC2" s="1">
        <v>10</v>
      </c>
      <c r="BD2" s="1" t="s">
        <v>463</v>
      </c>
    </row>
    <row r="3" spans="1:56" x14ac:dyDescent="0.25">
      <c r="A3" s="1">
        <v>1610612738</v>
      </c>
      <c r="B3" s="1" t="s">
        <v>466</v>
      </c>
      <c r="C3" s="1">
        <v>1</v>
      </c>
      <c r="D3" s="1">
        <v>0</v>
      </c>
      <c r="E3" s="1">
        <v>1</v>
      </c>
      <c r="F3" s="1">
        <v>0</v>
      </c>
      <c r="G3" s="1">
        <v>58</v>
      </c>
      <c r="H3" s="1">
        <v>51</v>
      </c>
      <c r="I3" s="1">
        <v>105</v>
      </c>
      <c r="J3" s="1">
        <v>0.48599999999999999</v>
      </c>
      <c r="K3" s="1">
        <v>17</v>
      </c>
      <c r="L3" s="1">
        <v>45</v>
      </c>
      <c r="M3" s="1">
        <v>0.378</v>
      </c>
      <c r="N3" s="1">
        <v>19</v>
      </c>
      <c r="O3" s="1">
        <v>27</v>
      </c>
      <c r="P3" s="1">
        <v>0.70399999999999996</v>
      </c>
      <c r="Q3" s="1">
        <v>7</v>
      </c>
      <c r="R3" s="1">
        <v>48</v>
      </c>
      <c r="S3" s="1" t="s">
        <v>633</v>
      </c>
      <c r="T3" s="1">
        <v>27</v>
      </c>
      <c r="U3" s="1" t="s">
        <v>484</v>
      </c>
      <c r="V3" s="1">
        <v>9</v>
      </c>
      <c r="W3" s="1">
        <v>10</v>
      </c>
      <c r="X3" s="1">
        <v>9</v>
      </c>
      <c r="Y3" s="1">
        <v>22</v>
      </c>
      <c r="Z3" s="1">
        <v>24</v>
      </c>
      <c r="AA3" s="1">
        <v>138</v>
      </c>
      <c r="AB3" s="1" t="s">
        <v>511</v>
      </c>
      <c r="AC3" s="1">
        <v>3</v>
      </c>
      <c r="AD3" s="1">
        <v>16</v>
      </c>
      <c r="AE3" s="1">
        <v>15</v>
      </c>
      <c r="AF3" s="1">
        <v>16</v>
      </c>
      <c r="AG3" s="1">
        <v>1</v>
      </c>
      <c r="AH3" s="1">
        <v>29</v>
      </c>
      <c r="AI3" s="1">
        <v>27</v>
      </c>
      <c r="AJ3" s="1">
        <v>23</v>
      </c>
      <c r="AK3" s="1">
        <v>25</v>
      </c>
      <c r="AL3" s="1">
        <v>26</v>
      </c>
      <c r="AM3" s="1">
        <v>17</v>
      </c>
      <c r="AN3" s="1">
        <v>23</v>
      </c>
      <c r="AO3" s="1">
        <v>24</v>
      </c>
      <c r="AP3" s="1">
        <v>11</v>
      </c>
      <c r="AQ3" s="1">
        <v>6</v>
      </c>
      <c r="AR3" s="1">
        <v>29</v>
      </c>
      <c r="AS3" s="1">
        <v>28</v>
      </c>
      <c r="AT3" s="1">
        <v>20</v>
      </c>
      <c r="AU3" s="1">
        <v>4</v>
      </c>
      <c r="AV3" s="1">
        <v>20</v>
      </c>
      <c r="AW3" s="1">
        <v>28</v>
      </c>
      <c r="AX3" s="1">
        <v>4</v>
      </c>
      <c r="AY3" s="1">
        <v>21</v>
      </c>
      <c r="AZ3" s="1">
        <v>5</v>
      </c>
      <c r="BA3" s="1">
        <v>30</v>
      </c>
      <c r="BB3" s="1">
        <v>18</v>
      </c>
      <c r="BC3" s="1">
        <v>10</v>
      </c>
      <c r="BD3" s="1" t="s">
        <v>466</v>
      </c>
    </row>
    <row r="4" spans="1:56" x14ac:dyDescent="0.25">
      <c r="A4" s="1">
        <v>1610612751</v>
      </c>
      <c r="B4" s="1" t="s">
        <v>469</v>
      </c>
      <c r="C4" s="1">
        <v>1</v>
      </c>
      <c r="D4" s="1">
        <v>0</v>
      </c>
      <c r="E4" s="1">
        <v>1</v>
      </c>
      <c r="F4" s="1">
        <v>0</v>
      </c>
      <c r="G4" s="1">
        <v>48</v>
      </c>
      <c r="H4" s="1">
        <v>48</v>
      </c>
      <c r="I4" s="1">
        <v>105</v>
      </c>
      <c r="J4" s="1">
        <v>0.45700000000000002</v>
      </c>
      <c r="K4" s="1">
        <v>17</v>
      </c>
      <c r="L4" s="1">
        <v>45</v>
      </c>
      <c r="M4" s="1">
        <v>0.378</v>
      </c>
      <c r="N4" s="1">
        <v>14</v>
      </c>
      <c r="O4" s="1">
        <v>18</v>
      </c>
      <c r="P4" s="1">
        <v>0.77800000000000002</v>
      </c>
      <c r="Q4" s="1">
        <v>13</v>
      </c>
      <c r="R4" s="1">
        <v>41</v>
      </c>
      <c r="S4" s="1" t="s">
        <v>634</v>
      </c>
      <c r="T4" s="1">
        <v>25</v>
      </c>
      <c r="U4" s="1" t="s">
        <v>472</v>
      </c>
      <c r="V4" s="1">
        <v>8</v>
      </c>
      <c r="W4" s="1">
        <v>9</v>
      </c>
      <c r="X4" s="1">
        <v>9</v>
      </c>
      <c r="Y4" s="1">
        <v>19</v>
      </c>
      <c r="Z4" s="1">
        <v>17</v>
      </c>
      <c r="AA4" s="1">
        <v>127</v>
      </c>
      <c r="AB4" s="1" t="s">
        <v>635</v>
      </c>
      <c r="AC4" s="1">
        <v>3</v>
      </c>
      <c r="AD4" s="1">
        <v>16</v>
      </c>
      <c r="AE4" s="1">
        <v>15</v>
      </c>
      <c r="AF4" s="1">
        <v>16</v>
      </c>
      <c r="AG4" s="1">
        <v>3</v>
      </c>
      <c r="AH4" s="1">
        <v>26</v>
      </c>
      <c r="AI4" s="1">
        <v>27</v>
      </c>
      <c r="AJ4" s="1">
        <v>18</v>
      </c>
      <c r="AK4" s="1">
        <v>25</v>
      </c>
      <c r="AL4" s="1">
        <v>26</v>
      </c>
      <c r="AM4" s="1">
        <v>17</v>
      </c>
      <c r="AN4" s="1">
        <v>14</v>
      </c>
      <c r="AO4" s="1">
        <v>10</v>
      </c>
      <c r="AP4" s="1">
        <v>18</v>
      </c>
      <c r="AQ4" s="1">
        <v>23</v>
      </c>
      <c r="AR4" s="1">
        <v>20</v>
      </c>
      <c r="AS4" s="1">
        <v>26</v>
      </c>
      <c r="AT4" s="1">
        <v>16</v>
      </c>
      <c r="AU4" s="1">
        <v>28</v>
      </c>
      <c r="AV4" s="1">
        <v>14</v>
      </c>
      <c r="AW4" s="1">
        <v>25</v>
      </c>
      <c r="AX4" s="1">
        <v>4</v>
      </c>
      <c r="AY4" s="1">
        <v>11</v>
      </c>
      <c r="AZ4" s="1">
        <v>22</v>
      </c>
      <c r="BA4" s="1">
        <v>27</v>
      </c>
      <c r="BB4" s="1">
        <v>28</v>
      </c>
      <c r="BC4" s="1">
        <v>10</v>
      </c>
      <c r="BD4" s="1" t="s">
        <v>469</v>
      </c>
    </row>
    <row r="5" spans="1:56" x14ac:dyDescent="0.25">
      <c r="A5" s="1">
        <v>1610612766</v>
      </c>
      <c r="B5" s="1" t="s">
        <v>471</v>
      </c>
      <c r="C5" s="1">
        <v>1</v>
      </c>
      <c r="D5" s="1">
        <v>1</v>
      </c>
      <c r="E5" s="1">
        <v>0</v>
      </c>
      <c r="F5" s="1">
        <v>1</v>
      </c>
      <c r="G5" s="1">
        <v>48</v>
      </c>
      <c r="H5" s="1">
        <v>42</v>
      </c>
      <c r="I5" s="1">
        <v>90</v>
      </c>
      <c r="J5" s="1">
        <v>0.46700000000000003</v>
      </c>
      <c r="K5" s="1">
        <v>17</v>
      </c>
      <c r="L5" s="1">
        <v>47</v>
      </c>
      <c r="M5" s="1">
        <v>0.36199999999999999</v>
      </c>
      <c r="N5" s="1">
        <v>21</v>
      </c>
      <c r="O5" s="1">
        <v>24</v>
      </c>
      <c r="P5" s="1">
        <v>0.875</v>
      </c>
      <c r="Q5" s="1">
        <v>8</v>
      </c>
      <c r="R5" s="1">
        <v>43</v>
      </c>
      <c r="S5" s="1" t="s">
        <v>636</v>
      </c>
      <c r="T5" s="1">
        <v>29</v>
      </c>
      <c r="U5" s="1" t="s">
        <v>475</v>
      </c>
      <c r="V5" s="1">
        <v>2</v>
      </c>
      <c r="W5" s="1">
        <v>10</v>
      </c>
      <c r="X5" s="1">
        <v>5</v>
      </c>
      <c r="Y5" s="1">
        <v>24</v>
      </c>
      <c r="Z5" s="1">
        <v>21</v>
      </c>
      <c r="AA5" s="1">
        <v>122</v>
      </c>
      <c r="AB5" s="1" t="s">
        <v>494</v>
      </c>
      <c r="AC5" s="1">
        <v>3</v>
      </c>
      <c r="AD5" s="1">
        <v>2</v>
      </c>
      <c r="AE5" s="1">
        <v>1</v>
      </c>
      <c r="AF5" s="1">
        <v>1</v>
      </c>
      <c r="AG5" s="1">
        <v>3</v>
      </c>
      <c r="AH5" s="1">
        <v>14</v>
      </c>
      <c r="AI5" s="1">
        <v>11</v>
      </c>
      <c r="AJ5" s="1">
        <v>19</v>
      </c>
      <c r="AK5" s="1">
        <v>25</v>
      </c>
      <c r="AL5" s="1">
        <v>28</v>
      </c>
      <c r="AM5" s="1">
        <v>14</v>
      </c>
      <c r="AN5" s="1">
        <v>26</v>
      </c>
      <c r="AO5" s="1">
        <v>22</v>
      </c>
      <c r="AP5" s="1">
        <v>27</v>
      </c>
      <c r="AQ5" s="1">
        <v>10</v>
      </c>
      <c r="AR5" s="1">
        <v>25</v>
      </c>
      <c r="AS5" s="1">
        <v>20</v>
      </c>
      <c r="AT5" s="1">
        <v>24</v>
      </c>
      <c r="AU5" s="1">
        <v>10</v>
      </c>
      <c r="AV5" s="1">
        <v>1</v>
      </c>
      <c r="AW5" s="1">
        <v>28</v>
      </c>
      <c r="AX5" s="1">
        <v>11</v>
      </c>
      <c r="AY5" s="1">
        <v>26</v>
      </c>
      <c r="AZ5" s="1">
        <v>13</v>
      </c>
      <c r="BA5" s="1">
        <v>22</v>
      </c>
      <c r="BB5" s="1">
        <v>14</v>
      </c>
      <c r="BC5" s="1">
        <v>10</v>
      </c>
      <c r="BD5" s="1" t="s">
        <v>471</v>
      </c>
    </row>
    <row r="6" spans="1:56" x14ac:dyDescent="0.25">
      <c r="A6" s="1">
        <v>1610612741</v>
      </c>
      <c r="B6" s="1" t="s">
        <v>474</v>
      </c>
      <c r="C6" s="1">
        <v>1</v>
      </c>
      <c r="D6" s="1">
        <v>1</v>
      </c>
      <c r="E6" s="1">
        <v>0</v>
      </c>
      <c r="F6" s="1">
        <v>1</v>
      </c>
      <c r="G6" s="1">
        <v>48</v>
      </c>
      <c r="H6" s="1">
        <v>36</v>
      </c>
      <c r="I6" s="1">
        <v>90</v>
      </c>
      <c r="J6" s="1">
        <v>0.4</v>
      </c>
      <c r="K6" s="1">
        <v>6</v>
      </c>
      <c r="L6" s="1">
        <v>28</v>
      </c>
      <c r="M6" s="1">
        <v>0.214</v>
      </c>
      <c r="N6" s="1">
        <v>10</v>
      </c>
      <c r="O6" s="1">
        <v>13</v>
      </c>
      <c r="P6" s="1">
        <v>0.76900000000000002</v>
      </c>
      <c r="Q6" s="1">
        <v>11</v>
      </c>
      <c r="R6" s="1">
        <v>36</v>
      </c>
      <c r="S6" s="1" t="s">
        <v>637</v>
      </c>
      <c r="T6" s="1">
        <v>17</v>
      </c>
      <c r="U6" s="1" t="s">
        <v>475</v>
      </c>
      <c r="V6" s="1">
        <v>7</v>
      </c>
      <c r="W6" s="1">
        <v>5</v>
      </c>
      <c r="X6" s="1">
        <v>5</v>
      </c>
      <c r="Y6" s="1">
        <v>16</v>
      </c>
      <c r="Z6" s="1">
        <v>19</v>
      </c>
      <c r="AA6" s="1">
        <v>88</v>
      </c>
      <c r="AB6" s="1" t="s">
        <v>487</v>
      </c>
      <c r="AC6" s="1">
        <v>3</v>
      </c>
      <c r="AD6" s="1">
        <v>2</v>
      </c>
      <c r="AE6" s="1">
        <v>1</v>
      </c>
      <c r="AF6" s="1">
        <v>1</v>
      </c>
      <c r="AG6" s="1">
        <v>3</v>
      </c>
      <c r="AH6" s="1">
        <v>6</v>
      </c>
      <c r="AI6" s="1">
        <v>11</v>
      </c>
      <c r="AJ6" s="1">
        <v>5</v>
      </c>
      <c r="AK6" s="1">
        <v>2</v>
      </c>
      <c r="AL6" s="1">
        <v>4</v>
      </c>
      <c r="AM6" s="1">
        <v>4</v>
      </c>
      <c r="AN6" s="1">
        <v>4</v>
      </c>
      <c r="AO6" s="1">
        <v>5</v>
      </c>
      <c r="AP6" s="1">
        <v>16</v>
      </c>
      <c r="AQ6" s="1">
        <v>18</v>
      </c>
      <c r="AR6" s="1">
        <v>13</v>
      </c>
      <c r="AS6" s="1">
        <v>13</v>
      </c>
      <c r="AT6" s="1">
        <v>3</v>
      </c>
      <c r="AU6" s="1">
        <v>10</v>
      </c>
      <c r="AV6" s="1">
        <v>12</v>
      </c>
      <c r="AW6" s="1">
        <v>13</v>
      </c>
      <c r="AX6" s="1">
        <v>11</v>
      </c>
      <c r="AY6" s="1">
        <v>4</v>
      </c>
      <c r="AZ6" s="1">
        <v>18</v>
      </c>
      <c r="BA6" s="1">
        <v>4</v>
      </c>
      <c r="BB6" s="1">
        <v>10</v>
      </c>
      <c r="BC6" s="1">
        <v>10</v>
      </c>
      <c r="BD6" s="1" t="s">
        <v>474</v>
      </c>
    </row>
    <row r="7" spans="1:56" x14ac:dyDescent="0.25">
      <c r="A7" s="1">
        <v>1610612739</v>
      </c>
      <c r="B7" s="1" t="s">
        <v>477</v>
      </c>
      <c r="C7" s="1">
        <v>1</v>
      </c>
      <c r="D7" s="1">
        <v>0</v>
      </c>
      <c r="E7" s="1">
        <v>1</v>
      </c>
      <c r="F7" s="1">
        <v>0</v>
      </c>
      <c r="G7" s="1">
        <v>48</v>
      </c>
      <c r="H7" s="1">
        <v>53</v>
      </c>
      <c r="I7" s="1">
        <v>100</v>
      </c>
      <c r="J7" s="1">
        <v>0.53</v>
      </c>
      <c r="K7" s="1">
        <v>14</v>
      </c>
      <c r="L7" s="1">
        <v>33</v>
      </c>
      <c r="M7" s="1">
        <v>0.42399999999999999</v>
      </c>
      <c r="N7" s="1">
        <v>12</v>
      </c>
      <c r="O7" s="1">
        <v>12</v>
      </c>
      <c r="P7" s="1">
        <v>1</v>
      </c>
      <c r="Q7" s="1">
        <v>13</v>
      </c>
      <c r="R7" s="1">
        <v>40</v>
      </c>
      <c r="S7" s="1" t="s">
        <v>638</v>
      </c>
      <c r="T7" s="1">
        <v>28</v>
      </c>
      <c r="U7" s="1" t="s">
        <v>485</v>
      </c>
      <c r="V7" s="1">
        <v>8</v>
      </c>
      <c r="W7" s="1">
        <v>8</v>
      </c>
      <c r="X7" s="1">
        <v>5</v>
      </c>
      <c r="Y7" s="1">
        <v>15</v>
      </c>
      <c r="Z7" s="1">
        <v>17</v>
      </c>
      <c r="AA7" s="1">
        <v>132</v>
      </c>
      <c r="AB7" s="1" t="s">
        <v>478</v>
      </c>
      <c r="AC7" s="1">
        <v>3</v>
      </c>
      <c r="AD7" s="1">
        <v>16</v>
      </c>
      <c r="AE7" s="1">
        <v>15</v>
      </c>
      <c r="AF7" s="1">
        <v>16</v>
      </c>
      <c r="AG7" s="1">
        <v>3</v>
      </c>
      <c r="AH7" s="1">
        <v>30</v>
      </c>
      <c r="AI7" s="1">
        <v>26</v>
      </c>
      <c r="AJ7" s="1">
        <v>29</v>
      </c>
      <c r="AK7" s="1">
        <v>15</v>
      </c>
      <c r="AL7" s="1">
        <v>10</v>
      </c>
      <c r="AM7" s="1">
        <v>23</v>
      </c>
      <c r="AN7" s="1">
        <v>6</v>
      </c>
      <c r="AO7" s="1">
        <v>4</v>
      </c>
      <c r="AP7" s="1">
        <v>30</v>
      </c>
      <c r="AQ7" s="1">
        <v>23</v>
      </c>
      <c r="AR7" s="1">
        <v>16</v>
      </c>
      <c r="AS7" s="1">
        <v>23</v>
      </c>
      <c r="AT7" s="1">
        <v>22</v>
      </c>
      <c r="AU7" s="1">
        <v>23</v>
      </c>
      <c r="AV7" s="1">
        <v>14</v>
      </c>
      <c r="AW7" s="1">
        <v>23</v>
      </c>
      <c r="AX7" s="1">
        <v>11</v>
      </c>
      <c r="AY7" s="1">
        <v>2</v>
      </c>
      <c r="AZ7" s="1">
        <v>22</v>
      </c>
      <c r="BA7" s="1">
        <v>28</v>
      </c>
      <c r="BB7" s="1">
        <v>22</v>
      </c>
      <c r="BC7" s="1">
        <v>10</v>
      </c>
      <c r="BD7" s="1" t="s">
        <v>477</v>
      </c>
    </row>
    <row r="8" spans="1:56" x14ac:dyDescent="0.25">
      <c r="A8" s="1">
        <v>1610612742</v>
      </c>
      <c r="B8" s="1" t="s">
        <v>480</v>
      </c>
      <c r="C8" s="1">
        <v>1</v>
      </c>
      <c r="D8" s="1">
        <v>0</v>
      </c>
      <c r="E8" s="1">
        <v>1</v>
      </c>
      <c r="F8" s="1">
        <v>0</v>
      </c>
      <c r="G8" s="1">
        <v>48</v>
      </c>
      <c r="H8" s="1">
        <v>45</v>
      </c>
      <c r="I8" s="1">
        <v>94</v>
      </c>
      <c r="J8" s="1">
        <v>0.47899999999999998</v>
      </c>
      <c r="K8" s="1">
        <v>15</v>
      </c>
      <c r="L8" s="1">
        <v>35</v>
      </c>
      <c r="M8" s="1">
        <v>0.42899999999999999</v>
      </c>
      <c r="N8" s="1">
        <v>8</v>
      </c>
      <c r="O8" s="1">
        <v>9</v>
      </c>
      <c r="P8" s="1">
        <v>0.88900000000000001</v>
      </c>
      <c r="Q8" s="1">
        <v>6</v>
      </c>
      <c r="R8" s="1">
        <v>49</v>
      </c>
      <c r="S8" s="1" t="s">
        <v>633</v>
      </c>
      <c r="T8" s="1">
        <v>31</v>
      </c>
      <c r="U8" s="1" t="s">
        <v>464</v>
      </c>
      <c r="V8" s="1">
        <v>8</v>
      </c>
      <c r="W8" s="1">
        <v>9</v>
      </c>
      <c r="X8" s="1">
        <v>3</v>
      </c>
      <c r="Y8" s="1">
        <v>16</v>
      </c>
      <c r="Z8" s="1">
        <v>21</v>
      </c>
      <c r="AA8" s="1">
        <v>113</v>
      </c>
      <c r="AB8" s="1" t="s">
        <v>465</v>
      </c>
      <c r="AC8" s="1">
        <v>3</v>
      </c>
      <c r="AD8" s="1">
        <v>16</v>
      </c>
      <c r="AE8" s="1">
        <v>15</v>
      </c>
      <c r="AF8" s="1">
        <v>16</v>
      </c>
      <c r="AG8" s="1">
        <v>3</v>
      </c>
      <c r="AH8" s="1">
        <v>22</v>
      </c>
      <c r="AI8" s="1">
        <v>22</v>
      </c>
      <c r="AJ8" s="1">
        <v>20</v>
      </c>
      <c r="AK8" s="1">
        <v>21</v>
      </c>
      <c r="AL8" s="1">
        <v>14</v>
      </c>
      <c r="AM8" s="1">
        <v>24</v>
      </c>
      <c r="AN8" s="1">
        <v>3</v>
      </c>
      <c r="AO8" s="1">
        <v>1</v>
      </c>
      <c r="AP8" s="1">
        <v>28</v>
      </c>
      <c r="AQ8" s="1">
        <v>2</v>
      </c>
      <c r="AR8" s="1">
        <v>30</v>
      </c>
      <c r="AS8" s="1">
        <v>28</v>
      </c>
      <c r="AT8" s="1">
        <v>27</v>
      </c>
      <c r="AU8" s="1">
        <v>19</v>
      </c>
      <c r="AV8" s="1">
        <v>14</v>
      </c>
      <c r="AW8" s="1">
        <v>25</v>
      </c>
      <c r="AX8" s="1">
        <v>22</v>
      </c>
      <c r="AY8" s="1">
        <v>4</v>
      </c>
      <c r="AZ8" s="1">
        <v>13</v>
      </c>
      <c r="BA8" s="1">
        <v>14</v>
      </c>
      <c r="BB8" s="1">
        <v>29</v>
      </c>
      <c r="BC8" s="1">
        <v>10</v>
      </c>
      <c r="BD8" s="1" t="s">
        <v>480</v>
      </c>
    </row>
    <row r="9" spans="1:56" x14ac:dyDescent="0.25">
      <c r="A9" s="1">
        <v>1610612743</v>
      </c>
      <c r="B9" s="1" t="s">
        <v>483</v>
      </c>
      <c r="C9" s="1">
        <v>1</v>
      </c>
      <c r="D9" s="1">
        <v>1</v>
      </c>
      <c r="E9" s="1">
        <v>0</v>
      </c>
      <c r="F9" s="1">
        <v>1</v>
      </c>
      <c r="G9" s="1">
        <v>48</v>
      </c>
      <c r="H9" s="1">
        <v>36</v>
      </c>
      <c r="I9" s="1">
        <v>87</v>
      </c>
      <c r="J9" s="1">
        <v>0.41399999999999998</v>
      </c>
      <c r="K9" s="1">
        <v>14</v>
      </c>
      <c r="L9" s="1">
        <v>37</v>
      </c>
      <c r="M9" s="1">
        <v>0.378</v>
      </c>
      <c r="N9" s="1">
        <v>12</v>
      </c>
      <c r="O9" s="1">
        <v>17</v>
      </c>
      <c r="P9" s="1">
        <v>0.70599999999999996</v>
      </c>
      <c r="Q9" s="1">
        <v>11</v>
      </c>
      <c r="R9" s="1">
        <v>34</v>
      </c>
      <c r="S9" s="1" t="s">
        <v>639</v>
      </c>
      <c r="T9" s="1">
        <v>23</v>
      </c>
      <c r="U9" s="1" t="s">
        <v>467</v>
      </c>
      <c r="V9" s="1">
        <v>9</v>
      </c>
      <c r="W9" s="1">
        <v>3</v>
      </c>
      <c r="X9" s="1">
        <v>1</v>
      </c>
      <c r="Y9" s="1">
        <v>18</v>
      </c>
      <c r="Z9" s="1">
        <v>20</v>
      </c>
      <c r="AA9" s="1">
        <v>98</v>
      </c>
      <c r="AB9" s="1" t="s">
        <v>519</v>
      </c>
      <c r="AC9" s="1">
        <v>3</v>
      </c>
      <c r="AD9" s="1">
        <v>2</v>
      </c>
      <c r="AE9" s="1">
        <v>1</v>
      </c>
      <c r="AF9" s="1">
        <v>1</v>
      </c>
      <c r="AG9" s="1">
        <v>3</v>
      </c>
      <c r="AH9" s="1">
        <v>6</v>
      </c>
      <c r="AI9" s="1">
        <v>8</v>
      </c>
      <c r="AJ9" s="1">
        <v>8</v>
      </c>
      <c r="AK9" s="1">
        <v>15</v>
      </c>
      <c r="AL9" s="1">
        <v>17</v>
      </c>
      <c r="AM9" s="1">
        <v>19</v>
      </c>
      <c r="AN9" s="1">
        <v>6</v>
      </c>
      <c r="AO9" s="1">
        <v>9</v>
      </c>
      <c r="AP9" s="1">
        <v>12</v>
      </c>
      <c r="AQ9" s="1">
        <v>18</v>
      </c>
      <c r="AR9" s="1">
        <v>7</v>
      </c>
      <c r="AS9" s="1">
        <v>9</v>
      </c>
      <c r="AT9" s="1">
        <v>12</v>
      </c>
      <c r="AU9" s="1">
        <v>7</v>
      </c>
      <c r="AV9" s="1">
        <v>20</v>
      </c>
      <c r="AW9" s="1">
        <v>5</v>
      </c>
      <c r="AX9" s="1">
        <v>30</v>
      </c>
      <c r="AY9" s="1">
        <v>9</v>
      </c>
      <c r="AZ9" s="1">
        <v>16</v>
      </c>
      <c r="BA9" s="1">
        <v>9</v>
      </c>
      <c r="BB9" s="1">
        <v>8</v>
      </c>
      <c r="BC9" s="1">
        <v>10</v>
      </c>
      <c r="BD9" s="1" t="s">
        <v>483</v>
      </c>
    </row>
    <row r="10" spans="1:56" x14ac:dyDescent="0.25">
      <c r="A10" s="1">
        <v>1610612765</v>
      </c>
      <c r="B10" s="1" t="s">
        <v>486</v>
      </c>
      <c r="C10" s="1">
        <v>1</v>
      </c>
      <c r="D10" s="1">
        <v>0</v>
      </c>
      <c r="E10" s="1">
        <v>1</v>
      </c>
      <c r="F10" s="1">
        <v>0</v>
      </c>
      <c r="G10" s="1">
        <v>48</v>
      </c>
      <c r="H10" s="1">
        <v>37</v>
      </c>
      <c r="I10" s="1">
        <v>86</v>
      </c>
      <c r="J10" s="1">
        <v>0.43</v>
      </c>
      <c r="K10" s="1">
        <v>7</v>
      </c>
      <c r="L10" s="1">
        <v>23</v>
      </c>
      <c r="M10" s="1">
        <v>0.30399999999999999</v>
      </c>
      <c r="N10" s="1">
        <v>13</v>
      </c>
      <c r="O10" s="1">
        <v>15</v>
      </c>
      <c r="P10" s="1">
        <v>0.86699999999999999</v>
      </c>
      <c r="Q10" s="1">
        <v>9</v>
      </c>
      <c r="R10" s="1">
        <v>39</v>
      </c>
      <c r="S10" s="1" t="s">
        <v>640</v>
      </c>
      <c r="T10" s="1">
        <v>18</v>
      </c>
      <c r="U10" s="1" t="s">
        <v>475</v>
      </c>
      <c r="V10" s="1">
        <v>8</v>
      </c>
      <c r="W10" s="1">
        <v>5</v>
      </c>
      <c r="X10" s="1">
        <v>5</v>
      </c>
      <c r="Y10" s="1">
        <v>19</v>
      </c>
      <c r="Z10" s="1">
        <v>16</v>
      </c>
      <c r="AA10" s="1">
        <v>94</v>
      </c>
      <c r="AB10" s="1" t="s">
        <v>476</v>
      </c>
      <c r="AC10" s="1">
        <v>3</v>
      </c>
      <c r="AD10" s="1">
        <v>16</v>
      </c>
      <c r="AE10" s="1">
        <v>15</v>
      </c>
      <c r="AF10" s="1">
        <v>16</v>
      </c>
      <c r="AG10" s="1">
        <v>3</v>
      </c>
      <c r="AH10" s="1">
        <v>9</v>
      </c>
      <c r="AI10" s="1">
        <v>6</v>
      </c>
      <c r="AJ10" s="1">
        <v>11</v>
      </c>
      <c r="AK10" s="1">
        <v>3</v>
      </c>
      <c r="AL10" s="1">
        <v>1</v>
      </c>
      <c r="AM10" s="1">
        <v>8</v>
      </c>
      <c r="AN10" s="1">
        <v>11</v>
      </c>
      <c r="AO10" s="1">
        <v>7</v>
      </c>
      <c r="AP10" s="1">
        <v>25</v>
      </c>
      <c r="AQ10" s="1">
        <v>12</v>
      </c>
      <c r="AR10" s="1">
        <v>15</v>
      </c>
      <c r="AS10" s="1">
        <v>15</v>
      </c>
      <c r="AT10" s="1">
        <v>5</v>
      </c>
      <c r="AU10" s="1">
        <v>10</v>
      </c>
      <c r="AV10" s="1">
        <v>14</v>
      </c>
      <c r="AW10" s="1">
        <v>13</v>
      </c>
      <c r="AX10" s="1">
        <v>11</v>
      </c>
      <c r="AY10" s="1">
        <v>11</v>
      </c>
      <c r="AZ10" s="1">
        <v>25</v>
      </c>
      <c r="BA10" s="1">
        <v>5</v>
      </c>
      <c r="BB10" s="1">
        <v>19</v>
      </c>
      <c r="BC10" s="1">
        <v>10</v>
      </c>
      <c r="BD10" s="1" t="s">
        <v>486</v>
      </c>
    </row>
    <row r="11" spans="1:56" x14ac:dyDescent="0.25">
      <c r="A11" s="1">
        <v>1610612744</v>
      </c>
      <c r="B11" s="1" t="s">
        <v>488</v>
      </c>
      <c r="C11" s="1">
        <v>2</v>
      </c>
      <c r="D11" s="1">
        <v>2</v>
      </c>
      <c r="E11" s="1">
        <v>0</v>
      </c>
      <c r="F11" s="1">
        <v>1</v>
      </c>
      <c r="G11" s="1">
        <v>48</v>
      </c>
      <c r="H11" s="1">
        <v>43.5</v>
      </c>
      <c r="I11" s="1">
        <v>95.5</v>
      </c>
      <c r="J11" s="1">
        <v>0.45500000000000002</v>
      </c>
      <c r="K11" s="1">
        <v>14.5</v>
      </c>
      <c r="L11" s="1">
        <v>41</v>
      </c>
      <c r="M11" s="1">
        <v>0.35399999999999998</v>
      </c>
      <c r="N11" s="1">
        <v>12</v>
      </c>
      <c r="O11" s="1">
        <v>20</v>
      </c>
      <c r="P11" s="1">
        <v>0.6</v>
      </c>
      <c r="Q11" s="1">
        <v>6.5</v>
      </c>
      <c r="R11" s="1">
        <v>35.5</v>
      </c>
      <c r="S11" s="1" t="s">
        <v>502</v>
      </c>
      <c r="T11" s="1">
        <v>22.5</v>
      </c>
      <c r="U11" s="1" t="s">
        <v>641</v>
      </c>
      <c r="V11" s="1">
        <v>8</v>
      </c>
      <c r="W11" s="1">
        <v>3</v>
      </c>
      <c r="X11" s="1">
        <v>3</v>
      </c>
      <c r="Y11" s="1">
        <v>25</v>
      </c>
      <c r="Z11" s="1">
        <v>19</v>
      </c>
      <c r="AA11" s="1">
        <v>113.5</v>
      </c>
      <c r="AB11" s="1" t="s">
        <v>642</v>
      </c>
      <c r="AC11" s="1">
        <v>1</v>
      </c>
      <c r="AD11" s="1">
        <v>1</v>
      </c>
      <c r="AE11" s="1">
        <v>1</v>
      </c>
      <c r="AF11" s="1">
        <v>1</v>
      </c>
      <c r="AG11" s="1">
        <v>3</v>
      </c>
      <c r="AH11" s="1">
        <v>18</v>
      </c>
      <c r="AI11" s="1">
        <v>23</v>
      </c>
      <c r="AJ11" s="1">
        <v>16</v>
      </c>
      <c r="AK11" s="1">
        <v>20</v>
      </c>
      <c r="AL11" s="1">
        <v>22</v>
      </c>
      <c r="AM11" s="1">
        <v>12</v>
      </c>
      <c r="AN11" s="1">
        <v>6</v>
      </c>
      <c r="AO11" s="1">
        <v>14</v>
      </c>
      <c r="AP11" s="1">
        <v>2</v>
      </c>
      <c r="AQ11" s="1">
        <v>5</v>
      </c>
      <c r="AR11" s="1">
        <v>12</v>
      </c>
      <c r="AS11" s="1">
        <v>4</v>
      </c>
      <c r="AT11" s="1">
        <v>11</v>
      </c>
      <c r="AU11" s="1">
        <v>22</v>
      </c>
      <c r="AV11" s="1">
        <v>14</v>
      </c>
      <c r="AW11" s="1">
        <v>5</v>
      </c>
      <c r="AX11" s="1">
        <v>22</v>
      </c>
      <c r="AY11" s="1">
        <v>28</v>
      </c>
      <c r="AZ11" s="1">
        <v>18</v>
      </c>
      <c r="BA11" s="1">
        <v>15</v>
      </c>
      <c r="BB11" s="1">
        <v>11</v>
      </c>
      <c r="BC11" s="1">
        <v>10</v>
      </c>
      <c r="BD11" s="1" t="s">
        <v>488</v>
      </c>
    </row>
    <row r="12" spans="1:56" x14ac:dyDescent="0.25">
      <c r="A12" s="1">
        <v>1610612745</v>
      </c>
      <c r="B12" s="1" t="s">
        <v>490</v>
      </c>
      <c r="C12" s="1">
        <v>1</v>
      </c>
      <c r="D12" s="1">
        <v>0</v>
      </c>
      <c r="E12" s="1">
        <v>1</v>
      </c>
      <c r="F12" s="1">
        <v>0</v>
      </c>
      <c r="G12" s="1">
        <v>48</v>
      </c>
      <c r="H12" s="1">
        <v>42</v>
      </c>
      <c r="I12" s="1">
        <v>87</v>
      </c>
      <c r="J12" s="1">
        <v>0.48299999999999998</v>
      </c>
      <c r="K12" s="1">
        <v>16</v>
      </c>
      <c r="L12" s="1">
        <v>38</v>
      </c>
      <c r="M12" s="1">
        <v>0.42099999999999999</v>
      </c>
      <c r="N12" s="1">
        <v>24</v>
      </c>
      <c r="O12" s="1">
        <v>31</v>
      </c>
      <c r="P12" s="1">
        <v>0.77400000000000002</v>
      </c>
      <c r="Q12" s="1">
        <v>13</v>
      </c>
      <c r="R12" s="1">
        <v>33</v>
      </c>
      <c r="S12" s="1" t="s">
        <v>643</v>
      </c>
      <c r="T12" s="1">
        <v>26</v>
      </c>
      <c r="U12" s="1" t="s">
        <v>467</v>
      </c>
      <c r="V12" s="1">
        <v>18</v>
      </c>
      <c r="W12" s="1">
        <v>12</v>
      </c>
      <c r="X12" s="1">
        <v>3</v>
      </c>
      <c r="Y12" s="1">
        <v>22</v>
      </c>
      <c r="Z12" s="1">
        <v>25</v>
      </c>
      <c r="AA12" s="1">
        <v>124</v>
      </c>
      <c r="AB12" s="1" t="s">
        <v>467</v>
      </c>
      <c r="AC12" s="1">
        <v>3</v>
      </c>
      <c r="AD12" s="1">
        <v>16</v>
      </c>
      <c r="AE12" s="1">
        <v>15</v>
      </c>
      <c r="AF12" s="1">
        <v>16</v>
      </c>
      <c r="AG12" s="1">
        <v>3</v>
      </c>
      <c r="AH12" s="1">
        <v>14</v>
      </c>
      <c r="AI12" s="1">
        <v>8</v>
      </c>
      <c r="AJ12" s="1">
        <v>21</v>
      </c>
      <c r="AK12" s="1">
        <v>23</v>
      </c>
      <c r="AL12" s="1">
        <v>18</v>
      </c>
      <c r="AM12" s="1">
        <v>22</v>
      </c>
      <c r="AN12" s="1">
        <v>29</v>
      </c>
      <c r="AO12" s="1">
        <v>30</v>
      </c>
      <c r="AP12" s="1">
        <v>17</v>
      </c>
      <c r="AQ12" s="1">
        <v>23</v>
      </c>
      <c r="AR12" s="1">
        <v>5</v>
      </c>
      <c r="AS12" s="1">
        <v>10</v>
      </c>
      <c r="AT12" s="1">
        <v>19</v>
      </c>
      <c r="AU12" s="1">
        <v>7</v>
      </c>
      <c r="AV12" s="1">
        <v>30</v>
      </c>
      <c r="AW12" s="1">
        <v>30</v>
      </c>
      <c r="AX12" s="1">
        <v>22</v>
      </c>
      <c r="AY12" s="1">
        <v>21</v>
      </c>
      <c r="AZ12" s="1">
        <v>2</v>
      </c>
      <c r="BA12" s="1">
        <v>25</v>
      </c>
      <c r="BB12" s="1">
        <v>25</v>
      </c>
      <c r="BC12" s="1">
        <v>10</v>
      </c>
      <c r="BD12" s="1" t="s">
        <v>490</v>
      </c>
    </row>
    <row r="13" spans="1:56" x14ac:dyDescent="0.25">
      <c r="A13" s="1">
        <v>1610612754</v>
      </c>
      <c r="B13" s="1" t="s">
        <v>493</v>
      </c>
      <c r="C13" s="1">
        <v>1</v>
      </c>
      <c r="D13" s="1">
        <v>0</v>
      </c>
      <c r="E13" s="1">
        <v>1</v>
      </c>
      <c r="F13" s="1">
        <v>0</v>
      </c>
      <c r="G13" s="1">
        <v>48</v>
      </c>
      <c r="H13" s="1">
        <v>46</v>
      </c>
      <c r="I13" s="1">
        <v>107</v>
      </c>
      <c r="J13" s="1">
        <v>0.43</v>
      </c>
      <c r="K13" s="1">
        <v>13</v>
      </c>
      <c r="L13" s="1">
        <v>31</v>
      </c>
      <c r="M13" s="1">
        <v>0.41899999999999998</v>
      </c>
      <c r="N13" s="1">
        <v>18</v>
      </c>
      <c r="O13" s="1">
        <v>27</v>
      </c>
      <c r="P13" s="1">
        <v>0.66700000000000004</v>
      </c>
      <c r="Q13" s="1">
        <v>12</v>
      </c>
      <c r="R13" s="1">
        <v>34</v>
      </c>
      <c r="S13" s="1" t="s">
        <v>643</v>
      </c>
      <c r="T13" s="1">
        <v>29</v>
      </c>
      <c r="U13" s="1" t="s">
        <v>472</v>
      </c>
      <c r="V13" s="1">
        <v>9</v>
      </c>
      <c r="W13" s="1">
        <v>5</v>
      </c>
      <c r="X13" s="1">
        <v>10</v>
      </c>
      <c r="Y13" s="1">
        <v>21</v>
      </c>
      <c r="Z13" s="1">
        <v>24</v>
      </c>
      <c r="AA13" s="1">
        <v>123</v>
      </c>
      <c r="AB13" s="1" t="s">
        <v>473</v>
      </c>
      <c r="AC13" s="1">
        <v>3</v>
      </c>
      <c r="AD13" s="1">
        <v>16</v>
      </c>
      <c r="AE13" s="1">
        <v>15</v>
      </c>
      <c r="AF13" s="1">
        <v>16</v>
      </c>
      <c r="AG13" s="1">
        <v>3</v>
      </c>
      <c r="AH13" s="1">
        <v>24</v>
      </c>
      <c r="AI13" s="1">
        <v>29</v>
      </c>
      <c r="AJ13" s="1">
        <v>10</v>
      </c>
      <c r="AK13" s="1">
        <v>10</v>
      </c>
      <c r="AL13" s="1">
        <v>8</v>
      </c>
      <c r="AM13" s="1">
        <v>21</v>
      </c>
      <c r="AN13" s="1">
        <v>21</v>
      </c>
      <c r="AO13" s="1">
        <v>24</v>
      </c>
      <c r="AP13" s="1">
        <v>7</v>
      </c>
      <c r="AQ13" s="1">
        <v>20</v>
      </c>
      <c r="AR13" s="1">
        <v>7</v>
      </c>
      <c r="AS13" s="1">
        <v>10</v>
      </c>
      <c r="AT13" s="1">
        <v>24</v>
      </c>
      <c r="AU13" s="1">
        <v>28</v>
      </c>
      <c r="AV13" s="1">
        <v>20</v>
      </c>
      <c r="AW13" s="1">
        <v>13</v>
      </c>
      <c r="AX13" s="1">
        <v>2</v>
      </c>
      <c r="AY13" s="1">
        <v>17</v>
      </c>
      <c r="AZ13" s="1">
        <v>5</v>
      </c>
      <c r="BA13" s="1">
        <v>23</v>
      </c>
      <c r="BB13" s="1">
        <v>15</v>
      </c>
      <c r="BC13" s="1">
        <v>10</v>
      </c>
      <c r="BD13" s="1" t="s">
        <v>493</v>
      </c>
    </row>
    <row r="14" spans="1:56" x14ac:dyDescent="0.25">
      <c r="A14" s="1">
        <v>1610612746</v>
      </c>
      <c r="B14" s="1" t="s">
        <v>495</v>
      </c>
      <c r="C14" s="1">
        <v>1</v>
      </c>
      <c r="D14" s="1">
        <v>0</v>
      </c>
      <c r="E14" s="1">
        <v>1</v>
      </c>
      <c r="F14" s="1">
        <v>0</v>
      </c>
      <c r="G14" s="1">
        <v>48</v>
      </c>
      <c r="H14" s="1">
        <v>43</v>
      </c>
      <c r="I14" s="1">
        <v>83</v>
      </c>
      <c r="J14" s="1">
        <v>0.51800000000000002</v>
      </c>
      <c r="K14" s="1">
        <v>15</v>
      </c>
      <c r="L14" s="1">
        <v>31</v>
      </c>
      <c r="M14" s="1">
        <v>0.48399999999999999</v>
      </c>
      <c r="N14" s="1">
        <v>14</v>
      </c>
      <c r="O14" s="1">
        <v>22</v>
      </c>
      <c r="P14" s="1">
        <v>0.63600000000000001</v>
      </c>
      <c r="Q14" s="1">
        <v>10</v>
      </c>
      <c r="R14" s="1">
        <v>43</v>
      </c>
      <c r="S14" s="1" t="s">
        <v>638</v>
      </c>
      <c r="T14" s="1">
        <v>27</v>
      </c>
      <c r="U14" s="1" t="s">
        <v>529</v>
      </c>
      <c r="V14" s="1">
        <v>5</v>
      </c>
      <c r="W14" s="1">
        <v>4</v>
      </c>
      <c r="X14" s="1">
        <v>2</v>
      </c>
      <c r="Y14" s="1">
        <v>20</v>
      </c>
      <c r="Z14" s="1">
        <v>25</v>
      </c>
      <c r="AA14" s="1">
        <v>115</v>
      </c>
      <c r="AB14" s="1" t="s">
        <v>644</v>
      </c>
      <c r="AC14" s="1">
        <v>3</v>
      </c>
      <c r="AD14" s="1">
        <v>16</v>
      </c>
      <c r="AE14" s="1">
        <v>15</v>
      </c>
      <c r="AF14" s="1">
        <v>16</v>
      </c>
      <c r="AG14" s="1">
        <v>3</v>
      </c>
      <c r="AH14" s="1">
        <v>17</v>
      </c>
      <c r="AI14" s="1">
        <v>2</v>
      </c>
      <c r="AJ14" s="1">
        <v>28</v>
      </c>
      <c r="AK14" s="1">
        <v>21</v>
      </c>
      <c r="AL14" s="1">
        <v>8</v>
      </c>
      <c r="AM14" s="1">
        <v>29</v>
      </c>
      <c r="AN14" s="1">
        <v>14</v>
      </c>
      <c r="AO14" s="1">
        <v>16</v>
      </c>
      <c r="AP14" s="1">
        <v>5</v>
      </c>
      <c r="AQ14" s="1">
        <v>15</v>
      </c>
      <c r="AR14" s="1">
        <v>25</v>
      </c>
      <c r="AS14" s="1">
        <v>23</v>
      </c>
      <c r="AT14" s="1">
        <v>20</v>
      </c>
      <c r="AU14" s="1">
        <v>3</v>
      </c>
      <c r="AV14" s="1">
        <v>3</v>
      </c>
      <c r="AW14" s="1">
        <v>10</v>
      </c>
      <c r="AX14" s="1">
        <v>27</v>
      </c>
      <c r="AY14" s="1">
        <v>14</v>
      </c>
      <c r="AZ14" s="1">
        <v>2</v>
      </c>
      <c r="BA14" s="1">
        <v>16</v>
      </c>
      <c r="BB14" s="1">
        <v>16</v>
      </c>
      <c r="BC14" s="1">
        <v>10</v>
      </c>
      <c r="BD14" s="1" t="s">
        <v>495</v>
      </c>
    </row>
    <row r="15" spans="1:56" x14ac:dyDescent="0.25">
      <c r="A15" s="1">
        <v>1610612747</v>
      </c>
      <c r="B15" s="1" t="s">
        <v>498</v>
      </c>
      <c r="C15" s="1">
        <v>1</v>
      </c>
      <c r="D15" s="1">
        <v>0</v>
      </c>
      <c r="E15" s="1">
        <v>1</v>
      </c>
      <c r="F15" s="1">
        <v>0</v>
      </c>
      <c r="G15" s="1">
        <v>48</v>
      </c>
      <c r="H15" s="1">
        <v>41</v>
      </c>
      <c r="I15" s="1">
        <v>93</v>
      </c>
      <c r="J15" s="1">
        <v>0.441</v>
      </c>
      <c r="K15" s="1">
        <v>14</v>
      </c>
      <c r="L15" s="1">
        <v>39</v>
      </c>
      <c r="M15" s="1">
        <v>0.35899999999999999</v>
      </c>
      <c r="N15" s="1">
        <v>25</v>
      </c>
      <c r="O15" s="1">
        <v>30</v>
      </c>
      <c r="P15" s="1">
        <v>0.83299999999999996</v>
      </c>
      <c r="Q15" s="1">
        <v>9</v>
      </c>
      <c r="R15" s="1">
        <v>41</v>
      </c>
      <c r="S15" s="1" t="s">
        <v>632</v>
      </c>
      <c r="T15" s="1">
        <v>30</v>
      </c>
      <c r="U15" s="1" t="s">
        <v>475</v>
      </c>
      <c r="V15" s="1">
        <v>9</v>
      </c>
      <c r="W15" s="1">
        <v>2</v>
      </c>
      <c r="X15" s="1">
        <v>4</v>
      </c>
      <c r="Y15" s="1">
        <v>18</v>
      </c>
      <c r="Z15" s="1">
        <v>25</v>
      </c>
      <c r="AA15" s="1">
        <v>121</v>
      </c>
      <c r="AB15" s="1" t="s">
        <v>496</v>
      </c>
      <c r="AC15" s="1">
        <v>3</v>
      </c>
      <c r="AD15" s="1">
        <v>16</v>
      </c>
      <c r="AE15" s="1">
        <v>15</v>
      </c>
      <c r="AF15" s="1">
        <v>16</v>
      </c>
      <c r="AG15" s="1">
        <v>3</v>
      </c>
      <c r="AH15" s="1">
        <v>13</v>
      </c>
      <c r="AI15" s="1">
        <v>17</v>
      </c>
      <c r="AJ15" s="1">
        <v>13</v>
      </c>
      <c r="AK15" s="1">
        <v>15</v>
      </c>
      <c r="AL15" s="1">
        <v>20</v>
      </c>
      <c r="AM15" s="1">
        <v>13</v>
      </c>
      <c r="AN15" s="1">
        <v>30</v>
      </c>
      <c r="AO15" s="1">
        <v>29</v>
      </c>
      <c r="AP15" s="1">
        <v>23</v>
      </c>
      <c r="AQ15" s="1">
        <v>12</v>
      </c>
      <c r="AR15" s="1">
        <v>20</v>
      </c>
      <c r="AS15" s="1">
        <v>17</v>
      </c>
      <c r="AT15" s="1">
        <v>26</v>
      </c>
      <c r="AU15" s="1">
        <v>10</v>
      </c>
      <c r="AV15" s="1">
        <v>20</v>
      </c>
      <c r="AW15" s="1">
        <v>3</v>
      </c>
      <c r="AX15" s="1">
        <v>19</v>
      </c>
      <c r="AY15" s="1">
        <v>9</v>
      </c>
      <c r="AZ15" s="1">
        <v>2</v>
      </c>
      <c r="BA15" s="1">
        <v>19</v>
      </c>
      <c r="BB15" s="1">
        <v>20</v>
      </c>
      <c r="BC15" s="1">
        <v>10</v>
      </c>
      <c r="BD15" s="1" t="s">
        <v>498</v>
      </c>
    </row>
    <row r="16" spans="1:56" x14ac:dyDescent="0.25">
      <c r="A16" s="1">
        <v>1610612763</v>
      </c>
      <c r="B16" s="1" t="s">
        <v>500</v>
      </c>
      <c r="C16" s="1">
        <v>1</v>
      </c>
      <c r="D16" s="1">
        <v>1</v>
      </c>
      <c r="E16" s="1">
        <v>0</v>
      </c>
      <c r="F16" s="1">
        <v>1</v>
      </c>
      <c r="G16" s="1">
        <v>48</v>
      </c>
      <c r="H16" s="1">
        <v>47</v>
      </c>
      <c r="I16" s="1">
        <v>93</v>
      </c>
      <c r="J16" s="1">
        <v>0.505</v>
      </c>
      <c r="K16" s="1">
        <v>14</v>
      </c>
      <c r="L16" s="1">
        <v>38</v>
      </c>
      <c r="M16" s="1">
        <v>0.36799999999999999</v>
      </c>
      <c r="N16" s="1">
        <v>13</v>
      </c>
      <c r="O16" s="1">
        <v>18</v>
      </c>
      <c r="P16" s="1">
        <v>0.72199999999999998</v>
      </c>
      <c r="Q16" s="1">
        <v>7</v>
      </c>
      <c r="R16" s="1">
        <v>29</v>
      </c>
      <c r="S16" s="1" t="s">
        <v>645</v>
      </c>
      <c r="T16" s="1">
        <v>38</v>
      </c>
      <c r="U16" s="1" t="s">
        <v>478</v>
      </c>
      <c r="V16" s="1">
        <v>6</v>
      </c>
      <c r="W16" s="1">
        <v>5</v>
      </c>
      <c r="X16" s="1">
        <v>8</v>
      </c>
      <c r="Y16" s="1">
        <v>17</v>
      </c>
      <c r="Z16" s="1">
        <v>15</v>
      </c>
      <c r="AA16" s="1">
        <v>121</v>
      </c>
      <c r="AB16" s="1" t="s">
        <v>479</v>
      </c>
      <c r="AC16" s="1">
        <v>3</v>
      </c>
      <c r="AD16" s="1">
        <v>2</v>
      </c>
      <c r="AE16" s="1">
        <v>1</v>
      </c>
      <c r="AF16" s="1">
        <v>1</v>
      </c>
      <c r="AG16" s="1">
        <v>3</v>
      </c>
      <c r="AH16" s="1">
        <v>25</v>
      </c>
      <c r="AI16" s="1">
        <v>17</v>
      </c>
      <c r="AJ16" s="1">
        <v>26</v>
      </c>
      <c r="AK16" s="1">
        <v>15</v>
      </c>
      <c r="AL16" s="1">
        <v>18</v>
      </c>
      <c r="AM16" s="1">
        <v>15</v>
      </c>
      <c r="AN16" s="1">
        <v>11</v>
      </c>
      <c r="AO16" s="1">
        <v>10</v>
      </c>
      <c r="AP16" s="1">
        <v>13</v>
      </c>
      <c r="AQ16" s="1">
        <v>6</v>
      </c>
      <c r="AR16" s="1">
        <v>1</v>
      </c>
      <c r="AS16" s="1">
        <v>1</v>
      </c>
      <c r="AT16" s="1">
        <v>30</v>
      </c>
      <c r="AU16" s="1">
        <v>25</v>
      </c>
      <c r="AV16" s="1">
        <v>7</v>
      </c>
      <c r="AW16" s="1">
        <v>13</v>
      </c>
      <c r="AX16" s="1">
        <v>7</v>
      </c>
      <c r="AY16" s="1">
        <v>7</v>
      </c>
      <c r="AZ16" s="1">
        <v>28</v>
      </c>
      <c r="BA16" s="1">
        <v>19</v>
      </c>
      <c r="BB16" s="1">
        <v>9</v>
      </c>
      <c r="BC16" s="1">
        <v>10</v>
      </c>
      <c r="BD16" s="1" t="s">
        <v>500</v>
      </c>
    </row>
    <row r="17" spans="1:56" x14ac:dyDescent="0.25">
      <c r="A17" s="1">
        <v>1610612748</v>
      </c>
      <c r="B17" s="1" t="s">
        <v>501</v>
      </c>
      <c r="C17" s="1">
        <v>1</v>
      </c>
      <c r="D17" s="1">
        <v>1</v>
      </c>
      <c r="E17" s="1">
        <v>0</v>
      </c>
      <c r="F17" s="1">
        <v>1</v>
      </c>
      <c r="G17" s="1">
        <v>48</v>
      </c>
      <c r="H17" s="1">
        <v>32</v>
      </c>
      <c r="I17" s="1">
        <v>84</v>
      </c>
      <c r="J17" s="1">
        <v>0.38100000000000001</v>
      </c>
      <c r="K17" s="1">
        <v>12</v>
      </c>
      <c r="L17" s="1">
        <v>42</v>
      </c>
      <c r="M17" s="1">
        <v>0.28599999999999998</v>
      </c>
      <c r="N17" s="1">
        <v>19</v>
      </c>
      <c r="O17" s="1">
        <v>29</v>
      </c>
      <c r="P17" s="1">
        <v>0.65500000000000003</v>
      </c>
      <c r="Q17" s="1">
        <v>5</v>
      </c>
      <c r="R17" s="1">
        <v>33</v>
      </c>
      <c r="S17" s="1" t="s">
        <v>646</v>
      </c>
      <c r="T17" s="1">
        <v>19</v>
      </c>
      <c r="U17" s="1" t="s">
        <v>481</v>
      </c>
      <c r="V17" s="1">
        <v>6</v>
      </c>
      <c r="W17" s="1">
        <v>0</v>
      </c>
      <c r="X17" s="1">
        <v>2</v>
      </c>
      <c r="Y17" s="1">
        <v>26</v>
      </c>
      <c r="Z17" s="1">
        <v>26</v>
      </c>
      <c r="AA17" s="1">
        <v>95</v>
      </c>
      <c r="AB17" s="1" t="s">
        <v>647</v>
      </c>
      <c r="AC17" s="1">
        <v>3</v>
      </c>
      <c r="AD17" s="1">
        <v>2</v>
      </c>
      <c r="AE17" s="1">
        <v>1</v>
      </c>
      <c r="AF17" s="1">
        <v>1</v>
      </c>
      <c r="AG17" s="1">
        <v>3</v>
      </c>
      <c r="AH17" s="1">
        <v>3</v>
      </c>
      <c r="AI17" s="1">
        <v>4</v>
      </c>
      <c r="AJ17" s="1">
        <v>4</v>
      </c>
      <c r="AK17" s="1">
        <v>8</v>
      </c>
      <c r="AL17" s="1">
        <v>24</v>
      </c>
      <c r="AM17" s="1">
        <v>5</v>
      </c>
      <c r="AN17" s="1">
        <v>23</v>
      </c>
      <c r="AO17" s="1">
        <v>27</v>
      </c>
      <c r="AP17" s="1">
        <v>6</v>
      </c>
      <c r="AQ17" s="1">
        <v>1</v>
      </c>
      <c r="AR17" s="1">
        <v>5</v>
      </c>
      <c r="AS17" s="1">
        <v>2</v>
      </c>
      <c r="AT17" s="1">
        <v>7</v>
      </c>
      <c r="AU17" s="1">
        <v>15</v>
      </c>
      <c r="AV17" s="1">
        <v>7</v>
      </c>
      <c r="AW17" s="1">
        <v>1</v>
      </c>
      <c r="AX17" s="1">
        <v>27</v>
      </c>
      <c r="AY17" s="1">
        <v>30</v>
      </c>
      <c r="AZ17" s="1">
        <v>1</v>
      </c>
      <c r="BA17" s="1">
        <v>6</v>
      </c>
      <c r="BB17" s="1">
        <v>1</v>
      </c>
      <c r="BC17" s="1">
        <v>10</v>
      </c>
      <c r="BD17" s="1" t="s">
        <v>501</v>
      </c>
    </row>
    <row r="18" spans="1:56" x14ac:dyDescent="0.25">
      <c r="A18" s="1">
        <v>1610612749</v>
      </c>
      <c r="B18" s="1" t="s">
        <v>503</v>
      </c>
      <c r="C18" s="1">
        <v>2</v>
      </c>
      <c r="D18" s="1">
        <v>1</v>
      </c>
      <c r="E18" s="1">
        <v>1</v>
      </c>
      <c r="F18" s="1">
        <v>0.5</v>
      </c>
      <c r="G18" s="1">
        <v>48</v>
      </c>
      <c r="H18" s="1">
        <v>44</v>
      </c>
      <c r="I18" s="1">
        <v>90</v>
      </c>
      <c r="J18" s="1">
        <v>0.48899999999999999</v>
      </c>
      <c r="K18" s="1">
        <v>16</v>
      </c>
      <c r="L18" s="1">
        <v>33.5</v>
      </c>
      <c r="M18" s="1">
        <v>0.47799999999999998</v>
      </c>
      <c r="N18" s="1">
        <v>16.5</v>
      </c>
      <c r="O18" s="1">
        <v>27</v>
      </c>
      <c r="P18" s="1">
        <v>0.61099999999999999</v>
      </c>
      <c r="Q18" s="1">
        <v>8</v>
      </c>
      <c r="R18" s="1">
        <v>43</v>
      </c>
      <c r="S18" s="1" t="s">
        <v>636</v>
      </c>
      <c r="T18" s="1">
        <v>23.5</v>
      </c>
      <c r="U18" s="1" t="s">
        <v>485</v>
      </c>
      <c r="V18" s="1">
        <v>5.5</v>
      </c>
      <c r="W18" s="1">
        <v>5.5</v>
      </c>
      <c r="X18" s="1">
        <v>4.5</v>
      </c>
      <c r="Y18" s="1">
        <v>21.5</v>
      </c>
      <c r="Z18" s="1">
        <v>22.5</v>
      </c>
      <c r="AA18" s="1">
        <v>120.5</v>
      </c>
      <c r="AB18" s="1" t="s">
        <v>648</v>
      </c>
      <c r="AC18" s="1">
        <v>1</v>
      </c>
      <c r="AD18" s="1">
        <v>2</v>
      </c>
      <c r="AE18" s="1">
        <v>15</v>
      </c>
      <c r="AF18" s="1">
        <v>15</v>
      </c>
      <c r="AG18" s="1">
        <v>3</v>
      </c>
      <c r="AH18" s="1">
        <v>19</v>
      </c>
      <c r="AI18" s="1">
        <v>11</v>
      </c>
      <c r="AJ18" s="1">
        <v>24</v>
      </c>
      <c r="AK18" s="1">
        <v>23</v>
      </c>
      <c r="AL18" s="1">
        <v>12</v>
      </c>
      <c r="AM18" s="1">
        <v>28</v>
      </c>
      <c r="AN18" s="1">
        <v>19</v>
      </c>
      <c r="AO18" s="1">
        <v>24</v>
      </c>
      <c r="AP18" s="1">
        <v>3</v>
      </c>
      <c r="AQ18" s="1">
        <v>10</v>
      </c>
      <c r="AR18" s="1">
        <v>25</v>
      </c>
      <c r="AS18" s="1">
        <v>20</v>
      </c>
      <c r="AT18" s="1">
        <v>13</v>
      </c>
      <c r="AU18" s="1">
        <v>23</v>
      </c>
      <c r="AV18" s="1">
        <v>6</v>
      </c>
      <c r="AW18" s="1">
        <v>20</v>
      </c>
      <c r="AX18" s="1">
        <v>18</v>
      </c>
      <c r="AY18" s="1">
        <v>20</v>
      </c>
      <c r="AZ18" s="1">
        <v>7</v>
      </c>
      <c r="BA18" s="1">
        <v>18</v>
      </c>
      <c r="BB18" s="1">
        <v>21</v>
      </c>
      <c r="BC18" s="1">
        <v>10</v>
      </c>
      <c r="BD18" s="1" t="s">
        <v>503</v>
      </c>
    </row>
    <row r="19" spans="1:56" x14ac:dyDescent="0.25">
      <c r="A19" s="1">
        <v>1610612750</v>
      </c>
      <c r="B19" s="1" t="s">
        <v>506</v>
      </c>
      <c r="C19" s="1">
        <v>1</v>
      </c>
      <c r="D19" s="1">
        <v>1</v>
      </c>
      <c r="E19" s="1">
        <v>0</v>
      </c>
      <c r="F19" s="1">
        <v>1</v>
      </c>
      <c r="G19" s="1">
        <v>48</v>
      </c>
      <c r="H19" s="1">
        <v>40</v>
      </c>
      <c r="I19" s="1">
        <v>88</v>
      </c>
      <c r="J19" s="1">
        <v>0.45500000000000002</v>
      </c>
      <c r="K19" s="1">
        <v>11</v>
      </c>
      <c r="L19" s="1">
        <v>33</v>
      </c>
      <c r="M19" s="1">
        <v>0.33300000000000002</v>
      </c>
      <c r="N19" s="1">
        <v>15</v>
      </c>
      <c r="O19" s="1">
        <v>22</v>
      </c>
      <c r="P19" s="1">
        <v>0.68200000000000005</v>
      </c>
      <c r="Q19" s="1">
        <v>12</v>
      </c>
      <c r="R19" s="1">
        <v>29</v>
      </c>
      <c r="S19" s="1" t="s">
        <v>649</v>
      </c>
      <c r="T19" s="1">
        <v>21</v>
      </c>
      <c r="U19" s="1" t="s">
        <v>491</v>
      </c>
      <c r="V19" s="1">
        <v>13</v>
      </c>
      <c r="W19" s="1">
        <v>3</v>
      </c>
      <c r="X19" s="1">
        <v>12</v>
      </c>
      <c r="Y19" s="1">
        <v>25</v>
      </c>
      <c r="Z19" s="1">
        <v>22</v>
      </c>
      <c r="AA19" s="1">
        <v>106</v>
      </c>
      <c r="AB19" s="1" t="s">
        <v>492</v>
      </c>
      <c r="AC19" s="1">
        <v>3</v>
      </c>
      <c r="AD19" s="1">
        <v>2</v>
      </c>
      <c r="AE19" s="1">
        <v>1</v>
      </c>
      <c r="AF19" s="1">
        <v>1</v>
      </c>
      <c r="AG19" s="1">
        <v>3</v>
      </c>
      <c r="AH19" s="1">
        <v>11</v>
      </c>
      <c r="AI19" s="1">
        <v>10</v>
      </c>
      <c r="AJ19" s="1">
        <v>15</v>
      </c>
      <c r="AK19" s="1">
        <v>7</v>
      </c>
      <c r="AL19" s="1">
        <v>10</v>
      </c>
      <c r="AM19" s="1">
        <v>10</v>
      </c>
      <c r="AN19" s="1">
        <v>16</v>
      </c>
      <c r="AO19" s="1">
        <v>16</v>
      </c>
      <c r="AP19" s="1">
        <v>10</v>
      </c>
      <c r="AQ19" s="1">
        <v>20</v>
      </c>
      <c r="AR19" s="1">
        <v>1</v>
      </c>
      <c r="AS19" s="1">
        <v>3</v>
      </c>
      <c r="AT19" s="1">
        <v>10</v>
      </c>
      <c r="AU19" s="1">
        <v>1</v>
      </c>
      <c r="AV19" s="1">
        <v>27</v>
      </c>
      <c r="AW19" s="1">
        <v>5</v>
      </c>
      <c r="AX19" s="1">
        <v>1</v>
      </c>
      <c r="AY19" s="1">
        <v>28</v>
      </c>
      <c r="AZ19" s="1">
        <v>8</v>
      </c>
      <c r="BA19" s="1">
        <v>11</v>
      </c>
      <c r="BB19" s="1">
        <v>6</v>
      </c>
      <c r="BC19" s="1">
        <v>10</v>
      </c>
      <c r="BD19" s="1" t="s">
        <v>506</v>
      </c>
    </row>
    <row r="20" spans="1:56" x14ac:dyDescent="0.25">
      <c r="A20" s="1">
        <v>1610612740</v>
      </c>
      <c r="B20" s="1" t="s">
        <v>507</v>
      </c>
      <c r="C20" s="1">
        <v>1</v>
      </c>
      <c r="D20" s="1">
        <v>0</v>
      </c>
      <c r="E20" s="1">
        <v>1</v>
      </c>
      <c r="F20" s="1">
        <v>0</v>
      </c>
      <c r="G20" s="1">
        <v>48</v>
      </c>
      <c r="H20" s="1">
        <v>44</v>
      </c>
      <c r="I20" s="1">
        <v>85</v>
      </c>
      <c r="J20" s="1">
        <v>0.51800000000000002</v>
      </c>
      <c r="K20" s="1">
        <v>13</v>
      </c>
      <c r="L20" s="1">
        <v>25</v>
      </c>
      <c r="M20" s="1">
        <v>0.52</v>
      </c>
      <c r="N20" s="1">
        <v>16</v>
      </c>
      <c r="O20" s="1">
        <v>20</v>
      </c>
      <c r="P20" s="1">
        <v>0.8</v>
      </c>
      <c r="Q20" s="1">
        <v>6</v>
      </c>
      <c r="R20" s="1">
        <v>41</v>
      </c>
      <c r="S20" s="1" t="s">
        <v>637</v>
      </c>
      <c r="T20" s="1">
        <v>24</v>
      </c>
      <c r="U20" s="1" t="s">
        <v>464</v>
      </c>
      <c r="V20" s="1">
        <v>9</v>
      </c>
      <c r="W20" s="1">
        <v>5</v>
      </c>
      <c r="X20" s="1">
        <v>6</v>
      </c>
      <c r="Y20" s="1">
        <v>11</v>
      </c>
      <c r="Z20" s="1">
        <v>16</v>
      </c>
      <c r="AA20" s="1">
        <v>117</v>
      </c>
      <c r="AB20" s="1" t="s">
        <v>517</v>
      </c>
      <c r="AC20" s="1">
        <v>3</v>
      </c>
      <c r="AD20" s="1">
        <v>16</v>
      </c>
      <c r="AE20" s="1">
        <v>15</v>
      </c>
      <c r="AF20" s="1">
        <v>16</v>
      </c>
      <c r="AG20" s="1">
        <v>3</v>
      </c>
      <c r="AH20" s="1">
        <v>19</v>
      </c>
      <c r="AI20" s="1">
        <v>5</v>
      </c>
      <c r="AJ20" s="1">
        <v>27</v>
      </c>
      <c r="AK20" s="1">
        <v>10</v>
      </c>
      <c r="AL20" s="1">
        <v>2</v>
      </c>
      <c r="AM20" s="1">
        <v>30</v>
      </c>
      <c r="AN20" s="1">
        <v>17</v>
      </c>
      <c r="AO20" s="1">
        <v>14</v>
      </c>
      <c r="AP20" s="1">
        <v>21</v>
      </c>
      <c r="AQ20" s="1">
        <v>2</v>
      </c>
      <c r="AR20" s="1">
        <v>20</v>
      </c>
      <c r="AS20" s="1">
        <v>13</v>
      </c>
      <c r="AT20" s="1">
        <v>14</v>
      </c>
      <c r="AU20" s="1">
        <v>19</v>
      </c>
      <c r="AV20" s="1">
        <v>20</v>
      </c>
      <c r="AW20" s="1">
        <v>13</v>
      </c>
      <c r="AX20" s="1">
        <v>9</v>
      </c>
      <c r="AY20" s="1">
        <v>1</v>
      </c>
      <c r="AZ20" s="1">
        <v>25</v>
      </c>
      <c r="BA20" s="1">
        <v>17</v>
      </c>
      <c r="BB20" s="1">
        <v>26</v>
      </c>
      <c r="BC20" s="1">
        <v>10</v>
      </c>
      <c r="BD20" s="1" t="s">
        <v>507</v>
      </c>
    </row>
    <row r="21" spans="1:56" x14ac:dyDescent="0.25">
      <c r="A21" s="1">
        <v>1610612752</v>
      </c>
      <c r="B21" s="1" t="s">
        <v>510</v>
      </c>
      <c r="C21" s="1">
        <v>1</v>
      </c>
      <c r="D21" s="1">
        <v>1</v>
      </c>
      <c r="E21" s="1">
        <v>0</v>
      </c>
      <c r="F21" s="1">
        <v>1</v>
      </c>
      <c r="G21" s="1">
        <v>58</v>
      </c>
      <c r="H21" s="1">
        <v>48</v>
      </c>
      <c r="I21" s="1">
        <v>117</v>
      </c>
      <c r="J21" s="1">
        <v>0.41</v>
      </c>
      <c r="K21" s="1">
        <v>21</v>
      </c>
      <c r="L21" s="1">
        <v>57</v>
      </c>
      <c r="M21" s="1">
        <v>0.36799999999999999</v>
      </c>
      <c r="N21" s="1">
        <v>17</v>
      </c>
      <c r="O21" s="1">
        <v>23</v>
      </c>
      <c r="P21" s="1">
        <v>0.73899999999999999</v>
      </c>
      <c r="Q21" s="1">
        <v>15</v>
      </c>
      <c r="R21" s="1">
        <v>41</v>
      </c>
      <c r="S21" s="1" t="s">
        <v>650</v>
      </c>
      <c r="T21" s="1">
        <v>34</v>
      </c>
      <c r="U21" s="1" t="s">
        <v>467</v>
      </c>
      <c r="V21" s="1">
        <v>13</v>
      </c>
      <c r="W21" s="1">
        <v>9</v>
      </c>
      <c r="X21" s="1">
        <v>10</v>
      </c>
      <c r="Y21" s="1">
        <v>24</v>
      </c>
      <c r="Z21" s="1">
        <v>22</v>
      </c>
      <c r="AA21" s="1">
        <v>134</v>
      </c>
      <c r="AB21" s="1" t="s">
        <v>468</v>
      </c>
      <c r="AC21" s="1">
        <v>3</v>
      </c>
      <c r="AD21" s="1">
        <v>2</v>
      </c>
      <c r="AE21" s="1">
        <v>1</v>
      </c>
      <c r="AF21" s="1">
        <v>1</v>
      </c>
      <c r="AG21" s="1">
        <v>1</v>
      </c>
      <c r="AH21" s="1">
        <v>26</v>
      </c>
      <c r="AI21" s="1">
        <v>30</v>
      </c>
      <c r="AJ21" s="1">
        <v>7</v>
      </c>
      <c r="AK21" s="1">
        <v>30</v>
      </c>
      <c r="AL21" s="1">
        <v>30</v>
      </c>
      <c r="AM21" s="1">
        <v>15</v>
      </c>
      <c r="AN21" s="1">
        <v>20</v>
      </c>
      <c r="AO21" s="1">
        <v>20</v>
      </c>
      <c r="AP21" s="1">
        <v>15</v>
      </c>
      <c r="AQ21" s="1">
        <v>28</v>
      </c>
      <c r="AR21" s="1">
        <v>20</v>
      </c>
      <c r="AS21" s="1">
        <v>30</v>
      </c>
      <c r="AT21" s="1">
        <v>29</v>
      </c>
      <c r="AU21" s="1">
        <v>7</v>
      </c>
      <c r="AV21" s="1">
        <v>27</v>
      </c>
      <c r="AW21" s="1">
        <v>25</v>
      </c>
      <c r="AX21" s="1">
        <v>2</v>
      </c>
      <c r="AY21" s="1">
        <v>26</v>
      </c>
      <c r="AZ21" s="1">
        <v>8</v>
      </c>
      <c r="BA21" s="1">
        <v>29</v>
      </c>
      <c r="BB21" s="1">
        <v>12</v>
      </c>
      <c r="BC21" s="1">
        <v>10</v>
      </c>
      <c r="BD21" s="1" t="s">
        <v>510</v>
      </c>
    </row>
    <row r="22" spans="1:56" x14ac:dyDescent="0.25">
      <c r="A22" s="1">
        <v>1610612760</v>
      </c>
      <c r="B22" s="1" t="s">
        <v>512</v>
      </c>
      <c r="C22" s="1">
        <v>1</v>
      </c>
      <c r="D22" s="1">
        <v>0</v>
      </c>
      <c r="E22" s="1">
        <v>1</v>
      </c>
      <c r="F22" s="1">
        <v>0</v>
      </c>
      <c r="G22" s="1">
        <v>48</v>
      </c>
      <c r="H22" s="1">
        <v>40</v>
      </c>
      <c r="I22" s="1">
        <v>91</v>
      </c>
      <c r="J22" s="1">
        <v>0.44</v>
      </c>
      <c r="K22" s="1">
        <v>14</v>
      </c>
      <c r="L22" s="1">
        <v>47</v>
      </c>
      <c r="M22" s="1">
        <v>0.29799999999999999</v>
      </c>
      <c r="N22" s="1">
        <v>13</v>
      </c>
      <c r="O22" s="1">
        <v>15</v>
      </c>
      <c r="P22" s="1">
        <v>0.86699999999999999</v>
      </c>
      <c r="Q22" s="1">
        <v>12</v>
      </c>
      <c r="R22" s="1">
        <v>41</v>
      </c>
      <c r="S22" s="1" t="s">
        <v>638</v>
      </c>
      <c r="T22" s="1">
        <v>18</v>
      </c>
      <c r="U22" s="1" t="s">
        <v>523</v>
      </c>
      <c r="V22" s="1">
        <v>6</v>
      </c>
      <c r="W22" s="1">
        <v>5</v>
      </c>
      <c r="X22" s="1">
        <v>2</v>
      </c>
      <c r="Y22" s="1">
        <v>19</v>
      </c>
      <c r="Z22" s="1">
        <v>15</v>
      </c>
      <c r="AA22" s="1">
        <v>107</v>
      </c>
      <c r="AB22" s="1" t="s">
        <v>529</v>
      </c>
      <c r="AC22" s="1">
        <v>3</v>
      </c>
      <c r="AD22" s="1">
        <v>16</v>
      </c>
      <c r="AE22" s="1">
        <v>15</v>
      </c>
      <c r="AF22" s="1">
        <v>16</v>
      </c>
      <c r="AG22" s="1">
        <v>3</v>
      </c>
      <c r="AH22" s="1">
        <v>11</v>
      </c>
      <c r="AI22" s="1">
        <v>14</v>
      </c>
      <c r="AJ22" s="1">
        <v>12</v>
      </c>
      <c r="AK22" s="1">
        <v>15</v>
      </c>
      <c r="AL22" s="1">
        <v>28</v>
      </c>
      <c r="AM22" s="1">
        <v>6</v>
      </c>
      <c r="AN22" s="1">
        <v>11</v>
      </c>
      <c r="AO22" s="1">
        <v>7</v>
      </c>
      <c r="AP22" s="1">
        <v>25</v>
      </c>
      <c r="AQ22" s="1">
        <v>20</v>
      </c>
      <c r="AR22" s="1">
        <v>20</v>
      </c>
      <c r="AS22" s="1">
        <v>23</v>
      </c>
      <c r="AT22" s="1">
        <v>5</v>
      </c>
      <c r="AU22" s="1">
        <v>26</v>
      </c>
      <c r="AV22" s="1">
        <v>7</v>
      </c>
      <c r="AW22" s="1">
        <v>13</v>
      </c>
      <c r="AX22" s="1">
        <v>27</v>
      </c>
      <c r="AY22" s="1">
        <v>11</v>
      </c>
      <c r="AZ22" s="1">
        <v>28</v>
      </c>
      <c r="BA22" s="1">
        <v>12</v>
      </c>
      <c r="BB22" s="1">
        <v>27</v>
      </c>
      <c r="BC22" s="1">
        <v>10</v>
      </c>
      <c r="BD22" s="1" t="s">
        <v>512</v>
      </c>
    </row>
    <row r="23" spans="1:56" x14ac:dyDescent="0.25">
      <c r="A23" s="1">
        <v>1610612753</v>
      </c>
      <c r="B23" s="1" t="s">
        <v>514</v>
      </c>
      <c r="C23" s="1">
        <v>1</v>
      </c>
      <c r="D23" s="1">
        <v>0</v>
      </c>
      <c r="E23" s="1">
        <v>1</v>
      </c>
      <c r="F23" s="1">
        <v>0</v>
      </c>
      <c r="G23" s="1">
        <v>48</v>
      </c>
      <c r="H23" s="1">
        <v>49</v>
      </c>
      <c r="I23" s="1">
        <v>98</v>
      </c>
      <c r="J23" s="1">
        <v>0.5</v>
      </c>
      <c r="K23" s="1">
        <v>13</v>
      </c>
      <c r="L23" s="1">
        <v>30</v>
      </c>
      <c r="M23" s="1">
        <v>0.433</v>
      </c>
      <c r="N23" s="1">
        <v>12</v>
      </c>
      <c r="O23" s="1">
        <v>18</v>
      </c>
      <c r="P23" s="1">
        <v>0.66700000000000004</v>
      </c>
      <c r="Q23" s="1">
        <v>13</v>
      </c>
      <c r="R23" s="1">
        <v>30</v>
      </c>
      <c r="S23" s="1" t="s">
        <v>651</v>
      </c>
      <c r="T23" s="1">
        <v>32</v>
      </c>
      <c r="U23" s="1" t="s">
        <v>472</v>
      </c>
      <c r="V23" s="1">
        <v>8</v>
      </c>
      <c r="W23" s="1">
        <v>3</v>
      </c>
      <c r="X23" s="1">
        <v>6</v>
      </c>
      <c r="Y23" s="1">
        <v>22</v>
      </c>
      <c r="Z23" s="1">
        <v>20</v>
      </c>
      <c r="AA23" s="1">
        <v>123</v>
      </c>
      <c r="AB23" s="1" t="s">
        <v>465</v>
      </c>
      <c r="AC23" s="1">
        <v>3</v>
      </c>
      <c r="AD23" s="1">
        <v>16</v>
      </c>
      <c r="AE23" s="1">
        <v>15</v>
      </c>
      <c r="AF23" s="1">
        <v>16</v>
      </c>
      <c r="AG23" s="1">
        <v>3</v>
      </c>
      <c r="AH23" s="1">
        <v>28</v>
      </c>
      <c r="AI23" s="1">
        <v>25</v>
      </c>
      <c r="AJ23" s="1">
        <v>25</v>
      </c>
      <c r="AK23" s="1">
        <v>10</v>
      </c>
      <c r="AL23" s="1">
        <v>6</v>
      </c>
      <c r="AM23" s="1">
        <v>25</v>
      </c>
      <c r="AN23" s="1">
        <v>6</v>
      </c>
      <c r="AO23" s="1">
        <v>10</v>
      </c>
      <c r="AP23" s="1">
        <v>7</v>
      </c>
      <c r="AQ23" s="1">
        <v>23</v>
      </c>
      <c r="AR23" s="1">
        <v>3</v>
      </c>
      <c r="AS23" s="1">
        <v>5</v>
      </c>
      <c r="AT23" s="1">
        <v>28</v>
      </c>
      <c r="AU23" s="1">
        <v>28</v>
      </c>
      <c r="AV23" s="1">
        <v>14</v>
      </c>
      <c r="AW23" s="1">
        <v>5</v>
      </c>
      <c r="AX23" s="1">
        <v>9</v>
      </c>
      <c r="AY23" s="1">
        <v>21</v>
      </c>
      <c r="AZ23" s="1">
        <v>16</v>
      </c>
      <c r="BA23" s="1">
        <v>23</v>
      </c>
      <c r="BB23" s="1">
        <v>29</v>
      </c>
      <c r="BC23" s="1">
        <v>10</v>
      </c>
      <c r="BD23" s="1" t="s">
        <v>514</v>
      </c>
    </row>
    <row r="24" spans="1:56" x14ac:dyDescent="0.25">
      <c r="A24" s="1">
        <v>1610612755</v>
      </c>
      <c r="B24" s="1" t="s">
        <v>516</v>
      </c>
      <c r="C24" s="1">
        <v>1</v>
      </c>
      <c r="D24" s="1">
        <v>1</v>
      </c>
      <c r="E24" s="1">
        <v>0</v>
      </c>
      <c r="F24" s="1">
        <v>1</v>
      </c>
      <c r="G24" s="1">
        <v>48</v>
      </c>
      <c r="H24" s="1">
        <v>39</v>
      </c>
      <c r="I24" s="1">
        <v>93</v>
      </c>
      <c r="J24" s="1">
        <v>0.41899999999999998</v>
      </c>
      <c r="K24" s="1">
        <v>13</v>
      </c>
      <c r="L24" s="1">
        <v>30</v>
      </c>
      <c r="M24" s="1">
        <v>0.433</v>
      </c>
      <c r="N24" s="1">
        <v>6</v>
      </c>
      <c r="O24" s="1">
        <v>9</v>
      </c>
      <c r="P24" s="1">
        <v>0.66700000000000004</v>
      </c>
      <c r="Q24" s="1">
        <v>10</v>
      </c>
      <c r="R24" s="1">
        <v>34</v>
      </c>
      <c r="S24" s="1" t="s">
        <v>652</v>
      </c>
      <c r="T24" s="1">
        <v>28</v>
      </c>
      <c r="U24" s="1" t="s">
        <v>508</v>
      </c>
      <c r="V24" s="1">
        <v>5</v>
      </c>
      <c r="W24" s="1">
        <v>6</v>
      </c>
      <c r="X24" s="1">
        <v>5</v>
      </c>
      <c r="Y24" s="1">
        <v>16</v>
      </c>
      <c r="Z24" s="1">
        <v>11</v>
      </c>
      <c r="AA24" s="1">
        <v>97</v>
      </c>
      <c r="AB24" s="1" t="s">
        <v>509</v>
      </c>
      <c r="AC24" s="1">
        <v>3</v>
      </c>
      <c r="AD24" s="1">
        <v>2</v>
      </c>
      <c r="AE24" s="1">
        <v>1</v>
      </c>
      <c r="AF24" s="1">
        <v>1</v>
      </c>
      <c r="AG24" s="1">
        <v>3</v>
      </c>
      <c r="AH24" s="1">
        <v>10</v>
      </c>
      <c r="AI24" s="1">
        <v>17</v>
      </c>
      <c r="AJ24" s="1">
        <v>9</v>
      </c>
      <c r="AK24" s="1">
        <v>10</v>
      </c>
      <c r="AL24" s="1">
        <v>6</v>
      </c>
      <c r="AM24" s="1">
        <v>25</v>
      </c>
      <c r="AN24" s="1">
        <v>2</v>
      </c>
      <c r="AO24" s="1">
        <v>1</v>
      </c>
      <c r="AP24" s="1">
        <v>7</v>
      </c>
      <c r="AQ24" s="1">
        <v>15</v>
      </c>
      <c r="AR24" s="1">
        <v>7</v>
      </c>
      <c r="AS24" s="1">
        <v>7</v>
      </c>
      <c r="AT24" s="1">
        <v>22</v>
      </c>
      <c r="AU24" s="1">
        <v>18</v>
      </c>
      <c r="AV24" s="1">
        <v>3</v>
      </c>
      <c r="AW24" s="1">
        <v>21</v>
      </c>
      <c r="AX24" s="1">
        <v>11</v>
      </c>
      <c r="AY24" s="1">
        <v>4</v>
      </c>
      <c r="AZ24" s="1">
        <v>30</v>
      </c>
      <c r="BA24" s="1">
        <v>7</v>
      </c>
      <c r="BB24" s="1">
        <v>5</v>
      </c>
      <c r="BC24" s="1">
        <v>10</v>
      </c>
      <c r="BD24" s="1" t="s">
        <v>516</v>
      </c>
    </row>
    <row r="25" spans="1:56" x14ac:dyDescent="0.25">
      <c r="A25" s="1">
        <v>1610612756</v>
      </c>
      <c r="B25" s="1" t="s">
        <v>518</v>
      </c>
      <c r="C25" s="1">
        <v>1</v>
      </c>
      <c r="D25" s="1">
        <v>0</v>
      </c>
      <c r="E25" s="1">
        <v>1</v>
      </c>
      <c r="F25" s="1">
        <v>0</v>
      </c>
      <c r="G25" s="1">
        <v>48</v>
      </c>
      <c r="H25" s="1">
        <v>44</v>
      </c>
      <c r="I25" s="1">
        <v>83</v>
      </c>
      <c r="J25" s="1">
        <v>0.53</v>
      </c>
      <c r="K25" s="1">
        <v>17</v>
      </c>
      <c r="L25" s="1">
        <v>39</v>
      </c>
      <c r="M25" s="1">
        <v>0.436</v>
      </c>
      <c r="N25" s="1">
        <v>5</v>
      </c>
      <c r="O25" s="1">
        <v>9</v>
      </c>
      <c r="P25" s="1">
        <v>0.55600000000000005</v>
      </c>
      <c r="Q25" s="1">
        <v>6</v>
      </c>
      <c r="R25" s="1">
        <v>40</v>
      </c>
      <c r="S25" s="1" t="s">
        <v>643</v>
      </c>
      <c r="T25" s="1">
        <v>25</v>
      </c>
      <c r="U25" s="1" t="s">
        <v>484</v>
      </c>
      <c r="V25" s="1">
        <v>9</v>
      </c>
      <c r="W25" s="1">
        <v>1</v>
      </c>
      <c r="X25" s="1">
        <v>3</v>
      </c>
      <c r="Y25" s="1">
        <v>20</v>
      </c>
      <c r="Z25" s="1">
        <v>18</v>
      </c>
      <c r="AA25" s="1">
        <v>110</v>
      </c>
      <c r="AB25" s="1" t="s">
        <v>485</v>
      </c>
      <c r="AC25" s="1">
        <v>3</v>
      </c>
      <c r="AD25" s="1">
        <v>16</v>
      </c>
      <c r="AE25" s="1">
        <v>15</v>
      </c>
      <c r="AF25" s="1">
        <v>16</v>
      </c>
      <c r="AG25" s="1">
        <v>3</v>
      </c>
      <c r="AH25" s="1">
        <v>19</v>
      </c>
      <c r="AI25" s="1">
        <v>2</v>
      </c>
      <c r="AJ25" s="1">
        <v>30</v>
      </c>
      <c r="AK25" s="1">
        <v>25</v>
      </c>
      <c r="AL25" s="1">
        <v>20</v>
      </c>
      <c r="AM25" s="1">
        <v>27</v>
      </c>
      <c r="AN25" s="1">
        <v>1</v>
      </c>
      <c r="AO25" s="1">
        <v>1</v>
      </c>
      <c r="AP25" s="1">
        <v>1</v>
      </c>
      <c r="AQ25" s="1">
        <v>2</v>
      </c>
      <c r="AR25" s="1">
        <v>16</v>
      </c>
      <c r="AS25" s="1">
        <v>10</v>
      </c>
      <c r="AT25" s="1">
        <v>16</v>
      </c>
      <c r="AU25" s="1">
        <v>4</v>
      </c>
      <c r="AV25" s="1">
        <v>20</v>
      </c>
      <c r="AW25" s="1">
        <v>2</v>
      </c>
      <c r="AX25" s="1">
        <v>22</v>
      </c>
      <c r="AY25" s="1">
        <v>14</v>
      </c>
      <c r="AZ25" s="1">
        <v>21</v>
      </c>
      <c r="BA25" s="1">
        <v>13</v>
      </c>
      <c r="BB25" s="1">
        <v>23</v>
      </c>
      <c r="BC25" s="1">
        <v>10</v>
      </c>
      <c r="BD25" s="1" t="s">
        <v>518</v>
      </c>
    </row>
    <row r="26" spans="1:56" x14ac:dyDescent="0.25">
      <c r="A26" s="1">
        <v>1610612757</v>
      </c>
      <c r="B26" s="1" t="s">
        <v>520</v>
      </c>
      <c r="C26" s="1">
        <v>1</v>
      </c>
      <c r="D26" s="1">
        <v>0</v>
      </c>
      <c r="E26" s="1">
        <v>1</v>
      </c>
      <c r="F26" s="1">
        <v>0</v>
      </c>
      <c r="G26" s="1">
        <v>48</v>
      </c>
      <c r="H26" s="1">
        <v>42</v>
      </c>
      <c r="I26" s="1">
        <v>92</v>
      </c>
      <c r="J26" s="1">
        <v>0.45700000000000002</v>
      </c>
      <c r="K26" s="1">
        <v>17</v>
      </c>
      <c r="L26" s="1">
        <v>41</v>
      </c>
      <c r="M26" s="1">
        <v>0.41499999999999998</v>
      </c>
      <c r="N26" s="1">
        <v>23</v>
      </c>
      <c r="O26" s="1">
        <v>29</v>
      </c>
      <c r="P26" s="1">
        <v>0.79300000000000004</v>
      </c>
      <c r="Q26" s="1">
        <v>7</v>
      </c>
      <c r="R26" s="1">
        <v>36</v>
      </c>
      <c r="S26" s="1" t="s">
        <v>651</v>
      </c>
      <c r="T26" s="1">
        <v>24</v>
      </c>
      <c r="U26" s="1" t="s">
        <v>523</v>
      </c>
      <c r="V26" s="1">
        <v>6</v>
      </c>
      <c r="W26" s="1">
        <v>4</v>
      </c>
      <c r="X26" s="1">
        <v>5</v>
      </c>
      <c r="Y26" s="1">
        <v>22</v>
      </c>
      <c r="Z26" s="1">
        <v>22</v>
      </c>
      <c r="AA26" s="1">
        <v>124</v>
      </c>
      <c r="AB26" s="1" t="s">
        <v>524</v>
      </c>
      <c r="AC26" s="1">
        <v>3</v>
      </c>
      <c r="AD26" s="1">
        <v>16</v>
      </c>
      <c r="AE26" s="1">
        <v>15</v>
      </c>
      <c r="AF26" s="1">
        <v>16</v>
      </c>
      <c r="AG26" s="1">
        <v>3</v>
      </c>
      <c r="AH26" s="1">
        <v>14</v>
      </c>
      <c r="AI26" s="1">
        <v>16</v>
      </c>
      <c r="AJ26" s="1">
        <v>17</v>
      </c>
      <c r="AK26" s="1">
        <v>25</v>
      </c>
      <c r="AL26" s="1">
        <v>22</v>
      </c>
      <c r="AM26" s="1">
        <v>20</v>
      </c>
      <c r="AN26" s="1">
        <v>28</v>
      </c>
      <c r="AO26" s="1">
        <v>27</v>
      </c>
      <c r="AP26" s="1">
        <v>20</v>
      </c>
      <c r="AQ26" s="1">
        <v>6</v>
      </c>
      <c r="AR26" s="1">
        <v>13</v>
      </c>
      <c r="AS26" s="1">
        <v>5</v>
      </c>
      <c r="AT26" s="1">
        <v>14</v>
      </c>
      <c r="AU26" s="1">
        <v>26</v>
      </c>
      <c r="AV26" s="1">
        <v>7</v>
      </c>
      <c r="AW26" s="1">
        <v>10</v>
      </c>
      <c r="AX26" s="1">
        <v>11</v>
      </c>
      <c r="AY26" s="1">
        <v>21</v>
      </c>
      <c r="AZ26" s="1">
        <v>8</v>
      </c>
      <c r="BA26" s="1">
        <v>25</v>
      </c>
      <c r="BB26" s="1">
        <v>17</v>
      </c>
      <c r="BC26" s="1">
        <v>10</v>
      </c>
      <c r="BD26" s="1" t="s">
        <v>520</v>
      </c>
    </row>
    <row r="27" spans="1:56" x14ac:dyDescent="0.25">
      <c r="A27" s="1">
        <v>1610612758</v>
      </c>
      <c r="B27" s="1" t="s">
        <v>522</v>
      </c>
      <c r="C27" s="1">
        <v>1</v>
      </c>
      <c r="D27" s="1">
        <v>1</v>
      </c>
      <c r="E27" s="1">
        <v>0</v>
      </c>
      <c r="F27" s="1">
        <v>1</v>
      </c>
      <c r="G27" s="1">
        <v>48</v>
      </c>
      <c r="H27" s="1">
        <v>45</v>
      </c>
      <c r="I27" s="1">
        <v>93</v>
      </c>
      <c r="J27" s="1">
        <v>0.48399999999999999</v>
      </c>
      <c r="K27" s="1">
        <v>12</v>
      </c>
      <c r="L27" s="1">
        <v>35</v>
      </c>
      <c r="M27" s="1">
        <v>0.34300000000000003</v>
      </c>
      <c r="N27" s="1">
        <v>19</v>
      </c>
      <c r="O27" s="1">
        <v>22</v>
      </c>
      <c r="P27" s="1">
        <v>0.86399999999999999</v>
      </c>
      <c r="Q27" s="1">
        <v>9</v>
      </c>
      <c r="R27" s="1">
        <v>40</v>
      </c>
      <c r="S27" s="1" t="s">
        <v>653</v>
      </c>
      <c r="T27" s="1">
        <v>25</v>
      </c>
      <c r="U27" s="1" t="s">
        <v>464</v>
      </c>
      <c r="V27" s="1">
        <v>5</v>
      </c>
      <c r="W27" s="1">
        <v>5</v>
      </c>
      <c r="X27" s="1">
        <v>4</v>
      </c>
      <c r="Y27" s="1">
        <v>22</v>
      </c>
      <c r="Z27" s="1">
        <v>22</v>
      </c>
      <c r="AA27" s="1">
        <v>121</v>
      </c>
      <c r="AB27" s="1" t="s">
        <v>521</v>
      </c>
      <c r="AC27" s="1">
        <v>3</v>
      </c>
      <c r="AD27" s="1">
        <v>2</v>
      </c>
      <c r="AE27" s="1">
        <v>1</v>
      </c>
      <c r="AF27" s="1">
        <v>1</v>
      </c>
      <c r="AG27" s="1">
        <v>3</v>
      </c>
      <c r="AH27" s="1">
        <v>22</v>
      </c>
      <c r="AI27" s="1">
        <v>17</v>
      </c>
      <c r="AJ27" s="1">
        <v>22</v>
      </c>
      <c r="AK27" s="1">
        <v>8</v>
      </c>
      <c r="AL27" s="1">
        <v>14</v>
      </c>
      <c r="AM27" s="1">
        <v>11</v>
      </c>
      <c r="AN27" s="1">
        <v>23</v>
      </c>
      <c r="AO27" s="1">
        <v>16</v>
      </c>
      <c r="AP27" s="1">
        <v>24</v>
      </c>
      <c r="AQ27" s="1">
        <v>12</v>
      </c>
      <c r="AR27" s="1">
        <v>16</v>
      </c>
      <c r="AS27" s="1">
        <v>16</v>
      </c>
      <c r="AT27" s="1">
        <v>16</v>
      </c>
      <c r="AU27" s="1">
        <v>19</v>
      </c>
      <c r="AV27" s="1">
        <v>3</v>
      </c>
      <c r="AW27" s="1">
        <v>13</v>
      </c>
      <c r="AX27" s="1">
        <v>19</v>
      </c>
      <c r="AY27" s="1">
        <v>21</v>
      </c>
      <c r="AZ27" s="1">
        <v>8</v>
      </c>
      <c r="BA27" s="1">
        <v>19</v>
      </c>
      <c r="BB27" s="1">
        <v>13</v>
      </c>
      <c r="BC27" s="1">
        <v>10</v>
      </c>
      <c r="BD27" s="1" t="s">
        <v>522</v>
      </c>
    </row>
    <row r="28" spans="1:56" x14ac:dyDescent="0.25">
      <c r="A28" s="1">
        <v>1610612759</v>
      </c>
      <c r="B28" s="1" t="s">
        <v>525</v>
      </c>
      <c r="C28" s="1">
        <v>1</v>
      </c>
      <c r="D28" s="1">
        <v>1</v>
      </c>
      <c r="E28" s="1">
        <v>0</v>
      </c>
      <c r="F28" s="1">
        <v>1</v>
      </c>
      <c r="G28" s="1">
        <v>48</v>
      </c>
      <c r="H28" s="1">
        <v>35</v>
      </c>
      <c r="I28" s="1">
        <v>86</v>
      </c>
      <c r="J28" s="1">
        <v>0.40699999999999997</v>
      </c>
      <c r="K28" s="1">
        <v>9</v>
      </c>
      <c r="L28" s="1">
        <v>29</v>
      </c>
      <c r="M28" s="1">
        <v>0.31</v>
      </c>
      <c r="N28" s="1">
        <v>18</v>
      </c>
      <c r="O28" s="1">
        <v>23</v>
      </c>
      <c r="P28" s="1">
        <v>0.78300000000000003</v>
      </c>
      <c r="Q28" s="1">
        <v>13</v>
      </c>
      <c r="R28" s="1">
        <v>31</v>
      </c>
      <c r="S28" s="1" t="s">
        <v>652</v>
      </c>
      <c r="T28" s="1">
        <v>17</v>
      </c>
      <c r="U28" s="1" t="s">
        <v>515</v>
      </c>
      <c r="V28" s="1">
        <v>6</v>
      </c>
      <c r="W28" s="1">
        <v>6</v>
      </c>
      <c r="X28" s="1">
        <v>3</v>
      </c>
      <c r="Y28" s="1">
        <v>20</v>
      </c>
      <c r="Z28" s="1">
        <v>22</v>
      </c>
      <c r="AA28" s="1">
        <v>97</v>
      </c>
      <c r="AB28" s="1" t="s">
        <v>482</v>
      </c>
      <c r="AC28" s="1">
        <v>3</v>
      </c>
      <c r="AD28" s="1">
        <v>2</v>
      </c>
      <c r="AE28" s="1">
        <v>1</v>
      </c>
      <c r="AF28" s="1">
        <v>1</v>
      </c>
      <c r="AG28" s="1">
        <v>3</v>
      </c>
      <c r="AH28" s="1">
        <v>5</v>
      </c>
      <c r="AI28" s="1">
        <v>6</v>
      </c>
      <c r="AJ28" s="1">
        <v>6</v>
      </c>
      <c r="AK28" s="1">
        <v>6</v>
      </c>
      <c r="AL28" s="1">
        <v>5</v>
      </c>
      <c r="AM28" s="1">
        <v>9</v>
      </c>
      <c r="AN28" s="1">
        <v>21</v>
      </c>
      <c r="AO28" s="1">
        <v>20</v>
      </c>
      <c r="AP28" s="1">
        <v>19</v>
      </c>
      <c r="AQ28" s="1">
        <v>23</v>
      </c>
      <c r="AR28" s="1">
        <v>4</v>
      </c>
      <c r="AS28" s="1">
        <v>7</v>
      </c>
      <c r="AT28" s="1">
        <v>3</v>
      </c>
      <c r="AU28" s="1">
        <v>14</v>
      </c>
      <c r="AV28" s="1">
        <v>7</v>
      </c>
      <c r="AW28" s="1">
        <v>21</v>
      </c>
      <c r="AX28" s="1">
        <v>22</v>
      </c>
      <c r="AY28" s="1">
        <v>14</v>
      </c>
      <c r="AZ28" s="1">
        <v>8</v>
      </c>
      <c r="BA28" s="1">
        <v>7</v>
      </c>
      <c r="BB28" s="1">
        <v>2</v>
      </c>
      <c r="BC28" s="1">
        <v>10</v>
      </c>
      <c r="BD28" s="1" t="s">
        <v>525</v>
      </c>
    </row>
    <row r="29" spans="1:56" x14ac:dyDescent="0.25">
      <c r="A29" s="1">
        <v>1610612761</v>
      </c>
      <c r="B29" s="1" t="s">
        <v>526</v>
      </c>
      <c r="C29" s="1">
        <v>1</v>
      </c>
      <c r="D29" s="1">
        <v>0</v>
      </c>
      <c r="E29" s="1">
        <v>1</v>
      </c>
      <c r="F29" s="1">
        <v>0</v>
      </c>
      <c r="G29" s="1">
        <v>48</v>
      </c>
      <c r="H29" s="1">
        <v>36</v>
      </c>
      <c r="I29" s="1">
        <v>81</v>
      </c>
      <c r="J29" s="1">
        <v>0.44400000000000001</v>
      </c>
      <c r="K29" s="1">
        <v>5</v>
      </c>
      <c r="L29" s="1">
        <v>27</v>
      </c>
      <c r="M29" s="1">
        <v>0.185</v>
      </c>
      <c r="N29" s="1">
        <v>21</v>
      </c>
      <c r="O29" s="1">
        <v>26</v>
      </c>
      <c r="P29" s="1">
        <v>0.80800000000000005</v>
      </c>
      <c r="Q29" s="1">
        <v>7</v>
      </c>
      <c r="R29" s="1">
        <v>44</v>
      </c>
      <c r="S29" s="1" t="s">
        <v>636</v>
      </c>
      <c r="T29" s="1">
        <v>20</v>
      </c>
      <c r="U29" s="1" t="s">
        <v>531</v>
      </c>
      <c r="V29" s="1">
        <v>14</v>
      </c>
      <c r="W29" s="1">
        <v>8</v>
      </c>
      <c r="X29" s="1">
        <v>4</v>
      </c>
      <c r="Y29" s="1">
        <v>17</v>
      </c>
      <c r="Z29" s="1">
        <v>21</v>
      </c>
      <c r="AA29" s="1">
        <v>98</v>
      </c>
      <c r="AB29" s="1" t="s">
        <v>481</v>
      </c>
      <c r="AC29" s="1">
        <v>3</v>
      </c>
      <c r="AD29" s="1">
        <v>16</v>
      </c>
      <c r="AE29" s="1">
        <v>15</v>
      </c>
      <c r="AF29" s="1">
        <v>16</v>
      </c>
      <c r="AG29" s="1">
        <v>3</v>
      </c>
      <c r="AH29" s="1">
        <v>6</v>
      </c>
      <c r="AI29" s="1">
        <v>1</v>
      </c>
      <c r="AJ29" s="1">
        <v>14</v>
      </c>
      <c r="AK29" s="1">
        <v>1</v>
      </c>
      <c r="AL29" s="1">
        <v>3</v>
      </c>
      <c r="AM29" s="1">
        <v>1</v>
      </c>
      <c r="AN29" s="1">
        <v>26</v>
      </c>
      <c r="AO29" s="1">
        <v>23</v>
      </c>
      <c r="AP29" s="1">
        <v>22</v>
      </c>
      <c r="AQ29" s="1">
        <v>6</v>
      </c>
      <c r="AR29" s="1">
        <v>28</v>
      </c>
      <c r="AS29" s="1">
        <v>20</v>
      </c>
      <c r="AT29" s="1">
        <v>9</v>
      </c>
      <c r="AU29" s="1">
        <v>2</v>
      </c>
      <c r="AV29" s="1">
        <v>29</v>
      </c>
      <c r="AW29" s="1">
        <v>23</v>
      </c>
      <c r="AX29" s="1">
        <v>19</v>
      </c>
      <c r="AY29" s="1">
        <v>7</v>
      </c>
      <c r="AZ29" s="1">
        <v>13</v>
      </c>
      <c r="BA29" s="1">
        <v>9</v>
      </c>
      <c r="BB29" s="1">
        <v>24</v>
      </c>
      <c r="BC29" s="1">
        <v>10</v>
      </c>
      <c r="BD29" s="1" t="s">
        <v>526</v>
      </c>
    </row>
    <row r="30" spans="1:56" x14ac:dyDescent="0.25">
      <c r="A30" s="1">
        <v>1610612762</v>
      </c>
      <c r="B30" s="1" t="s">
        <v>528</v>
      </c>
      <c r="C30" s="1">
        <v>1</v>
      </c>
      <c r="D30" s="1">
        <v>1</v>
      </c>
      <c r="E30" s="1">
        <v>0</v>
      </c>
      <c r="F30" s="1">
        <v>1</v>
      </c>
      <c r="G30" s="1">
        <v>48</v>
      </c>
      <c r="H30" s="1">
        <v>34</v>
      </c>
      <c r="I30" s="1">
        <v>91</v>
      </c>
      <c r="J30" s="1">
        <v>0.374</v>
      </c>
      <c r="K30" s="1">
        <v>7</v>
      </c>
      <c r="L30" s="1">
        <v>35</v>
      </c>
      <c r="M30" s="1">
        <v>0.2</v>
      </c>
      <c r="N30" s="1">
        <v>11</v>
      </c>
      <c r="O30" s="1">
        <v>18</v>
      </c>
      <c r="P30" s="1">
        <v>0.61099999999999999</v>
      </c>
      <c r="Q30" s="1">
        <v>15</v>
      </c>
      <c r="R30" s="1">
        <v>35</v>
      </c>
      <c r="S30" s="1" t="s">
        <v>632</v>
      </c>
      <c r="T30" s="1">
        <v>19</v>
      </c>
      <c r="U30" s="1" t="s">
        <v>481</v>
      </c>
      <c r="V30" s="1">
        <v>4</v>
      </c>
      <c r="W30" s="1">
        <v>2</v>
      </c>
      <c r="X30" s="1">
        <v>5</v>
      </c>
      <c r="Y30" s="1">
        <v>15</v>
      </c>
      <c r="Z30" s="1">
        <v>19</v>
      </c>
      <c r="AA30" s="1">
        <v>86</v>
      </c>
      <c r="AB30" s="1" t="s">
        <v>513</v>
      </c>
      <c r="AC30" s="1">
        <v>3</v>
      </c>
      <c r="AD30" s="1">
        <v>2</v>
      </c>
      <c r="AE30" s="1">
        <v>1</v>
      </c>
      <c r="AF30" s="1">
        <v>1</v>
      </c>
      <c r="AG30" s="1">
        <v>3</v>
      </c>
      <c r="AH30" s="1">
        <v>4</v>
      </c>
      <c r="AI30" s="1">
        <v>14</v>
      </c>
      <c r="AJ30" s="1">
        <v>3</v>
      </c>
      <c r="AK30" s="1">
        <v>3</v>
      </c>
      <c r="AL30" s="1">
        <v>14</v>
      </c>
      <c r="AM30" s="1">
        <v>2</v>
      </c>
      <c r="AN30" s="1">
        <v>5</v>
      </c>
      <c r="AO30" s="1">
        <v>10</v>
      </c>
      <c r="AP30" s="1">
        <v>3</v>
      </c>
      <c r="AQ30" s="1">
        <v>28</v>
      </c>
      <c r="AR30" s="1">
        <v>10</v>
      </c>
      <c r="AS30" s="1">
        <v>17</v>
      </c>
      <c r="AT30" s="1">
        <v>7</v>
      </c>
      <c r="AU30" s="1">
        <v>15</v>
      </c>
      <c r="AV30" s="1">
        <v>2</v>
      </c>
      <c r="AW30" s="1">
        <v>3</v>
      </c>
      <c r="AX30" s="1">
        <v>11</v>
      </c>
      <c r="AY30" s="1">
        <v>2</v>
      </c>
      <c r="AZ30" s="1">
        <v>18</v>
      </c>
      <c r="BA30" s="1">
        <v>2</v>
      </c>
      <c r="BB30" s="1">
        <v>4</v>
      </c>
      <c r="BC30" s="1">
        <v>10</v>
      </c>
      <c r="BD30" s="1" t="s">
        <v>528</v>
      </c>
    </row>
    <row r="31" spans="1:56" x14ac:dyDescent="0.25">
      <c r="A31" s="1">
        <v>1610612764</v>
      </c>
      <c r="B31" s="1" t="s">
        <v>530</v>
      </c>
      <c r="C31" s="1">
        <v>1</v>
      </c>
      <c r="D31" s="1">
        <v>1</v>
      </c>
      <c r="E31" s="1">
        <v>0</v>
      </c>
      <c r="F31" s="1">
        <v>1</v>
      </c>
      <c r="G31" s="1">
        <v>48</v>
      </c>
      <c r="H31" s="1">
        <v>30</v>
      </c>
      <c r="I31" s="1">
        <v>97</v>
      </c>
      <c r="J31" s="1">
        <v>0.309</v>
      </c>
      <c r="K31" s="1">
        <v>7</v>
      </c>
      <c r="L31" s="1">
        <v>34</v>
      </c>
      <c r="M31" s="1">
        <v>0.20599999999999999</v>
      </c>
      <c r="N31" s="1">
        <v>16</v>
      </c>
      <c r="O31" s="1">
        <v>22</v>
      </c>
      <c r="P31" s="1">
        <v>0.72699999999999998</v>
      </c>
      <c r="Q31" s="1">
        <v>19</v>
      </c>
      <c r="R31" s="1">
        <v>35</v>
      </c>
      <c r="S31" s="1" t="s">
        <v>634</v>
      </c>
      <c r="T31" s="1">
        <v>14</v>
      </c>
      <c r="U31" s="1" t="s">
        <v>484</v>
      </c>
      <c r="V31" s="1">
        <v>10</v>
      </c>
      <c r="W31" s="1">
        <v>4</v>
      </c>
      <c r="X31" s="1">
        <v>8</v>
      </c>
      <c r="Y31" s="1">
        <v>21</v>
      </c>
      <c r="Z31" s="1">
        <v>17</v>
      </c>
      <c r="AA31" s="1">
        <v>83</v>
      </c>
      <c r="AB31" s="1" t="s">
        <v>527</v>
      </c>
      <c r="AC31" s="1">
        <v>3</v>
      </c>
      <c r="AD31" s="1">
        <v>2</v>
      </c>
      <c r="AE31" s="1">
        <v>1</v>
      </c>
      <c r="AF31" s="1">
        <v>1</v>
      </c>
      <c r="AG31" s="1">
        <v>3</v>
      </c>
      <c r="AH31" s="1">
        <v>1</v>
      </c>
      <c r="AI31" s="1">
        <v>24</v>
      </c>
      <c r="AJ31" s="1">
        <v>1</v>
      </c>
      <c r="AK31" s="1">
        <v>3</v>
      </c>
      <c r="AL31" s="1">
        <v>13</v>
      </c>
      <c r="AM31" s="1">
        <v>3</v>
      </c>
      <c r="AN31" s="1">
        <v>17</v>
      </c>
      <c r="AO31" s="1">
        <v>16</v>
      </c>
      <c r="AP31" s="1">
        <v>14</v>
      </c>
      <c r="AQ31" s="1">
        <v>30</v>
      </c>
      <c r="AR31" s="1">
        <v>10</v>
      </c>
      <c r="AS31" s="1">
        <v>26</v>
      </c>
      <c r="AT31" s="1">
        <v>1</v>
      </c>
      <c r="AU31" s="1">
        <v>4</v>
      </c>
      <c r="AV31" s="1">
        <v>26</v>
      </c>
      <c r="AW31" s="1">
        <v>10</v>
      </c>
      <c r="AX31" s="1">
        <v>7</v>
      </c>
      <c r="AY31" s="1">
        <v>17</v>
      </c>
      <c r="AZ31" s="1">
        <v>22</v>
      </c>
      <c r="BA31" s="1">
        <v>1</v>
      </c>
      <c r="BB31" s="1">
        <v>7</v>
      </c>
      <c r="BC31" s="1">
        <v>10</v>
      </c>
      <c r="BD31" s="1" t="s">
        <v>530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E9D6B-D32D-4A3F-8C77-4A37F3941D44}">
  <dimension ref="A1:BD14"/>
  <sheetViews>
    <sheetView workbookViewId="0"/>
  </sheetViews>
  <sheetFormatPr defaultRowHeight="13.3" x14ac:dyDescent="0.25"/>
  <cols>
    <col min="1" max="1" width="11.3046875" customWidth="1"/>
    <col min="2" max="2" width="14.84375" customWidth="1"/>
    <col min="6" max="6" width="9.4609375" customWidth="1"/>
    <col min="10" max="10" width="10.53515625" customWidth="1"/>
    <col min="13" max="13" width="11.69140625" customWidth="1"/>
    <col min="16" max="16" width="10.3828125" customWidth="1"/>
    <col min="28" max="28" width="15.61328125" customWidth="1"/>
    <col min="29" max="29" width="12" customWidth="1"/>
    <col min="30" max="30" width="10.765625" customWidth="1"/>
    <col min="31" max="31" width="10.3828125" customWidth="1"/>
    <col min="32" max="32" width="15.765625" customWidth="1"/>
    <col min="33" max="33" width="12.921875" customWidth="1"/>
    <col min="34" max="34" width="13.4609375" customWidth="1"/>
    <col min="35" max="35" width="13.23046875" customWidth="1"/>
    <col min="36" max="36" width="16.84375" customWidth="1"/>
    <col min="37" max="37" width="14.69140625" customWidth="1"/>
    <col min="38" max="38" width="14.3828125" customWidth="1"/>
    <col min="39" max="39" width="18.07421875" customWidth="1"/>
    <col min="40" max="40" width="13.3046875" customWidth="1"/>
    <col min="41" max="41" width="13.07421875" customWidth="1"/>
    <col min="42" max="42" width="16.69140625" customWidth="1"/>
    <col min="43" max="43" width="14.84375" customWidth="1"/>
    <col min="44" max="44" width="14.69140625" customWidth="1"/>
    <col min="45" max="46" width="13.23046875" customWidth="1"/>
    <col min="47" max="47" width="13.4609375" customWidth="1"/>
    <col min="48" max="48" width="13.07421875" customWidth="1"/>
    <col min="49" max="49" width="13.23046875" customWidth="1"/>
    <col min="50" max="50" width="14.53515625" customWidth="1"/>
    <col min="51" max="51" width="11.69140625" customWidth="1"/>
    <col min="52" max="53" width="13.23046875" customWidth="1"/>
    <col min="54" max="54" width="21.921875" customWidth="1"/>
    <col min="56" max="56" width="13.84375" customWidth="1"/>
  </cols>
  <sheetData>
    <row r="1" spans="1:56" x14ac:dyDescent="0.25">
      <c r="A1" s="1" t="s">
        <v>408</v>
      </c>
      <c r="B1" s="1" t="s">
        <v>409</v>
      </c>
      <c r="C1" s="1" t="s">
        <v>410</v>
      </c>
      <c r="D1" s="1" t="s">
        <v>411</v>
      </c>
      <c r="E1" s="1" t="s">
        <v>412</v>
      </c>
      <c r="F1" s="1" t="s">
        <v>413</v>
      </c>
      <c r="G1" s="1" t="s">
        <v>64</v>
      </c>
      <c r="H1" s="1" t="s">
        <v>414</v>
      </c>
      <c r="I1" s="1" t="s">
        <v>415</v>
      </c>
      <c r="J1" s="1" t="s">
        <v>416</v>
      </c>
      <c r="K1" s="1" t="s">
        <v>417</v>
      </c>
      <c r="L1" s="1" t="s">
        <v>418</v>
      </c>
      <c r="M1" s="1" t="s">
        <v>419</v>
      </c>
      <c r="N1" s="1" t="s">
        <v>420</v>
      </c>
      <c r="O1" s="1" t="s">
        <v>421</v>
      </c>
      <c r="P1" s="1" t="s">
        <v>422</v>
      </c>
      <c r="Q1" s="1" t="s">
        <v>423</v>
      </c>
      <c r="R1" s="1" t="s">
        <v>424</v>
      </c>
      <c r="S1" s="1" t="s">
        <v>425</v>
      </c>
      <c r="T1" s="1" t="s">
        <v>426</v>
      </c>
      <c r="U1" s="1" t="s">
        <v>427</v>
      </c>
      <c r="V1" s="1" t="s">
        <v>428</v>
      </c>
      <c r="W1" s="1" t="s">
        <v>429</v>
      </c>
      <c r="X1" s="1" t="s">
        <v>430</v>
      </c>
      <c r="Y1" s="1" t="s">
        <v>431</v>
      </c>
      <c r="Z1" s="1" t="s">
        <v>432</v>
      </c>
      <c r="AA1" s="1" t="s">
        <v>433</v>
      </c>
      <c r="AB1" s="1" t="s">
        <v>434</v>
      </c>
      <c r="AC1" s="1" t="s">
        <v>435</v>
      </c>
      <c r="AD1" s="1" t="s">
        <v>436</v>
      </c>
      <c r="AE1" s="1" t="s">
        <v>437</v>
      </c>
      <c r="AF1" s="1" t="s">
        <v>438</v>
      </c>
      <c r="AG1" s="1" t="s">
        <v>439</v>
      </c>
      <c r="AH1" s="1" t="s">
        <v>440</v>
      </c>
      <c r="AI1" s="1" t="s">
        <v>441</v>
      </c>
      <c r="AJ1" s="1" t="s">
        <v>442</v>
      </c>
      <c r="AK1" s="1" t="s">
        <v>443</v>
      </c>
      <c r="AL1" s="1" t="s">
        <v>444</v>
      </c>
      <c r="AM1" s="1" t="s">
        <v>445</v>
      </c>
      <c r="AN1" s="1" t="s">
        <v>446</v>
      </c>
      <c r="AO1" s="1" t="s">
        <v>447</v>
      </c>
      <c r="AP1" s="1" t="s">
        <v>448</v>
      </c>
      <c r="AQ1" s="1" t="s">
        <v>449</v>
      </c>
      <c r="AR1" s="1" t="s">
        <v>450</v>
      </c>
      <c r="AS1" s="1" t="s">
        <v>451</v>
      </c>
      <c r="AT1" s="1" t="s">
        <v>452</v>
      </c>
      <c r="AU1" s="1" t="s">
        <v>453</v>
      </c>
      <c r="AV1" s="1" t="s">
        <v>454</v>
      </c>
      <c r="AW1" s="1" t="s">
        <v>455</v>
      </c>
      <c r="AX1" s="1" t="s">
        <v>456</v>
      </c>
      <c r="AY1" s="1" t="s">
        <v>457</v>
      </c>
      <c r="AZ1" s="1" t="s">
        <v>458</v>
      </c>
      <c r="BA1" s="1" t="s">
        <v>459</v>
      </c>
      <c r="BB1" s="1" t="s">
        <v>460</v>
      </c>
      <c r="BC1" s="1" t="s">
        <v>461</v>
      </c>
      <c r="BD1" s="1" t="s">
        <v>462</v>
      </c>
    </row>
    <row r="2" spans="1:56" x14ac:dyDescent="0.25">
      <c r="A2" s="1">
        <v>1610612738</v>
      </c>
      <c r="B2" s="1" t="s">
        <v>466</v>
      </c>
      <c r="C2" s="1">
        <v>1</v>
      </c>
      <c r="D2" s="1">
        <v>0</v>
      </c>
      <c r="E2" s="1">
        <v>1</v>
      </c>
      <c r="F2" s="1">
        <v>0</v>
      </c>
      <c r="G2" s="1">
        <v>12.2</v>
      </c>
      <c r="H2" s="1">
        <v>9</v>
      </c>
      <c r="I2" s="1">
        <v>26</v>
      </c>
      <c r="J2" s="1">
        <v>0.34599999999999997</v>
      </c>
      <c r="K2" s="1">
        <v>6</v>
      </c>
      <c r="L2" s="1">
        <v>15</v>
      </c>
      <c r="M2" s="1">
        <v>0.4</v>
      </c>
      <c r="N2" s="1">
        <v>4</v>
      </c>
      <c r="O2" s="1">
        <v>5</v>
      </c>
      <c r="P2" s="1">
        <v>0.8</v>
      </c>
      <c r="Q2" s="1">
        <v>2</v>
      </c>
      <c r="R2" s="1">
        <v>10</v>
      </c>
      <c r="S2" s="1">
        <v>12</v>
      </c>
      <c r="T2" s="1">
        <v>7</v>
      </c>
      <c r="U2" s="1" t="s">
        <v>473</v>
      </c>
      <c r="V2" s="1">
        <v>4</v>
      </c>
      <c r="W2" s="1">
        <v>2</v>
      </c>
      <c r="X2" s="1">
        <v>2</v>
      </c>
      <c r="Y2" s="1">
        <v>5</v>
      </c>
      <c r="Z2" s="1">
        <v>5</v>
      </c>
      <c r="AA2" s="1">
        <v>28</v>
      </c>
      <c r="AB2" s="1" t="s">
        <v>494</v>
      </c>
      <c r="AC2" s="1">
        <v>2</v>
      </c>
      <c r="AD2" s="1">
        <v>7</v>
      </c>
      <c r="AE2" s="1">
        <v>7</v>
      </c>
      <c r="AF2" s="1">
        <v>7</v>
      </c>
      <c r="AG2" s="1">
        <v>1</v>
      </c>
      <c r="AH2" s="1">
        <v>2</v>
      </c>
      <c r="AI2" s="1">
        <v>1</v>
      </c>
      <c r="AJ2" s="1">
        <v>8</v>
      </c>
      <c r="AK2" s="1">
        <v>1</v>
      </c>
      <c r="AL2" s="1">
        <v>1</v>
      </c>
      <c r="AM2" s="1">
        <v>8</v>
      </c>
      <c r="AN2" s="1">
        <v>2</v>
      </c>
      <c r="AO2" s="1">
        <v>2</v>
      </c>
      <c r="AP2" s="1">
        <v>6</v>
      </c>
      <c r="AQ2" s="1">
        <v>1</v>
      </c>
      <c r="AR2" s="1">
        <v>2</v>
      </c>
      <c r="AS2" s="1">
        <v>2</v>
      </c>
      <c r="AT2" s="1">
        <v>2</v>
      </c>
      <c r="AU2" s="1">
        <v>8</v>
      </c>
      <c r="AV2" s="1">
        <v>1</v>
      </c>
      <c r="AW2" s="1">
        <v>1</v>
      </c>
      <c r="AX2" s="1">
        <v>11</v>
      </c>
      <c r="AY2" s="1">
        <v>12</v>
      </c>
      <c r="AZ2" s="1">
        <v>1</v>
      </c>
      <c r="BA2" s="1">
        <v>2</v>
      </c>
      <c r="BB2" s="1">
        <v>8</v>
      </c>
      <c r="BC2" s="1">
        <v>6</v>
      </c>
      <c r="BD2" s="1" t="s">
        <v>466</v>
      </c>
    </row>
    <row r="3" spans="1:56" x14ac:dyDescent="0.25">
      <c r="A3" s="1">
        <v>1610612766</v>
      </c>
      <c r="B3" s="1" t="s">
        <v>471</v>
      </c>
      <c r="C3" s="1">
        <v>1</v>
      </c>
      <c r="D3" s="1">
        <v>1</v>
      </c>
      <c r="E3" s="1">
        <v>0</v>
      </c>
      <c r="F3" s="1">
        <v>1</v>
      </c>
      <c r="G3" s="1">
        <v>5.0999999999999996</v>
      </c>
      <c r="H3" s="1">
        <v>4</v>
      </c>
      <c r="I3" s="1">
        <v>11</v>
      </c>
      <c r="J3" s="1">
        <v>0.36399999999999999</v>
      </c>
      <c r="K3" s="1">
        <v>1</v>
      </c>
      <c r="L3" s="1">
        <v>2</v>
      </c>
      <c r="M3" s="1">
        <v>0.5</v>
      </c>
      <c r="N3" s="1">
        <v>5</v>
      </c>
      <c r="O3" s="1">
        <v>6</v>
      </c>
      <c r="P3" s="1">
        <v>0.83299999999999996</v>
      </c>
      <c r="Q3" s="1">
        <v>1</v>
      </c>
      <c r="R3" s="1">
        <v>4</v>
      </c>
      <c r="S3" s="1">
        <v>5</v>
      </c>
      <c r="T3" s="1">
        <v>2</v>
      </c>
      <c r="U3" s="1" t="s">
        <v>654</v>
      </c>
      <c r="V3" s="1">
        <v>0</v>
      </c>
      <c r="W3" s="1">
        <v>0</v>
      </c>
      <c r="X3" s="1">
        <v>2</v>
      </c>
      <c r="Y3" s="1">
        <v>2</v>
      </c>
      <c r="Z3" s="1">
        <v>3</v>
      </c>
      <c r="AA3" s="1">
        <v>14</v>
      </c>
      <c r="AB3" s="1" t="s">
        <v>494</v>
      </c>
      <c r="AC3" s="1">
        <v>2</v>
      </c>
      <c r="AD3" s="1">
        <v>2</v>
      </c>
      <c r="AE3" s="1">
        <v>1</v>
      </c>
      <c r="AF3" s="1">
        <v>1</v>
      </c>
      <c r="AG3" s="1">
        <v>4</v>
      </c>
      <c r="AH3" s="1">
        <v>5</v>
      </c>
      <c r="AI3" s="1">
        <v>3</v>
      </c>
      <c r="AJ3" s="1">
        <v>7</v>
      </c>
      <c r="AK3" s="1">
        <v>7</v>
      </c>
      <c r="AL3" s="1">
        <v>8</v>
      </c>
      <c r="AM3" s="1">
        <v>4</v>
      </c>
      <c r="AN3" s="1">
        <v>1</v>
      </c>
      <c r="AO3" s="1">
        <v>1</v>
      </c>
      <c r="AP3" s="1">
        <v>5</v>
      </c>
      <c r="AQ3" s="1">
        <v>5</v>
      </c>
      <c r="AR3" s="1">
        <v>4</v>
      </c>
      <c r="AS3" s="1">
        <v>5</v>
      </c>
      <c r="AT3" s="1">
        <v>5</v>
      </c>
      <c r="AU3" s="1">
        <v>1</v>
      </c>
      <c r="AV3" s="1">
        <v>3</v>
      </c>
      <c r="AW3" s="1">
        <v>7</v>
      </c>
      <c r="AX3" s="1">
        <v>11</v>
      </c>
      <c r="AY3" s="1">
        <v>6</v>
      </c>
      <c r="AZ3" s="1">
        <v>3</v>
      </c>
      <c r="BA3" s="1">
        <v>5</v>
      </c>
      <c r="BB3" s="1">
        <v>8</v>
      </c>
      <c r="BC3" s="1">
        <v>6</v>
      </c>
      <c r="BD3" s="1" t="s">
        <v>471</v>
      </c>
    </row>
    <row r="4" spans="1:56" x14ac:dyDescent="0.25">
      <c r="A4" s="1">
        <v>1610612741</v>
      </c>
      <c r="B4" s="1" t="s">
        <v>474</v>
      </c>
      <c r="C4" s="1">
        <v>1</v>
      </c>
      <c r="D4" s="1">
        <v>1</v>
      </c>
      <c r="E4" s="1">
        <v>0</v>
      </c>
      <c r="F4" s="1">
        <v>1</v>
      </c>
      <c r="G4" s="1">
        <v>4.8</v>
      </c>
      <c r="H4" s="1">
        <v>2</v>
      </c>
      <c r="I4" s="1">
        <v>8</v>
      </c>
      <c r="J4" s="1">
        <v>0.25</v>
      </c>
      <c r="K4" s="1">
        <v>0</v>
      </c>
      <c r="L4" s="1">
        <v>1</v>
      </c>
      <c r="M4" s="1">
        <v>0</v>
      </c>
      <c r="N4" s="1">
        <v>4</v>
      </c>
      <c r="O4" s="1">
        <v>4</v>
      </c>
      <c r="P4" s="1">
        <v>1</v>
      </c>
      <c r="Q4" s="1">
        <v>2</v>
      </c>
      <c r="R4" s="1">
        <v>7</v>
      </c>
      <c r="S4" s="1">
        <v>9</v>
      </c>
      <c r="T4" s="1">
        <v>1</v>
      </c>
      <c r="U4" s="1" t="s">
        <v>644</v>
      </c>
      <c r="V4" s="1">
        <v>0</v>
      </c>
      <c r="W4" s="1">
        <v>0</v>
      </c>
      <c r="X4" s="1">
        <v>1</v>
      </c>
      <c r="Y4" s="1">
        <v>2</v>
      </c>
      <c r="Z4" s="1">
        <v>3</v>
      </c>
      <c r="AA4" s="1">
        <v>8</v>
      </c>
      <c r="AB4" s="1" t="s">
        <v>511</v>
      </c>
      <c r="AC4" s="1">
        <v>2</v>
      </c>
      <c r="AD4" s="1">
        <v>2</v>
      </c>
      <c r="AE4" s="1">
        <v>1</v>
      </c>
      <c r="AF4" s="1">
        <v>1</v>
      </c>
      <c r="AG4" s="1">
        <v>6</v>
      </c>
      <c r="AH4" s="1">
        <v>8</v>
      </c>
      <c r="AI4" s="1">
        <v>7</v>
      </c>
      <c r="AJ4" s="1">
        <v>11</v>
      </c>
      <c r="AK4" s="1">
        <v>10</v>
      </c>
      <c r="AL4" s="1">
        <v>10</v>
      </c>
      <c r="AM4" s="1">
        <v>10</v>
      </c>
      <c r="AN4" s="1">
        <v>2</v>
      </c>
      <c r="AO4" s="1">
        <v>3</v>
      </c>
      <c r="AP4" s="1">
        <v>1</v>
      </c>
      <c r="AQ4" s="1">
        <v>1</v>
      </c>
      <c r="AR4" s="1">
        <v>3</v>
      </c>
      <c r="AS4" s="1">
        <v>3</v>
      </c>
      <c r="AT4" s="1">
        <v>9</v>
      </c>
      <c r="AU4" s="1">
        <v>11</v>
      </c>
      <c r="AV4" s="1">
        <v>3</v>
      </c>
      <c r="AW4" s="1">
        <v>7</v>
      </c>
      <c r="AX4" s="1">
        <v>8</v>
      </c>
      <c r="AY4" s="1">
        <v>6</v>
      </c>
      <c r="AZ4" s="1">
        <v>3</v>
      </c>
      <c r="BA4" s="1">
        <v>8</v>
      </c>
      <c r="BB4" s="1">
        <v>2</v>
      </c>
      <c r="BC4" s="1">
        <v>6</v>
      </c>
      <c r="BD4" s="1" t="s">
        <v>474</v>
      </c>
    </row>
    <row r="5" spans="1:56" x14ac:dyDescent="0.25">
      <c r="A5" s="1">
        <v>1610612739</v>
      </c>
      <c r="B5" s="1" t="s">
        <v>477</v>
      </c>
      <c r="C5" s="1">
        <v>1</v>
      </c>
      <c r="D5" s="1">
        <v>0</v>
      </c>
      <c r="E5" s="1">
        <v>1</v>
      </c>
      <c r="F5" s="1">
        <v>0</v>
      </c>
      <c r="G5" s="1">
        <v>2.8</v>
      </c>
      <c r="H5" s="1">
        <v>2</v>
      </c>
      <c r="I5" s="1">
        <v>5</v>
      </c>
      <c r="J5" s="1">
        <v>0.4</v>
      </c>
      <c r="K5" s="1">
        <v>1</v>
      </c>
      <c r="L5" s="1">
        <v>3</v>
      </c>
      <c r="M5" s="1">
        <v>0.33300000000000002</v>
      </c>
      <c r="N5" s="1">
        <v>0</v>
      </c>
      <c r="O5" s="1">
        <v>0</v>
      </c>
      <c r="P5" s="1">
        <v>0</v>
      </c>
      <c r="Q5" s="1">
        <v>0</v>
      </c>
      <c r="R5" s="1">
        <v>1</v>
      </c>
      <c r="S5" s="1">
        <v>1</v>
      </c>
      <c r="T5" s="1">
        <v>2</v>
      </c>
      <c r="U5" s="1" t="s">
        <v>654</v>
      </c>
      <c r="V5" s="1">
        <v>0</v>
      </c>
      <c r="W5" s="1">
        <v>0</v>
      </c>
      <c r="X5" s="1">
        <v>1</v>
      </c>
      <c r="Y5" s="1">
        <v>1</v>
      </c>
      <c r="Z5" s="1">
        <v>0</v>
      </c>
      <c r="AA5" s="1">
        <v>5</v>
      </c>
      <c r="AB5" s="1" t="s">
        <v>499</v>
      </c>
      <c r="AC5" s="1">
        <v>2</v>
      </c>
      <c r="AD5" s="1">
        <v>7</v>
      </c>
      <c r="AE5" s="1">
        <v>7</v>
      </c>
      <c r="AF5" s="1">
        <v>7</v>
      </c>
      <c r="AG5" s="1">
        <v>9</v>
      </c>
      <c r="AH5" s="1">
        <v>8</v>
      </c>
      <c r="AI5" s="1">
        <v>10</v>
      </c>
      <c r="AJ5" s="1">
        <v>5</v>
      </c>
      <c r="AK5" s="1">
        <v>7</v>
      </c>
      <c r="AL5" s="1">
        <v>6</v>
      </c>
      <c r="AM5" s="1">
        <v>9</v>
      </c>
      <c r="AN5" s="1">
        <v>11</v>
      </c>
      <c r="AO5" s="1">
        <v>11</v>
      </c>
      <c r="AP5" s="1">
        <v>11</v>
      </c>
      <c r="AQ5" s="1">
        <v>8</v>
      </c>
      <c r="AR5" s="1">
        <v>12</v>
      </c>
      <c r="AS5" s="1">
        <v>12</v>
      </c>
      <c r="AT5" s="1">
        <v>5</v>
      </c>
      <c r="AU5" s="1">
        <v>1</v>
      </c>
      <c r="AV5" s="1">
        <v>3</v>
      </c>
      <c r="AW5" s="1">
        <v>7</v>
      </c>
      <c r="AX5" s="1">
        <v>8</v>
      </c>
      <c r="AY5" s="1">
        <v>3</v>
      </c>
      <c r="AZ5" s="1">
        <v>12</v>
      </c>
      <c r="BA5" s="1">
        <v>10</v>
      </c>
      <c r="BB5" s="1">
        <v>13</v>
      </c>
      <c r="BC5" s="1">
        <v>6</v>
      </c>
      <c r="BD5" s="1" t="s">
        <v>477</v>
      </c>
    </row>
    <row r="6" spans="1:56" x14ac:dyDescent="0.25">
      <c r="A6" s="1">
        <v>1610612765</v>
      </c>
      <c r="B6" s="1" t="s">
        <v>486</v>
      </c>
      <c r="C6" s="1">
        <v>1</v>
      </c>
      <c r="D6" s="1">
        <v>0</v>
      </c>
      <c r="E6" s="1">
        <v>1</v>
      </c>
      <c r="F6" s="1">
        <v>0</v>
      </c>
      <c r="G6" s="1">
        <v>4.8</v>
      </c>
      <c r="H6" s="1">
        <v>1</v>
      </c>
      <c r="I6" s="1">
        <v>9</v>
      </c>
      <c r="J6" s="1">
        <v>0.111</v>
      </c>
      <c r="K6" s="1">
        <v>0</v>
      </c>
      <c r="L6" s="1">
        <v>1</v>
      </c>
      <c r="M6" s="1">
        <v>0</v>
      </c>
      <c r="N6" s="1">
        <v>2</v>
      </c>
      <c r="O6" s="1">
        <v>2</v>
      </c>
      <c r="P6" s="1">
        <v>1</v>
      </c>
      <c r="Q6" s="1">
        <v>1</v>
      </c>
      <c r="R6" s="1">
        <v>4</v>
      </c>
      <c r="S6" s="1">
        <v>5</v>
      </c>
      <c r="T6" s="1">
        <v>0</v>
      </c>
      <c r="U6" s="1" t="s">
        <v>473</v>
      </c>
      <c r="V6" s="1">
        <v>0</v>
      </c>
      <c r="W6" s="1">
        <v>1</v>
      </c>
      <c r="X6" s="1">
        <v>0</v>
      </c>
      <c r="Y6" s="1">
        <v>3</v>
      </c>
      <c r="Z6" s="1">
        <v>2</v>
      </c>
      <c r="AA6" s="1">
        <v>4</v>
      </c>
      <c r="AB6" s="1" t="s">
        <v>468</v>
      </c>
      <c r="AC6" s="1">
        <v>2</v>
      </c>
      <c r="AD6" s="1">
        <v>7</v>
      </c>
      <c r="AE6" s="1">
        <v>7</v>
      </c>
      <c r="AF6" s="1">
        <v>7</v>
      </c>
      <c r="AG6" s="1">
        <v>6</v>
      </c>
      <c r="AH6" s="1">
        <v>11</v>
      </c>
      <c r="AI6" s="1">
        <v>6</v>
      </c>
      <c r="AJ6" s="1">
        <v>12</v>
      </c>
      <c r="AK6" s="1">
        <v>10</v>
      </c>
      <c r="AL6" s="1">
        <v>10</v>
      </c>
      <c r="AM6" s="1">
        <v>10</v>
      </c>
      <c r="AN6" s="1">
        <v>7</v>
      </c>
      <c r="AO6" s="1">
        <v>8</v>
      </c>
      <c r="AP6" s="1">
        <v>1</v>
      </c>
      <c r="AQ6" s="1">
        <v>5</v>
      </c>
      <c r="AR6" s="1">
        <v>4</v>
      </c>
      <c r="AS6" s="1">
        <v>5</v>
      </c>
      <c r="AT6" s="1">
        <v>12</v>
      </c>
      <c r="AU6" s="1">
        <v>8</v>
      </c>
      <c r="AV6" s="1">
        <v>3</v>
      </c>
      <c r="AW6" s="1">
        <v>4</v>
      </c>
      <c r="AX6" s="1">
        <v>1</v>
      </c>
      <c r="AY6" s="1">
        <v>9</v>
      </c>
      <c r="AZ6" s="1">
        <v>7</v>
      </c>
      <c r="BA6" s="1">
        <v>12</v>
      </c>
      <c r="BB6" s="1">
        <v>11</v>
      </c>
      <c r="BC6" s="1">
        <v>6</v>
      </c>
      <c r="BD6" s="1" t="s">
        <v>486</v>
      </c>
    </row>
    <row r="7" spans="1:56" x14ac:dyDescent="0.25">
      <c r="A7" s="1">
        <v>1610612744</v>
      </c>
      <c r="B7" s="1" t="s">
        <v>488</v>
      </c>
      <c r="C7" s="1">
        <v>2</v>
      </c>
      <c r="D7" s="1">
        <v>2</v>
      </c>
      <c r="E7" s="1">
        <v>0</v>
      </c>
      <c r="F7" s="1">
        <v>1</v>
      </c>
      <c r="G7" s="1">
        <v>2.9</v>
      </c>
      <c r="H7" s="1">
        <v>3</v>
      </c>
      <c r="I7" s="1">
        <v>4.5</v>
      </c>
      <c r="J7" s="1">
        <v>0.66700000000000004</v>
      </c>
      <c r="K7" s="1">
        <v>1.5</v>
      </c>
      <c r="L7" s="1">
        <v>2</v>
      </c>
      <c r="M7" s="1">
        <v>0.75</v>
      </c>
      <c r="N7" s="1">
        <v>1.5</v>
      </c>
      <c r="O7" s="1">
        <v>2</v>
      </c>
      <c r="P7" s="1">
        <v>0.75</v>
      </c>
      <c r="Q7" s="1">
        <v>0</v>
      </c>
      <c r="R7" s="1">
        <v>2</v>
      </c>
      <c r="S7" s="1">
        <v>2</v>
      </c>
      <c r="T7" s="1">
        <v>2.5</v>
      </c>
      <c r="U7" s="1" t="s">
        <v>655</v>
      </c>
      <c r="V7" s="1">
        <v>0</v>
      </c>
      <c r="W7" s="1">
        <v>0</v>
      </c>
      <c r="X7" s="1">
        <v>0</v>
      </c>
      <c r="Y7" s="1">
        <v>1.5</v>
      </c>
      <c r="Z7" s="1">
        <v>1</v>
      </c>
      <c r="AA7" s="1">
        <v>9</v>
      </c>
      <c r="AB7" s="1" t="s">
        <v>656</v>
      </c>
      <c r="AC7" s="1">
        <v>1</v>
      </c>
      <c r="AD7" s="1">
        <v>1</v>
      </c>
      <c r="AE7" s="1">
        <v>1</v>
      </c>
      <c r="AF7" s="1">
        <v>1</v>
      </c>
      <c r="AG7" s="1">
        <v>8</v>
      </c>
      <c r="AH7" s="1">
        <v>7</v>
      </c>
      <c r="AI7" s="1">
        <v>11</v>
      </c>
      <c r="AJ7" s="1">
        <v>2</v>
      </c>
      <c r="AK7" s="1">
        <v>6</v>
      </c>
      <c r="AL7" s="1">
        <v>8</v>
      </c>
      <c r="AM7" s="1">
        <v>2</v>
      </c>
      <c r="AN7" s="1">
        <v>9</v>
      </c>
      <c r="AO7" s="1">
        <v>8</v>
      </c>
      <c r="AP7" s="1">
        <v>7</v>
      </c>
      <c r="AQ7" s="1">
        <v>8</v>
      </c>
      <c r="AR7" s="1">
        <v>9</v>
      </c>
      <c r="AS7" s="1">
        <v>10</v>
      </c>
      <c r="AT7" s="1">
        <v>4</v>
      </c>
      <c r="AU7" s="1">
        <v>7</v>
      </c>
      <c r="AV7" s="1">
        <v>3</v>
      </c>
      <c r="AW7" s="1">
        <v>7</v>
      </c>
      <c r="AX7" s="1">
        <v>1</v>
      </c>
      <c r="AY7" s="1">
        <v>5</v>
      </c>
      <c r="AZ7" s="1">
        <v>9</v>
      </c>
      <c r="BA7" s="1">
        <v>7</v>
      </c>
      <c r="BB7" s="1">
        <v>5</v>
      </c>
      <c r="BC7" s="1">
        <v>6</v>
      </c>
      <c r="BD7" s="1" t="s">
        <v>488</v>
      </c>
    </row>
    <row r="8" spans="1:56" x14ac:dyDescent="0.25">
      <c r="A8" s="1">
        <v>1610612754</v>
      </c>
      <c r="B8" s="1" t="s">
        <v>493</v>
      </c>
      <c r="C8" s="1">
        <v>1</v>
      </c>
      <c r="D8" s="1">
        <v>0</v>
      </c>
      <c r="E8" s="1">
        <v>1</v>
      </c>
      <c r="F8" s="1">
        <v>0</v>
      </c>
      <c r="G8" s="1">
        <v>5.0999999999999996</v>
      </c>
      <c r="H8" s="1">
        <v>4</v>
      </c>
      <c r="I8" s="1">
        <v>10</v>
      </c>
      <c r="J8" s="1">
        <v>0.4</v>
      </c>
      <c r="K8" s="1">
        <v>4</v>
      </c>
      <c r="L8" s="1">
        <v>9</v>
      </c>
      <c r="M8" s="1">
        <v>0.44400000000000001</v>
      </c>
      <c r="N8" s="1">
        <v>3</v>
      </c>
      <c r="O8" s="1">
        <v>4</v>
      </c>
      <c r="P8" s="1">
        <v>0.75</v>
      </c>
      <c r="Q8" s="1">
        <v>2</v>
      </c>
      <c r="R8" s="1">
        <v>4</v>
      </c>
      <c r="S8" s="1">
        <v>6</v>
      </c>
      <c r="T8" s="1">
        <v>2</v>
      </c>
      <c r="U8" s="1" t="s">
        <v>654</v>
      </c>
      <c r="V8" s="1">
        <v>0</v>
      </c>
      <c r="W8" s="1">
        <v>2</v>
      </c>
      <c r="X8" s="1">
        <v>0</v>
      </c>
      <c r="Y8" s="1">
        <v>3</v>
      </c>
      <c r="Z8" s="1">
        <v>2</v>
      </c>
      <c r="AA8" s="1">
        <v>15</v>
      </c>
      <c r="AB8" s="1" t="s">
        <v>473</v>
      </c>
      <c r="AC8" s="1">
        <v>2</v>
      </c>
      <c r="AD8" s="1">
        <v>7</v>
      </c>
      <c r="AE8" s="1">
        <v>7</v>
      </c>
      <c r="AF8" s="1">
        <v>7</v>
      </c>
      <c r="AG8" s="1">
        <v>4</v>
      </c>
      <c r="AH8" s="1">
        <v>5</v>
      </c>
      <c r="AI8" s="1">
        <v>4</v>
      </c>
      <c r="AJ8" s="1">
        <v>5</v>
      </c>
      <c r="AK8" s="1">
        <v>3</v>
      </c>
      <c r="AL8" s="1">
        <v>3</v>
      </c>
      <c r="AM8" s="1">
        <v>6</v>
      </c>
      <c r="AN8" s="1">
        <v>5</v>
      </c>
      <c r="AO8" s="1">
        <v>3</v>
      </c>
      <c r="AP8" s="1">
        <v>7</v>
      </c>
      <c r="AQ8" s="1">
        <v>1</v>
      </c>
      <c r="AR8" s="1">
        <v>4</v>
      </c>
      <c r="AS8" s="1">
        <v>4</v>
      </c>
      <c r="AT8" s="1">
        <v>5</v>
      </c>
      <c r="AU8" s="1">
        <v>1</v>
      </c>
      <c r="AV8" s="1">
        <v>3</v>
      </c>
      <c r="AW8" s="1">
        <v>1</v>
      </c>
      <c r="AX8" s="1">
        <v>1</v>
      </c>
      <c r="AY8" s="1">
        <v>9</v>
      </c>
      <c r="AZ8" s="1">
        <v>7</v>
      </c>
      <c r="BA8" s="1">
        <v>3</v>
      </c>
      <c r="BB8" s="1">
        <v>6</v>
      </c>
      <c r="BC8" s="1">
        <v>6</v>
      </c>
      <c r="BD8" s="1" t="s">
        <v>493</v>
      </c>
    </row>
    <row r="9" spans="1:56" x14ac:dyDescent="0.25">
      <c r="A9" s="1">
        <v>1610612746</v>
      </c>
      <c r="B9" s="1" t="s">
        <v>495</v>
      </c>
      <c r="C9" s="1">
        <v>1</v>
      </c>
      <c r="D9" s="1">
        <v>0</v>
      </c>
      <c r="E9" s="1">
        <v>1</v>
      </c>
      <c r="F9" s="1">
        <v>0</v>
      </c>
      <c r="G9" s="1">
        <v>5.0999999999999996</v>
      </c>
      <c r="H9" s="1">
        <v>5</v>
      </c>
      <c r="I9" s="1">
        <v>10</v>
      </c>
      <c r="J9" s="1">
        <v>0.5</v>
      </c>
      <c r="K9" s="1">
        <v>3</v>
      </c>
      <c r="L9" s="1">
        <v>7</v>
      </c>
      <c r="M9" s="1">
        <v>0.42899999999999999</v>
      </c>
      <c r="N9" s="1">
        <v>2</v>
      </c>
      <c r="O9" s="1">
        <v>3</v>
      </c>
      <c r="P9" s="1">
        <v>0.66700000000000004</v>
      </c>
      <c r="Q9" s="1">
        <v>1</v>
      </c>
      <c r="R9" s="1">
        <v>3</v>
      </c>
      <c r="S9" s="1">
        <v>4</v>
      </c>
      <c r="T9" s="1">
        <v>4</v>
      </c>
      <c r="U9" s="1" t="s">
        <v>654</v>
      </c>
      <c r="V9" s="1">
        <v>0</v>
      </c>
      <c r="W9" s="1">
        <v>0</v>
      </c>
      <c r="X9" s="1">
        <v>0</v>
      </c>
      <c r="Y9" s="1">
        <v>2</v>
      </c>
      <c r="Z9" s="1">
        <v>3</v>
      </c>
      <c r="AA9" s="1">
        <v>15</v>
      </c>
      <c r="AB9" s="1" t="s">
        <v>644</v>
      </c>
      <c r="AC9" s="1">
        <v>2</v>
      </c>
      <c r="AD9" s="1">
        <v>7</v>
      </c>
      <c r="AE9" s="1">
        <v>7</v>
      </c>
      <c r="AF9" s="1">
        <v>7</v>
      </c>
      <c r="AG9" s="1">
        <v>3</v>
      </c>
      <c r="AH9" s="1">
        <v>3</v>
      </c>
      <c r="AI9" s="1">
        <v>4</v>
      </c>
      <c r="AJ9" s="1">
        <v>3</v>
      </c>
      <c r="AK9" s="1">
        <v>4</v>
      </c>
      <c r="AL9" s="1">
        <v>4</v>
      </c>
      <c r="AM9" s="1">
        <v>7</v>
      </c>
      <c r="AN9" s="1">
        <v>7</v>
      </c>
      <c r="AO9" s="1">
        <v>6</v>
      </c>
      <c r="AP9" s="1">
        <v>9</v>
      </c>
      <c r="AQ9" s="1">
        <v>5</v>
      </c>
      <c r="AR9" s="1">
        <v>7</v>
      </c>
      <c r="AS9" s="1">
        <v>7</v>
      </c>
      <c r="AT9" s="1">
        <v>3</v>
      </c>
      <c r="AU9" s="1">
        <v>1</v>
      </c>
      <c r="AV9" s="1">
        <v>3</v>
      </c>
      <c r="AW9" s="1">
        <v>7</v>
      </c>
      <c r="AX9" s="1">
        <v>1</v>
      </c>
      <c r="AY9" s="1">
        <v>6</v>
      </c>
      <c r="AZ9" s="1">
        <v>3</v>
      </c>
      <c r="BA9" s="1">
        <v>3</v>
      </c>
      <c r="BB9" s="1">
        <v>3</v>
      </c>
      <c r="BC9" s="1">
        <v>6</v>
      </c>
      <c r="BD9" s="1" t="s">
        <v>495</v>
      </c>
    </row>
    <row r="10" spans="1:56" x14ac:dyDescent="0.25">
      <c r="A10" s="1">
        <v>1610612747</v>
      </c>
      <c r="B10" s="1" t="s">
        <v>498</v>
      </c>
      <c r="C10" s="1">
        <v>1</v>
      </c>
      <c r="D10" s="1">
        <v>0</v>
      </c>
      <c r="E10" s="1">
        <v>1</v>
      </c>
      <c r="F10" s="1">
        <v>0</v>
      </c>
      <c r="G10" s="1">
        <v>0.6</v>
      </c>
      <c r="H10" s="1">
        <v>0</v>
      </c>
      <c r="I10" s="1">
        <v>1</v>
      </c>
      <c r="J10" s="1">
        <v>0</v>
      </c>
      <c r="K10" s="1">
        <v>0</v>
      </c>
      <c r="L10" s="1">
        <v>1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 t="s">
        <v>654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 t="s">
        <v>657</v>
      </c>
      <c r="AC10" s="1">
        <v>2</v>
      </c>
      <c r="AD10" s="1">
        <v>7</v>
      </c>
      <c r="AE10" s="1">
        <v>7</v>
      </c>
      <c r="AF10" s="1">
        <v>7</v>
      </c>
      <c r="AG10" s="1">
        <v>13</v>
      </c>
      <c r="AH10" s="1">
        <v>13</v>
      </c>
      <c r="AI10" s="1">
        <v>13</v>
      </c>
      <c r="AJ10" s="1">
        <v>13</v>
      </c>
      <c r="AK10" s="1">
        <v>10</v>
      </c>
      <c r="AL10" s="1">
        <v>10</v>
      </c>
      <c r="AM10" s="1">
        <v>10</v>
      </c>
      <c r="AN10" s="1">
        <v>11</v>
      </c>
      <c r="AO10" s="1">
        <v>11</v>
      </c>
      <c r="AP10" s="1">
        <v>11</v>
      </c>
      <c r="AQ10" s="1">
        <v>8</v>
      </c>
      <c r="AR10" s="1">
        <v>13</v>
      </c>
      <c r="AS10" s="1">
        <v>13</v>
      </c>
      <c r="AT10" s="1">
        <v>12</v>
      </c>
      <c r="AU10" s="1">
        <v>1</v>
      </c>
      <c r="AV10" s="1">
        <v>3</v>
      </c>
      <c r="AW10" s="1">
        <v>7</v>
      </c>
      <c r="AX10" s="1">
        <v>1</v>
      </c>
      <c r="AY10" s="1">
        <v>1</v>
      </c>
      <c r="AZ10" s="1">
        <v>12</v>
      </c>
      <c r="BA10" s="1">
        <v>13</v>
      </c>
      <c r="BB10" s="1">
        <v>12</v>
      </c>
      <c r="BC10" s="1">
        <v>6</v>
      </c>
      <c r="BD10" s="1" t="s">
        <v>498</v>
      </c>
    </row>
    <row r="11" spans="1:56" x14ac:dyDescent="0.25">
      <c r="A11" s="1">
        <v>1610612763</v>
      </c>
      <c r="B11" s="1" t="s">
        <v>500</v>
      </c>
      <c r="C11" s="1">
        <v>1</v>
      </c>
      <c r="D11" s="1">
        <v>1</v>
      </c>
      <c r="E11" s="1">
        <v>0</v>
      </c>
      <c r="F11" s="1">
        <v>1</v>
      </c>
      <c r="G11" s="1">
        <v>2.8</v>
      </c>
      <c r="H11" s="1">
        <v>5</v>
      </c>
      <c r="I11" s="1">
        <v>6</v>
      </c>
      <c r="J11" s="1">
        <v>0.83299999999999996</v>
      </c>
      <c r="K11" s="1">
        <v>2</v>
      </c>
      <c r="L11" s="1">
        <v>3</v>
      </c>
      <c r="M11" s="1">
        <v>0.66700000000000004</v>
      </c>
      <c r="N11" s="1">
        <v>0</v>
      </c>
      <c r="O11" s="1">
        <v>0</v>
      </c>
      <c r="P11" s="1">
        <v>0</v>
      </c>
      <c r="Q11" s="1">
        <v>0</v>
      </c>
      <c r="R11" s="1">
        <v>3</v>
      </c>
      <c r="S11" s="1">
        <v>3</v>
      </c>
      <c r="T11" s="1">
        <v>2</v>
      </c>
      <c r="U11" s="1" t="s">
        <v>473</v>
      </c>
      <c r="V11" s="1">
        <v>0</v>
      </c>
      <c r="W11" s="1">
        <v>1</v>
      </c>
      <c r="X11" s="1">
        <v>0</v>
      </c>
      <c r="Y11" s="1">
        <v>0</v>
      </c>
      <c r="Z11" s="1">
        <v>1</v>
      </c>
      <c r="AA11" s="1">
        <v>12</v>
      </c>
      <c r="AB11" s="1" t="s">
        <v>496</v>
      </c>
      <c r="AC11" s="1">
        <v>2</v>
      </c>
      <c r="AD11" s="1">
        <v>2</v>
      </c>
      <c r="AE11" s="1">
        <v>1</v>
      </c>
      <c r="AF11" s="1">
        <v>1</v>
      </c>
      <c r="AG11" s="1">
        <v>9</v>
      </c>
      <c r="AH11" s="1">
        <v>3</v>
      </c>
      <c r="AI11" s="1">
        <v>9</v>
      </c>
      <c r="AJ11" s="1">
        <v>1</v>
      </c>
      <c r="AK11" s="1">
        <v>5</v>
      </c>
      <c r="AL11" s="1">
        <v>6</v>
      </c>
      <c r="AM11" s="1">
        <v>3</v>
      </c>
      <c r="AN11" s="1">
        <v>11</v>
      </c>
      <c r="AO11" s="1">
        <v>11</v>
      </c>
      <c r="AP11" s="1">
        <v>11</v>
      </c>
      <c r="AQ11" s="1">
        <v>8</v>
      </c>
      <c r="AR11" s="1">
        <v>7</v>
      </c>
      <c r="AS11" s="1">
        <v>9</v>
      </c>
      <c r="AT11" s="1">
        <v>5</v>
      </c>
      <c r="AU11" s="1">
        <v>8</v>
      </c>
      <c r="AV11" s="1">
        <v>3</v>
      </c>
      <c r="AW11" s="1">
        <v>4</v>
      </c>
      <c r="AX11" s="1">
        <v>1</v>
      </c>
      <c r="AY11" s="1">
        <v>1</v>
      </c>
      <c r="AZ11" s="1">
        <v>9</v>
      </c>
      <c r="BA11" s="1">
        <v>6</v>
      </c>
      <c r="BB11" s="1">
        <v>1</v>
      </c>
      <c r="BC11" s="1">
        <v>6</v>
      </c>
      <c r="BD11" s="1" t="s">
        <v>500</v>
      </c>
    </row>
    <row r="12" spans="1:56" x14ac:dyDescent="0.25">
      <c r="A12" s="1">
        <v>1610612752</v>
      </c>
      <c r="B12" s="1" t="s">
        <v>510</v>
      </c>
      <c r="C12" s="1">
        <v>1</v>
      </c>
      <c r="D12" s="1">
        <v>1</v>
      </c>
      <c r="E12" s="1">
        <v>0</v>
      </c>
      <c r="F12" s="1">
        <v>1</v>
      </c>
      <c r="G12" s="1">
        <v>12.2</v>
      </c>
      <c r="H12" s="1">
        <v>10</v>
      </c>
      <c r="I12" s="1">
        <v>22</v>
      </c>
      <c r="J12" s="1">
        <v>0.45500000000000002</v>
      </c>
      <c r="K12" s="1">
        <v>6</v>
      </c>
      <c r="L12" s="1">
        <v>13</v>
      </c>
      <c r="M12" s="1">
        <v>0.46200000000000002</v>
      </c>
      <c r="N12" s="1">
        <v>3</v>
      </c>
      <c r="O12" s="1">
        <v>3</v>
      </c>
      <c r="P12" s="1">
        <v>1</v>
      </c>
      <c r="Q12" s="1">
        <v>0</v>
      </c>
      <c r="R12" s="1">
        <v>14</v>
      </c>
      <c r="S12" s="1">
        <v>14</v>
      </c>
      <c r="T12" s="1">
        <v>8</v>
      </c>
      <c r="U12" s="1" t="s">
        <v>658</v>
      </c>
      <c r="V12" s="1">
        <v>0</v>
      </c>
      <c r="W12" s="1">
        <v>2</v>
      </c>
      <c r="X12" s="1">
        <v>2</v>
      </c>
      <c r="Y12" s="1">
        <v>5</v>
      </c>
      <c r="Z12" s="1">
        <v>5</v>
      </c>
      <c r="AA12" s="1">
        <v>29</v>
      </c>
      <c r="AB12" s="1" t="s">
        <v>473</v>
      </c>
      <c r="AC12" s="1">
        <v>2</v>
      </c>
      <c r="AD12" s="1">
        <v>2</v>
      </c>
      <c r="AE12" s="1">
        <v>1</v>
      </c>
      <c r="AF12" s="1">
        <v>1</v>
      </c>
      <c r="AG12" s="1">
        <v>1</v>
      </c>
      <c r="AH12" s="1">
        <v>1</v>
      </c>
      <c r="AI12" s="1">
        <v>2</v>
      </c>
      <c r="AJ12" s="1">
        <v>4</v>
      </c>
      <c r="AK12" s="1">
        <v>1</v>
      </c>
      <c r="AL12" s="1">
        <v>2</v>
      </c>
      <c r="AM12" s="1">
        <v>5</v>
      </c>
      <c r="AN12" s="1">
        <v>5</v>
      </c>
      <c r="AO12" s="1">
        <v>6</v>
      </c>
      <c r="AP12" s="1">
        <v>1</v>
      </c>
      <c r="AQ12" s="1">
        <v>8</v>
      </c>
      <c r="AR12" s="1">
        <v>1</v>
      </c>
      <c r="AS12" s="1">
        <v>1</v>
      </c>
      <c r="AT12" s="1">
        <v>1</v>
      </c>
      <c r="AU12" s="1">
        <v>13</v>
      </c>
      <c r="AV12" s="1">
        <v>3</v>
      </c>
      <c r="AW12" s="1">
        <v>1</v>
      </c>
      <c r="AX12" s="1">
        <v>11</v>
      </c>
      <c r="AY12" s="1">
        <v>12</v>
      </c>
      <c r="AZ12" s="1">
        <v>1</v>
      </c>
      <c r="BA12" s="1">
        <v>1</v>
      </c>
      <c r="BB12" s="1">
        <v>6</v>
      </c>
      <c r="BC12" s="1">
        <v>6</v>
      </c>
      <c r="BD12" s="1" t="s">
        <v>510</v>
      </c>
    </row>
    <row r="13" spans="1:56" x14ac:dyDescent="0.25">
      <c r="A13" s="1">
        <v>1610612757</v>
      </c>
      <c r="B13" s="1" t="s">
        <v>520</v>
      </c>
      <c r="C13" s="1">
        <v>1</v>
      </c>
      <c r="D13" s="1">
        <v>0</v>
      </c>
      <c r="E13" s="1">
        <v>1</v>
      </c>
      <c r="F13" s="1">
        <v>0</v>
      </c>
      <c r="G13" s="1">
        <v>2.2999999999999998</v>
      </c>
      <c r="H13" s="1">
        <v>2</v>
      </c>
      <c r="I13" s="1">
        <v>7</v>
      </c>
      <c r="J13" s="1">
        <v>0.28599999999999998</v>
      </c>
      <c r="K13" s="1">
        <v>0</v>
      </c>
      <c r="L13" s="1">
        <v>4</v>
      </c>
      <c r="M13" s="1">
        <v>0</v>
      </c>
      <c r="N13" s="1">
        <v>1</v>
      </c>
      <c r="O13" s="1">
        <v>2</v>
      </c>
      <c r="P13" s="1">
        <v>0.5</v>
      </c>
      <c r="Q13" s="1">
        <v>2</v>
      </c>
      <c r="R13" s="1">
        <v>2</v>
      </c>
      <c r="S13" s="1">
        <v>4</v>
      </c>
      <c r="T13" s="1">
        <v>1</v>
      </c>
      <c r="U13" s="1" t="s">
        <v>654</v>
      </c>
      <c r="V13" s="1">
        <v>2</v>
      </c>
      <c r="W13" s="1">
        <v>1</v>
      </c>
      <c r="X13" s="1">
        <v>0</v>
      </c>
      <c r="Y13" s="1">
        <v>3</v>
      </c>
      <c r="Z13" s="1">
        <v>1</v>
      </c>
      <c r="AA13" s="1">
        <v>5</v>
      </c>
      <c r="AB13" s="1" t="s">
        <v>497</v>
      </c>
      <c r="AC13" s="1">
        <v>2</v>
      </c>
      <c r="AD13" s="1">
        <v>7</v>
      </c>
      <c r="AE13" s="1">
        <v>7</v>
      </c>
      <c r="AF13" s="1">
        <v>7</v>
      </c>
      <c r="AG13" s="1">
        <v>11</v>
      </c>
      <c r="AH13" s="1">
        <v>8</v>
      </c>
      <c r="AI13" s="1">
        <v>8</v>
      </c>
      <c r="AJ13" s="1">
        <v>10</v>
      </c>
      <c r="AK13" s="1">
        <v>10</v>
      </c>
      <c r="AL13" s="1">
        <v>5</v>
      </c>
      <c r="AM13" s="1">
        <v>10</v>
      </c>
      <c r="AN13" s="1">
        <v>10</v>
      </c>
      <c r="AO13" s="1">
        <v>8</v>
      </c>
      <c r="AP13" s="1">
        <v>10</v>
      </c>
      <c r="AQ13" s="1">
        <v>1</v>
      </c>
      <c r="AR13" s="1">
        <v>9</v>
      </c>
      <c r="AS13" s="1">
        <v>7</v>
      </c>
      <c r="AT13" s="1">
        <v>9</v>
      </c>
      <c r="AU13" s="1">
        <v>1</v>
      </c>
      <c r="AV13" s="1">
        <v>2</v>
      </c>
      <c r="AW13" s="1">
        <v>4</v>
      </c>
      <c r="AX13" s="1">
        <v>1</v>
      </c>
      <c r="AY13" s="1">
        <v>9</v>
      </c>
      <c r="AZ13" s="1">
        <v>9</v>
      </c>
      <c r="BA13" s="1">
        <v>10</v>
      </c>
      <c r="BB13" s="1">
        <v>10</v>
      </c>
      <c r="BC13" s="1">
        <v>6</v>
      </c>
      <c r="BD13" s="1" t="s">
        <v>520</v>
      </c>
    </row>
    <row r="14" spans="1:56" x14ac:dyDescent="0.25">
      <c r="A14" s="1">
        <v>1610612758</v>
      </c>
      <c r="B14" s="1" t="s">
        <v>522</v>
      </c>
      <c r="C14" s="1">
        <v>1</v>
      </c>
      <c r="D14" s="1">
        <v>1</v>
      </c>
      <c r="E14" s="1">
        <v>0</v>
      </c>
      <c r="F14" s="1">
        <v>1</v>
      </c>
      <c r="G14" s="1">
        <v>2.2999999999999998</v>
      </c>
      <c r="H14" s="1">
        <v>1</v>
      </c>
      <c r="I14" s="1">
        <v>3</v>
      </c>
      <c r="J14" s="1">
        <v>0.33300000000000002</v>
      </c>
      <c r="K14" s="1">
        <v>1</v>
      </c>
      <c r="L14" s="1">
        <v>1</v>
      </c>
      <c r="M14" s="1">
        <v>1</v>
      </c>
      <c r="N14" s="1">
        <v>4</v>
      </c>
      <c r="O14" s="1">
        <v>4</v>
      </c>
      <c r="P14" s="1">
        <v>1</v>
      </c>
      <c r="Q14" s="1">
        <v>0</v>
      </c>
      <c r="R14" s="1">
        <v>2</v>
      </c>
      <c r="S14" s="1">
        <v>2</v>
      </c>
      <c r="T14" s="1">
        <v>1</v>
      </c>
      <c r="U14" s="1" t="s">
        <v>644</v>
      </c>
      <c r="V14" s="1">
        <v>0</v>
      </c>
      <c r="W14" s="1">
        <v>0</v>
      </c>
      <c r="X14" s="1">
        <v>1</v>
      </c>
      <c r="Y14" s="1">
        <v>1</v>
      </c>
      <c r="Z14" s="1">
        <v>3</v>
      </c>
      <c r="AA14" s="1">
        <v>7</v>
      </c>
      <c r="AB14" s="1" t="s">
        <v>644</v>
      </c>
      <c r="AC14" s="1">
        <v>2</v>
      </c>
      <c r="AD14" s="1">
        <v>2</v>
      </c>
      <c r="AE14" s="1">
        <v>1</v>
      </c>
      <c r="AF14" s="1">
        <v>1</v>
      </c>
      <c r="AG14" s="1">
        <v>11</v>
      </c>
      <c r="AH14" s="1">
        <v>11</v>
      </c>
      <c r="AI14" s="1">
        <v>12</v>
      </c>
      <c r="AJ14" s="1">
        <v>9</v>
      </c>
      <c r="AK14" s="1">
        <v>7</v>
      </c>
      <c r="AL14" s="1">
        <v>10</v>
      </c>
      <c r="AM14" s="1">
        <v>1</v>
      </c>
      <c r="AN14" s="1">
        <v>2</v>
      </c>
      <c r="AO14" s="1">
        <v>3</v>
      </c>
      <c r="AP14" s="1">
        <v>1</v>
      </c>
      <c r="AQ14" s="1">
        <v>8</v>
      </c>
      <c r="AR14" s="1">
        <v>9</v>
      </c>
      <c r="AS14" s="1">
        <v>10</v>
      </c>
      <c r="AT14" s="1">
        <v>9</v>
      </c>
      <c r="AU14" s="1">
        <v>11</v>
      </c>
      <c r="AV14" s="1">
        <v>3</v>
      </c>
      <c r="AW14" s="1">
        <v>7</v>
      </c>
      <c r="AX14" s="1">
        <v>8</v>
      </c>
      <c r="AY14" s="1">
        <v>3</v>
      </c>
      <c r="AZ14" s="1">
        <v>3</v>
      </c>
      <c r="BA14" s="1">
        <v>9</v>
      </c>
      <c r="BB14" s="1">
        <v>3</v>
      </c>
      <c r="BC14" s="1">
        <v>6</v>
      </c>
      <c r="BD14" s="1" t="s">
        <v>522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246</vt:i4>
      </vt:variant>
    </vt:vector>
  </HeadingPairs>
  <TitlesOfParts>
    <vt:vector size="258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DataFourFactorsN</vt:lpstr>
      <vt:lpstr>DataOppBaseN</vt:lpstr>
      <vt:lpstr>DataClutchBasePerGameN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Masuda Rintaro</cp:lastModifiedBy>
  <dcterms:created xsi:type="dcterms:W3CDTF">2011-08-25T14:29:57Z</dcterms:created>
  <dcterms:modified xsi:type="dcterms:W3CDTF">2021-10-22T22:35:06Z</dcterms:modified>
</cp:coreProperties>
</file>