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571729A3-2521-44A1-AEFC-631AAD3745ED}" xr6:coauthVersionLast="45" xr6:coauthVersionMax="45" xr10:uidLastSave="{00000000-0000-0000-0000-000000000000}"/>
  <bookViews>
    <workbookView xWindow="4911" yWindow="1174" windowWidth="16458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<sst xmlns="http://schemas.openxmlformats.org/spreadsheetml/2006/main" count="5940" uniqueCount="1419">
  <si>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</si>
  <si>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</si>
  <si>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</si>
  <si>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</si>
  <si>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</si>
  <si>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</si>
  <si>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</si>
  <si>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</si>
  <si>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</si>
  <si>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</si>
  <si>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</si>
  <si>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</si>
  <si>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</si>
  <si>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</si>
  <si>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</si>
  <si>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</si>
  <si>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</si>
  <si>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</si>
  <si>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</si>
  <si>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</si>
  <si>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</si>
  <si>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</si>
  <si>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</si>
  <si>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</si>
  <si>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</si>
  <si>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</si>
  <si>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</si>
  <si>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</si>
  <si>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</si>
  <si>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</si>
  <si>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</si>
  <si>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</si>
  <si>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</si>
  <si>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</si>
  <si>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</si>
  <si>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</si>
  <si>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</si>
  <si>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</si>
  <si>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</si>
  <si>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</si>
  <si>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</si>
  <si>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</si>
  <si>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</si>
  <si>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</si>
  <si>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</si>
  <si>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</si>
  <si>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</si>
  <si>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</si>
  <si>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</si>
  <si>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</si>
  <si>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</si>
  <si>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</si>
  <si>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</si>
  <si>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</si>
  <si>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</si>
  <si>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</si>
  <si>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</si>
  <si>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</si>
  <si>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</si>
  <si>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</si>
  <si>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</si>
  <si>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</si>
  <si>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</si>
  <si>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</si>
  <si>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</si>
  <si>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</si>
  <si>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</si>
  <si>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</si>
  <si>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</si>
  <si>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</si>
  <si>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</si>
  <si>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</si>
  <si>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</si>
  <si>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</si>
  <si>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</si>
  <si>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</si>
  <si>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</si>
  <si>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</si>
  <si>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</si>
  <si>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</si>
  <si>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</si>
  <si>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</si>
  <si>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</si>
  <si>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</si>
  <si>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</si>
  <si>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</si>
  <si>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</si>
  <si>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</si>
  <si>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</si>
  <si>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</si>
  <si>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</si>
  <si>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</si>
  <si>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</si>
  <si>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</si>
  <si>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</si>
  <si>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</si>
  <si>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</si>
  <si>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</si>
  <si>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</si>
  <si>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</si>
  <si>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</si>
  <si>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</si>
  <si>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</si>
  <si>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</si>
  <si>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</si>
  <si>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</si>
  <si>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</si>
  <si>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</si>
  <si>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</si>
  <si>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</si>
  <si>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</si>
  <si>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</si>
  <si>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</si>
  <si>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</si>
  <si>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</si>
  <si>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</si>
  <si>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</si>
  <si>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</si>
  <si>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</si>
  <si>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</si>
  <si>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</si>
  <si>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</si>
  <si>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</si>
  <si>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</si>
  <si>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</si>
  <si>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</si>
  <si>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</si>
  <si>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</si>
  <si>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</si>
  <si>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</si>
  <si>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</si>
  <si>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</si>
  <si>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</si>
  <si>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</si>
  <si>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</si>
  <si>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</si>
  <si>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</si>
  <si>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</si>
  <si>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</si>
  <si>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</si>
  <si>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</si>
  <si>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</si>
  <si>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</si>
  <si>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</si>
  <si>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</si>
  <si>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</si>
  <si>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</si>
  <si>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</si>
  <si>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</si>
  <si>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</si>
  <si>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</si>
  <si>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</si>
  <si>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</si>
  <si>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</si>
  <si>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</si>
  <si>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</si>
  <si>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</si>
  <si>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</si>
  <si>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</si>
  <si>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</si>
  <si>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</si>
  <si>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</si>
  <si>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</si>
  <si>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</si>
  <si>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</si>
  <si>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</si>
  <si>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</si>
  <si>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</si>
  <si>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</si>
  <si>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</si>
  <si>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</si>
  <si>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</si>
  <si>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</si>
  <si>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</si>
  <si>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</si>
  <si>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</si>
  <si>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</si>
  <si>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</si>
  <si>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</si>
  <si>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</si>
  <si>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</si>
  <si>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</si>
  <si>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</si>
  <si>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</si>
  <si>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</si>
  <si>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</si>
  <si>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</si>
  <si>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</si>
  <si>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</si>
  <si>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</si>
  <si>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</si>
  <si>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</si>
  <si>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</si>
  <si>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</si>
  <si>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</si>
  <si>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</si>
  <si>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</si>
  <si>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</si>
  <si>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</si>
  <si>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</si>
  <si>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</si>
  <si>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</si>
  <si>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</si>
  <si>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</si>
  <si>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</si>
  <si>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</si>
  <si>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</si>
  <si>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</si>
  <si>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</si>
  <si>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</si>
  <si>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</si>
  <si>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</si>
  <si>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</si>
  <si>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</si>
  <si>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</si>
  <si>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</si>
  <si>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</si>
  <si>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</si>
  <si>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</si>
  <si>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</si>
  <si>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</si>
  <si>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</si>
  <si>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</si>
  <si>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</si>
  <si>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</si>
  <si>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</si>
  <si>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</si>
  <si>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</si>
  <si>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</si>
  <si>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</si>
  <si>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</si>
  <si>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</si>
  <si>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</si>
  <si>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</si>
  <si>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</si>
  <si>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</si>
  <si>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</si>
  <si>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</si>
  <si>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</si>
  <si>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</si>
  <si>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</si>
  <si>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</si>
  <si>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</si>
  <si>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</si>
  <si>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</si>
  <si>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</si>
  <si>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</si>
  <si>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</si>
  <si>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</si>
  <si>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</si>
  <si>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</si>
  <si>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</si>
  <si>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</si>
  <si>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</si>
  <si>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</si>
  <si>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</si>
  <si>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</si>
  <si>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</si>
  <si>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</si>
  <si>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</si>
  <si>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</si>
  <si>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</si>
  <si>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</si>
  <si>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</si>
  <si>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</si>
  <si>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</si>
  <si>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</si>
  <si>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</si>
  <si>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</si>
  <si>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</si>
  <si>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</si>
  <si>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</si>
  <si>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</si>
  <si>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</si>
  <si>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</si>
  <si>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</si>
  <si>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</si>
  <si>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</si>
  <si>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</si>
  <si>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</si>
  <si>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</si>
  <si>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</si>
  <si>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</si>
  <si>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</si>
  <si>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</si>
  <si>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</si>
  <si>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</si>
  <si>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</si>
  <si>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</si>
  <si>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</si>
  <si>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</si>
  <si>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</si>
  <si>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</si>
  <si>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</si>
  <si>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</si>
  <si>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</si>
  <si>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</si>
  <si>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</si>
  <si>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</si>
  <si>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</si>
  <si>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</si>
  <si>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</si>
  <si>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</si>
  <si>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</si>
  <si>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</si>
  <si>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</si>
  <si>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</si>
  <si>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</si>
  <si>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</si>
  <si>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</si>
  <si>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</si>
  <si>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</si>
  <si>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</si>
  <si>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</si>
  <si>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</si>
  <si>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</si>
  <si>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</si>
  <si>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</si>
  <si>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</si>
  <si>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</si>
  <si>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</si>
  <si>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</si>
  <si>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</si>
  <si>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</si>
  <si>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</si>
  <si>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</si>
  <si>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</si>
  <si>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</si>
  <si>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</si>
  <si>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</si>
  <si>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</si>
  <si>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</si>
  <si>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</si>
  <si>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</si>
  <si>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</si>
  <si>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</si>
  <si>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</si>
  <si>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</si>
  <si>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</si>
  <si>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</si>
  <si>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</si>
  <si>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</si>
  <si>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</si>
  <si>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</si>
  <si>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</si>
  <si>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</si>
  <si>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</si>
  <si>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</si>
  <si>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</si>
  <si>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</si>
  <si>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</si>
  <si>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</si>
  <si>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</si>
  <si>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</si>
  <si>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</si>
  <si>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</si>
  <si>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</si>
  <si>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</si>
  <si>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</si>
  <si>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</si>
  <si>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</si>
  <si>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</si>
  <si>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</si>
  <si>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</si>
  <si>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</si>
  <si>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</si>
  <si>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</si>
  <si>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</si>
  <si>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</si>
  <si>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</si>
  <si>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</si>
  <si>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</si>
  <si>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</si>
  <si>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</si>
  <si>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</si>
  <si>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</si>
  <si>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</si>
  <si>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</si>
  <si>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</si>
  <si>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</si>
  <si>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</si>
  <si>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</si>
  <si>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</si>
  <si>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</si>
  <si>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</si>
  <si>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</si>
  <si>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</si>
  <si>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</si>
  <si>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</si>
  <si>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</si>
  <si>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</si>
  <si>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</si>
  <si>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</si>
  <si>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</si>
  <si>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</si>
  <si>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</si>
  <si>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</si>
  <si>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</si>
  <si>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</si>
  <si>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</si>
  <si>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</si>
  <si>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</si>
  <si>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</si>
  <si>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</si>
  <si>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</si>
  <si>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</si>
  <si>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</si>
  <si>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</si>
  <si>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</si>
  <si>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</si>
  <si>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</si>
  <si>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</si>
  <si>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</si>
  <si>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</si>
  <si>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</si>
  <si>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</si>
  <si>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</si>
  <si>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</si>
  <si>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</si>
  <si>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</si>
  <si>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</si>
  <si>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</si>
  <si>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</si>
  <si>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</si>
  <si>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</si>
  <si>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</si>
  <si>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</si>
  <si>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</si>
  <si>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</si>
  <si>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</si>
  <si>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</si>
  <si>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</si>
  <si>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</si>
  <si>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</si>
  <si>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</si>
  <si>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</si>
  <si>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</si>
  <si>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</si>
  <si>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</si>
  <si>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</si>
  <si>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</si>
  <si>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</si>
  <si>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</si>
  <si>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</si>
  <si>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</si>
  <si>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</si>
  <si>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</si>
  <si>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</si>
  <si>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</si>
  <si>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</si>
  <si>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</si>
  <si>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</si>
  <si>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</si>
  <si>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</si>
  <si>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</si>
  <si>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</si>
  <si>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</si>
  <si>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</si>
  <si>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</si>
  <si>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</si>
  <si>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</si>
  <si>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</si>
  <si>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</si>
  <si>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</si>
  <si>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</si>
  <si>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</si>
  <si>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</si>
  <si>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</si>
  <si>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</si>
  <si>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</si>
  <si>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</si>
  <si>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</si>
  <si>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</si>
  <si>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</si>
  <si>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</si>
  <si>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</si>
  <si>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</si>
  <si>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</si>
  <si>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</si>
  <si>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</si>
  <si>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</si>
  <si>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</si>
  <si>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</si>
  <si>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</si>
  <si>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</si>
  <si>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</si>
  <si>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</si>
  <si>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</si>
  <si>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</si>
  <si>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</si>
  <si>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</si>
  <si>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</si>
  <si>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</si>
  <si>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</si>
  <si>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</si>
  <si>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</si>
  <si>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</si>
  <si>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</si>
  <si>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</si>
  <si>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</si>
  <si>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</si>
  <si>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</si>
  <si>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</si>
  <si>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</si>
  <si>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</si>
  <si>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</si>
  <si>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</si>
  <si>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</si>
  <si>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</si>
  <si>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</si>
  <si>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</si>
  <si>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</si>
  <si>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</si>
  <si>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</si>
  <si>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</si>
  <si>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</si>
  <si>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</si>
  <si>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</si>
  <si>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</si>
  <si>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</si>
  <si>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</si>
  <si>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</si>
  <si>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</si>
  <si>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</si>
  <si>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</si>
  <si>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</si>
  <si>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</si>
  <si>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</si>
  <si>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</si>
  <si>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</si>
  <si>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</si>
  <si>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</si>
  <si>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</si>
  <si>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</si>
  <si>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</si>
  <si>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</si>
  <si>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</si>
  <si>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</si>
  <si>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</si>
  <si>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</si>
  <si>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</si>
  <si>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</si>
  <si>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</si>
  <si>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</si>
  <si>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</si>
  <si>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</si>
  <si>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</si>
  <si>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</si>
  <si>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</si>
  <si>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</si>
  <si>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</si>
  <si>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</si>
  <si>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</si>
  <si>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</si>
  <si>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</si>
  <si>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</si>
  <si>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</si>
  <si>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</si>
  <si>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</si>
  <si>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</si>
  <si>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</si>
  <si>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</si>
  <si>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</si>
  <si>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</si>
  <si>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</si>
  <si>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</si>
  <si>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</si>
  <si>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</si>
  <si>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</si>
  <si>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</si>
  <si>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</si>
  <si>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</si>
  <si>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</si>
  <si>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</si>
  <si>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</si>
  <si>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</si>
  <si>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</si>
  <si>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</si>
  <si>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</si>
  <si>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</si>
  <si>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</si>
  <si>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</si>
  <si>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</si>
  <si>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</si>
  <si>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</si>
  <si>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</si>
  <si>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</si>
  <si>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</si>
  <si>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</si>
  <si>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</si>
  <si>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</si>
  <si>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</si>
  <si>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</si>
  <si>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</si>
  <si>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</si>
  <si>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</si>
  <si>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</si>
  <si>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</si>
  <si>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</si>
  <si>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</si>
  <si>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</si>
  <si>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</si>
  <si>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</si>
  <si>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</si>
  <si>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</si>
  <si>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</si>
  <si>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</si>
  <si>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</si>
  <si>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</si>
  <si>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</si>
  <si>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</si>
  <si>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</si>
  <si>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</si>
  <si>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</si>
  <si>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</si>
  <si>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</si>
  <si>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</si>
  <si>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</si>
  <si>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</si>
  <si>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</si>
  <si>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</si>
  <si>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</si>
  <si>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</si>
  <si>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</si>
  <si>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</si>
  <si>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</si>
  <si>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</si>
  <si>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</si>
  <si>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</si>
  <si>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</si>
  <si>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</si>
  <si>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</si>
  <si>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</si>
  <si>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</si>
  <si>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</si>
  <si>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</si>
  <si>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</si>
  <si>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</si>
  <si>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</si>
  <si>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</si>
  <si>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</si>
  <si>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</si>
  <si>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</si>
  <si>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</si>
  <si>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</si>
  <si>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</si>
  <si>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</si>
  <si>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</si>
  <si>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</si>
  <si>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</si>
  <si>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</si>
  <si>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</si>
  <si>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</si>
  <si>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</si>
  <si>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</si>
  <si>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</si>
  <si>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</si>
  <si>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</si>
  <si>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</si>
  <si>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</si>
  <si>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</si>
  <si>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</si>
  <si>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</si>
  <si>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</si>
  <si>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</si>
  <si>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</si>
  <si>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</si>
  <si>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</si>
  <si>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</si>
  <si>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</si>
  <si>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</si>
  <si>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</si>
  <si>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</si>
  <si>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</si>
  <si>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</si>
  <si>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</si>
  <si>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</si>
  <si>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</si>
  <si>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</si>
  <si>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</si>
  <si>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</si>
  <si>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</si>
  <si>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</si>
  <si>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</si>
  <si>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</si>
  <si>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</si>
  <si>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</si>
  <si>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</si>
  <si>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</si>
  <si>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</si>
  <si>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</si>
  <si>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</si>
  <si>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</si>
  <si>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</si>
  <si>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</si>
  <si>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</si>
  <si>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</si>
  <si>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</si>
  <si>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</si>
  <si>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</si>
  <si>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</si>
  <si>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</si>
  <si>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</si>
  <si>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</si>
  <si>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</si>
  <si>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</si>
  <si>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</si>
  <si>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</si>
  <si>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</si>
  <si>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</si>
  <si>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</si>
  <si>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</si>
  <si>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</si>
  <si>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</si>
  <si>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</si>
  <si>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</si>
  <si>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</si>
  <si>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</si>
  <si>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</si>
  <si>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</si>
  <si>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</si>
  <si>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</si>
  <si>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</si>
  <si>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</si>
  <si>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</si>
  <si>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</si>
  <si>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</si>
  <si>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</si>
  <si>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</si>
  <si>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</si>
  <si>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</si>
  <si>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</si>
  <si>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</si>
  <si>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</si>
  <si>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</si>
  <si>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</si>
  <si>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</si>
  <si>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</si>
  <si>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</si>
  <si>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</si>
  <si>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</si>
  <si>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</si>
  <si>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</si>
  <si>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</si>
  <si>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</si>
  <si>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</si>
  <si>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</si>
  <si>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</si>
  <si>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</si>
  <si>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</si>
  <si>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</si>
  <si>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</si>
  <si>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</si>
  <si>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</si>
  <si>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</si>
  <si>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</si>
  <si>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</si>
  <si>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</si>
  <si>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</si>
  <si>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</si>
  <si>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</si>
  <si>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210</t>
  </si>
  <si>
    <t>3</t>
  </si>
  <si>
    <t>4</t>
  </si>
  <si>
    <t>8</t>
  </si>
  <si>
    <t>5</t>
  </si>
  <si>
    <t>6-6</t>
  </si>
  <si>
    <t>F</t>
  </si>
  <si>
    <t>220</t>
  </si>
  <si>
    <t>0</t>
  </si>
  <si>
    <t>Duke</t>
  </si>
  <si>
    <t>20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</si>
  <si>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</si>
  <si>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</si>
  <si>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</si>
  <si>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</si>
  <si>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</si>
  <si>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</si>
  <si>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</si>
  <si>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</si>
  <si>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</si>
  <si>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</si>
  <si>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</si>
  <si>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</si>
  <si>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</si>
  <si>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</si>
  <si>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</si>
  <si>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</si>
  <si>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</si>
  <si>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</si>
  <si>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</si>
  <si>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</si>
  <si>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</si>
  <si>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</si>
  <si>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</si>
  <si>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</si>
  <si>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</si>
  <si>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</si>
  <si>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</si>
  <si>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</si>
  <si>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</si>
  <si>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</si>
  <si>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</si>
  <si>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</si>
  <si>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</si>
  <si>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</si>
  <si>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</si>
  <si>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</si>
  <si>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</si>
  <si>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</si>
  <si>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</si>
  <si>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</si>
  <si>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</si>
  <si>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</si>
  <si>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</si>
  <si>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</si>
  <si>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</si>
  <si>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</si>
  <si>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</si>
  <si>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</si>
  <si>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</si>
  <si>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</si>
  <si>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</si>
  <si>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</si>
  <si>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</si>
  <si>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</si>
  <si>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</si>
  <si>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</si>
  <si>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</si>
  <si>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</si>
  <si>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</si>
  <si>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</si>
  <si>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</si>
  <si>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</si>
  <si>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</si>
  <si>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</si>
  <si>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</si>
  <si>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</si>
  <si>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</si>
  <si>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</si>
  <si>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</si>
  <si>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</si>
  <si>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</si>
  <si>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</si>
  <si>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</si>
  <si>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</si>
  <si>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</si>
  <si>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</si>
  <si>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</si>
  <si>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</si>
  <si>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</si>
  <si>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</si>
  <si>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</si>
  <si>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</si>
  <si>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</si>
  <si>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</si>
  <si>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</si>
  <si>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</si>
  <si>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</si>
  <si>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</si>
  <si>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</si>
  <si>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</si>
  <si>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</si>
  <si>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</si>
  <si>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</si>
  <si>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</si>
  <si>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</si>
  <si>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</si>
  <si>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</si>
  <si>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</si>
  <si>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</si>
  <si>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</si>
  <si>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</si>
  <si>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</si>
  <si>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</si>
  <si>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</si>
  <si>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</si>
  <si>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</si>
  <si>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</si>
  <si>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</si>
  <si>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</si>
  <si>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</si>
  <si>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</si>
  <si>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</si>
  <si>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</si>
  <si>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</si>
  <si>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</si>
  <si>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</si>
  <si>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</si>
  <si>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</si>
  <si>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</si>
  <si>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</si>
  <si>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</si>
  <si>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</si>
  <si>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</si>
  <si>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</si>
  <si>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</si>
  <si>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</si>
  <si>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</si>
  <si>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</si>
  <si>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</si>
  <si>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</si>
  <si>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</si>
  <si>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</si>
  <si>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</si>
  <si>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</si>
  <si>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</si>
  <si>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</si>
  <si>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</si>
  <si>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</si>
  <si>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</si>
  <si>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</si>
  <si>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</si>
  <si>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</si>
  <si>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</si>
  <si>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</si>
  <si>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</si>
  <si>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</si>
  <si>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</si>
  <si>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</si>
  <si>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</si>
  <si>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</si>
  <si>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</si>
  <si>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</si>
  <si>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</si>
  <si>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</si>
  <si>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</si>
  <si>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</si>
  <si>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</si>
  <si>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</si>
  <si>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</si>
  <si>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</si>
  <si>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</si>
  <si>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</si>
  <si>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</si>
  <si>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</si>
  <si>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</si>
  <si>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</si>
  <si>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</si>
  <si>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</si>
  <si>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</si>
  <si>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</si>
  <si>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</si>
  <si>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</si>
  <si>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</si>
  <si>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</si>
  <si>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</si>
  <si>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</si>
  <si>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</si>
  <si>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</si>
  <si>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</si>
  <si>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</si>
  <si>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</si>
  <si>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</si>
  <si>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</si>
  <si>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</si>
  <si>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</si>
  <si>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</si>
  <si>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</si>
  <si>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</si>
  <si>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</si>
  <si>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</si>
  <si>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</si>
  <si>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</si>
  <si>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</si>
  <si>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</si>
  <si>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</si>
  <si>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</si>
  <si>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</si>
  <si>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</si>
  <si>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</si>
  <si>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</si>
  <si>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</si>
  <si>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</si>
  <si>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</si>
  <si>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</si>
  <si>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</si>
  <si>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</si>
  <si>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</si>
  <si>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</si>
  <si>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</si>
  <si>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</si>
  <si>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</si>
  <si>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</si>
  <si>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</si>
  <si>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</si>
  <si>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</si>
  <si>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</si>
  <si>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</si>
  <si>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</si>
  <si>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</si>
  <si>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</si>
  <si>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</si>
  <si>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</si>
  <si>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</si>
  <si>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</si>
  <si>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</si>
  <si>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</si>
  <si>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</si>
  <si>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</si>
  <si>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</si>
  <si>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</si>
  <si>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</si>
  <si>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</si>
  <si>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</si>
  <si>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</si>
  <si>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</si>
  <si>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</si>
  <si>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</si>
  <si>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</si>
  <si>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</si>
  <si>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</si>
  <si>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</si>
  <si>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</si>
  <si>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</si>
  <si>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</si>
  <si>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</si>
  <si>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</si>
  <si>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</si>
  <si>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</si>
  <si>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</si>
  <si>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</si>
  <si>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</si>
  <si>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</si>
  <si>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</si>
  <si>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</si>
  <si>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</si>
  <si>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</si>
  <si>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</si>
  <si>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</si>
  <si>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</si>
  <si>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</si>
  <si>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</si>
  <si>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</si>
  <si>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</si>
  <si>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</si>
  <si>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</si>
  <si>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</si>
  <si>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</si>
  <si>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</si>
  <si>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</si>
  <si>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</si>
  <si>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</si>
  <si>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</si>
  <si>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</si>
  <si>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</si>
  <si>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</si>
  <si>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</si>
  <si>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</si>
  <si>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</si>
  <si>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</si>
  <si>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</si>
  <si>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</si>
  <si>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</si>
  <si>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</si>
  <si>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</si>
  <si>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</si>
  <si>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</si>
  <si>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</si>
  <si>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</si>
  <si>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</si>
  <si>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</si>
  <si>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</si>
  <si>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</si>
  <si>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</si>
  <si>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</si>
  <si>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</si>
  <si>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</si>
  <si>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</si>
  <si>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</si>
  <si>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</si>
  <si>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</si>
  <si>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</si>
  <si>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</si>
  <si>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</si>
  <si>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</si>
  <si>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</si>
  <si>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</si>
  <si>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</si>
  <si>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</si>
  <si>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</si>
  <si>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</si>
  <si>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</si>
  <si>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</si>
  <si>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</si>
  <si>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</si>
  <si>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</si>
  <si>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</si>
  <si>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</si>
  <si>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</si>
  <si>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</si>
  <si>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</si>
  <si>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</si>
  <si>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</si>
  <si>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</si>
  <si>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</si>
  <si>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</si>
  <si>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</si>
  <si>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</si>
  <si>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</si>
  <si>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</si>
  <si>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</si>
  <si>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</si>
  <si>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</si>
  <si>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</si>
  <si>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</si>
  <si>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</si>
  <si>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</si>
  <si>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</si>
  <si>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</si>
  <si>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</si>
  <si>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</si>
  <si>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</si>
  <si>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</si>
  <si>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</si>
  <si>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</si>
  <si>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</si>
  <si>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</si>
  <si>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</si>
  <si>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</si>
  <si>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</si>
  <si>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</si>
  <si>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</si>
  <si>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</si>
  <si>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</si>
  <si>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</si>
  <si>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</si>
  <si>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</si>
  <si>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</si>
  <si>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</si>
  <si>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</si>
  <si>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</si>
  <si>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</si>
  <si>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</si>
  <si>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</si>
  <si>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</si>
  <si>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</si>
  <si>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</si>
  <si>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</si>
  <si>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</si>
  <si>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</si>
  <si>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</si>
  <si>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</si>
  <si>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</si>
  <si>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</si>
  <si>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</si>
  <si>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</si>
  <si>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</si>
  <si>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</si>
  <si>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</si>
  <si>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</si>
  <si>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</si>
  <si>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</si>
  <si>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</si>
  <si>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</si>
  <si>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</si>
  <si>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</si>
  <si>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</si>
  <si>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</si>
  <si>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</si>
  <si>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</si>
  <si>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</si>
  <si>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</si>
  <si>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</si>
  <si>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</si>
  <si>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</si>
  <si>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</si>
  <si>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</si>
  <si>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</si>
  <si>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</si>
  <si>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</si>
  <si>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</si>
  <si>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</si>
  <si>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</si>
  <si>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</si>
  <si>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</si>
  <si>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</si>
  <si>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</si>
  <si>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</si>
  <si>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</si>
  <si>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</si>
  <si>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</si>
  <si>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</si>
  <si>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</si>
  <si>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</si>
  <si>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</si>
  <si>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</si>
  <si>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</si>
  <si>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</si>
  <si>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</si>
  <si>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</si>
  <si>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</si>
  <si>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</si>
  <si>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</si>
  <si>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</si>
  <si>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</si>
  <si>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</si>
  <si>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</si>
  <si>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</si>
  <si>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</si>
  <si>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</si>
  <si>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</si>
  <si>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</si>
  <si>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</si>
  <si>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</si>
  <si>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</si>
  <si>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</si>
  <si>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</si>
  <si>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</si>
  <si>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</si>
  <si>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</si>
  <si>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</si>
  <si>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</si>
  <si>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</si>
  <si>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</si>
  <si>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</si>
  <si>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</si>
  <si>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</si>
  <si>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</si>
  <si>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</si>
  <si>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</si>
  <si>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</si>
  <si>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</si>
  <si>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</si>
  <si>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</si>
  <si>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</si>
  <si>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</si>
  <si>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</si>
  <si>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</si>
  <si>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</si>
  <si>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</si>
  <si>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</si>
  <si>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</si>
  <si>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</si>
  <si>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</si>
  <si>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</si>
  <si>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</si>
  <si>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</si>
  <si>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</si>
  <si>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</si>
  <si>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</si>
  <si>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</si>
  <si>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</si>
  <si>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</si>
  <si>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</si>
  <si>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</si>
  <si>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</si>
  <si>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</si>
  <si>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</si>
  <si>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</si>
  <si>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</si>
  <si>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</si>
  <si>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</si>
  <si>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</si>
  <si>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</si>
  <si>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</si>
  <si>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</si>
  <si>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</si>
  <si>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</si>
  <si>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</si>
  <si>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</si>
  <si>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</si>
  <si>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</si>
  <si>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</si>
  <si>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</si>
  <si>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</si>
  <si>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</si>
  <si>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</si>
  <si>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</si>
  <si>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</si>
  <si>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</si>
  <si>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</si>
  <si>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</si>
  <si>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</si>
  <si>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</si>
  <si>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</si>
  <si>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</si>
  <si>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</si>
  <si>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</si>
  <si>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</si>
  <si>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</si>
  <si>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</si>
  <si>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</si>
  <si>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</si>
  <si>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</si>
  <si>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</si>
  <si>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</si>
  <si>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</si>
  <si>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</si>
  <si>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</si>
  <si>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</si>
  <si>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</si>
  <si>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</si>
  <si>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</si>
  <si>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</si>
  <si>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</si>
  <si>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</si>
  <si>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</si>
  <si>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</si>
  <si>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</si>
  <si>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</si>
  <si>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</si>
  <si>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</si>
  <si>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</si>
  <si>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</si>
  <si>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</si>
  <si>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</si>
  <si>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</si>
  <si>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</si>
  <si>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</si>
  <si>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</si>
  <si>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</si>
  <si>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</si>
  <si>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</si>
  <si>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</si>
  <si>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</si>
  <si>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</si>
  <si>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</si>
  <si>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</si>
  <si>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</si>
  <si>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</si>
  <si>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</si>
  <si>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</si>
  <si>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</si>
  <si>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</si>
  <si>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</si>
  <si>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</si>
  <si>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</si>
  <si>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</si>
  <si>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</si>
  <si>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</si>
  <si>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</si>
  <si>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</si>
  <si>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</si>
  <si>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200</t>
  </si>
  <si>
    <t xml:space="preserve"> </t>
  </si>
  <si>
    <t>205</t>
  </si>
  <si>
    <t>C-F</t>
  </si>
  <si>
    <t>45</t>
  </si>
  <si>
    <t>190</t>
  </si>
  <si>
    <t>UCLA</t>
  </si>
  <si>
    <t>215</t>
  </si>
  <si>
    <t>Villanova</t>
  </si>
  <si>
    <t>270</t>
  </si>
  <si>
    <t>15</t>
  </si>
  <si>
    <t>21</t>
  </si>
  <si>
    <t>22</t>
  </si>
  <si>
    <t>Georgia Tech</t>
  </si>
  <si>
    <t>34</t>
  </si>
  <si>
    <t xml:space="preserve">2-5  </t>
    <phoneticPr fontId="1"/>
  </si>
  <si>
    <t>Coby White</t>
  </si>
  <si>
    <t>195</t>
  </si>
  <si>
    <t>FEB 16, 2000</t>
  </si>
  <si>
    <t>North Carolina</t>
  </si>
  <si>
    <t>Luke Kornet</t>
  </si>
  <si>
    <t>F-C</t>
  </si>
  <si>
    <t>250</t>
  </si>
  <si>
    <t>JUL 15, 1995</t>
  </si>
  <si>
    <t>Vanderbilt</t>
  </si>
  <si>
    <t>Shaquille Harrison</t>
  </si>
  <si>
    <t>OCT 06, 1993</t>
  </si>
  <si>
    <t>Tulsa</t>
  </si>
  <si>
    <t>Cristiano Felicio</t>
  </si>
  <si>
    <t>6</t>
  </si>
  <si>
    <t>JUL 07, 1992</t>
  </si>
  <si>
    <t>Zach LaVine</t>
  </si>
  <si>
    <t>MAR 10, 1995</t>
  </si>
  <si>
    <t>Daniel Gafford</t>
  </si>
  <si>
    <t>12</t>
  </si>
  <si>
    <t>234</t>
  </si>
  <si>
    <t>OCT 01, 1998</t>
  </si>
  <si>
    <t>Arkansas</t>
  </si>
  <si>
    <t>Chandler Hutchison</t>
  </si>
  <si>
    <t>F-G</t>
  </si>
  <si>
    <t>APR 26, 1996</t>
  </si>
  <si>
    <t>Boise State</t>
  </si>
  <si>
    <t>Adam Mokoka</t>
  </si>
  <si>
    <t>JUL 18, 1998</t>
  </si>
  <si>
    <t>Thaddeus Young</t>
  </si>
  <si>
    <t>235</t>
  </si>
  <si>
    <t>JUN 21, 1988</t>
  </si>
  <si>
    <t>Otto Porter Jr.</t>
  </si>
  <si>
    <t>198</t>
  </si>
  <si>
    <t>JUN 03, 1993</t>
  </si>
  <si>
    <t>Georgetown</t>
  </si>
  <si>
    <t>Lauri Markkanen</t>
  </si>
  <si>
    <t>24</t>
  </si>
  <si>
    <t>240</t>
  </si>
  <si>
    <t>MAY 22, 1997</t>
  </si>
  <si>
    <t>Arizona</t>
  </si>
  <si>
    <t>Max Strus</t>
  </si>
  <si>
    <t>28</t>
  </si>
  <si>
    <t>MAR 28, 1996</t>
  </si>
  <si>
    <t>DePaul</t>
  </si>
  <si>
    <t>Tomas Satoransky</t>
  </si>
  <si>
    <t>31</t>
  </si>
  <si>
    <t>OCT 30, 1991</t>
  </si>
  <si>
    <t>Kris Dunn</t>
  </si>
  <si>
    <t>32</t>
  </si>
  <si>
    <t>MAR 18, 1994</t>
  </si>
  <si>
    <t>Providence</t>
  </si>
  <si>
    <t>Wendell Carter Jr.</t>
  </si>
  <si>
    <t>APR 16, 1999</t>
  </si>
  <si>
    <t>Denzel Valentine</t>
  </si>
  <si>
    <t>NOV 16, 1993</t>
  </si>
  <si>
    <t>Michigan State</t>
  </si>
  <si>
    <t>Ryan Arcidiacono</t>
  </si>
  <si>
    <t>51</t>
  </si>
  <si>
    <t>MAR 26, 1994</t>
  </si>
  <si>
    <t>Bulls</t>
    <phoneticPr fontId="1"/>
  </si>
  <si>
    <t>5-10</t>
    <phoneticPr fontId="1"/>
  </si>
  <si>
    <t xml:space="preserve">4-6  </t>
    <phoneticPr fontId="1"/>
  </si>
  <si>
    <t xml:space="preserve">3-5  </t>
    <phoneticPr fontId="1"/>
  </si>
  <si>
    <t>22-60</t>
    <phoneticPr fontId="1"/>
  </si>
  <si>
    <t xml:space="preserve">2-8  </t>
    <phoneticPr fontId="1"/>
  </si>
  <si>
    <t xml:space="preserve">9-32 </t>
    <phoneticPr fontId="1"/>
  </si>
  <si>
    <t>13-28</t>
    <phoneticPr fontId="1"/>
  </si>
  <si>
    <t>14-44</t>
    <phoneticPr fontId="1"/>
  </si>
  <si>
    <t>8-16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</si>
</sst>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4A4950-47D5-4BC2-8586-CBA2EB8DAA9F}" name="TableRoster" displayName="TableRoster" ref="A1:M18" totalsRowShown="0" headerRowDxfId="1074">
  <autoFilter ref="A1:M18" xr:uid="{ED07A759-173D-4473-B51E-82F539992A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46AAF59-92AF-4341-A1A6-EB73B7E25191}" name="TeamID" dataDxfId="1087"/>
    <tableColumn id="2" xr3:uid="{B948B965-9597-49CC-9CA8-700424F42061}" name="SEASON" dataDxfId="1086"/>
    <tableColumn id="3" xr3:uid="{0CC92A33-00CD-4F8E-892D-5C401965D286}" name="LeagueID" dataDxfId="1085"/>
    <tableColumn id="4" xr3:uid="{89C413E9-326F-4440-A815-E536D14DCC19}" name="PLAYER" dataDxfId="1084"/>
    <tableColumn id="5" xr3:uid="{89DCCF06-4143-455B-97DD-5CC42CD03989}" name="NUM" dataDxfId="1083"/>
    <tableColumn id="6" xr3:uid="{BBFD52C3-864E-4046-A3B2-2DFD3E9B5FD3}" name="POSITION" dataDxfId="1082"/>
    <tableColumn id="7" xr3:uid="{2D9451C9-A9C5-4734-ACAC-D40A58192C39}" name="HEIGHT" dataDxfId="1081"/>
    <tableColumn id="8" xr3:uid="{797FCF34-C68A-42AA-9AA4-40C27B8BF2A8}" name="WEIGHT" dataDxfId="1080"/>
    <tableColumn id="9" xr3:uid="{7099E884-7105-4720-9D4A-3122A24E41D7}" name="BIRTH_DATE" dataDxfId="1079"/>
    <tableColumn id="10" xr3:uid="{BE993A0D-221A-4558-9F5E-B40AA7D68894}" name="AGE" dataDxfId="1078"/>
    <tableColumn id="11" xr3:uid="{B264ACD5-241D-425B-AA47-F3907BB47F73}" name="EXP" dataDxfId="1077"/>
    <tableColumn id="12" xr3:uid="{E3318DB6-87F3-4ECA-BF4F-A6C827415983}" name="SCHOOL" dataDxfId="1076"/>
    <tableColumn id="13" xr3:uid="{C8173C27-DF22-4DA4-9308-AC0EAE183B9D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4581E-6A17-4068-9DC4-BE8E3EA78C83}" name="TableStandingsN" displayName="TableStandingsN" ref="A1:CC31" totalsRowShown="0" headerRowDxfId="992">
  <autoFilter ref="A1:CC31" xr:uid="{F24A723D-63E6-4D35-B624-E71AE87226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ECC5BE0-C540-4C3D-B0DC-FE46E7042338}" name="LeagueID" dataDxfId="1073"/>
    <tableColumn id="2" xr3:uid="{85701683-4C5C-4EA9-BC1C-4DDB9400793C}" name="SeasonID" dataDxfId="1072"/>
    <tableColumn id="3" xr3:uid="{4713BD23-94D3-4462-8CA6-477A56BFE68E}" name="TeamID" dataDxfId="1071"/>
    <tableColumn id="4" xr3:uid="{3588B132-690C-4EE6-8288-39F5D79CD11B}" name="TeamCity" dataDxfId="1070"/>
    <tableColumn id="5" xr3:uid="{E9DE460F-C98B-459C-821C-75CF841B7303}" name="TeamName" dataDxfId="1069"/>
    <tableColumn id="6" xr3:uid="{F3174904-9E9C-43D5-9609-46AB23F4E428}" name="Conference" dataDxfId="1068"/>
    <tableColumn id="7" xr3:uid="{F75A3153-F2A3-421B-85F9-97D28803AC2B}" name="ConferenceRecord" dataDxfId="1067"/>
    <tableColumn id="8" xr3:uid="{B7EAA3BE-F628-43DE-9FCB-369C17AF101C}" name="PlayoffRank" dataDxfId="1066"/>
    <tableColumn id="9" xr3:uid="{D0D39F8E-7313-4059-8D1B-6987EC25624A}" name="ClinchIndicator" dataDxfId="1065"/>
    <tableColumn id="10" xr3:uid="{2DADC56B-6D9E-465A-B009-08ACCCECDFE9}" name="Division" dataDxfId="1064"/>
    <tableColumn id="11" xr3:uid="{2A210A81-1301-47EB-B3C1-E252B8268746}" name="DivisionRecord" dataDxfId="1063"/>
    <tableColumn id="12" xr3:uid="{B6F45E6B-A6A2-4FC5-BA16-5E2C440FB34F}" name="DivisionRank" dataDxfId="1062"/>
    <tableColumn id="13" xr3:uid="{1523F585-D8C4-4EA3-8CAD-32055DBDE5FF}" name="WINS" dataDxfId="1061"/>
    <tableColumn id="14" xr3:uid="{4EC7FEE7-C3F8-4DC5-ACDA-9FDF13551624}" name="LOSSES" dataDxfId="1060"/>
    <tableColumn id="15" xr3:uid="{5B1E4DA2-F7B2-45C1-92B9-70CC91DC5CAA}" name="WinPCT" dataDxfId="1059"/>
    <tableColumn id="16" xr3:uid="{7BDF1A67-E999-42AA-8B50-E76ECD7311BB}" name="LeagueRank" dataDxfId="1058"/>
    <tableColumn id="17" xr3:uid="{68F90AA5-5075-4A81-A8D6-F01F79728F8A}" name="Record" dataDxfId="1057"/>
    <tableColumn id="18" xr3:uid="{A606BF30-D3AA-4D3E-96CC-74E9FDA7DD71}" name="HOME" dataDxfId="1056"/>
    <tableColumn id="19" xr3:uid="{274CA626-7183-4AEC-8501-01C2DFE8C479}" name="ROAD" dataDxfId="1055"/>
    <tableColumn id="20" xr3:uid="{CBF69AAB-C540-4536-BA1B-9E097E3D9FC7}" name="L10" dataDxfId="1054"/>
    <tableColumn id="21" xr3:uid="{2CA4757C-A26E-47FA-80CA-AEB5CAE5F6AE}" name="Last10Home" dataDxfId="1053"/>
    <tableColumn id="22" xr3:uid="{17004922-BBD2-4C7B-8D33-9EBDCC75F06B}" name="Last10Road" dataDxfId="1052"/>
    <tableColumn id="23" xr3:uid="{2643D9C6-2C53-44A6-8DCB-EEAA04E09705}" name="OT" dataDxfId="1051"/>
    <tableColumn id="24" xr3:uid="{9D47FFE9-1B19-4B06-BCB0-B9B8F80C59D3}" name="ThreePTSOrLess" dataDxfId="1050"/>
    <tableColumn id="25" xr3:uid="{BFEE1DFF-928D-4D76-B034-EC0372D29714}" name="TenPTSOrMore" dataDxfId="1049"/>
    <tableColumn id="26" xr3:uid="{2E6FB75A-8105-46BC-A332-9D299AFA86A9}" name="LongHomeStreak" dataDxfId="1048"/>
    <tableColumn id="27" xr3:uid="{4700FFA5-E08C-4054-95BB-63B9674A5C20}" name="strLongHomeStreak" dataDxfId="1047"/>
    <tableColumn id="28" xr3:uid="{33145ED3-FB3B-462C-A3AE-5F3C1A5754F8}" name="LongRoadStreak" dataDxfId="1046"/>
    <tableColumn id="29" xr3:uid="{BE00DFE1-09E0-4FC2-BCB3-F175E50213C3}" name="strLongRoadStreak" dataDxfId="1045"/>
    <tableColumn id="30" xr3:uid="{A83064C9-6223-411C-9BAF-5A62D6B376D0}" name="LongWinStreak" dataDxfId="1044"/>
    <tableColumn id="31" xr3:uid="{74367FC9-6960-4ADA-9E83-CDD3D41B56E8}" name="LongLossStreak" dataDxfId="1043"/>
    <tableColumn id="32" xr3:uid="{E48AA1DE-6E0B-440F-9AEC-8386017776D4}" name="CurrentHomeStreak" dataDxfId="1042"/>
    <tableColumn id="33" xr3:uid="{6EA02CAD-F57D-43EB-8AA9-2C7978C95C78}" name="strCurrentHomeStreak" dataDxfId="1041"/>
    <tableColumn id="34" xr3:uid="{BF9CD70C-5355-42F4-8F3B-265D1D31138C}" name="CurrentRoadStreak" dataDxfId="1040"/>
    <tableColumn id="35" xr3:uid="{370B25F0-8994-4DFA-B379-3CB9165EF41A}" name="strCurrentRoadStreak" dataDxfId="1039"/>
    <tableColumn id="36" xr3:uid="{57CDFDB2-5EFA-471D-9222-1A6BB3AE9FF7}" name="CurrentStreak" dataDxfId="1038"/>
    <tableColumn id="37" xr3:uid="{22138443-2473-49DD-B755-0F4C745E01EB}" name="strCurrentStreak" dataDxfId="1037"/>
    <tableColumn id="38" xr3:uid="{4B940833-177A-4493-B2B4-DDA84FA357C7}" name="ConferenceGamesBack" dataDxfId="1036"/>
    <tableColumn id="39" xr3:uid="{FA9C2C0C-64A4-4485-9D78-128408A0DE56}" name="DivisionGamesBack" dataDxfId="1035"/>
    <tableColumn id="40" xr3:uid="{5CD7F727-2574-498C-8B27-3333D902D0E6}" name="ClinchedConferenceTitle" dataDxfId="1034"/>
    <tableColumn id="41" xr3:uid="{33192E1B-9556-49DD-833F-FC82BF4EC313}" name="ClinchedDivisionTitle" dataDxfId="1033"/>
    <tableColumn id="42" xr3:uid="{01D762D8-D5E5-4336-8DC1-F49775AC5471}" name="ClinchedPlayoffBirth" dataDxfId="1032"/>
    <tableColumn id="43" xr3:uid="{81E2B412-100C-490B-BBFB-05E94E544C91}" name="EliminatedConference" dataDxfId="1031"/>
    <tableColumn id="44" xr3:uid="{3345B245-D2CD-442E-8ED7-4C9BC74E7F92}" name="EliminatedDivision" dataDxfId="1030"/>
    <tableColumn id="45" xr3:uid="{0E247B8E-20C5-497C-A698-27EA4802D1CB}" name="AheadAtHalf" dataDxfId="1029"/>
    <tableColumn id="46" xr3:uid="{7B16FB52-33CC-4E12-A4AC-3799627E1478}" name="BehindAtHalf" dataDxfId="1028"/>
    <tableColumn id="47" xr3:uid="{ED260188-1BC4-4DAE-AFB8-C62E2EBA56D8}" name="TiedAtHalf" dataDxfId="1027"/>
    <tableColumn id="48" xr3:uid="{225B91BD-75DF-45A2-845A-85DDCA39D0A7}" name="AheadAtThird" dataDxfId="1026"/>
    <tableColumn id="49" xr3:uid="{46D49CE0-FC4C-44CD-BC0E-E68487751DA9}" name="BehindAtThird" dataDxfId="1025"/>
    <tableColumn id="50" xr3:uid="{C2E4009F-6946-4330-AB5B-1D03166F0452}" name="TiedAtThird" dataDxfId="1024"/>
    <tableColumn id="51" xr3:uid="{6084CC26-A6E3-4C07-8884-DC503B1A8F3F}" name="Score100PTS" dataDxfId="1023"/>
    <tableColumn id="52" xr3:uid="{3F85E573-57B1-4D98-BABF-A49E48DF68DA}" name="OppScore100PTS" dataDxfId="1022"/>
    <tableColumn id="53" xr3:uid="{853EA2C2-783E-47B7-8E9E-A1BEC94C43E0}" name="OppOver500" dataDxfId="1021"/>
    <tableColumn id="54" xr3:uid="{A56411BE-3CF9-43B5-A771-592A52FA10E9}" name="LeadInFGPCT" dataDxfId="1020"/>
    <tableColumn id="55" xr3:uid="{4F919D81-B161-4572-8CDA-6E2BFA32B8A4}" name="LeadInReb" dataDxfId="1019"/>
    <tableColumn id="56" xr3:uid="{28A64B90-04B9-4F24-A239-E68A828C25FB}" name="FewerTurnovers" dataDxfId="1018"/>
    <tableColumn id="57" xr3:uid="{5B201AA4-7A57-4A94-8404-3BEB28D1E20A}" name="PointsPG" dataDxfId="1017"/>
    <tableColumn id="58" xr3:uid="{5513E941-21FB-413D-80A5-FE54F348451B}" name="OppPointsPG" dataDxfId="1016"/>
    <tableColumn id="59" xr3:uid="{282623AE-3C62-40BA-ACB3-F613F7D4CC0F}" name="DiffPointsPG" dataDxfId="1015"/>
    <tableColumn id="60" xr3:uid="{F9478EE4-E0FB-49C8-8CB4-42DD425FD610}" name="vsEast" dataDxfId="1014"/>
    <tableColumn id="61" xr3:uid="{6E166AA5-4065-49EC-88D2-E1F3100C4E47}" name="vsAtlantic" dataDxfId="1013"/>
    <tableColumn id="62" xr3:uid="{E70C0608-AAC7-44A6-8EE0-F2CFF7E18F74}" name="vsCentral" dataDxfId="1012"/>
    <tableColumn id="63" xr3:uid="{91202C62-DCB5-4C1D-8D4A-00614D3CD453}" name="vsSoutheast" dataDxfId="1011"/>
    <tableColumn id="64" xr3:uid="{285688A9-D412-4E1E-A437-83DBA2E85E72}" name="vsWest" dataDxfId="1010"/>
    <tableColumn id="65" xr3:uid="{49594DF5-BA9E-48AF-B3F9-4479255B8531}" name="vsNorthwest" dataDxfId="1009"/>
    <tableColumn id="66" xr3:uid="{F5ED3FDE-4185-4E09-8BC8-C53A2DCAF91A}" name="vsPacific" dataDxfId="1008"/>
    <tableColumn id="67" xr3:uid="{5F817648-F064-43A8-8CAC-D3932A0D2E4D}" name="vsSouthwest" dataDxfId="1007"/>
    <tableColumn id="68" xr3:uid="{A4E448D7-FE6D-4A28-B21B-89E92F000E41}" name="Jan" dataDxfId="1006"/>
    <tableColumn id="69" xr3:uid="{393BB80E-AF15-4DED-B298-9EED19EB7C71}" name="Feb" dataDxfId="1005"/>
    <tableColumn id="70" xr3:uid="{0C1F8941-F35D-434A-8043-1B44B0861A6F}" name="Mar" dataDxfId="1004"/>
    <tableColumn id="71" xr3:uid="{64ABE880-155C-4807-AFB0-D8C0290EB799}" name="Apr" dataDxfId="1003"/>
    <tableColumn id="72" xr3:uid="{917BCDC6-7309-4703-88EF-80EBE593A27E}" name="May" dataDxfId="1002"/>
    <tableColumn id="73" xr3:uid="{D89D96E0-4B57-4843-9F69-1E13519F3D57}" name="Jun" dataDxfId="1001"/>
    <tableColumn id="74" xr3:uid="{8F2E1DD9-55DB-4934-9C08-8552FDF3F85F}" name="Jul" dataDxfId="1000"/>
    <tableColumn id="75" xr3:uid="{08EEFCE4-A3E5-4FA4-9AC4-AFD4D7468452}" name="Aug" dataDxfId="999"/>
    <tableColumn id="76" xr3:uid="{6C892F36-8B83-466B-9D76-B9C503DEA698}" name="Sep" dataDxfId="998"/>
    <tableColumn id="77" xr3:uid="{A7830C6E-4EFF-4659-8AEF-08B839E3A4A1}" name="Oct" dataDxfId="997"/>
    <tableColumn id="78" xr3:uid="{144B4973-6497-4EFA-A97E-232836E0E6DD}" name="Nov" dataDxfId="996"/>
    <tableColumn id="79" xr3:uid="{5872F0ED-873A-46B2-BF52-C63F17A1ECC0}" name="Dec" dataDxfId="995"/>
    <tableColumn id="80" xr3:uid="{9DDF51CC-BFAC-43B1-97C0-21DD6F128421}" name="PreAS" dataDxfId="994"/>
    <tableColumn id="81" xr3:uid="{D6FA3159-1E31-4658-92D2-5628BD5EC935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C82BD-8EBF-4454-8D81-E79E4CC80A1C}" name="TableBaseN" displayName="TableBaseN" ref="A1:BD31" totalsRowShown="0" headerRowDxfId="853">
  <autoFilter ref="A1:BD31" xr:uid="{A2DBC3A0-A10C-43BA-A918-967D068C8A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85E8752-473A-467D-91B5-9C439FCDD372}" name="TEAM_ID" dataDxfId="909"/>
    <tableColumn id="2" xr3:uid="{BB0F47EF-B622-44F6-A2B2-41433FAE7BCE}" name="TEAM_NAME" dataDxfId="908"/>
    <tableColumn id="3" xr3:uid="{D19546C6-1760-41BB-8A32-C9446CF5102B}" name="GP" dataDxfId="907"/>
    <tableColumn id="4" xr3:uid="{2886AA13-B0E4-40BC-B27C-9F87C7C60E14}" name="W" dataDxfId="906"/>
    <tableColumn id="5" xr3:uid="{479ED1B7-811B-47E2-B030-E17640FE43CB}" name="L" dataDxfId="905"/>
    <tableColumn id="6" xr3:uid="{CF7135CB-8B45-4370-8019-1110E0E9EAFB}" name="W_PCT" dataDxfId="904"/>
    <tableColumn id="7" xr3:uid="{E796AA5B-12BB-46ED-94FC-1865D319D670}" name="MIN" dataDxfId="903"/>
    <tableColumn id="8" xr3:uid="{3F04B7F6-6348-4B98-A5F8-A1A33FB28F75}" name="FGM" dataDxfId="902"/>
    <tableColumn id="9" xr3:uid="{8DBFCAAF-4EED-428F-9CBB-45776F60F59B}" name="FGA" dataDxfId="901"/>
    <tableColumn id="10" xr3:uid="{89EAA41A-63B8-4151-8264-AF095DCD7C32}" name="FG_PCT" dataDxfId="900"/>
    <tableColumn id="11" xr3:uid="{EECD9B73-80CE-4AF4-9FFA-08289906D9E4}" name="FG3M" dataDxfId="899"/>
    <tableColumn id="12" xr3:uid="{CF085707-6181-46F7-A300-2AD175D9B8B3}" name="FG3A" dataDxfId="898"/>
    <tableColumn id="13" xr3:uid="{9349ECE7-A0CD-4579-980E-76D92F8FF5AA}" name="FG3_PCT" dataDxfId="897"/>
    <tableColumn id="14" xr3:uid="{551685DF-4672-4504-9800-EF7BDAD719CF}" name="FTM" dataDxfId="896"/>
    <tableColumn id="15" xr3:uid="{CE22F9A8-08C5-4824-8EE9-3EE65B97673C}" name="FTA" dataDxfId="895"/>
    <tableColumn id="16" xr3:uid="{601034D5-9402-4FBD-B0D5-445E12CFBB9C}" name="FT_PCT" dataDxfId="894"/>
    <tableColumn id="17" xr3:uid="{BA8F8AAE-6B25-4F2C-B07E-AEE61A70649D}" name="OREB" dataDxfId="893"/>
    <tableColumn id="18" xr3:uid="{C58D831E-6BB7-43B1-9752-F8E18DEE8337}" name="DREB" dataDxfId="892"/>
    <tableColumn id="19" xr3:uid="{7D79BB65-3D59-4799-8FE0-E3325079219F}" name="REB" dataDxfId="891"/>
    <tableColumn id="20" xr3:uid="{3CB7DDE0-6702-4B70-BEC0-97E33B540105}" name="AST" dataDxfId="890"/>
    <tableColumn id="21" xr3:uid="{058DE2C9-DBBF-4265-B4E1-F60F4D0399BF}" name="TOV" dataDxfId="889"/>
    <tableColumn id="22" xr3:uid="{EE5181DF-6601-46E4-8F54-C6D348BF935C}" name="STL" dataDxfId="888"/>
    <tableColumn id="23" xr3:uid="{A9290E46-3225-408A-8FB0-3690FD85E2AD}" name="BLK" dataDxfId="887"/>
    <tableColumn id="24" xr3:uid="{2B2CBB3D-E588-468A-8523-EEFFF4CD13A2}" name="BLKA" dataDxfId="886"/>
    <tableColumn id="25" xr3:uid="{E5735AE3-1093-451F-8575-6C50637E397C}" name="PF" dataDxfId="885"/>
    <tableColumn id="26" xr3:uid="{B4B2CD9F-0D86-4607-B016-533183F54E9D}" name="PFD" dataDxfId="884"/>
    <tableColumn id="27" xr3:uid="{4E228058-8CB7-4CAF-A327-1512AE97E854}" name="PTS" dataDxfId="883"/>
    <tableColumn id="28" xr3:uid="{0864FF2A-F925-4696-99D8-79FBBE6288F0}" name="PLUS_MINUS" dataDxfId="882"/>
    <tableColumn id="29" xr3:uid="{19883C67-A575-43BC-B6EF-03E1AF580FC6}" name="GP_RANK" dataDxfId="881"/>
    <tableColumn id="30" xr3:uid="{9079B12D-2B9F-433D-A8E4-939C37D11A1F}" name="W_RANK" dataDxfId="880"/>
    <tableColumn id="31" xr3:uid="{9A21964A-6550-46B2-BFF0-D40049F4A15A}" name="L_RANK" dataDxfId="879"/>
    <tableColumn id="32" xr3:uid="{505F025C-14E5-46FF-A90D-57148FB8AACE}" name="W_PCT_RANK" dataDxfId="878"/>
    <tableColumn id="33" xr3:uid="{6E57DE60-28EC-4315-95EC-597D25112CB5}" name="MIN_RANK" dataDxfId="877"/>
    <tableColumn id="34" xr3:uid="{74F6AE83-4004-4E6E-BEAC-2F7645C294FD}" name="FGM_RANK" dataDxfId="876"/>
    <tableColumn id="35" xr3:uid="{F33E35CE-5081-4E89-8027-C54850F224A3}" name="FGA_RANK" dataDxfId="875"/>
    <tableColumn id="36" xr3:uid="{0EC5A9F9-C965-4CAB-B976-91043B36EDF4}" name="FG_PCT_RANK" dataDxfId="874"/>
    <tableColumn id="37" xr3:uid="{1BCC0528-AC74-4909-9128-4045E7D0EFC8}" name="FG3M_RANK" dataDxfId="873"/>
    <tableColumn id="38" xr3:uid="{6630055C-A690-417A-982F-9053CB65A90D}" name="FG3A_RANK" dataDxfId="872"/>
    <tableColumn id="39" xr3:uid="{124D1232-9D3E-41D9-A72D-B7C9163248E3}" name="FG3_PCT_RANK" dataDxfId="871"/>
    <tableColumn id="40" xr3:uid="{79073E51-FD3F-48BA-9DD8-87FEE9BBD0A2}" name="FTM_RANK" dataDxfId="870"/>
    <tableColumn id="41" xr3:uid="{8E157D43-A496-4E9C-B204-22496FD6E2B4}" name="FTA_RANK" dataDxfId="869"/>
    <tableColumn id="42" xr3:uid="{74B21652-A9D3-457E-87AB-AF065D41B00D}" name="FT_PCT_RANK" dataDxfId="868"/>
    <tableColumn id="43" xr3:uid="{85FF84E4-67E6-4E82-81F2-C6EFB0F1BC6A}" name="OREB_RANK" dataDxfId="867"/>
    <tableColumn id="44" xr3:uid="{617DB568-0D9D-421F-884B-1246C144D592}" name="DREB_RANK" dataDxfId="866"/>
    <tableColumn id="45" xr3:uid="{6A088F7C-9755-4990-8125-0F6C0EBF2866}" name="REB_RANK" dataDxfId="865"/>
    <tableColumn id="46" xr3:uid="{85B33C35-61B3-4F58-A7AD-50EECA83FFF1}" name="AST_RANK" dataDxfId="864"/>
    <tableColumn id="47" xr3:uid="{8B734F48-D53B-468E-9D2B-57FB48ECB2D6}" name="TOV_RANK" dataDxfId="863"/>
    <tableColumn id="48" xr3:uid="{213DD3CD-23E0-42AF-ACD9-1E4F51BEF02A}" name="STL_RANK" dataDxfId="862"/>
    <tableColumn id="49" xr3:uid="{E3169023-D537-4AAC-8A1D-2C4B95B13BA6}" name="BLK_RANK" dataDxfId="861"/>
    <tableColumn id="50" xr3:uid="{D1686C95-B98B-4A15-B74E-ABB1AB725172}" name="BLKA_RANK" dataDxfId="860"/>
    <tableColumn id="51" xr3:uid="{DF588455-ADE2-4E50-B330-3E42FDEC121B}" name="PF_RANK" dataDxfId="859"/>
    <tableColumn id="52" xr3:uid="{8C2C94DD-DCF5-44D0-BB38-B6D3483B4DF4}" name="PFD_RANK" dataDxfId="858"/>
    <tableColumn id="53" xr3:uid="{3871C803-CF48-4DFC-8D73-7B54C2C5BFA4}" name="PTS_RANK" dataDxfId="857"/>
    <tableColumn id="54" xr3:uid="{34D34C85-8E22-4531-843C-E6FBB68C4FB2}" name="PLUS_MINUS_RANK" dataDxfId="856"/>
    <tableColumn id="55" xr3:uid="{2E0A6CFD-2ACC-4B42-B927-35FD2C855AC6}" name="CFID" dataDxfId="855"/>
    <tableColumn id="56" xr3:uid="{47A9DFCA-6211-47B9-8DB6-70096B70FB32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9D696D-61AB-4236-B945-AA34864BC331}" name="TableAdvancedN" displayName="TableAdvancedN" ref="A1:AV31" totalsRowShown="0" headerRowDxfId="747">
  <autoFilter ref="A1:AV31" xr:uid="{A644A138-D83A-4B2C-A027-07FEE915FB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1D730B1-26A4-43C7-92E6-3C278EABE8A2}" name="TEAM_ID" dataDxfId="795"/>
    <tableColumn id="2" xr3:uid="{97E24619-FD2B-4555-AF5F-743685FA3F1F}" name="TEAM_NAME" dataDxfId="794"/>
    <tableColumn id="3" xr3:uid="{945B1785-780A-441B-9C24-23EDAD4DE2FF}" name="GP" dataDxfId="793"/>
    <tableColumn id="4" xr3:uid="{1EEAF6B5-4698-4439-BA2F-6F1729F191CA}" name="W" dataDxfId="792"/>
    <tableColumn id="5" xr3:uid="{3B079562-06DC-4752-8CA0-22FE32C40A54}" name="L" dataDxfId="791"/>
    <tableColumn id="6" xr3:uid="{A42AB340-C49F-48EA-8E01-E9B95BBFB4BE}" name="W_PCT" dataDxfId="790"/>
    <tableColumn id="7" xr3:uid="{8271AB46-312F-43B5-96A4-1AC814B48A36}" name="MIN" dataDxfId="789"/>
    <tableColumn id="8" xr3:uid="{5FE38809-4941-4A6C-BFB0-E61E636F72B6}" name="E_OFF_RATING" dataDxfId="788"/>
    <tableColumn id="9" xr3:uid="{809E79CD-420D-4F3F-83F5-FB7AE8958478}" name="OFF_RATING" dataDxfId="787"/>
    <tableColumn id="10" xr3:uid="{AA3D27C1-7FA4-434F-AB47-65A03AD246C5}" name="E_DEF_RATING" dataDxfId="786"/>
    <tableColumn id="11" xr3:uid="{5AFE5DA6-9C75-4E07-8040-7EEB6B5EC9DC}" name="DEF_RATING" dataDxfId="785"/>
    <tableColumn id="12" xr3:uid="{DAAF2EC0-AEDF-4456-B7B9-78D69FDDAB2F}" name="E_NET_RATING" dataDxfId="784"/>
    <tableColumn id="13" xr3:uid="{A07D1932-96EB-4681-87FA-28C00631859E}" name="NET_RATING" dataDxfId="783"/>
    <tableColumn id="14" xr3:uid="{65F2670B-52D8-4ECD-A230-F526FAF0564F}" name="AST_PCT" dataDxfId="782"/>
    <tableColumn id="15" xr3:uid="{5A434D01-514B-425D-A5C6-2E103E044E5B}" name="AST_TO" dataDxfId="781"/>
    <tableColumn id="16" xr3:uid="{22E58D34-5D30-4100-81AD-F367021CC006}" name="AST_RATIO" dataDxfId="780"/>
    <tableColumn id="17" xr3:uid="{E7567E64-B518-45C4-BF79-220CFE00541D}" name="OREB_PCT" dataDxfId="779"/>
    <tableColumn id="18" xr3:uid="{F5D0682B-046A-4FE1-B4AD-9A0E86EB3EBE}" name="DREB_PCT" dataDxfId="778"/>
    <tableColumn id="19" xr3:uid="{D476B06A-163E-4FDA-B1AE-7ADCB32C3E41}" name="REB_PCT" dataDxfId="777"/>
    <tableColumn id="20" xr3:uid="{5BB53E16-EF26-45F1-B82F-DC85C4ADD999}" name="TM_TOV_PCT" dataDxfId="776"/>
    <tableColumn id="21" xr3:uid="{4A73A0F8-BEAC-4592-B773-AD13484480D0}" name="EFG_PCT" dataDxfId="775"/>
    <tableColumn id="22" xr3:uid="{74F14481-E8DF-440C-9F0F-206D9752C880}" name="TS_PCT" dataDxfId="774"/>
    <tableColumn id="23" xr3:uid="{BFC36F02-D530-4F78-A79D-CA485A25DFA1}" name="E_PACE" dataDxfId="773"/>
    <tableColumn id="24" xr3:uid="{778B5FAC-0BEE-4FB9-8246-83164265757D}" name="PACE" dataDxfId="772"/>
    <tableColumn id="25" xr3:uid="{37201E65-A44A-4024-8FDA-6BAAFB850728}" name="PACE_PER40" dataDxfId="771"/>
    <tableColumn id="26" xr3:uid="{E1A8DE92-F3F9-4B0A-A942-DB8B5DCE5CB7}" name="POSS" dataDxfId="770"/>
    <tableColumn id="27" xr3:uid="{905314EF-C8E8-42E8-9406-EFB3D5B45207}" name="PIE" dataDxfId="769"/>
    <tableColumn id="28" xr3:uid="{7819C7C8-EA77-4332-B654-D57F2266F64F}" name="GP_RANK" dataDxfId="768"/>
    <tableColumn id="29" xr3:uid="{76E8A019-9D5F-477E-8757-4A2B2F561C8D}" name="W_RANK" dataDxfId="767"/>
    <tableColumn id="30" xr3:uid="{34A7EDE0-4904-4BED-A407-8725B4891EE4}" name="L_RANK" dataDxfId="766"/>
    <tableColumn id="31" xr3:uid="{639DEA7B-115E-4E2A-95DC-074881F82EAE}" name="W_PCT_RANK" dataDxfId="765"/>
    <tableColumn id="32" xr3:uid="{897C27ED-F3AB-47BA-A755-A3C1284B624A}" name="MIN_RANK" dataDxfId="764"/>
    <tableColumn id="33" xr3:uid="{AA23D29F-8932-4FCC-B98E-77C7DCC0C2A0}" name="OFF_RATING_RANK" dataDxfId="763"/>
    <tableColumn id="34" xr3:uid="{24BFC9E2-ED4F-49F1-99F5-BCEEB8E99FA2}" name="DEF_RATING_RANK" dataDxfId="762"/>
    <tableColumn id="35" xr3:uid="{6D1CD3DA-9BE2-4E3C-8589-56362F0F84CA}" name="NET_RATING_RANK" dataDxfId="761"/>
    <tableColumn id="36" xr3:uid="{17F45219-79C2-42D6-9060-433F5DAAC0D2}" name="AST_PCT_RANK" dataDxfId="760"/>
    <tableColumn id="37" xr3:uid="{CBF52BD5-74DE-4C49-8463-C2EBFEFA69D9}" name="AST_TO_RANK" dataDxfId="759"/>
    <tableColumn id="38" xr3:uid="{A876F94D-96C0-4B02-B040-EE59E8AA6D65}" name="AST_RATIO_RANK" dataDxfId="758"/>
    <tableColumn id="39" xr3:uid="{C585C913-C35A-4D49-B83A-C612413B73A4}" name="OREB_PCT_RANK" dataDxfId="757"/>
    <tableColumn id="40" xr3:uid="{2E2E2690-89EE-4854-A18C-66B6A83452A1}" name="DREB_PCT_RANK" dataDxfId="756"/>
    <tableColumn id="41" xr3:uid="{96738754-09CE-41E9-82F8-137A12A840AD}" name="REB_PCT_RANK" dataDxfId="755"/>
    <tableColumn id="42" xr3:uid="{75CD96D9-BB12-4F48-B965-8D86990CE67F}" name="TM_TOV_PCT_RANK" dataDxfId="754"/>
    <tableColumn id="43" xr3:uid="{85D491E1-C809-4846-8C5C-373A9E6C1724}" name="EFG_PCT_RANK" dataDxfId="753"/>
    <tableColumn id="44" xr3:uid="{FDE9656D-992F-491A-BC07-89752559CD8F}" name="TS_PCT_RANK" dataDxfId="752"/>
    <tableColumn id="45" xr3:uid="{4ED002FA-4EE7-4982-893D-280A8EF046CF}" name="PACE_RANK" dataDxfId="751"/>
    <tableColumn id="46" xr3:uid="{52D60885-AE21-4BE5-94BD-A8C9DA32BBCC}" name="PIE_RANK" dataDxfId="750"/>
    <tableColumn id="47" xr3:uid="{09153098-C886-4912-914B-0C022F0D7D1E}" name="CFID" dataDxfId="749"/>
    <tableColumn id="48" xr3:uid="{B0AE98D2-D898-4FD8-A7F6-1736523DDE08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653177-77AE-4455-B6B2-F71A64EDD09B}" name="TableAdvancedNStarters" displayName="TableAdvancedNStarters" ref="A1:AV31" totalsRowShown="0" headerRowDxfId="649">
  <autoFilter ref="A1:AV31" xr:uid="{959B08E9-F63E-471E-A31A-05C11E9F1C7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27CE511-556F-40A2-A3E3-E5ED77CC7AA3}" name="TEAM_ID" dataDxfId="697"/>
    <tableColumn id="2" xr3:uid="{88A3DBFD-C591-4B5D-8CF8-65172E6AF940}" name="TEAM_NAME" dataDxfId="696"/>
    <tableColumn id="3" xr3:uid="{EC840E44-742C-4D9E-890D-EB6309D0A9EA}" name="GP" dataDxfId="695"/>
    <tableColumn id="4" xr3:uid="{6A9F938C-D838-4205-A801-354FF7937019}" name="W" dataDxfId="694"/>
    <tableColumn id="5" xr3:uid="{8CAF8524-6008-4A0A-821A-51E05EBFA3BA}" name="L" dataDxfId="693"/>
    <tableColumn id="6" xr3:uid="{86D15556-C18E-4A34-BC67-BD39F5264458}" name="W_PCT" dataDxfId="692"/>
    <tableColumn id="7" xr3:uid="{0FABE3D4-E682-47DF-8276-4FFB040B30E6}" name="MIN" dataDxfId="691"/>
    <tableColumn id="8" xr3:uid="{E775D7EE-3B18-4100-A602-3C620D273709}" name="E_OFF_RATING" dataDxfId="690"/>
    <tableColumn id="9" xr3:uid="{2534A7A5-6F6E-4600-9908-F6B90D623A91}" name="OFF_RATING" dataDxfId="689"/>
    <tableColumn id="10" xr3:uid="{C0BA7D20-0C34-4844-8747-7A5D66420E0E}" name="E_DEF_RATING" dataDxfId="688"/>
    <tableColumn id="11" xr3:uid="{B6094127-5E61-4107-88DE-A9B4D59C5279}" name="DEF_RATING" dataDxfId="687"/>
    <tableColumn id="12" xr3:uid="{6C4D5945-A562-48DA-B67A-0140D46719B9}" name="E_NET_RATING" dataDxfId="686"/>
    <tableColumn id="13" xr3:uid="{28FAE774-E9A8-45CA-B6A9-CCB07BFA740C}" name="NET_RATING" dataDxfId="685"/>
    <tableColumn id="14" xr3:uid="{2C670571-37EF-4DAC-A457-C5177A5AB4BA}" name="AST_PCT" dataDxfId="684"/>
    <tableColumn id="15" xr3:uid="{62BAEB21-5F5B-4F0E-9F52-48AE402D1521}" name="AST_TO" dataDxfId="683"/>
    <tableColumn id="16" xr3:uid="{1D3AE93F-5426-4B45-BFD5-7A613B519655}" name="AST_RATIO" dataDxfId="682"/>
    <tableColumn id="17" xr3:uid="{F4774742-6877-4249-BAA4-559584E7E9E5}" name="OREB_PCT" dataDxfId="681"/>
    <tableColumn id="18" xr3:uid="{B5728E03-79BB-4B1D-A204-BFEE2DACD66E}" name="DREB_PCT" dataDxfId="680"/>
    <tableColumn id="19" xr3:uid="{6553E7B8-E6E6-4844-BE8B-D121F9E39836}" name="REB_PCT" dataDxfId="679"/>
    <tableColumn id="20" xr3:uid="{400485C9-31A7-495F-8C00-3E95C4CEF734}" name="TM_TOV_PCT" dataDxfId="678"/>
    <tableColumn id="21" xr3:uid="{F8BBC0A9-4D8F-414A-96EB-52E5AD29DA31}" name="EFG_PCT" dataDxfId="677"/>
    <tableColumn id="22" xr3:uid="{528AC910-EE71-4276-9294-C1AA67359928}" name="TS_PCT" dataDxfId="676"/>
    <tableColumn id="23" xr3:uid="{DD28561C-E8B9-4474-A1EE-D55C54B9BA6E}" name="E_PACE" dataDxfId="675"/>
    <tableColumn id="24" xr3:uid="{F644DBB5-3E27-4899-9B47-E219F5E4AE21}" name="PACE" dataDxfId="674"/>
    <tableColumn id="25" xr3:uid="{8CF63121-6772-486F-A7D6-25ADA45DFE3B}" name="PACE_PER40" dataDxfId="673"/>
    <tableColumn id="26" xr3:uid="{ED8DC44B-9260-4F2E-8142-14877DBA7B6F}" name="POSS" dataDxfId="672"/>
    <tableColumn id="27" xr3:uid="{591ED179-06BA-4294-901A-4CBDC11B1F2A}" name="PIE" dataDxfId="671"/>
    <tableColumn id="28" xr3:uid="{1E2F1CD5-766B-431A-BE06-9BBB887256C7}" name="GP_RANK" dataDxfId="670"/>
    <tableColumn id="29" xr3:uid="{89155C71-F386-4F6E-8DDC-E167525DDC50}" name="W_RANK" dataDxfId="669"/>
    <tableColumn id="30" xr3:uid="{A0B216F5-4D19-4BDC-AEA6-5A26BA0BEC59}" name="L_RANK" dataDxfId="668"/>
    <tableColumn id="31" xr3:uid="{7CA9B044-7FAC-448E-BECC-1AA61BADF1BC}" name="W_PCT_RANK" dataDxfId="667"/>
    <tableColumn id="32" xr3:uid="{8CF4C2D6-5833-4410-8567-56BB21F2238E}" name="MIN_RANK" dataDxfId="666"/>
    <tableColumn id="33" xr3:uid="{AC7254D6-87F0-4A06-A94D-5D493841CDA7}" name="OFF_RATING_RANK" dataDxfId="665"/>
    <tableColumn id="34" xr3:uid="{3369B512-A240-409D-A879-F5DA228A913A}" name="DEF_RATING_RANK" dataDxfId="664"/>
    <tableColumn id="35" xr3:uid="{41F503DB-D2B3-4A88-A76F-EB9687E6D370}" name="NET_RATING_RANK" dataDxfId="663"/>
    <tableColumn id="36" xr3:uid="{7D492A1A-1312-4197-92BC-9EC94EFEC471}" name="AST_PCT_RANK" dataDxfId="662"/>
    <tableColumn id="37" xr3:uid="{52EC7C93-F7F3-493B-A2F7-FBC0D56067D0}" name="AST_TO_RANK" dataDxfId="661"/>
    <tableColumn id="38" xr3:uid="{ACB9C1D2-1A68-4CA5-BD61-BDA4C9BC263F}" name="AST_RATIO_RANK" dataDxfId="660"/>
    <tableColumn id="39" xr3:uid="{4A1EC26E-0472-49E6-A649-E6472D5E089B}" name="OREB_PCT_RANK" dataDxfId="659"/>
    <tableColumn id="40" xr3:uid="{2AD101A1-4B2F-433E-8CD0-F4D5290A1FB7}" name="DREB_PCT_RANK" dataDxfId="658"/>
    <tableColumn id="41" xr3:uid="{8AC6B328-62F2-4291-929D-DD41E4BF652F}" name="REB_PCT_RANK" dataDxfId="657"/>
    <tableColumn id="42" xr3:uid="{73A711EA-62EA-43B8-A658-ECC376B4513A}" name="TM_TOV_PCT_RANK" dataDxfId="656"/>
    <tableColumn id="43" xr3:uid="{463E9B80-E4FF-4DBD-B155-C1F68537D7E6}" name="EFG_PCT_RANK" dataDxfId="655"/>
    <tableColumn id="44" xr3:uid="{3E3504B7-0127-4142-95A5-7A53AD099F06}" name="TS_PCT_RANK" dataDxfId="654"/>
    <tableColumn id="45" xr3:uid="{A4FE7BF9-C53F-4985-80FF-CE9535CF9C7E}" name="PACE_RANK" dataDxfId="653"/>
    <tableColumn id="46" xr3:uid="{DB3B3846-D4AA-40BF-B81D-3E614C150C69}" name="PIE_RANK" dataDxfId="652"/>
    <tableColumn id="47" xr3:uid="{2E0D143B-3587-42E0-8DEE-146C63BF3439}" name="CFID" dataDxfId="651"/>
    <tableColumn id="48" xr3:uid="{6B70A377-2AFF-4149-9178-38801961FE0F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B2E7B0-4B19-4D2C-9121-E31CC7546F69}" name="TableAdvancedNBench" displayName="TableAdvancedNBench" ref="A1:AV31" totalsRowShown="0" headerRowDxfId="551">
  <autoFilter ref="A1:AV31" xr:uid="{57312113-3DB3-4193-A884-A5E7526692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D6098F9-C53B-4FFA-9577-17AF253BA4A8}" name="TEAM_ID" dataDxfId="599"/>
    <tableColumn id="2" xr3:uid="{99B1D98A-31BC-4AB2-8865-DD91C6A8B943}" name="TEAM_NAME" dataDxfId="598"/>
    <tableColumn id="3" xr3:uid="{FEFD07A9-2BB5-40CA-A3ED-605B89D0DF23}" name="GP" dataDxfId="597"/>
    <tableColumn id="4" xr3:uid="{ABB34460-B1E4-4848-BFA7-F1BF2CA45B1B}" name="W" dataDxfId="596"/>
    <tableColumn id="5" xr3:uid="{F79B7418-E496-4372-814F-A46118B9E12F}" name="L" dataDxfId="595"/>
    <tableColumn id="6" xr3:uid="{FA54B17B-564D-403D-94C4-93EF287296FF}" name="W_PCT" dataDxfId="594"/>
    <tableColumn id="7" xr3:uid="{47FB1403-EED5-4CF7-AFD9-86AAF85A0C49}" name="MIN" dataDxfId="593"/>
    <tableColumn id="8" xr3:uid="{5D01CABC-A6B1-4C00-BC5F-D974E811ED3B}" name="E_OFF_RATING" dataDxfId="592"/>
    <tableColumn id="9" xr3:uid="{5041A626-3F42-43F0-904E-3E64987BBB00}" name="OFF_RATING" dataDxfId="591"/>
    <tableColumn id="10" xr3:uid="{AB93154A-A53A-4F01-8DD2-886F44A4FBA6}" name="E_DEF_RATING" dataDxfId="590"/>
    <tableColumn id="11" xr3:uid="{FA27E562-7401-4A10-9F23-AD837D2579E0}" name="DEF_RATING" dataDxfId="589"/>
    <tableColumn id="12" xr3:uid="{BDDD4FFD-FD48-4986-BD22-A48F138D654A}" name="E_NET_RATING" dataDxfId="588"/>
    <tableColumn id="13" xr3:uid="{3AF06689-F843-47ED-AB6A-5FE44FBE4F82}" name="NET_RATING" dataDxfId="587"/>
    <tableColumn id="14" xr3:uid="{5FB7C80D-EF48-4E35-8153-611F18EAC539}" name="AST_PCT" dataDxfId="586"/>
    <tableColumn id="15" xr3:uid="{69A92C0E-EBC8-4DD3-97B0-F06D5C61F197}" name="AST_TO" dataDxfId="585"/>
    <tableColumn id="16" xr3:uid="{514220C6-A9FD-4DDA-8733-77798EFBB79F}" name="AST_RATIO" dataDxfId="584"/>
    <tableColumn id="17" xr3:uid="{D01C606A-5216-40C4-AF53-D41E116C2A94}" name="OREB_PCT" dataDxfId="583"/>
    <tableColumn id="18" xr3:uid="{CA4D72E2-37BA-4FC5-A904-A158EDF2CD65}" name="DREB_PCT" dataDxfId="582"/>
    <tableColumn id="19" xr3:uid="{901CA4E4-7346-4394-A9BE-CFA21A35A4CA}" name="REB_PCT" dataDxfId="581"/>
    <tableColumn id="20" xr3:uid="{898EC84F-9ACE-4496-88EB-F584AE3A3B6B}" name="TM_TOV_PCT" dataDxfId="580"/>
    <tableColumn id="21" xr3:uid="{EDBA9741-65DE-4D15-AEC9-66C8E74F3EF2}" name="EFG_PCT" dataDxfId="579"/>
    <tableColumn id="22" xr3:uid="{C82DFC1B-F5E1-4383-9854-E3A1FA5E4CB6}" name="TS_PCT" dataDxfId="578"/>
    <tableColumn id="23" xr3:uid="{2D7815B6-30A7-44A9-9F45-F245C55609AB}" name="E_PACE" dataDxfId="577"/>
    <tableColumn id="24" xr3:uid="{065F2C44-8E81-446E-A5E3-7FBC1AF5AF51}" name="PACE" dataDxfId="576"/>
    <tableColumn id="25" xr3:uid="{AFC73AEA-BF16-4714-9BAD-40D3C5058F8D}" name="PACE_PER40" dataDxfId="575"/>
    <tableColumn id="26" xr3:uid="{2CCDEFAC-9557-485B-92C9-714C47DF0C75}" name="POSS" dataDxfId="574"/>
    <tableColumn id="27" xr3:uid="{9E1A7605-79BB-4D4F-9F71-BE938C391186}" name="PIE" dataDxfId="573"/>
    <tableColumn id="28" xr3:uid="{43596E0B-DBA5-4359-9E68-3C07B03E9F0A}" name="GP_RANK" dataDxfId="572"/>
    <tableColumn id="29" xr3:uid="{31B81D94-66B2-4B46-9AB4-C3BD06E75E3F}" name="W_RANK" dataDxfId="571"/>
    <tableColumn id="30" xr3:uid="{50B07766-3964-48F4-9C05-4E29F82A3922}" name="L_RANK" dataDxfId="570"/>
    <tableColumn id="31" xr3:uid="{8C9B3082-7D24-40B9-904E-C4C14AEFE833}" name="W_PCT_RANK" dataDxfId="569"/>
    <tableColumn id="32" xr3:uid="{32D67507-CE36-4ACF-8ECD-87DF49993C27}" name="MIN_RANK" dataDxfId="568"/>
    <tableColumn id="33" xr3:uid="{358E9DD8-AD49-4012-94C1-8AC9C1DA9B74}" name="OFF_RATING_RANK" dataDxfId="567"/>
    <tableColumn id="34" xr3:uid="{1EBF4AC0-97FB-4F9E-B810-99D7FA08B05C}" name="DEF_RATING_RANK" dataDxfId="566"/>
    <tableColumn id="35" xr3:uid="{29393FDF-2281-49F2-8574-5B9FEC0825E2}" name="NET_RATING_RANK" dataDxfId="565"/>
    <tableColumn id="36" xr3:uid="{7E3C7250-056C-4A59-8340-06685E682C86}" name="AST_PCT_RANK" dataDxfId="564"/>
    <tableColumn id="37" xr3:uid="{7D3469F9-945C-467B-B59A-5EAB6A2C12E7}" name="AST_TO_RANK" dataDxfId="563"/>
    <tableColumn id="38" xr3:uid="{BCC9871C-986F-4AA7-AEA0-33DFFE0CAA8E}" name="AST_RATIO_RANK" dataDxfId="562"/>
    <tableColumn id="39" xr3:uid="{C41A5CC8-BAD4-41D6-B769-648DAF2FCCD3}" name="OREB_PCT_RANK" dataDxfId="561"/>
    <tableColumn id="40" xr3:uid="{D330F24C-BD7A-434A-8B8B-29BD56D99A2F}" name="DREB_PCT_RANK" dataDxfId="560"/>
    <tableColumn id="41" xr3:uid="{91A2E79E-5DC5-4FFD-A2E6-D9695C81179D}" name="REB_PCT_RANK" dataDxfId="559"/>
    <tableColumn id="42" xr3:uid="{C383D684-C2FE-4D7F-B9B1-9BF67CB2397C}" name="TM_TOV_PCT_RANK" dataDxfId="558"/>
    <tableColumn id="43" xr3:uid="{AA345FE3-5BC4-4930-AB05-B4372605EBAC}" name="EFG_PCT_RANK" dataDxfId="557"/>
    <tableColumn id="44" xr3:uid="{CD393722-3688-4DB0-BC7A-CCB776860464}" name="TS_PCT_RANK" dataDxfId="556"/>
    <tableColumn id="45" xr3:uid="{BA520414-8DAF-4BF0-A956-365427531A32}" name="PACE_RANK" dataDxfId="555"/>
    <tableColumn id="46" xr3:uid="{97619CED-DF3C-40FA-84B9-40526ED6CE94}" name="PIE_RANK" dataDxfId="554"/>
    <tableColumn id="47" xr3:uid="{A0818661-E448-4025-8001-47279A241AE6}" name="CFID" dataDxfId="553"/>
    <tableColumn id="48" xr3:uid="{133DA777-0144-448A-AFAA-C7453FDDFDC2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0F82878-A8CF-42B7-A173-4B24CD296476}" name="TableMiscN" displayName="TableMiscN" ref="A1:AD31" totalsRowShown="0" headerRowDxfId="471">
  <autoFilter ref="A1:AD31" xr:uid="{6DAD6D18-CBB6-407D-8559-1F4CEBCBDD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37EB935-65F9-4B34-8147-6EA87BECB8D2}" name="TEAM_ID" dataDxfId="501"/>
    <tableColumn id="2" xr3:uid="{A7F09FB6-6A76-4174-A35E-DEECB141E920}" name="TEAM_NAME" dataDxfId="500"/>
    <tableColumn id="3" xr3:uid="{BE0F907E-80CE-4AAC-BC35-40AA246AF2D1}" name="GP" dataDxfId="499"/>
    <tableColumn id="4" xr3:uid="{C0872418-B3AC-4E9C-9521-6F511B2A8957}" name="W" dataDxfId="498"/>
    <tableColumn id="5" xr3:uid="{E6F8B766-67FB-4381-9076-69D87CD9C4F2}" name="L" dataDxfId="497"/>
    <tableColumn id="6" xr3:uid="{B23A50DB-73AC-42E1-890C-1F84554F21F1}" name="W_PCT" dataDxfId="496"/>
    <tableColumn id="7" xr3:uid="{F46F19E2-50D0-41FA-9011-833FC1D7C379}" name="MIN" dataDxfId="495"/>
    <tableColumn id="8" xr3:uid="{537A5717-316B-4137-8A75-06AD728DD54D}" name="PTS_OFF_TOV" dataDxfId="494"/>
    <tableColumn id="9" xr3:uid="{73E09955-E2A9-4549-982E-F9F05D7D3F7D}" name="PTS_2ND_CHANCE" dataDxfId="493"/>
    <tableColumn id="10" xr3:uid="{75DC6762-85FC-4A88-B45A-556FC89E6E0C}" name="PTS_FB" dataDxfId="492"/>
    <tableColumn id="11" xr3:uid="{0B7C3804-2394-47C9-B316-B779B5AC2045}" name="PTS_PAINT" dataDxfId="491"/>
    <tableColumn id="12" xr3:uid="{CE0CECB6-3EA6-4187-902D-27B94646E7A3}" name="OPP_PTS_OFF_TOV" dataDxfId="490"/>
    <tableColumn id="13" xr3:uid="{86760E47-4C33-424D-9DCC-C56EEE0C2145}" name="OPP_PTS_2ND_CHANCE" dataDxfId="489"/>
    <tableColumn id="14" xr3:uid="{01A08456-2C39-4E83-872B-470E7ED33AC6}" name="OPP_PTS_FB" dataDxfId="488"/>
    <tableColumn id="15" xr3:uid="{FC067AD3-1FE9-4E2F-9546-7AB3076F84FA}" name="OPP_PTS_PAINT" dataDxfId="487"/>
    <tableColumn id="16" xr3:uid="{F432145E-8C72-4912-9C29-A6CA1E86FD55}" name="GP_RANK" dataDxfId="486"/>
    <tableColumn id="17" xr3:uid="{26A59516-02E7-4564-B8AC-86A8DA39B905}" name="W_RANK" dataDxfId="485"/>
    <tableColumn id="18" xr3:uid="{8F42B375-C433-4E8F-8577-A65CB56D1BAC}" name="L_RANK" dataDxfId="484"/>
    <tableColumn id="19" xr3:uid="{56795494-1605-4A4F-9724-31B2A5758521}" name="W_PCT_RANK" dataDxfId="483"/>
    <tableColumn id="20" xr3:uid="{6491CA21-F493-4F46-ABAC-47FA8FE7E54C}" name="MIN_RANK" dataDxfId="482"/>
    <tableColumn id="21" xr3:uid="{E34ED7B1-E8B8-4175-8008-BB81C8084654}" name="PTS_OFF_TOV_RANK" dataDxfId="481"/>
    <tableColumn id="22" xr3:uid="{388A7F37-9810-4DA7-9FAC-86269C5DE231}" name="PTS_2ND_CHANCE_RANK" dataDxfId="480"/>
    <tableColumn id="23" xr3:uid="{602F68B2-A020-4BEC-9206-E724FD240E9B}" name="PTS_FB_RANK" dataDxfId="479"/>
    <tableColumn id="24" xr3:uid="{B03B4174-2E6D-4913-B6AD-62945DE95BFC}" name="PTS_PAINT_RANK" dataDxfId="478"/>
    <tableColumn id="25" xr3:uid="{13E9BFAF-F554-4E26-8284-56A4FA74BBE3}" name="OPP_PTS_OFF_TOV_RANK" dataDxfId="477"/>
    <tableColumn id="26" xr3:uid="{33DC488D-70A1-460E-AC75-44F0B4C37D42}" name="OPP_PTS_2ND_CHANCE_RANK" dataDxfId="476"/>
    <tableColumn id="27" xr3:uid="{F3B81BA4-12DF-486B-B393-B7C2A1122050}" name="OPP_PTS_FB_RANK" dataDxfId="475"/>
    <tableColumn id="28" xr3:uid="{8DFB386A-F3F2-4472-A2E5-4DADFB08AD10}" name="OPP_PTS_PAINT_RANK" dataDxfId="474"/>
    <tableColumn id="29" xr3:uid="{6D8AE16E-C789-4E1E-977B-259383FC0FD2}" name="CFID" dataDxfId="473"/>
    <tableColumn id="30" xr3:uid="{4EED14A7-C230-4961-8655-A265810F0FBA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CC394FB-6825-4304-89CE-EC8DBE71A8FB}" name="TableOppBaseN" displayName="TableOppBaseN" ref="A1:BD31" totalsRowShown="0" headerRowDxfId="383">
  <autoFilter ref="A1:BD31" xr:uid="{234872C3-8F69-424E-B41C-FBE7AC43F2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9D30E0A-68CF-4BD6-BE23-500A6EBA3AC6}" name="TEAM_ID" dataDxfId="439"/>
    <tableColumn id="2" xr3:uid="{F101F071-CE5F-4145-BA0C-06C41C1A9E83}" name="TEAM_NAME" dataDxfId="438"/>
    <tableColumn id="3" xr3:uid="{6860B58F-C636-4280-987B-80C60A75F838}" name="GP" dataDxfId="437"/>
    <tableColumn id="4" xr3:uid="{F93EEC7B-0B80-4131-964E-3023386A11B3}" name="W" dataDxfId="436"/>
    <tableColumn id="5" xr3:uid="{575B04E6-E9BB-4F33-929F-8F1E1BB9DAF7}" name="L" dataDxfId="435"/>
    <tableColumn id="6" xr3:uid="{749C5D0C-1501-4F19-AB06-165D3F23C397}" name="W_PCT" dataDxfId="434"/>
    <tableColumn id="7" xr3:uid="{485B7660-05A3-4EFF-8EDA-9BD30599F0C1}" name="MIN" dataDxfId="433"/>
    <tableColumn id="8" xr3:uid="{FB6ED922-B34B-4C11-A956-D2B8D802EA55}" name="OPP_FGM" dataDxfId="432"/>
    <tableColumn id="9" xr3:uid="{57410750-7FF3-47C9-B97A-2133423D520C}" name="OPP_FGA" dataDxfId="431"/>
    <tableColumn id="10" xr3:uid="{A610EEB5-3346-4D3A-8412-58E09403F44F}" name="OPP_FG_PCT" dataDxfId="430"/>
    <tableColumn id="11" xr3:uid="{2FFC07D1-99C1-4E31-A650-74CF8B15F9A8}" name="OPP_FG3M" dataDxfId="429"/>
    <tableColumn id="12" xr3:uid="{2DB3C54C-5A48-4A88-8A3B-BB5A595EFBA0}" name="OPP_FG3A" dataDxfId="428"/>
    <tableColumn id="13" xr3:uid="{7BB6F4C3-37C6-4394-81BE-5622FA0987BE}" name="OPP_FG3_PCT" dataDxfId="427"/>
    <tableColumn id="14" xr3:uid="{2D18EEB1-D7B8-4C19-9BBE-8CB801183E63}" name="OPP_FTM" dataDxfId="426"/>
    <tableColumn id="15" xr3:uid="{4A378372-2EB1-4FEA-A8EA-2EB07015DF5E}" name="OPP_FTA" dataDxfId="425"/>
    <tableColumn id="16" xr3:uid="{67EA8253-4DD1-4371-9357-889C7B80C7B1}" name="OPP_FT_PCT" dataDxfId="424"/>
    <tableColumn id="17" xr3:uid="{6A9166EC-0DF9-4950-832B-889325E5F216}" name="OPP_OREB" dataDxfId="423"/>
    <tableColumn id="18" xr3:uid="{C73268A5-4460-485A-82BF-A545394E6B16}" name="OPP_DREB" dataDxfId="422"/>
    <tableColumn id="19" xr3:uid="{F42E2BC0-42B1-49DC-A805-459642AD9B7B}" name="OPP_REB" dataDxfId="421"/>
    <tableColumn id="20" xr3:uid="{B2A433CF-07A8-4F4C-B6A6-CD134417C1C6}" name="OPP_AST" dataDxfId="420"/>
    <tableColumn id="21" xr3:uid="{3FC34D9F-D5AF-4E4B-93A3-D58FF6362489}" name="OPP_TOV" dataDxfId="419"/>
    <tableColumn id="22" xr3:uid="{F4878D46-6D41-4A1E-A23F-240E03792B42}" name="OPP_STL" dataDxfId="418"/>
    <tableColumn id="23" xr3:uid="{BF9BE760-7DAB-4456-8EEF-673D20DCB9DE}" name="OPP_BLK" dataDxfId="417"/>
    <tableColumn id="24" xr3:uid="{B81DCF76-7215-4508-A15D-A9CC47F1A3DC}" name="OPP_BLKA" dataDxfId="416"/>
    <tableColumn id="25" xr3:uid="{2F2C8DFE-8C72-4242-956D-560B8368E75F}" name="OPP_PF" dataDxfId="415"/>
    <tableColumn id="26" xr3:uid="{A434180B-6B82-45A6-BB58-9B5EA63279DF}" name="OPP_PFD" dataDxfId="414"/>
    <tableColumn id="27" xr3:uid="{695C4E26-4E91-4A29-BAB4-9258078AD12A}" name="OPP_PTS" dataDxfId="413"/>
    <tableColumn id="28" xr3:uid="{3E4204F0-2FAC-4E36-A4B9-77BB7A43D0C7}" name="PLUS_MINUS" dataDxfId="412"/>
    <tableColumn id="29" xr3:uid="{A6AC03C9-D21B-495A-ABA3-11039838AD83}" name="GP_RANK" dataDxfId="411"/>
    <tableColumn id="30" xr3:uid="{5410A0F2-A2F5-463B-941C-C8682F3D0C31}" name="W_RANK" dataDxfId="410"/>
    <tableColumn id="31" xr3:uid="{6FDAC8BF-3535-4616-AE11-4BCB1035A1AE}" name="L_RANK" dataDxfId="409"/>
    <tableColumn id="32" xr3:uid="{8B2BFA42-FC0A-48F2-AF93-DCF1B3532039}" name="W_PCT_RANK" dataDxfId="408"/>
    <tableColumn id="33" xr3:uid="{C3087E61-C9FB-492A-8DD6-AF03A8FA4528}" name="MIN_RANK" dataDxfId="407"/>
    <tableColumn id="34" xr3:uid="{AD647FC3-EE85-4789-A8D2-23CED5507F5A}" name="OPP_FGM_RANK" dataDxfId="406"/>
    <tableColumn id="35" xr3:uid="{2B139BCD-795F-436D-B5E0-64225BCC7B48}" name="OPP_FGA_RANK" dataDxfId="405"/>
    <tableColumn id="36" xr3:uid="{2AC732A9-63FC-43C1-A89C-A1BCD9B18365}" name="OPP_FG_PCT_RANK" dataDxfId="404"/>
    <tableColumn id="37" xr3:uid="{67B31194-3380-473F-BC77-ABC0B9E22C68}" name="OPP_FG3M_RANK" dataDxfId="403"/>
    <tableColumn id="38" xr3:uid="{F7983231-2BDF-4977-85E4-6B572DD074ED}" name="OPP_FG3A_RANK" dataDxfId="402"/>
    <tableColumn id="39" xr3:uid="{0587C6A9-4E44-496E-9104-19385D2C38FF}" name="OPP_FG3_PCT_RANK" dataDxfId="401"/>
    <tableColumn id="40" xr3:uid="{8EE2758E-A165-4857-80E6-372A049330DE}" name="OPP_FTM_RANK" dataDxfId="400"/>
    <tableColumn id="41" xr3:uid="{CA317ABC-6E4D-4807-9A01-D4B834FCEF4A}" name="OPP_FTA_RANK" dataDxfId="399"/>
    <tableColumn id="42" xr3:uid="{5DDD37B8-52BD-48F3-BAAF-4980AD0AFB51}" name="OPP_FT_PCT_RANK" dataDxfId="398"/>
    <tableColumn id="43" xr3:uid="{B42CED42-682E-49DB-BA97-6FDB49EF1873}" name="OPP_OREB_RANK" dataDxfId="397"/>
    <tableColumn id="44" xr3:uid="{6432BA17-113C-44BD-AFD5-B1F724EFA699}" name="OPP_DREB_RANK" dataDxfId="396"/>
    <tableColumn id="45" xr3:uid="{BA1DDB06-CD33-4F99-9234-1BC21B03C422}" name="OPP_REB_RANK" dataDxfId="395"/>
    <tableColumn id="46" xr3:uid="{8FDE298B-C80F-4D2C-893D-CE7D35F04696}" name="OPP_AST_RANK" dataDxfId="394"/>
    <tableColumn id="47" xr3:uid="{264F7DF1-1640-4ECD-9593-55664359957D}" name="OPP_TOV_RANK" dataDxfId="393"/>
    <tableColumn id="48" xr3:uid="{9FC15E75-636C-4451-8EAD-E2C5CCEE3EC2}" name="OPP_STL_RANK" dataDxfId="392"/>
    <tableColumn id="49" xr3:uid="{0C6A58C0-9BF5-47A7-ABA0-FC8D16ADE465}" name="OPP_BLK_RANK" dataDxfId="391"/>
    <tableColumn id="50" xr3:uid="{5020D5C2-2836-44E7-A42C-D1EA7FC5CCAA}" name="OPP_BLKA_RANK" dataDxfId="390"/>
    <tableColumn id="51" xr3:uid="{0610C345-EF22-4EB7-96A3-E2902CB543C8}" name="OPP_PF_RANK" dataDxfId="389"/>
    <tableColumn id="52" xr3:uid="{85EBE52C-3EF5-4348-B6B1-0B1C65468749}" name="OPP_PFD_RANK" dataDxfId="388"/>
    <tableColumn id="53" xr3:uid="{0D792869-4A70-456F-8730-B243F321FE51}" name="OPP_PTS_RANK" dataDxfId="387"/>
    <tableColumn id="54" xr3:uid="{FEFF524B-5D9B-4A01-BEA7-B1DB1EF07AE0}" name="PLUS_MINUS_RANK" dataDxfId="386"/>
    <tableColumn id="55" xr3:uid="{50C245ED-E682-4040-B381-49C7C1742A9C}" name="CFID" dataDxfId="385"/>
    <tableColumn id="56" xr3:uid="{E676ECBE-F19E-43E1-AA6A-1E9A2E75E134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589686B-1F6D-4508-940C-1C65CC5BFC9A}" name="TableClutchBaseN" displayName="TableClutchBaseN" ref="A1:BD31" totalsRowShown="0" headerRowDxfId="269">
  <autoFilter ref="A1:BD31" xr:uid="{B6AFE7B3-7FA3-4FA1-BEB6-57FF312D6D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993C17E-8AE4-45D4-996F-A1D0D6A34433}" name="TEAM_ID" dataDxfId="325"/>
    <tableColumn id="2" xr3:uid="{2A526C4C-6312-4A90-BA03-046F91012947}" name="TEAM_NAME" dataDxfId="324"/>
    <tableColumn id="3" xr3:uid="{A66E8B81-D83F-45D2-AC96-7DF2006BBBF8}" name="GP" dataDxfId="323"/>
    <tableColumn id="4" xr3:uid="{99B6BA57-D228-45C8-8941-2D655A3B8577}" name="W" dataDxfId="322"/>
    <tableColumn id="5" xr3:uid="{83DFD50D-608D-472F-A2F9-7CA800A19913}" name="L" dataDxfId="321"/>
    <tableColumn id="6" xr3:uid="{EA23AB3B-5285-4319-BCA7-DDF78596E216}" name="W_PCT" dataDxfId="320"/>
    <tableColumn id="7" xr3:uid="{A576008D-E552-417D-A7E4-8A854E11A2AA}" name="MIN" dataDxfId="319"/>
    <tableColumn id="8" xr3:uid="{34ED0001-FEA8-40D8-9655-5D5F5B5F5050}" name="FGM" dataDxfId="318"/>
    <tableColumn id="9" xr3:uid="{9A9BADE8-4F2E-4FA0-A098-9235EC80959E}" name="FGA" dataDxfId="317"/>
    <tableColumn id="10" xr3:uid="{C6195AD4-3E9F-4FFF-A492-2A9528D4191B}" name="FG_PCT" dataDxfId="316"/>
    <tableColumn id="11" xr3:uid="{F83A347C-48BF-4D35-9576-3B9AE8BF033A}" name="FG3M" dataDxfId="315"/>
    <tableColumn id="12" xr3:uid="{13D68B19-0F75-4BDD-A9D5-1DB64499A3F2}" name="FG3A" dataDxfId="314"/>
    <tableColumn id="13" xr3:uid="{8507915E-230E-44E7-AB37-F337EDADB2F2}" name="FG3_PCT" dataDxfId="313"/>
    <tableColumn id="14" xr3:uid="{4F73FFDE-2D81-4A53-A2A3-9D120104A44E}" name="FTM" dataDxfId="312"/>
    <tableColumn id="15" xr3:uid="{A9CAC4A7-2CB7-453E-843F-D9508C69F3EE}" name="FTA" dataDxfId="311"/>
    <tableColumn id="16" xr3:uid="{1566C9AB-AC0C-489E-B7E4-F5F76DF6449D}" name="FT_PCT" dataDxfId="310"/>
    <tableColumn id="17" xr3:uid="{A10E0FB8-9774-4AAB-AB30-D3F7DABA283A}" name="OREB" dataDxfId="309"/>
    <tableColumn id="18" xr3:uid="{486F1D3F-1B88-4B17-86A7-08FEA1F2F1A5}" name="DREB" dataDxfId="308"/>
    <tableColumn id="19" xr3:uid="{74DF92BE-A2B7-40E7-B662-1433652A406E}" name="REB" dataDxfId="307"/>
    <tableColumn id="20" xr3:uid="{6D7C754D-3ADB-49AD-BF4E-44F91E041AFA}" name="AST" dataDxfId="306"/>
    <tableColumn id="21" xr3:uid="{C5802ACD-3074-4F3F-8E59-ED3E4056BBCC}" name="TOV" dataDxfId="305"/>
    <tableColumn id="22" xr3:uid="{0C299C71-9A47-4D7D-9CCB-88CFF786D13C}" name="STL" dataDxfId="304"/>
    <tableColumn id="23" xr3:uid="{FBF461B8-4245-474A-BF12-3CF05ADD2DB5}" name="BLK" dataDxfId="303"/>
    <tableColumn id="24" xr3:uid="{BC3686B9-D555-411C-AC11-BAF7BF1FAE67}" name="BLKA" dataDxfId="302"/>
    <tableColumn id="25" xr3:uid="{C7286A26-C9CE-418C-A301-CCEE13C687E2}" name="PF" dataDxfId="301"/>
    <tableColumn id="26" xr3:uid="{1CF05822-CA66-4A3E-B8EE-FC01048249B4}" name="PFD" dataDxfId="300"/>
    <tableColumn id="27" xr3:uid="{C902289C-B65C-46FD-9FCF-A99139D565B4}" name="PTS" dataDxfId="299"/>
    <tableColumn id="28" xr3:uid="{8546748A-0300-4790-AD87-7949A5F627DE}" name="PLUS_MINUS" dataDxfId="298"/>
    <tableColumn id="29" xr3:uid="{04299997-56A1-45D5-BA1A-E7E7443AD88E}" name="GP_RANK" dataDxfId="297"/>
    <tableColumn id="30" xr3:uid="{69FE6366-BE9B-40EB-92D2-1D76A65D6BC5}" name="W_RANK" dataDxfId="296"/>
    <tableColumn id="31" xr3:uid="{BA97A674-27DE-46B1-A0D8-04F42F19FCE7}" name="L_RANK" dataDxfId="295"/>
    <tableColumn id="32" xr3:uid="{043C13DB-583A-4A4C-8B4D-55EEE3D0E2C8}" name="W_PCT_RANK" dataDxfId="294"/>
    <tableColumn id="33" xr3:uid="{C85D2AFE-961F-4472-B3CE-1E7E47798C79}" name="MIN_RANK" dataDxfId="293"/>
    <tableColumn id="34" xr3:uid="{9FF60168-6334-4DD1-84C5-3B1EF1F97F7D}" name="FGM_RANK" dataDxfId="292"/>
    <tableColumn id="35" xr3:uid="{5D7A645C-6527-4BB6-8BA7-02658A7074C1}" name="FGA_RANK" dataDxfId="291"/>
    <tableColumn id="36" xr3:uid="{CEDB2BCB-C05E-4AEB-ACE9-B9D5BD2BC462}" name="FG_PCT_RANK" dataDxfId="290"/>
    <tableColumn id="37" xr3:uid="{8889B7C7-8F08-4FBD-BDF1-11F056CF0BD6}" name="FG3M_RANK" dataDxfId="289"/>
    <tableColumn id="38" xr3:uid="{4A406A2C-0855-4B55-8205-22A8EA56426D}" name="FG3A_RANK" dataDxfId="288"/>
    <tableColumn id="39" xr3:uid="{AC9888A2-6D04-458E-8F58-41EA038505D2}" name="FG3_PCT_RANK" dataDxfId="287"/>
    <tableColumn id="40" xr3:uid="{B4E32A7D-D5AD-410B-8023-E06FC4E3160F}" name="FTM_RANK" dataDxfId="286"/>
    <tableColumn id="41" xr3:uid="{7B1DEC5F-7871-4CE8-A77B-C264F3E415A3}" name="FTA_RANK" dataDxfId="285"/>
    <tableColumn id="42" xr3:uid="{70141246-F93E-4C43-9521-B73055AF606D}" name="FT_PCT_RANK" dataDxfId="284"/>
    <tableColumn id="43" xr3:uid="{979477B9-4AFB-43B2-98F8-36FBB207C049}" name="OREB_RANK" dataDxfId="283"/>
    <tableColumn id="44" xr3:uid="{8F18138E-4BE8-4782-BA6D-1780BCAF039A}" name="DREB_RANK" dataDxfId="282"/>
    <tableColumn id="45" xr3:uid="{D64A07E8-401E-48C1-B586-32B3175D7F65}" name="REB_RANK" dataDxfId="281"/>
    <tableColumn id="46" xr3:uid="{C77F4B09-E164-40F6-B027-369959826F80}" name="AST_RANK" dataDxfId="280"/>
    <tableColumn id="47" xr3:uid="{8F179099-2CAB-4800-81F9-35B6B2798070}" name="TOV_RANK" dataDxfId="279"/>
    <tableColumn id="48" xr3:uid="{D0E1EB2A-9CA5-4F55-848C-C37C8E3F1F2D}" name="STL_RANK" dataDxfId="278"/>
    <tableColumn id="49" xr3:uid="{C2F150D4-FDF5-4777-AC2D-22CA593EC594}" name="BLK_RANK" dataDxfId="277"/>
    <tableColumn id="50" xr3:uid="{F9D21ADE-32E6-4515-ABED-4D1CC53CEA6F}" name="BLKA_RANK" dataDxfId="276"/>
    <tableColumn id="51" xr3:uid="{873B29DC-1F9B-409F-BE06-8715AE4C5777}" name="PF_RANK" dataDxfId="275"/>
    <tableColumn id="52" xr3:uid="{9C6B4565-75CA-4D38-9004-F7E8ED91EB91}" name="PFD_RANK" dataDxfId="274"/>
    <tableColumn id="53" xr3:uid="{2B786C98-D62A-4FC3-9F52-4196757696C3}" name="PTS_RANK" dataDxfId="273"/>
    <tableColumn id="54" xr3:uid="{BFA7DF3E-8034-4A74-9DA7-37F1E237BC54}" name="PLUS_MINUS_RANK" dataDxfId="272"/>
    <tableColumn id="55" xr3:uid="{E26604CB-BFF8-48A9-BDB0-65470C98C07B}" name="CFID" dataDxfId="271"/>
    <tableColumn id="56" xr3:uid="{D20A2217-FC0C-4362-A453-7D3FF1A322E2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2DE27C1-ED8D-4132-AF5C-B580F85815E8}" name="TableClutchOpponentN" displayName="TableClutchOpponentN" ref="A1:BD31" totalsRowShown="0" headerRowDxfId="155">
  <autoFilter ref="A1:BD31" xr:uid="{0975D924-6719-430B-A988-39213F229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31D04EA-B0C0-4079-9B75-5DFD6F258662}" name="TEAM_ID" dataDxfId="211"/>
    <tableColumn id="2" xr3:uid="{2C974660-B293-4E43-8124-D29FCE86D915}" name="TEAM_NAME" dataDxfId="210"/>
    <tableColumn id="3" xr3:uid="{B7B2CB27-CFB4-41F6-B2D2-FC64AC3B053D}" name="GP" dataDxfId="209"/>
    <tableColumn id="4" xr3:uid="{B489CA19-E952-4BCE-A56B-761A67C6CEF3}" name="W" dataDxfId="208"/>
    <tableColumn id="5" xr3:uid="{3E7296C1-D0AD-4479-8C59-EFC656C3234B}" name="L" dataDxfId="207"/>
    <tableColumn id="6" xr3:uid="{DBE25AF0-0BE9-4F0E-B6C5-32F48E04ECEF}" name="W_PCT" dataDxfId="206"/>
    <tableColumn id="7" xr3:uid="{AC95E158-3B77-4D1F-A579-C9787A3EFFE4}" name="MIN" dataDxfId="205"/>
    <tableColumn id="8" xr3:uid="{19B510E1-158A-433F-A184-94413C933E66}" name="OPP_FGM" dataDxfId="204"/>
    <tableColumn id="9" xr3:uid="{876AEF89-9281-4B5D-AFD0-0155F6322FAD}" name="OPP_FGA" dataDxfId="203"/>
    <tableColumn id="10" xr3:uid="{C2C5D0F6-18B6-4A6E-9C01-9A7AC67A60C2}" name="OPP_FG_PCT" dataDxfId="202"/>
    <tableColumn id="11" xr3:uid="{810EE34B-C81F-4EB5-A77B-45D88583410D}" name="OPP_FG3M" dataDxfId="201"/>
    <tableColumn id="12" xr3:uid="{3F34426C-02E0-4067-994C-87D32255F74C}" name="OPP_FG3A" dataDxfId="200"/>
    <tableColumn id="13" xr3:uid="{42EB2F90-90E2-4217-9C92-CC52C998843B}" name="OPP_FG3_PCT" dataDxfId="199"/>
    <tableColumn id="14" xr3:uid="{8342C1B3-42BA-4687-B546-4CE9FEACB528}" name="OPP_FTM" dataDxfId="198"/>
    <tableColumn id="15" xr3:uid="{15AE0AFC-3E90-4B48-8982-D7CBA945A198}" name="OPP_FTA" dataDxfId="197"/>
    <tableColumn id="16" xr3:uid="{837B855B-2A67-4111-82EF-50AB926A3269}" name="OPP_FT_PCT" dataDxfId="196"/>
    <tableColumn id="17" xr3:uid="{64D52BCA-044B-4326-BF75-6BE29A82F7AF}" name="OPP_OREB" dataDxfId="195"/>
    <tableColumn id="18" xr3:uid="{61A628CC-46AE-4C08-AB59-16B1F1211525}" name="OPP_DREB" dataDxfId="194"/>
    <tableColumn id="19" xr3:uid="{329EB749-2151-495A-AD32-9613373F6208}" name="OPP_REB" dataDxfId="193"/>
    <tableColumn id="20" xr3:uid="{4D191278-07CA-4436-8A57-E4C0B2C1A0F3}" name="OPP_AST" dataDxfId="192"/>
    <tableColumn id="21" xr3:uid="{251425A2-BC31-47EC-8D8E-03A21F7AF19D}" name="OPP_TOV" dataDxfId="191"/>
    <tableColumn id="22" xr3:uid="{65136D8F-53C6-43D0-A652-F209F13D4B3D}" name="OPP_STL" dataDxfId="190"/>
    <tableColumn id="23" xr3:uid="{F55CBD1F-5736-4A69-91D7-EFB00370572F}" name="OPP_BLK" dataDxfId="189"/>
    <tableColumn id="24" xr3:uid="{FB8A254B-DDE3-4D24-A567-293315DF4BE0}" name="OPP_BLKA" dataDxfId="188"/>
    <tableColumn id="25" xr3:uid="{0D32CD3C-6875-465E-868A-4C2B0B02F96C}" name="OPP_PF" dataDxfId="187"/>
    <tableColumn id="26" xr3:uid="{759F918B-5228-4E56-80B6-10902ECC2BAB}" name="OPP_PFD" dataDxfId="186"/>
    <tableColumn id="27" xr3:uid="{DFD8ED1E-3B83-4B1A-A56C-B243B1A5F629}" name="OPP_PTS" dataDxfId="185"/>
    <tableColumn id="28" xr3:uid="{F0E296F0-D76A-46A4-9AAC-2DD15FB4BEE9}" name="PLUS_MINUS" dataDxfId="184"/>
    <tableColumn id="29" xr3:uid="{70F4B7C4-7223-4FEC-BB9F-46F3FA11D7E2}" name="GP_RANK" dataDxfId="183"/>
    <tableColumn id="30" xr3:uid="{118C9BF6-CE39-4A34-856E-8A9E7B1126D6}" name="W_RANK" dataDxfId="182"/>
    <tableColumn id="31" xr3:uid="{A31C94EC-9D6A-4074-9C8B-12C2C33A1705}" name="L_RANK" dataDxfId="181"/>
    <tableColumn id="32" xr3:uid="{876E9097-895A-4593-938E-5D55DC258992}" name="W_PCT_RANK" dataDxfId="180"/>
    <tableColumn id="33" xr3:uid="{F71916A7-2899-457B-96F4-16A6BBC074AB}" name="MIN_RANK" dataDxfId="179"/>
    <tableColumn id="34" xr3:uid="{C2A651AB-5A75-499B-ABFA-D12C9F9DC71C}" name="OPP_FGM_RANK" dataDxfId="178"/>
    <tableColumn id="35" xr3:uid="{F5580580-C675-4390-AC00-980CD577DF98}" name="OPP_FGA_RANK" dataDxfId="177"/>
    <tableColumn id="36" xr3:uid="{5064FBDB-B963-49DC-B54D-014F8E742593}" name="OPP_FG_PCT_RANK" dataDxfId="176"/>
    <tableColumn id="37" xr3:uid="{EE39377C-077B-4AC0-AEE1-272258EE9E63}" name="OPP_FG3M_RANK" dataDxfId="175"/>
    <tableColumn id="38" xr3:uid="{CD0348CB-C48F-4E1E-A5D8-E9099AAE8679}" name="OPP_FG3A_RANK" dataDxfId="174"/>
    <tableColumn id="39" xr3:uid="{6F50CD5F-E1F1-4E0B-AF19-8BC601A6049C}" name="OPP_FG3_PCT_RANK" dataDxfId="173"/>
    <tableColumn id="40" xr3:uid="{5460E675-15AA-4644-823E-496E6E0DFF79}" name="OPP_FTM_RANK" dataDxfId="172"/>
    <tableColumn id="41" xr3:uid="{962D4C3C-4AFA-4361-A165-70785FE332C5}" name="OPP_FTA_RANK" dataDxfId="171"/>
    <tableColumn id="42" xr3:uid="{E2C8ABD5-AC98-407B-BD96-A9830273BD3A}" name="OPP_FT_PCT_RANK" dataDxfId="170"/>
    <tableColumn id="43" xr3:uid="{3D53A889-8676-4565-A606-2F5BC6768C0B}" name="OPP_OREB_RANK" dataDxfId="169"/>
    <tableColumn id="44" xr3:uid="{5F94E8E8-9CA5-48E1-8555-58D665A48CF7}" name="OPP_DREB_RANK" dataDxfId="168"/>
    <tableColumn id="45" xr3:uid="{B4D0D92F-D1F0-4B27-B08D-2DEF526D9E7D}" name="OPP_REB_RANK" dataDxfId="167"/>
    <tableColumn id="46" xr3:uid="{5B3624D1-758F-43D0-BC63-8EDB2C2C1C05}" name="OPP_AST_RANK" dataDxfId="166"/>
    <tableColumn id="47" xr3:uid="{34C0DFF5-9398-4E35-B4FC-455550D51A3D}" name="OPP_TOV_RANK" dataDxfId="165"/>
    <tableColumn id="48" xr3:uid="{EA717E1A-DB7D-4C2E-8C34-10949C9A86F0}" name="OPP_STL_RANK" dataDxfId="164"/>
    <tableColumn id="49" xr3:uid="{241BA435-5CD8-48A9-86F8-0276509854C2}" name="OPP_BLK_RANK" dataDxfId="163"/>
    <tableColumn id="50" xr3:uid="{30551637-5536-4B8F-8511-400F33ED31C6}" name="OPP_BLKA_RANK" dataDxfId="162"/>
    <tableColumn id="51" xr3:uid="{F61A3675-EBBF-4097-9326-AC97AECD43E0}" name="OPP_PF_RANK" dataDxfId="161"/>
    <tableColumn id="52" xr3:uid="{1FCBE480-DBF6-4619-BCB6-00068DDD00EC}" name="OPP_PFD_RANK" dataDxfId="160"/>
    <tableColumn id="53" xr3:uid="{56ECA88B-A60F-4B65-9CCF-6DC2626D4A9D}" name="OPP_PTS_RANK" dataDxfId="159"/>
    <tableColumn id="54" xr3:uid="{3FE2A4AB-3628-41D5-9600-3573BA470EC8}" name="PLUS_MINUS_RANK" dataDxfId="158"/>
    <tableColumn id="55" xr3:uid="{A5DFECE8-1A77-4CA5-827E-7B1AAC08743E}" name="CFID" dataDxfId="157"/>
    <tableColumn id="56" xr3:uid="{C2D4EB43-65F7-4E98-B4B2-A77014AEB83E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1CC686-8BBA-4FD0-BA6E-5897DDF0C7AE}" name="TableClutchAdvancedN" displayName="TableClutchAdvancedN" ref="A1:AV31" totalsRowShown="0" headerRowDxfId="49">
  <autoFilter ref="A1:AV31" xr:uid="{F3CA04C5-0307-49B7-AA52-49390FFD3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6012729-0DF7-471C-8999-8465FBDAB47B}" name="TEAM_ID" dataDxfId="97"/>
    <tableColumn id="2" xr3:uid="{B2FF5A74-3181-4DF5-B07B-2F2CACCC6D0E}" name="TEAM_NAME" dataDxfId="96"/>
    <tableColumn id="3" xr3:uid="{356DFFAB-0EF2-4326-B8D9-00B43529E450}" name="GP" dataDxfId="95"/>
    <tableColumn id="4" xr3:uid="{3622B9E4-747E-4596-AF1E-0619D416E22C}" name="W" dataDxfId="94"/>
    <tableColumn id="5" xr3:uid="{065B5F3B-12CA-4260-8A8C-56ED792146DD}" name="L" dataDxfId="93"/>
    <tableColumn id="6" xr3:uid="{887B7659-A237-492D-BC74-4700E1312682}" name="W_PCT" dataDxfId="92"/>
    <tableColumn id="7" xr3:uid="{1810A24E-EE7E-41C3-91C1-47E7A145E5B7}" name="MIN" dataDxfId="91"/>
    <tableColumn id="8" xr3:uid="{F6808C36-2BF5-4F55-9797-0F429098ABCA}" name="E_OFF_RATING" dataDxfId="90"/>
    <tableColumn id="9" xr3:uid="{F38480FD-F386-4492-8916-98BF5E4886D2}" name="OFF_RATING" dataDxfId="89"/>
    <tableColumn id="10" xr3:uid="{922624B3-397B-4CFA-9A8D-B459D85F5382}" name="E_DEF_RATING" dataDxfId="88"/>
    <tableColumn id="11" xr3:uid="{E5142BF3-A1EA-4BF4-95DB-73BF7FD2D4C0}" name="DEF_RATING" dataDxfId="87"/>
    <tableColumn id="12" xr3:uid="{C0BC0F61-82BB-403B-8FF2-BBF312A5040B}" name="E_NET_RATING" dataDxfId="86"/>
    <tableColumn id="13" xr3:uid="{31580093-15AF-4171-BAC9-AED32850F3BC}" name="NET_RATING" dataDxfId="85"/>
    <tableColumn id="14" xr3:uid="{A787E4B9-0C9B-485C-99D3-BAC59ABDA9AB}" name="AST_PCT" dataDxfId="84"/>
    <tableColumn id="15" xr3:uid="{11F4EEE8-9DFC-4966-8196-E957DC3E6F89}" name="AST_TO" dataDxfId="83"/>
    <tableColumn id="16" xr3:uid="{2B1788F5-0C26-4AE4-8E4A-D89975F82CE7}" name="AST_RATIO" dataDxfId="82"/>
    <tableColumn id="17" xr3:uid="{760936ED-7EA7-4890-988F-B4A8C8690DFF}" name="OREB_PCT" dataDxfId="81"/>
    <tableColumn id="18" xr3:uid="{FE04EA0D-3198-4133-A266-297624B79B07}" name="DREB_PCT" dataDxfId="80"/>
    <tableColumn id="19" xr3:uid="{4A53AD9C-7B8A-4FC1-9B5D-EEA4CDD9D712}" name="REB_PCT" dataDxfId="79"/>
    <tableColumn id="20" xr3:uid="{5663BC63-3DDA-412C-A0A0-F907FA844B50}" name="TM_TOV_PCT" dataDxfId="78"/>
    <tableColumn id="21" xr3:uid="{7658D9AE-640A-4020-8287-32FE7448ACBB}" name="EFG_PCT" dataDxfId="77"/>
    <tableColumn id="22" xr3:uid="{4C8DCE81-6EBD-4C4C-8C16-FF6461A000B6}" name="TS_PCT" dataDxfId="76"/>
    <tableColumn id="23" xr3:uid="{0B2B1A7E-DD19-4723-9098-F01E6C4C4B61}" name="E_PACE" dataDxfId="75"/>
    <tableColumn id="24" xr3:uid="{C81B5EB7-276B-4503-8128-D12841C533DD}" name="PACE" dataDxfId="74"/>
    <tableColumn id="25" xr3:uid="{956594C8-B4DD-4383-B62C-F3553CBD2489}" name="PACE_PER40" dataDxfId="73"/>
    <tableColumn id="26" xr3:uid="{3D98CD78-7898-4610-94A2-1F28AE7A4958}" name="POSS" dataDxfId="72"/>
    <tableColumn id="27" xr3:uid="{A2962E8B-6033-4326-BB25-9AF402F96A79}" name="PIE" dataDxfId="71"/>
    <tableColumn id="28" xr3:uid="{AFC87D6B-032E-44D6-AD8A-0F102BBD9E96}" name="GP_RANK" dataDxfId="70"/>
    <tableColumn id="29" xr3:uid="{A5C6B8FC-8F10-477A-BD77-8B9BB00D6EA7}" name="W_RANK" dataDxfId="69"/>
    <tableColumn id="30" xr3:uid="{FED7581F-B399-4942-9F38-65594C109455}" name="L_RANK" dataDxfId="68"/>
    <tableColumn id="31" xr3:uid="{72318ABC-6C55-46BE-A417-CAFEFEA39A24}" name="W_PCT_RANK" dataDxfId="67"/>
    <tableColumn id="32" xr3:uid="{19FE5D25-1C96-45AB-85BC-4B695574B4C5}" name="MIN_RANK" dataDxfId="66"/>
    <tableColumn id="33" xr3:uid="{7ABBE74B-AD7F-4EA1-BBF7-421D69FC9CB1}" name="OFF_RATING_RANK" dataDxfId="65"/>
    <tableColumn id="34" xr3:uid="{314FA5AF-19F5-4EE2-9A35-C0C20A27F40F}" name="DEF_RATING_RANK" dataDxfId="64"/>
    <tableColumn id="35" xr3:uid="{AE88E026-8103-437B-A5C0-0DCE079CA181}" name="NET_RATING_RANK" dataDxfId="63"/>
    <tableColumn id="36" xr3:uid="{DB50F91F-D070-4C0B-88C6-2104D59B9E3D}" name="AST_PCT_RANK" dataDxfId="62"/>
    <tableColumn id="37" xr3:uid="{05B67795-04AD-4353-8727-67F25561528C}" name="AST_TO_RANK" dataDxfId="61"/>
    <tableColumn id="38" xr3:uid="{395B3481-02D1-49D2-8FC0-2209EB4850BC}" name="AST_RATIO_RANK" dataDxfId="60"/>
    <tableColumn id="39" xr3:uid="{032EF298-13CA-454E-83BF-251E9CDA6875}" name="OREB_PCT_RANK" dataDxfId="59"/>
    <tableColumn id="40" xr3:uid="{D8F5A390-84BA-4AA4-9BFB-F2566EA514F0}" name="DREB_PCT_RANK" dataDxfId="58"/>
    <tableColumn id="41" xr3:uid="{188BFA7B-2DA4-4464-9C71-DB6BA418E72E}" name="REB_PCT_RANK" dataDxfId="57"/>
    <tableColumn id="42" xr3:uid="{7D160877-F6C2-4947-B3D1-EB219EDC58D8}" name="TM_TOV_PCT_RANK" dataDxfId="56"/>
    <tableColumn id="43" xr3:uid="{3A9ACD11-D4E4-4FB3-BE3E-9968A20E0E0D}" name="EFG_PCT_RANK" dataDxfId="55"/>
    <tableColumn id="44" xr3:uid="{041B623C-4FB3-4F6E-B816-416BC8ADDEEC}" name="TS_PCT_RANK" dataDxfId="54"/>
    <tableColumn id="45" xr3:uid="{D4B3C3DB-BB75-4D2B-BDA0-6D412A4C5337}" name="PACE_RANK" dataDxfId="53"/>
    <tableColumn id="46" xr3:uid="{158694BB-691F-4DFE-9AA9-3FD9A6AB5963}" name="PIE_RANK" dataDxfId="52"/>
    <tableColumn id="47" xr3:uid="{C0E0EA53-AAAE-4DA6-AFF5-4B95F07801AF}" name="CFID" dataDxfId="51"/>
    <tableColumn id="48" xr3:uid="{A3954C22-15BE-4E7F-8CC5-D10C5CFBD818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072EC6-8050-4369-9474-036E1F58601F}" name="TableStandingsN1" displayName="TableStandingsN1" ref="A1:CC31" totalsRowShown="0" headerRowDxfId="910">
  <autoFilter ref="A1:CC31" xr:uid="{8264A4E3-BE0D-4A9F-8AF9-B65DBF93DF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00762AB8-07DD-47E1-A5C9-FA535E194561}" name="LeagueID" dataDxfId="991"/>
    <tableColumn id="2" xr3:uid="{BCB63539-4D02-41BA-835A-3BEB7BA8D6AD}" name="SeasonID" dataDxfId="990"/>
    <tableColumn id="3" xr3:uid="{1B913915-4699-43C3-8829-1AF49D8A18A2}" name="TeamID" dataDxfId="989"/>
    <tableColumn id="4" xr3:uid="{A2398AF5-BB26-47C9-9A55-1287C4C6F866}" name="TeamCity" dataDxfId="988"/>
    <tableColumn id="5" xr3:uid="{02B32591-5623-44C0-97CB-31D57ADFBF8A}" name="TeamName" dataDxfId="987"/>
    <tableColumn id="6" xr3:uid="{6DE457C0-A0DE-4666-8E16-D73A45414139}" name="Conference" dataDxfId="986"/>
    <tableColumn id="7" xr3:uid="{3E77ADDA-2BA7-48D3-86F7-44B07EA41A6C}" name="ConferenceRecord" dataDxfId="985"/>
    <tableColumn id="8" xr3:uid="{20B7F4B6-9215-49E6-9A11-5A4F5B289C0C}" name="PlayoffRank" dataDxfId="984"/>
    <tableColumn id="9" xr3:uid="{7CA9F71F-60C6-439F-B673-D47967EB55C0}" name="ClinchIndicator" dataDxfId="983"/>
    <tableColumn id="10" xr3:uid="{7B9A426B-BBE5-4246-9312-D4767C16683C}" name="Division" dataDxfId="982"/>
    <tableColumn id="11" xr3:uid="{8C8CA9B4-2C24-4DE8-9DAC-506920F36CDC}" name="DivisionRecord" dataDxfId="981"/>
    <tableColumn id="12" xr3:uid="{802B8DDB-4ED1-4D0C-8429-2EC12FCB1AE2}" name="DivisionRank" dataDxfId="980"/>
    <tableColumn id="13" xr3:uid="{89818D95-3D4D-4DA9-98C1-68A36A090AA9}" name="WINS" dataDxfId="979"/>
    <tableColumn id="14" xr3:uid="{A1CFAE15-24E6-4613-8D3B-E6F057D16BF8}" name="LOSSES" dataDxfId="978"/>
    <tableColumn id="15" xr3:uid="{AFCE9F8D-DA37-4EC9-AFB0-D9FF46966633}" name="WinPCT" dataDxfId="977"/>
    <tableColumn id="16" xr3:uid="{C3A9E863-37DC-490C-A173-CC0928F4E274}" name="LeagueRank" dataDxfId="976"/>
    <tableColumn id="17" xr3:uid="{E28F7A34-A0CB-44AE-AD59-7E8453C610F5}" name="Record" dataDxfId="975"/>
    <tableColumn id="18" xr3:uid="{6DE423F8-DAC2-43FE-A1EF-4C815E5776B8}" name="HOME" dataDxfId="974"/>
    <tableColumn id="19" xr3:uid="{7121CF9F-3F1D-403B-A9DC-704DD846DAB5}" name="ROAD" dataDxfId="973"/>
    <tableColumn id="20" xr3:uid="{6B135EBC-914C-46E0-85E8-FD07A04C0A59}" name="L10" dataDxfId="972"/>
    <tableColumn id="21" xr3:uid="{AE08B0B5-0AEF-4896-B3CD-E872ADA1E66F}" name="Last10Home" dataDxfId="971"/>
    <tableColumn id="22" xr3:uid="{EC9BABC4-A528-491A-A964-D4693B948B03}" name="Last10Road" dataDxfId="970"/>
    <tableColumn id="23" xr3:uid="{B2F78EBA-73AC-41EE-8327-29C072B5B8F5}" name="OT" dataDxfId="969"/>
    <tableColumn id="24" xr3:uid="{6979EEB6-5CF6-4A6B-8D4A-8BC751E1E8B2}" name="ThreePTSOrLess" dataDxfId="968"/>
    <tableColumn id="25" xr3:uid="{0ECCAFE4-7BB6-42B0-AA14-81CEC08DDD80}" name="TenPTSOrMore" dataDxfId="967"/>
    <tableColumn id="26" xr3:uid="{AF8F1554-3D63-4330-A1ED-FAD24A527DBC}" name="LongHomeStreak" dataDxfId="966"/>
    <tableColumn id="27" xr3:uid="{F8AEF9E7-D3AE-47F3-9127-5EDA951C51D3}" name="strLongHomeStreak" dataDxfId="965"/>
    <tableColumn id="28" xr3:uid="{EA43A9C6-F83C-4C33-8B7B-819BBC4AF10A}" name="LongRoadStreak" dataDxfId="964"/>
    <tableColumn id="29" xr3:uid="{7CB9075E-46AA-42B5-A8F9-23D9C72FFDD5}" name="strLongRoadStreak" dataDxfId="963"/>
    <tableColumn id="30" xr3:uid="{16B53041-128B-4E60-85F2-8511CF3E378E}" name="LongWinStreak" dataDxfId="962"/>
    <tableColumn id="31" xr3:uid="{FBE2AA0B-2A29-4009-B630-71465529A1F8}" name="LongLossStreak" dataDxfId="961"/>
    <tableColumn id="32" xr3:uid="{C8FA6E87-C641-4854-89FF-9F73C0DDC7A3}" name="CurrentHomeStreak" dataDxfId="960"/>
    <tableColumn id="33" xr3:uid="{1AA402FC-84F0-4375-96BB-017E32D1E381}" name="strCurrentHomeStreak" dataDxfId="959"/>
    <tableColumn id="34" xr3:uid="{ADF74E9E-3368-4C17-86DD-09D61DBE0392}" name="CurrentRoadStreak" dataDxfId="958"/>
    <tableColumn id="35" xr3:uid="{2E04607C-B797-4097-8EE2-0396C17D3889}" name="strCurrentRoadStreak" dataDxfId="957"/>
    <tableColumn id="36" xr3:uid="{2F3209E3-AC0C-4EF0-8C8D-AD34D22F63FF}" name="CurrentStreak" dataDxfId="956"/>
    <tableColumn id="37" xr3:uid="{C184D985-8F60-491D-8A26-310E440A91C5}" name="strCurrentStreak" dataDxfId="955"/>
    <tableColumn id="38" xr3:uid="{38D75DD8-923C-4AD5-873D-100EF8DA91D3}" name="ConferenceGamesBack" dataDxfId="954"/>
    <tableColumn id="39" xr3:uid="{9F636948-5095-4DF0-8123-20BDC427D4EF}" name="DivisionGamesBack" dataDxfId="953"/>
    <tableColumn id="40" xr3:uid="{BD8C88FC-1AE3-4567-BCED-59724151E5A8}" name="ClinchedConferenceTitle" dataDxfId="952"/>
    <tableColumn id="41" xr3:uid="{2BF06F06-D186-410D-98F7-6309C5B9ED29}" name="ClinchedDivisionTitle" dataDxfId="951"/>
    <tableColumn id="42" xr3:uid="{A7299B06-D230-4F70-B1E3-18A567EB4CF9}" name="ClinchedPlayoffBirth" dataDxfId="950"/>
    <tableColumn id="43" xr3:uid="{217911B4-F686-4D3F-A751-9DABE0C4E963}" name="EliminatedConference" dataDxfId="949"/>
    <tableColumn id="44" xr3:uid="{9184F524-044D-4CE6-A269-5CBC6DE2ABA3}" name="EliminatedDivision" dataDxfId="948"/>
    <tableColumn id="45" xr3:uid="{DD257E22-C554-4AEE-AED2-212531341956}" name="AheadAtHalf" dataDxfId="947"/>
    <tableColumn id="46" xr3:uid="{7D9CFDFF-C2ED-4ABA-9A00-976B00C7ACB3}" name="BehindAtHalf" dataDxfId="946"/>
    <tableColumn id="47" xr3:uid="{FBD4592F-05FF-479C-AC88-3784ADA26653}" name="TiedAtHalf" dataDxfId="945"/>
    <tableColumn id="48" xr3:uid="{9571D943-2EE2-4F5C-8839-CD72F6A6805B}" name="AheadAtThird" dataDxfId="944"/>
    <tableColumn id="49" xr3:uid="{FE307438-AD14-44CF-85F7-11A63DB8000E}" name="BehindAtThird" dataDxfId="943"/>
    <tableColumn id="50" xr3:uid="{D8E29623-5E4D-4E12-8F6B-32C17458DC08}" name="TiedAtThird" dataDxfId="942"/>
    <tableColumn id="51" xr3:uid="{9CBAA625-A333-4D8A-A4BB-268405892BDB}" name="Score100PTS" dataDxfId="941"/>
    <tableColumn id="52" xr3:uid="{0F314DDC-EE93-4051-81BE-38F549950002}" name="OppScore100PTS" dataDxfId="940"/>
    <tableColumn id="53" xr3:uid="{35854C03-3A2A-433E-ACF9-FE1F87DCAB3C}" name="OppOver500" dataDxfId="939"/>
    <tableColumn id="54" xr3:uid="{9C25A0B7-199F-42C9-A87E-49FBD99C4D0E}" name="LeadInFGPCT" dataDxfId="938"/>
    <tableColumn id="55" xr3:uid="{A83005BC-B25F-45F7-AAA5-CAC77C1D15FE}" name="LeadInReb" dataDxfId="937"/>
    <tableColumn id="56" xr3:uid="{516B1EBE-4E35-4259-A0DF-539EF2E96BAF}" name="FewerTurnovers" dataDxfId="936"/>
    <tableColumn id="57" xr3:uid="{3C46F2E6-D89C-4B7B-8264-EE9CFC7C232B}" name="PointsPG" dataDxfId="935"/>
    <tableColumn id="58" xr3:uid="{3D1C921B-661B-4616-B832-EF44441959BE}" name="OppPointsPG" dataDxfId="934"/>
    <tableColumn id="59" xr3:uid="{F997D482-627C-4D23-9F79-1DC746975B1F}" name="DiffPointsPG" dataDxfId="933"/>
    <tableColumn id="60" xr3:uid="{326F072A-6701-4FFE-94C9-05B1097C17D2}" name="vsEast" dataDxfId="932"/>
    <tableColumn id="61" xr3:uid="{A812621D-57AA-4A92-832A-0385045893F3}" name="vsAtlantic" dataDxfId="931"/>
    <tableColumn id="62" xr3:uid="{E5D63A3E-582D-4C4D-8CB8-1BADFE381BA9}" name="vsCentral" dataDxfId="930"/>
    <tableColumn id="63" xr3:uid="{7FF1D66B-E439-4CB6-8611-3D91B908620B}" name="vsSoutheast" dataDxfId="929"/>
    <tableColumn id="64" xr3:uid="{645CBFF1-F209-4EDB-A912-F451493907C6}" name="vsWest" dataDxfId="928"/>
    <tableColumn id="65" xr3:uid="{DEB33875-FDC6-449B-956E-705E0CB7CC2C}" name="vsNorthwest" dataDxfId="927"/>
    <tableColumn id="66" xr3:uid="{5EA6E8FE-40C8-4117-86E9-BFD4492B7B72}" name="vsPacific" dataDxfId="926"/>
    <tableColumn id="67" xr3:uid="{0FD9D206-E1B9-45FE-B56A-414E6608362E}" name="vsSouthwest" dataDxfId="925"/>
    <tableColumn id="68" xr3:uid="{11489F40-07DA-4AFE-A5B3-F0A745B0E192}" name="Jan" dataDxfId="924"/>
    <tableColumn id="69" xr3:uid="{08E0AE7D-0BC3-4B28-901F-6D2E11B7DFBA}" name="Feb" dataDxfId="923"/>
    <tableColumn id="70" xr3:uid="{13C01911-9D0D-4B09-8514-17B39E652896}" name="Mar" dataDxfId="922"/>
    <tableColumn id="71" xr3:uid="{C2AD8BA0-E7E3-41BA-BEB8-9E026BD34447}" name="Apr" dataDxfId="921"/>
    <tableColumn id="72" xr3:uid="{389F339F-9E6B-4372-9FC7-32ECDE7F8FC2}" name="May" dataDxfId="920"/>
    <tableColumn id="73" xr3:uid="{FD2C0E74-CA9F-41FA-B0C2-0730AA056880}" name="Jun" dataDxfId="919"/>
    <tableColumn id="74" xr3:uid="{A4C82316-CEC8-42EB-95AA-77E08F1D2B11}" name="Jul" dataDxfId="918"/>
    <tableColumn id="75" xr3:uid="{D63C53E3-2033-41A8-A126-A76308DD6A10}" name="Aug" dataDxfId="917"/>
    <tableColumn id="76" xr3:uid="{251BDEDA-7AE3-4AFF-A4C8-DEACA6558D4B}" name="Sep" dataDxfId="916"/>
    <tableColumn id="77" xr3:uid="{9C180314-37A8-4867-A18C-63ADBB2059DA}" name="Oct" dataDxfId="915"/>
    <tableColumn id="78" xr3:uid="{E4A138E6-67C2-459B-84A1-52CD60DB8AF5}" name="Nov" dataDxfId="914"/>
    <tableColumn id="79" xr3:uid="{C0292FAC-0662-4021-8FCA-6F471BC23283}" name="Dec" dataDxfId="913"/>
    <tableColumn id="80" xr3:uid="{7306CD53-3AE8-4C8E-B196-53620965FEAC}" name="PreAS" dataDxfId="912"/>
    <tableColumn id="81" xr3:uid="{ACFA4471-1220-4D9C-A1B1-3E0389BD816D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59F53E-4555-4ABE-B18D-A3884C3518E4}" name="TableBaseN1" displayName="TableBaseN1" ref="A1:BD31" totalsRowShown="0" headerRowDxfId="796">
  <autoFilter ref="A1:BD31" xr:uid="{32D52AB0-4896-44B4-ABE8-0CF9CD20DC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B229BB7-A1EE-4867-A989-6B3A954A2194}" name="TEAM_ID" dataDxfId="852"/>
    <tableColumn id="2" xr3:uid="{46339718-089F-4B2A-846B-7355543243A3}" name="TEAM_NAME" dataDxfId="851"/>
    <tableColumn id="3" xr3:uid="{78443940-ACE0-43DA-A81F-877FBB67EDB1}" name="GP" dataDxfId="850"/>
    <tableColumn id="4" xr3:uid="{FBA1D459-BB88-4C27-8A3D-293B577F8F33}" name="W" dataDxfId="849"/>
    <tableColumn id="5" xr3:uid="{8CB2FD71-0863-40C8-8338-58C411E67EC8}" name="L" dataDxfId="848"/>
    <tableColumn id="6" xr3:uid="{B81F5CAE-51C0-4038-82F0-803445521213}" name="W_PCT" dataDxfId="847"/>
    <tableColumn id="7" xr3:uid="{53778AB1-BFE3-4CE5-B100-90D05C30E6AF}" name="MIN" dataDxfId="846"/>
    <tableColumn id="8" xr3:uid="{45880CE5-45EE-4F28-AA2D-609B7EAEFF4A}" name="FGM" dataDxfId="845"/>
    <tableColumn id="9" xr3:uid="{0E6C29C2-E39A-4C78-88D4-95DB82398FF0}" name="FGA" dataDxfId="844"/>
    <tableColumn id="10" xr3:uid="{7C65A691-DB43-4BC6-B00B-8F6DD3B46B07}" name="FG_PCT" dataDxfId="843"/>
    <tableColumn id="11" xr3:uid="{B4A6A89C-0AE0-4D5C-B8BE-42DE142CEEA8}" name="FG3M" dataDxfId="842"/>
    <tableColumn id="12" xr3:uid="{F8322E0A-0388-4473-82A8-E9AE0D0E6353}" name="FG3A" dataDxfId="841"/>
    <tableColumn id="13" xr3:uid="{1178BD83-18D6-440A-A205-1157F49B495C}" name="FG3_PCT" dataDxfId="840"/>
    <tableColumn id="14" xr3:uid="{8A7D8E51-A31B-4DF2-B8F0-4B724E705A6F}" name="FTM" dataDxfId="839"/>
    <tableColumn id="15" xr3:uid="{6E559FE9-CD25-4582-A471-7ABCC51EEB3C}" name="FTA" dataDxfId="838"/>
    <tableColumn id="16" xr3:uid="{69901F85-A0A8-4B49-91C6-869C2FC8E8DE}" name="FT_PCT" dataDxfId="837"/>
    <tableColumn id="17" xr3:uid="{BDE79ECA-90AB-44D7-A8A6-763EA0F6EC2D}" name="OREB" dataDxfId="836"/>
    <tableColumn id="18" xr3:uid="{DC696B0A-6F53-4B4D-A14F-62F2ED7C0497}" name="DREB" dataDxfId="835"/>
    <tableColumn id="19" xr3:uid="{C3619052-02D4-4F77-B2A0-32555B22DEF8}" name="REB" dataDxfId="834"/>
    <tableColumn id="20" xr3:uid="{5DAF60DE-E617-4CBF-AE84-E8AAEA6393DF}" name="AST" dataDxfId="833"/>
    <tableColumn id="21" xr3:uid="{2C0DD296-FB8A-4F93-A924-4423EBD68535}" name="TOV" dataDxfId="832"/>
    <tableColumn id="22" xr3:uid="{3D234D5A-C708-49AE-AA0F-2DD2A6FB535A}" name="STL" dataDxfId="831"/>
    <tableColumn id="23" xr3:uid="{C7B9852E-844D-426A-B2B9-6EF269B02977}" name="BLK" dataDxfId="830"/>
    <tableColumn id="24" xr3:uid="{4AAE2081-F003-4B2E-8575-9CDF563B67EB}" name="BLKA" dataDxfId="829"/>
    <tableColumn id="25" xr3:uid="{DD9B0BEC-3689-43F2-AC8B-A05663BCE258}" name="PF" dataDxfId="828"/>
    <tableColumn id="26" xr3:uid="{830824DE-A7CF-495A-BACD-1F83E30B38FB}" name="PFD" dataDxfId="827"/>
    <tableColumn id="27" xr3:uid="{BD15CA1F-7278-4647-AD2A-7C9781684764}" name="PTS" dataDxfId="826"/>
    <tableColumn id="28" xr3:uid="{6E54D5C4-C781-4F17-84AE-B2F9D99509DB}" name="PLUS_MINUS" dataDxfId="825"/>
    <tableColumn id="29" xr3:uid="{B0121108-EA02-408B-80F4-BD1EF879C198}" name="GP_RANK" dataDxfId="824"/>
    <tableColumn id="30" xr3:uid="{B9994F0C-2D74-4AFE-9862-EE6F5233D79C}" name="W_RANK" dataDxfId="823"/>
    <tableColumn id="31" xr3:uid="{9CE92097-BCF7-4A14-AFB4-8EBB391DE71B}" name="L_RANK" dataDxfId="822"/>
    <tableColumn id="32" xr3:uid="{FD150D04-9BF4-46BA-85A7-FCE015D75B5C}" name="W_PCT_RANK" dataDxfId="821"/>
    <tableColumn id="33" xr3:uid="{099F278B-D9CD-47ED-943C-7DD64D222B69}" name="MIN_RANK" dataDxfId="820"/>
    <tableColumn id="34" xr3:uid="{EF311F15-F660-4024-B4C2-2B8284EDA9C7}" name="FGM_RANK" dataDxfId="819"/>
    <tableColumn id="35" xr3:uid="{06B73884-D206-4B11-A62E-2CE78FF1723F}" name="FGA_RANK" dataDxfId="818"/>
    <tableColumn id="36" xr3:uid="{1FE85821-B29D-42C1-A81D-54207C8D82AE}" name="FG_PCT_RANK" dataDxfId="817"/>
    <tableColumn id="37" xr3:uid="{AA21A726-A5A2-449D-9910-E2ABBF7AF20C}" name="FG3M_RANK" dataDxfId="816"/>
    <tableColumn id="38" xr3:uid="{AC6CA3B2-809C-44BC-AD8F-1AB87479B671}" name="FG3A_RANK" dataDxfId="815"/>
    <tableColumn id="39" xr3:uid="{0CD7E3D3-9AF3-4952-A380-55187AEB33DC}" name="FG3_PCT_RANK" dataDxfId="814"/>
    <tableColumn id="40" xr3:uid="{2F364DA4-30E4-4F4E-B236-BBEC9EC0985A}" name="FTM_RANK" dataDxfId="813"/>
    <tableColumn id="41" xr3:uid="{0AED238A-DF66-4F41-BF60-D14299B36216}" name="FTA_RANK" dataDxfId="812"/>
    <tableColumn id="42" xr3:uid="{17D174B4-BCDF-4997-B81F-34C49BAD6911}" name="FT_PCT_RANK" dataDxfId="811"/>
    <tableColumn id="43" xr3:uid="{80F69EBA-C758-46F0-BDCC-9DB171447B43}" name="OREB_RANK" dataDxfId="810"/>
    <tableColumn id="44" xr3:uid="{B60E5055-A5A0-4310-920D-1A331D6BEDC4}" name="DREB_RANK" dataDxfId="809"/>
    <tableColumn id="45" xr3:uid="{1E2A39FA-680F-4DC6-A06E-9358EDA494BD}" name="REB_RANK" dataDxfId="808"/>
    <tableColumn id="46" xr3:uid="{7EE19386-9A3B-45E9-AFC6-646276B66B50}" name="AST_RANK" dataDxfId="807"/>
    <tableColumn id="47" xr3:uid="{ECA264E6-1D10-4059-B86A-925C1847F7A7}" name="TOV_RANK" dataDxfId="806"/>
    <tableColumn id="48" xr3:uid="{FF7D30F7-FE3C-4ED9-9F73-0D34C145D4B6}" name="STL_RANK" dataDxfId="805"/>
    <tableColumn id="49" xr3:uid="{9A8A2582-64D3-4134-877B-13688388EC5A}" name="BLK_RANK" dataDxfId="804"/>
    <tableColumn id="50" xr3:uid="{805F2F87-443B-480F-A0BD-ACB84A9DD82B}" name="BLKA_RANK" dataDxfId="803"/>
    <tableColumn id="51" xr3:uid="{B7089A30-03E1-40C8-9CA0-EEAC5E758BEB}" name="PF_RANK" dataDxfId="802"/>
    <tableColumn id="52" xr3:uid="{DC6B2C81-A676-4B5E-90E9-0B70B5DB92CE}" name="PFD_RANK" dataDxfId="801"/>
    <tableColumn id="53" xr3:uid="{5628D603-D95E-45FE-8D3E-9A7D0A3E4A5B}" name="PTS_RANK" dataDxfId="800"/>
    <tableColumn id="54" xr3:uid="{E7D51B32-60B6-4F0A-A6A8-43CB396CE3BF}" name="PLUS_MINUS_RANK" dataDxfId="799"/>
    <tableColumn id="55" xr3:uid="{C49D3D72-5C72-4113-951B-3AC5244D79D1}" name="CFID" dataDxfId="798"/>
    <tableColumn id="56" xr3:uid="{D503B3F8-BE90-4336-8714-82E58D96BD7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F4F09CE-033A-4388-B50B-74B20B525914}" name="TableAdvancedN1" displayName="TableAdvancedN1" ref="A1:AV31" totalsRowShown="0" headerRowDxfId="698">
  <autoFilter ref="A1:AV31" xr:uid="{AF499F49-53F6-4687-9364-2D0E0466AE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FDD0ACD-1A09-4020-96B3-D788CDE07FD1}" name="TEAM_ID" dataDxfId="746"/>
    <tableColumn id="2" xr3:uid="{5D854DD2-28B3-47BF-A287-FFA029990541}" name="TEAM_NAME" dataDxfId="745"/>
    <tableColumn id="3" xr3:uid="{B9E715C7-DCDB-47F5-A39D-82D2B0185CF9}" name="GP" dataDxfId="744"/>
    <tableColumn id="4" xr3:uid="{4A304C12-0291-4556-A9D0-2C2F65393810}" name="W" dataDxfId="743"/>
    <tableColumn id="5" xr3:uid="{F40E88F0-F1B0-42D2-B32C-B592BFAE6439}" name="L" dataDxfId="742"/>
    <tableColumn id="6" xr3:uid="{8DAAEE20-94F7-463B-9C3C-BB1D8C8A75C1}" name="W_PCT" dataDxfId="741"/>
    <tableColumn id="7" xr3:uid="{E88E194D-270A-4C0F-94A1-931096D89114}" name="MIN" dataDxfId="740"/>
    <tableColumn id="8" xr3:uid="{03930FE1-878F-4E04-946D-F51E4F3414EA}" name="E_OFF_RATING" dataDxfId="739"/>
    <tableColumn id="9" xr3:uid="{42CC072A-00FB-4A30-96C3-C27B5D1B0EED}" name="OFF_RATING" dataDxfId="738"/>
    <tableColumn id="10" xr3:uid="{34B57565-157F-468F-8732-3020FF090AAA}" name="E_DEF_RATING" dataDxfId="737"/>
    <tableColumn id="11" xr3:uid="{C04B8647-691C-47AE-B1DD-2E76778E6A56}" name="DEF_RATING" dataDxfId="736"/>
    <tableColumn id="12" xr3:uid="{F4D13DCF-6EB7-4341-AA2F-4736594E775F}" name="E_NET_RATING" dataDxfId="735"/>
    <tableColumn id="13" xr3:uid="{950C9533-E9AD-4CFE-923C-D85AE556193E}" name="NET_RATING" dataDxfId="734"/>
    <tableColumn id="14" xr3:uid="{67B0A96E-D7FB-4B4E-BABB-703087C238B3}" name="AST_PCT" dataDxfId="733"/>
    <tableColumn id="15" xr3:uid="{823AEBE6-2326-479F-9137-97F0ED68B099}" name="AST_TO" dataDxfId="732"/>
    <tableColumn id="16" xr3:uid="{202F295A-6E8A-4BF0-9F3E-C64AD2A5C631}" name="AST_RATIO" dataDxfId="731"/>
    <tableColumn id="17" xr3:uid="{34B8A127-1B15-45F0-A7AD-1187960ECBF1}" name="OREB_PCT" dataDxfId="730"/>
    <tableColumn id="18" xr3:uid="{D040EA65-FA7E-4F90-828C-168B0ACB5AB9}" name="DREB_PCT" dataDxfId="729"/>
    <tableColumn id="19" xr3:uid="{2F2A3C6D-FE09-4114-8D09-AE701D59601F}" name="REB_PCT" dataDxfId="728"/>
    <tableColumn id="20" xr3:uid="{F438D4FA-BE14-4448-B7E3-6E212A497D6F}" name="TM_TOV_PCT" dataDxfId="727"/>
    <tableColumn id="21" xr3:uid="{8CD3A688-8B28-4691-A06D-3928D6C2D5D2}" name="EFG_PCT" dataDxfId="726"/>
    <tableColumn id="22" xr3:uid="{9FBE9261-9409-42AD-A314-C2C7ADE9C9DE}" name="TS_PCT" dataDxfId="725"/>
    <tableColumn id="23" xr3:uid="{D306D9B3-DD31-4C06-BD37-86B65C74259D}" name="E_PACE" dataDxfId="724"/>
    <tableColumn id="24" xr3:uid="{4312B9FA-A40E-4292-87D9-578F34288BCF}" name="PACE" dataDxfId="723"/>
    <tableColumn id="25" xr3:uid="{F9857BE9-1C79-4916-9BE2-95678AF64033}" name="PACE_PER40" dataDxfId="722"/>
    <tableColumn id="26" xr3:uid="{7042ADF4-A6BA-49A9-9435-B20B9B4FA5A8}" name="POSS" dataDxfId="721"/>
    <tableColumn id="27" xr3:uid="{51A74262-1594-48C1-B4C5-5709B87B89AA}" name="PIE" dataDxfId="720"/>
    <tableColumn id="28" xr3:uid="{60648617-7835-4B5F-B33E-448F442FC7B4}" name="GP_RANK" dataDxfId="719"/>
    <tableColumn id="29" xr3:uid="{D46DE810-0EBC-402D-B4B1-8ACF443294F3}" name="W_RANK" dataDxfId="718"/>
    <tableColumn id="30" xr3:uid="{82581E3A-7A20-43A8-8BAE-89C8521E5DE3}" name="L_RANK" dataDxfId="717"/>
    <tableColumn id="31" xr3:uid="{C04C565C-227A-4AE5-A86B-B33C34882AD1}" name="W_PCT_RANK" dataDxfId="716"/>
    <tableColumn id="32" xr3:uid="{C845C140-D862-4CE0-AAAA-40437FCAE83C}" name="MIN_RANK" dataDxfId="715"/>
    <tableColumn id="33" xr3:uid="{363ADFB9-D6F5-437F-9B3D-87702BB24888}" name="OFF_RATING_RANK" dataDxfId="714"/>
    <tableColumn id="34" xr3:uid="{99833E31-3057-42B8-BC77-09138C40F90F}" name="DEF_RATING_RANK" dataDxfId="713"/>
    <tableColumn id="35" xr3:uid="{72B5FAE1-2661-47D5-8702-58740CC5B155}" name="NET_RATING_RANK" dataDxfId="712"/>
    <tableColumn id="36" xr3:uid="{E34A745E-51E6-471D-AF5B-BD4AEB4660CF}" name="AST_PCT_RANK" dataDxfId="711"/>
    <tableColumn id="37" xr3:uid="{4335BE9F-6741-45A8-B86D-9C93066B344F}" name="AST_TO_RANK" dataDxfId="710"/>
    <tableColumn id="38" xr3:uid="{51D0508E-4576-402D-9B3D-E60A19E58A9E}" name="AST_RATIO_RANK" dataDxfId="709"/>
    <tableColumn id="39" xr3:uid="{7E602E49-F658-403A-988F-3AD62ECD5184}" name="OREB_PCT_RANK" dataDxfId="708"/>
    <tableColumn id="40" xr3:uid="{82BEC96A-7359-489C-A3C2-2603CDF69D13}" name="DREB_PCT_RANK" dataDxfId="707"/>
    <tableColumn id="41" xr3:uid="{379BA20C-2AD1-4C6A-B6C0-39FB921418B4}" name="REB_PCT_RANK" dataDxfId="706"/>
    <tableColumn id="42" xr3:uid="{54A35E88-C07C-4933-8432-D271A5F666D3}" name="TM_TOV_PCT_RANK" dataDxfId="705"/>
    <tableColumn id="43" xr3:uid="{C34AEF68-949A-4CC8-B288-EC633725E447}" name="EFG_PCT_RANK" dataDxfId="704"/>
    <tableColumn id="44" xr3:uid="{D06AC1E9-009F-4897-AE03-28374B728E49}" name="TS_PCT_RANK" dataDxfId="703"/>
    <tableColumn id="45" xr3:uid="{EAD02155-2491-431B-BC50-79ED5C065C8C}" name="PACE_RANK" dataDxfId="702"/>
    <tableColumn id="46" xr3:uid="{C765D2F3-935A-45C9-8AD8-567DC525DABA}" name="PIE_RANK" dataDxfId="701"/>
    <tableColumn id="47" xr3:uid="{6603F879-462C-4F36-8A9F-E26DBAAC335A}" name="CFID" dataDxfId="700"/>
    <tableColumn id="48" xr3:uid="{ECC6FA30-9329-474B-A92F-833E63FFC89C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AC98AD-7B18-4BE4-B92C-4742AA2BCF58}" name="TableAdvancedN1Starters" displayName="TableAdvancedN1Starters" ref="A1:AV31" totalsRowShown="0" headerRowDxfId="600">
  <autoFilter ref="A1:AV31" xr:uid="{E6369F3B-1A4D-4707-8659-947D3607F1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98FEE87-2D2A-45BA-92D1-BDDB5F0AA521}" name="TEAM_ID" dataDxfId="648"/>
    <tableColumn id="2" xr3:uid="{F3C7749B-B8DD-4D0D-B267-20751F270F65}" name="TEAM_NAME" dataDxfId="647"/>
    <tableColumn id="3" xr3:uid="{C67073A0-7457-4CC8-9C5C-3AF90E7384BB}" name="GP" dataDxfId="646"/>
    <tableColumn id="4" xr3:uid="{918151EA-4733-48BD-81C4-878C72FB1B28}" name="W" dataDxfId="645"/>
    <tableColumn id="5" xr3:uid="{CDBD06D2-82D5-4A44-A3D3-CC169B5E4110}" name="L" dataDxfId="644"/>
    <tableColumn id="6" xr3:uid="{BFFB1B1F-95AE-4E67-B24A-8094110EA1AA}" name="W_PCT" dataDxfId="643"/>
    <tableColumn id="7" xr3:uid="{F23393BF-EDE8-45F4-8F68-44343BEA8FCE}" name="MIN" dataDxfId="642"/>
    <tableColumn id="8" xr3:uid="{EFE55946-85C7-4F0C-922A-C1FC7EA14209}" name="E_OFF_RATING" dataDxfId="641"/>
    <tableColumn id="9" xr3:uid="{D542FA61-D55D-4776-ACCB-2DD7DA55A302}" name="OFF_RATING" dataDxfId="640"/>
    <tableColumn id="10" xr3:uid="{A7A27471-8404-410B-BE38-30133609538F}" name="E_DEF_RATING" dataDxfId="639"/>
    <tableColumn id="11" xr3:uid="{4A2AFCDB-A45A-4F22-B971-099FBA978BB2}" name="DEF_RATING" dataDxfId="638"/>
    <tableColumn id="12" xr3:uid="{69556290-A5CF-408D-B6D6-666AF549D8A1}" name="E_NET_RATING" dataDxfId="637"/>
    <tableColumn id="13" xr3:uid="{D4017EEE-AAA8-4AED-BDB0-00CFB65B7DD1}" name="NET_RATING" dataDxfId="636"/>
    <tableColumn id="14" xr3:uid="{590F2F94-065E-4B23-8F63-6249DF6AC00E}" name="AST_PCT" dataDxfId="635"/>
    <tableColumn id="15" xr3:uid="{F6B93FF5-0CAA-4D0D-8B19-1973CF5100BE}" name="AST_TO" dataDxfId="634"/>
    <tableColumn id="16" xr3:uid="{A704AC86-FBB2-4B9E-A94D-DC25B9D3CEE3}" name="AST_RATIO" dataDxfId="633"/>
    <tableColumn id="17" xr3:uid="{CA5288FE-2BE8-4488-8DDC-5310E672413C}" name="OREB_PCT" dataDxfId="632"/>
    <tableColumn id="18" xr3:uid="{84220F9E-FA88-41CC-8C77-D99EB956D1F5}" name="DREB_PCT" dataDxfId="631"/>
    <tableColumn id="19" xr3:uid="{112246FD-F7DC-471F-B75B-F4E5BE2CB20E}" name="REB_PCT" dataDxfId="630"/>
    <tableColumn id="20" xr3:uid="{99FA9EE7-DCA5-4276-827D-4D92FB998823}" name="TM_TOV_PCT" dataDxfId="629"/>
    <tableColumn id="21" xr3:uid="{B1AE6ADD-724A-4761-A67E-B1F7B0839228}" name="EFG_PCT" dataDxfId="628"/>
    <tableColumn id="22" xr3:uid="{8E913CC0-4EB8-416A-8A21-033105E68DE3}" name="TS_PCT" dataDxfId="627"/>
    <tableColumn id="23" xr3:uid="{767A3C60-4B82-4013-B62F-D86954F39294}" name="E_PACE" dataDxfId="626"/>
    <tableColumn id="24" xr3:uid="{09899036-7770-4D16-9E8C-FAF5B711F995}" name="PACE" dataDxfId="625"/>
    <tableColumn id="25" xr3:uid="{ED42C0EB-8DB7-4052-AE91-6C7B5002D008}" name="PACE_PER40" dataDxfId="624"/>
    <tableColumn id="26" xr3:uid="{705350C4-845A-4F9D-9CB9-431D09CEB95C}" name="POSS" dataDxfId="623"/>
    <tableColumn id="27" xr3:uid="{B0A77FE5-2692-486F-9F55-23AF89335E36}" name="PIE" dataDxfId="622"/>
    <tableColumn id="28" xr3:uid="{B0ABAD31-C377-44EE-87DC-5CD72D242385}" name="GP_RANK" dataDxfId="621"/>
    <tableColumn id="29" xr3:uid="{8F36E208-F759-4651-87A6-BEDCEF66CC9E}" name="W_RANK" dataDxfId="620"/>
    <tableColumn id="30" xr3:uid="{057138B7-1587-4826-A5D4-BB75E97FD287}" name="L_RANK" dataDxfId="619"/>
    <tableColumn id="31" xr3:uid="{C2ADB4CB-1865-48FF-8381-257CE4182CF9}" name="W_PCT_RANK" dataDxfId="618"/>
    <tableColumn id="32" xr3:uid="{BFAE0F10-CB1C-4FA3-80C1-55C6A99C2094}" name="MIN_RANK" dataDxfId="617"/>
    <tableColumn id="33" xr3:uid="{783C0D92-801E-4DB3-A00A-921F29742AB5}" name="OFF_RATING_RANK" dataDxfId="616"/>
    <tableColumn id="34" xr3:uid="{12842792-0580-4ED0-A84A-4A5DC7DA0F6D}" name="DEF_RATING_RANK" dataDxfId="615"/>
    <tableColumn id="35" xr3:uid="{2C4C9AA9-A453-4D56-9D21-91443C5BF577}" name="NET_RATING_RANK" dataDxfId="614"/>
    <tableColumn id="36" xr3:uid="{10FE76DB-9871-4E13-9F48-879C1DCF8B92}" name="AST_PCT_RANK" dataDxfId="613"/>
    <tableColumn id="37" xr3:uid="{9E5FDECD-B770-4652-87BF-F398A71B39DB}" name="AST_TO_RANK" dataDxfId="612"/>
    <tableColumn id="38" xr3:uid="{815022B8-A262-49DE-B26F-3FAB23F0C291}" name="AST_RATIO_RANK" dataDxfId="611"/>
    <tableColumn id="39" xr3:uid="{66C322E2-5E04-42E0-93E0-44189F828F2F}" name="OREB_PCT_RANK" dataDxfId="610"/>
    <tableColumn id="40" xr3:uid="{D7592265-06CA-4146-9900-81591004BD12}" name="DREB_PCT_RANK" dataDxfId="609"/>
    <tableColumn id="41" xr3:uid="{893E1272-A2FB-47B4-BCC2-A03523FCFC14}" name="REB_PCT_RANK" dataDxfId="608"/>
    <tableColumn id="42" xr3:uid="{2FE67B08-DF4E-4387-AC40-C7D5F947964D}" name="TM_TOV_PCT_RANK" dataDxfId="607"/>
    <tableColumn id="43" xr3:uid="{BFED1534-FF7C-4DC9-B918-60619AFE6A55}" name="EFG_PCT_RANK" dataDxfId="606"/>
    <tableColumn id="44" xr3:uid="{F728489C-EB20-4736-9699-CA9879EF92CE}" name="TS_PCT_RANK" dataDxfId="605"/>
    <tableColumn id="45" xr3:uid="{3DB67355-914F-4250-880C-B57984ECBEEC}" name="PACE_RANK" dataDxfId="604"/>
    <tableColumn id="46" xr3:uid="{E55C81B2-4135-48D1-BFB3-4C6033BDB5A2}" name="PIE_RANK" dataDxfId="603"/>
    <tableColumn id="47" xr3:uid="{AA8B3CFD-13E3-487F-ADAE-2CD1762598D6}" name="CFID" dataDxfId="602"/>
    <tableColumn id="48" xr3:uid="{796FD8BE-D785-4319-B4A4-7D9FB9E8B763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9B6B1A3-AA8C-4476-AC81-99E1C0B25A19}" name="TableAdvancedN1Bench" displayName="TableAdvancedN1Bench" ref="A1:AV31" totalsRowShown="0" headerRowDxfId="502">
  <autoFilter ref="A1:AV31" xr:uid="{7AAF37CF-8C71-4171-8E58-B523F34D88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0FD30F0-90BF-4F43-BD0A-F3DB4D47CE79}" name="TEAM_ID" dataDxfId="550"/>
    <tableColumn id="2" xr3:uid="{3EE82289-6213-40DA-BFD6-F69AA8B28D7E}" name="TEAM_NAME" dataDxfId="549"/>
    <tableColumn id="3" xr3:uid="{59BC832F-789D-47A3-9CB4-6C92AAD8A8ED}" name="GP" dataDxfId="548"/>
    <tableColumn id="4" xr3:uid="{30D09B9C-FDBA-4EDB-9169-2C997B0BCA41}" name="W" dataDxfId="547"/>
    <tableColumn id="5" xr3:uid="{33F38F60-2041-4470-9132-4B593D58FF14}" name="L" dataDxfId="546"/>
    <tableColumn id="6" xr3:uid="{1A384779-FEA3-4DB6-9B32-489A2A6EF048}" name="W_PCT" dataDxfId="545"/>
    <tableColumn id="7" xr3:uid="{8E827937-DF37-4055-9D0A-BE3D71CEC319}" name="MIN" dataDxfId="544"/>
    <tableColumn id="8" xr3:uid="{4C240305-A8C5-4E30-89FE-4238DA65D6D4}" name="E_OFF_RATING" dataDxfId="543"/>
    <tableColumn id="9" xr3:uid="{1EC6EFC4-3DAC-4D16-89AE-AADA713D355E}" name="OFF_RATING" dataDxfId="542"/>
    <tableColumn id="10" xr3:uid="{254FE990-EB2C-498F-9FBD-1069153C9D48}" name="E_DEF_RATING" dataDxfId="541"/>
    <tableColumn id="11" xr3:uid="{E8CC0CFF-FE20-4E9B-A471-B6CC5DCFCCB3}" name="DEF_RATING" dataDxfId="540"/>
    <tableColumn id="12" xr3:uid="{42DF2A8A-4051-4AF1-A371-7871FDE66759}" name="E_NET_RATING" dataDxfId="539"/>
    <tableColumn id="13" xr3:uid="{CB8759C2-1409-4618-8DEF-4128D0854177}" name="NET_RATING" dataDxfId="538"/>
    <tableColumn id="14" xr3:uid="{D9C719FB-C468-4161-9342-7A4432539D27}" name="AST_PCT" dataDxfId="537"/>
    <tableColumn id="15" xr3:uid="{D047E9A6-3757-454E-8476-0D698DB45D77}" name="AST_TO" dataDxfId="536"/>
    <tableColumn id="16" xr3:uid="{A7912AE8-C471-481B-9F33-17083FA4B594}" name="AST_RATIO" dataDxfId="535"/>
    <tableColumn id="17" xr3:uid="{5B4F9657-DF02-4F2B-9F6D-EA0F9E3E5035}" name="OREB_PCT" dataDxfId="534"/>
    <tableColumn id="18" xr3:uid="{AAB05D93-C522-4BC9-AB38-DB6B2DB09144}" name="DREB_PCT" dataDxfId="533"/>
    <tableColumn id="19" xr3:uid="{46718C2B-F8E6-4FAF-AA7E-2D74E0F09185}" name="REB_PCT" dataDxfId="532"/>
    <tableColumn id="20" xr3:uid="{20D2F1F8-F595-43BA-B560-7E1EF1B93844}" name="TM_TOV_PCT" dataDxfId="531"/>
    <tableColumn id="21" xr3:uid="{87BD65ED-DD9C-4B4E-99CF-BFE085AF818B}" name="EFG_PCT" dataDxfId="530"/>
    <tableColumn id="22" xr3:uid="{5418DD79-71BE-44F6-AC01-0E430FE549D2}" name="TS_PCT" dataDxfId="529"/>
    <tableColumn id="23" xr3:uid="{F9AED22C-8C79-4AD8-8E03-6BE902A37606}" name="E_PACE" dataDxfId="528"/>
    <tableColumn id="24" xr3:uid="{672F89B2-87AB-45D5-9D5C-323F3B405B4E}" name="PACE" dataDxfId="527"/>
    <tableColumn id="25" xr3:uid="{2591F726-B457-47AF-9780-E7BD3840CCF5}" name="PACE_PER40" dataDxfId="526"/>
    <tableColumn id="26" xr3:uid="{2B48D70B-ADAC-4ACB-86B1-33418BC78102}" name="POSS" dataDxfId="525"/>
    <tableColumn id="27" xr3:uid="{FAA6E0E8-8F5B-4DDF-BC63-5163524844A8}" name="PIE" dataDxfId="524"/>
    <tableColumn id="28" xr3:uid="{18029883-8FEF-4DC5-9613-D49A5D5B40B4}" name="GP_RANK" dataDxfId="523"/>
    <tableColumn id="29" xr3:uid="{5E838F61-5B07-4F04-B882-50CB799F822C}" name="W_RANK" dataDxfId="522"/>
    <tableColumn id="30" xr3:uid="{16F4D45F-ED3E-4670-BA71-438A948BB670}" name="L_RANK" dataDxfId="521"/>
    <tableColumn id="31" xr3:uid="{D36739F2-67AD-4245-91B2-D02178F72A91}" name="W_PCT_RANK" dataDxfId="520"/>
    <tableColumn id="32" xr3:uid="{AC57D646-8EE8-41E5-AB85-E9F3C88DBF2B}" name="MIN_RANK" dataDxfId="519"/>
    <tableColumn id="33" xr3:uid="{16AA3D5D-4924-414D-AAF1-263EA6101435}" name="OFF_RATING_RANK" dataDxfId="518"/>
    <tableColumn id="34" xr3:uid="{BFD18ABF-282F-4C08-872B-A27A67A29A02}" name="DEF_RATING_RANK" dataDxfId="517"/>
    <tableColumn id="35" xr3:uid="{63DE6371-CDBF-489A-BC46-13E610C54F7C}" name="NET_RATING_RANK" dataDxfId="516"/>
    <tableColumn id="36" xr3:uid="{AF3D3A72-22F9-4A44-A499-806360627A94}" name="AST_PCT_RANK" dataDxfId="515"/>
    <tableColumn id="37" xr3:uid="{038C6FA3-3D69-4E75-A0E6-82180BB939BF}" name="AST_TO_RANK" dataDxfId="514"/>
    <tableColumn id="38" xr3:uid="{7BD34354-C5E6-4AD5-9B24-E2446E3FBA01}" name="AST_RATIO_RANK" dataDxfId="513"/>
    <tableColumn id="39" xr3:uid="{F6FC5964-5182-4349-BE22-AB83176FEE31}" name="OREB_PCT_RANK" dataDxfId="512"/>
    <tableColumn id="40" xr3:uid="{A04FAEA9-2754-44AC-B44C-686285ECB36A}" name="DREB_PCT_RANK" dataDxfId="511"/>
    <tableColumn id="41" xr3:uid="{E5795A44-6E4A-4DDB-8500-3DD8CCFB7B90}" name="REB_PCT_RANK" dataDxfId="510"/>
    <tableColumn id="42" xr3:uid="{D30F8C05-EA6F-4742-8D41-55BB7F1EC967}" name="TM_TOV_PCT_RANK" dataDxfId="509"/>
    <tableColumn id="43" xr3:uid="{AEA23860-580A-43B5-9256-57F7E83B84C0}" name="EFG_PCT_RANK" dataDxfId="508"/>
    <tableColumn id="44" xr3:uid="{2B3D296D-6417-4909-B468-393CF7E6C534}" name="TS_PCT_RANK" dataDxfId="507"/>
    <tableColumn id="45" xr3:uid="{24AADA2D-D3C8-4460-B1F8-3B575F37E2C4}" name="PACE_RANK" dataDxfId="506"/>
    <tableColumn id="46" xr3:uid="{67562C3E-28AC-4378-B599-04BF41E83ED0}" name="PIE_RANK" dataDxfId="505"/>
    <tableColumn id="47" xr3:uid="{AF3C84A0-4E1F-4C9D-B258-ACEBA143CB94}" name="CFID" dataDxfId="504"/>
    <tableColumn id="48" xr3:uid="{8AF660B8-6D8C-4B09-95F7-A48EF93B1C00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35A3680-31AC-4C2F-AFDA-65A2A13DCA06}" name="TableMiscN1" displayName="TableMiscN1" ref="A1:AD31" totalsRowShown="0" headerRowDxfId="440">
  <autoFilter ref="A1:AD31" xr:uid="{84723AB7-C89C-40F2-953E-CEE655A64A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BE140CA-2C7C-4A98-8B51-9F74838E6E33}" name="TEAM_ID" dataDxfId="470"/>
    <tableColumn id="2" xr3:uid="{91F04924-C403-48F8-926B-BAC4C371390B}" name="TEAM_NAME" dataDxfId="469"/>
    <tableColumn id="3" xr3:uid="{EB26CEE2-D118-4028-951C-43D21133A989}" name="GP" dataDxfId="468"/>
    <tableColumn id="4" xr3:uid="{B167B38C-B3D8-4B51-99C8-275A8F3475FB}" name="W" dataDxfId="467"/>
    <tableColumn id="5" xr3:uid="{D4394D0D-AB34-43FD-90C9-999806DEBAA6}" name="L" dataDxfId="466"/>
    <tableColumn id="6" xr3:uid="{0AA78654-3AD6-4972-9D64-DD274AF7AEB4}" name="W_PCT" dataDxfId="465"/>
    <tableColumn id="7" xr3:uid="{79F48D2D-F551-434B-A1FF-4648B2C6AF3E}" name="MIN" dataDxfId="464"/>
    <tableColumn id="8" xr3:uid="{19D26ED8-76B1-4151-9271-A9408B3AE9D9}" name="PTS_OFF_TOV" dataDxfId="463"/>
    <tableColumn id="9" xr3:uid="{EA413E5F-025C-40C9-8594-01742A9A9167}" name="PTS_2ND_CHANCE" dataDxfId="462"/>
    <tableColumn id="10" xr3:uid="{B50224E0-B634-4CF2-BF07-6FC345E26277}" name="PTS_FB" dataDxfId="461"/>
    <tableColumn id="11" xr3:uid="{24BE6FCD-60BB-4D0F-8E1C-9499F389B657}" name="PTS_PAINT" dataDxfId="460"/>
    <tableColumn id="12" xr3:uid="{6C85CFC2-4724-4012-B8B8-8A45F7B6CF55}" name="OPP_PTS_OFF_TOV" dataDxfId="459"/>
    <tableColumn id="13" xr3:uid="{08D1DF5B-4E3D-4E75-B355-ADBA7D55521E}" name="OPP_PTS_2ND_CHANCE" dataDxfId="458"/>
    <tableColumn id="14" xr3:uid="{55D7F251-230A-45A4-A603-5F0AD1446D7D}" name="OPP_PTS_FB" dataDxfId="457"/>
    <tableColumn id="15" xr3:uid="{432FFA64-6BB6-4E4A-B15D-4BF2AEEFE0B4}" name="OPP_PTS_PAINT" dataDxfId="456"/>
    <tableColumn id="16" xr3:uid="{67CBE941-111A-4359-9D1B-C4DBD070326D}" name="GP_RANK" dataDxfId="455"/>
    <tableColumn id="17" xr3:uid="{99727890-4FDC-4F64-A91A-EE6768628E81}" name="W_RANK" dataDxfId="454"/>
    <tableColumn id="18" xr3:uid="{ECBC7244-5198-4FFB-A958-7F1FF9276F1A}" name="L_RANK" dataDxfId="453"/>
    <tableColumn id="19" xr3:uid="{049079BE-65DE-4977-938A-8D92A9955A10}" name="W_PCT_RANK" dataDxfId="452"/>
    <tableColumn id="20" xr3:uid="{D85C28A7-4163-4BD4-8EDF-F83A8348E58B}" name="MIN_RANK" dataDxfId="451"/>
    <tableColumn id="21" xr3:uid="{FB4BE135-AE3B-464C-A478-8FC099987A92}" name="PTS_OFF_TOV_RANK" dataDxfId="450"/>
    <tableColumn id="22" xr3:uid="{A429182A-5C02-46D0-9841-CB442087F9EC}" name="PTS_2ND_CHANCE_RANK" dataDxfId="449"/>
    <tableColumn id="23" xr3:uid="{00F3F78F-28CB-44AA-9CAE-B4D5840A2097}" name="PTS_FB_RANK" dataDxfId="448"/>
    <tableColumn id="24" xr3:uid="{9C6635F4-F66F-403D-BAC8-BDCF56316335}" name="PTS_PAINT_RANK" dataDxfId="447"/>
    <tableColumn id="25" xr3:uid="{C8E510EC-6843-46F4-B059-3F6460327DFE}" name="OPP_PTS_OFF_TOV_RANK" dataDxfId="446"/>
    <tableColumn id="26" xr3:uid="{7CCEE30F-86CE-413A-8145-3DB64C133DC5}" name="OPP_PTS_2ND_CHANCE_RANK" dataDxfId="445"/>
    <tableColumn id="27" xr3:uid="{4CEF638B-9050-4919-9ACB-499AED499BD4}" name="OPP_PTS_FB_RANK" dataDxfId="444"/>
    <tableColumn id="28" xr3:uid="{CB1D7A24-FB38-4C72-9937-06618456BC41}" name="OPP_PTS_PAINT_RANK" dataDxfId="443"/>
    <tableColumn id="29" xr3:uid="{521B65EE-9718-420B-9F62-62F611FB5DEE}" name="CFID" dataDxfId="442"/>
    <tableColumn id="30" xr3:uid="{A91162E7-DDBD-489C-B6DB-29A885DAFA20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8FE71C-B72A-433A-B04C-FAC423558C70}" name="TableOppBaseN1" displayName="TableOppBaseN1" ref="A1:BD31" totalsRowShown="0" headerRowDxfId="326">
  <autoFilter ref="A1:BD31" xr:uid="{B977E24C-28A2-48B7-9654-EE5DCD81B3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B74CCCD-8514-4A4A-8B0A-B4FFEF69AF5F}" name="TEAM_ID" dataDxfId="382"/>
    <tableColumn id="2" xr3:uid="{32D760A4-5EF6-4BA4-BD41-6D999978A7A7}" name="TEAM_NAME" dataDxfId="381"/>
    <tableColumn id="3" xr3:uid="{47DF9B26-ABBF-4D3D-B65F-E2566FE438E3}" name="GP" dataDxfId="380"/>
    <tableColumn id="4" xr3:uid="{60D6EF5A-5CEC-4817-8E02-9AA0491FB00B}" name="W" dataDxfId="379"/>
    <tableColumn id="5" xr3:uid="{1F75E8BB-C214-4868-976E-0C0F6DD8CB95}" name="L" dataDxfId="378"/>
    <tableColumn id="6" xr3:uid="{0892B174-F281-492A-9FCF-AF7193346CB3}" name="W_PCT" dataDxfId="377"/>
    <tableColumn id="7" xr3:uid="{C4326988-171F-48A5-9902-898A7E679FBA}" name="MIN" dataDxfId="376"/>
    <tableColumn id="8" xr3:uid="{73CD5501-D1A2-4CBE-92C8-71791DD7B1B2}" name="OPP_FGM" dataDxfId="375"/>
    <tableColumn id="9" xr3:uid="{5C75FCCC-6986-4302-B633-822A53E6C47D}" name="OPP_FGA" dataDxfId="374"/>
    <tableColumn id="10" xr3:uid="{E5BDB5E1-4D27-4047-A773-3EBC6E4DEDAF}" name="OPP_FG_PCT" dataDxfId="373"/>
    <tableColumn id="11" xr3:uid="{E146AEC9-2A0C-47FF-956C-3D128673B83C}" name="OPP_FG3M" dataDxfId="372"/>
    <tableColumn id="12" xr3:uid="{347F9AB3-4EEA-474E-9B3D-13B419F194E6}" name="OPP_FG3A" dataDxfId="371"/>
    <tableColumn id="13" xr3:uid="{6EAC7B7C-7945-4BD8-8C6C-74AC4C692511}" name="OPP_FG3_PCT" dataDxfId="370"/>
    <tableColumn id="14" xr3:uid="{DE4C2E4A-C670-480B-B302-D1F300E826B4}" name="OPP_FTM" dataDxfId="369"/>
    <tableColumn id="15" xr3:uid="{E52A2F09-7334-425C-AB59-92D38A118AA5}" name="OPP_FTA" dataDxfId="368"/>
    <tableColumn id="16" xr3:uid="{E4A5630E-EAE3-451C-80A3-20C52D6E1412}" name="OPP_FT_PCT" dataDxfId="367"/>
    <tableColumn id="17" xr3:uid="{4994D901-BAF6-4BC7-A483-B56248C08FAE}" name="OPP_OREB" dataDxfId="366"/>
    <tableColumn id="18" xr3:uid="{024726BE-8DA3-4463-8F30-0AF7D1A8ED4F}" name="OPP_DREB" dataDxfId="365"/>
    <tableColumn id="19" xr3:uid="{11DFE2D6-377A-41A1-95A9-E89FF1B59BCE}" name="OPP_REB" dataDxfId="364"/>
    <tableColumn id="20" xr3:uid="{40FA19D6-D14A-4692-BFAE-83A33B6D1543}" name="OPP_AST" dataDxfId="363"/>
    <tableColumn id="21" xr3:uid="{F6BDCD33-3156-40FD-BE4A-E7EB30E92247}" name="OPP_TOV" dataDxfId="362"/>
    <tableColumn id="22" xr3:uid="{073C48ED-44D7-4779-9CC7-945434E0DA2F}" name="OPP_STL" dataDxfId="361"/>
    <tableColumn id="23" xr3:uid="{C0952A77-34F6-434E-83F7-948D1B05EC4C}" name="OPP_BLK" dataDxfId="360"/>
    <tableColumn id="24" xr3:uid="{05E9B097-AF61-4922-A644-77FBEB0838BD}" name="OPP_BLKA" dataDxfId="359"/>
    <tableColumn id="25" xr3:uid="{0AFEA388-7639-4EBD-AB8C-AC07D5012B52}" name="OPP_PF" dataDxfId="358"/>
    <tableColumn id="26" xr3:uid="{77F50D38-F3C3-4B4B-ACBB-F6EB2E6D8FE9}" name="OPP_PFD" dataDxfId="357"/>
    <tableColumn id="27" xr3:uid="{93B31CEF-B231-4A51-9E78-FF621324157B}" name="OPP_PTS" dataDxfId="356"/>
    <tableColumn id="28" xr3:uid="{B198EB6B-1CBD-47EB-9902-1924F85E7DF5}" name="PLUS_MINUS" dataDxfId="355"/>
    <tableColumn id="29" xr3:uid="{9C42FEF3-F8F7-4E83-B0B1-3F6A643FAF66}" name="GP_RANK" dataDxfId="354"/>
    <tableColumn id="30" xr3:uid="{ACF1E166-589F-4589-AED0-CE1338415A4E}" name="W_RANK" dataDxfId="353"/>
    <tableColumn id="31" xr3:uid="{5AEBB772-98FE-44B1-8576-9A5F00DD0249}" name="L_RANK" dataDxfId="352"/>
    <tableColumn id="32" xr3:uid="{53047AD2-9869-4E7C-B845-F9B9F40C4958}" name="W_PCT_RANK" dataDxfId="351"/>
    <tableColumn id="33" xr3:uid="{A2317367-87AF-404A-A132-848F60A5C5B4}" name="MIN_RANK" dataDxfId="350"/>
    <tableColumn id="34" xr3:uid="{27B2AF06-B5DB-4A80-B7CA-B01797C0012E}" name="OPP_FGM_RANK" dataDxfId="349"/>
    <tableColumn id="35" xr3:uid="{6651D684-83D6-4629-B68A-0B7B88C849E3}" name="OPP_FGA_RANK" dataDxfId="348"/>
    <tableColumn id="36" xr3:uid="{847ED137-29A5-4ACE-8383-DE9055C814B6}" name="OPP_FG_PCT_RANK" dataDxfId="347"/>
    <tableColumn id="37" xr3:uid="{E6B4AA99-269F-4760-92B5-2EC67619CDAF}" name="OPP_FG3M_RANK" dataDxfId="346"/>
    <tableColumn id="38" xr3:uid="{C067A0E0-C9A0-4A19-BD06-4C9C2AD498A7}" name="OPP_FG3A_RANK" dataDxfId="345"/>
    <tableColumn id="39" xr3:uid="{31F2947B-CEAE-4251-BBB9-412EA3C8D344}" name="OPP_FG3_PCT_RANK" dataDxfId="344"/>
    <tableColumn id="40" xr3:uid="{BC35EB49-0ED4-424F-999B-915D7A82E9F0}" name="OPP_FTM_RANK" dataDxfId="343"/>
    <tableColumn id="41" xr3:uid="{C65E1E00-B3D8-440F-8DB1-99BFA97BA2FE}" name="OPP_FTA_RANK" dataDxfId="342"/>
    <tableColumn id="42" xr3:uid="{63CCA80B-78AA-4ADA-9A1F-27F01EEA1650}" name="OPP_FT_PCT_RANK" dataDxfId="341"/>
    <tableColumn id="43" xr3:uid="{F9B562AE-E66A-4E6B-97F7-B7B2EA19C546}" name="OPP_OREB_RANK" dataDxfId="340"/>
    <tableColumn id="44" xr3:uid="{3A4C3BD0-F8DD-470A-BFB9-A14223DEA23D}" name="OPP_DREB_RANK" dataDxfId="339"/>
    <tableColumn id="45" xr3:uid="{2E33454A-5AD2-4060-9BF3-4FC4D8334F32}" name="OPP_REB_RANK" dataDxfId="338"/>
    <tableColumn id="46" xr3:uid="{3B045EEE-B6F1-4B8A-BEE3-7B9A1A34EF1C}" name="OPP_AST_RANK" dataDxfId="337"/>
    <tableColumn id="47" xr3:uid="{F0F76A0B-E786-4E93-B5D9-B4748D409347}" name="OPP_TOV_RANK" dataDxfId="336"/>
    <tableColumn id="48" xr3:uid="{EDF78D46-EF51-4227-A778-789E3FEC4DC6}" name="OPP_STL_RANK" dataDxfId="335"/>
    <tableColumn id="49" xr3:uid="{0A0EF9FC-29A5-47B9-AFE3-38C448AF3880}" name="OPP_BLK_RANK" dataDxfId="334"/>
    <tableColumn id="50" xr3:uid="{8EA35993-38E3-45FE-B138-072F67A5AD65}" name="OPP_BLKA_RANK" dataDxfId="333"/>
    <tableColumn id="51" xr3:uid="{5822784F-34BB-4D48-ACD8-F3CA030D1AC1}" name="OPP_PF_RANK" dataDxfId="332"/>
    <tableColumn id="52" xr3:uid="{C12C248D-C51F-40CC-A34D-B51C2121FD17}" name="OPP_PFD_RANK" dataDxfId="331"/>
    <tableColumn id="53" xr3:uid="{1BDAF834-B574-4BCC-B3B6-56F9D7C92F60}" name="OPP_PTS_RANK" dataDxfId="330"/>
    <tableColumn id="54" xr3:uid="{5168F587-2709-4CCC-8B0E-A2A3C4AA038C}" name="PLUS_MINUS_RANK" dataDxfId="329"/>
    <tableColumn id="55" xr3:uid="{AD159DF7-A335-4C7B-9CCA-AC5B729AF380}" name="CFID" dataDxfId="328"/>
    <tableColumn id="56" xr3:uid="{9BA34737-3027-4909-B782-89E80E750240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911A60-84B5-47C0-9565-42030DC12293}" name="TableClutchBaseN1" displayName="TableClutchBaseN1" ref="A1:BD31" totalsRowShown="0" headerRowDxfId="212">
  <autoFilter ref="A1:BD31" xr:uid="{F9F1374F-AB6F-4DB1-B468-7FC139AD47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59DAD5C-B87E-41C5-AB4B-EF92BFB67026}" name="TEAM_ID" dataDxfId="268"/>
    <tableColumn id="2" xr3:uid="{0978D746-A79E-403B-92E9-E9804BF226B6}" name="TEAM_NAME" dataDxfId="267"/>
    <tableColumn id="3" xr3:uid="{13D7A29F-302B-4D6C-9945-E56B7366523E}" name="GP" dataDxfId="266"/>
    <tableColumn id="4" xr3:uid="{EA591DE7-19E8-4C44-AA00-B6D68AC3D823}" name="W" dataDxfId="265"/>
    <tableColumn id="5" xr3:uid="{DAB20597-625F-42A5-B221-C4642A2078CE}" name="L" dataDxfId="264"/>
    <tableColumn id="6" xr3:uid="{D6940378-1A14-48CD-80D7-128B97044AF1}" name="W_PCT" dataDxfId="263"/>
    <tableColumn id="7" xr3:uid="{4DE428BD-F6DA-4E29-A766-532F67610E62}" name="MIN" dataDxfId="262"/>
    <tableColumn id="8" xr3:uid="{2F9FD1B2-F608-48E3-A4D3-E68FC3102407}" name="FGM" dataDxfId="261"/>
    <tableColumn id="9" xr3:uid="{85BD09CE-AD0B-4217-AC24-D0A6972C2646}" name="FGA" dataDxfId="260"/>
    <tableColumn id="10" xr3:uid="{46846EF1-268C-43C5-8655-179A42521DA0}" name="FG_PCT" dataDxfId="259"/>
    <tableColumn id="11" xr3:uid="{85E57477-AC3E-4309-A11A-A52013A658C6}" name="FG3M" dataDxfId="258"/>
    <tableColumn id="12" xr3:uid="{0CB364E2-B1A3-42EB-A518-255BAA71D0D2}" name="FG3A" dataDxfId="257"/>
    <tableColumn id="13" xr3:uid="{87B4F0F2-988A-441C-AA4E-39E1CE252F94}" name="FG3_PCT" dataDxfId="256"/>
    <tableColumn id="14" xr3:uid="{6B946773-E9FD-4BA9-9F4E-BC402F428C55}" name="FTM" dataDxfId="255"/>
    <tableColumn id="15" xr3:uid="{3D35973F-F1B2-4658-8D2C-89146574CA21}" name="FTA" dataDxfId="254"/>
    <tableColumn id="16" xr3:uid="{D9A90611-4FD4-4417-AB73-FBB1B1129A65}" name="FT_PCT" dataDxfId="253"/>
    <tableColumn id="17" xr3:uid="{462C5DAD-6137-43F3-8AA2-F706369252FA}" name="OREB" dataDxfId="252"/>
    <tableColumn id="18" xr3:uid="{BB922F7C-65DD-4282-946D-C5A83E21F5D8}" name="DREB" dataDxfId="251"/>
    <tableColumn id="19" xr3:uid="{7F06ED48-A30C-4375-AC50-D996A152CE41}" name="REB" dataDxfId="250"/>
    <tableColumn id="20" xr3:uid="{5E409932-6EEA-40C6-9D3C-F03D07876E8B}" name="AST" dataDxfId="249"/>
    <tableColumn id="21" xr3:uid="{42976BD9-CBC3-4A4A-B064-A1912EDD8C7E}" name="TOV" dataDxfId="248"/>
    <tableColumn id="22" xr3:uid="{E80BF17A-27F3-416D-8669-DF9AA1068799}" name="STL" dataDxfId="247"/>
    <tableColumn id="23" xr3:uid="{A3ACABAB-C8AD-4C02-B130-C88D84B3A22C}" name="BLK" dataDxfId="246"/>
    <tableColumn id="24" xr3:uid="{EE786265-9710-459C-995D-28F836689D75}" name="BLKA" dataDxfId="245"/>
    <tableColumn id="25" xr3:uid="{6F8622B4-D2D4-442C-B52A-37D02E3DD3B7}" name="PF" dataDxfId="244"/>
    <tableColumn id="26" xr3:uid="{9BEFFD7C-91FA-41B0-84C0-DCFC2123D627}" name="PFD" dataDxfId="243"/>
    <tableColumn id="27" xr3:uid="{434B2EDE-71AD-4489-AAEC-45F0337C6DBE}" name="PTS" dataDxfId="242"/>
    <tableColumn id="28" xr3:uid="{5FB1216D-A71D-4D07-9FEE-96AD3E18AB7E}" name="PLUS_MINUS" dataDxfId="241"/>
    <tableColumn id="29" xr3:uid="{85AD939D-2786-4FEF-B1B0-2ADAC22B8692}" name="GP_RANK" dataDxfId="240"/>
    <tableColumn id="30" xr3:uid="{B6F3A05F-94EC-482D-B700-D3F2EA6E5C0B}" name="W_RANK" dataDxfId="239"/>
    <tableColumn id="31" xr3:uid="{92E50990-14A5-4B86-A272-3C4077177D1B}" name="L_RANK" dataDxfId="238"/>
    <tableColumn id="32" xr3:uid="{F035F3A2-9D51-4D89-8DB8-DA727C3A4186}" name="W_PCT_RANK" dataDxfId="237"/>
    <tableColumn id="33" xr3:uid="{43412470-9825-4404-8687-666B523CD2BC}" name="MIN_RANK" dataDxfId="236"/>
    <tableColumn id="34" xr3:uid="{C11F3DCF-726D-4ABE-8F2C-CDB35C7F011F}" name="FGM_RANK" dataDxfId="235"/>
    <tableColumn id="35" xr3:uid="{5D203FD1-8758-47B9-8BD6-D167836803DB}" name="FGA_RANK" dataDxfId="234"/>
    <tableColumn id="36" xr3:uid="{10C038FC-F9A8-473A-B8AA-14F57C7FDE4E}" name="FG_PCT_RANK" dataDxfId="233"/>
    <tableColumn id="37" xr3:uid="{D6771F61-F4AB-47A2-99A4-D2EE05F04FBF}" name="FG3M_RANK" dataDxfId="232"/>
    <tableColumn id="38" xr3:uid="{8D19EA88-5DEE-4AF4-B00E-2769689062D1}" name="FG3A_RANK" dataDxfId="231"/>
    <tableColumn id="39" xr3:uid="{1F51BD58-93C4-44EC-9EAF-9A84176B54E8}" name="FG3_PCT_RANK" dataDxfId="230"/>
    <tableColumn id="40" xr3:uid="{6AC814B5-14FF-4EB9-BC10-BC76A3314697}" name="FTM_RANK" dataDxfId="229"/>
    <tableColumn id="41" xr3:uid="{96520F33-6759-45F6-8305-0FF237E488BB}" name="FTA_RANK" dataDxfId="228"/>
    <tableColumn id="42" xr3:uid="{51FF52ED-43BC-4443-95D8-FB475804F189}" name="FT_PCT_RANK" dataDxfId="227"/>
    <tableColumn id="43" xr3:uid="{B509E1A0-E658-4FCC-99C9-778EDECF7971}" name="OREB_RANK" dataDxfId="226"/>
    <tableColumn id="44" xr3:uid="{E6AC6FF9-1EFE-4F6C-9812-E5F986AA35B3}" name="DREB_RANK" dataDxfId="225"/>
    <tableColumn id="45" xr3:uid="{3BA43689-5CA2-47E7-BE29-1F0168AC8CF9}" name="REB_RANK" dataDxfId="224"/>
    <tableColumn id="46" xr3:uid="{1B27F3B1-BA65-4B18-9A7D-2D81D7F57CA1}" name="AST_RANK" dataDxfId="223"/>
    <tableColumn id="47" xr3:uid="{9AFE4A6A-66E2-4AE5-86F1-BFCCF62F65AC}" name="TOV_RANK" dataDxfId="222"/>
    <tableColumn id="48" xr3:uid="{91561BBF-916C-4133-AF62-6101083B6462}" name="STL_RANK" dataDxfId="221"/>
    <tableColumn id="49" xr3:uid="{907E886B-9FCA-43E9-8DA7-4063F70A7C3D}" name="BLK_RANK" dataDxfId="220"/>
    <tableColumn id="50" xr3:uid="{5730F881-31F7-4A9D-830F-0EEDEBBD328A}" name="BLKA_RANK" dataDxfId="219"/>
    <tableColumn id="51" xr3:uid="{9F6E7910-3DA8-4950-89DA-1516B68A3086}" name="PF_RANK" dataDxfId="218"/>
    <tableColumn id="52" xr3:uid="{91B02406-1782-4F36-A5C3-01100F055E18}" name="PFD_RANK" dataDxfId="217"/>
    <tableColumn id="53" xr3:uid="{08723DF8-5DA1-409C-985B-9F10A836FE64}" name="PTS_RANK" dataDxfId="216"/>
    <tableColumn id="54" xr3:uid="{8992100A-AE0C-4FE8-81E1-4654971B8D36}" name="PLUS_MINUS_RANK" dataDxfId="215"/>
    <tableColumn id="55" xr3:uid="{6E55D41C-C998-4B47-A851-A90545051688}" name="CFID" dataDxfId="214"/>
    <tableColumn id="56" xr3:uid="{E307ED18-AB23-49E0-85F3-2BE01B152735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AC0049-A925-447D-931A-495958D3B4F0}" name="TableClutchOpponentN1" displayName="TableClutchOpponentN1" ref="A1:BD31" totalsRowShown="0" headerRowDxfId="98">
  <autoFilter ref="A1:BD31" xr:uid="{F4189B9E-08CB-41DF-B4F1-D6974355A5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F0D9B64-9A7E-4C80-9F5C-EEF86E8CCE98}" name="TEAM_ID" dataDxfId="154"/>
    <tableColumn id="2" xr3:uid="{D01D4CFE-8C16-4DFF-BAD9-B0649B1B9ACC}" name="TEAM_NAME" dataDxfId="153"/>
    <tableColumn id="3" xr3:uid="{51ECBBA0-46FF-4D85-921C-45535D02472A}" name="GP" dataDxfId="152"/>
    <tableColumn id="4" xr3:uid="{CE73BA1A-4EE1-43E9-B817-98EE294701AA}" name="W" dataDxfId="151"/>
    <tableColumn id="5" xr3:uid="{EB1EABC5-EF07-4F25-95F3-4173EE48C2C1}" name="L" dataDxfId="150"/>
    <tableColumn id="6" xr3:uid="{940F2940-F02A-4784-9494-DE67C0E285D6}" name="W_PCT" dataDxfId="149"/>
    <tableColumn id="7" xr3:uid="{D18C1240-2AE8-4B82-BBD6-B04CAC375223}" name="MIN" dataDxfId="148"/>
    <tableColumn id="8" xr3:uid="{34C1E86A-5EC6-497D-B3F9-5654F3AFA0C5}" name="OPP_FGM" dataDxfId="147"/>
    <tableColumn id="9" xr3:uid="{A793C2FC-5BE8-495F-8898-7D0FA5AA924C}" name="OPP_FGA" dataDxfId="146"/>
    <tableColumn id="10" xr3:uid="{64E74F1A-7DB0-4781-8F7C-2CF0EF19D0CF}" name="OPP_FG_PCT" dataDxfId="145"/>
    <tableColumn id="11" xr3:uid="{4C12577A-1E68-4FDC-BCEE-4A843120B5C8}" name="OPP_FG3M" dataDxfId="144"/>
    <tableColumn id="12" xr3:uid="{18D40355-938F-4667-A74F-97DA84DF25FD}" name="OPP_FG3A" dataDxfId="143"/>
    <tableColumn id="13" xr3:uid="{6243BF48-B19C-49AA-9FF1-2FEECAB59FB9}" name="OPP_FG3_PCT" dataDxfId="142"/>
    <tableColumn id="14" xr3:uid="{FA307B03-7BC1-4D24-AA9E-8DE3C70C83F5}" name="OPP_FTM" dataDxfId="141"/>
    <tableColumn id="15" xr3:uid="{FC292E1C-9435-4678-AE10-1380AABB5E41}" name="OPP_FTA" dataDxfId="140"/>
    <tableColumn id="16" xr3:uid="{F95DB1AF-13B1-433C-9F91-ED65C3E3E1B6}" name="OPP_FT_PCT" dataDxfId="139"/>
    <tableColumn id="17" xr3:uid="{22AED4C0-693C-49EF-99E9-8304481F8DC1}" name="OPP_OREB" dataDxfId="138"/>
    <tableColumn id="18" xr3:uid="{2BC7BF3B-FACD-41CD-B98F-85074D6C3214}" name="OPP_DREB" dataDxfId="137"/>
    <tableColumn id="19" xr3:uid="{AB3AA56F-48FE-41E5-9BD2-DE9347B9995B}" name="OPP_REB" dataDxfId="136"/>
    <tableColumn id="20" xr3:uid="{1CBDD73F-F4FB-4D5C-856E-63688B14CEFD}" name="OPP_AST" dataDxfId="135"/>
    <tableColumn id="21" xr3:uid="{897559C1-67AF-41A6-A661-754D4AA3FB3C}" name="OPP_TOV" dataDxfId="134"/>
    <tableColumn id="22" xr3:uid="{98CDA080-4977-47BE-9151-4347BE59ABF2}" name="OPP_STL" dataDxfId="133"/>
    <tableColumn id="23" xr3:uid="{C832CE4B-F210-45E9-8989-E69A561C4B45}" name="OPP_BLK" dataDxfId="132"/>
    <tableColumn id="24" xr3:uid="{CF5B4DB4-0EA4-4851-8B7C-87ECC00A704B}" name="OPP_BLKA" dataDxfId="131"/>
    <tableColumn id="25" xr3:uid="{C8B499FE-487D-46C4-9FE5-EC05A34CFC1E}" name="OPP_PF" dataDxfId="130"/>
    <tableColumn id="26" xr3:uid="{06731813-7264-40BE-BEF0-749A11C00B7E}" name="OPP_PFD" dataDxfId="129"/>
    <tableColumn id="27" xr3:uid="{84E79127-1A7D-4ED0-8710-AB54E1B2EBE4}" name="OPP_PTS" dataDxfId="128"/>
    <tableColumn id="28" xr3:uid="{E628D553-1EC6-496C-A20A-D8C88BBA99AE}" name="PLUS_MINUS" dataDxfId="127"/>
    <tableColumn id="29" xr3:uid="{6D3E5C4F-6816-425E-B98F-3543ED731D98}" name="GP_RANK" dataDxfId="126"/>
    <tableColumn id="30" xr3:uid="{135A7898-C47B-4B50-97CD-406F09D186F8}" name="W_RANK" dataDxfId="125"/>
    <tableColumn id="31" xr3:uid="{115C665D-8853-44F1-BCF6-D3753E8E4A52}" name="L_RANK" dataDxfId="124"/>
    <tableColumn id="32" xr3:uid="{8868223E-2E94-4D44-B168-EB3B7550E4F6}" name="W_PCT_RANK" dataDxfId="123"/>
    <tableColumn id="33" xr3:uid="{AA25A8D9-4BB6-479B-B7B1-C6D4A3340592}" name="MIN_RANK" dataDxfId="122"/>
    <tableColumn id="34" xr3:uid="{6152BD36-CCC2-4022-9530-BBBC1F14AB17}" name="OPP_FGM_RANK" dataDxfId="121"/>
    <tableColumn id="35" xr3:uid="{21800388-BAD6-4DF6-89BC-630D2448F00B}" name="OPP_FGA_RANK" dataDxfId="120"/>
    <tableColumn id="36" xr3:uid="{B7D26BC4-DA07-4BB4-BABD-1A13F285642C}" name="OPP_FG_PCT_RANK" dataDxfId="119"/>
    <tableColumn id="37" xr3:uid="{74B5CDD6-E600-42AB-B527-BFB800A6CB61}" name="OPP_FG3M_RANK" dataDxfId="118"/>
    <tableColumn id="38" xr3:uid="{81B2C735-4538-44A7-922B-19C449FB0032}" name="OPP_FG3A_RANK" dataDxfId="117"/>
    <tableColumn id="39" xr3:uid="{3FC762FF-2935-4E82-BB89-814BE95379B9}" name="OPP_FG3_PCT_RANK" dataDxfId="116"/>
    <tableColumn id="40" xr3:uid="{4E02D5FA-2B66-4CF9-A666-92514ACB90C0}" name="OPP_FTM_RANK" dataDxfId="115"/>
    <tableColumn id="41" xr3:uid="{BE19E747-4314-44B2-B614-CC82E1313FB9}" name="OPP_FTA_RANK" dataDxfId="114"/>
    <tableColumn id="42" xr3:uid="{08EABCBE-3558-4F27-BDF7-9755218B02CC}" name="OPP_FT_PCT_RANK" dataDxfId="113"/>
    <tableColumn id="43" xr3:uid="{D8D795A7-BC04-4177-8881-1DA38F015875}" name="OPP_OREB_RANK" dataDxfId="112"/>
    <tableColumn id="44" xr3:uid="{690B558F-9D82-4A32-B8D6-5ED34A1055B3}" name="OPP_DREB_RANK" dataDxfId="111"/>
    <tableColumn id="45" xr3:uid="{BFD4E116-2FC4-44B1-A0FD-618BAFC14874}" name="OPP_REB_RANK" dataDxfId="110"/>
    <tableColumn id="46" xr3:uid="{072C6231-1792-48F3-9CA2-C563D9465D52}" name="OPP_AST_RANK" dataDxfId="109"/>
    <tableColumn id="47" xr3:uid="{21224AA8-8870-4960-8865-9013B0A9C3FC}" name="OPP_TOV_RANK" dataDxfId="108"/>
    <tableColumn id="48" xr3:uid="{AEF5B48A-95A9-460C-AAC2-360EC9ED41C4}" name="OPP_STL_RANK" dataDxfId="107"/>
    <tableColumn id="49" xr3:uid="{3923BF2F-FC19-4DDC-AD08-547A40F1055C}" name="OPP_BLK_RANK" dataDxfId="106"/>
    <tableColumn id="50" xr3:uid="{E00D91A2-C6B1-44A2-95CE-C92D78691DDC}" name="OPP_BLKA_RANK" dataDxfId="105"/>
    <tableColumn id="51" xr3:uid="{F9B82300-CBD3-4203-B4F7-6652CBA3DE4D}" name="OPP_PF_RANK" dataDxfId="104"/>
    <tableColumn id="52" xr3:uid="{CE7BB9D1-BBA7-40C4-B814-707E6806A741}" name="OPP_PFD_RANK" dataDxfId="103"/>
    <tableColumn id="53" xr3:uid="{D229D48A-FFBE-4430-8C06-936FB6FFAD43}" name="OPP_PTS_RANK" dataDxfId="102"/>
    <tableColumn id="54" xr3:uid="{823846F4-BB5D-403E-ADE4-F97DAF803A50}" name="PLUS_MINUS_RANK" dataDxfId="101"/>
    <tableColumn id="55" xr3:uid="{64919776-27E4-454C-BEDF-A08FA2433014}" name="CFID" dataDxfId="100"/>
    <tableColumn id="56" xr3:uid="{65C6FE4E-AA91-475E-BCBB-0FA91290280F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D3ADEBA-FFBF-4104-BE0B-9665E08A6F3A}" name="TableClutchAdvancedN1" displayName="TableClutchAdvancedN1" ref="A1:AV31" totalsRowShown="0" headerRowDxfId="0">
  <autoFilter ref="A1:AV31" xr:uid="{4F337070-3E97-4C39-9E6B-F8AC0FBF1A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974E6FC-2343-410F-A6F7-07DB54E695C4}" name="TEAM_ID" dataDxfId="48"/>
    <tableColumn id="2" xr3:uid="{1822688C-E772-4B14-A4C7-B37F3AE68AD4}" name="TEAM_NAME" dataDxfId="47"/>
    <tableColumn id="3" xr3:uid="{7758AA07-446C-4FA9-BBFB-88FF2D341440}" name="GP" dataDxfId="46"/>
    <tableColumn id="4" xr3:uid="{DF4D4AA1-C36A-425E-97FB-B79B8F0C1714}" name="W" dataDxfId="45"/>
    <tableColumn id="5" xr3:uid="{B67B0E8E-9CC7-465A-BDDC-95022FAC30DB}" name="L" dataDxfId="44"/>
    <tableColumn id="6" xr3:uid="{71D019BD-F7F0-4AF2-A5A0-AB88BB5F0621}" name="W_PCT" dataDxfId="43"/>
    <tableColumn id="7" xr3:uid="{09CDE429-9DF8-4AD6-A687-C8FA0B60BBA2}" name="MIN" dataDxfId="42"/>
    <tableColumn id="8" xr3:uid="{28EFAF3F-55B8-447B-B8F0-12584040EF2E}" name="E_OFF_RATING" dataDxfId="41"/>
    <tableColumn id="9" xr3:uid="{FA9CDE1F-8A54-486C-9C90-0B77782521EB}" name="OFF_RATING" dataDxfId="40"/>
    <tableColumn id="10" xr3:uid="{C45A0982-9C84-4B06-8DE5-BBC7BC8254A4}" name="E_DEF_RATING" dataDxfId="39"/>
    <tableColumn id="11" xr3:uid="{113D35A2-4030-4E4E-940E-48BE4395F1D5}" name="DEF_RATING" dataDxfId="38"/>
    <tableColumn id="12" xr3:uid="{DA1EA04F-5B87-43F0-93DD-E3A0C7E36200}" name="E_NET_RATING" dataDxfId="37"/>
    <tableColumn id="13" xr3:uid="{8B4E817C-283F-408D-AA6B-879439F8A5B7}" name="NET_RATING" dataDxfId="36"/>
    <tableColumn id="14" xr3:uid="{8F540A6B-0B7D-4B02-B1AD-056A697BF3DE}" name="AST_PCT" dataDxfId="35"/>
    <tableColumn id="15" xr3:uid="{FB576E59-27B4-482C-8DD7-29B4C122426A}" name="AST_TO" dataDxfId="34"/>
    <tableColumn id="16" xr3:uid="{DDEC5C94-3B46-4831-9943-3C498ECA0D79}" name="AST_RATIO" dataDxfId="33"/>
    <tableColumn id="17" xr3:uid="{D3A16EC9-E13C-49DF-9EED-790D8B326D90}" name="OREB_PCT" dataDxfId="32"/>
    <tableColumn id="18" xr3:uid="{86AFBAFE-F9A7-4BD4-A4F0-EB7A71A87A15}" name="DREB_PCT" dataDxfId="31"/>
    <tableColumn id="19" xr3:uid="{52B310B4-C031-469F-9240-925FEE738506}" name="REB_PCT" dataDxfId="30"/>
    <tableColumn id="20" xr3:uid="{85257076-ABEB-42FC-AD98-ADF028C78406}" name="TM_TOV_PCT" dataDxfId="29"/>
    <tableColumn id="21" xr3:uid="{44E731D0-480B-4309-93D6-A680B5D9759C}" name="EFG_PCT" dataDxfId="28"/>
    <tableColumn id="22" xr3:uid="{0CD77C54-F3A1-4946-B61F-CD29240EF114}" name="TS_PCT" dataDxfId="27"/>
    <tableColumn id="23" xr3:uid="{C6000F0F-13B5-4CAB-803E-7EEDE136CC08}" name="E_PACE" dataDxfId="26"/>
    <tableColumn id="24" xr3:uid="{2DFE3561-7854-48B2-956C-CF04C4D154A0}" name="PACE" dataDxfId="25"/>
    <tableColumn id="25" xr3:uid="{0982EA82-92B2-44A0-B766-5B5F64857BB3}" name="PACE_PER40" dataDxfId="24"/>
    <tableColumn id="26" xr3:uid="{A1719823-7EBA-49F4-A33C-D51F9AC874BB}" name="POSS" dataDxfId="23"/>
    <tableColumn id="27" xr3:uid="{E07F119C-96EC-40AB-9B5A-F2FD5E228BE6}" name="PIE" dataDxfId="22"/>
    <tableColumn id="28" xr3:uid="{0A1C3EAF-BCF2-4D14-8E42-6980C4F2DCC1}" name="GP_RANK" dataDxfId="21"/>
    <tableColumn id="29" xr3:uid="{1F53C0EA-8984-4BC6-BE43-9B6017247743}" name="W_RANK" dataDxfId="20"/>
    <tableColumn id="30" xr3:uid="{91650610-B63C-486D-9754-77985CBDBDBF}" name="L_RANK" dataDxfId="19"/>
    <tableColumn id="31" xr3:uid="{9BBA665E-2483-4044-83B1-5A1320CFB2BD}" name="W_PCT_RANK" dataDxfId="18"/>
    <tableColumn id="32" xr3:uid="{5D4D02EE-A464-42DC-9852-76D0466BEE95}" name="MIN_RANK" dataDxfId="17"/>
    <tableColumn id="33" xr3:uid="{952CF314-F13C-44B4-A83E-FC2C36CCE944}" name="OFF_RATING_RANK" dataDxfId="16"/>
    <tableColumn id="34" xr3:uid="{F76F0242-AD2B-4DBC-B1CF-8B3924DE4555}" name="DEF_RATING_RANK" dataDxfId="15"/>
    <tableColumn id="35" xr3:uid="{4CC5E488-7210-47FA-BBAD-726601B285FA}" name="NET_RATING_RANK" dataDxfId="14"/>
    <tableColumn id="36" xr3:uid="{9E8E8D34-11F2-4816-976F-64DD2EC1C09B}" name="AST_PCT_RANK" dataDxfId="13"/>
    <tableColumn id="37" xr3:uid="{D669C4DA-C0F9-42C5-AB90-9640840D9695}" name="AST_TO_RANK" dataDxfId="12"/>
    <tableColumn id="38" xr3:uid="{2308DDBC-E53F-40A0-BABF-76DA55066A30}" name="AST_RATIO_RANK" dataDxfId="11"/>
    <tableColumn id="39" xr3:uid="{6F4B72D2-8701-4C48-89A7-5E88D45313AC}" name="OREB_PCT_RANK" dataDxfId="10"/>
    <tableColumn id="40" xr3:uid="{B8CD18BE-F2AA-4907-924B-6EB3C56782D7}" name="DREB_PCT_RANK" dataDxfId="9"/>
    <tableColumn id="41" xr3:uid="{C5BF5914-123D-4AEA-B8A3-E3AADB7CE6CB}" name="REB_PCT_RANK" dataDxfId="8"/>
    <tableColumn id="42" xr3:uid="{CA6BE722-A93D-4A92-8137-AAD4AEB11080}" name="TM_TOV_PCT_RANK" dataDxfId="7"/>
    <tableColumn id="43" xr3:uid="{56B8FD15-CE35-4B7C-A683-CE23C3C868AA}" name="EFG_PCT_RANK" dataDxfId="6"/>
    <tableColumn id="44" xr3:uid="{458F21C1-5ED7-4507-9127-DB239418789F}" name="TS_PCT_RANK" dataDxfId="5"/>
    <tableColumn id="45" xr3:uid="{2518190E-9E42-4FC3-89DA-F647804EA1C3}" name="PACE_RANK" dataDxfId="4"/>
    <tableColumn id="46" xr3:uid="{7E4BFEA5-A064-4B19-A450-25003B1692E2}" name="PIE_RANK" dataDxfId="3"/>
    <tableColumn id="47" xr3:uid="{B95FBA17-0700-4616-A2D8-3875DFD9100E}" name="CFID" dataDxfId="2"/>
    <tableColumn id="48" xr3:uid="{A4F8FF79-4A57-4EF0-AC5D-F8139E29899C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1409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1413</v>
      </c>
      <c r="D3" s="2">
        <v>13</v>
      </c>
      <c r="F3" s="1" t="s">
        <v>1410</v>
      </c>
      <c r="G3" s="2">
        <v>10</v>
      </c>
    </row>
    <row r="4" spans="1:7" x14ac:dyDescent="0.25">
      <c r="A4" s="23"/>
      <c r="B4" s="5" t="s">
        <v>6</v>
      </c>
      <c r="C4" s="11">
        <v>0.26800000000000002</v>
      </c>
      <c r="F4" s="11">
        <v>0.33300000000000002</v>
      </c>
    </row>
    <row r="5" spans="1:7" x14ac:dyDescent="0.25">
      <c r="A5" s="23"/>
      <c r="B5" s="5" t="s">
        <v>7</v>
      </c>
      <c r="C5" s="1" t="s">
        <v>1414</v>
      </c>
      <c r="F5" s="1" t="s">
        <v>1411</v>
      </c>
    </row>
    <row r="6" spans="1:7" x14ac:dyDescent="0.25">
      <c r="A6" s="23"/>
      <c r="B6" s="5" t="s">
        <v>2</v>
      </c>
      <c r="C6" s="1" t="s">
        <v>1415</v>
      </c>
      <c r="F6" s="1" t="s">
        <v>1412</v>
      </c>
    </row>
    <row r="7" spans="1:7" x14ac:dyDescent="0.25">
      <c r="A7" s="23"/>
      <c r="B7" s="5" t="s">
        <v>3</v>
      </c>
      <c r="C7" s="1" t="s">
        <v>1416</v>
      </c>
      <c r="F7" s="1" t="s">
        <v>1349</v>
      </c>
    </row>
    <row r="8" spans="1:7" x14ac:dyDescent="0.25">
      <c r="A8" s="23"/>
      <c r="B8" s="5" t="s">
        <v>0</v>
      </c>
      <c r="C8" s="1" t="s">
        <v>1417</v>
      </c>
      <c r="F8" s="1" t="s">
        <v>1410</v>
      </c>
    </row>
    <row r="9" spans="1:7" x14ac:dyDescent="0.25">
      <c r="A9" s="23"/>
      <c r="B9" s="5" t="s">
        <v>1</v>
      </c>
      <c r="C9" s="1" t="s">
        <v>1418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0.45300000000000001</v>
      </c>
      <c r="D11" s="3">
        <v>20</v>
      </c>
      <c r="F11" s="9">
        <v>0.42499999999999999</v>
      </c>
      <c r="G11" s="3">
        <v>29</v>
      </c>
    </row>
    <row r="12" spans="1:7" x14ac:dyDescent="0.25">
      <c r="A12" s="23"/>
      <c r="B12" s="14" t="s">
        <v>36</v>
      </c>
      <c r="C12" s="8">
        <v>39.799999999999997</v>
      </c>
      <c r="D12" s="3">
        <v>23</v>
      </c>
      <c r="F12" s="8">
        <v>38.5</v>
      </c>
      <c r="G12" s="3">
        <v>23</v>
      </c>
    </row>
    <row r="13" spans="1:7" x14ac:dyDescent="0.25">
      <c r="A13" s="23"/>
      <c r="B13" s="14" t="s">
        <v>37</v>
      </c>
      <c r="C13" s="8">
        <v>87.9</v>
      </c>
      <c r="D13" s="3">
        <v>22</v>
      </c>
      <c r="F13" s="8">
        <v>90.7</v>
      </c>
      <c r="G13" s="3">
        <v>12</v>
      </c>
    </row>
    <row r="14" spans="1:7" x14ac:dyDescent="0.25">
      <c r="A14" s="23"/>
      <c r="B14" s="14" t="s">
        <v>27</v>
      </c>
      <c r="C14" s="9">
        <v>0.35099999999999998</v>
      </c>
      <c r="D14" s="3">
        <v>19</v>
      </c>
      <c r="F14" s="9">
        <v>0.33700000000000002</v>
      </c>
      <c r="G14" s="3">
        <v>25</v>
      </c>
    </row>
    <row r="15" spans="1:7" x14ac:dyDescent="0.25">
      <c r="A15" s="23"/>
      <c r="B15" s="14" t="s">
        <v>38</v>
      </c>
      <c r="C15" s="8">
        <v>9.1</v>
      </c>
      <c r="D15" s="3">
        <v>30</v>
      </c>
      <c r="F15" s="8">
        <v>11.7</v>
      </c>
      <c r="G15" s="3">
        <v>16</v>
      </c>
    </row>
    <row r="16" spans="1:7" x14ac:dyDescent="0.25">
      <c r="A16" s="23"/>
      <c r="B16" s="14" t="s">
        <v>39</v>
      </c>
      <c r="C16" s="8">
        <v>25.9</v>
      </c>
      <c r="D16" s="3">
        <v>27</v>
      </c>
      <c r="F16" s="8">
        <v>34.9</v>
      </c>
      <c r="G16" s="3">
        <v>12</v>
      </c>
    </row>
    <row r="17" spans="1:7" x14ac:dyDescent="0.25">
      <c r="A17" s="23"/>
      <c r="B17" s="14" t="s">
        <v>28</v>
      </c>
      <c r="C17" s="9">
        <v>0.78300000000000003</v>
      </c>
      <c r="D17" s="3">
        <v>11</v>
      </c>
      <c r="F17" s="9">
        <v>0.755</v>
      </c>
      <c r="G17" s="3">
        <v>19</v>
      </c>
    </row>
    <row r="18" spans="1:7" x14ac:dyDescent="0.25">
      <c r="A18" s="23"/>
      <c r="B18" s="14" t="s">
        <v>41</v>
      </c>
      <c r="C18" s="8">
        <v>16.2</v>
      </c>
      <c r="D18" s="3">
        <v>25</v>
      </c>
      <c r="F18" s="8">
        <v>18.5</v>
      </c>
      <c r="G18" s="3">
        <v>15</v>
      </c>
    </row>
    <row r="19" spans="1:7" x14ac:dyDescent="0.25">
      <c r="A19" s="23"/>
      <c r="B19" s="14" t="s">
        <v>40</v>
      </c>
      <c r="C19" s="8">
        <v>20.7</v>
      </c>
      <c r="D19" s="3">
        <v>26</v>
      </c>
      <c r="F19" s="8">
        <v>24.5</v>
      </c>
      <c r="G19" s="3">
        <v>16</v>
      </c>
    </row>
    <row r="20" spans="1:7" x14ac:dyDescent="0.25">
      <c r="A20" s="23"/>
      <c r="B20" s="14" t="s">
        <v>29</v>
      </c>
      <c r="C20" s="8">
        <v>21.9</v>
      </c>
      <c r="D20" s="3">
        <v>27</v>
      </c>
      <c r="F20" s="8">
        <v>22.8</v>
      </c>
      <c r="G20" s="3">
        <v>21</v>
      </c>
    </row>
    <row r="21" spans="1:7" x14ac:dyDescent="0.25">
      <c r="A21" s="23"/>
      <c r="B21" s="14" t="s">
        <v>30</v>
      </c>
      <c r="C21" s="8">
        <v>14.1</v>
      </c>
      <c r="D21" s="3">
        <v>19</v>
      </c>
      <c r="F21" s="8">
        <v>15.6</v>
      </c>
      <c r="G21" s="3">
        <v>15</v>
      </c>
    </row>
    <row r="22" spans="1:7" x14ac:dyDescent="0.25">
      <c r="A22" s="23"/>
      <c r="B22" s="14" t="s">
        <v>32</v>
      </c>
      <c r="C22" s="8">
        <v>42.9</v>
      </c>
      <c r="D22" s="3">
        <v>25</v>
      </c>
      <c r="F22" s="8">
        <v>45.1</v>
      </c>
      <c r="G22" s="3">
        <v>20</v>
      </c>
    </row>
    <row r="23" spans="1:7" x14ac:dyDescent="0.25">
      <c r="A23" s="23"/>
      <c r="B23" s="14" t="s">
        <v>31</v>
      </c>
      <c r="C23" s="8">
        <v>8.8000000000000007</v>
      </c>
      <c r="D23" s="3">
        <v>30</v>
      </c>
      <c r="F23" s="8">
        <v>10.7</v>
      </c>
      <c r="G23" s="3">
        <v>11</v>
      </c>
    </row>
    <row r="24" spans="1:7" x14ac:dyDescent="0.25">
      <c r="A24" s="23"/>
      <c r="B24" s="14" t="s">
        <v>33</v>
      </c>
      <c r="C24" s="8">
        <v>34.1</v>
      </c>
      <c r="D24" s="3">
        <v>21</v>
      </c>
      <c r="F24" s="8">
        <v>34.299999999999997</v>
      </c>
      <c r="G24" s="3">
        <v>20</v>
      </c>
    </row>
    <row r="25" spans="1:7" x14ac:dyDescent="0.25">
      <c r="A25" s="23"/>
      <c r="B25" s="14" t="s">
        <v>34</v>
      </c>
      <c r="C25" s="8">
        <v>7.4</v>
      </c>
      <c r="D25" s="3">
        <v>20</v>
      </c>
      <c r="F25" s="8">
        <v>9.5</v>
      </c>
      <c r="G25" s="3">
        <v>2</v>
      </c>
    </row>
    <row r="26" spans="1:7" x14ac:dyDescent="0.25">
      <c r="A26" s="23"/>
      <c r="B26" s="14" t="s">
        <v>35</v>
      </c>
      <c r="C26" s="8">
        <v>4.3</v>
      </c>
      <c r="D26" s="3">
        <v>26</v>
      </c>
      <c r="F26" s="8">
        <v>4.0999999999999996</v>
      </c>
      <c r="G26" s="3">
        <v>27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0.47299999999999998</v>
      </c>
      <c r="D28" s="3">
        <v>27</v>
      </c>
      <c r="F28" s="9">
        <v>0.45300000000000001</v>
      </c>
      <c r="G28" s="3">
        <v>14</v>
      </c>
    </row>
    <row r="29" spans="1:7" x14ac:dyDescent="0.25">
      <c r="A29" s="23"/>
      <c r="B29" s="18" t="s">
        <v>43</v>
      </c>
      <c r="C29" s="9">
        <v>0.36499999999999999</v>
      </c>
      <c r="D29" s="3">
        <v>26</v>
      </c>
      <c r="F29" s="9">
        <v>0.32400000000000001</v>
      </c>
      <c r="G29" s="3">
        <v>6</v>
      </c>
    </row>
    <row r="30" spans="1:7" x14ac:dyDescent="0.25">
      <c r="A30" s="23"/>
      <c r="B30" s="18" t="s">
        <v>44</v>
      </c>
      <c r="C30" s="8">
        <v>12.1</v>
      </c>
      <c r="D30" s="3">
        <v>24</v>
      </c>
      <c r="F30" s="8">
        <v>11.1</v>
      </c>
      <c r="G30" s="3">
        <v>8</v>
      </c>
    </row>
    <row r="31" spans="1:7" x14ac:dyDescent="0.25">
      <c r="A31" s="23"/>
      <c r="B31" s="17" t="s">
        <v>45</v>
      </c>
      <c r="C31" s="8">
        <v>33</v>
      </c>
      <c r="D31" s="3">
        <v>20</v>
      </c>
      <c r="F31" s="8">
        <v>34.1</v>
      </c>
      <c r="G31" s="3">
        <v>19</v>
      </c>
    </row>
    <row r="32" spans="1:7" x14ac:dyDescent="0.25">
      <c r="A32" s="23"/>
      <c r="B32" s="17" t="s">
        <v>46</v>
      </c>
      <c r="C32" s="8">
        <v>13.3</v>
      </c>
      <c r="D32" s="3">
        <v>22</v>
      </c>
      <c r="F32" s="8">
        <v>18.8</v>
      </c>
      <c r="G32" s="3">
        <v>1</v>
      </c>
    </row>
    <row r="33" spans="1:7" x14ac:dyDescent="0.25">
      <c r="A33" s="23"/>
      <c r="B33" s="17" t="s">
        <v>47</v>
      </c>
      <c r="C33" s="8">
        <v>10</v>
      </c>
      <c r="D33" s="3">
        <v>11</v>
      </c>
      <c r="F33" s="8">
        <v>11.4</v>
      </c>
      <c r="G33" s="3">
        <v>26</v>
      </c>
    </row>
    <row r="35" spans="1:7" x14ac:dyDescent="0.25">
      <c r="A35" s="23" t="s">
        <v>60</v>
      </c>
      <c r="B35" s="4" t="s">
        <v>8</v>
      </c>
      <c r="C35" s="8">
        <v>104.5</v>
      </c>
      <c r="D35" s="3">
        <v>29</v>
      </c>
      <c r="F35" s="8">
        <v>102.9</v>
      </c>
      <c r="G35" s="3">
        <v>30</v>
      </c>
    </row>
    <row r="36" spans="1:7" x14ac:dyDescent="0.25">
      <c r="A36" s="23"/>
      <c r="B36" s="4" t="s">
        <v>9</v>
      </c>
      <c r="C36" s="8">
        <v>112.8</v>
      </c>
      <c r="D36" s="3">
        <v>25</v>
      </c>
      <c r="F36" s="8">
        <v>105.4</v>
      </c>
      <c r="G36" s="3">
        <v>13</v>
      </c>
    </row>
    <row r="37" spans="1:7" x14ac:dyDescent="0.25">
      <c r="A37" s="23"/>
      <c r="B37" s="4" t="s">
        <v>10</v>
      </c>
      <c r="C37" s="8">
        <v>-8.3000000000000007</v>
      </c>
      <c r="D37" s="3">
        <v>27</v>
      </c>
      <c r="F37" s="8">
        <v>-2.5</v>
      </c>
      <c r="G37" s="3">
        <v>19</v>
      </c>
    </row>
    <row r="38" spans="1:7" x14ac:dyDescent="0.25">
      <c r="A38" s="23"/>
      <c r="B38" s="4" t="s">
        <v>11</v>
      </c>
      <c r="C38" s="13">
        <v>99.3</v>
      </c>
      <c r="D38" s="3">
        <v>20</v>
      </c>
      <c r="F38" s="13">
        <v>104.2</v>
      </c>
      <c r="G38" s="3">
        <v>8</v>
      </c>
    </row>
    <row r="39" spans="1:7" x14ac:dyDescent="0.25">
      <c r="A39" s="23"/>
      <c r="B39" s="4" t="s">
        <v>12</v>
      </c>
      <c r="C39" s="10">
        <v>0.505</v>
      </c>
      <c r="D39" s="3">
        <v>28</v>
      </c>
      <c r="F39" s="9">
        <v>0.48899999999999999</v>
      </c>
      <c r="G39" s="3">
        <v>27</v>
      </c>
    </row>
    <row r="40" spans="1:7" x14ac:dyDescent="0.25">
      <c r="A40" s="23"/>
      <c r="B40" s="4" t="s">
        <v>13</v>
      </c>
      <c r="C40" s="10">
        <v>0.55000000000000004</v>
      </c>
      <c r="D40" s="3">
        <v>25</v>
      </c>
      <c r="F40" s="9">
        <v>0.59199999999999997</v>
      </c>
      <c r="G40" s="3">
        <v>17</v>
      </c>
    </row>
    <row r="41" spans="1:7" x14ac:dyDescent="0.25">
      <c r="A41" s="23"/>
      <c r="B41" s="4" t="s">
        <v>14</v>
      </c>
      <c r="C41" s="10">
        <v>0.48299999999999998</v>
      </c>
      <c r="D41" s="3">
        <v>27</v>
      </c>
      <c r="F41" s="9">
        <v>0.48699999999999999</v>
      </c>
      <c r="G41" s="3">
        <v>24</v>
      </c>
    </row>
    <row r="42" spans="1:7" x14ac:dyDescent="0.25">
      <c r="A42" s="23"/>
      <c r="B42" s="4" t="s">
        <v>15</v>
      </c>
      <c r="C42" s="10">
        <v>0.24199999999999999</v>
      </c>
      <c r="D42" s="3">
        <v>30</v>
      </c>
      <c r="F42" s="9">
        <v>0.26700000000000002</v>
      </c>
      <c r="G42" s="3">
        <v>21</v>
      </c>
    </row>
    <row r="43" spans="1:7" x14ac:dyDescent="0.25">
      <c r="A43" s="23"/>
      <c r="B43" s="4" t="s">
        <v>16</v>
      </c>
      <c r="C43" s="10">
        <v>0.72699999999999998</v>
      </c>
      <c r="D43" s="3">
        <v>16</v>
      </c>
      <c r="F43" s="9">
        <v>0.72599999999999998</v>
      </c>
      <c r="G43" s="3">
        <v>17</v>
      </c>
    </row>
    <row r="44" spans="1:7" x14ac:dyDescent="0.25">
      <c r="A44" s="23"/>
      <c r="B44" s="4" t="s">
        <v>17</v>
      </c>
      <c r="C44" s="10">
        <v>0.14099999999999999</v>
      </c>
      <c r="D44" s="3">
        <v>20</v>
      </c>
      <c r="F44" s="9">
        <v>0.15</v>
      </c>
      <c r="G44" s="3">
        <v>14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71.2</v>
      </c>
      <c r="D46" s="3">
        <v>23</v>
      </c>
      <c r="F46" s="8">
        <v>67</v>
      </c>
      <c r="G46" s="3">
        <v>24</v>
      </c>
    </row>
    <row r="47" spans="1:7" x14ac:dyDescent="0.25">
      <c r="A47" s="23"/>
      <c r="B47" s="20" t="s">
        <v>49</v>
      </c>
      <c r="C47" s="8">
        <v>76.599999999999994</v>
      </c>
      <c r="D47" s="3">
        <v>26</v>
      </c>
      <c r="F47" s="8">
        <v>68.099999999999994</v>
      </c>
      <c r="G47" s="3">
        <v>7</v>
      </c>
    </row>
    <row r="48" spans="1:7" x14ac:dyDescent="0.25">
      <c r="A48" s="23"/>
      <c r="B48" s="20" t="s">
        <v>50</v>
      </c>
      <c r="C48" s="8">
        <v>-5.4</v>
      </c>
      <c r="D48" s="3">
        <v>27</v>
      </c>
      <c r="F48" s="8">
        <v>-1.1000000000000001</v>
      </c>
      <c r="G48" s="3">
        <v>19</v>
      </c>
    </row>
    <row r="49" spans="1:7" x14ac:dyDescent="0.25">
      <c r="A49" s="23"/>
      <c r="B49" s="20" t="s">
        <v>51</v>
      </c>
      <c r="C49" s="8">
        <v>55.9</v>
      </c>
      <c r="D49" s="3">
        <v>20</v>
      </c>
      <c r="F49" s="8">
        <v>57.4</v>
      </c>
      <c r="G49" s="3">
        <v>9</v>
      </c>
    </row>
    <row r="50" spans="1:7" x14ac:dyDescent="0.25">
      <c r="A50" s="23"/>
      <c r="B50" s="20" t="s">
        <v>52</v>
      </c>
      <c r="C50" s="8">
        <v>60.6</v>
      </c>
      <c r="D50" s="3">
        <v>21</v>
      </c>
      <c r="F50" s="8">
        <v>59.1</v>
      </c>
      <c r="G50" s="3">
        <v>24</v>
      </c>
    </row>
    <row r="51" spans="1:7" x14ac:dyDescent="0.25">
      <c r="A51" s="23"/>
      <c r="B51" s="20" t="s">
        <v>53</v>
      </c>
      <c r="C51" s="8">
        <v>-4.7</v>
      </c>
      <c r="D51" s="3">
        <v>30</v>
      </c>
      <c r="F51" s="8">
        <v>-1.8</v>
      </c>
      <c r="G51" s="3">
        <v>17</v>
      </c>
    </row>
    <row r="53" spans="1:7" x14ac:dyDescent="0.25">
      <c r="A53" s="23" t="s">
        <v>57</v>
      </c>
      <c r="B53" s="6" t="s">
        <v>18</v>
      </c>
      <c r="C53" s="7">
        <v>15.2</v>
      </c>
      <c r="D53" s="3">
        <v>25</v>
      </c>
      <c r="F53" s="7">
        <v>22</v>
      </c>
      <c r="G53" s="3">
        <v>1</v>
      </c>
    </row>
    <row r="54" spans="1:7" x14ac:dyDescent="0.25">
      <c r="A54" s="23"/>
      <c r="B54" s="6" t="s">
        <v>19</v>
      </c>
      <c r="C54" s="7">
        <v>16.600000000000001</v>
      </c>
      <c r="D54" s="3">
        <v>17</v>
      </c>
      <c r="F54" s="7">
        <v>17.899999999999999</v>
      </c>
      <c r="G54" s="3">
        <v>19</v>
      </c>
    </row>
    <row r="55" spans="1:7" x14ac:dyDescent="0.25">
      <c r="A55" s="23"/>
      <c r="B55" s="6" t="s">
        <v>20</v>
      </c>
      <c r="C55" s="7">
        <v>11</v>
      </c>
      <c r="D55" s="3">
        <v>30</v>
      </c>
      <c r="F55" s="7">
        <v>15.3</v>
      </c>
      <c r="G55" s="3">
        <v>4</v>
      </c>
    </row>
    <row r="56" spans="1:7" x14ac:dyDescent="0.25">
      <c r="A56" s="23"/>
      <c r="B56" s="6" t="s">
        <v>21</v>
      </c>
      <c r="C56" s="7">
        <v>13.4</v>
      </c>
      <c r="D56" s="3">
        <v>14</v>
      </c>
      <c r="F56" s="7">
        <v>13.1</v>
      </c>
      <c r="G56" s="3">
        <v>15</v>
      </c>
    </row>
    <row r="57" spans="1:7" x14ac:dyDescent="0.25">
      <c r="A57" s="23"/>
      <c r="B57" s="6" t="s">
        <v>22</v>
      </c>
      <c r="C57" s="7">
        <v>12.1</v>
      </c>
      <c r="D57" s="3">
        <v>12.1</v>
      </c>
      <c r="F57" s="7">
        <v>15.7</v>
      </c>
      <c r="G57" s="3">
        <v>15.7</v>
      </c>
    </row>
    <row r="58" spans="1:7" x14ac:dyDescent="0.25">
      <c r="A58" s="23"/>
      <c r="B58" s="6" t="s">
        <v>23</v>
      </c>
      <c r="C58" s="7">
        <v>13</v>
      </c>
      <c r="D58" s="3">
        <v>13</v>
      </c>
      <c r="F58" s="7">
        <v>15.7</v>
      </c>
      <c r="G58" s="3">
        <v>15.7</v>
      </c>
    </row>
    <row r="59" spans="1:7" x14ac:dyDescent="0.25">
      <c r="A59" s="23"/>
      <c r="B59" s="6" t="s">
        <v>24</v>
      </c>
      <c r="C59" s="7">
        <v>50.8</v>
      </c>
      <c r="D59" s="3">
        <v>9</v>
      </c>
      <c r="F59" s="7">
        <v>48.7</v>
      </c>
      <c r="G59" s="3">
        <v>9</v>
      </c>
    </row>
    <row r="60" spans="1:7" x14ac:dyDescent="0.25">
      <c r="A60" s="23"/>
      <c r="B60" s="6" t="s">
        <v>25</v>
      </c>
      <c r="C60" s="7">
        <v>49.1</v>
      </c>
      <c r="D60" s="3">
        <v>17</v>
      </c>
      <c r="F60" s="7">
        <v>49.9</v>
      </c>
      <c r="G60" s="3">
        <v>22</v>
      </c>
    </row>
    <row r="62" spans="1:7" x14ac:dyDescent="0.25">
      <c r="A62" s="23" t="s">
        <v>58</v>
      </c>
      <c r="B62" s="21" t="s">
        <v>54</v>
      </c>
      <c r="C62" s="22">
        <v>4.2</v>
      </c>
      <c r="D62" s="3">
        <v>4</v>
      </c>
      <c r="F62" s="22">
        <v>3.7</v>
      </c>
      <c r="G62" s="3">
        <v>19</v>
      </c>
    </row>
    <row r="63" spans="1:7" x14ac:dyDescent="0.25">
      <c r="A63" s="23"/>
      <c r="B63" s="21" t="s">
        <v>55</v>
      </c>
      <c r="C63" s="3">
        <v>15</v>
      </c>
      <c r="D63" s="3">
        <v>25</v>
      </c>
      <c r="F63" s="3">
        <v>2</v>
      </c>
      <c r="G63" s="3">
        <v>23</v>
      </c>
    </row>
    <row r="64" spans="1:7" x14ac:dyDescent="0.25">
      <c r="A64" s="23"/>
      <c r="B64" s="21" t="s">
        <v>56</v>
      </c>
      <c r="C64" s="3">
        <v>24</v>
      </c>
      <c r="D64" s="3">
        <v>21</v>
      </c>
      <c r="F64" s="3">
        <v>6</v>
      </c>
      <c r="G64" s="3">
        <v>27</v>
      </c>
    </row>
    <row r="65" spans="1:7" x14ac:dyDescent="0.25">
      <c r="A65" s="23"/>
      <c r="B65" s="21" t="s">
        <v>26</v>
      </c>
      <c r="C65" s="9">
        <v>0.43</v>
      </c>
      <c r="D65" s="3">
        <v>15</v>
      </c>
      <c r="F65" s="9">
        <v>0.35599999999999998</v>
      </c>
      <c r="G65" s="3">
        <v>27</v>
      </c>
    </row>
    <row r="66" spans="1:7" x14ac:dyDescent="0.25">
      <c r="A66" s="23"/>
      <c r="B66" s="21" t="s">
        <v>42</v>
      </c>
      <c r="C66" s="9">
        <v>0.44800000000000001</v>
      </c>
      <c r="D66" s="3">
        <v>22</v>
      </c>
      <c r="F66" s="9">
        <v>0.47099999999999997</v>
      </c>
      <c r="G66" s="3">
        <v>22</v>
      </c>
    </row>
    <row r="67" spans="1:7" x14ac:dyDescent="0.25">
      <c r="A67" s="23"/>
      <c r="B67" s="21" t="s">
        <v>8</v>
      </c>
      <c r="C67" s="8">
        <v>98.2</v>
      </c>
      <c r="D67" s="3">
        <v>27</v>
      </c>
      <c r="F67" s="8">
        <v>103.4</v>
      </c>
      <c r="G67" s="3">
        <v>20</v>
      </c>
    </row>
    <row r="68" spans="1:7" x14ac:dyDescent="0.25">
      <c r="A68" s="23"/>
      <c r="B68" s="21" t="s">
        <v>9</v>
      </c>
      <c r="C68" s="8">
        <v>104.8</v>
      </c>
      <c r="D68" s="3">
        <v>9</v>
      </c>
      <c r="F68" s="8">
        <v>122.7</v>
      </c>
      <c r="G68" s="3">
        <v>26</v>
      </c>
    </row>
    <row r="69" spans="1:7" x14ac:dyDescent="0.25">
      <c r="A69" s="23"/>
      <c r="B69" s="21" t="s">
        <v>10</v>
      </c>
      <c r="C69" s="8">
        <v>-6.6</v>
      </c>
      <c r="D69" s="3">
        <v>25</v>
      </c>
      <c r="F69" s="8">
        <v>-19.3</v>
      </c>
      <c r="G69" s="3">
        <v>25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1610612741</v>
      </c>
      <c r="B2" s="1" t="s">
        <v>755</v>
      </c>
      <c r="C2" s="1" t="s">
        <v>145</v>
      </c>
      <c r="D2" s="1" t="s">
        <v>1350</v>
      </c>
      <c r="E2" s="1" t="s">
        <v>769</v>
      </c>
      <c r="F2" s="1" t="s">
        <v>760</v>
      </c>
      <c r="G2" s="1" t="s">
        <v>266</v>
      </c>
      <c r="H2" s="1" t="s">
        <v>1351</v>
      </c>
      <c r="I2" s="1" t="s">
        <v>1352</v>
      </c>
      <c r="J2" s="1">
        <v>19</v>
      </c>
      <c r="K2" s="1" t="s">
        <v>758</v>
      </c>
      <c r="L2" s="1" t="s">
        <v>1353</v>
      </c>
      <c r="M2" s="1">
        <v>1629632</v>
      </c>
    </row>
    <row r="3" spans="1:13" x14ac:dyDescent="0.25">
      <c r="A3" s="1">
        <v>1610612741</v>
      </c>
      <c r="B3" s="1" t="s">
        <v>755</v>
      </c>
      <c r="C3" s="1" t="s">
        <v>145</v>
      </c>
      <c r="D3" s="1" t="s">
        <v>1354</v>
      </c>
      <c r="E3" s="1" t="s">
        <v>759</v>
      </c>
      <c r="F3" s="1" t="s">
        <v>1355</v>
      </c>
      <c r="G3" s="1" t="s">
        <v>194</v>
      </c>
      <c r="H3" s="1" t="s">
        <v>1356</v>
      </c>
      <c r="I3" s="1" t="s">
        <v>1357</v>
      </c>
      <c r="J3" s="1">
        <v>24</v>
      </c>
      <c r="K3" s="1" t="s">
        <v>759</v>
      </c>
      <c r="L3" s="1" t="s">
        <v>1358</v>
      </c>
      <c r="M3" s="1">
        <v>1628436</v>
      </c>
    </row>
    <row r="4" spans="1:13" x14ac:dyDescent="0.25">
      <c r="A4" s="1">
        <v>1610612741</v>
      </c>
      <c r="B4" s="1" t="s">
        <v>755</v>
      </c>
      <c r="C4" s="1" t="s">
        <v>145</v>
      </c>
      <c r="D4" s="1" t="s">
        <v>1359</v>
      </c>
      <c r="E4" s="1" t="s">
        <v>762</v>
      </c>
      <c r="F4" s="1" t="s">
        <v>760</v>
      </c>
      <c r="G4" s="1" t="s">
        <v>331</v>
      </c>
      <c r="H4" s="1" t="s">
        <v>1339</v>
      </c>
      <c r="I4" s="1" t="s">
        <v>1360</v>
      </c>
      <c r="J4" s="1">
        <v>26</v>
      </c>
      <c r="K4" s="1" t="s">
        <v>759</v>
      </c>
      <c r="L4" s="1" t="s">
        <v>1361</v>
      </c>
      <c r="M4" s="1">
        <v>1627885</v>
      </c>
    </row>
    <row r="5" spans="1:13" x14ac:dyDescent="0.25">
      <c r="A5" s="1">
        <v>1610612741</v>
      </c>
      <c r="B5" s="1" t="s">
        <v>755</v>
      </c>
      <c r="C5" s="1" t="s">
        <v>145</v>
      </c>
      <c r="D5" s="1" t="s">
        <v>1362</v>
      </c>
      <c r="E5" s="1" t="s">
        <v>1363</v>
      </c>
      <c r="F5" s="1" t="s">
        <v>1355</v>
      </c>
      <c r="G5" s="1" t="s">
        <v>410</v>
      </c>
      <c r="H5" s="1" t="s">
        <v>1343</v>
      </c>
      <c r="I5" s="1" t="s">
        <v>1364</v>
      </c>
      <c r="J5" s="1">
        <v>27</v>
      </c>
      <c r="K5" s="1" t="s">
        <v>763</v>
      </c>
      <c r="L5" s="1" t="s">
        <v>1335</v>
      </c>
      <c r="M5" s="1">
        <v>1626245</v>
      </c>
    </row>
    <row r="6" spans="1:13" x14ac:dyDescent="0.25">
      <c r="A6" s="1">
        <v>1610612741</v>
      </c>
      <c r="B6" s="1" t="s">
        <v>755</v>
      </c>
      <c r="C6" s="1" t="s">
        <v>145</v>
      </c>
      <c r="D6" s="1" t="s">
        <v>1365</v>
      </c>
      <c r="E6" s="1" t="s">
        <v>764</v>
      </c>
      <c r="F6" s="1" t="s">
        <v>757</v>
      </c>
      <c r="G6" s="1" t="s">
        <v>766</v>
      </c>
      <c r="H6" s="1" t="s">
        <v>1334</v>
      </c>
      <c r="I6" s="1" t="s">
        <v>1366</v>
      </c>
      <c r="J6" s="1">
        <v>24</v>
      </c>
      <c r="K6" s="1" t="s">
        <v>765</v>
      </c>
      <c r="L6" s="1" t="s">
        <v>1340</v>
      </c>
      <c r="M6" s="1">
        <v>203897</v>
      </c>
    </row>
    <row r="7" spans="1:13" x14ac:dyDescent="0.25">
      <c r="A7" s="1">
        <v>1610612741</v>
      </c>
      <c r="B7" s="1" t="s">
        <v>755</v>
      </c>
      <c r="C7" s="1" t="s">
        <v>145</v>
      </c>
      <c r="D7" s="1" t="s">
        <v>1367</v>
      </c>
      <c r="E7" s="1" t="s">
        <v>1368</v>
      </c>
      <c r="F7" s="1" t="s">
        <v>1355</v>
      </c>
      <c r="G7" s="1" t="s">
        <v>410</v>
      </c>
      <c r="H7" s="1" t="s">
        <v>1369</v>
      </c>
      <c r="I7" s="1" t="s">
        <v>1370</v>
      </c>
      <c r="J7" s="1">
        <v>21</v>
      </c>
      <c r="K7" s="1" t="s">
        <v>758</v>
      </c>
      <c r="L7" s="1" t="s">
        <v>1371</v>
      </c>
      <c r="M7" s="1">
        <v>1629655</v>
      </c>
    </row>
    <row r="8" spans="1:13" x14ac:dyDescent="0.25">
      <c r="A8" s="1">
        <v>1610612741</v>
      </c>
      <c r="B8" s="1" t="s">
        <v>755</v>
      </c>
      <c r="C8" s="1" t="s">
        <v>145</v>
      </c>
      <c r="D8" s="1" t="s">
        <v>1372</v>
      </c>
      <c r="E8" s="1" t="s">
        <v>1344</v>
      </c>
      <c r="F8" s="1" t="s">
        <v>1373</v>
      </c>
      <c r="G8" s="1" t="s">
        <v>331</v>
      </c>
      <c r="H8" s="1" t="s">
        <v>761</v>
      </c>
      <c r="I8" s="1" t="s">
        <v>1374</v>
      </c>
      <c r="J8" s="1">
        <v>23</v>
      </c>
      <c r="K8" s="1" t="s">
        <v>756</v>
      </c>
      <c r="L8" s="1" t="s">
        <v>1375</v>
      </c>
      <c r="M8" s="1">
        <v>1628990</v>
      </c>
    </row>
    <row r="9" spans="1:13" x14ac:dyDescent="0.25">
      <c r="A9" s="1">
        <v>1610612741</v>
      </c>
      <c r="B9" s="1" t="s">
        <v>755</v>
      </c>
      <c r="C9" s="1" t="s">
        <v>145</v>
      </c>
      <c r="D9" s="1" t="s">
        <v>1376</v>
      </c>
      <c r="E9" s="1" t="s">
        <v>771</v>
      </c>
      <c r="F9" s="1" t="s">
        <v>760</v>
      </c>
      <c r="G9" s="1" t="s">
        <v>286</v>
      </c>
      <c r="H9" s="1" t="s">
        <v>1339</v>
      </c>
      <c r="I9" s="1" t="s">
        <v>1377</v>
      </c>
      <c r="J9" s="1">
        <v>21</v>
      </c>
      <c r="K9" s="1" t="s">
        <v>758</v>
      </c>
      <c r="L9" s="1" t="s">
        <v>1335</v>
      </c>
      <c r="M9" s="1">
        <v>1629690</v>
      </c>
    </row>
    <row r="10" spans="1:13" x14ac:dyDescent="0.25">
      <c r="A10" s="1">
        <v>1610612741</v>
      </c>
      <c r="B10" s="1" t="s">
        <v>755</v>
      </c>
      <c r="C10" s="1" t="s">
        <v>145</v>
      </c>
      <c r="D10" s="1" t="s">
        <v>1378</v>
      </c>
      <c r="E10" s="1" t="s">
        <v>1345</v>
      </c>
      <c r="F10" s="1" t="s">
        <v>767</v>
      </c>
      <c r="G10" s="1" t="s">
        <v>299</v>
      </c>
      <c r="H10" s="1" t="s">
        <v>1379</v>
      </c>
      <c r="I10" s="1" t="s">
        <v>1380</v>
      </c>
      <c r="J10" s="1">
        <v>31</v>
      </c>
      <c r="K10" s="1" t="s">
        <v>1368</v>
      </c>
      <c r="L10" s="1" t="s">
        <v>1347</v>
      </c>
      <c r="M10" s="1">
        <v>201152</v>
      </c>
    </row>
    <row r="11" spans="1:13" x14ac:dyDescent="0.25">
      <c r="A11" s="1">
        <v>1610612741</v>
      </c>
      <c r="B11" s="1" t="s">
        <v>755</v>
      </c>
      <c r="C11" s="1" t="s">
        <v>145</v>
      </c>
      <c r="D11" s="1" t="s">
        <v>1381</v>
      </c>
      <c r="E11" s="1" t="s">
        <v>1346</v>
      </c>
      <c r="F11" s="1" t="s">
        <v>767</v>
      </c>
      <c r="G11" s="1" t="s">
        <v>299</v>
      </c>
      <c r="H11" s="1" t="s">
        <v>1382</v>
      </c>
      <c r="I11" s="1" t="s">
        <v>1383</v>
      </c>
      <c r="J11" s="1">
        <v>26</v>
      </c>
      <c r="K11" s="1" t="s">
        <v>1363</v>
      </c>
      <c r="L11" s="1" t="s">
        <v>1384</v>
      </c>
      <c r="M11" s="1">
        <v>203490</v>
      </c>
    </row>
    <row r="12" spans="1:13" x14ac:dyDescent="0.25">
      <c r="A12" s="1">
        <v>1610612741</v>
      </c>
      <c r="B12" s="1" t="s">
        <v>755</v>
      </c>
      <c r="C12" s="1" t="s">
        <v>145</v>
      </c>
      <c r="D12" s="1" t="s">
        <v>1385</v>
      </c>
      <c r="E12" s="1" t="s">
        <v>1386</v>
      </c>
      <c r="F12" s="1" t="s">
        <v>1355</v>
      </c>
      <c r="G12" s="1" t="s">
        <v>772</v>
      </c>
      <c r="H12" s="1" t="s">
        <v>1387</v>
      </c>
      <c r="I12" s="1" t="s">
        <v>1388</v>
      </c>
      <c r="J12" s="1">
        <v>22</v>
      </c>
      <c r="K12" s="1" t="s">
        <v>759</v>
      </c>
      <c r="L12" s="1" t="s">
        <v>1389</v>
      </c>
      <c r="M12" s="1">
        <v>1628374</v>
      </c>
    </row>
    <row r="13" spans="1:13" x14ac:dyDescent="0.25">
      <c r="A13" s="1">
        <v>1610612741</v>
      </c>
      <c r="B13" s="1" t="s">
        <v>755</v>
      </c>
      <c r="C13" s="1" t="s">
        <v>145</v>
      </c>
      <c r="D13" s="1" t="s">
        <v>1390</v>
      </c>
      <c r="E13" s="1" t="s">
        <v>1391</v>
      </c>
      <c r="F13" s="1" t="s">
        <v>757</v>
      </c>
      <c r="G13" s="1" t="s">
        <v>286</v>
      </c>
      <c r="H13" s="1" t="s">
        <v>1341</v>
      </c>
      <c r="I13" s="1" t="s">
        <v>1392</v>
      </c>
      <c r="J13" s="1">
        <v>23</v>
      </c>
      <c r="K13" s="1" t="s">
        <v>758</v>
      </c>
      <c r="L13" s="1" t="s">
        <v>1393</v>
      </c>
      <c r="M13" s="1">
        <v>1629622</v>
      </c>
    </row>
    <row r="14" spans="1:13" x14ac:dyDescent="0.25">
      <c r="A14" s="1">
        <v>1610612741</v>
      </c>
      <c r="B14" s="1" t="s">
        <v>755</v>
      </c>
      <c r="C14" s="1" t="s">
        <v>145</v>
      </c>
      <c r="D14" s="1" t="s">
        <v>1394</v>
      </c>
      <c r="E14" s="1" t="s">
        <v>1395</v>
      </c>
      <c r="F14" s="1" t="s">
        <v>760</v>
      </c>
      <c r="G14" s="1" t="s">
        <v>331</v>
      </c>
      <c r="H14" s="1" t="s">
        <v>761</v>
      </c>
      <c r="I14" s="1" t="s">
        <v>1396</v>
      </c>
      <c r="J14" s="1">
        <v>28</v>
      </c>
      <c r="K14" s="1" t="s">
        <v>762</v>
      </c>
      <c r="L14" s="1" t="s">
        <v>1335</v>
      </c>
      <c r="M14" s="1">
        <v>203107</v>
      </c>
    </row>
    <row r="15" spans="1:13" x14ac:dyDescent="0.25">
      <c r="A15" s="1">
        <v>1610612741</v>
      </c>
      <c r="B15" s="1" t="s">
        <v>755</v>
      </c>
      <c r="C15" s="1" t="s">
        <v>145</v>
      </c>
      <c r="D15" s="1" t="s">
        <v>1397</v>
      </c>
      <c r="E15" s="1" t="s">
        <v>1398</v>
      </c>
      <c r="F15" s="1" t="s">
        <v>760</v>
      </c>
      <c r="G15" s="1" t="s">
        <v>256</v>
      </c>
      <c r="H15" s="1" t="s">
        <v>1336</v>
      </c>
      <c r="I15" s="1" t="s">
        <v>1399</v>
      </c>
      <c r="J15" s="1">
        <v>25</v>
      </c>
      <c r="K15" s="1" t="s">
        <v>762</v>
      </c>
      <c r="L15" s="1" t="s">
        <v>1400</v>
      </c>
      <c r="M15" s="1">
        <v>1627739</v>
      </c>
    </row>
    <row r="16" spans="1:13" x14ac:dyDescent="0.25">
      <c r="A16" s="1">
        <v>1610612741</v>
      </c>
      <c r="B16" s="1" t="s">
        <v>755</v>
      </c>
      <c r="C16" s="1" t="s">
        <v>145</v>
      </c>
      <c r="D16" s="1" t="s">
        <v>1401</v>
      </c>
      <c r="E16" s="1" t="s">
        <v>1348</v>
      </c>
      <c r="F16" s="1" t="s">
        <v>1337</v>
      </c>
      <c r="G16" s="1" t="s">
        <v>337</v>
      </c>
      <c r="H16" s="1" t="s">
        <v>1343</v>
      </c>
      <c r="I16" s="1" t="s">
        <v>1402</v>
      </c>
      <c r="J16" s="1">
        <v>20</v>
      </c>
      <c r="K16" s="1" t="s">
        <v>756</v>
      </c>
      <c r="L16" s="1" t="s">
        <v>770</v>
      </c>
      <c r="M16" s="1">
        <v>1628976</v>
      </c>
    </row>
    <row r="17" spans="1:13" x14ac:dyDescent="0.25">
      <c r="A17" s="1">
        <v>1610612741</v>
      </c>
      <c r="B17" s="1" t="s">
        <v>755</v>
      </c>
      <c r="C17" s="1" t="s">
        <v>145</v>
      </c>
      <c r="D17" s="1" t="s">
        <v>1403</v>
      </c>
      <c r="E17" s="1" t="s">
        <v>1338</v>
      </c>
      <c r="F17" s="1" t="s">
        <v>760</v>
      </c>
      <c r="G17" s="1" t="s">
        <v>266</v>
      </c>
      <c r="H17" s="1" t="s">
        <v>768</v>
      </c>
      <c r="I17" s="1" t="s">
        <v>1404</v>
      </c>
      <c r="J17" s="1">
        <v>26</v>
      </c>
      <c r="K17" s="1" t="s">
        <v>759</v>
      </c>
      <c r="L17" s="1" t="s">
        <v>1405</v>
      </c>
      <c r="M17" s="1">
        <v>1627756</v>
      </c>
    </row>
    <row r="18" spans="1:13" x14ac:dyDescent="0.25">
      <c r="A18" s="1">
        <v>1610612741</v>
      </c>
      <c r="B18" s="1" t="s">
        <v>755</v>
      </c>
      <c r="C18" s="1" t="s">
        <v>145</v>
      </c>
      <c r="D18" s="1" t="s">
        <v>1406</v>
      </c>
      <c r="E18" s="1" t="s">
        <v>1407</v>
      </c>
      <c r="F18" s="1" t="s">
        <v>760</v>
      </c>
      <c r="G18" s="1" t="s">
        <v>256</v>
      </c>
      <c r="H18" s="1" t="s">
        <v>1351</v>
      </c>
      <c r="I18" s="1" t="s">
        <v>1408</v>
      </c>
      <c r="J18" s="1">
        <v>25</v>
      </c>
      <c r="K18" s="1" t="s">
        <v>759</v>
      </c>
      <c r="L18" s="1" t="s">
        <v>1342</v>
      </c>
      <c r="M18" s="1">
        <v>1627853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773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800</v>
      </c>
      <c r="H2" s="1">
        <v>1</v>
      </c>
      <c r="I2" s="1" t="s">
        <v>801</v>
      </c>
      <c r="J2" s="1" t="s">
        <v>181</v>
      </c>
      <c r="K2" s="1" t="s">
        <v>802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803</v>
      </c>
      <c r="R2" s="1" t="s">
        <v>804</v>
      </c>
      <c r="S2" s="1" t="s">
        <v>779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805</v>
      </c>
      <c r="Z2" s="1">
        <v>6</v>
      </c>
      <c r="AA2" s="1" t="s">
        <v>188</v>
      </c>
      <c r="AB2" s="1">
        <v>10</v>
      </c>
      <c r="AC2" s="1" t="s">
        <v>806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807</v>
      </c>
      <c r="AT2" s="1" t="s">
        <v>808</v>
      </c>
      <c r="AU2" s="1" t="s">
        <v>161</v>
      </c>
      <c r="AV2" s="1" t="s">
        <v>809</v>
      </c>
      <c r="AW2" s="1" t="s">
        <v>810</v>
      </c>
      <c r="AX2" s="1" t="s">
        <v>186</v>
      </c>
      <c r="AY2" s="1" t="s">
        <v>811</v>
      </c>
      <c r="AZ2" s="1" t="s">
        <v>812</v>
      </c>
      <c r="BA2" s="1" t="s">
        <v>813</v>
      </c>
      <c r="BB2" s="1" t="s">
        <v>814</v>
      </c>
      <c r="BC2" s="1" t="s">
        <v>815</v>
      </c>
      <c r="BD2" s="1" t="s">
        <v>816</v>
      </c>
      <c r="BE2" s="1">
        <v>118.1</v>
      </c>
      <c r="BF2" s="1">
        <v>109.3</v>
      </c>
      <c r="BG2" s="1">
        <v>8.9</v>
      </c>
      <c r="BH2" s="1" t="s">
        <v>800</v>
      </c>
      <c r="BI2" s="1" t="s">
        <v>817</v>
      </c>
      <c r="BJ2" s="1" t="s">
        <v>818</v>
      </c>
      <c r="BK2" s="1" t="s">
        <v>817</v>
      </c>
      <c r="BL2" s="1" t="s">
        <v>819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820</v>
      </c>
      <c r="BS2" s="1" t="s">
        <v>228</v>
      </c>
      <c r="BT2" s="1"/>
      <c r="BU2" s="1"/>
      <c r="BV2" s="1"/>
      <c r="BW2" s="1"/>
      <c r="BX2" s="1"/>
      <c r="BY2" s="1" t="s">
        <v>772</v>
      </c>
      <c r="BZ2" s="1" t="s">
        <v>291</v>
      </c>
      <c r="CA2" s="1" t="s">
        <v>253</v>
      </c>
      <c r="CB2" s="1" t="s">
        <v>821</v>
      </c>
      <c r="CC2" s="1" t="s">
        <v>822</v>
      </c>
    </row>
    <row r="3" spans="1:81" x14ac:dyDescent="0.25">
      <c r="A3" s="1" t="s">
        <v>145</v>
      </c>
      <c r="B3" s="1" t="s">
        <v>773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774</v>
      </c>
      <c r="H3" s="1">
        <v>1</v>
      </c>
      <c r="I3" s="1" t="s">
        <v>775</v>
      </c>
      <c r="J3" s="1" t="s">
        <v>152</v>
      </c>
      <c r="K3" s="1" t="s">
        <v>776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777</v>
      </c>
      <c r="R3" s="1" t="s">
        <v>778</v>
      </c>
      <c r="S3" s="1" t="s">
        <v>779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780</v>
      </c>
      <c r="Z3" s="1">
        <v>6</v>
      </c>
      <c r="AA3" s="1" t="s">
        <v>188</v>
      </c>
      <c r="AB3" s="1">
        <v>11</v>
      </c>
      <c r="AC3" s="1" t="s">
        <v>781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782</v>
      </c>
      <c r="AT3" s="1" t="s">
        <v>783</v>
      </c>
      <c r="AU3" s="1" t="s">
        <v>232</v>
      </c>
      <c r="AV3" s="1" t="s">
        <v>784</v>
      </c>
      <c r="AW3" s="1" t="s">
        <v>785</v>
      </c>
      <c r="AX3" s="1" t="s">
        <v>185</v>
      </c>
      <c r="AY3" s="1" t="s">
        <v>786</v>
      </c>
      <c r="AZ3" s="1" t="s">
        <v>787</v>
      </c>
      <c r="BA3" s="1" t="s">
        <v>788</v>
      </c>
      <c r="BB3" s="1" t="s">
        <v>789</v>
      </c>
      <c r="BC3" s="1" t="s">
        <v>790</v>
      </c>
      <c r="BD3" s="1" t="s">
        <v>791</v>
      </c>
      <c r="BE3" s="1">
        <v>117.7</v>
      </c>
      <c r="BF3" s="1">
        <v>111.2</v>
      </c>
      <c r="BG3" s="1">
        <v>6.5</v>
      </c>
      <c r="BH3" s="1" t="s">
        <v>792</v>
      </c>
      <c r="BI3" s="1" t="s">
        <v>266</v>
      </c>
      <c r="BJ3" s="1" t="s">
        <v>216</v>
      </c>
      <c r="BK3" s="1" t="s">
        <v>216</v>
      </c>
      <c r="BL3" s="1" t="s">
        <v>774</v>
      </c>
      <c r="BM3" s="1" t="s">
        <v>793</v>
      </c>
      <c r="BN3" s="1" t="s">
        <v>794</v>
      </c>
      <c r="BO3" s="1" t="s">
        <v>795</v>
      </c>
      <c r="BP3" s="1" t="s">
        <v>796</v>
      </c>
      <c r="BQ3" s="1" t="s">
        <v>797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798</v>
      </c>
      <c r="CC3" s="1" t="s">
        <v>799</v>
      </c>
    </row>
    <row r="4" spans="1:81" x14ac:dyDescent="0.25">
      <c r="A4" s="1" t="s">
        <v>145</v>
      </c>
      <c r="B4" s="1" t="s">
        <v>773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823</v>
      </c>
      <c r="H4" s="1">
        <v>2</v>
      </c>
      <c r="I4" s="1" t="s">
        <v>824</v>
      </c>
      <c r="J4" s="1" t="s">
        <v>203</v>
      </c>
      <c r="K4" s="1" t="s">
        <v>825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826</v>
      </c>
      <c r="R4" s="1" t="s">
        <v>827</v>
      </c>
      <c r="S4" s="1" t="s">
        <v>828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829</v>
      </c>
      <c r="Y4" s="1" t="s">
        <v>830</v>
      </c>
      <c r="Z4" s="1">
        <v>10</v>
      </c>
      <c r="AA4" s="1" t="s">
        <v>806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831</v>
      </c>
      <c r="AT4" s="1" t="s">
        <v>832</v>
      </c>
      <c r="AU4" s="1" t="s">
        <v>185</v>
      </c>
      <c r="AV4" s="1" t="s">
        <v>833</v>
      </c>
      <c r="AW4" s="1" t="s">
        <v>834</v>
      </c>
      <c r="AX4" s="1" t="s">
        <v>157</v>
      </c>
      <c r="AY4" s="1" t="s">
        <v>835</v>
      </c>
      <c r="AZ4" s="1" t="s">
        <v>836</v>
      </c>
      <c r="BA4" s="1" t="s">
        <v>837</v>
      </c>
      <c r="BB4" s="1" t="s">
        <v>838</v>
      </c>
      <c r="BC4" s="1" t="s">
        <v>839</v>
      </c>
      <c r="BD4" s="1" t="s">
        <v>840</v>
      </c>
      <c r="BE4" s="1">
        <v>114.4</v>
      </c>
      <c r="BF4" s="1">
        <v>108.4</v>
      </c>
      <c r="BG4" s="1">
        <v>6.1</v>
      </c>
      <c r="BH4" s="1" t="s">
        <v>823</v>
      </c>
      <c r="BI4" s="1" t="s">
        <v>841</v>
      </c>
      <c r="BJ4" s="1" t="s">
        <v>795</v>
      </c>
      <c r="BK4" s="1" t="s">
        <v>842</v>
      </c>
      <c r="BL4" s="1" t="s">
        <v>792</v>
      </c>
      <c r="BM4" s="1" t="s">
        <v>266</v>
      </c>
      <c r="BN4" s="1" t="s">
        <v>843</v>
      </c>
      <c r="BO4" s="1" t="s">
        <v>266</v>
      </c>
      <c r="BP4" s="1" t="s">
        <v>261</v>
      </c>
      <c r="BQ4" s="1" t="s">
        <v>173</v>
      </c>
      <c r="BR4" s="1" t="s">
        <v>844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845</v>
      </c>
      <c r="CC4" s="1" t="s">
        <v>846</v>
      </c>
    </row>
    <row r="5" spans="1:81" x14ac:dyDescent="0.25">
      <c r="A5" s="1" t="s">
        <v>145</v>
      </c>
      <c r="B5" s="1" t="s">
        <v>773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847</v>
      </c>
      <c r="H5" s="1">
        <v>2</v>
      </c>
      <c r="I5" s="1" t="s">
        <v>848</v>
      </c>
      <c r="J5" s="1" t="s">
        <v>219</v>
      </c>
      <c r="K5" s="1" t="s">
        <v>825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849</v>
      </c>
      <c r="R5" s="1" t="s">
        <v>850</v>
      </c>
      <c r="S5" s="1" t="s">
        <v>851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776</v>
      </c>
      <c r="Y5" s="1" t="s">
        <v>852</v>
      </c>
      <c r="Z5" s="1">
        <v>12</v>
      </c>
      <c r="AA5" s="1" t="s">
        <v>853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854</v>
      </c>
      <c r="AT5" s="1" t="s">
        <v>855</v>
      </c>
      <c r="AU5" s="1" t="s">
        <v>185</v>
      </c>
      <c r="AV5" s="1" t="s">
        <v>856</v>
      </c>
      <c r="AW5" s="1" t="s">
        <v>857</v>
      </c>
      <c r="AX5" s="1" t="s">
        <v>155</v>
      </c>
      <c r="AY5" s="1" t="s">
        <v>858</v>
      </c>
      <c r="AZ5" s="1" t="s">
        <v>859</v>
      </c>
      <c r="BA5" s="1" t="s">
        <v>860</v>
      </c>
      <c r="BB5" s="1" t="s">
        <v>861</v>
      </c>
      <c r="BC5" s="1" t="s">
        <v>862</v>
      </c>
      <c r="BD5" s="1" t="s">
        <v>863</v>
      </c>
      <c r="BE5" s="1">
        <v>110.7</v>
      </c>
      <c r="BF5" s="1">
        <v>106.7</v>
      </c>
      <c r="BG5" s="1">
        <v>4</v>
      </c>
      <c r="BH5" s="1" t="s">
        <v>819</v>
      </c>
      <c r="BI5" s="1" t="s">
        <v>296</v>
      </c>
      <c r="BJ5" s="1" t="s">
        <v>266</v>
      </c>
      <c r="BK5" s="1" t="s">
        <v>296</v>
      </c>
      <c r="BL5" s="1" t="s">
        <v>847</v>
      </c>
      <c r="BM5" s="1" t="s">
        <v>841</v>
      </c>
      <c r="BN5" s="1" t="s">
        <v>793</v>
      </c>
      <c r="BO5" s="1" t="s">
        <v>795</v>
      </c>
      <c r="BP5" s="1" t="s">
        <v>841</v>
      </c>
      <c r="BQ5" s="1" t="s">
        <v>797</v>
      </c>
      <c r="BR5" s="1" t="s">
        <v>844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844</v>
      </c>
      <c r="CA5" s="1" t="s">
        <v>864</v>
      </c>
      <c r="CB5" s="1" t="s">
        <v>865</v>
      </c>
      <c r="CC5" s="1" t="s">
        <v>866</v>
      </c>
    </row>
    <row r="6" spans="1:81" x14ac:dyDescent="0.25">
      <c r="A6" s="1" t="s">
        <v>145</v>
      </c>
      <c r="B6" s="1" t="s">
        <v>773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886</v>
      </c>
      <c r="H6" s="1">
        <v>3</v>
      </c>
      <c r="I6" s="1" t="s">
        <v>868</v>
      </c>
      <c r="J6" s="1" t="s">
        <v>219</v>
      </c>
      <c r="K6" s="1" t="s">
        <v>887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888</v>
      </c>
      <c r="R6" s="1" t="s">
        <v>827</v>
      </c>
      <c r="S6" s="1" t="s">
        <v>889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890</v>
      </c>
      <c r="Z6" s="1">
        <v>8</v>
      </c>
      <c r="AA6" s="1" t="s">
        <v>891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891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892</v>
      </c>
      <c r="AT6" s="1" t="s">
        <v>893</v>
      </c>
      <c r="AU6" s="1" t="s">
        <v>260</v>
      </c>
      <c r="AV6" s="1" t="s">
        <v>894</v>
      </c>
      <c r="AW6" s="1" t="s">
        <v>895</v>
      </c>
      <c r="AX6" s="1" t="s">
        <v>161</v>
      </c>
      <c r="AY6" s="1" t="s">
        <v>896</v>
      </c>
      <c r="AZ6" s="1" t="s">
        <v>897</v>
      </c>
      <c r="BA6" s="1" t="s">
        <v>898</v>
      </c>
      <c r="BB6" s="1" t="s">
        <v>899</v>
      </c>
      <c r="BC6" s="1" t="s">
        <v>900</v>
      </c>
      <c r="BD6" s="1" t="s">
        <v>901</v>
      </c>
      <c r="BE6" s="1">
        <v>114.7</v>
      </c>
      <c r="BF6" s="1">
        <v>110.5</v>
      </c>
      <c r="BG6" s="1">
        <v>4.2</v>
      </c>
      <c r="BH6" s="1" t="s">
        <v>902</v>
      </c>
      <c r="BI6" s="1" t="s">
        <v>176</v>
      </c>
      <c r="BJ6" s="1" t="s">
        <v>216</v>
      </c>
      <c r="BK6" s="1" t="s">
        <v>296</v>
      </c>
      <c r="BL6" s="1" t="s">
        <v>886</v>
      </c>
      <c r="BM6" s="1" t="s">
        <v>410</v>
      </c>
      <c r="BN6" s="1" t="s">
        <v>793</v>
      </c>
      <c r="BO6" s="1" t="s">
        <v>882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903</v>
      </c>
      <c r="CC6" s="1" t="s">
        <v>904</v>
      </c>
    </row>
    <row r="7" spans="1:81" x14ac:dyDescent="0.25">
      <c r="A7" s="1" t="s">
        <v>145</v>
      </c>
      <c r="B7" s="1" t="s">
        <v>773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867</v>
      </c>
      <c r="H7" s="1">
        <v>3</v>
      </c>
      <c r="I7" s="1" t="s">
        <v>868</v>
      </c>
      <c r="J7" s="1" t="s">
        <v>203</v>
      </c>
      <c r="K7" s="1" t="s">
        <v>869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870</v>
      </c>
      <c r="R7" s="1" t="s">
        <v>871</v>
      </c>
      <c r="S7" s="1" t="s">
        <v>851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872</v>
      </c>
      <c r="Y7" s="1" t="s">
        <v>873</v>
      </c>
      <c r="Z7" s="1">
        <v>10</v>
      </c>
      <c r="AA7" s="1" t="s">
        <v>806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874</v>
      </c>
      <c r="AT7" s="1" t="s">
        <v>875</v>
      </c>
      <c r="AU7" s="1" t="s">
        <v>208</v>
      </c>
      <c r="AV7" s="1" t="s">
        <v>782</v>
      </c>
      <c r="AW7" s="1" t="s">
        <v>876</v>
      </c>
      <c r="AX7" s="1" t="s">
        <v>186</v>
      </c>
      <c r="AY7" s="1" t="s">
        <v>877</v>
      </c>
      <c r="AZ7" s="1" t="s">
        <v>878</v>
      </c>
      <c r="BA7" s="1" t="s">
        <v>879</v>
      </c>
      <c r="BB7" s="1" t="s">
        <v>862</v>
      </c>
      <c r="BC7" s="1" t="s">
        <v>798</v>
      </c>
      <c r="BD7" s="1" t="s">
        <v>880</v>
      </c>
      <c r="BE7" s="1">
        <v>115.2</v>
      </c>
      <c r="BF7" s="1">
        <v>112.5</v>
      </c>
      <c r="BG7" s="1">
        <v>2.7</v>
      </c>
      <c r="BH7" s="1" t="s">
        <v>867</v>
      </c>
      <c r="BI7" s="1" t="s">
        <v>881</v>
      </c>
      <c r="BJ7" s="1" t="s">
        <v>793</v>
      </c>
      <c r="BK7" s="1" t="s">
        <v>882</v>
      </c>
      <c r="BL7" s="1" t="s">
        <v>819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841</v>
      </c>
      <c r="CA7" s="1" t="s">
        <v>883</v>
      </c>
      <c r="CB7" s="1" t="s">
        <v>884</v>
      </c>
      <c r="CC7" s="1" t="s">
        <v>885</v>
      </c>
    </row>
    <row r="8" spans="1:81" x14ac:dyDescent="0.25">
      <c r="A8" s="1" t="s">
        <v>145</v>
      </c>
      <c r="B8" s="1" t="s">
        <v>773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774</v>
      </c>
      <c r="H8" s="1">
        <v>4</v>
      </c>
      <c r="I8" s="1" t="s">
        <v>868</v>
      </c>
      <c r="J8" s="1" t="s">
        <v>203</v>
      </c>
      <c r="K8" s="1" t="s">
        <v>907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925</v>
      </c>
      <c r="R8" s="1" t="s">
        <v>926</v>
      </c>
      <c r="S8" s="1" t="s">
        <v>889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927</v>
      </c>
      <c r="Z8" s="1">
        <v>10</v>
      </c>
      <c r="AA8" s="1" t="s">
        <v>806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928</v>
      </c>
      <c r="AT8" s="1" t="s">
        <v>929</v>
      </c>
      <c r="AU8" s="1" t="s">
        <v>260</v>
      </c>
      <c r="AV8" s="1" t="s">
        <v>930</v>
      </c>
      <c r="AW8" s="1" t="s">
        <v>857</v>
      </c>
      <c r="AX8" s="1" t="s">
        <v>164</v>
      </c>
      <c r="AY8" s="1" t="s">
        <v>931</v>
      </c>
      <c r="AZ8" s="1" t="s">
        <v>932</v>
      </c>
      <c r="BA8" s="1" t="s">
        <v>933</v>
      </c>
      <c r="BB8" s="1" t="s">
        <v>934</v>
      </c>
      <c r="BC8" s="1" t="s">
        <v>816</v>
      </c>
      <c r="BD8" s="1" t="s">
        <v>935</v>
      </c>
      <c r="BE8" s="1">
        <v>112.4</v>
      </c>
      <c r="BF8" s="1">
        <v>108</v>
      </c>
      <c r="BG8" s="1">
        <v>4.4000000000000004</v>
      </c>
      <c r="BH8" s="1" t="s">
        <v>774</v>
      </c>
      <c r="BI8" s="1" t="s">
        <v>820</v>
      </c>
      <c r="BJ8" s="1" t="s">
        <v>817</v>
      </c>
      <c r="BK8" s="1" t="s">
        <v>793</v>
      </c>
      <c r="BL8" s="1" t="s">
        <v>936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937</v>
      </c>
      <c r="CA8" s="1" t="s">
        <v>270</v>
      </c>
      <c r="CB8" s="1" t="s">
        <v>884</v>
      </c>
      <c r="CC8" s="1" t="s">
        <v>938</v>
      </c>
    </row>
    <row r="9" spans="1:81" x14ac:dyDescent="0.25">
      <c r="A9" s="1" t="s">
        <v>145</v>
      </c>
      <c r="B9" s="1" t="s">
        <v>773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905</v>
      </c>
      <c r="H9" s="1">
        <v>4</v>
      </c>
      <c r="I9" s="1" t="s">
        <v>906</v>
      </c>
      <c r="J9" s="1" t="s">
        <v>231</v>
      </c>
      <c r="K9" s="1" t="s">
        <v>907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888</v>
      </c>
      <c r="R9" s="1" t="s">
        <v>871</v>
      </c>
      <c r="S9" s="1" t="s">
        <v>908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909</v>
      </c>
      <c r="Y9" s="1" t="s">
        <v>910</v>
      </c>
      <c r="Z9" s="1">
        <v>10</v>
      </c>
      <c r="AA9" s="1" t="s">
        <v>806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911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912</v>
      </c>
      <c r="AT9" s="1" t="s">
        <v>913</v>
      </c>
      <c r="AU9" s="1" t="s">
        <v>157</v>
      </c>
      <c r="AV9" s="1" t="s">
        <v>914</v>
      </c>
      <c r="AW9" s="1" t="s">
        <v>915</v>
      </c>
      <c r="AX9" s="1" t="s">
        <v>190</v>
      </c>
      <c r="AY9" s="1" t="s">
        <v>858</v>
      </c>
      <c r="AZ9" s="1" t="s">
        <v>916</v>
      </c>
      <c r="BA9" s="1" t="s">
        <v>837</v>
      </c>
      <c r="BB9" s="1" t="s">
        <v>917</v>
      </c>
      <c r="BC9" s="1" t="s">
        <v>918</v>
      </c>
      <c r="BD9" s="1" t="s">
        <v>919</v>
      </c>
      <c r="BE9" s="1">
        <v>113.9</v>
      </c>
      <c r="BF9" s="1">
        <v>109.1</v>
      </c>
      <c r="BG9" s="1">
        <v>4.8</v>
      </c>
      <c r="BH9" s="1" t="s">
        <v>920</v>
      </c>
      <c r="BI9" s="1" t="s">
        <v>216</v>
      </c>
      <c r="BJ9" s="1" t="s">
        <v>266</v>
      </c>
      <c r="BK9" s="1" t="s">
        <v>296</v>
      </c>
      <c r="BL9" s="1" t="s">
        <v>905</v>
      </c>
      <c r="BM9" s="1" t="s">
        <v>921</v>
      </c>
      <c r="BN9" s="1" t="s">
        <v>842</v>
      </c>
      <c r="BO9" s="1" t="s">
        <v>820</v>
      </c>
      <c r="BP9" s="1" t="s">
        <v>291</v>
      </c>
      <c r="BQ9" s="1" t="s">
        <v>864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922</v>
      </c>
      <c r="BZ9" s="1" t="s">
        <v>844</v>
      </c>
      <c r="CA9" s="1" t="s">
        <v>233</v>
      </c>
      <c r="CB9" s="1" t="s">
        <v>923</v>
      </c>
      <c r="CC9" s="1" t="s">
        <v>924</v>
      </c>
    </row>
    <row r="10" spans="1:81" x14ac:dyDescent="0.25">
      <c r="A10" s="1" t="s">
        <v>145</v>
      </c>
      <c r="B10" s="1" t="s">
        <v>773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961</v>
      </c>
      <c r="H10" s="1">
        <v>5</v>
      </c>
      <c r="I10" s="1" t="s">
        <v>868</v>
      </c>
      <c r="J10" s="1" t="s">
        <v>219</v>
      </c>
      <c r="K10" s="1" t="s">
        <v>869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962</v>
      </c>
      <c r="R10" s="1" t="s">
        <v>910</v>
      </c>
      <c r="S10" s="1" t="s">
        <v>889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963</v>
      </c>
      <c r="Z10" s="1">
        <v>8</v>
      </c>
      <c r="AA10" s="1" t="s">
        <v>891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891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964</v>
      </c>
      <c r="AT10" s="1" t="s">
        <v>965</v>
      </c>
      <c r="AU10" s="1" t="s">
        <v>185</v>
      </c>
      <c r="AV10" s="1" t="s">
        <v>966</v>
      </c>
      <c r="AW10" s="1" t="s">
        <v>967</v>
      </c>
      <c r="AX10" s="1" t="s">
        <v>157</v>
      </c>
      <c r="AY10" s="1" t="s">
        <v>968</v>
      </c>
      <c r="AZ10" s="1" t="s">
        <v>969</v>
      </c>
      <c r="BA10" s="1" t="s">
        <v>970</v>
      </c>
      <c r="BB10" s="1" t="s">
        <v>971</v>
      </c>
      <c r="BC10" s="1" t="s">
        <v>928</v>
      </c>
      <c r="BD10" s="1" t="s">
        <v>972</v>
      </c>
      <c r="BE10" s="1">
        <v>111.7</v>
      </c>
      <c r="BF10" s="1">
        <v>106.5</v>
      </c>
      <c r="BG10" s="1">
        <v>5.3</v>
      </c>
      <c r="BH10" s="1" t="s">
        <v>819</v>
      </c>
      <c r="BI10" s="1" t="s">
        <v>266</v>
      </c>
      <c r="BJ10" s="1" t="s">
        <v>296</v>
      </c>
      <c r="BK10" s="1" t="s">
        <v>296</v>
      </c>
      <c r="BL10" s="1" t="s">
        <v>961</v>
      </c>
      <c r="BM10" s="1" t="s">
        <v>881</v>
      </c>
      <c r="BN10" s="1" t="s">
        <v>793</v>
      </c>
      <c r="BO10" s="1" t="s">
        <v>795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973</v>
      </c>
      <c r="CA10" s="1" t="s">
        <v>326</v>
      </c>
      <c r="CB10" s="1" t="s">
        <v>974</v>
      </c>
      <c r="CC10" s="1" t="s">
        <v>975</v>
      </c>
    </row>
    <row r="11" spans="1:81" x14ac:dyDescent="0.25">
      <c r="A11" s="1" t="s">
        <v>145</v>
      </c>
      <c r="B11" s="1" t="s">
        <v>773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939</v>
      </c>
      <c r="H11" s="1">
        <v>5</v>
      </c>
      <c r="I11" s="1" t="s">
        <v>868</v>
      </c>
      <c r="J11" s="1" t="s">
        <v>181</v>
      </c>
      <c r="K11" s="1" t="s">
        <v>940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941</v>
      </c>
      <c r="R11" s="1" t="s">
        <v>910</v>
      </c>
      <c r="S11" s="1" t="s">
        <v>942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943</v>
      </c>
      <c r="Z11" s="1">
        <v>5</v>
      </c>
      <c r="AA11" s="1" t="s">
        <v>160</v>
      </c>
      <c r="AB11" s="1">
        <v>-10</v>
      </c>
      <c r="AC11" s="1" t="s">
        <v>944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945</v>
      </c>
      <c r="AT11" s="1" t="s">
        <v>946</v>
      </c>
      <c r="AU11" s="1" t="s">
        <v>190</v>
      </c>
      <c r="AV11" s="1" t="s">
        <v>947</v>
      </c>
      <c r="AW11" s="1" t="s">
        <v>948</v>
      </c>
      <c r="AX11" s="1" t="s">
        <v>157</v>
      </c>
      <c r="AY11" s="1" t="s">
        <v>949</v>
      </c>
      <c r="AZ11" s="1" t="s">
        <v>950</v>
      </c>
      <c r="BA11" s="1" t="s">
        <v>951</v>
      </c>
      <c r="BB11" s="1" t="s">
        <v>952</v>
      </c>
      <c r="BC11" s="1" t="s">
        <v>953</v>
      </c>
      <c r="BD11" s="1" t="s">
        <v>954</v>
      </c>
      <c r="BE11" s="1">
        <v>108</v>
      </c>
      <c r="BF11" s="1">
        <v>104.7</v>
      </c>
      <c r="BG11" s="1">
        <v>3.3</v>
      </c>
      <c r="BH11" s="1" t="s">
        <v>939</v>
      </c>
      <c r="BI11" s="1" t="s">
        <v>955</v>
      </c>
      <c r="BJ11" s="1" t="s">
        <v>956</v>
      </c>
      <c r="BK11" s="1" t="s">
        <v>817</v>
      </c>
      <c r="BL11" s="1" t="s">
        <v>957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958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959</v>
      </c>
      <c r="CC11" s="1" t="s">
        <v>960</v>
      </c>
    </row>
    <row r="12" spans="1:81" x14ac:dyDescent="0.25">
      <c r="A12" s="1" t="s">
        <v>145</v>
      </c>
      <c r="B12" s="1" t="s">
        <v>773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976</v>
      </c>
      <c r="H12" s="1">
        <v>6</v>
      </c>
      <c r="I12" s="1" t="s">
        <v>868</v>
      </c>
      <c r="J12" s="1" t="s">
        <v>219</v>
      </c>
      <c r="K12" s="1" t="s">
        <v>977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925</v>
      </c>
      <c r="R12" s="1" t="s">
        <v>779</v>
      </c>
      <c r="S12" s="1" t="s">
        <v>908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978</v>
      </c>
      <c r="Y12" s="1" t="s">
        <v>979</v>
      </c>
      <c r="Z12" s="1">
        <v>7</v>
      </c>
      <c r="AA12" s="1" t="s">
        <v>911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980</v>
      </c>
      <c r="AT12" s="1" t="s">
        <v>981</v>
      </c>
      <c r="AU12" s="1" t="s">
        <v>186</v>
      </c>
      <c r="AV12" s="1" t="s">
        <v>982</v>
      </c>
      <c r="AW12" s="1" t="s">
        <v>983</v>
      </c>
      <c r="AX12" s="1" t="s">
        <v>157</v>
      </c>
      <c r="AY12" s="1" t="s">
        <v>984</v>
      </c>
      <c r="AZ12" s="1" t="s">
        <v>985</v>
      </c>
      <c r="BA12" s="1" t="s">
        <v>986</v>
      </c>
      <c r="BB12" s="1" t="s">
        <v>987</v>
      </c>
      <c r="BC12" s="1" t="s">
        <v>910</v>
      </c>
      <c r="BD12" s="1" t="s">
        <v>988</v>
      </c>
      <c r="BE12" s="1">
        <v>114.5</v>
      </c>
      <c r="BF12" s="1">
        <v>111.1</v>
      </c>
      <c r="BG12" s="1">
        <v>3.4</v>
      </c>
      <c r="BH12" s="1" t="s">
        <v>920</v>
      </c>
      <c r="BI12" s="1" t="s">
        <v>266</v>
      </c>
      <c r="BJ12" s="1" t="s">
        <v>216</v>
      </c>
      <c r="BK12" s="1" t="s">
        <v>296</v>
      </c>
      <c r="BL12" s="1" t="s">
        <v>976</v>
      </c>
      <c r="BM12" s="1" t="s">
        <v>989</v>
      </c>
      <c r="BN12" s="1" t="s">
        <v>795</v>
      </c>
      <c r="BO12" s="1" t="s">
        <v>955</v>
      </c>
      <c r="BP12" s="1" t="s">
        <v>270</v>
      </c>
      <c r="BQ12" s="1" t="s">
        <v>286</v>
      </c>
      <c r="BR12" s="1" t="s">
        <v>410</v>
      </c>
      <c r="BS12" s="1" t="s">
        <v>990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844</v>
      </c>
      <c r="CB12" s="1" t="s">
        <v>991</v>
      </c>
      <c r="CC12" s="1" t="s">
        <v>992</v>
      </c>
    </row>
    <row r="13" spans="1:81" x14ac:dyDescent="0.25">
      <c r="A13" s="1" t="s">
        <v>145</v>
      </c>
      <c r="B13" s="1" t="s">
        <v>773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886</v>
      </c>
      <c r="H13" s="1">
        <v>6</v>
      </c>
      <c r="I13" s="1" t="s">
        <v>868</v>
      </c>
      <c r="J13" s="1" t="s">
        <v>203</v>
      </c>
      <c r="K13" s="1" t="s">
        <v>869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993</v>
      </c>
      <c r="R13" s="1" t="s">
        <v>994</v>
      </c>
      <c r="S13" s="1" t="s">
        <v>942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995</v>
      </c>
      <c r="Y13" s="1" t="s">
        <v>996</v>
      </c>
      <c r="Z13" s="1">
        <v>9</v>
      </c>
      <c r="AA13" s="1" t="s">
        <v>997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890</v>
      </c>
      <c r="AT13" s="1" t="s">
        <v>998</v>
      </c>
      <c r="AU13" s="1" t="s">
        <v>273</v>
      </c>
      <c r="AV13" s="1" t="s">
        <v>999</v>
      </c>
      <c r="AW13" s="1" t="s">
        <v>1000</v>
      </c>
      <c r="AX13" s="1" t="s">
        <v>224</v>
      </c>
      <c r="AY13" s="1" t="s">
        <v>1001</v>
      </c>
      <c r="AZ13" s="1" t="s">
        <v>1002</v>
      </c>
      <c r="BA13" s="1" t="s">
        <v>1003</v>
      </c>
      <c r="BB13" s="1" t="s">
        <v>1004</v>
      </c>
      <c r="BC13" s="1" t="s">
        <v>863</v>
      </c>
      <c r="BD13" s="1" t="s">
        <v>1005</v>
      </c>
      <c r="BE13" s="1">
        <v>112.2</v>
      </c>
      <c r="BF13" s="1">
        <v>112.3</v>
      </c>
      <c r="BG13" s="1">
        <v>-0.1</v>
      </c>
      <c r="BH13" s="1" t="s">
        <v>886</v>
      </c>
      <c r="BI13" s="1" t="s">
        <v>881</v>
      </c>
      <c r="BJ13" s="1" t="s">
        <v>795</v>
      </c>
      <c r="BK13" s="1" t="s">
        <v>882</v>
      </c>
      <c r="BL13" s="1" t="s">
        <v>1006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844</v>
      </c>
      <c r="CB13" s="1" t="s">
        <v>1007</v>
      </c>
      <c r="CC13" s="1" t="s">
        <v>1008</v>
      </c>
    </row>
    <row r="14" spans="1:81" x14ac:dyDescent="0.25">
      <c r="A14" s="1" t="s">
        <v>145</v>
      </c>
      <c r="B14" s="1" t="s">
        <v>773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961</v>
      </c>
      <c r="H14" s="1">
        <v>7</v>
      </c>
      <c r="I14" s="1" t="s">
        <v>868</v>
      </c>
      <c r="J14" s="1" t="s">
        <v>231</v>
      </c>
      <c r="K14" s="1" t="s">
        <v>907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941</v>
      </c>
      <c r="R14" s="1" t="s">
        <v>827</v>
      </c>
      <c r="S14" s="1" t="s">
        <v>1022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1023</v>
      </c>
      <c r="Y14" s="1" t="s">
        <v>1010</v>
      </c>
      <c r="Z14" s="1">
        <v>11</v>
      </c>
      <c r="AA14" s="1" t="s">
        <v>781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1024</v>
      </c>
      <c r="AT14" s="1" t="s">
        <v>1025</v>
      </c>
      <c r="AU14" s="1" t="s">
        <v>163</v>
      </c>
      <c r="AV14" s="1" t="s">
        <v>1026</v>
      </c>
      <c r="AW14" s="1" t="s">
        <v>1025</v>
      </c>
      <c r="AX14" s="1" t="s">
        <v>164</v>
      </c>
      <c r="AY14" s="1" t="s">
        <v>1027</v>
      </c>
      <c r="AZ14" s="1" t="s">
        <v>1028</v>
      </c>
      <c r="BA14" s="1" t="s">
        <v>1012</v>
      </c>
      <c r="BB14" s="1" t="s">
        <v>782</v>
      </c>
      <c r="BC14" s="1" t="s">
        <v>1029</v>
      </c>
      <c r="BD14" s="1" t="s">
        <v>1030</v>
      </c>
      <c r="BE14" s="1">
        <v>111.7</v>
      </c>
      <c r="BF14" s="1">
        <v>110</v>
      </c>
      <c r="BG14" s="1">
        <v>1.7</v>
      </c>
      <c r="BH14" s="1" t="s">
        <v>1031</v>
      </c>
      <c r="BI14" s="1" t="s">
        <v>266</v>
      </c>
      <c r="BJ14" s="1" t="s">
        <v>296</v>
      </c>
      <c r="BK14" s="1" t="s">
        <v>276</v>
      </c>
      <c r="BL14" s="1" t="s">
        <v>961</v>
      </c>
      <c r="BM14" s="1" t="s">
        <v>795</v>
      </c>
      <c r="BN14" s="1" t="s">
        <v>795</v>
      </c>
      <c r="BO14" s="1" t="s">
        <v>820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956</v>
      </c>
      <c r="CB14" s="1" t="s">
        <v>1032</v>
      </c>
      <c r="CC14" s="1" t="s">
        <v>846</v>
      </c>
    </row>
    <row r="15" spans="1:81" x14ac:dyDescent="0.25">
      <c r="A15" s="1" t="s">
        <v>145</v>
      </c>
      <c r="B15" s="1" t="s">
        <v>773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961</v>
      </c>
      <c r="H15" s="1">
        <v>7</v>
      </c>
      <c r="I15" s="1" t="s">
        <v>1009</v>
      </c>
      <c r="J15" s="1" t="s">
        <v>244</v>
      </c>
      <c r="K15" s="1" t="s">
        <v>907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993</v>
      </c>
      <c r="R15" s="1" t="s">
        <v>1010</v>
      </c>
      <c r="S15" s="1" t="s">
        <v>1011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1012</v>
      </c>
      <c r="Z15" s="1">
        <v>9</v>
      </c>
      <c r="AA15" s="1" t="s">
        <v>997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997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778</v>
      </c>
      <c r="AT15" s="1" t="s">
        <v>1013</v>
      </c>
      <c r="AU15" s="1" t="s">
        <v>164</v>
      </c>
      <c r="AV15" s="1" t="s">
        <v>1014</v>
      </c>
      <c r="AW15" s="1" t="s">
        <v>1015</v>
      </c>
      <c r="AX15" s="1" t="s">
        <v>185</v>
      </c>
      <c r="AY15" s="1" t="s">
        <v>1016</v>
      </c>
      <c r="AZ15" s="1" t="s">
        <v>1017</v>
      </c>
      <c r="BA15" s="1" t="s">
        <v>1018</v>
      </c>
      <c r="BB15" s="1" t="s">
        <v>1014</v>
      </c>
      <c r="BC15" s="1" t="s">
        <v>926</v>
      </c>
      <c r="BD15" s="1" t="s">
        <v>927</v>
      </c>
      <c r="BE15" s="1">
        <v>107.3</v>
      </c>
      <c r="BF15" s="1">
        <v>106.6</v>
      </c>
      <c r="BG15" s="1">
        <v>0.7</v>
      </c>
      <c r="BH15" s="1" t="s">
        <v>961</v>
      </c>
      <c r="BI15" s="1" t="s">
        <v>882</v>
      </c>
      <c r="BJ15" s="1" t="s">
        <v>955</v>
      </c>
      <c r="BK15" s="1" t="s">
        <v>820</v>
      </c>
      <c r="BL15" s="1" t="s">
        <v>1019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989</v>
      </c>
      <c r="CA15" s="1" t="s">
        <v>1020</v>
      </c>
      <c r="CB15" s="1" t="s">
        <v>1021</v>
      </c>
      <c r="CC15" s="1" t="s">
        <v>846</v>
      </c>
    </row>
    <row r="16" spans="1:81" x14ac:dyDescent="0.25">
      <c r="A16" s="1" t="s">
        <v>145</v>
      </c>
      <c r="B16" s="1" t="s">
        <v>773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976</v>
      </c>
      <c r="H16" s="1">
        <v>8</v>
      </c>
      <c r="I16" s="1" t="s">
        <v>868</v>
      </c>
      <c r="J16" s="1" t="s">
        <v>152</v>
      </c>
      <c r="K16" s="1" t="s">
        <v>940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941</v>
      </c>
      <c r="R16" s="1" t="s">
        <v>828</v>
      </c>
      <c r="S16" s="1" t="s">
        <v>908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994</v>
      </c>
      <c r="Z16" s="1">
        <v>9</v>
      </c>
      <c r="AA16" s="1" t="s">
        <v>997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1014</v>
      </c>
      <c r="AT16" s="1" t="s">
        <v>1048</v>
      </c>
      <c r="AU16" s="1" t="s">
        <v>260</v>
      </c>
      <c r="AV16" s="1" t="s">
        <v>1049</v>
      </c>
      <c r="AW16" s="1" t="s">
        <v>1050</v>
      </c>
      <c r="AX16" s="1" t="s">
        <v>190</v>
      </c>
      <c r="AY16" s="1" t="s">
        <v>1051</v>
      </c>
      <c r="AZ16" s="1" t="s">
        <v>1052</v>
      </c>
      <c r="BA16" s="1" t="s">
        <v>1053</v>
      </c>
      <c r="BB16" s="1" t="s">
        <v>1054</v>
      </c>
      <c r="BC16" s="1" t="s">
        <v>1055</v>
      </c>
      <c r="BD16" s="1" t="s">
        <v>1056</v>
      </c>
      <c r="BE16" s="1">
        <v>115.1</v>
      </c>
      <c r="BF16" s="1">
        <v>114.3</v>
      </c>
      <c r="BG16" s="1">
        <v>0.9</v>
      </c>
      <c r="BH16" s="1" t="s">
        <v>819</v>
      </c>
      <c r="BI16" s="1" t="s">
        <v>266</v>
      </c>
      <c r="BJ16" s="1" t="s">
        <v>296</v>
      </c>
      <c r="BK16" s="1" t="s">
        <v>296</v>
      </c>
      <c r="BL16" s="1" t="s">
        <v>976</v>
      </c>
      <c r="BM16" s="1" t="s">
        <v>1057</v>
      </c>
      <c r="BN16" s="1" t="s">
        <v>956</v>
      </c>
      <c r="BO16" s="1" t="s">
        <v>795</v>
      </c>
      <c r="BP16" s="1" t="s">
        <v>973</v>
      </c>
      <c r="BQ16" s="1" t="s">
        <v>286</v>
      </c>
      <c r="BR16" s="1" t="s">
        <v>1058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1059</v>
      </c>
      <c r="CC16" s="1" t="s">
        <v>1060</v>
      </c>
    </row>
    <row r="17" spans="1:81" x14ac:dyDescent="0.25">
      <c r="A17" s="1" t="s">
        <v>145</v>
      </c>
      <c r="B17" s="1" t="s">
        <v>773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1033</v>
      </c>
      <c r="H17" s="1">
        <v>8</v>
      </c>
      <c r="I17" s="1" t="s">
        <v>868</v>
      </c>
      <c r="J17" s="1" t="s">
        <v>181</v>
      </c>
      <c r="K17" s="1" t="s">
        <v>869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1034</v>
      </c>
      <c r="R17" s="1" t="s">
        <v>828</v>
      </c>
      <c r="S17" s="1" t="s">
        <v>1035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1036</v>
      </c>
      <c r="Z17" s="1">
        <v>11</v>
      </c>
      <c r="AA17" s="1" t="s">
        <v>781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1037</v>
      </c>
      <c r="AT17" s="1" t="s">
        <v>1038</v>
      </c>
      <c r="AU17" s="1" t="s">
        <v>186</v>
      </c>
      <c r="AV17" s="1" t="s">
        <v>890</v>
      </c>
      <c r="AW17" s="1" t="s">
        <v>1039</v>
      </c>
      <c r="AX17" s="1" t="s">
        <v>161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107</v>
      </c>
      <c r="BF17" s="1">
        <v>107.3</v>
      </c>
      <c r="BG17" s="1">
        <v>-0.2</v>
      </c>
      <c r="BH17" s="1" t="s">
        <v>1033</v>
      </c>
      <c r="BI17" s="1" t="s">
        <v>795</v>
      </c>
      <c r="BJ17" s="1" t="s">
        <v>881</v>
      </c>
      <c r="BK17" s="1" t="s">
        <v>955</v>
      </c>
      <c r="BL17" s="1" t="s">
        <v>936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820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864</v>
      </c>
      <c r="CA17" s="1" t="s">
        <v>397</v>
      </c>
      <c r="CB17" s="1" t="s">
        <v>1046</v>
      </c>
      <c r="CC17" s="1" t="s">
        <v>1047</v>
      </c>
    </row>
    <row r="18" spans="1:81" x14ac:dyDescent="0.25">
      <c r="A18" s="1" t="s">
        <v>145</v>
      </c>
      <c r="B18" s="1" t="s">
        <v>773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1074</v>
      </c>
      <c r="H18" s="1">
        <v>9</v>
      </c>
      <c r="I18" s="1" t="s">
        <v>1061</v>
      </c>
      <c r="J18" s="1" t="s">
        <v>152</v>
      </c>
      <c r="K18" s="1" t="s">
        <v>1075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1062</v>
      </c>
      <c r="R18" s="1" t="s">
        <v>1076</v>
      </c>
      <c r="S18" s="1" t="s">
        <v>1035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978</v>
      </c>
      <c r="Y18" s="1" t="s">
        <v>1077</v>
      </c>
      <c r="Z18" s="1">
        <v>7</v>
      </c>
      <c r="AA18" s="1" t="s">
        <v>911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1078</v>
      </c>
      <c r="AT18" s="1" t="s">
        <v>1079</v>
      </c>
      <c r="AU18" s="1" t="s">
        <v>260</v>
      </c>
      <c r="AV18" s="1" t="s">
        <v>1080</v>
      </c>
      <c r="AW18" s="1" t="s">
        <v>1081</v>
      </c>
      <c r="AX18" s="1" t="s">
        <v>339</v>
      </c>
      <c r="AY18" s="1" t="s">
        <v>1082</v>
      </c>
      <c r="AZ18" s="1" t="s">
        <v>1083</v>
      </c>
      <c r="BA18" s="1" t="s">
        <v>1084</v>
      </c>
      <c r="BB18" s="1" t="s">
        <v>1085</v>
      </c>
      <c r="BC18" s="1" t="s">
        <v>1056</v>
      </c>
      <c r="BD18" s="1" t="s">
        <v>1086</v>
      </c>
      <c r="BE18" s="1">
        <v>114.2</v>
      </c>
      <c r="BF18" s="1">
        <v>115.3</v>
      </c>
      <c r="BG18" s="1">
        <v>-1.1000000000000001</v>
      </c>
      <c r="BH18" s="1" t="s">
        <v>1031</v>
      </c>
      <c r="BI18" s="1" t="s">
        <v>398</v>
      </c>
      <c r="BJ18" s="1" t="s">
        <v>296</v>
      </c>
      <c r="BK18" s="1" t="s">
        <v>216</v>
      </c>
      <c r="BL18" s="1" t="s">
        <v>1074</v>
      </c>
      <c r="BM18" s="1" t="s">
        <v>1057</v>
      </c>
      <c r="BN18" s="1" t="s">
        <v>1087</v>
      </c>
      <c r="BO18" s="1" t="s">
        <v>795</v>
      </c>
      <c r="BP18" s="1" t="s">
        <v>937</v>
      </c>
      <c r="BQ18" s="1" t="s">
        <v>276</v>
      </c>
      <c r="BR18" s="1" t="s">
        <v>973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1020</v>
      </c>
      <c r="CA18" s="1" t="s">
        <v>844</v>
      </c>
      <c r="CB18" s="1" t="s">
        <v>1088</v>
      </c>
      <c r="CC18" s="1" t="s">
        <v>1089</v>
      </c>
    </row>
    <row r="19" spans="1:81" x14ac:dyDescent="0.25">
      <c r="A19" s="1" t="s">
        <v>145</v>
      </c>
      <c r="B19" s="1" t="s">
        <v>773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886</v>
      </c>
      <c r="H19" s="1">
        <v>9</v>
      </c>
      <c r="I19" s="1" t="s">
        <v>1061</v>
      </c>
      <c r="J19" s="1" t="s">
        <v>244</v>
      </c>
      <c r="K19" s="1" t="s">
        <v>907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1062</v>
      </c>
      <c r="R19" s="1" t="s">
        <v>1010</v>
      </c>
      <c r="S19" s="1" t="s">
        <v>1063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887</v>
      </c>
      <c r="Y19" s="1" t="s">
        <v>889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1064</v>
      </c>
      <c r="AT19" s="1" t="s">
        <v>1065</v>
      </c>
      <c r="AU19" s="1" t="s">
        <v>190</v>
      </c>
      <c r="AV19" s="1" t="s">
        <v>804</v>
      </c>
      <c r="AW19" s="1" t="s">
        <v>1066</v>
      </c>
      <c r="AX19" s="1" t="s">
        <v>186</v>
      </c>
      <c r="AY19" s="1" t="s">
        <v>1067</v>
      </c>
      <c r="AZ19" s="1" t="s">
        <v>1068</v>
      </c>
      <c r="BA19" s="1" t="s">
        <v>981</v>
      </c>
      <c r="BB19" s="1" t="s">
        <v>1069</v>
      </c>
      <c r="BC19" s="1" t="s">
        <v>1070</v>
      </c>
      <c r="BD19" s="1" t="s">
        <v>1071</v>
      </c>
      <c r="BE19" s="1">
        <v>110.7</v>
      </c>
      <c r="BF19" s="1">
        <v>111.8</v>
      </c>
      <c r="BG19" s="1">
        <v>-1.1000000000000001</v>
      </c>
      <c r="BH19" s="1" t="s">
        <v>886</v>
      </c>
      <c r="BI19" s="1" t="s">
        <v>921</v>
      </c>
      <c r="BJ19" s="1" t="s">
        <v>882</v>
      </c>
      <c r="BK19" s="1" t="s">
        <v>820</v>
      </c>
      <c r="BL19" s="1" t="s">
        <v>1072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937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1073</v>
      </c>
      <c r="CC19" s="1" t="s">
        <v>992</v>
      </c>
    </row>
    <row r="20" spans="1:81" x14ac:dyDescent="0.25">
      <c r="A20" s="1" t="s">
        <v>145</v>
      </c>
      <c r="B20" s="1" t="s">
        <v>773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1104</v>
      </c>
      <c r="H20" s="1">
        <v>10</v>
      </c>
      <c r="I20" s="1" t="s">
        <v>1061</v>
      </c>
      <c r="J20" s="1" t="s">
        <v>244</v>
      </c>
      <c r="K20" s="1" t="s">
        <v>1105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1062</v>
      </c>
      <c r="R20" s="1" t="s">
        <v>942</v>
      </c>
      <c r="S20" s="1" t="s">
        <v>851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1106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943</v>
      </c>
      <c r="AT20" s="1" t="s">
        <v>1107</v>
      </c>
      <c r="AU20" s="1" t="s">
        <v>234</v>
      </c>
      <c r="AV20" s="1" t="s">
        <v>1108</v>
      </c>
      <c r="AW20" s="1" t="s">
        <v>1109</v>
      </c>
      <c r="AX20" s="1" t="s">
        <v>260</v>
      </c>
      <c r="AY20" s="1" t="s">
        <v>1110</v>
      </c>
      <c r="AZ20" s="1" t="s">
        <v>1111</v>
      </c>
      <c r="BA20" s="1" t="s">
        <v>1112</v>
      </c>
      <c r="BB20" s="1" t="s">
        <v>1113</v>
      </c>
      <c r="BC20" s="1" t="s">
        <v>1114</v>
      </c>
      <c r="BD20" s="1" t="s">
        <v>1115</v>
      </c>
      <c r="BE20" s="1">
        <v>105.7</v>
      </c>
      <c r="BF20" s="1">
        <v>105.9</v>
      </c>
      <c r="BG20" s="1">
        <v>-0.2</v>
      </c>
      <c r="BH20" s="1" t="s">
        <v>1104</v>
      </c>
      <c r="BI20" s="1" t="s">
        <v>1057</v>
      </c>
      <c r="BJ20" s="1" t="s">
        <v>955</v>
      </c>
      <c r="BK20" s="1" t="s">
        <v>973</v>
      </c>
      <c r="BL20" s="1" t="s">
        <v>1116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1117</v>
      </c>
      <c r="BR20" s="1" t="s">
        <v>233</v>
      </c>
      <c r="BS20" s="1" t="s">
        <v>922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1046</v>
      </c>
      <c r="CC20" s="1" t="s">
        <v>1118</v>
      </c>
    </row>
    <row r="21" spans="1:81" x14ac:dyDescent="0.25">
      <c r="A21" s="1" t="s">
        <v>145</v>
      </c>
      <c r="B21" s="1" t="s">
        <v>773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1090</v>
      </c>
      <c r="H21" s="1">
        <v>10</v>
      </c>
      <c r="I21" s="1" t="s">
        <v>1061</v>
      </c>
      <c r="J21" s="1" t="s">
        <v>152</v>
      </c>
      <c r="K21" s="1" t="s">
        <v>977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1091</v>
      </c>
      <c r="R21" s="1" t="s">
        <v>908</v>
      </c>
      <c r="S21" s="1" t="s">
        <v>1035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1022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1092</v>
      </c>
      <c r="AT21" s="1" t="s">
        <v>1093</v>
      </c>
      <c r="AU21" s="1" t="s">
        <v>157</v>
      </c>
      <c r="AV21" s="1" t="s">
        <v>1094</v>
      </c>
      <c r="AW21" s="1" t="s">
        <v>1095</v>
      </c>
      <c r="AX21" s="1" t="s">
        <v>157</v>
      </c>
      <c r="AY21" s="1" t="s">
        <v>1096</v>
      </c>
      <c r="AZ21" s="1" t="s">
        <v>1097</v>
      </c>
      <c r="BA21" s="1" t="s">
        <v>1098</v>
      </c>
      <c r="BB21" s="1" t="s">
        <v>1099</v>
      </c>
      <c r="BC21" s="1" t="s">
        <v>1100</v>
      </c>
      <c r="BD21" s="1" t="s">
        <v>1101</v>
      </c>
      <c r="BE21" s="1">
        <v>111.8</v>
      </c>
      <c r="BF21" s="1">
        <v>113.5</v>
      </c>
      <c r="BG21" s="1">
        <v>-1.7</v>
      </c>
      <c r="BH21" s="1" t="s">
        <v>1019</v>
      </c>
      <c r="BI21" s="1" t="s">
        <v>1102</v>
      </c>
      <c r="BJ21" s="1" t="s">
        <v>276</v>
      </c>
      <c r="BK21" s="1" t="s">
        <v>266</v>
      </c>
      <c r="BL21" s="1" t="s">
        <v>1090</v>
      </c>
      <c r="BM21" s="1" t="s">
        <v>1057</v>
      </c>
      <c r="BN21" s="1" t="s">
        <v>989</v>
      </c>
      <c r="BO21" s="1" t="s">
        <v>955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1103</v>
      </c>
      <c r="CC21" s="1" t="s">
        <v>1089</v>
      </c>
    </row>
    <row r="22" spans="1:81" x14ac:dyDescent="0.25">
      <c r="A22" s="1" t="s">
        <v>145</v>
      </c>
      <c r="B22" s="1" t="s">
        <v>773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1137</v>
      </c>
      <c r="H22" s="1">
        <v>11</v>
      </c>
      <c r="I22" s="1" t="s">
        <v>1061</v>
      </c>
      <c r="J22" s="1" t="s">
        <v>219</v>
      </c>
      <c r="K22" s="1" t="s">
        <v>1138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1139</v>
      </c>
      <c r="R22" s="1" t="s">
        <v>1010</v>
      </c>
      <c r="S22" s="1" t="s">
        <v>1140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942</v>
      </c>
      <c r="Z22" s="1">
        <v>6</v>
      </c>
      <c r="AA22" s="1" t="s">
        <v>188</v>
      </c>
      <c r="AB22" s="1">
        <v>-9</v>
      </c>
      <c r="AC22" s="1" t="s">
        <v>1141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1142</v>
      </c>
      <c r="AT22" s="1" t="s">
        <v>1143</v>
      </c>
      <c r="AU22" s="1" t="s">
        <v>226</v>
      </c>
      <c r="AV22" s="1" t="s">
        <v>1144</v>
      </c>
      <c r="AW22" s="1" t="s">
        <v>1145</v>
      </c>
      <c r="AX22" s="1" t="s">
        <v>260</v>
      </c>
      <c r="AY22" s="1" t="s">
        <v>1146</v>
      </c>
      <c r="AZ22" s="1" t="s">
        <v>1147</v>
      </c>
      <c r="BA22" s="1" t="s">
        <v>1148</v>
      </c>
      <c r="BB22" s="1" t="s">
        <v>1149</v>
      </c>
      <c r="BC22" s="1" t="s">
        <v>1150</v>
      </c>
      <c r="BD22" s="1" t="s">
        <v>1151</v>
      </c>
      <c r="BE22" s="1">
        <v>112.5</v>
      </c>
      <c r="BF22" s="1">
        <v>114</v>
      </c>
      <c r="BG22" s="1">
        <v>-1.5</v>
      </c>
      <c r="BH22" s="1" t="s">
        <v>936</v>
      </c>
      <c r="BI22" s="1" t="s">
        <v>323</v>
      </c>
      <c r="BJ22" s="1" t="s">
        <v>276</v>
      </c>
      <c r="BK22" s="1" t="s">
        <v>276</v>
      </c>
      <c r="BL22" s="1" t="s">
        <v>1137</v>
      </c>
      <c r="BM22" s="1" t="s">
        <v>386</v>
      </c>
      <c r="BN22" s="1" t="s">
        <v>955</v>
      </c>
      <c r="BO22" s="1" t="s">
        <v>921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1073</v>
      </c>
      <c r="CC22" s="1" t="s">
        <v>1089</v>
      </c>
    </row>
    <row r="23" spans="1:81" x14ac:dyDescent="0.25">
      <c r="A23" s="1" t="s">
        <v>145</v>
      </c>
      <c r="B23" s="1" t="s">
        <v>773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1119</v>
      </c>
      <c r="H23" s="1">
        <v>11</v>
      </c>
      <c r="I23" s="1" t="s">
        <v>1061</v>
      </c>
      <c r="J23" s="1" t="s">
        <v>244</v>
      </c>
      <c r="K23" s="1" t="s">
        <v>1105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1120</v>
      </c>
      <c r="R23" s="1" t="s">
        <v>908</v>
      </c>
      <c r="S23" s="1" t="s">
        <v>1015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1121</v>
      </c>
      <c r="Z23" s="1">
        <v>-6</v>
      </c>
      <c r="AA23" s="1" t="s">
        <v>367</v>
      </c>
      <c r="AB23" s="1">
        <v>-8</v>
      </c>
      <c r="AC23" s="1" t="s">
        <v>1122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1123</v>
      </c>
      <c r="AT23" s="1" t="s">
        <v>1124</v>
      </c>
      <c r="AU23" s="1" t="s">
        <v>158</v>
      </c>
      <c r="AV23" s="1" t="s">
        <v>1125</v>
      </c>
      <c r="AW23" s="1" t="s">
        <v>1126</v>
      </c>
      <c r="AX23" s="1" t="s">
        <v>190</v>
      </c>
      <c r="AY23" s="1" t="s">
        <v>1127</v>
      </c>
      <c r="AZ23" s="1" t="s">
        <v>1128</v>
      </c>
      <c r="BA23" s="1" t="s">
        <v>1129</v>
      </c>
      <c r="BB23" s="1" t="s">
        <v>1130</v>
      </c>
      <c r="BC23" s="1" t="s">
        <v>1131</v>
      </c>
      <c r="BD23" s="1" t="s">
        <v>1104</v>
      </c>
      <c r="BE23" s="1">
        <v>114</v>
      </c>
      <c r="BF23" s="1">
        <v>116.9</v>
      </c>
      <c r="BG23" s="1">
        <v>-2.9</v>
      </c>
      <c r="BH23" s="1" t="s">
        <v>1119</v>
      </c>
      <c r="BI23" s="1" t="s">
        <v>1132</v>
      </c>
      <c r="BJ23" s="1" t="s">
        <v>1132</v>
      </c>
      <c r="BK23" s="1" t="s">
        <v>973</v>
      </c>
      <c r="BL23" s="1" t="s">
        <v>1006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1133</v>
      </c>
      <c r="BS23" s="1" t="s">
        <v>372</v>
      </c>
      <c r="BT23" s="1"/>
      <c r="BU23" s="1"/>
      <c r="BV23" s="1"/>
      <c r="BW23" s="1"/>
      <c r="BX23" s="1"/>
      <c r="BY23" s="1" t="s">
        <v>1134</v>
      </c>
      <c r="BZ23" s="1" t="s">
        <v>937</v>
      </c>
      <c r="CA23" s="1" t="s">
        <v>337</v>
      </c>
      <c r="CB23" s="1" t="s">
        <v>1135</v>
      </c>
      <c r="CC23" s="1" t="s">
        <v>1136</v>
      </c>
    </row>
    <row r="24" spans="1:81" x14ac:dyDescent="0.25">
      <c r="A24" s="1" t="s">
        <v>145</v>
      </c>
      <c r="B24" s="1" t="s">
        <v>773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1152</v>
      </c>
      <c r="H24" s="1">
        <v>12</v>
      </c>
      <c r="I24" s="1" t="s">
        <v>1061</v>
      </c>
      <c r="J24" s="1" t="s">
        <v>231</v>
      </c>
      <c r="K24" s="1" t="s">
        <v>869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1153</v>
      </c>
      <c r="R24" s="1" t="s">
        <v>889</v>
      </c>
      <c r="S24" s="1" t="s">
        <v>1154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1155</v>
      </c>
      <c r="Z24" s="1">
        <v>5</v>
      </c>
      <c r="AA24" s="1" t="s">
        <v>160</v>
      </c>
      <c r="AB24" s="1">
        <v>-9</v>
      </c>
      <c r="AC24" s="1" t="s">
        <v>1141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1156</v>
      </c>
      <c r="AT24" s="1" t="s">
        <v>1157</v>
      </c>
      <c r="AU24" s="1" t="s">
        <v>262</v>
      </c>
      <c r="AV24" s="1" t="s">
        <v>1158</v>
      </c>
      <c r="AW24" s="1" t="s">
        <v>1159</v>
      </c>
      <c r="AX24" s="1" t="s">
        <v>153</v>
      </c>
      <c r="AY24" s="1" t="s">
        <v>933</v>
      </c>
      <c r="AZ24" s="1" t="s">
        <v>1160</v>
      </c>
      <c r="BA24" s="1" t="s">
        <v>1112</v>
      </c>
      <c r="BB24" s="1" t="s">
        <v>1161</v>
      </c>
      <c r="BC24" s="1" t="s">
        <v>1162</v>
      </c>
      <c r="BD24" s="1" t="s">
        <v>1163</v>
      </c>
      <c r="BE24" s="1">
        <v>103.5</v>
      </c>
      <c r="BF24" s="1">
        <v>106.1</v>
      </c>
      <c r="BG24" s="1">
        <v>-2.6</v>
      </c>
      <c r="BH24" s="1" t="s">
        <v>1164</v>
      </c>
      <c r="BI24" s="1" t="s">
        <v>398</v>
      </c>
      <c r="BJ24" s="1" t="s">
        <v>398</v>
      </c>
      <c r="BK24" s="1" t="s">
        <v>398</v>
      </c>
      <c r="BL24" s="1" t="s">
        <v>1152</v>
      </c>
      <c r="BM24" s="1" t="s">
        <v>955</v>
      </c>
      <c r="BN24" s="1" t="s">
        <v>1057</v>
      </c>
      <c r="BO24" s="1" t="s">
        <v>881</v>
      </c>
      <c r="BP24" s="1" t="s">
        <v>1165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844</v>
      </c>
      <c r="CA24" s="1" t="s">
        <v>349</v>
      </c>
      <c r="CB24" s="1" t="s">
        <v>1166</v>
      </c>
      <c r="CC24" s="1" t="s">
        <v>1167</v>
      </c>
    </row>
    <row r="25" spans="1:81" x14ac:dyDescent="0.25">
      <c r="A25" s="1" t="s">
        <v>145</v>
      </c>
      <c r="B25" s="1" t="s">
        <v>773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1168</v>
      </c>
      <c r="H25" s="1">
        <v>12</v>
      </c>
      <c r="I25" s="1" t="s">
        <v>1061</v>
      </c>
      <c r="J25" s="1" t="s">
        <v>244</v>
      </c>
      <c r="K25" s="1" t="s">
        <v>887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1169</v>
      </c>
      <c r="R25" s="1" t="s">
        <v>1011</v>
      </c>
      <c r="S25" s="1" t="s">
        <v>1154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1170</v>
      </c>
      <c r="Y25" s="1" t="s">
        <v>1171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1172</v>
      </c>
      <c r="AT25" s="1" t="s">
        <v>1065</v>
      </c>
      <c r="AU25" s="1" t="s">
        <v>327</v>
      </c>
      <c r="AV25" s="1" t="s">
        <v>880</v>
      </c>
      <c r="AW25" s="1" t="s">
        <v>1173</v>
      </c>
      <c r="AX25" s="1" t="s">
        <v>153</v>
      </c>
      <c r="AY25" s="1" t="s">
        <v>1174</v>
      </c>
      <c r="AZ25" s="1" t="s">
        <v>1175</v>
      </c>
      <c r="BA25" s="1" t="s">
        <v>1176</v>
      </c>
      <c r="BB25" s="1" t="s">
        <v>1005</v>
      </c>
      <c r="BC25" s="1" t="s">
        <v>1177</v>
      </c>
      <c r="BD25" s="1" t="s">
        <v>1178</v>
      </c>
      <c r="BE25" s="1">
        <v>113.3</v>
      </c>
      <c r="BF25" s="1">
        <v>119.4</v>
      </c>
      <c r="BG25" s="1">
        <v>-6</v>
      </c>
      <c r="BH25" s="1" t="s">
        <v>1168</v>
      </c>
      <c r="BI25" s="1" t="s">
        <v>1179</v>
      </c>
      <c r="BJ25" s="1" t="s">
        <v>1132</v>
      </c>
      <c r="BK25" s="1" t="s">
        <v>410</v>
      </c>
      <c r="BL25" s="1" t="s">
        <v>1006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1180</v>
      </c>
      <c r="BR25" s="1" t="s">
        <v>937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1181</v>
      </c>
      <c r="CC25" s="1" t="s">
        <v>960</v>
      </c>
    </row>
    <row r="26" spans="1:81" x14ac:dyDescent="0.25">
      <c r="A26" s="1" t="s">
        <v>145</v>
      </c>
      <c r="B26" s="1" t="s">
        <v>773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1168</v>
      </c>
      <c r="H26" s="1">
        <v>13</v>
      </c>
      <c r="I26" s="1" t="s">
        <v>1061</v>
      </c>
      <c r="J26" s="1" t="s">
        <v>181</v>
      </c>
      <c r="K26" s="1" t="s">
        <v>1195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1196</v>
      </c>
      <c r="R26" s="1" t="s">
        <v>1065</v>
      </c>
      <c r="S26" s="1" t="s">
        <v>1197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869</v>
      </c>
      <c r="Y26" s="1" t="s">
        <v>1198</v>
      </c>
      <c r="Z26" s="1">
        <v>-11</v>
      </c>
      <c r="AA26" s="1" t="s">
        <v>1199</v>
      </c>
      <c r="AB26" s="1">
        <v>-9</v>
      </c>
      <c r="AC26" s="1" t="s">
        <v>1141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1200</v>
      </c>
      <c r="AT26" s="1" t="s">
        <v>1201</v>
      </c>
      <c r="AU26" s="1" t="s">
        <v>158</v>
      </c>
      <c r="AV26" s="1" t="s">
        <v>1202</v>
      </c>
      <c r="AW26" s="1" t="s">
        <v>1203</v>
      </c>
      <c r="AX26" s="1" t="s">
        <v>164</v>
      </c>
      <c r="AY26" s="1" t="s">
        <v>1204</v>
      </c>
      <c r="AZ26" s="1" t="s">
        <v>1205</v>
      </c>
      <c r="BA26" s="1" t="s">
        <v>1206</v>
      </c>
      <c r="BB26" s="1" t="s">
        <v>1207</v>
      </c>
      <c r="BC26" s="1" t="s">
        <v>885</v>
      </c>
      <c r="BD26" s="1" t="s">
        <v>1208</v>
      </c>
      <c r="BE26" s="1">
        <v>104.9</v>
      </c>
      <c r="BF26" s="1">
        <v>113.4</v>
      </c>
      <c r="BG26" s="1">
        <v>-8.4</v>
      </c>
      <c r="BH26" s="1" t="s">
        <v>1168</v>
      </c>
      <c r="BI26" s="1" t="s">
        <v>1179</v>
      </c>
      <c r="BJ26" s="1" t="s">
        <v>402</v>
      </c>
      <c r="BK26" s="1" t="s">
        <v>955</v>
      </c>
      <c r="BL26" s="1" t="s">
        <v>1209</v>
      </c>
      <c r="BM26" s="1" t="s">
        <v>1102</v>
      </c>
      <c r="BN26" s="1" t="s">
        <v>393</v>
      </c>
      <c r="BO26" s="1" t="s">
        <v>398</v>
      </c>
      <c r="BP26" s="1" t="s">
        <v>1210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1211</v>
      </c>
      <c r="BZ26" s="1" t="s">
        <v>1212</v>
      </c>
      <c r="CA26" s="1" t="s">
        <v>363</v>
      </c>
      <c r="CB26" s="1" t="s">
        <v>1213</v>
      </c>
      <c r="CC26" s="1" t="s">
        <v>1136</v>
      </c>
    </row>
    <row r="27" spans="1:81" x14ac:dyDescent="0.25">
      <c r="A27" s="1" t="s">
        <v>145</v>
      </c>
      <c r="B27" s="1" t="s">
        <v>773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1104</v>
      </c>
      <c r="H27" s="1">
        <v>13</v>
      </c>
      <c r="I27" s="1" t="s">
        <v>1061</v>
      </c>
      <c r="J27" s="1" t="s">
        <v>231</v>
      </c>
      <c r="K27" s="1" t="s">
        <v>869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1153</v>
      </c>
      <c r="R27" s="1" t="s">
        <v>942</v>
      </c>
      <c r="S27" s="1" t="s">
        <v>1063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1182</v>
      </c>
      <c r="Z27" s="1">
        <v>-8</v>
      </c>
      <c r="AA27" s="1" t="s">
        <v>1122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1183</v>
      </c>
      <c r="AT27" s="1" t="s">
        <v>1184</v>
      </c>
      <c r="AU27" s="1" t="s">
        <v>190</v>
      </c>
      <c r="AV27" s="1" t="s">
        <v>1185</v>
      </c>
      <c r="AW27" s="1" t="s">
        <v>1186</v>
      </c>
      <c r="AX27" s="1" t="s">
        <v>186</v>
      </c>
      <c r="AY27" s="1" t="s">
        <v>1187</v>
      </c>
      <c r="AZ27" s="1" t="s">
        <v>1188</v>
      </c>
      <c r="BA27" s="1" t="s">
        <v>1189</v>
      </c>
      <c r="BB27" s="1" t="s">
        <v>1190</v>
      </c>
      <c r="BC27" s="1" t="s">
        <v>1191</v>
      </c>
      <c r="BD27" s="1" t="s">
        <v>1192</v>
      </c>
      <c r="BE27" s="1">
        <v>115.4</v>
      </c>
      <c r="BF27" s="1">
        <v>116.8</v>
      </c>
      <c r="BG27" s="1">
        <v>-1.3</v>
      </c>
      <c r="BH27" s="1" t="s">
        <v>1072</v>
      </c>
      <c r="BI27" s="1" t="s">
        <v>398</v>
      </c>
      <c r="BJ27" s="1" t="s">
        <v>276</v>
      </c>
      <c r="BK27" s="1" t="s">
        <v>393</v>
      </c>
      <c r="BL27" s="1" t="s">
        <v>1104</v>
      </c>
      <c r="BM27" s="1" t="s">
        <v>1057</v>
      </c>
      <c r="BN27" s="1" t="s">
        <v>921</v>
      </c>
      <c r="BO27" s="1" t="s">
        <v>881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973</v>
      </c>
      <c r="CA27" s="1" t="s">
        <v>337</v>
      </c>
      <c r="CB27" s="1" t="s">
        <v>1193</v>
      </c>
      <c r="CC27" s="1" t="s">
        <v>1194</v>
      </c>
    </row>
    <row r="28" spans="1:81" x14ac:dyDescent="0.25">
      <c r="A28" s="1" t="s">
        <v>145</v>
      </c>
      <c r="B28" s="1" t="s">
        <v>773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1230</v>
      </c>
      <c r="H28" s="1">
        <v>14</v>
      </c>
      <c r="I28" s="1" t="s">
        <v>1061</v>
      </c>
      <c r="J28" s="1" t="s">
        <v>231</v>
      </c>
      <c r="K28" s="1" t="s">
        <v>1075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1153</v>
      </c>
      <c r="R28" s="1" t="s">
        <v>1076</v>
      </c>
      <c r="S28" s="1" t="s">
        <v>1065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1231</v>
      </c>
      <c r="Z28" s="1">
        <v>11</v>
      </c>
      <c r="AA28" s="1" t="s">
        <v>781</v>
      </c>
      <c r="AB28" s="1">
        <v>-9</v>
      </c>
      <c r="AC28" s="1" t="s">
        <v>1141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1232</v>
      </c>
      <c r="AT28" s="1" t="s">
        <v>1095</v>
      </c>
      <c r="AU28" s="1" t="s">
        <v>260</v>
      </c>
      <c r="AV28" s="1" t="s">
        <v>1069</v>
      </c>
      <c r="AW28" s="1" t="s">
        <v>1233</v>
      </c>
      <c r="AX28" s="1" t="s">
        <v>186</v>
      </c>
      <c r="AY28" s="1" t="s">
        <v>1234</v>
      </c>
      <c r="AZ28" s="1" t="s">
        <v>1235</v>
      </c>
      <c r="BA28" s="1" t="s">
        <v>1236</v>
      </c>
      <c r="BB28" s="1" t="s">
        <v>1237</v>
      </c>
      <c r="BC28" s="1" t="s">
        <v>1150</v>
      </c>
      <c r="BD28" s="1" t="s">
        <v>1238</v>
      </c>
      <c r="BE28" s="1">
        <v>108.9</v>
      </c>
      <c r="BF28" s="1">
        <v>110.1</v>
      </c>
      <c r="BG28" s="1">
        <v>-1.3</v>
      </c>
      <c r="BH28" s="1" t="s">
        <v>957</v>
      </c>
      <c r="BI28" s="1" t="s">
        <v>323</v>
      </c>
      <c r="BJ28" s="1" t="s">
        <v>266</v>
      </c>
      <c r="BK28" s="1" t="s">
        <v>276</v>
      </c>
      <c r="BL28" s="1" t="s">
        <v>1230</v>
      </c>
      <c r="BM28" s="1" t="s">
        <v>921</v>
      </c>
      <c r="BN28" s="1" t="s">
        <v>1132</v>
      </c>
      <c r="BO28" s="1" t="s">
        <v>1087</v>
      </c>
      <c r="BP28" s="1" t="s">
        <v>337</v>
      </c>
      <c r="BQ28" s="1" t="s">
        <v>323</v>
      </c>
      <c r="BR28" s="1" t="s">
        <v>1212</v>
      </c>
      <c r="BS28" s="1" t="s">
        <v>239</v>
      </c>
      <c r="BT28" s="1"/>
      <c r="BU28" s="1"/>
      <c r="BV28" s="1"/>
      <c r="BW28" s="1"/>
      <c r="BX28" s="1"/>
      <c r="BY28" s="1" t="s">
        <v>1211</v>
      </c>
      <c r="BZ28" s="1" t="s">
        <v>864</v>
      </c>
      <c r="CA28" s="1" t="s">
        <v>973</v>
      </c>
      <c r="CB28" s="1" t="s">
        <v>1239</v>
      </c>
      <c r="CC28" s="1" t="s">
        <v>1240</v>
      </c>
    </row>
    <row r="29" spans="1:81" x14ac:dyDescent="0.25">
      <c r="A29" s="1" t="s">
        <v>145</v>
      </c>
      <c r="B29" s="1" t="s">
        <v>773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1214</v>
      </c>
      <c r="H29" s="1">
        <v>14</v>
      </c>
      <c r="I29" s="1" t="s">
        <v>1061</v>
      </c>
      <c r="J29" s="1" t="s">
        <v>181</v>
      </c>
      <c r="K29" s="1" t="s">
        <v>1075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1215</v>
      </c>
      <c r="R29" s="1" t="s">
        <v>1197</v>
      </c>
      <c r="S29" s="1" t="s">
        <v>1216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1217</v>
      </c>
      <c r="Z29" s="1">
        <v>-9</v>
      </c>
      <c r="AA29" s="1" t="s">
        <v>1141</v>
      </c>
      <c r="AB29" s="1">
        <v>-11</v>
      </c>
      <c r="AC29" s="1" t="s">
        <v>1199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1199</v>
      </c>
      <c r="AJ29" s="1">
        <v>-10</v>
      </c>
      <c r="AK29" s="1" t="s">
        <v>944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866</v>
      </c>
      <c r="AT29" s="1" t="s">
        <v>1218</v>
      </c>
      <c r="AU29" s="1" t="s">
        <v>304</v>
      </c>
      <c r="AV29" s="1" t="s">
        <v>1219</v>
      </c>
      <c r="AW29" s="1" t="s">
        <v>1220</v>
      </c>
      <c r="AX29" s="1" t="s">
        <v>208</v>
      </c>
      <c r="AY29" s="1" t="s">
        <v>1148</v>
      </c>
      <c r="AZ29" s="1" t="s">
        <v>1221</v>
      </c>
      <c r="BA29" s="1" t="s">
        <v>1222</v>
      </c>
      <c r="BB29" s="1" t="s">
        <v>1223</v>
      </c>
      <c r="BC29" s="1" t="s">
        <v>1106</v>
      </c>
      <c r="BD29" s="1" t="s">
        <v>1224</v>
      </c>
      <c r="BE29" s="1">
        <v>104.5</v>
      </c>
      <c r="BF29" s="1">
        <v>114.1</v>
      </c>
      <c r="BG29" s="1">
        <v>-9.6</v>
      </c>
      <c r="BH29" s="1" t="s">
        <v>1214</v>
      </c>
      <c r="BI29" s="1" t="s">
        <v>1132</v>
      </c>
      <c r="BJ29" s="1" t="s">
        <v>1087</v>
      </c>
      <c r="BK29" s="1" t="s">
        <v>1225</v>
      </c>
      <c r="BL29" s="1" t="s">
        <v>1226</v>
      </c>
      <c r="BM29" s="1" t="s">
        <v>1227</v>
      </c>
      <c r="BN29" s="1" t="s">
        <v>393</v>
      </c>
      <c r="BO29" s="1" t="s">
        <v>393</v>
      </c>
      <c r="BP29" s="1" t="s">
        <v>1212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1134</v>
      </c>
      <c r="BZ29" s="1" t="s">
        <v>407</v>
      </c>
      <c r="CA29" s="1" t="s">
        <v>1087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773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1241</v>
      </c>
      <c r="H30" s="1">
        <v>15</v>
      </c>
      <c r="I30" s="1" t="s">
        <v>1061</v>
      </c>
      <c r="J30" s="1" t="s">
        <v>203</v>
      </c>
      <c r="K30" s="1" t="s">
        <v>1242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1243</v>
      </c>
      <c r="R30" s="1" t="s">
        <v>1065</v>
      </c>
      <c r="S30" s="1" t="s">
        <v>1244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1245</v>
      </c>
      <c r="Z30" s="1">
        <v>-18</v>
      </c>
      <c r="AA30" s="1" t="s">
        <v>1246</v>
      </c>
      <c r="AB30" s="1">
        <v>-9</v>
      </c>
      <c r="AC30" s="1" t="s">
        <v>1141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1247</v>
      </c>
      <c r="AT30" s="1" t="s">
        <v>1248</v>
      </c>
      <c r="AU30" s="1" t="s">
        <v>327</v>
      </c>
      <c r="AV30" s="1" t="s">
        <v>872</v>
      </c>
      <c r="AW30" s="1" t="s">
        <v>1249</v>
      </c>
      <c r="AX30" s="1" t="s">
        <v>327</v>
      </c>
      <c r="AY30" s="1" t="s">
        <v>1250</v>
      </c>
      <c r="AZ30" s="1" t="s">
        <v>1251</v>
      </c>
      <c r="BA30" s="1" t="s">
        <v>1252</v>
      </c>
      <c r="BB30" s="1" t="s">
        <v>1253</v>
      </c>
      <c r="BC30" s="1" t="s">
        <v>1254</v>
      </c>
      <c r="BD30" s="1" t="s">
        <v>1255</v>
      </c>
      <c r="BE30" s="1">
        <v>104.6</v>
      </c>
      <c r="BF30" s="1">
        <v>113.8</v>
      </c>
      <c r="BG30" s="1">
        <v>-9.1999999999999993</v>
      </c>
      <c r="BH30" s="1" t="s">
        <v>1241</v>
      </c>
      <c r="BI30" s="1" t="s">
        <v>1165</v>
      </c>
      <c r="BJ30" s="1" t="s">
        <v>1256</v>
      </c>
      <c r="BK30" s="1" t="s">
        <v>1132</v>
      </c>
      <c r="BL30" s="1" t="s">
        <v>1209</v>
      </c>
      <c r="BM30" s="1" t="s">
        <v>1227</v>
      </c>
      <c r="BN30" s="1" t="s">
        <v>393</v>
      </c>
      <c r="BO30" s="1" t="s">
        <v>323</v>
      </c>
      <c r="BP30" s="1" t="s">
        <v>1257</v>
      </c>
      <c r="BQ30" s="1" t="s">
        <v>1117</v>
      </c>
      <c r="BR30" s="1" t="s">
        <v>1258</v>
      </c>
      <c r="BS30" s="1" t="s">
        <v>239</v>
      </c>
      <c r="BT30" s="1"/>
      <c r="BU30" s="1"/>
      <c r="BV30" s="1"/>
      <c r="BW30" s="1"/>
      <c r="BX30" s="1"/>
      <c r="BY30" s="1" t="s">
        <v>1211</v>
      </c>
      <c r="BZ30" s="1" t="s">
        <v>349</v>
      </c>
      <c r="CA30" s="1" t="s">
        <v>1259</v>
      </c>
      <c r="CB30" s="1" t="s">
        <v>1260</v>
      </c>
      <c r="CC30" s="1" t="s">
        <v>1261</v>
      </c>
    </row>
    <row r="31" spans="1:81" x14ac:dyDescent="0.25">
      <c r="A31" s="1" t="s">
        <v>145</v>
      </c>
      <c r="B31" s="1" t="s">
        <v>773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1241</v>
      </c>
      <c r="H31" s="1">
        <v>15</v>
      </c>
      <c r="I31" s="1" t="s">
        <v>1061</v>
      </c>
      <c r="J31" s="1" t="s">
        <v>152</v>
      </c>
      <c r="K31" s="1" t="s">
        <v>1195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1215</v>
      </c>
      <c r="R31" s="1" t="s">
        <v>1154</v>
      </c>
      <c r="S31" s="1" t="s">
        <v>1262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1233</v>
      </c>
      <c r="Z31" s="1">
        <v>-6</v>
      </c>
      <c r="AA31" s="1" t="s">
        <v>367</v>
      </c>
      <c r="AB31" s="1">
        <v>-13</v>
      </c>
      <c r="AC31" s="1" t="s">
        <v>1263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1264</v>
      </c>
      <c r="AT31" s="1" t="s">
        <v>1265</v>
      </c>
      <c r="AU31" s="1" t="s">
        <v>327</v>
      </c>
      <c r="AV31" s="1" t="s">
        <v>1266</v>
      </c>
      <c r="AW31" s="1" t="s">
        <v>1267</v>
      </c>
      <c r="AX31" s="1" t="s">
        <v>157</v>
      </c>
      <c r="AY31" s="1" t="s">
        <v>1268</v>
      </c>
      <c r="AZ31" s="1" t="s">
        <v>1269</v>
      </c>
      <c r="BA31" s="1" t="s">
        <v>1270</v>
      </c>
      <c r="BB31" s="1" t="s">
        <v>1271</v>
      </c>
      <c r="BC31" s="1" t="s">
        <v>1272</v>
      </c>
      <c r="BD31" s="1" t="s">
        <v>1273</v>
      </c>
      <c r="BE31" s="1">
        <v>107.5</v>
      </c>
      <c r="BF31" s="1">
        <v>116.8</v>
      </c>
      <c r="BG31" s="1">
        <v>-9.3000000000000007</v>
      </c>
      <c r="BH31" s="1" t="s">
        <v>1274</v>
      </c>
      <c r="BI31" s="1" t="s">
        <v>398</v>
      </c>
      <c r="BJ31" s="1" t="s">
        <v>398</v>
      </c>
      <c r="BK31" s="1" t="s">
        <v>393</v>
      </c>
      <c r="BL31" s="1" t="s">
        <v>1241</v>
      </c>
      <c r="BM31" s="1" t="s">
        <v>1275</v>
      </c>
      <c r="BN31" s="1" t="s">
        <v>402</v>
      </c>
      <c r="BO31" s="1" t="s">
        <v>1132</v>
      </c>
      <c r="BP31" s="1" t="s">
        <v>1210</v>
      </c>
      <c r="BQ31" s="1" t="s">
        <v>1276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1134</v>
      </c>
      <c r="BZ31" s="1" t="s">
        <v>1212</v>
      </c>
      <c r="CA31" s="1" t="s">
        <v>386</v>
      </c>
      <c r="CB31" s="1" t="s">
        <v>1277</v>
      </c>
      <c r="CC31" s="1" t="s">
        <v>1278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1280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1281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1282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1283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1284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1290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1291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1292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1293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1292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1294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1292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1295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1281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1296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1292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1282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1300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1301</v>
      </c>
      <c r="T4" s="1">
        <v>23.7</v>
      </c>
      <c r="U4" s="1" t="s">
        <v>1284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1302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1303</v>
      </c>
      <c r="T5" s="1">
        <v>26</v>
      </c>
      <c r="U5" s="1" t="s">
        <v>1284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1305</v>
      </c>
      <c r="T7" s="1">
        <v>25.7</v>
      </c>
      <c r="U7" s="1" t="s">
        <v>1306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1308</v>
      </c>
      <c r="T8" s="1">
        <v>24.5</v>
      </c>
      <c r="U8" s="1" t="s">
        <v>1309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1310</v>
      </c>
      <c r="T9" s="1">
        <v>24.6</v>
      </c>
      <c r="U9" s="1" t="s">
        <v>1284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1282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1311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1284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1312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1313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1315</v>
      </c>
      <c r="T14" s="1">
        <v>24.1</v>
      </c>
      <c r="U14" s="1" t="s">
        <v>1295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1316</v>
      </c>
      <c r="T15" s="1">
        <v>25</v>
      </c>
      <c r="U15" s="1" t="s">
        <v>1286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1317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1282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1311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1287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1303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1319</v>
      </c>
      <c r="T21" s="1">
        <v>25.6</v>
      </c>
      <c r="U21" s="1" t="s">
        <v>1295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1320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1315</v>
      </c>
      <c r="T22" s="1">
        <v>24.9</v>
      </c>
      <c r="U22" s="1" t="s">
        <v>1321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1322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1323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1324</v>
      </c>
      <c r="T26" s="1">
        <v>23.2</v>
      </c>
      <c r="U26" s="1" t="s">
        <v>1325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1327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1328</v>
      </c>
      <c r="T28" s="1">
        <v>24.7</v>
      </c>
      <c r="U28" s="1" t="s">
        <v>1280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1308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1330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1331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1332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1281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1332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1311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1311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1281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1281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1302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1302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1332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1302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1333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1332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1281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1290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2019-11-22T13:09:19Z</dcterms:modified>
</cp:coreProperties>
</file>