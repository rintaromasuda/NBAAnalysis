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D1E497DD-E616-4DC4-894E-E33F1B821133}" xr6:coauthVersionLast="45" xr6:coauthVersionMax="45" xr10:uidLastSave="{00000000-0000-0000-0000-000000000000}"/>
  <bookViews>
    <workbookView xWindow="5486" yWindow="1157" windowWidth="16457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<sst xmlns="http://schemas.openxmlformats.org/spreadsheetml/2006/main" count="5939" uniqueCount="1420">
  <si>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</si>
  <si>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</si>
  <si>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</si>
  <si>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</si>
  <si>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</si>
  <si>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</si>
  <si>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</si>
  <si>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</si>
  <si>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</si>
  <si>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</si>
  <si>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</si>
  <si>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</si>
  <si>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</si>
  <si>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</si>
  <si>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</si>
  <si>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</si>
  <si>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</si>
  <si>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</si>
  <si>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</si>
  <si>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</si>
  <si>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</si>
  <si>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</si>
  <si>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</si>
  <si>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</si>
  <si>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</si>
  <si>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</si>
  <si>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</si>
  <si>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</si>
  <si>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</si>
  <si>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</si>
  <si>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</si>
  <si>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</si>
  <si>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</si>
  <si>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</si>
  <si>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</si>
  <si>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</si>
  <si>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</si>
  <si>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</si>
  <si>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</si>
  <si>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</si>
  <si>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</si>
  <si>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</si>
  <si>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</si>
  <si>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</si>
  <si>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</si>
  <si>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</si>
  <si>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</si>
  <si>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</si>
  <si>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</si>
  <si>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</si>
  <si>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</si>
  <si>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</si>
  <si>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</si>
  <si>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</si>
  <si>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</si>
  <si>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</si>
  <si>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</si>
  <si>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</si>
  <si>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</si>
  <si>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</si>
  <si>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</si>
  <si>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</si>
  <si>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</si>
  <si>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</si>
  <si>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</si>
  <si>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</si>
  <si>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</si>
  <si>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</si>
  <si>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</si>
  <si>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</si>
  <si>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</si>
  <si>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</si>
  <si>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</si>
  <si>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</si>
  <si>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</si>
  <si>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</si>
  <si>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</si>
  <si>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</si>
  <si>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</si>
  <si>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</si>
  <si>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</si>
  <si>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</si>
  <si>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</si>
  <si>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</si>
  <si>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</si>
  <si>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</si>
  <si>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</si>
  <si>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</si>
  <si>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</si>
  <si>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</si>
  <si>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</si>
  <si>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</si>
  <si>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</si>
  <si>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</si>
  <si>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</si>
  <si>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</si>
  <si>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</si>
  <si>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</si>
  <si>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</si>
  <si>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</si>
  <si>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</si>
  <si>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</si>
  <si>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</si>
  <si>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</si>
  <si>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</si>
  <si>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</si>
  <si>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</si>
  <si>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</si>
  <si>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</si>
  <si>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</si>
  <si>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</si>
  <si>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</si>
  <si>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</si>
  <si>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</si>
  <si>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</si>
  <si>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</si>
  <si>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</si>
  <si>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</si>
  <si>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</si>
  <si>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</si>
  <si>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</si>
  <si>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</si>
  <si>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</si>
  <si>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</si>
  <si>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</si>
  <si>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</si>
  <si>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</si>
  <si>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</si>
  <si>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</si>
  <si>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</si>
  <si>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</si>
  <si>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</si>
  <si>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</si>
  <si>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</si>
  <si>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</si>
  <si>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</si>
  <si>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</si>
  <si>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</si>
  <si>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</si>
  <si>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</si>
  <si>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</si>
  <si>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</si>
  <si>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</si>
  <si>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</si>
  <si>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</si>
  <si>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</si>
  <si>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</si>
  <si>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</si>
  <si>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</si>
  <si>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</si>
  <si>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</si>
  <si>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</si>
  <si>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</si>
  <si>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</si>
  <si>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</si>
  <si>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</si>
  <si>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</si>
  <si>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</si>
  <si>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</si>
  <si>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</si>
  <si>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</si>
  <si>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</si>
  <si>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</si>
  <si>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</si>
  <si>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</si>
  <si>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</si>
  <si>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</si>
  <si>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</si>
  <si>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</si>
  <si>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</si>
  <si>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</si>
  <si>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</si>
  <si>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</si>
  <si>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</si>
  <si>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</si>
  <si>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</si>
  <si>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</si>
  <si>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</si>
  <si>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</si>
  <si>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</si>
  <si>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</si>
  <si>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</si>
  <si>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</si>
  <si>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</si>
  <si>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</si>
  <si>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</si>
  <si>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</si>
  <si>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</si>
  <si>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</si>
  <si>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</si>
  <si>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</si>
  <si>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</si>
  <si>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</si>
  <si>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</si>
  <si>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</si>
  <si>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</si>
  <si>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</si>
  <si>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</si>
  <si>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</si>
  <si>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</si>
  <si>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</si>
  <si>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</si>
  <si>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</si>
  <si>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</si>
  <si>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</si>
  <si>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</si>
  <si>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</si>
  <si>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</si>
  <si>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</si>
  <si>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</si>
  <si>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</si>
  <si>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</si>
  <si>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</si>
  <si>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</si>
  <si>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</si>
  <si>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</si>
  <si>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</si>
  <si>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</si>
  <si>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</si>
  <si>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</si>
  <si>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</si>
  <si>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</si>
  <si>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</si>
  <si>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</si>
  <si>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</si>
  <si>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</si>
  <si>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</si>
  <si>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</si>
  <si>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</si>
  <si>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</si>
  <si>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</si>
  <si>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</si>
  <si>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</si>
  <si>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</si>
  <si>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</si>
  <si>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</si>
  <si>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</si>
  <si>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</si>
  <si>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</si>
  <si>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</si>
  <si>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</si>
  <si>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</si>
  <si>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</si>
  <si>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</si>
  <si>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</si>
  <si>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</si>
  <si>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</si>
  <si>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</si>
  <si>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</si>
  <si>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</si>
  <si>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</si>
  <si>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</si>
  <si>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</si>
  <si>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</si>
  <si>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</si>
  <si>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</si>
  <si>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</si>
  <si>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</si>
  <si>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</si>
  <si>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</si>
  <si>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</si>
  <si>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</si>
  <si>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</si>
  <si>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</si>
  <si>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</si>
  <si>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</si>
  <si>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</si>
  <si>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</si>
  <si>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</si>
  <si>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</si>
  <si>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</si>
  <si>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</si>
  <si>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</si>
  <si>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</si>
  <si>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</si>
  <si>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</si>
  <si>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</si>
  <si>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</si>
  <si>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</si>
  <si>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</si>
  <si>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</si>
  <si>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</si>
  <si>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</si>
  <si>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</si>
  <si>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</si>
  <si>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</si>
  <si>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</si>
  <si>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</si>
  <si>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</si>
  <si>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</si>
  <si>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</si>
  <si>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</si>
  <si>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</si>
  <si>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</si>
  <si>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</si>
  <si>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</si>
  <si>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</si>
  <si>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</si>
  <si>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</si>
  <si>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</si>
  <si>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</si>
  <si>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</si>
  <si>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</si>
  <si>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</si>
  <si>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</si>
  <si>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</si>
  <si>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</si>
  <si>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</si>
  <si>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</si>
  <si>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</si>
  <si>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</si>
  <si>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</si>
  <si>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</si>
  <si>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</si>
  <si>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</si>
  <si>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</si>
  <si>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</si>
  <si>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</si>
  <si>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</si>
  <si>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</si>
  <si>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</si>
  <si>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</si>
  <si>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</si>
  <si>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</si>
  <si>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</si>
  <si>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</si>
  <si>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</si>
  <si>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</si>
  <si>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</si>
  <si>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</si>
  <si>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</si>
  <si>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</si>
  <si>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</si>
  <si>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</si>
  <si>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</si>
  <si>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</si>
  <si>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</si>
  <si>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</si>
  <si>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</si>
  <si>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</si>
  <si>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</si>
  <si>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</si>
  <si>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</si>
  <si>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</si>
  <si>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</si>
  <si>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</si>
  <si>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</si>
  <si>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</si>
  <si>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</si>
  <si>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</si>
  <si>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</si>
  <si>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</si>
  <si>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</si>
  <si>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</si>
  <si>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</si>
  <si>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</si>
  <si>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</si>
  <si>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</si>
  <si>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</si>
  <si>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</si>
  <si>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</si>
  <si>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</si>
  <si>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</si>
  <si>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</si>
  <si>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</si>
  <si>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</si>
  <si>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</si>
  <si>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</si>
  <si>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</si>
  <si>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</si>
  <si>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</si>
  <si>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</si>
  <si>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</si>
  <si>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</si>
  <si>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</si>
  <si>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</si>
  <si>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</si>
  <si>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</si>
  <si>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</si>
  <si>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</si>
  <si>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</si>
  <si>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</si>
  <si>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</si>
  <si>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</si>
  <si>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</si>
  <si>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</si>
  <si>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</si>
  <si>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</si>
  <si>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</si>
  <si>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</si>
  <si>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</si>
  <si>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</si>
  <si>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</si>
  <si>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</si>
  <si>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</si>
  <si>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</si>
  <si>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</si>
  <si>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</si>
  <si>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</si>
  <si>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</si>
  <si>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</si>
  <si>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</si>
  <si>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</si>
  <si>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</si>
  <si>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</si>
  <si>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</si>
  <si>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</si>
  <si>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</si>
  <si>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</si>
  <si>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</si>
  <si>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</si>
  <si>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</si>
  <si>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</si>
  <si>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</si>
  <si>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</si>
  <si>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</si>
  <si>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</si>
  <si>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</si>
  <si>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</si>
  <si>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</si>
  <si>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</si>
  <si>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</si>
  <si>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</si>
  <si>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</si>
  <si>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</si>
  <si>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</si>
  <si>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</si>
  <si>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</si>
  <si>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</si>
  <si>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</si>
  <si>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</si>
  <si>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</si>
  <si>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</si>
  <si>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</si>
  <si>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</si>
  <si>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</si>
  <si>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</si>
  <si>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</si>
  <si>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</si>
  <si>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</si>
  <si>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</si>
  <si>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</si>
  <si>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</si>
  <si>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</si>
  <si>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</si>
  <si>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</si>
  <si>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</si>
  <si>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</si>
  <si>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</si>
  <si>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</si>
  <si>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</si>
  <si>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</si>
  <si>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</si>
  <si>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</si>
  <si>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</si>
  <si>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</si>
  <si>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</si>
  <si>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</si>
  <si>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</si>
  <si>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</si>
  <si>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</si>
  <si>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</si>
  <si>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</si>
  <si>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</si>
  <si>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</si>
  <si>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</si>
  <si>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</si>
  <si>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</si>
  <si>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</si>
  <si>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</si>
  <si>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</si>
  <si>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</si>
  <si>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</si>
  <si>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</si>
  <si>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</si>
  <si>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</si>
  <si>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</si>
  <si>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</si>
  <si>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</si>
  <si>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</si>
  <si>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</si>
  <si>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</si>
  <si>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</si>
  <si>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</si>
  <si>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</si>
  <si>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</si>
  <si>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</si>
  <si>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</si>
  <si>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</si>
  <si>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</si>
  <si>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</si>
  <si>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</si>
  <si>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</si>
  <si>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</si>
  <si>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</si>
  <si>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</si>
  <si>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</si>
  <si>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</si>
  <si>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</si>
  <si>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</si>
  <si>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</si>
  <si>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</si>
  <si>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</si>
  <si>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</si>
  <si>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</si>
  <si>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</si>
  <si>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</si>
  <si>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</si>
  <si>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</si>
  <si>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</si>
  <si>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</si>
  <si>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</si>
  <si>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</si>
  <si>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</si>
  <si>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</si>
  <si>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</si>
  <si>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</si>
  <si>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</si>
  <si>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</si>
  <si>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</si>
  <si>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</si>
  <si>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</si>
  <si>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</si>
  <si>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</si>
  <si>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</si>
  <si>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</si>
  <si>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</si>
  <si>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</si>
  <si>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</si>
  <si>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</si>
  <si>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</si>
  <si>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</si>
  <si>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</si>
  <si>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</si>
  <si>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</si>
  <si>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</si>
  <si>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</si>
  <si>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</si>
  <si>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</si>
  <si>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</si>
  <si>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</si>
  <si>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</si>
  <si>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</si>
  <si>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</si>
  <si>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</si>
  <si>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</si>
  <si>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</si>
  <si>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</si>
  <si>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</si>
  <si>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</si>
  <si>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</si>
  <si>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</si>
  <si>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</si>
  <si>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</si>
  <si>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</si>
  <si>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</si>
  <si>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</si>
  <si>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</si>
  <si>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</si>
  <si>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</si>
  <si>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</si>
  <si>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</si>
  <si>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</si>
  <si>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</si>
  <si>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</si>
  <si>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</si>
  <si>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</si>
  <si>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</si>
  <si>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</si>
  <si>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</si>
  <si>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</si>
  <si>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</si>
  <si>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</si>
  <si>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</si>
  <si>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</si>
  <si>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</si>
  <si>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</si>
  <si>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</si>
  <si>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</si>
  <si>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</si>
  <si>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</si>
  <si>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</si>
  <si>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</si>
  <si>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</si>
  <si>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</si>
  <si>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</si>
  <si>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</si>
  <si>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</si>
  <si>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</si>
  <si>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</si>
  <si>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</si>
  <si>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</si>
  <si>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</si>
  <si>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</si>
  <si>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</si>
  <si>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</si>
  <si>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</si>
  <si>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</si>
  <si>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</si>
  <si>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</si>
  <si>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</si>
  <si>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</si>
  <si>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</si>
  <si>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</si>
  <si>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</si>
  <si>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</si>
  <si>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</si>
  <si>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</si>
  <si>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</si>
  <si>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</si>
  <si>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</si>
  <si>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</si>
  <si>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</si>
  <si>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</si>
  <si>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</si>
  <si>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</si>
  <si>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</si>
  <si>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</si>
  <si>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</si>
  <si>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</si>
  <si>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</si>
  <si>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</si>
  <si>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</si>
  <si>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</si>
  <si>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</si>
  <si>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</si>
  <si>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</si>
  <si>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</si>
  <si>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</si>
  <si>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</si>
  <si>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</si>
  <si>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</si>
  <si>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</si>
  <si>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</si>
  <si>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</si>
  <si>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</si>
  <si>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</si>
  <si>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</si>
  <si>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</si>
  <si>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</si>
  <si>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</si>
  <si>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</si>
  <si>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</si>
  <si>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</si>
  <si>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</si>
  <si>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</si>
  <si>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</si>
  <si>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</si>
  <si>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</si>
  <si>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</si>
  <si>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</si>
  <si>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</si>
  <si>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</si>
  <si>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</si>
  <si>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</si>
  <si>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</si>
  <si>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</si>
  <si>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</si>
  <si>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</si>
  <si>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</si>
  <si>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</si>
  <si>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</si>
  <si>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</si>
  <si>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</si>
  <si>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</si>
  <si>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</si>
  <si>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</si>
  <si>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</si>
  <si>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</si>
  <si>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</si>
  <si>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</si>
  <si>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</si>
  <si>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</si>
  <si>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</si>
  <si>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</si>
  <si>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</si>
  <si>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</si>
  <si>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</si>
  <si>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</si>
  <si>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</si>
  <si>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</si>
  <si>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</si>
  <si>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</si>
  <si>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</si>
  <si>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</si>
  <si>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</si>
  <si>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</si>
  <si>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</si>
  <si>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</si>
  <si>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</si>
  <si>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</si>
  <si>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</si>
  <si>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</si>
  <si>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</si>
  <si>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</si>
  <si>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</si>
  <si>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</si>
  <si>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</si>
  <si>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</si>
  <si>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</si>
  <si>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</si>
  <si>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</si>
  <si>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</si>
  <si>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</si>
  <si>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</si>
  <si>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</si>
  <si>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</si>
  <si>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</si>
  <si>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</si>
  <si>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</si>
  <si>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</si>
  <si>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</si>
  <si>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</si>
  <si>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</si>
  <si>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</si>
  <si>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</si>
  <si>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</si>
  <si>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</si>
  <si>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</si>
  <si>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</si>
  <si>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</si>
  <si>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</si>
  <si>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</si>
  <si>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</si>
  <si>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</si>
  <si>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</si>
  <si>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</si>
  <si>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</si>
  <si>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</si>
  <si>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</si>
  <si>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</si>
  <si>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</si>
  <si>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</si>
  <si>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</si>
  <si>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</si>
  <si>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</si>
  <si>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</si>
  <si>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</si>
  <si>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</si>
  <si>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</si>
  <si>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</si>
  <si>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</si>
  <si>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</si>
  <si>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</si>
  <si>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</si>
  <si>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</si>
  <si>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</si>
  <si>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</si>
  <si>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</si>
  <si>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</si>
  <si>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</si>
  <si>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</si>
  <si>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</si>
  <si>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</si>
  <si>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</si>
  <si>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</si>
  <si>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G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</si>
  <si>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</si>
  <si>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</si>
  <si>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</si>
  <si>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</si>
  <si>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</si>
  <si>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</si>
  <si>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</si>
  <si>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</si>
  <si>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</si>
  <si>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</si>
  <si>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</si>
  <si>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</si>
  <si>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</si>
  <si>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</si>
  <si>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</si>
  <si>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</si>
  <si>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</si>
  <si>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</si>
  <si>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</si>
  <si>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</si>
  <si>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</si>
  <si>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</si>
  <si>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</si>
  <si>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</si>
  <si>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</si>
  <si>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</si>
  <si>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</si>
  <si>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</si>
  <si>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</si>
  <si>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</si>
  <si>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</si>
  <si>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</si>
  <si>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</si>
  <si>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</si>
  <si>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</si>
  <si>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</si>
  <si>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</si>
  <si>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</si>
  <si>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</si>
  <si>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</si>
  <si>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</si>
  <si>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</si>
  <si>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</si>
  <si>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</si>
  <si>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</si>
  <si>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</si>
  <si>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</si>
  <si>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</si>
  <si>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</si>
  <si>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</si>
  <si>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</si>
  <si>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</si>
  <si>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</si>
  <si>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</si>
  <si>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</si>
  <si>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</si>
  <si>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</si>
  <si>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</si>
  <si>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</si>
  <si>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</si>
  <si>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</si>
  <si>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</si>
  <si>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</si>
  <si>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</si>
  <si>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</si>
  <si>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</si>
  <si>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</si>
  <si>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</si>
  <si>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</si>
  <si>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</si>
  <si>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</si>
  <si>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</si>
  <si>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</si>
  <si>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</si>
  <si>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</si>
  <si>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</si>
  <si>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</si>
  <si>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</si>
  <si>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</si>
  <si>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</si>
  <si>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</si>
  <si>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</si>
  <si>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</si>
  <si>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</si>
  <si>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</si>
  <si>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</si>
  <si>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</si>
  <si>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</si>
  <si>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</si>
  <si>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</si>
  <si>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</si>
  <si>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</si>
  <si>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</si>
  <si>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</si>
  <si>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</si>
  <si>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</si>
  <si>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</si>
  <si>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</si>
  <si>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</si>
  <si>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</si>
  <si>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</si>
  <si>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</si>
  <si>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</si>
  <si>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</si>
  <si>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</si>
  <si>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</si>
  <si>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</si>
  <si>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</si>
  <si>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</si>
  <si>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</si>
  <si>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</si>
  <si>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</si>
  <si>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</si>
  <si>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</si>
  <si>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</si>
  <si>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</si>
  <si>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</si>
  <si>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</si>
  <si>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</si>
  <si>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</si>
  <si>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</si>
  <si>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</si>
  <si>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</si>
  <si>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</si>
  <si>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</si>
  <si>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</si>
  <si>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</si>
  <si>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</si>
  <si>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</si>
  <si>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</si>
  <si>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</si>
  <si>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</si>
  <si>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</si>
  <si>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</si>
  <si>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</si>
  <si>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</si>
  <si>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</si>
  <si>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</si>
  <si>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</si>
  <si>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</si>
  <si>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</si>
  <si>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</si>
  <si>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</si>
  <si>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</si>
  <si>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</si>
  <si>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</si>
  <si>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</si>
  <si>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</si>
  <si>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</si>
  <si>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</si>
  <si>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</si>
  <si>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</si>
  <si>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</si>
  <si>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</si>
  <si>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</si>
  <si>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</si>
  <si>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</si>
  <si>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</si>
  <si>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</si>
  <si>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</si>
  <si>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</si>
  <si>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</si>
  <si>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</si>
  <si>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</si>
  <si>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</si>
  <si>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</si>
  <si>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</si>
  <si>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</si>
  <si>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</si>
  <si>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</si>
  <si>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</si>
  <si>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</si>
  <si>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</si>
  <si>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</si>
  <si>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</si>
  <si>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</si>
  <si>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</si>
  <si>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</si>
  <si>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</si>
  <si>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</si>
  <si>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</si>
  <si>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</si>
  <si>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</si>
  <si>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</si>
  <si>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</si>
  <si>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</si>
  <si>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</si>
  <si>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</si>
  <si>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</si>
  <si>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</si>
  <si>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</si>
  <si>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</si>
  <si>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</si>
  <si>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</si>
  <si>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</si>
  <si>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</si>
  <si>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</si>
  <si>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</si>
  <si>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</si>
  <si>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</si>
  <si>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</si>
  <si>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</si>
  <si>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</si>
  <si>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</si>
  <si>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</si>
  <si>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</si>
  <si>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</si>
  <si>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</si>
  <si>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</si>
  <si>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</si>
  <si>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</si>
  <si>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</si>
  <si>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</si>
  <si>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</si>
  <si>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</si>
  <si>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</si>
  <si>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</si>
  <si>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</si>
  <si>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</si>
  <si>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</si>
  <si>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</si>
  <si>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</si>
  <si>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</si>
  <si>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</si>
  <si>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</si>
  <si>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</si>
  <si>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</si>
  <si>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</si>
  <si>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</si>
  <si>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</si>
  <si>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</si>
  <si>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</si>
  <si>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</si>
  <si>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</si>
  <si>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</si>
  <si>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</si>
  <si>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</si>
  <si>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</si>
  <si>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</si>
  <si>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</si>
  <si>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</si>
  <si>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</si>
  <si>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</si>
  <si>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</si>
  <si>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</si>
  <si>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</si>
  <si>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</si>
  <si>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</si>
  <si>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</si>
  <si>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</si>
  <si>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</si>
  <si>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</si>
  <si>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</si>
  <si>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</si>
  <si>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</si>
  <si>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</si>
  <si>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</si>
  <si>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</si>
  <si>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</si>
  <si>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</si>
  <si>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</si>
  <si>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</si>
  <si>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</si>
  <si>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</si>
  <si>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</si>
  <si>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</si>
  <si>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</si>
  <si>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</si>
  <si>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</si>
  <si>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</si>
  <si>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</si>
  <si>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</si>
  <si>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</si>
  <si>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</si>
  <si>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</si>
  <si>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</si>
  <si>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</si>
  <si>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</si>
  <si>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</si>
  <si>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</si>
  <si>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</si>
  <si>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</si>
  <si>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</si>
  <si>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</si>
  <si>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</si>
  <si>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</si>
  <si>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</si>
  <si>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</si>
  <si>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</si>
  <si>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</si>
  <si>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</si>
  <si>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</si>
  <si>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</si>
  <si>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</si>
  <si>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</si>
  <si>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</si>
  <si>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</si>
  <si>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</si>
  <si>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</si>
  <si>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</si>
  <si>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</si>
  <si>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</si>
  <si>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</si>
  <si>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</si>
  <si>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</si>
  <si>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</si>
  <si>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</si>
  <si>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</si>
  <si>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</si>
  <si>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</si>
  <si>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</si>
  <si>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</si>
  <si>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</si>
  <si>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</si>
  <si>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</si>
  <si>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</si>
  <si>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</si>
  <si>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</si>
  <si>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</si>
  <si>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</si>
  <si>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</si>
  <si>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</si>
  <si>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</si>
  <si>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</si>
  <si>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</si>
  <si>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</si>
  <si>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</si>
  <si>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</si>
  <si>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</si>
  <si>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</si>
  <si>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</si>
  <si>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</si>
  <si>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</si>
  <si>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</si>
  <si>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</si>
  <si>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</si>
  <si>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</si>
  <si>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</si>
  <si>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</si>
  <si>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</si>
  <si>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</si>
  <si>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</si>
  <si>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</si>
  <si>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</si>
  <si>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</si>
  <si>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</si>
  <si>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</si>
  <si>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</si>
  <si>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</si>
  <si>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</si>
  <si>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</si>
  <si>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</si>
  <si>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</si>
  <si>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</si>
  <si>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</si>
  <si>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</si>
  <si>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</si>
  <si>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</si>
  <si>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</si>
  <si>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</si>
  <si>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</si>
  <si>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</si>
  <si>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</si>
  <si>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</si>
  <si>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</si>
  <si>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</si>
  <si>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</si>
  <si>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</si>
  <si>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</si>
  <si>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</si>
  <si>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</si>
  <si>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</si>
  <si>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</si>
  <si>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</si>
  <si>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</si>
  <si>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</si>
  <si>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</si>
  <si>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</si>
  <si>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</si>
  <si>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</si>
  <si>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</si>
  <si>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</si>
  <si>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</si>
  <si>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</si>
  <si>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</si>
  <si>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</si>
  <si>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</si>
  <si>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</si>
  <si>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</si>
  <si>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</si>
  <si>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</si>
  <si>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</si>
  <si>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</si>
  <si>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</si>
  <si>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</si>
  <si>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</si>
  <si>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</si>
  <si>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</si>
  <si>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</si>
  <si>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</si>
  <si>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</si>
  <si>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</si>
  <si>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</si>
  <si>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</si>
  <si>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</si>
  <si>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</si>
  <si>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</si>
  <si>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</si>
  <si>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</si>
  <si>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</si>
  <si>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</si>
  <si>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</si>
  <si>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</si>
  <si>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</si>
  <si>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</si>
  <si>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</si>
  <si>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</si>
  <si>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</si>
  <si>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</si>
  <si>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</si>
  <si>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</si>
  <si>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</si>
  <si>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</si>
  <si>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</si>
  <si>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</si>
  <si>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</si>
  <si>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</si>
  <si>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</si>
  <si>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</si>
  <si>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</si>
  <si>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</si>
  <si>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</si>
  <si>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</si>
  <si>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</si>
  <si>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</si>
  <si>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</si>
  <si>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</si>
  <si>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</si>
  <si>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</si>
  <si>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</si>
  <si>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</si>
  <si>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</si>
  <si>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</si>
  <si>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</si>
  <si>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</si>
  <si>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</si>
  <si>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</si>
  <si>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</si>
  <si>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</si>
  <si>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</si>
  <si>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</si>
  <si>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</si>
  <si>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</si>
  <si>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</si>
  <si>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</si>
  <si>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</si>
  <si>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</si>
  <si>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</si>
  <si>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</si>
  <si>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</si>
  <si>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</si>
  <si>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</si>
  <si>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</si>
  <si>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</si>
  <si>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</si>
  <si>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</si>
  <si>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</si>
  <si>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</si>
  <si>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</si>
  <si>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</si>
  <si>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</si>
  <si>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</si>
  <si>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</si>
  <si>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</si>
  <si>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</si>
  <si>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</si>
  <si>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</si>
  <si>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</si>
  <si>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</si>
  <si>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</si>
  <si>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</si>
  <si>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</si>
  <si>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</si>
  <si>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</si>
  <si>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</si>
  <si>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</si>
  <si>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</si>
  <si>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</si>
  <si>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</si>
  <si>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</si>
  <si>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</si>
  <si>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</si>
  <si>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</si>
  <si>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</si>
  <si>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</si>
  <si>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</si>
  <si>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</si>
  <si>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</si>
  <si>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</si>
  <si>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</si>
  <si>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</si>
  <si>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</si>
  <si>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</si>
  <si>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</si>
  <si>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</si>
  <si>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</si>
  <si>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</si>
  <si>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</si>
  <si>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</si>
  <si>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</si>
  <si>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</si>
  <si>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</si>
  <si>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</si>
  <si>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</si>
  <si>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</si>
  <si>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</si>
  <si>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</si>
  <si>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</si>
  <si>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</si>
  <si>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</si>
  <si>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</si>
  <si>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</si>
  <si>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</si>
  <si>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</si>
  <si>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</si>
  <si>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</si>
  <si>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</si>
  <si>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</si>
  <si>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</si>
  <si>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</si>
  <si>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</si>
  <si>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</si>
  <si>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</si>
  <si>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</si>
  <si>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</si>
  <si>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</si>
  <si>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</si>
  <si>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</si>
  <si>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</si>
  <si>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</si>
  <si>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</si>
  <si>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</si>
  <si>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</si>
  <si>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</si>
  <si>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</si>
  <si>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</si>
  <si>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</si>
  <si>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</si>
  <si>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</si>
  <si>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</si>
  <si>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</si>
  <si>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</si>
  <si>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</si>
  <si>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</si>
  <si>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</si>
  <si>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</si>
  <si>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</si>
  <si>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</si>
  <si>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</si>
  <si>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</si>
  <si>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</si>
  <si>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</si>
  <si>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</si>
  <si>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</si>
  <si>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</t>
  </si>
  <si>
    <t>G-F</t>
  </si>
  <si>
    <t xml:space="preserve"> </t>
  </si>
  <si>
    <t>3</t>
  </si>
  <si>
    <t>R</t>
  </si>
  <si>
    <t>C</t>
  </si>
  <si>
    <t>215</t>
  </si>
  <si>
    <t>13</t>
  </si>
  <si>
    <t>F-G</t>
  </si>
  <si>
    <t>12</t>
  </si>
  <si>
    <t>9</t>
  </si>
  <si>
    <t>23</t>
  </si>
  <si>
    <t>0</t>
  </si>
  <si>
    <t>4</t>
  </si>
  <si>
    <t>235</t>
  </si>
  <si>
    <t>24</t>
  </si>
  <si>
    <t>200</t>
  </si>
  <si>
    <t>230</t>
  </si>
  <si>
    <t>Gonzaga</t>
  </si>
  <si>
    <t>17</t>
  </si>
  <si>
    <t>218</t>
  </si>
  <si>
    <t>226</t>
  </si>
  <si>
    <t>6</t>
  </si>
  <si>
    <t>44</t>
  </si>
  <si>
    <t>21-20</t>
    <phoneticPr fontId="1"/>
  </si>
  <si>
    <t>De'Anthony Melton</t>
  </si>
  <si>
    <t>MAY 28, 1998</t>
  </si>
  <si>
    <t>1</t>
  </si>
  <si>
    <t>USC</t>
  </si>
  <si>
    <t>Kyle Anderson</t>
  </si>
  <si>
    <t>SEP 20, 1993</t>
  </si>
  <si>
    <t>UCLA</t>
  </si>
  <si>
    <t>Grayson Allen</t>
  </si>
  <si>
    <t>198</t>
  </si>
  <si>
    <t>OCT 08, 1995</t>
  </si>
  <si>
    <t>Duke</t>
  </si>
  <si>
    <t>Bruno Caboclo</t>
  </si>
  <si>
    <t>SEP 21, 1995</t>
  </si>
  <si>
    <t>Brazil</t>
  </si>
  <si>
    <t>Andre Iguodala</t>
  </si>
  <si>
    <t>6-6</t>
  </si>
  <si>
    <t>JAN 28, 1984</t>
  </si>
  <si>
    <t>15</t>
  </si>
  <si>
    <t>Arizona</t>
  </si>
  <si>
    <t>Ja Morant</t>
  </si>
  <si>
    <t>174</t>
  </si>
  <si>
    <t>AUG 10, 1999</t>
  </si>
  <si>
    <t>Murray State</t>
  </si>
  <si>
    <t>Jaren Jackson Jr.</t>
  </si>
  <si>
    <t>F-C</t>
  </si>
  <si>
    <t>6-11</t>
  </si>
  <si>
    <t>242</t>
  </si>
  <si>
    <t>SEP 15, 1999</t>
  </si>
  <si>
    <t>Michigan State</t>
  </si>
  <si>
    <t>Brandon Clarke</t>
  </si>
  <si>
    <t>SEP 19, 1996</t>
  </si>
  <si>
    <t>Jonas Valanciunas</t>
  </si>
  <si>
    <t>265</t>
  </si>
  <si>
    <t>MAY 06, 1992</t>
  </si>
  <si>
    <t>7</t>
  </si>
  <si>
    <t>Yuta Watanabe</t>
  </si>
  <si>
    <t>18</t>
  </si>
  <si>
    <t>OCT 13, 1994</t>
  </si>
  <si>
    <t>George Washington</t>
  </si>
  <si>
    <t>Josh Jackson</t>
  </si>
  <si>
    <t>20</t>
  </si>
  <si>
    <t>207</t>
  </si>
  <si>
    <t>FEB 10, 1997</t>
  </si>
  <si>
    <t>Kansas</t>
  </si>
  <si>
    <t>Tyus Jones</t>
  </si>
  <si>
    <t>21</t>
  </si>
  <si>
    <t>196</t>
  </si>
  <si>
    <t>MAY 10, 1996</t>
  </si>
  <si>
    <t>Marko Guduric</t>
  </si>
  <si>
    <t>201</t>
  </si>
  <si>
    <t>MAR 08, 1995</t>
  </si>
  <si>
    <t>Dillon Brooks</t>
  </si>
  <si>
    <t>225</t>
  </si>
  <si>
    <t>JAN 22, 1996</t>
  </si>
  <si>
    <t>Oregon</t>
  </si>
  <si>
    <t>Solomon Hill</t>
  </si>
  <si>
    <t>MAR 18, 1991</t>
  </si>
  <si>
    <t>John Konchar</t>
  </si>
  <si>
    <t>46</t>
  </si>
  <si>
    <t>210</t>
  </si>
  <si>
    <t>MAR 22, 1996</t>
  </si>
  <si>
    <t>Jae Crowder</t>
  </si>
  <si>
    <t>99</t>
  </si>
  <si>
    <t>JUL 06, 1990</t>
  </si>
  <si>
    <t>Marquette</t>
  </si>
  <si>
    <t>Grizzlies</t>
    <phoneticPr fontId="1"/>
  </si>
  <si>
    <t>5-9</t>
    <phoneticPr fontId="1"/>
  </si>
  <si>
    <t xml:space="preserve">4-6  </t>
    <phoneticPr fontId="1"/>
  </si>
  <si>
    <t xml:space="preserve">3-6  </t>
    <phoneticPr fontId="1"/>
  </si>
  <si>
    <t xml:space="preserve">2-3  </t>
    <phoneticPr fontId="1"/>
  </si>
  <si>
    <t>33-49</t>
    <phoneticPr fontId="1"/>
  </si>
  <si>
    <t>12-29</t>
    <phoneticPr fontId="1"/>
  </si>
  <si>
    <t>23-36</t>
    <phoneticPr fontId="1"/>
  </si>
  <si>
    <t>10-13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</si>
</sst>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25C17-2051-4245-943A-77E507A1A52D}" name="TableRoster" displayName="TableRoster" ref="A1:M18" totalsRowShown="0" headerRowDxfId="1074">
  <autoFilter ref="A1:M18" xr:uid="{076F4DF5-0373-4292-A8BD-63360196DB6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87C0AF6-AE64-4A6C-B912-3279D8A0A548}" name="TeamID" dataDxfId="1087"/>
    <tableColumn id="2" xr3:uid="{3635C8CA-A285-45A1-8FED-C57B84EB4C22}" name="SEASON" dataDxfId="1086"/>
    <tableColumn id="3" xr3:uid="{35FD9C79-CCD7-4F47-B584-098AA4A21884}" name="LeagueID" dataDxfId="1085"/>
    <tableColumn id="4" xr3:uid="{D6C63FFE-F485-43F7-93EC-1032060A6F41}" name="PLAYER" dataDxfId="1084"/>
    <tableColumn id="5" xr3:uid="{5A77448C-CD60-4B8A-85FE-B60AB01C3930}" name="NUM" dataDxfId="1083"/>
    <tableColumn id="6" xr3:uid="{BC7D44CE-FDA6-4BC4-8A32-97A9701EAD56}" name="POSITION" dataDxfId="1082"/>
    <tableColumn id="7" xr3:uid="{84ADD7CC-7349-451D-A3A4-C700DA820C72}" name="HEIGHT" dataDxfId="1081"/>
    <tableColumn id="8" xr3:uid="{B1D491AA-490D-45A3-8229-7114134CAD92}" name="WEIGHT" dataDxfId="1080"/>
    <tableColumn id="9" xr3:uid="{EF57C97B-3100-4AE3-8ACD-1B6395DCF3A5}" name="BIRTH_DATE" dataDxfId="1079"/>
    <tableColumn id="10" xr3:uid="{741D34DB-B6A3-4261-B3BD-5A91F2DE5E23}" name="AGE" dataDxfId="1078"/>
    <tableColumn id="11" xr3:uid="{1D552FF3-FBFD-4E7E-870F-10557A716728}" name="EXP" dataDxfId="1077"/>
    <tableColumn id="12" xr3:uid="{BB830D27-CF86-4C1A-A746-67F20863F2DA}" name="SCHOOL" dataDxfId="1076"/>
    <tableColumn id="13" xr3:uid="{025466B7-0DBA-42E7-8B27-EE5CD282078B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C662C1-2B91-4AB7-A512-CE7005C6D89E}" name="TableStandingsN" displayName="TableStandingsN" ref="A1:CC31" totalsRowShown="0" headerRowDxfId="992">
  <autoFilter ref="A1:CC31" xr:uid="{6CAC12F8-980A-4E89-BCD6-1DC4071039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8E161164-D1FA-4C60-ACD2-25511A9504B2}" name="LeagueID" dataDxfId="1073"/>
    <tableColumn id="2" xr3:uid="{0F959B87-A136-4677-9E01-3E618A18F715}" name="SeasonID" dataDxfId="1072"/>
    <tableColumn id="3" xr3:uid="{8F9C71D6-5159-4FC9-B8CD-E69E806DB75C}" name="TeamID" dataDxfId="1071"/>
    <tableColumn id="4" xr3:uid="{2B07803D-5020-4836-8EAC-0646920E0064}" name="TeamCity" dataDxfId="1070"/>
    <tableColumn id="5" xr3:uid="{8D7C4745-FFF4-4400-8FB6-56ED87340BC9}" name="TeamName" dataDxfId="1069"/>
    <tableColumn id="6" xr3:uid="{5062AA81-AC69-426F-94E2-B1863CCDD440}" name="Conference" dataDxfId="1068"/>
    <tableColumn id="7" xr3:uid="{233CFB3B-B677-4BD4-8B48-E89B5C582425}" name="ConferenceRecord" dataDxfId="1067"/>
    <tableColumn id="8" xr3:uid="{4F54032C-104C-4811-8016-ED687EA37AA6}" name="PlayoffRank" dataDxfId="1066"/>
    <tableColumn id="9" xr3:uid="{DFDF606B-ACC8-4006-BE6A-D69EA372D219}" name="ClinchIndicator" dataDxfId="1065"/>
    <tableColumn id="10" xr3:uid="{B6A325F8-D13B-484C-A8FA-FCDF3A7B55E2}" name="Division" dataDxfId="1064"/>
    <tableColumn id="11" xr3:uid="{BF1A41A1-1605-4504-8B0D-4A76FDF5373A}" name="DivisionRecord" dataDxfId="1063"/>
    <tableColumn id="12" xr3:uid="{EF271082-A7EC-4CF4-88F0-4C685F0BDD54}" name="DivisionRank" dataDxfId="1062"/>
    <tableColumn id="13" xr3:uid="{8DFE4B6C-4CA0-49D0-A14E-AC21059DA5B1}" name="WINS" dataDxfId="1061"/>
    <tableColumn id="14" xr3:uid="{2C128F54-6344-4199-A690-B2A0F0FD087C}" name="LOSSES" dataDxfId="1060"/>
    <tableColumn id="15" xr3:uid="{5636D9AA-4EA6-4D36-8283-55E03C2F2B98}" name="WinPCT" dataDxfId="1059"/>
    <tableColumn id="16" xr3:uid="{365C13C2-6494-4E02-B98F-F521E0EB256B}" name="LeagueRank" dataDxfId="1058"/>
    <tableColumn id="17" xr3:uid="{F2756F20-631B-4099-AEC9-2CF2171E1AD5}" name="Record" dataDxfId="1057"/>
    <tableColumn id="18" xr3:uid="{C9442555-8020-4B8A-AC62-48DEA5D55145}" name="HOME" dataDxfId="1056"/>
    <tableColumn id="19" xr3:uid="{87A61F04-1B54-483A-BB95-079D096D45EB}" name="ROAD" dataDxfId="1055"/>
    <tableColumn id="20" xr3:uid="{3ECE34FE-9055-47F5-B531-13795D96A70B}" name="L10" dataDxfId="1054"/>
    <tableColumn id="21" xr3:uid="{DB5AF58C-BC1E-4818-9DC0-DE380BF708E3}" name="Last10Home" dataDxfId="1053"/>
    <tableColumn id="22" xr3:uid="{E5DE1ED8-0DC2-45FE-8F0E-F860F0247411}" name="Last10Road" dataDxfId="1052"/>
    <tableColumn id="23" xr3:uid="{E4A8175B-0F4A-429F-8486-FB7D85D385A9}" name="OT" dataDxfId="1051"/>
    <tableColumn id="24" xr3:uid="{51AE8C6B-4FFE-4823-86DB-9331C1D20AFA}" name="ThreePTSOrLess" dataDxfId="1050"/>
    <tableColumn id="25" xr3:uid="{4A500D68-B00F-42E5-AFFE-DC2888A9F007}" name="TenPTSOrMore" dataDxfId="1049"/>
    <tableColumn id="26" xr3:uid="{741D25BE-5CC1-45C0-961C-7AC107C9BB3E}" name="LongHomeStreak" dataDxfId="1048"/>
    <tableColumn id="27" xr3:uid="{CF745C65-ECFA-4E53-9565-3E7A502F517C}" name="strLongHomeStreak" dataDxfId="1047"/>
    <tableColumn id="28" xr3:uid="{600908E5-B783-47B7-A237-A9EFCCC922E4}" name="LongRoadStreak" dataDxfId="1046"/>
    <tableColumn id="29" xr3:uid="{F5461774-1AFB-4F74-875A-7278C405B3E4}" name="strLongRoadStreak" dataDxfId="1045"/>
    <tableColumn id="30" xr3:uid="{D6994970-2C8F-46D0-ACA1-1ADEEF06119C}" name="LongWinStreak" dataDxfId="1044"/>
    <tableColumn id="31" xr3:uid="{32321416-BF2A-4E78-9A98-2CA5AD4DFAF9}" name="LongLossStreak" dataDxfId="1043"/>
    <tableColumn id="32" xr3:uid="{E70E354F-CF90-404C-BCF4-833D66FA8EEB}" name="CurrentHomeStreak" dataDxfId="1042"/>
    <tableColumn id="33" xr3:uid="{9D4ED471-C388-43C1-A0E8-0FCACA4D5F55}" name="strCurrentHomeStreak" dataDxfId="1041"/>
    <tableColumn id="34" xr3:uid="{3223CC89-6425-4059-9AD4-0C15E740C0C0}" name="CurrentRoadStreak" dataDxfId="1040"/>
    <tableColumn id="35" xr3:uid="{7A0067C2-9F18-4A40-BCA5-3558336AFF5B}" name="strCurrentRoadStreak" dataDxfId="1039"/>
    <tableColumn id="36" xr3:uid="{B8677301-BDE5-4A6A-817D-76684760490D}" name="CurrentStreak" dataDxfId="1038"/>
    <tableColumn id="37" xr3:uid="{7E87D1D0-DE88-45A0-B2D1-F8F73D4F7D91}" name="strCurrentStreak" dataDxfId="1037"/>
    <tableColumn id="38" xr3:uid="{E79DEAD7-FA11-4741-9628-94C698C3CBC5}" name="ConferenceGamesBack" dataDxfId="1036"/>
    <tableColumn id="39" xr3:uid="{2164826C-24D5-480A-9A08-F785DF7701D9}" name="DivisionGamesBack" dataDxfId="1035"/>
    <tableColumn id="40" xr3:uid="{8A332935-E540-44A3-8D4C-1899627BD5CD}" name="ClinchedConferenceTitle" dataDxfId="1034"/>
    <tableColumn id="41" xr3:uid="{740C7DEB-4D3E-4599-91B2-8B14AA0C3E0A}" name="ClinchedDivisionTitle" dataDxfId="1033"/>
    <tableColumn id="42" xr3:uid="{F892BFF4-656F-45F8-8CBB-23589C056F94}" name="ClinchedPlayoffBirth" dataDxfId="1032"/>
    <tableColumn id="43" xr3:uid="{9BBAF189-BAA4-4F0A-9E09-524F0679A7A8}" name="EliminatedConference" dataDxfId="1031"/>
    <tableColumn id="44" xr3:uid="{DDFB77DC-5699-4912-963B-14755B066609}" name="EliminatedDivision" dataDxfId="1030"/>
    <tableColumn id="45" xr3:uid="{32597CC4-CC3A-4C39-A4E1-32611A9AC73C}" name="AheadAtHalf" dataDxfId="1029"/>
    <tableColumn id="46" xr3:uid="{9D572EBA-6D28-4A89-BFA7-148606ED7884}" name="BehindAtHalf" dataDxfId="1028"/>
    <tableColumn id="47" xr3:uid="{46A1C70C-3833-45FF-90B8-D5B86E634350}" name="TiedAtHalf" dataDxfId="1027"/>
    <tableColumn id="48" xr3:uid="{E348BD56-D565-4CB6-A43A-30527D4DE699}" name="AheadAtThird" dataDxfId="1026"/>
    <tableColumn id="49" xr3:uid="{A541BEBB-A270-4B33-81CB-A6D1CD1393F0}" name="BehindAtThird" dataDxfId="1025"/>
    <tableColumn id="50" xr3:uid="{AFC84496-A2AD-4667-839C-AF992147F349}" name="TiedAtThird" dataDxfId="1024"/>
    <tableColumn id="51" xr3:uid="{426138EF-0515-4779-B76A-F81F63169338}" name="Score100PTS" dataDxfId="1023"/>
    <tableColumn id="52" xr3:uid="{003FACEC-3AE3-4AC6-9B69-A98E10750807}" name="OppScore100PTS" dataDxfId="1022"/>
    <tableColumn id="53" xr3:uid="{759802E4-A5FA-4BA4-BCE5-30DC73B68F70}" name="OppOver500" dataDxfId="1021"/>
    <tableColumn id="54" xr3:uid="{FE41987A-9332-43BE-8639-5A85AF7FFE64}" name="LeadInFGPCT" dataDxfId="1020"/>
    <tableColumn id="55" xr3:uid="{1BC419D1-4A88-4AD8-B257-B6B502E20387}" name="LeadInReb" dataDxfId="1019"/>
    <tableColumn id="56" xr3:uid="{CCC09357-321B-4396-862E-7B640DF29C95}" name="FewerTurnovers" dataDxfId="1018"/>
    <tableColumn id="57" xr3:uid="{679EB5B3-0CB0-44E2-80F0-269EF6610029}" name="PointsPG" dataDxfId="1017"/>
    <tableColumn id="58" xr3:uid="{844A6D22-B16C-442F-B452-C5E152347266}" name="OppPointsPG" dataDxfId="1016"/>
    <tableColumn id="59" xr3:uid="{BC2DCFEB-2C24-48C5-B14C-A5CA8C329AEE}" name="DiffPointsPG" dataDxfId="1015"/>
    <tableColumn id="60" xr3:uid="{36AE53B0-121A-4180-9A1C-7058BDB10BE8}" name="vsEast" dataDxfId="1014"/>
    <tableColumn id="61" xr3:uid="{6054A32A-E301-4028-B8FC-65B50855381F}" name="vsAtlantic" dataDxfId="1013"/>
    <tableColumn id="62" xr3:uid="{902DABB2-7E8C-4BB0-92DF-9CF939B261EE}" name="vsCentral" dataDxfId="1012"/>
    <tableColumn id="63" xr3:uid="{656EB5A0-FA96-4325-AC0C-48D4E79734F7}" name="vsSoutheast" dataDxfId="1011"/>
    <tableColumn id="64" xr3:uid="{09578ACD-985F-4624-870F-3C4DB72985B3}" name="vsWest" dataDxfId="1010"/>
    <tableColumn id="65" xr3:uid="{F13F2E6E-2CC6-4278-9E14-49535FF0C6B2}" name="vsNorthwest" dataDxfId="1009"/>
    <tableColumn id="66" xr3:uid="{D385865F-7B48-4A0D-9F62-431F0A3A572D}" name="vsPacific" dataDxfId="1008"/>
    <tableColumn id="67" xr3:uid="{4C10ECEB-CD0C-4D22-B975-956A29ED84D6}" name="vsSouthwest" dataDxfId="1007"/>
    <tableColumn id="68" xr3:uid="{91D1B995-77AC-4249-B061-E000472870F0}" name="Jan" dataDxfId="1006"/>
    <tableColumn id="69" xr3:uid="{C389786B-4DF8-4D63-8E05-568D6465BB0C}" name="Feb" dataDxfId="1005"/>
    <tableColumn id="70" xr3:uid="{25CDEA61-7413-454C-BBFC-938D4A67361C}" name="Mar" dataDxfId="1004"/>
    <tableColumn id="71" xr3:uid="{1B7F5CCF-660E-438E-82F7-A5D25251C6AD}" name="Apr" dataDxfId="1003"/>
    <tableColumn id="72" xr3:uid="{BD00D9E1-8D9F-4C41-9308-40D0CE199B58}" name="May" dataDxfId="1002"/>
    <tableColumn id="73" xr3:uid="{2AD48E4D-996E-476C-B898-541586C23E2B}" name="Jun" dataDxfId="1001"/>
    <tableColumn id="74" xr3:uid="{72285FDC-E81C-4822-8E23-92158E85B570}" name="Jul" dataDxfId="1000"/>
    <tableColumn id="75" xr3:uid="{FE9534DE-0F77-423A-82D7-C4644CB33EEE}" name="Aug" dataDxfId="999"/>
    <tableColumn id="76" xr3:uid="{5CA69472-3A04-4558-9181-405AF875DF44}" name="Sep" dataDxfId="998"/>
    <tableColumn id="77" xr3:uid="{CA25C1A9-61EC-4336-A991-097C5E1FF216}" name="Oct" dataDxfId="997"/>
    <tableColumn id="78" xr3:uid="{2D4DB88E-0DCB-4BFE-8EAD-6481E557982F}" name="Nov" dataDxfId="996"/>
    <tableColumn id="79" xr3:uid="{C671FFEE-311A-4A62-B521-B69F998FB6C6}" name="Dec" dataDxfId="995"/>
    <tableColumn id="80" xr3:uid="{ED18746C-0680-41EA-A469-7BFBBE92179D}" name="PreAS" dataDxfId="994"/>
    <tableColumn id="81" xr3:uid="{98469800-8CA8-49EB-B7AB-E873BEFD20D0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D2A76-CD79-4E63-933A-5B69C5AE4DAA}" name="TableBaseN" displayName="TableBaseN" ref="A1:BD31" totalsRowShown="0" headerRowDxfId="853">
  <autoFilter ref="A1:BD31" xr:uid="{652AFEF1-86AC-4344-9300-855450C3FC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FDD5642-50A6-4712-AF01-3B791FE7A41D}" name="TEAM_ID" dataDxfId="909"/>
    <tableColumn id="2" xr3:uid="{44ECF9D9-0DB4-4AC6-83BF-C3C09720671F}" name="TEAM_NAME" dataDxfId="908"/>
    <tableColumn id="3" xr3:uid="{0E36C33E-06DB-4B0A-8D36-CADFDBD3DBEA}" name="GP" dataDxfId="907"/>
    <tableColumn id="4" xr3:uid="{FB9F638C-8A5B-4E2D-934D-8884401158E6}" name="W" dataDxfId="906"/>
    <tableColumn id="5" xr3:uid="{57C4173E-E947-4DD3-8E2C-D6738FCA0A30}" name="L" dataDxfId="905"/>
    <tableColumn id="6" xr3:uid="{65ACEA3A-910D-44C8-B659-D4E5E6F109B3}" name="W_PCT" dataDxfId="904"/>
    <tableColumn id="7" xr3:uid="{9B307390-6729-4099-9EEC-33F8C9DCD810}" name="MIN" dataDxfId="903"/>
    <tableColumn id="8" xr3:uid="{B49B7501-B15E-4DD8-AB98-6DFD33C21B46}" name="FGM" dataDxfId="902"/>
    <tableColumn id="9" xr3:uid="{0BE8BAE2-4A44-4243-8D16-4DD6FB3CC34B}" name="FGA" dataDxfId="901"/>
    <tableColumn id="10" xr3:uid="{777B5D52-602C-4772-BC60-297076039FC4}" name="FG_PCT" dataDxfId="900"/>
    <tableColumn id="11" xr3:uid="{551885D9-66B7-466F-AA25-7BA0866941AF}" name="FG3M" dataDxfId="899"/>
    <tableColumn id="12" xr3:uid="{B52A4DDE-E1F9-49EE-93A7-16DB5D39C8FF}" name="FG3A" dataDxfId="898"/>
    <tableColumn id="13" xr3:uid="{AAD09706-9492-43F5-9BB5-7F2ACE26184D}" name="FG3_PCT" dataDxfId="897"/>
    <tableColumn id="14" xr3:uid="{8F87FA40-E5D9-4F89-B9B7-7778D06C7111}" name="FTM" dataDxfId="896"/>
    <tableColumn id="15" xr3:uid="{EF137F57-7298-4437-83B7-EDCF849362DA}" name="FTA" dataDxfId="895"/>
    <tableColumn id="16" xr3:uid="{456570F3-E78D-4016-9797-B8D8B86EED44}" name="FT_PCT" dataDxfId="894"/>
    <tableColumn id="17" xr3:uid="{06C37116-FC23-45AB-9310-E2831649C95E}" name="OREB" dataDxfId="893"/>
    <tableColumn id="18" xr3:uid="{1A87182D-E2FC-4C2F-9B3B-0794820E62E8}" name="DREB" dataDxfId="892"/>
    <tableColumn id="19" xr3:uid="{70CFDF62-C595-45DA-A6AD-55EFF503559C}" name="REB" dataDxfId="891"/>
    <tableColumn id="20" xr3:uid="{C0702F71-C84D-42E2-A610-A913D96730A3}" name="AST" dataDxfId="890"/>
    <tableColumn id="21" xr3:uid="{7F4C210F-52D4-497F-841A-C7DFB4E904CB}" name="TOV" dataDxfId="889"/>
    <tableColumn id="22" xr3:uid="{B5FA6F50-FC13-465F-95DB-8319F662DECA}" name="STL" dataDxfId="888"/>
    <tableColumn id="23" xr3:uid="{ED972D79-C04A-437A-A8E6-2699BC175DAF}" name="BLK" dataDxfId="887"/>
    <tableColumn id="24" xr3:uid="{03FE9330-F5BE-4EA0-B944-C4D93D6D5F08}" name="BLKA" dataDxfId="886"/>
    <tableColumn id="25" xr3:uid="{90B5479E-4A47-4469-9BA7-6A4A9B3E8723}" name="PF" dataDxfId="885"/>
    <tableColumn id="26" xr3:uid="{BEC988FE-AF67-4545-AA08-CA150B7F157E}" name="PFD" dataDxfId="884"/>
    <tableColumn id="27" xr3:uid="{08D893F4-BAA7-4799-BBA0-E6A93865B015}" name="PTS" dataDxfId="883"/>
    <tableColumn id="28" xr3:uid="{79666347-057B-4D42-8702-5E1FDC055EA8}" name="PLUS_MINUS" dataDxfId="882"/>
    <tableColumn id="29" xr3:uid="{E6627F8A-ED3C-4FD2-B192-D080950BAF59}" name="GP_RANK" dataDxfId="881"/>
    <tableColumn id="30" xr3:uid="{D5588712-B6DF-42C5-A42C-8522C3B771E1}" name="W_RANK" dataDxfId="880"/>
    <tableColumn id="31" xr3:uid="{9B626893-53F4-4B3C-AC38-BDF4BAD5A07B}" name="L_RANK" dataDxfId="879"/>
    <tableColumn id="32" xr3:uid="{98A2A999-47FC-4A27-87FC-BA320368CC60}" name="W_PCT_RANK" dataDxfId="878"/>
    <tableColumn id="33" xr3:uid="{D8DEBF5C-CBDF-435B-8DEE-739148665681}" name="MIN_RANK" dataDxfId="877"/>
    <tableColumn id="34" xr3:uid="{42921E3E-7ACB-463A-A4F2-E37943776D7A}" name="FGM_RANK" dataDxfId="876"/>
    <tableColumn id="35" xr3:uid="{3A547EE7-1F3A-4B2B-8468-8F8D3521DEFF}" name="FGA_RANK" dataDxfId="875"/>
    <tableColumn id="36" xr3:uid="{99E3FEAC-081A-4ACB-860C-7FB96B6A6BCB}" name="FG_PCT_RANK" dataDxfId="874"/>
    <tableColumn id="37" xr3:uid="{0AE8525C-A231-47DE-A6F5-83DE0F27E9F1}" name="FG3M_RANK" dataDxfId="873"/>
    <tableColumn id="38" xr3:uid="{4B08578D-22C1-4523-8D88-78BE84089A2F}" name="FG3A_RANK" dataDxfId="872"/>
    <tableColumn id="39" xr3:uid="{26C5F179-86E3-4235-82A6-58F1A4DE1456}" name="FG3_PCT_RANK" dataDxfId="871"/>
    <tableColumn id="40" xr3:uid="{B63A6A3F-8308-4E25-BE91-99A4950BE533}" name="FTM_RANK" dataDxfId="870"/>
    <tableColumn id="41" xr3:uid="{68DF74CC-B158-43BF-BBED-EDC4DD97C0E5}" name="FTA_RANK" dataDxfId="869"/>
    <tableColumn id="42" xr3:uid="{5319D8F3-6657-4AC4-9607-6B101CD60C97}" name="FT_PCT_RANK" dataDxfId="868"/>
    <tableColumn id="43" xr3:uid="{26D0E18B-FBE3-48D7-9BF3-A507FBAB9320}" name="OREB_RANK" dataDxfId="867"/>
    <tableColumn id="44" xr3:uid="{05FD0507-05DF-428D-BE3A-3C6C8373CF83}" name="DREB_RANK" dataDxfId="866"/>
    <tableColumn id="45" xr3:uid="{F8C803BD-7B08-46D4-8CF8-2BEA101423D7}" name="REB_RANK" dataDxfId="865"/>
    <tableColumn id="46" xr3:uid="{2D0F06AA-7D35-4889-BF2C-A34DE20EAB35}" name="AST_RANK" dataDxfId="864"/>
    <tableColumn id="47" xr3:uid="{689E7D60-7D23-4CDA-8148-0429512E6089}" name="TOV_RANK" dataDxfId="863"/>
    <tableColumn id="48" xr3:uid="{69823995-6576-435A-AB4F-6D3CFAD52A65}" name="STL_RANK" dataDxfId="862"/>
    <tableColumn id="49" xr3:uid="{B043D1BD-DFE2-4F01-9070-C625A54585F4}" name="BLK_RANK" dataDxfId="861"/>
    <tableColumn id="50" xr3:uid="{D034A684-4750-480B-9088-0003394F8597}" name="BLKA_RANK" dataDxfId="860"/>
    <tableColumn id="51" xr3:uid="{C235CABD-3D74-40EE-B661-A6932C9E6613}" name="PF_RANK" dataDxfId="859"/>
    <tableColumn id="52" xr3:uid="{CEAA66E8-75E7-4E30-A258-07988AD9674D}" name="PFD_RANK" dataDxfId="858"/>
    <tableColumn id="53" xr3:uid="{49F65744-DDC4-475E-9AC5-F6BB503A2EA2}" name="PTS_RANK" dataDxfId="857"/>
    <tableColumn id="54" xr3:uid="{6B0195D6-6D30-4B28-8A12-A81B20076A1F}" name="PLUS_MINUS_RANK" dataDxfId="856"/>
    <tableColumn id="55" xr3:uid="{978BB934-D1A6-458F-95FB-62AA5D7F2E7A}" name="CFID" dataDxfId="855"/>
    <tableColumn id="56" xr3:uid="{12FEE84D-66D6-49E6-8DAC-2FE6C35C7E15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E35807-2C48-40FB-8BF6-CE3468FA7623}" name="TableAdvancedN" displayName="TableAdvancedN" ref="A1:AV31" totalsRowShown="0" headerRowDxfId="747">
  <autoFilter ref="A1:AV31" xr:uid="{0E8A5F4F-7BB3-477C-A38B-1FFDF01999C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6CE857B-E41A-4361-A93B-505016F9CE95}" name="TEAM_ID" dataDxfId="795"/>
    <tableColumn id="2" xr3:uid="{B4DB263C-1F34-48EF-A727-1BA8526F3135}" name="TEAM_NAME" dataDxfId="794"/>
    <tableColumn id="3" xr3:uid="{A71E4BA4-54FB-4F3C-B6B2-AD99E9D80B9E}" name="GP" dataDxfId="793"/>
    <tableColumn id="4" xr3:uid="{035FDE1C-35EC-435F-A6E3-7C58251EE92E}" name="W" dataDxfId="792"/>
    <tableColumn id="5" xr3:uid="{80426112-CC47-471B-96BC-8E906221A4D0}" name="L" dataDxfId="791"/>
    <tableColumn id="6" xr3:uid="{D0E72F26-C885-431F-A1F7-F3823BE6B3F1}" name="W_PCT" dataDxfId="790"/>
    <tableColumn id="7" xr3:uid="{3C0D3D82-A264-4517-85A7-495964CB941A}" name="MIN" dataDxfId="789"/>
    <tableColumn id="8" xr3:uid="{A1166A49-16F1-45D9-9759-75B2523AA37E}" name="E_OFF_RATING" dataDxfId="788"/>
    <tableColumn id="9" xr3:uid="{4A255CCD-01A9-4840-898D-41CA8DAF324F}" name="OFF_RATING" dataDxfId="787"/>
    <tableColumn id="10" xr3:uid="{6FC5222E-C0F7-4533-8B66-4783AC6AA221}" name="E_DEF_RATING" dataDxfId="786"/>
    <tableColumn id="11" xr3:uid="{84DA1114-BD85-4897-B54D-F906AFE8CD18}" name="DEF_RATING" dataDxfId="785"/>
    <tableColumn id="12" xr3:uid="{71C7CD93-0318-4537-9DB8-254531B2989B}" name="E_NET_RATING" dataDxfId="784"/>
    <tableColumn id="13" xr3:uid="{B9665103-2EA1-4B06-9D9F-09B7FC8DBE58}" name="NET_RATING" dataDxfId="783"/>
    <tableColumn id="14" xr3:uid="{135E5246-368A-413D-AB47-8330D20AC641}" name="AST_PCT" dataDxfId="782"/>
    <tableColumn id="15" xr3:uid="{727C72CE-E393-4F8C-82B5-39B7BE0EF145}" name="AST_TO" dataDxfId="781"/>
    <tableColumn id="16" xr3:uid="{E7468C1D-A6BD-47B4-A3A0-DBABF3F213DD}" name="AST_RATIO" dataDxfId="780"/>
    <tableColumn id="17" xr3:uid="{153C425E-3F05-4FE4-99A5-FE365FB8E34F}" name="OREB_PCT" dataDxfId="779"/>
    <tableColumn id="18" xr3:uid="{D382EE35-9AD4-47E0-9E67-853C9F51FB45}" name="DREB_PCT" dataDxfId="778"/>
    <tableColumn id="19" xr3:uid="{0C8E5BBC-F7B0-409E-A9D1-2D1A14C1D777}" name="REB_PCT" dataDxfId="777"/>
    <tableColumn id="20" xr3:uid="{DE4B2433-7CD0-44F2-AE69-471F73DCBFD2}" name="TM_TOV_PCT" dataDxfId="776"/>
    <tableColumn id="21" xr3:uid="{72226B55-9063-464B-A88A-AE218E9CDB32}" name="EFG_PCT" dataDxfId="775"/>
    <tableColumn id="22" xr3:uid="{201C31AB-D006-41CA-A093-DA87E0A850B7}" name="TS_PCT" dataDxfId="774"/>
    <tableColumn id="23" xr3:uid="{8350600A-F907-43F3-A459-5F81A261FD7A}" name="E_PACE" dataDxfId="773"/>
    <tableColumn id="24" xr3:uid="{F311898C-350A-454A-84A7-BD3AA48D7557}" name="PACE" dataDxfId="772"/>
    <tableColumn id="25" xr3:uid="{11EA3261-7866-49B9-A456-5B524AD8FBEC}" name="PACE_PER40" dataDxfId="771"/>
    <tableColumn id="26" xr3:uid="{E22C94A4-DC05-403C-A543-30706B46EE9A}" name="POSS" dataDxfId="770"/>
    <tableColumn id="27" xr3:uid="{3523D882-D381-4C53-8715-3C2A14DC9800}" name="PIE" dataDxfId="769"/>
    <tableColumn id="28" xr3:uid="{29E5EF49-8D09-46E6-A5D9-1F25F51326AA}" name="GP_RANK" dataDxfId="768"/>
    <tableColumn id="29" xr3:uid="{8DCADD43-F5D3-4D3B-9FB5-711AC7C89816}" name="W_RANK" dataDxfId="767"/>
    <tableColumn id="30" xr3:uid="{13A1B6A1-CE0B-474B-9587-AEC11056F511}" name="L_RANK" dataDxfId="766"/>
    <tableColumn id="31" xr3:uid="{93B63BF3-2E2A-42ED-AD85-1B2B6CB610C4}" name="W_PCT_RANK" dataDxfId="765"/>
    <tableColumn id="32" xr3:uid="{4513B2AD-A335-44DE-B23F-261A3D9E8F27}" name="MIN_RANK" dataDxfId="764"/>
    <tableColumn id="33" xr3:uid="{DA1CF55F-D1F0-4809-A0D0-346E2DAD401C}" name="OFF_RATING_RANK" dataDxfId="763"/>
    <tableColumn id="34" xr3:uid="{F5DA0FCB-5B9A-4949-8B1C-1A380E491F9C}" name="DEF_RATING_RANK" dataDxfId="762"/>
    <tableColumn id="35" xr3:uid="{4DC82CE2-8EDC-42C8-894E-C12ABDC27A99}" name="NET_RATING_RANK" dataDxfId="761"/>
    <tableColumn id="36" xr3:uid="{CE85365F-8ECD-4137-B99B-8039F33A7E60}" name="AST_PCT_RANK" dataDxfId="760"/>
    <tableColumn id="37" xr3:uid="{5C3835A4-73FE-4491-9E0B-C2E6E8E80A5A}" name="AST_TO_RANK" dataDxfId="759"/>
    <tableColumn id="38" xr3:uid="{B4D35A9A-59A4-4993-BC4B-E90F0B102C20}" name="AST_RATIO_RANK" dataDxfId="758"/>
    <tableColumn id="39" xr3:uid="{56E5231F-6F80-4552-8963-01377C0CE4B4}" name="OREB_PCT_RANK" dataDxfId="757"/>
    <tableColumn id="40" xr3:uid="{7BEAAE80-E268-4425-90C1-8882C49DDBB5}" name="DREB_PCT_RANK" dataDxfId="756"/>
    <tableColumn id="41" xr3:uid="{FA558F07-893B-46D9-8F0A-B4F460F4203C}" name="REB_PCT_RANK" dataDxfId="755"/>
    <tableColumn id="42" xr3:uid="{08218CD4-F21B-4974-B545-5955CF5E409E}" name="TM_TOV_PCT_RANK" dataDxfId="754"/>
    <tableColumn id="43" xr3:uid="{B2EAA2C5-76A1-4A76-BB79-F45302578DE5}" name="EFG_PCT_RANK" dataDxfId="753"/>
    <tableColumn id="44" xr3:uid="{C8799A35-83EF-4FE3-8620-5CADA16AF7F5}" name="TS_PCT_RANK" dataDxfId="752"/>
    <tableColumn id="45" xr3:uid="{84052098-88B7-447E-A423-FCB3814527D7}" name="PACE_RANK" dataDxfId="751"/>
    <tableColumn id="46" xr3:uid="{48D58DF6-14D2-4D23-8F72-7CE214AAFD01}" name="PIE_RANK" dataDxfId="750"/>
    <tableColumn id="47" xr3:uid="{68C83BB0-4E78-44DE-9A61-E0D291892825}" name="CFID" dataDxfId="749"/>
    <tableColumn id="48" xr3:uid="{4DB8E246-4C15-4844-8E8B-F1AF67E33DC4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3A3A404-8C1B-480F-8EE3-481040F89887}" name="TableAdvancedNStarters" displayName="TableAdvancedNStarters" ref="A1:AV31" totalsRowShown="0" headerRowDxfId="649">
  <autoFilter ref="A1:AV31" xr:uid="{65741A38-3AA4-4F56-8C45-5C8806D4A6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F6ED695-807B-46A4-933D-12242AFCFCD7}" name="TEAM_ID" dataDxfId="697"/>
    <tableColumn id="2" xr3:uid="{922B98F8-DB7C-40BC-902D-CD7E07A7D9F0}" name="TEAM_NAME" dataDxfId="696"/>
    <tableColumn id="3" xr3:uid="{98841314-49F7-418F-8366-74153872C99A}" name="GP" dataDxfId="695"/>
    <tableColumn id="4" xr3:uid="{F7FE9DCF-1109-452A-AC41-6315CA4838B8}" name="W" dataDxfId="694"/>
    <tableColumn id="5" xr3:uid="{2576DF1C-7A33-48BD-AC3D-F3D189A1AA1B}" name="L" dataDxfId="693"/>
    <tableColumn id="6" xr3:uid="{C8E65F1E-13D3-4C61-8B01-C2C3B4711DB5}" name="W_PCT" dataDxfId="692"/>
    <tableColumn id="7" xr3:uid="{17329F54-CBC4-4DB1-BC39-E836D397F580}" name="MIN" dataDxfId="691"/>
    <tableColumn id="8" xr3:uid="{5B6490E6-EFE6-45C6-BF80-4FD29F85BE31}" name="E_OFF_RATING" dataDxfId="690"/>
    <tableColumn id="9" xr3:uid="{4711FF62-7F00-430B-9F69-08C52EBE841A}" name="OFF_RATING" dataDxfId="689"/>
    <tableColumn id="10" xr3:uid="{D59D5E48-376C-49D4-AF46-E365791F45FC}" name="E_DEF_RATING" dataDxfId="688"/>
    <tableColumn id="11" xr3:uid="{9DCF0876-3E6F-4BFE-A96C-369B8ED80C78}" name="DEF_RATING" dataDxfId="687"/>
    <tableColumn id="12" xr3:uid="{18AEFDAF-45E7-4F4F-B142-07EAB33A594E}" name="E_NET_RATING" dataDxfId="686"/>
    <tableColumn id="13" xr3:uid="{2E02EE72-61DA-4A58-8C22-C09C1AFED724}" name="NET_RATING" dataDxfId="685"/>
    <tableColumn id="14" xr3:uid="{A4342E5F-058F-49C5-8D7F-C8288471C227}" name="AST_PCT" dataDxfId="684"/>
    <tableColumn id="15" xr3:uid="{7CB744FB-FBEB-4B43-92B6-4DBEB0538FC9}" name="AST_TO" dataDxfId="683"/>
    <tableColumn id="16" xr3:uid="{1704A1FF-341D-40B6-BAEF-CFBEFECC9007}" name="AST_RATIO" dataDxfId="682"/>
    <tableColumn id="17" xr3:uid="{FB0D1074-0069-42DD-A739-A69829C2DFFF}" name="OREB_PCT" dataDxfId="681"/>
    <tableColumn id="18" xr3:uid="{1AEA2460-176D-465C-AE87-2EF0BB751981}" name="DREB_PCT" dataDxfId="680"/>
    <tableColumn id="19" xr3:uid="{11D940C1-7819-4FA5-A65B-847D66ED1B95}" name="REB_PCT" dataDxfId="679"/>
    <tableColumn id="20" xr3:uid="{2A7B0707-B2F8-40ED-A44B-2AA6E265D319}" name="TM_TOV_PCT" dataDxfId="678"/>
    <tableColumn id="21" xr3:uid="{D78DA4D6-E6EA-47B1-83B4-DE27F1680B0B}" name="EFG_PCT" dataDxfId="677"/>
    <tableColumn id="22" xr3:uid="{DB8097D7-0612-4099-A4D0-8DE693FA3103}" name="TS_PCT" dataDxfId="676"/>
    <tableColumn id="23" xr3:uid="{0788F291-2A2F-4C2A-B1EF-F1AFFE022F06}" name="E_PACE" dataDxfId="675"/>
    <tableColumn id="24" xr3:uid="{854AF2FF-7826-48B5-B0FD-8791D32C03FF}" name="PACE" dataDxfId="674"/>
    <tableColumn id="25" xr3:uid="{F3EC62FC-3AAE-4A2B-930E-517F2C8A2390}" name="PACE_PER40" dataDxfId="673"/>
    <tableColumn id="26" xr3:uid="{108E8B1C-A64A-406F-8C29-60DD089552E8}" name="POSS" dataDxfId="672"/>
    <tableColumn id="27" xr3:uid="{4B5D6A05-55A1-49D1-864C-D4C2D741C65A}" name="PIE" dataDxfId="671"/>
    <tableColumn id="28" xr3:uid="{820A5D7B-B563-455E-9EAE-CB5EE3619CEC}" name="GP_RANK" dataDxfId="670"/>
    <tableColumn id="29" xr3:uid="{F5FADDBD-8E38-4D52-8AC9-9C35456F9CE9}" name="W_RANK" dataDxfId="669"/>
    <tableColumn id="30" xr3:uid="{98827CA6-8475-4509-B1FD-01DF760E2E06}" name="L_RANK" dataDxfId="668"/>
    <tableColumn id="31" xr3:uid="{C1E4C5C5-3A90-4BCB-9630-AF8FEFE8066E}" name="W_PCT_RANK" dataDxfId="667"/>
    <tableColumn id="32" xr3:uid="{E3A8259E-FFD9-4EDA-9BE2-B625AABBD1B4}" name="MIN_RANK" dataDxfId="666"/>
    <tableColumn id="33" xr3:uid="{807AF0AF-561C-4D5B-AC31-2B40374671F1}" name="OFF_RATING_RANK" dataDxfId="665"/>
    <tableColumn id="34" xr3:uid="{FA5E5F65-64E2-4B37-B52B-3AEE9952AFBA}" name="DEF_RATING_RANK" dataDxfId="664"/>
    <tableColumn id="35" xr3:uid="{AC7497F4-AC1E-4FEF-8881-A0115B7C1DDE}" name="NET_RATING_RANK" dataDxfId="663"/>
    <tableColumn id="36" xr3:uid="{E665E0D4-1618-459E-8439-3B47B26E3E74}" name="AST_PCT_RANK" dataDxfId="662"/>
    <tableColumn id="37" xr3:uid="{A1C16608-2234-4A1E-B237-D2BC4EB42E27}" name="AST_TO_RANK" dataDxfId="661"/>
    <tableColumn id="38" xr3:uid="{9AE53CC7-F93B-4037-90DD-9E0AB8CAD190}" name="AST_RATIO_RANK" dataDxfId="660"/>
    <tableColumn id="39" xr3:uid="{D105501A-68F0-4F9D-A74B-35B2743DDED8}" name="OREB_PCT_RANK" dataDxfId="659"/>
    <tableColumn id="40" xr3:uid="{09BE85BB-D607-4E09-867E-001A60FE6571}" name="DREB_PCT_RANK" dataDxfId="658"/>
    <tableColumn id="41" xr3:uid="{6AB3A86C-CD42-4B10-9F7C-2E783AE0193C}" name="REB_PCT_RANK" dataDxfId="657"/>
    <tableColumn id="42" xr3:uid="{DA0872D4-1DE8-478E-92D0-BDC0600B8355}" name="TM_TOV_PCT_RANK" dataDxfId="656"/>
    <tableColumn id="43" xr3:uid="{4FACB5DB-3BBE-4863-B4FA-B88DB9F39614}" name="EFG_PCT_RANK" dataDxfId="655"/>
    <tableColumn id="44" xr3:uid="{0EA1443A-D49B-42B4-8AF1-2296A480C98F}" name="TS_PCT_RANK" dataDxfId="654"/>
    <tableColumn id="45" xr3:uid="{387A4567-F830-4A5E-B22E-44923CBFE32B}" name="PACE_RANK" dataDxfId="653"/>
    <tableColumn id="46" xr3:uid="{957EFF1D-1CBF-4DA0-A4AE-4E95D9E3201F}" name="PIE_RANK" dataDxfId="652"/>
    <tableColumn id="47" xr3:uid="{0D783F17-BC49-4D61-BAAC-2204BEAC30BC}" name="CFID" dataDxfId="651"/>
    <tableColumn id="48" xr3:uid="{74188434-F225-4BDA-BFEE-05A9612FA087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3052F2A-15A0-4C74-9BCF-3184A35FF400}" name="TableAdvancedNBench" displayName="TableAdvancedNBench" ref="A1:AV31" totalsRowShown="0" headerRowDxfId="551">
  <autoFilter ref="A1:AV31" xr:uid="{27CDE4B6-3E8D-41D7-B28D-4B999D7024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65CDC508-474D-4253-8E93-659AF1E6EEBE}" name="TEAM_ID" dataDxfId="599"/>
    <tableColumn id="2" xr3:uid="{348B02CF-F9B6-4E77-AE30-87D24E3C0BB8}" name="TEAM_NAME" dataDxfId="598"/>
    <tableColumn id="3" xr3:uid="{028325E7-3589-4305-99A0-A596F8D973AC}" name="GP" dataDxfId="597"/>
    <tableColumn id="4" xr3:uid="{5F6FAFE8-E123-4997-AB4D-FF379383B31D}" name="W" dataDxfId="596"/>
    <tableColumn id="5" xr3:uid="{F308397D-1124-4C17-9255-05346EEAC279}" name="L" dataDxfId="595"/>
    <tableColumn id="6" xr3:uid="{F2538A10-C35D-4685-B4F6-02D3B409E5ED}" name="W_PCT" dataDxfId="594"/>
    <tableColumn id="7" xr3:uid="{C5724D9C-A061-4C9E-A57B-08EDBE0D2CD7}" name="MIN" dataDxfId="593"/>
    <tableColumn id="8" xr3:uid="{0AA7DB3B-6514-43F8-AFB5-5E3939CC083A}" name="E_OFF_RATING" dataDxfId="592"/>
    <tableColumn id="9" xr3:uid="{5A51CFF9-B959-40E8-8F9E-E81845475E11}" name="OFF_RATING" dataDxfId="591"/>
    <tableColumn id="10" xr3:uid="{63B63A54-1581-4CF5-8F02-D7E50E2AEB74}" name="E_DEF_RATING" dataDxfId="590"/>
    <tableColumn id="11" xr3:uid="{8A10103E-6016-4C11-A483-F255D6DABAD4}" name="DEF_RATING" dataDxfId="589"/>
    <tableColumn id="12" xr3:uid="{E7AC26A9-3D24-40E6-9CD3-B0ECF97A62A6}" name="E_NET_RATING" dataDxfId="588"/>
    <tableColumn id="13" xr3:uid="{18AC67C2-3D47-4067-B7B8-365E36A04E98}" name="NET_RATING" dataDxfId="587"/>
    <tableColumn id="14" xr3:uid="{C8BBDA03-2D2A-46EB-AC9D-8715B3723EF8}" name="AST_PCT" dataDxfId="586"/>
    <tableColumn id="15" xr3:uid="{FBC25540-6B73-4E75-86F9-3B4791686486}" name="AST_TO" dataDxfId="585"/>
    <tableColumn id="16" xr3:uid="{1FEF7F51-25FF-41E6-B4AA-EA69E78C71AE}" name="AST_RATIO" dataDxfId="584"/>
    <tableColumn id="17" xr3:uid="{8171CBDC-EB31-4192-8725-330D292BC803}" name="OREB_PCT" dataDxfId="583"/>
    <tableColumn id="18" xr3:uid="{EEA05D96-894B-4B1F-955A-6376816FA1F6}" name="DREB_PCT" dataDxfId="582"/>
    <tableColumn id="19" xr3:uid="{C310332A-031C-4978-A057-2E9E10EFF8B1}" name="REB_PCT" dataDxfId="581"/>
    <tableColumn id="20" xr3:uid="{0B244A0A-B236-4B05-AD11-9898616923AD}" name="TM_TOV_PCT" dataDxfId="580"/>
    <tableColumn id="21" xr3:uid="{E914765D-FA80-4B52-B1A0-020B66298BF0}" name="EFG_PCT" dataDxfId="579"/>
    <tableColumn id="22" xr3:uid="{19E8E2C4-831A-4F90-9843-A5A2FAED6097}" name="TS_PCT" dataDxfId="578"/>
    <tableColumn id="23" xr3:uid="{DED9FDB2-B182-426B-B172-3EAEF255B224}" name="E_PACE" dataDxfId="577"/>
    <tableColumn id="24" xr3:uid="{9E80B41B-C954-4399-8254-7C864AC54DF1}" name="PACE" dataDxfId="576"/>
    <tableColumn id="25" xr3:uid="{A011B324-9AE9-4992-A22E-F3950FDABC65}" name="PACE_PER40" dataDxfId="575"/>
    <tableColumn id="26" xr3:uid="{D40A4A54-9F21-42C0-880B-BB881D09229F}" name="POSS" dataDxfId="574"/>
    <tableColumn id="27" xr3:uid="{848271B1-7F69-4FD7-B6C1-36647AD5407D}" name="PIE" dataDxfId="573"/>
    <tableColumn id="28" xr3:uid="{92145DE8-9516-4AB3-8589-57B279125ADF}" name="GP_RANK" dataDxfId="572"/>
    <tableColumn id="29" xr3:uid="{35F5298D-6E55-4B7C-ACDA-BF5619FEF2ED}" name="W_RANK" dataDxfId="571"/>
    <tableColumn id="30" xr3:uid="{17393B9C-BE0A-46EE-B322-0F91D456060F}" name="L_RANK" dataDxfId="570"/>
    <tableColumn id="31" xr3:uid="{0F0DCE8D-A0A3-4F57-B40B-74ECD153B8C1}" name="W_PCT_RANK" dataDxfId="569"/>
    <tableColumn id="32" xr3:uid="{09DB5C0C-A35A-4A8C-806A-31A102F31D28}" name="MIN_RANK" dataDxfId="568"/>
    <tableColumn id="33" xr3:uid="{B897A6F8-2211-4EEA-B3A0-FCAE38701619}" name="OFF_RATING_RANK" dataDxfId="567"/>
    <tableColumn id="34" xr3:uid="{6AF8922A-FA04-4E73-819D-E1537AA3F4E2}" name="DEF_RATING_RANK" dataDxfId="566"/>
    <tableColumn id="35" xr3:uid="{EF0F2384-16F1-4075-B9FD-36379C543CE0}" name="NET_RATING_RANK" dataDxfId="565"/>
    <tableColumn id="36" xr3:uid="{CB19390A-7031-4AC3-A43B-F7DEB78B4BFA}" name="AST_PCT_RANK" dataDxfId="564"/>
    <tableColumn id="37" xr3:uid="{8C26AAB0-FD49-460F-BE10-F72ADC4788B0}" name="AST_TO_RANK" dataDxfId="563"/>
    <tableColumn id="38" xr3:uid="{AEE0473D-42DF-4871-98C5-79174DEDCF58}" name="AST_RATIO_RANK" dataDxfId="562"/>
    <tableColumn id="39" xr3:uid="{5B179465-5308-4D2C-9CA0-7234EB7A09FF}" name="OREB_PCT_RANK" dataDxfId="561"/>
    <tableColumn id="40" xr3:uid="{2EEECBD9-6A97-4BCA-8299-4F4379D1A3A5}" name="DREB_PCT_RANK" dataDxfId="560"/>
    <tableColumn id="41" xr3:uid="{790A4792-9109-456E-A946-AF4BF3890C9E}" name="REB_PCT_RANK" dataDxfId="559"/>
    <tableColumn id="42" xr3:uid="{97620D08-D7E4-457D-BBD9-804CECB38EE6}" name="TM_TOV_PCT_RANK" dataDxfId="558"/>
    <tableColumn id="43" xr3:uid="{A7F4D637-8487-45D6-BE3B-F3B645F8A491}" name="EFG_PCT_RANK" dataDxfId="557"/>
    <tableColumn id="44" xr3:uid="{41BAC89E-C451-4CB3-B4C0-D127C23A57CF}" name="TS_PCT_RANK" dataDxfId="556"/>
    <tableColumn id="45" xr3:uid="{D2575A26-41CB-455B-A5B5-A4995120EAC8}" name="PACE_RANK" dataDxfId="555"/>
    <tableColumn id="46" xr3:uid="{0D03336A-ADD6-4270-936A-999C8FEF3C91}" name="PIE_RANK" dataDxfId="554"/>
    <tableColumn id="47" xr3:uid="{96C44AAF-7A31-4038-B999-D2A0A69B3D4B}" name="CFID" dataDxfId="553"/>
    <tableColumn id="48" xr3:uid="{A153638E-A072-4FC2-90D9-CB9FA14A8964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26C6C49-059D-413F-B97D-A38E46B790DD}" name="TableMiscN" displayName="TableMiscN" ref="A1:AD31" totalsRowShown="0" headerRowDxfId="471">
  <autoFilter ref="A1:AD31" xr:uid="{266D921B-4CCC-4645-9E2D-B639A596BEE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86E988DD-24DE-434D-AD1F-587605463C04}" name="TEAM_ID" dataDxfId="501"/>
    <tableColumn id="2" xr3:uid="{67161D95-BA94-41EE-A32D-919F9FC564A0}" name="TEAM_NAME" dataDxfId="500"/>
    <tableColumn id="3" xr3:uid="{D6AA1D17-91B0-4AD4-B907-B8B7184EBF69}" name="GP" dataDxfId="499"/>
    <tableColumn id="4" xr3:uid="{C26A5CE0-45BB-4501-823A-262432FF778E}" name="W" dataDxfId="498"/>
    <tableColumn id="5" xr3:uid="{059C8815-E780-4695-A80C-56A479A60BCD}" name="L" dataDxfId="497"/>
    <tableColumn id="6" xr3:uid="{BCEE2FD1-3CED-427D-9ACE-B95EA64C4A74}" name="W_PCT" dataDxfId="496"/>
    <tableColumn id="7" xr3:uid="{3327F548-3624-4C15-ABA1-519B2FDA4940}" name="MIN" dataDxfId="495"/>
    <tableColumn id="8" xr3:uid="{DB3ABF05-FD07-44FE-A332-947B0935717D}" name="PTS_OFF_TOV" dataDxfId="494"/>
    <tableColumn id="9" xr3:uid="{24CBD435-E3AF-4319-A848-15C47E8CBBE7}" name="PTS_2ND_CHANCE" dataDxfId="493"/>
    <tableColumn id="10" xr3:uid="{80161A21-84F6-48C1-AFE9-7B90542FE2F5}" name="PTS_FB" dataDxfId="492"/>
    <tableColumn id="11" xr3:uid="{22800A05-2826-4816-A16E-05E46A7F2D78}" name="PTS_PAINT" dataDxfId="491"/>
    <tableColumn id="12" xr3:uid="{3E0FAA62-3DB3-412E-BA2D-AE7DC664D9BC}" name="OPP_PTS_OFF_TOV" dataDxfId="490"/>
    <tableColumn id="13" xr3:uid="{B547D9F8-A6B2-4CDD-9F4A-CF8DE1A7D152}" name="OPP_PTS_2ND_CHANCE" dataDxfId="489"/>
    <tableColumn id="14" xr3:uid="{D7EEA2B7-160B-4BAA-AB0B-04F954820977}" name="OPP_PTS_FB" dataDxfId="488"/>
    <tableColumn id="15" xr3:uid="{F982C0F8-6AAB-4EA3-8B50-1C1BA0AB0C7A}" name="OPP_PTS_PAINT" dataDxfId="487"/>
    <tableColumn id="16" xr3:uid="{C2B75549-870E-4CBB-B987-2434F6ACB68B}" name="GP_RANK" dataDxfId="486"/>
    <tableColumn id="17" xr3:uid="{3087E70A-8D6F-46CA-8DFF-EF60C3BAE875}" name="W_RANK" dataDxfId="485"/>
    <tableColumn id="18" xr3:uid="{54F3181E-F648-499C-BADC-F39D9D38AEA3}" name="L_RANK" dataDxfId="484"/>
    <tableColumn id="19" xr3:uid="{538D0F59-580A-4BB8-AC23-E214A7713631}" name="W_PCT_RANK" dataDxfId="483"/>
    <tableColumn id="20" xr3:uid="{5D861FFE-093A-4CC9-B267-E83BA56A339A}" name="MIN_RANK" dataDxfId="482"/>
    <tableColumn id="21" xr3:uid="{67152432-14CF-42C1-A4BA-9CB11C80D3D1}" name="PTS_OFF_TOV_RANK" dataDxfId="481"/>
    <tableColumn id="22" xr3:uid="{4EC7073F-7E96-4FCB-BF54-B28B576DA6A7}" name="PTS_2ND_CHANCE_RANK" dataDxfId="480"/>
    <tableColumn id="23" xr3:uid="{79FA297F-DB20-44CF-8B23-9718F6545BD5}" name="PTS_FB_RANK" dataDxfId="479"/>
    <tableColumn id="24" xr3:uid="{AC148513-1FD5-4E70-8E9F-8B840D5874CC}" name="PTS_PAINT_RANK" dataDxfId="478"/>
    <tableColumn id="25" xr3:uid="{D6121E23-4DB1-41DE-8274-7086C7E07759}" name="OPP_PTS_OFF_TOV_RANK" dataDxfId="477"/>
    <tableColumn id="26" xr3:uid="{56476F28-23D7-449C-80A9-9DE7FBC393B1}" name="OPP_PTS_2ND_CHANCE_RANK" dataDxfId="476"/>
    <tableColumn id="27" xr3:uid="{8327CF5A-17E6-4F43-9491-4CE1D548633E}" name="OPP_PTS_FB_RANK" dataDxfId="475"/>
    <tableColumn id="28" xr3:uid="{F754EDDA-38DE-4BFB-9ACC-E2EF12A91E26}" name="OPP_PTS_PAINT_RANK" dataDxfId="474"/>
    <tableColumn id="29" xr3:uid="{4343DBC4-06B0-4729-9AD5-3C595B0CA2F6}" name="CFID" dataDxfId="473"/>
    <tableColumn id="30" xr3:uid="{2EF6ECDB-48F2-466D-ADA4-309D3F7CE232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2AF0A6C-199B-4958-92A2-D8091434D588}" name="TableOppBaseN" displayName="TableOppBaseN" ref="A1:BD31" totalsRowShown="0" headerRowDxfId="383">
  <autoFilter ref="A1:BD31" xr:uid="{B469F8B5-3F94-42A7-B360-2EA7D4B8C6D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6FADE14-F551-47C2-9BC7-8A1A653F5D7C}" name="TEAM_ID" dataDxfId="439"/>
    <tableColumn id="2" xr3:uid="{6B8E14C8-FF78-47ED-96B7-1EC250283C59}" name="TEAM_NAME" dataDxfId="438"/>
    <tableColumn id="3" xr3:uid="{7FC0A7D9-3F54-4C1B-B296-A852809ABC5C}" name="GP" dataDxfId="437"/>
    <tableColumn id="4" xr3:uid="{F774587E-A851-4DAD-BFCF-8BCC5B911F79}" name="W" dataDxfId="436"/>
    <tableColumn id="5" xr3:uid="{1D77E9B0-042F-4F4F-9A1A-3237EC9380E3}" name="L" dataDxfId="435"/>
    <tableColumn id="6" xr3:uid="{63713A55-D6FB-40A7-9385-44BC1FA2A8B0}" name="W_PCT" dataDxfId="434"/>
    <tableColumn id="7" xr3:uid="{5FB7ADF5-5736-4B23-9C70-A42EC247DB83}" name="MIN" dataDxfId="433"/>
    <tableColumn id="8" xr3:uid="{0C4B905E-EC68-420E-85A9-5486FCB78186}" name="OPP_FGM" dataDxfId="432"/>
    <tableColumn id="9" xr3:uid="{6CF700BC-FD89-44DE-A99D-45FE7CC2D80F}" name="OPP_FGA" dataDxfId="431"/>
    <tableColumn id="10" xr3:uid="{E67261ED-6CA8-4851-8B5A-0C0E53780EDA}" name="OPP_FG_PCT" dataDxfId="430"/>
    <tableColumn id="11" xr3:uid="{F4D9AB44-BA6B-4437-8560-6A7097A2D50A}" name="OPP_FG3M" dataDxfId="429"/>
    <tableColumn id="12" xr3:uid="{3AA5A2EC-C404-430A-916A-AD2F839C2F71}" name="OPP_FG3A" dataDxfId="428"/>
    <tableColumn id="13" xr3:uid="{C770400F-AAC1-4D63-AAB5-35089BE4F40E}" name="OPP_FG3_PCT" dataDxfId="427"/>
    <tableColumn id="14" xr3:uid="{C964FA80-C330-4519-8654-8297207B2683}" name="OPP_FTM" dataDxfId="426"/>
    <tableColumn id="15" xr3:uid="{D003CD38-3549-420B-9750-E0C28B6AB58B}" name="OPP_FTA" dataDxfId="425"/>
    <tableColumn id="16" xr3:uid="{96A68F0C-565B-4E1B-9400-C86F794DC6C5}" name="OPP_FT_PCT" dataDxfId="424"/>
    <tableColumn id="17" xr3:uid="{67532F75-5359-4DC0-A741-8ADF324F68C6}" name="OPP_OREB" dataDxfId="423"/>
    <tableColumn id="18" xr3:uid="{F77FF043-2854-4FE4-B286-92072A5B251B}" name="OPP_DREB" dataDxfId="422"/>
    <tableColumn id="19" xr3:uid="{0EDEE898-8CE1-45A4-95C6-9DCDD509C902}" name="OPP_REB" dataDxfId="421"/>
    <tableColumn id="20" xr3:uid="{45679802-F61D-4CC5-B562-2CE84F76F53F}" name="OPP_AST" dataDxfId="420"/>
    <tableColumn id="21" xr3:uid="{1E3E4563-9047-4D6A-9FE7-B41729496C59}" name="OPP_TOV" dataDxfId="419"/>
    <tableColumn id="22" xr3:uid="{5B50A591-1D67-431D-AACB-836B5AD258B4}" name="OPP_STL" dataDxfId="418"/>
    <tableColumn id="23" xr3:uid="{A50D9067-D9BD-4676-8DB9-3AEA205C1A99}" name="OPP_BLK" dataDxfId="417"/>
    <tableColumn id="24" xr3:uid="{E2AC25C6-CF36-4479-8D7D-38C229D854D4}" name="OPP_BLKA" dataDxfId="416"/>
    <tableColumn id="25" xr3:uid="{73038E78-1E6A-472B-AD8A-150FFF146635}" name="OPP_PF" dataDxfId="415"/>
    <tableColumn id="26" xr3:uid="{AF6E2BF9-6BFD-4C9A-A8BD-C17110439E42}" name="OPP_PFD" dataDxfId="414"/>
    <tableColumn id="27" xr3:uid="{D1C2839C-4BCB-47DF-ABF0-B8C86FDED25A}" name="OPP_PTS" dataDxfId="413"/>
    <tableColumn id="28" xr3:uid="{8B0DB4E1-0ED2-466E-84A1-FC499F5D6C35}" name="PLUS_MINUS" dataDxfId="412"/>
    <tableColumn id="29" xr3:uid="{869E609B-5483-46F4-945A-01F02D4E8959}" name="GP_RANK" dataDxfId="411"/>
    <tableColumn id="30" xr3:uid="{7AB5ACE5-9582-4C5F-A65A-49CA1DE4301F}" name="W_RANK" dataDxfId="410"/>
    <tableColumn id="31" xr3:uid="{45B71CEC-938B-422D-BEE8-75E14483EA91}" name="L_RANK" dataDxfId="409"/>
    <tableColumn id="32" xr3:uid="{613AF209-2950-4301-A326-CDDE903185BE}" name="W_PCT_RANK" dataDxfId="408"/>
    <tableColumn id="33" xr3:uid="{116B7090-A0BC-439A-98F8-DF65FD60AEDE}" name="MIN_RANK" dataDxfId="407"/>
    <tableColumn id="34" xr3:uid="{EFC90FFE-FC23-4D40-B102-3A8B9EC341EE}" name="OPP_FGM_RANK" dataDxfId="406"/>
    <tableColumn id="35" xr3:uid="{E8F74B19-3D0C-48F3-83B6-5E59734606C8}" name="OPP_FGA_RANK" dataDxfId="405"/>
    <tableColumn id="36" xr3:uid="{F365769B-FD4D-4432-A39B-F73A4F968BEB}" name="OPP_FG_PCT_RANK" dataDxfId="404"/>
    <tableColumn id="37" xr3:uid="{844020AE-D5CD-4A4D-A4DC-6E5A362FD6FA}" name="OPP_FG3M_RANK" dataDxfId="403"/>
    <tableColumn id="38" xr3:uid="{65BE5653-05FD-47E6-8A16-11B1AC1AAD62}" name="OPP_FG3A_RANK" dataDxfId="402"/>
    <tableColumn id="39" xr3:uid="{7D38ECBF-06EE-4579-9D0B-FCBF5EBC4299}" name="OPP_FG3_PCT_RANK" dataDxfId="401"/>
    <tableColumn id="40" xr3:uid="{6996547F-2498-4895-9BDF-9BCDE7458C3D}" name="OPP_FTM_RANK" dataDxfId="400"/>
    <tableColumn id="41" xr3:uid="{74AECF03-93B4-45E3-8BD4-2ECD17DFFFE3}" name="OPP_FTA_RANK" dataDxfId="399"/>
    <tableColumn id="42" xr3:uid="{04507466-7F46-4D3F-8012-FB494661855D}" name="OPP_FT_PCT_RANK" dataDxfId="398"/>
    <tableColumn id="43" xr3:uid="{180FE4D6-08DF-4D09-BF5E-40E64D213B6D}" name="OPP_OREB_RANK" dataDxfId="397"/>
    <tableColumn id="44" xr3:uid="{55C4D988-FD9E-46A7-9863-2458CDF52BA0}" name="OPP_DREB_RANK" dataDxfId="396"/>
    <tableColumn id="45" xr3:uid="{1EA98743-C5CF-435B-A4C2-032AB6F8CD95}" name="OPP_REB_RANK" dataDxfId="395"/>
    <tableColumn id="46" xr3:uid="{A184289B-A724-492A-B16A-29F52ACA1B8B}" name="OPP_AST_RANK" dataDxfId="394"/>
    <tableColumn id="47" xr3:uid="{56C8121B-6945-4AFF-AC5C-3582F38054DB}" name="OPP_TOV_RANK" dataDxfId="393"/>
    <tableColumn id="48" xr3:uid="{3CE06B90-E188-409B-8448-A28EAF00AA0B}" name="OPP_STL_RANK" dataDxfId="392"/>
    <tableColumn id="49" xr3:uid="{0A6FCFD7-5A9B-4CE6-A9F0-3BF27068374B}" name="OPP_BLK_RANK" dataDxfId="391"/>
    <tableColumn id="50" xr3:uid="{BE4BC9F4-62E0-4175-B3DE-26D19470D1CB}" name="OPP_BLKA_RANK" dataDxfId="390"/>
    <tableColumn id="51" xr3:uid="{67349EEE-C5F1-4639-BEFA-A677C55DF96A}" name="OPP_PF_RANK" dataDxfId="389"/>
    <tableColumn id="52" xr3:uid="{89F2315F-F605-4657-BD36-E7CFCED024FE}" name="OPP_PFD_RANK" dataDxfId="388"/>
    <tableColumn id="53" xr3:uid="{CD9D20C4-DDD1-4CD0-8857-8B16116EE803}" name="OPP_PTS_RANK" dataDxfId="387"/>
    <tableColumn id="54" xr3:uid="{B177F111-4D15-436B-A9EE-1B043B3CA808}" name="PLUS_MINUS_RANK" dataDxfId="386"/>
    <tableColumn id="55" xr3:uid="{219C219F-5F90-4C1C-A2C4-A07A8D86EEC2}" name="CFID" dataDxfId="385"/>
    <tableColumn id="56" xr3:uid="{C5423B2D-9151-45A8-B757-8832878AA793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5600D-CE9D-4DE0-A733-8C0080242ED0}" name="TableClutchBaseN" displayName="TableClutchBaseN" ref="A1:BD31" totalsRowShown="0" headerRowDxfId="269">
  <autoFilter ref="A1:BD31" xr:uid="{08E67260-2D4D-41D0-A69C-442E1A35F6F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C233449-56D4-410B-81BC-E3AA6FE334D5}" name="TEAM_ID" dataDxfId="325"/>
    <tableColumn id="2" xr3:uid="{86F86F4A-6875-4604-B2AB-F3E6A3B851B8}" name="TEAM_NAME" dataDxfId="324"/>
    <tableColumn id="3" xr3:uid="{5D80D8EC-CE70-48E6-A7ED-DEC19AA4F812}" name="GP" dataDxfId="323"/>
    <tableColumn id="4" xr3:uid="{2AC564DF-D0DC-46EB-8E99-D8481A8058D9}" name="W" dataDxfId="322"/>
    <tableColumn id="5" xr3:uid="{E09FBA69-E905-4A4F-9A42-C2994B4C75E1}" name="L" dataDxfId="321"/>
    <tableColumn id="6" xr3:uid="{98176207-1190-4CD2-9C1F-5812B71234FA}" name="W_PCT" dataDxfId="320"/>
    <tableColumn id="7" xr3:uid="{F22DD440-96AC-4269-8205-5F562830C93E}" name="MIN" dataDxfId="319"/>
    <tableColumn id="8" xr3:uid="{B84FFED6-A141-4493-B418-E882627D934F}" name="FGM" dataDxfId="318"/>
    <tableColumn id="9" xr3:uid="{04CC71CB-79CC-47E3-B247-9A14E6FE8375}" name="FGA" dataDxfId="317"/>
    <tableColumn id="10" xr3:uid="{FB12D54F-D07E-4F55-B5D8-63B74A3B08FC}" name="FG_PCT" dataDxfId="316"/>
    <tableColumn id="11" xr3:uid="{49B3792F-7153-492D-8BB4-F34EF68B6786}" name="FG3M" dataDxfId="315"/>
    <tableColumn id="12" xr3:uid="{712CB338-143B-413D-9545-2190289C4887}" name="FG3A" dataDxfId="314"/>
    <tableColumn id="13" xr3:uid="{51437BA4-55BB-4DAC-9827-C906087FDF49}" name="FG3_PCT" dataDxfId="313"/>
    <tableColumn id="14" xr3:uid="{C0ED5FDC-FF46-4D97-AD21-36D153CE7E13}" name="FTM" dataDxfId="312"/>
    <tableColumn id="15" xr3:uid="{6D2624FA-39F1-4D59-9DAB-4D69F7BB5D20}" name="FTA" dataDxfId="311"/>
    <tableColumn id="16" xr3:uid="{47B87E62-7474-43FD-9E17-15BC337B099E}" name="FT_PCT" dataDxfId="310"/>
    <tableColumn id="17" xr3:uid="{DCB7F89D-4613-4F87-85C7-237A9581DF8E}" name="OREB" dataDxfId="309"/>
    <tableColumn id="18" xr3:uid="{3F81C24F-AA77-4225-8C8B-384C505D00BC}" name="DREB" dataDxfId="308"/>
    <tableColumn id="19" xr3:uid="{9D8488E8-A997-48D8-89AC-2CD4EAFC4B4A}" name="REB" dataDxfId="307"/>
    <tableColumn id="20" xr3:uid="{2A73C4F4-884D-48EB-B46A-A2392ED5328C}" name="AST" dataDxfId="306"/>
    <tableColumn id="21" xr3:uid="{3C5420D8-83AF-4F0B-BF2B-28D76738BF8A}" name="TOV" dataDxfId="305"/>
    <tableColumn id="22" xr3:uid="{BAD002C3-9257-4BE3-B3BE-3B8F0CDC0445}" name="STL" dataDxfId="304"/>
    <tableColumn id="23" xr3:uid="{F040158C-9FC2-48A7-BB2F-C705B017259F}" name="BLK" dataDxfId="303"/>
    <tableColumn id="24" xr3:uid="{91BD6889-CC70-4284-970E-AF37CA677516}" name="BLKA" dataDxfId="302"/>
    <tableColumn id="25" xr3:uid="{EDC9460A-04A5-413C-8147-11157FB7AB1B}" name="PF" dataDxfId="301"/>
    <tableColumn id="26" xr3:uid="{5E2095F6-05B5-4201-BFD6-FDD68381DE87}" name="PFD" dataDxfId="300"/>
    <tableColumn id="27" xr3:uid="{157B19DE-9FC5-407C-B2A0-18C2C1934647}" name="PTS" dataDxfId="299"/>
    <tableColumn id="28" xr3:uid="{95435F45-4558-47B7-84DC-12B0A0E63DA6}" name="PLUS_MINUS" dataDxfId="298"/>
    <tableColumn id="29" xr3:uid="{5A6808CD-B2FF-4562-9AA9-216811C6B38E}" name="GP_RANK" dataDxfId="297"/>
    <tableColumn id="30" xr3:uid="{9FF20640-5DB0-45F6-A103-919D1C01E12A}" name="W_RANK" dataDxfId="296"/>
    <tableColumn id="31" xr3:uid="{5F483155-4718-4A1E-A21B-F6208445402E}" name="L_RANK" dataDxfId="295"/>
    <tableColumn id="32" xr3:uid="{132D72A1-1DDE-4CA3-B18A-1DDCC4DBDCB4}" name="W_PCT_RANK" dataDxfId="294"/>
    <tableColumn id="33" xr3:uid="{97653D0D-B98E-448D-A155-D500CEFE1984}" name="MIN_RANK" dataDxfId="293"/>
    <tableColumn id="34" xr3:uid="{9B03304A-5861-4E73-8E15-9D1762CE2E53}" name="FGM_RANK" dataDxfId="292"/>
    <tableColumn id="35" xr3:uid="{B3AD1EA0-6C7C-4335-8A7C-39D5015BA0D9}" name="FGA_RANK" dataDxfId="291"/>
    <tableColumn id="36" xr3:uid="{082222C8-BA4A-455E-BE58-84A7F72A956C}" name="FG_PCT_RANK" dataDxfId="290"/>
    <tableColumn id="37" xr3:uid="{9E900FEE-36AB-4AE2-994F-6A1BDC45534E}" name="FG3M_RANK" dataDxfId="289"/>
    <tableColumn id="38" xr3:uid="{F61E4696-FA28-417E-9EFA-6756D61FE942}" name="FG3A_RANK" dataDxfId="288"/>
    <tableColumn id="39" xr3:uid="{897D570C-4D83-4A99-AB65-FB0792739F2C}" name="FG3_PCT_RANK" dataDxfId="287"/>
    <tableColumn id="40" xr3:uid="{E6D821EC-5D66-4B5F-BA22-05CAFE3457B6}" name="FTM_RANK" dataDxfId="286"/>
    <tableColumn id="41" xr3:uid="{79B485FB-78DC-48DE-AF52-77EC127A0C23}" name="FTA_RANK" dataDxfId="285"/>
    <tableColumn id="42" xr3:uid="{DEB77E5D-25A1-4E0F-82D4-F56C8570ADB4}" name="FT_PCT_RANK" dataDxfId="284"/>
    <tableColumn id="43" xr3:uid="{A061466A-F42C-45D4-9B85-4B926914929F}" name="OREB_RANK" dataDxfId="283"/>
    <tableColumn id="44" xr3:uid="{B54D05A7-B724-4478-90F9-A4E45E097C17}" name="DREB_RANK" dataDxfId="282"/>
    <tableColumn id="45" xr3:uid="{EE25EFCF-9E94-4F47-9FDE-205E5CA33855}" name="REB_RANK" dataDxfId="281"/>
    <tableColumn id="46" xr3:uid="{CC2B093A-1998-4C53-AFEF-F06AF63CB115}" name="AST_RANK" dataDxfId="280"/>
    <tableColumn id="47" xr3:uid="{A9B7E1DB-3D12-4268-85A4-4FC245C4B653}" name="TOV_RANK" dataDxfId="279"/>
    <tableColumn id="48" xr3:uid="{07428D18-27B8-43EB-BF41-14D241F5104B}" name="STL_RANK" dataDxfId="278"/>
    <tableColumn id="49" xr3:uid="{D7C8887E-0810-40FA-99C1-0F7108DBF451}" name="BLK_RANK" dataDxfId="277"/>
    <tableColumn id="50" xr3:uid="{10119626-A71C-4DB6-AF33-7FE0876947E8}" name="BLKA_RANK" dataDxfId="276"/>
    <tableColumn id="51" xr3:uid="{39134354-39F0-4C47-B709-29864FD4109C}" name="PF_RANK" dataDxfId="275"/>
    <tableColumn id="52" xr3:uid="{8D4CA369-2204-42F3-8257-E3B33C04B0E5}" name="PFD_RANK" dataDxfId="274"/>
    <tableColumn id="53" xr3:uid="{ABB003B2-AD5D-4E00-B1B7-B446B5416058}" name="PTS_RANK" dataDxfId="273"/>
    <tableColumn id="54" xr3:uid="{A0F5D8DA-FE87-48A2-913D-D6594283A1CE}" name="PLUS_MINUS_RANK" dataDxfId="272"/>
    <tableColumn id="55" xr3:uid="{D2189BFC-D85D-460E-9E9C-5054F3CC9E10}" name="CFID" dataDxfId="271"/>
    <tableColumn id="56" xr3:uid="{EC46A46F-044A-471D-8093-9A81EEDE2806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748B6A-B105-46B0-9197-B59C35B1E8D5}" name="TableClutchOpponentN" displayName="TableClutchOpponentN" ref="A1:BD31" totalsRowShown="0" headerRowDxfId="155">
  <autoFilter ref="A1:BD31" xr:uid="{2B16874B-84D8-4F12-B48E-C38A74A959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43641BF-3E91-48FA-88A7-DA98E75745BB}" name="TEAM_ID" dataDxfId="211"/>
    <tableColumn id="2" xr3:uid="{7151E43A-3A7E-4FC6-A10F-5C9D4FAC475C}" name="TEAM_NAME" dataDxfId="210"/>
    <tableColumn id="3" xr3:uid="{3AEA157D-4ADB-4F4C-961D-BB0BDBAC8969}" name="GP" dataDxfId="209"/>
    <tableColumn id="4" xr3:uid="{E1633CF0-3930-461D-8BBB-EAFAB9790799}" name="W" dataDxfId="208"/>
    <tableColumn id="5" xr3:uid="{CAC7A8A4-CEF9-4FAB-8015-8F314E60864C}" name="L" dataDxfId="207"/>
    <tableColumn id="6" xr3:uid="{50ED1B03-D97F-4139-A8F4-C82C0697F7CB}" name="W_PCT" dataDxfId="206"/>
    <tableColumn id="7" xr3:uid="{382198C0-8943-44AC-96F4-903E0EB51E36}" name="MIN" dataDxfId="205"/>
    <tableColumn id="8" xr3:uid="{43FD3F37-15B3-4BBB-94B8-3107F3C58531}" name="OPP_FGM" dataDxfId="204"/>
    <tableColumn id="9" xr3:uid="{4CB571BE-A8E7-4AB0-B60C-93CAD31950C4}" name="OPP_FGA" dataDxfId="203"/>
    <tableColumn id="10" xr3:uid="{2D5F793A-FB58-4297-B42E-4DD0510568FD}" name="OPP_FG_PCT" dataDxfId="202"/>
    <tableColumn id="11" xr3:uid="{9CBA5C18-E4FA-4219-8106-2E91B35968FC}" name="OPP_FG3M" dataDxfId="201"/>
    <tableColumn id="12" xr3:uid="{DEB59015-3B7D-48D4-AE7E-E0716A2499CB}" name="OPP_FG3A" dataDxfId="200"/>
    <tableColumn id="13" xr3:uid="{9213AA06-1F34-4969-A6EA-504C339A8935}" name="OPP_FG3_PCT" dataDxfId="199"/>
    <tableColumn id="14" xr3:uid="{D197D4DC-D07E-486D-A42A-D1B88635417C}" name="OPP_FTM" dataDxfId="198"/>
    <tableColumn id="15" xr3:uid="{2B3E0902-526F-430D-93D4-84BB9B2F0B6C}" name="OPP_FTA" dataDxfId="197"/>
    <tableColumn id="16" xr3:uid="{4CA9F13C-784A-4142-8431-233C27CE2AF6}" name="OPP_FT_PCT" dataDxfId="196"/>
    <tableColumn id="17" xr3:uid="{1F4A7FA7-4FE0-452A-A43B-43CC579DD5E4}" name="OPP_OREB" dataDxfId="195"/>
    <tableColumn id="18" xr3:uid="{9233D73D-7DF0-413F-9105-7159E47D8811}" name="OPP_DREB" dataDxfId="194"/>
    <tableColumn id="19" xr3:uid="{57BC1DE5-FAAE-4D54-A4A2-6BD0EA1844B8}" name="OPP_REB" dataDxfId="193"/>
    <tableColumn id="20" xr3:uid="{8DD77AB3-457D-4A47-88E9-90667FDFBFFC}" name="OPP_AST" dataDxfId="192"/>
    <tableColumn id="21" xr3:uid="{A18D8107-44F5-4320-9A30-4DA7E65A13A1}" name="OPP_TOV" dataDxfId="191"/>
    <tableColumn id="22" xr3:uid="{71532357-53BD-4267-8709-F4F288811A77}" name="OPP_STL" dataDxfId="190"/>
    <tableColumn id="23" xr3:uid="{B2E1762D-50B8-461C-A8CA-B8142D397075}" name="OPP_BLK" dataDxfId="189"/>
    <tableColumn id="24" xr3:uid="{7AB74CE6-3731-405F-B1BC-FB85071ABFCD}" name="OPP_BLKA" dataDxfId="188"/>
    <tableColumn id="25" xr3:uid="{1A847C78-E1D7-47B1-B0C0-B4A5A3D1ABF1}" name="OPP_PF" dataDxfId="187"/>
    <tableColumn id="26" xr3:uid="{FF757097-567D-4A28-8094-B355DF2A58BD}" name="OPP_PFD" dataDxfId="186"/>
    <tableColumn id="27" xr3:uid="{425C4476-14D7-42BF-A316-F16E9E655568}" name="OPP_PTS" dataDxfId="185"/>
    <tableColumn id="28" xr3:uid="{02831992-AE84-4754-9C9C-9F8010401336}" name="PLUS_MINUS" dataDxfId="184"/>
    <tableColumn id="29" xr3:uid="{6AC96D6E-A340-44B9-AA25-9B33577D207F}" name="GP_RANK" dataDxfId="183"/>
    <tableColumn id="30" xr3:uid="{95765BA4-9619-41B4-AD6E-F9371205492E}" name="W_RANK" dataDxfId="182"/>
    <tableColumn id="31" xr3:uid="{2005B4F3-E560-4884-88DD-DD7CB865AB58}" name="L_RANK" dataDxfId="181"/>
    <tableColumn id="32" xr3:uid="{C178A05C-5121-4582-A8EB-1BD524FEA525}" name="W_PCT_RANK" dataDxfId="180"/>
    <tableColumn id="33" xr3:uid="{F21FD6ED-4CA9-40BE-937F-DD0FEEFDC491}" name="MIN_RANK" dataDxfId="179"/>
    <tableColumn id="34" xr3:uid="{40F2308A-CEAE-4293-90F0-102034E202AC}" name="OPP_FGM_RANK" dataDxfId="178"/>
    <tableColumn id="35" xr3:uid="{B9181467-544F-437A-B1B0-D0125FD64DDA}" name="OPP_FGA_RANK" dataDxfId="177"/>
    <tableColumn id="36" xr3:uid="{F4A9C478-14A1-44A7-BA09-757CFC988691}" name="OPP_FG_PCT_RANK" dataDxfId="176"/>
    <tableColumn id="37" xr3:uid="{C5F942E8-8794-4586-911E-084B5271EAC5}" name="OPP_FG3M_RANK" dataDxfId="175"/>
    <tableColumn id="38" xr3:uid="{7AD5D0B0-71EB-42C4-815A-4E0E926AEA94}" name="OPP_FG3A_RANK" dataDxfId="174"/>
    <tableColumn id="39" xr3:uid="{B8EFF455-CDBC-40C0-B905-20494E91205E}" name="OPP_FG3_PCT_RANK" dataDxfId="173"/>
    <tableColumn id="40" xr3:uid="{CC202AA2-49AC-467D-80FB-14BC2435B6D0}" name="OPP_FTM_RANK" dataDxfId="172"/>
    <tableColumn id="41" xr3:uid="{10008D7B-65FD-4CAA-ACAA-D6A7D33B0E97}" name="OPP_FTA_RANK" dataDxfId="171"/>
    <tableColumn id="42" xr3:uid="{94EC610C-D882-456A-B069-5A969FAA1212}" name="OPP_FT_PCT_RANK" dataDxfId="170"/>
    <tableColumn id="43" xr3:uid="{57123E6F-DE73-46D9-87B1-98BC32760762}" name="OPP_OREB_RANK" dataDxfId="169"/>
    <tableColumn id="44" xr3:uid="{75B463BF-1C8F-4182-8D92-57340CB63AA0}" name="OPP_DREB_RANK" dataDxfId="168"/>
    <tableColumn id="45" xr3:uid="{796849E2-1C7E-409B-A85E-92A317095DD4}" name="OPP_REB_RANK" dataDxfId="167"/>
    <tableColumn id="46" xr3:uid="{2AB3A0B7-F363-4659-80BF-FD31B8B3127D}" name="OPP_AST_RANK" dataDxfId="166"/>
    <tableColumn id="47" xr3:uid="{E27EB1DB-EFFE-45AA-809D-DA1B59B502DB}" name="OPP_TOV_RANK" dataDxfId="165"/>
    <tableColumn id="48" xr3:uid="{E1D8E10F-2661-49C8-87CD-E98E7275E96D}" name="OPP_STL_RANK" dataDxfId="164"/>
    <tableColumn id="49" xr3:uid="{575B631B-D1B9-4BE1-8E01-5EAEAC65AFDF}" name="OPP_BLK_RANK" dataDxfId="163"/>
    <tableColumn id="50" xr3:uid="{672ADF57-C5B8-4225-B836-E646C032700A}" name="OPP_BLKA_RANK" dataDxfId="162"/>
    <tableColumn id="51" xr3:uid="{48577853-0B1E-4637-9EBC-83F2C37FA3E2}" name="OPP_PF_RANK" dataDxfId="161"/>
    <tableColumn id="52" xr3:uid="{AFBFA871-F1CC-475B-B825-1724F02EC069}" name="OPP_PFD_RANK" dataDxfId="160"/>
    <tableColumn id="53" xr3:uid="{E213493F-814A-4B1C-9ABE-18FF73FE92EE}" name="OPP_PTS_RANK" dataDxfId="159"/>
    <tableColumn id="54" xr3:uid="{222FF5C7-A9E9-4FF1-BF93-CF71516E03AC}" name="PLUS_MINUS_RANK" dataDxfId="158"/>
    <tableColumn id="55" xr3:uid="{3C679805-8E87-4D79-86A5-780B5DB8174E}" name="CFID" dataDxfId="157"/>
    <tableColumn id="56" xr3:uid="{74ADF8C1-18D8-4140-B8CD-E6758A77E750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A4D1681-665A-44DC-9E89-5738FCA3A2B7}" name="TableClutchAdvancedN" displayName="TableClutchAdvancedN" ref="A1:AV31" totalsRowShown="0" headerRowDxfId="49">
  <autoFilter ref="A1:AV31" xr:uid="{83D877E1-C68B-46E9-92D5-0855665110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5126747-3E9B-400F-9267-53E34B319B02}" name="TEAM_ID" dataDxfId="97"/>
    <tableColumn id="2" xr3:uid="{D127058F-E809-4D99-9D1E-2F331591CC31}" name="TEAM_NAME" dataDxfId="96"/>
    <tableColumn id="3" xr3:uid="{C3E170E9-72AE-405B-B42A-534A21BDB301}" name="GP" dataDxfId="95"/>
    <tableColumn id="4" xr3:uid="{14636D8E-A7DA-4814-871F-173093925166}" name="W" dataDxfId="94"/>
    <tableColumn id="5" xr3:uid="{8180097A-46D3-4F6C-80A4-FDFD53B1A4D1}" name="L" dataDxfId="93"/>
    <tableColumn id="6" xr3:uid="{534DB50B-0676-4710-A2FE-A01939272D50}" name="W_PCT" dataDxfId="92"/>
    <tableColumn id="7" xr3:uid="{CF5E6DF2-B456-49CA-A5B7-936404498BB4}" name="MIN" dataDxfId="91"/>
    <tableColumn id="8" xr3:uid="{843EBADA-E392-4EE6-9906-CB64D1CBFFD0}" name="E_OFF_RATING" dataDxfId="90"/>
    <tableColumn id="9" xr3:uid="{7501278F-1ECC-43E8-8326-26489BC800F2}" name="OFF_RATING" dataDxfId="89"/>
    <tableColumn id="10" xr3:uid="{7049A898-A11A-4F56-9C63-375526BAEC60}" name="E_DEF_RATING" dataDxfId="88"/>
    <tableColumn id="11" xr3:uid="{8093E011-FB54-4EBD-BE2C-C79DD19BC9E7}" name="DEF_RATING" dataDxfId="87"/>
    <tableColumn id="12" xr3:uid="{15AB9816-586B-4FCE-A3D9-6DC7BBE994B4}" name="E_NET_RATING" dataDxfId="86"/>
    <tableColumn id="13" xr3:uid="{FB7E4298-3C86-4113-8E6A-2FD7F7A009B3}" name="NET_RATING" dataDxfId="85"/>
    <tableColumn id="14" xr3:uid="{980268E1-3D9C-4148-8B2F-9B6E2F8A87E0}" name="AST_PCT" dataDxfId="84"/>
    <tableColumn id="15" xr3:uid="{45A00CCB-4C04-4B65-AC7B-60648AEB2E9A}" name="AST_TO" dataDxfId="83"/>
    <tableColumn id="16" xr3:uid="{48B8DEBE-1364-4AD9-801D-7FF9F164971B}" name="AST_RATIO" dataDxfId="82"/>
    <tableColumn id="17" xr3:uid="{D2DDA632-FF7E-4E12-BCA9-508CD0DBAA6E}" name="OREB_PCT" dataDxfId="81"/>
    <tableColumn id="18" xr3:uid="{E679CB90-EAB7-4F1E-972F-66B251412422}" name="DREB_PCT" dataDxfId="80"/>
    <tableColumn id="19" xr3:uid="{1337AAA5-10BE-47D8-ABC8-AB32AAA245E2}" name="REB_PCT" dataDxfId="79"/>
    <tableColumn id="20" xr3:uid="{0594BA9C-4B89-4BFB-AC46-E1258E170968}" name="TM_TOV_PCT" dataDxfId="78"/>
    <tableColumn id="21" xr3:uid="{D6A7F4B0-89F6-41C2-8F01-A046AFE7FC7F}" name="EFG_PCT" dataDxfId="77"/>
    <tableColumn id="22" xr3:uid="{72D6E674-9A68-478A-80BA-408F592C936E}" name="TS_PCT" dataDxfId="76"/>
    <tableColumn id="23" xr3:uid="{B8C58E7A-B615-497F-9542-9F4C05EFF0C2}" name="E_PACE" dataDxfId="75"/>
    <tableColumn id="24" xr3:uid="{4466B65F-3AD1-4560-9488-C1C660735883}" name="PACE" dataDxfId="74"/>
    <tableColumn id="25" xr3:uid="{55125AD1-18BC-47E9-8D0F-426E1EC81E96}" name="PACE_PER40" dataDxfId="73"/>
    <tableColumn id="26" xr3:uid="{676CC490-024D-4311-B4EE-97AD123F335A}" name="POSS" dataDxfId="72"/>
    <tableColumn id="27" xr3:uid="{3C34B487-AEDB-41C6-8246-87FB7E61CB4B}" name="PIE" dataDxfId="71"/>
    <tableColumn id="28" xr3:uid="{5AD4CC09-C546-48E6-A9E2-948D071925A0}" name="GP_RANK" dataDxfId="70"/>
    <tableColumn id="29" xr3:uid="{18B47B43-7BB6-448B-A7D3-6DC0F14447DD}" name="W_RANK" dataDxfId="69"/>
    <tableColumn id="30" xr3:uid="{29CBECAA-FEBE-4403-B78F-B0764EF7B586}" name="L_RANK" dataDxfId="68"/>
    <tableColumn id="31" xr3:uid="{D67161B0-7D44-4D39-AA64-B62607C295CA}" name="W_PCT_RANK" dataDxfId="67"/>
    <tableColumn id="32" xr3:uid="{40893C75-D93F-44C6-B2FE-6CE293004790}" name="MIN_RANK" dataDxfId="66"/>
    <tableColumn id="33" xr3:uid="{A58DAB9C-FF7E-4EEC-8725-26E4AD9B2D59}" name="OFF_RATING_RANK" dataDxfId="65"/>
    <tableColumn id="34" xr3:uid="{067530EF-377A-410A-9F38-6CDF7635D263}" name="DEF_RATING_RANK" dataDxfId="64"/>
    <tableColumn id="35" xr3:uid="{7C93B5C8-EFDA-4A3A-A219-1B6FA388BADC}" name="NET_RATING_RANK" dataDxfId="63"/>
    <tableColumn id="36" xr3:uid="{2BAD056B-114B-4242-AB6A-A9264BABC026}" name="AST_PCT_RANK" dataDxfId="62"/>
    <tableColumn id="37" xr3:uid="{6D81B6D5-2CE3-4D51-B05C-64D0A3CBBBFC}" name="AST_TO_RANK" dataDxfId="61"/>
    <tableColumn id="38" xr3:uid="{9092845A-DF92-4FB8-A0B5-582D849ACD56}" name="AST_RATIO_RANK" dataDxfId="60"/>
    <tableColumn id="39" xr3:uid="{79126FE8-A68F-45ED-93EA-17CAC2BA6F09}" name="OREB_PCT_RANK" dataDxfId="59"/>
    <tableColumn id="40" xr3:uid="{ECA9BABE-5170-49CA-AFC7-54BA19F357BD}" name="DREB_PCT_RANK" dataDxfId="58"/>
    <tableColumn id="41" xr3:uid="{F741F6E1-9FEF-4C81-B46C-B98845C041D1}" name="REB_PCT_RANK" dataDxfId="57"/>
    <tableColumn id="42" xr3:uid="{2EB7557D-DD0E-4885-8690-EE4DC5354F12}" name="TM_TOV_PCT_RANK" dataDxfId="56"/>
    <tableColumn id="43" xr3:uid="{4D25D8E2-D8BD-479D-A7B1-59794F85A1DD}" name="EFG_PCT_RANK" dataDxfId="55"/>
    <tableColumn id="44" xr3:uid="{015A79DB-E00E-4004-B49D-DD99EA957F2F}" name="TS_PCT_RANK" dataDxfId="54"/>
    <tableColumn id="45" xr3:uid="{9E1B0F16-41BA-4FA0-A143-5ABC1849ED17}" name="PACE_RANK" dataDxfId="53"/>
    <tableColumn id="46" xr3:uid="{3548753E-1602-4B75-B562-B44996D32E7E}" name="PIE_RANK" dataDxfId="52"/>
    <tableColumn id="47" xr3:uid="{7D2AF605-9B55-4B4B-BAB7-9226B4997049}" name="CFID" dataDxfId="51"/>
    <tableColumn id="48" xr3:uid="{63CE8B4B-D241-49D4-925E-391D05470A62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5059B6-55C2-463B-A238-F6F25CFBDB9A}" name="TableStandingsN1" displayName="TableStandingsN1" ref="A1:CC31" totalsRowShown="0" headerRowDxfId="910">
  <autoFilter ref="A1:CC31" xr:uid="{B420961F-10AB-487C-AF98-E1F0E306AB8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64DC8F6E-496E-46D9-84F1-3B934D51ECFB}" name="LeagueID" dataDxfId="991"/>
    <tableColumn id="2" xr3:uid="{1C89E27C-92A6-48DC-B456-A3D2DC9D1F9A}" name="SeasonID" dataDxfId="990"/>
    <tableColumn id="3" xr3:uid="{9FE964F4-67DD-4BD7-84A6-7BA2E03676AB}" name="TeamID" dataDxfId="989"/>
    <tableColumn id="4" xr3:uid="{2D1FA0B5-F997-40CF-88C5-5CAD03FE0380}" name="TeamCity" dataDxfId="988"/>
    <tableColumn id="5" xr3:uid="{B7358BDD-E0C2-4016-801D-518B23998585}" name="TeamName" dataDxfId="987"/>
    <tableColumn id="6" xr3:uid="{46577831-F388-40EE-8F9B-7709F9CC05A9}" name="Conference" dataDxfId="986"/>
    <tableColumn id="7" xr3:uid="{267ADBB8-C15E-411D-9823-9099406790B4}" name="ConferenceRecord" dataDxfId="985"/>
    <tableColumn id="8" xr3:uid="{E9B2704F-0522-4768-8DD8-D48FEBE3F87A}" name="PlayoffRank" dataDxfId="984"/>
    <tableColumn id="9" xr3:uid="{43DBAB2B-D9FE-48FB-9343-F60D679D6358}" name="ClinchIndicator" dataDxfId="983"/>
    <tableColumn id="10" xr3:uid="{25B35E78-9E98-49D5-9533-7943247456AA}" name="Division" dataDxfId="982"/>
    <tableColumn id="11" xr3:uid="{CCAA5F0D-46E6-4D9C-A711-332552F4CFB8}" name="DivisionRecord" dataDxfId="981"/>
    <tableColumn id="12" xr3:uid="{7A4F410D-6E22-44D8-A946-62F354B97CF9}" name="DivisionRank" dataDxfId="980"/>
    <tableColumn id="13" xr3:uid="{9963BC8D-E233-43BC-8948-64DD41806AFF}" name="WINS" dataDxfId="979"/>
    <tableColumn id="14" xr3:uid="{E6FB6681-D17B-4802-AC29-631AD64C1B65}" name="LOSSES" dataDxfId="978"/>
    <tableColumn id="15" xr3:uid="{5029BFFD-36E8-4D6C-BD68-30AA9999854B}" name="WinPCT" dataDxfId="977"/>
    <tableColumn id="16" xr3:uid="{278E0EB6-B4B4-486E-9D2C-52EB116F9720}" name="LeagueRank" dataDxfId="976"/>
    <tableColumn id="17" xr3:uid="{38AC3260-02CF-490D-A62B-A01776E8116A}" name="Record" dataDxfId="975"/>
    <tableColumn id="18" xr3:uid="{D31336FE-890E-49FF-AFB9-153FAB6576E2}" name="HOME" dataDxfId="974"/>
    <tableColumn id="19" xr3:uid="{51C72472-E7DC-4992-8D08-DE96C8E34802}" name="ROAD" dataDxfId="973"/>
    <tableColumn id="20" xr3:uid="{899BF945-1A27-4A32-9813-DC2D2958D498}" name="L10" dataDxfId="972"/>
    <tableColumn id="21" xr3:uid="{C7948196-D938-4005-A0C1-FCAA8979AC83}" name="Last10Home" dataDxfId="971"/>
    <tableColumn id="22" xr3:uid="{D5EA150D-AF20-4223-A596-553DD9DB3E0D}" name="Last10Road" dataDxfId="970"/>
    <tableColumn id="23" xr3:uid="{9E105216-7C6B-4982-84C0-3322FE63FFC5}" name="OT" dataDxfId="969"/>
    <tableColumn id="24" xr3:uid="{B6FB93EC-EA32-4103-BE4B-50E4F59C3003}" name="ThreePTSOrLess" dataDxfId="968"/>
    <tableColumn id="25" xr3:uid="{9BEBD6A3-91A9-4F25-A2A7-027836546CBD}" name="TenPTSOrMore" dataDxfId="967"/>
    <tableColumn id="26" xr3:uid="{7FB5D0B7-8140-49FD-8C86-0255FC07CE37}" name="LongHomeStreak" dataDxfId="966"/>
    <tableColumn id="27" xr3:uid="{A621516A-782B-4A5A-9DB5-00BC32B6AE9B}" name="strLongHomeStreak" dataDxfId="965"/>
    <tableColumn id="28" xr3:uid="{925D0384-EC3A-44C0-AAF7-09D572674EB0}" name="LongRoadStreak" dataDxfId="964"/>
    <tableColumn id="29" xr3:uid="{94E1A388-E44B-451A-A411-319A331954C6}" name="strLongRoadStreak" dataDxfId="963"/>
    <tableColumn id="30" xr3:uid="{293450CF-6188-4832-9298-7350F7667F32}" name="LongWinStreak" dataDxfId="962"/>
    <tableColumn id="31" xr3:uid="{2E8A5B90-BC8C-4264-84A6-798278DE0C00}" name="LongLossStreak" dataDxfId="961"/>
    <tableColumn id="32" xr3:uid="{33496361-4D19-47BF-BB5A-B1EFF699002D}" name="CurrentHomeStreak" dataDxfId="960"/>
    <tableColumn id="33" xr3:uid="{F16AB8EA-D8A8-4683-9985-D437354F453B}" name="strCurrentHomeStreak" dataDxfId="959"/>
    <tableColumn id="34" xr3:uid="{E2673912-DE3F-4431-B008-821876374153}" name="CurrentRoadStreak" dataDxfId="958"/>
    <tableColumn id="35" xr3:uid="{4EB7B1FB-1293-4990-95FD-0CDC3AA5CBCC}" name="strCurrentRoadStreak" dataDxfId="957"/>
    <tableColumn id="36" xr3:uid="{8125786D-5557-4E67-AF1C-D32129D5A4BF}" name="CurrentStreak" dataDxfId="956"/>
    <tableColumn id="37" xr3:uid="{C3D19F35-E306-4210-B2EF-4021BBE641CE}" name="strCurrentStreak" dataDxfId="955"/>
    <tableColumn id="38" xr3:uid="{CA3C9E33-13CF-4A37-AED3-4CB04201BE69}" name="ConferenceGamesBack" dataDxfId="954"/>
    <tableColumn id="39" xr3:uid="{4C5E3B61-A6A1-4D38-980E-486B09903859}" name="DivisionGamesBack" dataDxfId="953"/>
    <tableColumn id="40" xr3:uid="{6C4F152B-EE33-4672-95E2-ABC8999A1455}" name="ClinchedConferenceTitle" dataDxfId="952"/>
    <tableColumn id="41" xr3:uid="{F338F476-2998-4323-BEE7-EBC39A806EFC}" name="ClinchedDivisionTitle" dataDxfId="951"/>
    <tableColumn id="42" xr3:uid="{BF05E722-3895-4F71-8A0E-3C15A44BBF44}" name="ClinchedPlayoffBirth" dataDxfId="950"/>
    <tableColumn id="43" xr3:uid="{94E39A00-720D-4A78-BBF9-CBAE01B7ABBF}" name="EliminatedConference" dataDxfId="949"/>
    <tableColumn id="44" xr3:uid="{C801056E-95BB-4A39-A239-BA897F803476}" name="EliminatedDivision" dataDxfId="948"/>
    <tableColumn id="45" xr3:uid="{01EEFCCC-39B8-40D7-8EEC-D058F8DD68BD}" name="AheadAtHalf" dataDxfId="947"/>
    <tableColumn id="46" xr3:uid="{9DF85A2E-BC53-47B8-A8C8-09971156E4FB}" name="BehindAtHalf" dataDxfId="946"/>
    <tableColumn id="47" xr3:uid="{AB78B524-5915-454F-A4E3-D2C057814920}" name="TiedAtHalf" dataDxfId="945"/>
    <tableColumn id="48" xr3:uid="{C40F8BB1-9BEE-4785-894C-BCA116088180}" name="AheadAtThird" dataDxfId="944"/>
    <tableColumn id="49" xr3:uid="{7CF9D382-BD94-4D5B-89AB-58AB30A3A6E0}" name="BehindAtThird" dataDxfId="943"/>
    <tableColumn id="50" xr3:uid="{17949361-B032-485C-B7A7-7AC67239999C}" name="TiedAtThird" dataDxfId="942"/>
    <tableColumn id="51" xr3:uid="{68F1A87B-D2D1-40FE-9362-4EDA1256527C}" name="Score100PTS" dataDxfId="941"/>
    <tableColumn id="52" xr3:uid="{8F4C6018-192B-44FA-9453-728697B59A75}" name="OppScore100PTS" dataDxfId="940"/>
    <tableColumn id="53" xr3:uid="{BA86CA5F-9D92-4A41-BC40-4DAAED747FA2}" name="OppOver500" dataDxfId="939"/>
    <tableColumn id="54" xr3:uid="{0A871DC0-E676-460A-A567-D535688CCCE7}" name="LeadInFGPCT" dataDxfId="938"/>
    <tableColumn id="55" xr3:uid="{1C36A619-C2A4-4A33-B09F-CB7AEB7EF0E6}" name="LeadInReb" dataDxfId="937"/>
    <tableColumn id="56" xr3:uid="{5B148A1F-5569-490C-A7F2-1FD6CA8AF90C}" name="FewerTurnovers" dataDxfId="936"/>
    <tableColumn id="57" xr3:uid="{28DDF5E0-90CA-4AAE-88BB-97CC99217EC3}" name="PointsPG" dataDxfId="935"/>
    <tableColumn id="58" xr3:uid="{88131E8A-A1A4-4341-B388-D6951123BE95}" name="OppPointsPG" dataDxfId="934"/>
    <tableColumn id="59" xr3:uid="{D06CCD81-8D32-4775-B171-3BAE103EAA93}" name="DiffPointsPG" dataDxfId="933"/>
    <tableColumn id="60" xr3:uid="{2D9DFF37-AD6A-4627-A90D-7E4C40988F2D}" name="vsEast" dataDxfId="932"/>
    <tableColumn id="61" xr3:uid="{B99AA3CB-0528-45C4-8718-4149AE2ECFF4}" name="vsAtlantic" dataDxfId="931"/>
    <tableColumn id="62" xr3:uid="{9B03989E-B856-4833-B362-5CC13844B51D}" name="vsCentral" dataDxfId="930"/>
    <tableColumn id="63" xr3:uid="{B9E71479-FE90-4953-B967-103777D595F1}" name="vsSoutheast" dataDxfId="929"/>
    <tableColumn id="64" xr3:uid="{2DE59A17-1DF1-4B7F-8666-540EC8073C1B}" name="vsWest" dataDxfId="928"/>
    <tableColumn id="65" xr3:uid="{C20AEA53-EB3D-44EF-850C-2B4F212C9731}" name="vsNorthwest" dataDxfId="927"/>
    <tableColumn id="66" xr3:uid="{C8FC6583-36B4-4AEF-BA7C-C1088735668C}" name="vsPacific" dataDxfId="926"/>
    <tableColumn id="67" xr3:uid="{B9673539-BACF-417E-B93A-7B6F3AB33A4E}" name="vsSouthwest" dataDxfId="925"/>
    <tableColumn id="68" xr3:uid="{F1302994-9D5B-43DE-A91A-A3060BBA2BD5}" name="Jan" dataDxfId="924"/>
    <tableColumn id="69" xr3:uid="{2BC7CF2D-1C14-4810-8B08-AA2807EFD1C2}" name="Feb" dataDxfId="923"/>
    <tableColumn id="70" xr3:uid="{3A64724D-6E56-43BB-82E7-D880EACDEB13}" name="Mar" dataDxfId="922"/>
    <tableColumn id="71" xr3:uid="{E1BD5DC9-CF8C-4C94-B34B-77A5196341E5}" name="Apr" dataDxfId="921"/>
    <tableColumn id="72" xr3:uid="{9D1F2A94-366C-42B7-B797-11BFC7E8A2A7}" name="May" dataDxfId="920"/>
    <tableColumn id="73" xr3:uid="{CFB08281-9759-4494-A041-AD60C6C93326}" name="Jun" dataDxfId="919"/>
    <tableColumn id="74" xr3:uid="{1583A72C-ECDD-41D0-AD10-936AA9C5400A}" name="Jul" dataDxfId="918"/>
    <tableColumn id="75" xr3:uid="{BC859C4B-6EF0-42C2-B91D-9BC121CCFACE}" name="Aug" dataDxfId="917"/>
    <tableColumn id="76" xr3:uid="{FDDC4078-1A0A-4132-ABE7-94A5D93FFAAB}" name="Sep" dataDxfId="916"/>
    <tableColumn id="77" xr3:uid="{B3BF0E9C-CB07-4552-B4E2-6B00708A2E84}" name="Oct" dataDxfId="915"/>
    <tableColumn id="78" xr3:uid="{CCF44F31-56D6-44F8-A5A3-B133CFBB080E}" name="Nov" dataDxfId="914"/>
    <tableColumn id="79" xr3:uid="{710957D1-BF55-4FAA-B8E3-547CCD947898}" name="Dec" dataDxfId="913"/>
    <tableColumn id="80" xr3:uid="{40CE41AA-9D5A-4504-BD3C-76FECED49E83}" name="PreAS" dataDxfId="912"/>
    <tableColumn id="81" xr3:uid="{C07373ED-BA18-4DA8-B2D4-574129FFC0C9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667B17-CB0F-4547-8F47-31E86C360B86}" name="TableBaseN1" displayName="TableBaseN1" ref="A1:BD31" totalsRowShown="0" headerRowDxfId="796">
  <autoFilter ref="A1:BD31" xr:uid="{A26F0F72-9DB2-4B43-AACE-B3ED63D550D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3BB9010-D765-4D1A-9F26-9D85F9E0050A}" name="TEAM_ID" dataDxfId="852"/>
    <tableColumn id="2" xr3:uid="{3D5B85BD-9AF0-460F-A253-3ACD26F64ABC}" name="TEAM_NAME" dataDxfId="851"/>
    <tableColumn id="3" xr3:uid="{76F2BDEF-A09F-4700-A868-B11B840B6D91}" name="GP" dataDxfId="850"/>
    <tableColumn id="4" xr3:uid="{EFF0A34E-FC30-46A0-A489-55D69C15E8CD}" name="W" dataDxfId="849"/>
    <tableColumn id="5" xr3:uid="{06A0435F-B4DA-4350-9B26-FC1A2AE13475}" name="L" dataDxfId="848"/>
    <tableColumn id="6" xr3:uid="{1CAE87C1-0C67-46E3-8E0C-0ACAF502BBD9}" name="W_PCT" dataDxfId="847"/>
    <tableColumn id="7" xr3:uid="{A6F3FAC7-6CB2-41AF-BD2B-41309A6F8F43}" name="MIN" dataDxfId="846"/>
    <tableColumn id="8" xr3:uid="{3927C127-F6CB-4D5C-B873-9DF28474BCB3}" name="FGM" dataDxfId="845"/>
    <tableColumn id="9" xr3:uid="{A03C5702-330F-4A73-B793-BE8A806E622B}" name="FGA" dataDxfId="844"/>
    <tableColumn id="10" xr3:uid="{2E4EDBC1-E7F6-4DAD-AE7E-696BC14AEC29}" name="FG_PCT" dataDxfId="843"/>
    <tableColumn id="11" xr3:uid="{4C5CB8C1-5DCE-4232-B88B-CD35185D2454}" name="FG3M" dataDxfId="842"/>
    <tableColumn id="12" xr3:uid="{479850BF-B7A7-4936-B0B3-5A44D7D496ED}" name="FG3A" dataDxfId="841"/>
    <tableColumn id="13" xr3:uid="{2611B75A-08EB-4F3D-8EC5-691C02F2A4B9}" name="FG3_PCT" dataDxfId="840"/>
    <tableColumn id="14" xr3:uid="{64790335-E9D8-477F-B88F-CD3645F72048}" name="FTM" dataDxfId="839"/>
    <tableColumn id="15" xr3:uid="{3EBB966F-E8FA-494D-B2C5-E81E9BAD565C}" name="FTA" dataDxfId="838"/>
    <tableColumn id="16" xr3:uid="{9E7830FE-4B63-45DB-ACAA-AE3F7DACF61C}" name="FT_PCT" dataDxfId="837"/>
    <tableColumn id="17" xr3:uid="{3E698E37-5004-402B-BE92-7B5AD73A5934}" name="OREB" dataDxfId="836"/>
    <tableColumn id="18" xr3:uid="{FF777637-1DF8-4893-8FD0-389B7C0D252E}" name="DREB" dataDxfId="835"/>
    <tableColumn id="19" xr3:uid="{A4FFF10F-28B2-4E3E-9F1A-4A7F2A763567}" name="REB" dataDxfId="834"/>
    <tableColumn id="20" xr3:uid="{1C067F58-C892-4068-ABBB-E9D7DE959837}" name="AST" dataDxfId="833"/>
    <tableColumn id="21" xr3:uid="{F2A43A97-2EB0-4265-AD50-F76483BF4E68}" name="TOV" dataDxfId="832"/>
    <tableColumn id="22" xr3:uid="{0D56A940-1DB5-4532-9E3D-C701A8348657}" name="STL" dataDxfId="831"/>
    <tableColumn id="23" xr3:uid="{FC1C7D08-6A9A-431A-BFDA-912DD786BBBE}" name="BLK" dataDxfId="830"/>
    <tableColumn id="24" xr3:uid="{5AB8928C-6318-4946-847C-88AA7B29E449}" name="BLKA" dataDxfId="829"/>
    <tableColumn id="25" xr3:uid="{392F8833-412F-4D96-B3CE-DF70D83B5FEC}" name="PF" dataDxfId="828"/>
    <tableColumn id="26" xr3:uid="{0E695414-300B-4908-B309-E987A698F604}" name="PFD" dataDxfId="827"/>
    <tableColumn id="27" xr3:uid="{B406FDBF-F4D7-4527-AFD0-8123650F7EC4}" name="PTS" dataDxfId="826"/>
    <tableColumn id="28" xr3:uid="{3C267CA9-6F28-4A64-A074-796589340B04}" name="PLUS_MINUS" dataDxfId="825"/>
    <tableColumn id="29" xr3:uid="{BA501D55-D35E-427C-B90D-D5515979CFB8}" name="GP_RANK" dataDxfId="824"/>
    <tableColumn id="30" xr3:uid="{2709D5B9-60A1-430C-B9C2-C166BAA808D4}" name="W_RANK" dataDxfId="823"/>
    <tableColumn id="31" xr3:uid="{0396F944-DCBC-439D-90B2-18D60B994293}" name="L_RANK" dataDxfId="822"/>
    <tableColumn id="32" xr3:uid="{CF78378D-5FA6-44B6-9338-701CB403C31A}" name="W_PCT_RANK" dataDxfId="821"/>
    <tableColumn id="33" xr3:uid="{2D953342-745C-4829-A644-982AE58C5CD4}" name="MIN_RANK" dataDxfId="820"/>
    <tableColumn id="34" xr3:uid="{84DA1158-709C-46DA-808D-A83BB80FFF2D}" name="FGM_RANK" dataDxfId="819"/>
    <tableColumn id="35" xr3:uid="{AB2A4756-E6B1-4206-98F6-C3039D1B6145}" name="FGA_RANK" dataDxfId="818"/>
    <tableColumn id="36" xr3:uid="{FCDCA479-86EB-4744-8617-D135D8B30284}" name="FG_PCT_RANK" dataDxfId="817"/>
    <tableColumn id="37" xr3:uid="{42F1DC71-43F6-4EFB-BF43-AF5ED4E48FA7}" name="FG3M_RANK" dataDxfId="816"/>
    <tableColumn id="38" xr3:uid="{E80F1951-A85D-4108-9B98-C8DF883D4E3B}" name="FG3A_RANK" dataDxfId="815"/>
    <tableColumn id="39" xr3:uid="{46AE7741-F812-40E4-B44D-CDDD98637EB4}" name="FG3_PCT_RANK" dataDxfId="814"/>
    <tableColumn id="40" xr3:uid="{EAC908CA-877E-4DD4-8C18-B8AA0682CB29}" name="FTM_RANK" dataDxfId="813"/>
    <tableColumn id="41" xr3:uid="{E1FACFE4-1188-467C-A526-5770C6EAEB76}" name="FTA_RANK" dataDxfId="812"/>
    <tableColumn id="42" xr3:uid="{49B46107-67A4-4A47-86A6-853CB822FB1E}" name="FT_PCT_RANK" dataDxfId="811"/>
    <tableColumn id="43" xr3:uid="{C5D71924-BB0C-4AF8-89E5-ED2FB65E5818}" name="OREB_RANK" dataDxfId="810"/>
    <tableColumn id="44" xr3:uid="{AE760056-5089-49AF-BA9D-13EE61CA5974}" name="DREB_RANK" dataDxfId="809"/>
    <tableColumn id="45" xr3:uid="{6219E461-034D-4BDC-B262-82DD29030AF4}" name="REB_RANK" dataDxfId="808"/>
    <tableColumn id="46" xr3:uid="{8CD1E398-69A3-489D-A31D-7199D21F4CB4}" name="AST_RANK" dataDxfId="807"/>
    <tableColumn id="47" xr3:uid="{172AE6BA-888B-49FC-ADAC-4832A6097486}" name="TOV_RANK" dataDxfId="806"/>
    <tableColumn id="48" xr3:uid="{0FD411BC-0D9B-4B47-84BA-58E0C6019F25}" name="STL_RANK" dataDxfId="805"/>
    <tableColumn id="49" xr3:uid="{73334274-BAD2-4028-AED9-6AA102C7B1E3}" name="BLK_RANK" dataDxfId="804"/>
    <tableColumn id="50" xr3:uid="{2E818B2D-5FAD-4777-8AAE-5DC095AAE63F}" name="BLKA_RANK" dataDxfId="803"/>
    <tableColumn id="51" xr3:uid="{AC8008B6-E1C5-4348-B828-3CFE94A254FC}" name="PF_RANK" dataDxfId="802"/>
    <tableColumn id="52" xr3:uid="{DE36A3FC-A84C-440F-96C2-4C69CF9E92DC}" name="PFD_RANK" dataDxfId="801"/>
    <tableColumn id="53" xr3:uid="{8D5D8752-C67D-464B-A275-BD474BCFD0D1}" name="PTS_RANK" dataDxfId="800"/>
    <tableColumn id="54" xr3:uid="{1EF6EA78-066F-45DE-B52A-A59A47CBE6DF}" name="PLUS_MINUS_RANK" dataDxfId="799"/>
    <tableColumn id="55" xr3:uid="{917B2385-589F-4F5D-9EF7-913ED92EF6E1}" name="CFID" dataDxfId="798"/>
    <tableColumn id="56" xr3:uid="{4CC82E28-1D52-41A5-88FC-28DCB88DC923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BB34AC-A8FD-4B4F-AE89-6CA0CE26CEA2}" name="TableAdvancedN1" displayName="TableAdvancedN1" ref="A1:AV31" totalsRowShown="0" headerRowDxfId="698">
  <autoFilter ref="A1:AV31" xr:uid="{EAEF6D64-A640-4D53-B703-2380B4CFB2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6F0AA24-3F45-43DC-98D8-B65DECB8DDFB}" name="TEAM_ID" dataDxfId="746"/>
    <tableColumn id="2" xr3:uid="{8237EE49-E850-4A09-98F1-B87427A580AD}" name="TEAM_NAME" dataDxfId="745"/>
    <tableColumn id="3" xr3:uid="{EDC43DEA-1121-45D7-B237-2B9584D491A9}" name="GP" dataDxfId="744"/>
    <tableColumn id="4" xr3:uid="{C9070D31-9AF7-4934-B19A-E1FA5F72E462}" name="W" dataDxfId="743"/>
    <tableColumn id="5" xr3:uid="{803111E3-DA1C-4AD2-AB45-F73A0EC053EB}" name="L" dataDxfId="742"/>
    <tableColumn id="6" xr3:uid="{5ED23D6A-55E1-4A31-AA5A-9BAC090651DA}" name="W_PCT" dataDxfId="741"/>
    <tableColumn id="7" xr3:uid="{DAF2CBA0-FB64-47C2-8514-E8497B77D320}" name="MIN" dataDxfId="740"/>
    <tableColumn id="8" xr3:uid="{BE8E04E8-79C2-4677-911F-27098087701E}" name="E_OFF_RATING" dataDxfId="739"/>
    <tableColumn id="9" xr3:uid="{4520E7EB-DE71-45A6-AFCC-9731C3EC157D}" name="OFF_RATING" dataDxfId="738"/>
    <tableColumn id="10" xr3:uid="{C9150ADA-A4B4-4F76-902C-2780E88E9AFD}" name="E_DEF_RATING" dataDxfId="737"/>
    <tableColumn id="11" xr3:uid="{B6928DB2-E857-45B8-A00C-F572DC3D38E5}" name="DEF_RATING" dataDxfId="736"/>
    <tableColumn id="12" xr3:uid="{AD3D384B-3F0E-4197-A380-E52C372FC502}" name="E_NET_RATING" dataDxfId="735"/>
    <tableColumn id="13" xr3:uid="{757AFE35-B340-4272-B863-0C94058C2A0A}" name="NET_RATING" dataDxfId="734"/>
    <tableColumn id="14" xr3:uid="{23C4ED21-53C2-4453-8A99-8900E414F3EA}" name="AST_PCT" dataDxfId="733"/>
    <tableColumn id="15" xr3:uid="{4E5C484C-D34A-4A4F-BFA5-CF906C234E91}" name="AST_TO" dataDxfId="732"/>
    <tableColumn id="16" xr3:uid="{73E62D73-4915-47B3-867D-DF093D5FD1AB}" name="AST_RATIO" dataDxfId="731"/>
    <tableColumn id="17" xr3:uid="{865B9C42-3D2E-45C3-A34F-FCD3CB45D909}" name="OREB_PCT" dataDxfId="730"/>
    <tableColumn id="18" xr3:uid="{AE1ED2B0-A50C-4B49-9ED2-3C73F7170325}" name="DREB_PCT" dataDxfId="729"/>
    <tableColumn id="19" xr3:uid="{46C7EB79-4C60-489A-87AE-763CE7D1FDD9}" name="REB_PCT" dataDxfId="728"/>
    <tableColumn id="20" xr3:uid="{CF8CBA3F-7DF3-4F10-8422-EC2D4B7C68FB}" name="TM_TOV_PCT" dataDxfId="727"/>
    <tableColumn id="21" xr3:uid="{BAC921E7-7057-441C-8119-CA66E0593433}" name="EFG_PCT" dataDxfId="726"/>
    <tableColumn id="22" xr3:uid="{FBB8C668-1A0A-447A-BA3C-D6689BB94867}" name="TS_PCT" dataDxfId="725"/>
    <tableColumn id="23" xr3:uid="{645843AB-D590-4053-8E42-12D614951C83}" name="E_PACE" dataDxfId="724"/>
    <tableColumn id="24" xr3:uid="{FBE94F5B-31B9-4708-8428-816CA9DDEAAF}" name="PACE" dataDxfId="723"/>
    <tableColumn id="25" xr3:uid="{8818B606-798F-4509-B3F3-591CF95066E6}" name="PACE_PER40" dataDxfId="722"/>
    <tableColumn id="26" xr3:uid="{1953B558-368F-47B9-A13F-C007408C302D}" name="POSS" dataDxfId="721"/>
    <tableColumn id="27" xr3:uid="{4DFAB8A8-A61D-4CCD-BFA7-B0D094A07154}" name="PIE" dataDxfId="720"/>
    <tableColumn id="28" xr3:uid="{C4925EF6-C0AA-4882-B30D-CF28E41255EF}" name="GP_RANK" dataDxfId="719"/>
    <tableColumn id="29" xr3:uid="{D2C9EBB9-805E-4862-AF37-B15EEF6D29E9}" name="W_RANK" dataDxfId="718"/>
    <tableColumn id="30" xr3:uid="{09D978D3-453A-4864-A2A2-A22A9AD16D87}" name="L_RANK" dataDxfId="717"/>
    <tableColumn id="31" xr3:uid="{73EE803D-2B73-478F-AAF4-A038AD0A0AC9}" name="W_PCT_RANK" dataDxfId="716"/>
    <tableColumn id="32" xr3:uid="{88AEB35E-C5E5-4C39-9EEA-CD306DFFC8AA}" name="MIN_RANK" dataDxfId="715"/>
    <tableColumn id="33" xr3:uid="{10EE3447-CCA5-4043-BA35-9A3BDA32C16D}" name="OFF_RATING_RANK" dataDxfId="714"/>
    <tableColumn id="34" xr3:uid="{737978BF-2317-4EAF-A272-12CB5F10642C}" name="DEF_RATING_RANK" dataDxfId="713"/>
    <tableColumn id="35" xr3:uid="{B63B0497-7B5A-47DB-80BF-D15536C8F05A}" name="NET_RATING_RANK" dataDxfId="712"/>
    <tableColumn id="36" xr3:uid="{B8B013D0-CC76-4280-A898-E6607E91076B}" name="AST_PCT_RANK" dataDxfId="711"/>
    <tableColumn id="37" xr3:uid="{28327F4E-5EA8-40DF-BF96-8E075825A8A6}" name="AST_TO_RANK" dataDxfId="710"/>
    <tableColumn id="38" xr3:uid="{0C4DB4F5-DE71-462D-9FF9-50CCC98A20A4}" name="AST_RATIO_RANK" dataDxfId="709"/>
    <tableColumn id="39" xr3:uid="{225C93F9-2194-4CBE-9604-97D8F6DF05F1}" name="OREB_PCT_RANK" dataDxfId="708"/>
    <tableColumn id="40" xr3:uid="{4BF133DE-AB03-448D-910B-A4EA769D3165}" name="DREB_PCT_RANK" dataDxfId="707"/>
    <tableColumn id="41" xr3:uid="{6B4072DC-347E-4C88-9F8D-7D84B6D4B96C}" name="REB_PCT_RANK" dataDxfId="706"/>
    <tableColumn id="42" xr3:uid="{037F45A7-7D6A-4E17-B372-1C42E1284492}" name="TM_TOV_PCT_RANK" dataDxfId="705"/>
    <tableColumn id="43" xr3:uid="{2BA8F83B-9C4A-4716-AE82-58B29584FD38}" name="EFG_PCT_RANK" dataDxfId="704"/>
    <tableColumn id="44" xr3:uid="{733C4F89-A047-4F8F-BCB7-88FCAFC04F81}" name="TS_PCT_RANK" dataDxfId="703"/>
    <tableColumn id="45" xr3:uid="{7BC33269-57AD-4C65-ACCE-02FA4081054E}" name="PACE_RANK" dataDxfId="702"/>
    <tableColumn id="46" xr3:uid="{0EA8ADAC-8BAA-4A30-AC20-C3ECD524773C}" name="PIE_RANK" dataDxfId="701"/>
    <tableColumn id="47" xr3:uid="{C64331C8-17F4-4A99-84E5-08F22AEC6FAE}" name="CFID" dataDxfId="700"/>
    <tableColumn id="48" xr3:uid="{FCD988A0-30CA-473A-A670-4E7B0EA803D8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276919-E27C-49E9-BCCB-017EB32BD843}" name="TableAdvancedN1Starters" displayName="TableAdvancedN1Starters" ref="A1:AV31" totalsRowShown="0" headerRowDxfId="600">
  <autoFilter ref="A1:AV31" xr:uid="{092D2FA2-F6AF-4540-AC8F-9F8BFB14C7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E2EBDCD-8B76-43C5-A021-640116398166}" name="TEAM_ID" dataDxfId="648"/>
    <tableColumn id="2" xr3:uid="{C3C1B15E-C0A0-4C01-9BFF-BE9AC1B529B0}" name="TEAM_NAME" dataDxfId="647"/>
    <tableColumn id="3" xr3:uid="{8778EB32-B50A-4DF4-BCFB-3DB95092BEEF}" name="GP" dataDxfId="646"/>
    <tableColumn id="4" xr3:uid="{0D90876F-EA78-4E4C-AF63-CAEFE7FAF795}" name="W" dataDxfId="645"/>
    <tableColumn id="5" xr3:uid="{F9BE563E-A9DE-41D2-8E41-D620DC133E88}" name="L" dataDxfId="644"/>
    <tableColumn id="6" xr3:uid="{5B28ECBF-4568-46A3-8B6A-D762A63F6B8A}" name="W_PCT" dataDxfId="643"/>
    <tableColumn id="7" xr3:uid="{15F57B94-B37A-47D7-BB91-0990CB5A1714}" name="MIN" dataDxfId="642"/>
    <tableColumn id="8" xr3:uid="{C5BB0707-9D38-4816-AA3D-6565A61B2F85}" name="E_OFF_RATING" dataDxfId="641"/>
    <tableColumn id="9" xr3:uid="{1628D89F-966A-40B4-A267-9B5AF8CF4C68}" name="OFF_RATING" dataDxfId="640"/>
    <tableColumn id="10" xr3:uid="{42B1216A-230B-4FB9-91BF-A57B14776D62}" name="E_DEF_RATING" dataDxfId="639"/>
    <tableColumn id="11" xr3:uid="{B57CE882-153E-469A-93B7-81CE26FE8405}" name="DEF_RATING" dataDxfId="638"/>
    <tableColumn id="12" xr3:uid="{94C1656F-606E-473D-84F6-5B11762F1601}" name="E_NET_RATING" dataDxfId="637"/>
    <tableColumn id="13" xr3:uid="{7AA0C7FF-FB2B-49A5-83A6-3C9977C858F4}" name="NET_RATING" dataDxfId="636"/>
    <tableColumn id="14" xr3:uid="{795B1CD3-BA26-4BD2-8927-073906B365E9}" name="AST_PCT" dataDxfId="635"/>
    <tableColumn id="15" xr3:uid="{932B09EF-82A0-41CF-ADE0-7B2E413E8839}" name="AST_TO" dataDxfId="634"/>
    <tableColumn id="16" xr3:uid="{329A5D44-52EF-4A3C-9C19-C98D42976331}" name="AST_RATIO" dataDxfId="633"/>
    <tableColumn id="17" xr3:uid="{ADAC1A47-B0A1-4FC1-A423-1D42773FC829}" name="OREB_PCT" dataDxfId="632"/>
    <tableColumn id="18" xr3:uid="{FD7BFF12-B744-482D-AC7B-E3BFB00A6832}" name="DREB_PCT" dataDxfId="631"/>
    <tableColumn id="19" xr3:uid="{FB40A645-E335-40A9-B55F-D38CA3DD5FB6}" name="REB_PCT" dataDxfId="630"/>
    <tableColumn id="20" xr3:uid="{C7391CC6-6BD0-4230-82C5-3D031E6A366A}" name="TM_TOV_PCT" dataDxfId="629"/>
    <tableColumn id="21" xr3:uid="{8829DD26-41B1-4E36-A961-0A6B344B7B5E}" name="EFG_PCT" dataDxfId="628"/>
    <tableColumn id="22" xr3:uid="{88113004-5991-438F-8172-8FD0BAB9E3B5}" name="TS_PCT" dataDxfId="627"/>
    <tableColumn id="23" xr3:uid="{43A222F0-1BA8-4AEF-BE70-B618B3161EF1}" name="E_PACE" dataDxfId="626"/>
    <tableColumn id="24" xr3:uid="{1841B013-BE34-49BF-AC67-0CD7070987D3}" name="PACE" dataDxfId="625"/>
    <tableColumn id="25" xr3:uid="{7FF80881-7B36-4315-BF7F-CEF2F225267D}" name="PACE_PER40" dataDxfId="624"/>
    <tableColumn id="26" xr3:uid="{B17281F2-5DCF-40C6-A45E-1ED7305319FB}" name="POSS" dataDxfId="623"/>
    <tableColumn id="27" xr3:uid="{ADF7BF6C-C438-4A8D-A2E6-2A6C46DA7CE5}" name="PIE" dataDxfId="622"/>
    <tableColumn id="28" xr3:uid="{4904BAAE-7759-461E-B642-76A3CB11FA0B}" name="GP_RANK" dataDxfId="621"/>
    <tableColumn id="29" xr3:uid="{15E5C944-B7B1-40E5-AC7C-CC270161659F}" name="W_RANK" dataDxfId="620"/>
    <tableColumn id="30" xr3:uid="{A9BAE0E1-8C05-49D8-B264-8A4C6F2F4965}" name="L_RANK" dataDxfId="619"/>
    <tableColumn id="31" xr3:uid="{7BDD2665-E789-4737-B672-A8C44E742169}" name="W_PCT_RANK" dataDxfId="618"/>
    <tableColumn id="32" xr3:uid="{08105D7A-8335-498D-93E1-7B087973F016}" name="MIN_RANK" dataDxfId="617"/>
    <tableColumn id="33" xr3:uid="{774C1264-68C2-4E68-A01C-9ACEB7A1633A}" name="OFF_RATING_RANK" dataDxfId="616"/>
    <tableColumn id="34" xr3:uid="{D58279E5-D15A-4A53-B2D4-4EF3D6DC54A6}" name="DEF_RATING_RANK" dataDxfId="615"/>
    <tableColumn id="35" xr3:uid="{80099610-508A-4856-B676-73BB77A4B956}" name="NET_RATING_RANK" dataDxfId="614"/>
    <tableColumn id="36" xr3:uid="{12FACAF7-F0E5-412E-9E9D-3E25404EC1F2}" name="AST_PCT_RANK" dataDxfId="613"/>
    <tableColumn id="37" xr3:uid="{BA642910-8FD8-4198-B35C-E0295907A74D}" name="AST_TO_RANK" dataDxfId="612"/>
    <tableColumn id="38" xr3:uid="{5F40671D-A923-4F74-8050-9C56C0D580C6}" name="AST_RATIO_RANK" dataDxfId="611"/>
    <tableColumn id="39" xr3:uid="{A71A8223-CF76-4C0D-A5BB-8EB38D526FCC}" name="OREB_PCT_RANK" dataDxfId="610"/>
    <tableColumn id="40" xr3:uid="{D6EE179F-A3B6-4141-9262-14B333AC57C6}" name="DREB_PCT_RANK" dataDxfId="609"/>
    <tableColumn id="41" xr3:uid="{EE0D70E2-A9A4-40F7-BA12-69FF0E25A0E4}" name="REB_PCT_RANK" dataDxfId="608"/>
    <tableColumn id="42" xr3:uid="{BB0D3306-CD85-44E6-BF3C-0A8DBD4035BD}" name="TM_TOV_PCT_RANK" dataDxfId="607"/>
    <tableColumn id="43" xr3:uid="{5E48C5FF-F8F1-4894-8768-041CBB3952AD}" name="EFG_PCT_RANK" dataDxfId="606"/>
    <tableColumn id="44" xr3:uid="{FF47644B-47DB-4A10-B21F-70A869C1A01A}" name="TS_PCT_RANK" dataDxfId="605"/>
    <tableColumn id="45" xr3:uid="{1228247A-C107-421F-8DF3-9A38E03EF1F6}" name="PACE_RANK" dataDxfId="604"/>
    <tableColumn id="46" xr3:uid="{CB816CBB-6900-4647-9B68-A3AC790B04D4}" name="PIE_RANK" dataDxfId="603"/>
    <tableColumn id="47" xr3:uid="{DFE882D1-1DE9-4DF0-94BF-C579274180B3}" name="CFID" dataDxfId="602"/>
    <tableColumn id="48" xr3:uid="{9EC0BDD7-E4E8-4FA4-9A0A-7EFBE062D7D3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099F13E-E7DC-4CDC-94AF-1B86DD9D01BD}" name="TableAdvancedN1Bench" displayName="TableAdvancedN1Bench" ref="A1:AV31" totalsRowShown="0" headerRowDxfId="502">
  <autoFilter ref="A1:AV31" xr:uid="{BD73A952-554C-4011-A767-EE365D5746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7189FFB-C9D6-4395-890E-0F252259EB6B}" name="TEAM_ID" dataDxfId="550"/>
    <tableColumn id="2" xr3:uid="{8443DEE6-1A2B-4065-AF72-CB9A0A1DFB14}" name="TEAM_NAME" dataDxfId="549"/>
    <tableColumn id="3" xr3:uid="{FA21B1A2-93BE-423C-BAD6-5BE4B80EE3D0}" name="GP" dataDxfId="548"/>
    <tableColumn id="4" xr3:uid="{75643E8F-9DB4-417F-8C98-6B106D8B9C2E}" name="W" dataDxfId="547"/>
    <tableColumn id="5" xr3:uid="{2F4315C0-3C91-4831-B41B-3C9028E2288B}" name="L" dataDxfId="546"/>
    <tableColumn id="6" xr3:uid="{8A92338C-9F71-40C7-AADA-4A2266119338}" name="W_PCT" dataDxfId="545"/>
    <tableColumn id="7" xr3:uid="{FE30A9EC-8AB0-45B9-BEB4-9AE1B667F5C9}" name="MIN" dataDxfId="544"/>
    <tableColumn id="8" xr3:uid="{FDEC2290-99CC-4DA2-998C-C73CCCF22CAA}" name="E_OFF_RATING" dataDxfId="543"/>
    <tableColumn id="9" xr3:uid="{B555D394-E300-417D-83D1-F8175597DBE6}" name="OFF_RATING" dataDxfId="542"/>
    <tableColumn id="10" xr3:uid="{F8E858B7-DC88-46E2-A0F0-245A0B77ADFB}" name="E_DEF_RATING" dataDxfId="541"/>
    <tableColumn id="11" xr3:uid="{AED4892B-C3D0-4F29-B265-0349C0E9B8E6}" name="DEF_RATING" dataDxfId="540"/>
    <tableColumn id="12" xr3:uid="{8BEFC026-DC66-4A3F-8245-EEF36F7935AD}" name="E_NET_RATING" dataDxfId="539"/>
    <tableColumn id="13" xr3:uid="{7D3E9EB5-7251-4AF1-935F-1301C7778C30}" name="NET_RATING" dataDxfId="538"/>
    <tableColumn id="14" xr3:uid="{C6F074CC-DD06-4F04-9CFD-E0CC81AC1A4E}" name="AST_PCT" dataDxfId="537"/>
    <tableColumn id="15" xr3:uid="{7229CB52-74C0-46F8-A395-ACBFCD813A49}" name="AST_TO" dataDxfId="536"/>
    <tableColumn id="16" xr3:uid="{B7506315-0620-4570-8056-44801EEF7219}" name="AST_RATIO" dataDxfId="535"/>
    <tableColumn id="17" xr3:uid="{88505374-B416-48C9-ABEE-739324DB598E}" name="OREB_PCT" dataDxfId="534"/>
    <tableColumn id="18" xr3:uid="{305F9DC3-EEAC-4E20-AB96-8F73BC2CA50F}" name="DREB_PCT" dataDxfId="533"/>
    <tableColumn id="19" xr3:uid="{FAB82C62-DC53-43F4-B559-3CC90EC6EB17}" name="REB_PCT" dataDxfId="532"/>
    <tableColumn id="20" xr3:uid="{840DB1A7-1F3E-431E-B46A-13B5D32E3513}" name="TM_TOV_PCT" dataDxfId="531"/>
    <tableColumn id="21" xr3:uid="{974D0232-4F0C-4D51-9FCD-3C0D95DFFDF5}" name="EFG_PCT" dataDxfId="530"/>
    <tableColumn id="22" xr3:uid="{D7924A2F-58B1-470E-89FD-D64D4F93233E}" name="TS_PCT" dataDxfId="529"/>
    <tableColumn id="23" xr3:uid="{5C1F37E0-5A88-4C60-9CE9-746F0BA26E3E}" name="E_PACE" dataDxfId="528"/>
    <tableColumn id="24" xr3:uid="{22434877-EC56-4F29-A6AB-D59DD9CB35BE}" name="PACE" dataDxfId="527"/>
    <tableColumn id="25" xr3:uid="{72876218-6B2A-4664-9493-1847599388D9}" name="PACE_PER40" dataDxfId="526"/>
    <tableColumn id="26" xr3:uid="{EE3703B8-5589-4F00-AE79-8A6DF6DFEA1D}" name="POSS" dataDxfId="525"/>
    <tableColumn id="27" xr3:uid="{71E14A4F-689F-4ED7-B883-96AD0607082F}" name="PIE" dataDxfId="524"/>
    <tableColumn id="28" xr3:uid="{19F9D724-CC74-48A9-8157-4681D67AE2DE}" name="GP_RANK" dataDxfId="523"/>
    <tableColumn id="29" xr3:uid="{C71C5A47-8085-41C7-99ED-1BFB0AABA266}" name="W_RANK" dataDxfId="522"/>
    <tableColumn id="30" xr3:uid="{ABF6BD51-E055-4BBB-8380-0D6AEF549090}" name="L_RANK" dataDxfId="521"/>
    <tableColumn id="31" xr3:uid="{EA73DE72-D798-4B0D-A97C-18E77A29EEB7}" name="W_PCT_RANK" dataDxfId="520"/>
    <tableColumn id="32" xr3:uid="{9EBB2C76-7509-427D-951D-B6B5692715B4}" name="MIN_RANK" dataDxfId="519"/>
    <tableColumn id="33" xr3:uid="{DB917AAE-B275-4114-A5A7-15FD2893E778}" name="OFF_RATING_RANK" dataDxfId="518"/>
    <tableColumn id="34" xr3:uid="{64A17F37-3237-4A1A-8C48-62F5E5EF705F}" name="DEF_RATING_RANK" dataDxfId="517"/>
    <tableColumn id="35" xr3:uid="{901DDC00-3FAB-4D97-862B-0B838CAF1CBC}" name="NET_RATING_RANK" dataDxfId="516"/>
    <tableColumn id="36" xr3:uid="{3C115EB7-436B-443A-A8DE-5DF34C315856}" name="AST_PCT_RANK" dataDxfId="515"/>
    <tableColumn id="37" xr3:uid="{1FF9CB7D-95F9-4CA5-BAA9-47BDAD0349CC}" name="AST_TO_RANK" dataDxfId="514"/>
    <tableColumn id="38" xr3:uid="{91C45D9D-92A4-4276-A2F8-3782FC430117}" name="AST_RATIO_RANK" dataDxfId="513"/>
    <tableColumn id="39" xr3:uid="{A8D2EFF4-04B0-4857-8D1D-7DE55B9436EC}" name="OREB_PCT_RANK" dataDxfId="512"/>
    <tableColumn id="40" xr3:uid="{AB5FEFC8-589F-4033-8B41-EBD245EF17F4}" name="DREB_PCT_RANK" dataDxfId="511"/>
    <tableColumn id="41" xr3:uid="{E8512E36-49F8-48BA-8082-7C67447B6E95}" name="REB_PCT_RANK" dataDxfId="510"/>
    <tableColumn id="42" xr3:uid="{8113B4C7-32F1-4F5E-97B0-5E760E145812}" name="TM_TOV_PCT_RANK" dataDxfId="509"/>
    <tableColumn id="43" xr3:uid="{9DFE9D67-5EE1-4CAE-98B4-F6E4C8213E76}" name="EFG_PCT_RANK" dataDxfId="508"/>
    <tableColumn id="44" xr3:uid="{AD03361E-6B43-4BEA-83E1-0F6E7EACB5A8}" name="TS_PCT_RANK" dataDxfId="507"/>
    <tableColumn id="45" xr3:uid="{46F6C295-9FB8-457D-AB08-0BB5A5328373}" name="PACE_RANK" dataDxfId="506"/>
    <tableColumn id="46" xr3:uid="{3A229E0B-F55C-4E7D-AAFF-03C6729982B0}" name="PIE_RANK" dataDxfId="505"/>
    <tableColumn id="47" xr3:uid="{0F88AB3E-A41C-4009-AB94-4E1C569B3720}" name="CFID" dataDxfId="504"/>
    <tableColumn id="48" xr3:uid="{5ABA6573-16CB-402B-9F6F-FF1B9AD6A91A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4B324E7-4307-4B1D-BDA9-C5B07D2C30D0}" name="TableMiscN1" displayName="TableMiscN1" ref="A1:AD31" totalsRowShown="0" headerRowDxfId="440">
  <autoFilter ref="A1:AD31" xr:uid="{0BCE22DF-0B09-4026-ACC3-4499569BE0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75CC2AC4-17C0-40EC-80EA-BB23B560282A}" name="TEAM_ID" dataDxfId="470"/>
    <tableColumn id="2" xr3:uid="{7D99A54E-9CB6-49F9-B54F-E438F8090941}" name="TEAM_NAME" dataDxfId="469"/>
    <tableColumn id="3" xr3:uid="{6633165E-BFE2-44D3-A9BE-BEA02C216585}" name="GP" dataDxfId="468"/>
    <tableColumn id="4" xr3:uid="{F56A0EE8-FB11-4C76-8478-A7CF7D0F7BF2}" name="W" dataDxfId="467"/>
    <tableColumn id="5" xr3:uid="{75B29815-132D-4894-B434-4EB4238E9FD2}" name="L" dataDxfId="466"/>
    <tableColumn id="6" xr3:uid="{ED7653D5-56BE-4D38-A59C-A1A65E15CD03}" name="W_PCT" dataDxfId="465"/>
    <tableColumn id="7" xr3:uid="{304D28A9-0856-403D-B232-F10979B83E63}" name="MIN" dataDxfId="464"/>
    <tableColumn id="8" xr3:uid="{51BB8949-E1BF-4FA2-99BB-340A52300247}" name="PTS_OFF_TOV" dataDxfId="463"/>
    <tableColumn id="9" xr3:uid="{D1575472-A13B-4F13-B5FE-1F4A9601E5C3}" name="PTS_2ND_CHANCE" dataDxfId="462"/>
    <tableColumn id="10" xr3:uid="{5B81E370-674A-40E2-B38A-3CA4242DE752}" name="PTS_FB" dataDxfId="461"/>
    <tableColumn id="11" xr3:uid="{EC16FE00-341E-4DD5-BEE9-A31EB4834799}" name="PTS_PAINT" dataDxfId="460"/>
    <tableColumn id="12" xr3:uid="{57FCDC5A-BE90-46C4-89EE-FCBDAF5DF0A8}" name="OPP_PTS_OFF_TOV" dataDxfId="459"/>
    <tableColumn id="13" xr3:uid="{56C843E3-1FDF-4160-BDB3-B8FA520EAA69}" name="OPP_PTS_2ND_CHANCE" dataDxfId="458"/>
    <tableColumn id="14" xr3:uid="{54FBF6E3-7113-4F00-9B59-75813B4118A2}" name="OPP_PTS_FB" dataDxfId="457"/>
    <tableColumn id="15" xr3:uid="{3E0D8335-1587-4247-83E1-E9FFE8A93C56}" name="OPP_PTS_PAINT" dataDxfId="456"/>
    <tableColumn id="16" xr3:uid="{2B0D2479-819E-43DF-A89D-3A0BEE6BEB11}" name="GP_RANK" dataDxfId="455"/>
    <tableColumn id="17" xr3:uid="{9CBC8AE0-BA29-450C-99AB-761D17A2F7C5}" name="W_RANK" dataDxfId="454"/>
    <tableColumn id="18" xr3:uid="{743C9162-1EE8-4CAC-AE87-6F9213726571}" name="L_RANK" dataDxfId="453"/>
    <tableColumn id="19" xr3:uid="{B54171C1-7929-4E09-861C-21EE7377EE6C}" name="W_PCT_RANK" dataDxfId="452"/>
    <tableColumn id="20" xr3:uid="{32F28BFA-F9D3-412A-9396-E37E05950BDD}" name="MIN_RANK" dataDxfId="451"/>
    <tableColumn id="21" xr3:uid="{77E0B1B6-8083-41C1-8488-67AD6FA2198A}" name="PTS_OFF_TOV_RANK" dataDxfId="450"/>
    <tableColumn id="22" xr3:uid="{4E7795F2-A63D-4E38-926D-D8ACE0DCCD73}" name="PTS_2ND_CHANCE_RANK" dataDxfId="449"/>
    <tableColumn id="23" xr3:uid="{ACF60FA9-F507-40A3-9D8E-D919FB20B6B0}" name="PTS_FB_RANK" dataDxfId="448"/>
    <tableColumn id="24" xr3:uid="{C8FD8AF8-FE2B-4DC0-AECD-C6C85B5BCD83}" name="PTS_PAINT_RANK" dataDxfId="447"/>
    <tableColumn id="25" xr3:uid="{0EB72092-6153-42A0-9AF3-5211E8A8EBD1}" name="OPP_PTS_OFF_TOV_RANK" dataDxfId="446"/>
    <tableColumn id="26" xr3:uid="{D6B0B577-C6C7-469B-B9A1-A7081B722AA3}" name="OPP_PTS_2ND_CHANCE_RANK" dataDxfId="445"/>
    <tableColumn id="27" xr3:uid="{7E7F9E73-411A-4831-8A56-088BB4C1E5AB}" name="OPP_PTS_FB_RANK" dataDxfId="444"/>
    <tableColumn id="28" xr3:uid="{C80B1645-A7F5-46F8-AC28-88EECBE126C2}" name="OPP_PTS_PAINT_RANK" dataDxfId="443"/>
    <tableColumn id="29" xr3:uid="{CEE75ACB-3DCA-4108-8272-F77B14C6D3EE}" name="CFID" dataDxfId="442"/>
    <tableColumn id="30" xr3:uid="{CF7739CD-65FA-41E8-B98D-97D5928F60CB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ADDE0C3-B41D-4196-92FE-F8954AF76E92}" name="TableOppBaseN1" displayName="TableOppBaseN1" ref="A1:BD31" totalsRowShown="0" headerRowDxfId="326">
  <autoFilter ref="A1:BD31" xr:uid="{B179B633-6C2F-4DCD-A639-D0EB345E161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8D9916C-7BA0-4AD1-81F2-FFD288AAE479}" name="TEAM_ID" dataDxfId="382"/>
    <tableColumn id="2" xr3:uid="{E05620F1-FA0D-4E34-9EED-8FC36DD03A98}" name="TEAM_NAME" dataDxfId="381"/>
    <tableColumn id="3" xr3:uid="{DC461D8B-9780-4B57-9D69-F6BEB78018A7}" name="GP" dataDxfId="380"/>
    <tableColumn id="4" xr3:uid="{80C4B4E0-D4BE-4373-A2A6-94B3B51A7B49}" name="W" dataDxfId="379"/>
    <tableColumn id="5" xr3:uid="{D8A5C4DA-FC84-4FE0-B825-C294A172D072}" name="L" dataDxfId="378"/>
    <tableColumn id="6" xr3:uid="{73C8E924-C28C-4A2F-934F-60398CFEC9B2}" name="W_PCT" dataDxfId="377"/>
    <tableColumn id="7" xr3:uid="{F24EF1D7-8495-486E-80AB-8AB8EA8E4ACA}" name="MIN" dataDxfId="376"/>
    <tableColumn id="8" xr3:uid="{465B4FA8-C3BB-4413-8EBF-0B63A95821A4}" name="OPP_FGM" dataDxfId="375"/>
    <tableColumn id="9" xr3:uid="{C3C244AE-D561-4AFD-BC73-4E3AAD2F8CF8}" name="OPP_FGA" dataDxfId="374"/>
    <tableColumn id="10" xr3:uid="{872EAA02-0E98-4605-808E-BB52D47045AD}" name="OPP_FG_PCT" dataDxfId="373"/>
    <tableColumn id="11" xr3:uid="{733EE732-7E79-4A47-A333-A45DCD1AC69B}" name="OPP_FG3M" dataDxfId="372"/>
    <tableColumn id="12" xr3:uid="{1B78F9B3-17AB-42C6-936A-BDA138F9EDB1}" name="OPP_FG3A" dataDxfId="371"/>
    <tableColumn id="13" xr3:uid="{F1A2967F-96DC-4B55-BAE3-A50ABD949FB0}" name="OPP_FG3_PCT" dataDxfId="370"/>
    <tableColumn id="14" xr3:uid="{A27198AA-C9A5-4904-A289-11C2936DD534}" name="OPP_FTM" dataDxfId="369"/>
    <tableColumn id="15" xr3:uid="{AE413415-2E9A-4BD7-8D49-E10F12AB8B5B}" name="OPP_FTA" dataDxfId="368"/>
    <tableColumn id="16" xr3:uid="{35266E43-9CCB-4E99-A56E-E0FD4E3C62A3}" name="OPP_FT_PCT" dataDxfId="367"/>
    <tableColumn id="17" xr3:uid="{A2893856-2561-47E7-9D7E-165E4080D611}" name="OPP_OREB" dataDxfId="366"/>
    <tableColumn id="18" xr3:uid="{56DEC61C-C5AD-402E-97ED-0019738F414A}" name="OPP_DREB" dataDxfId="365"/>
    <tableColumn id="19" xr3:uid="{0F960896-CCB9-4134-8123-1DA50C47DE95}" name="OPP_REB" dataDxfId="364"/>
    <tableColumn id="20" xr3:uid="{F6B0F599-CD63-4588-A49B-15344F8827EE}" name="OPP_AST" dataDxfId="363"/>
    <tableColumn id="21" xr3:uid="{89086EAE-F241-46B5-8047-5FF4CF1E792D}" name="OPP_TOV" dataDxfId="362"/>
    <tableColumn id="22" xr3:uid="{820AD01F-AD1E-4C45-B387-E700FD149ACF}" name="OPP_STL" dataDxfId="361"/>
    <tableColumn id="23" xr3:uid="{B905A23E-7741-4D19-8C99-04D65080AD4E}" name="OPP_BLK" dataDxfId="360"/>
    <tableColumn id="24" xr3:uid="{765799EF-52E4-425E-AAE6-07D33D19261E}" name="OPP_BLKA" dataDxfId="359"/>
    <tableColumn id="25" xr3:uid="{0BC8B882-E776-4638-8692-3DD245C4A5B5}" name="OPP_PF" dataDxfId="358"/>
    <tableColumn id="26" xr3:uid="{674EB796-84ED-4FD6-9BE2-8F5B7807A153}" name="OPP_PFD" dataDxfId="357"/>
    <tableColumn id="27" xr3:uid="{9020B09D-98AC-4D72-8538-701221E416E5}" name="OPP_PTS" dataDxfId="356"/>
    <tableColumn id="28" xr3:uid="{4DFE2046-3B08-4F0D-949F-11BCFA3EBF50}" name="PLUS_MINUS" dataDxfId="355"/>
    <tableColumn id="29" xr3:uid="{AC15EFA0-992C-44F3-8C8F-89806E858A20}" name="GP_RANK" dataDxfId="354"/>
    <tableColumn id="30" xr3:uid="{03B15EBA-B91B-4AC3-A7AB-7A976CA68599}" name="W_RANK" dataDxfId="353"/>
    <tableColumn id="31" xr3:uid="{A260BB0D-4888-4D8C-AC9B-EADC0B50C26B}" name="L_RANK" dataDxfId="352"/>
    <tableColumn id="32" xr3:uid="{1B6E31CA-7B84-4197-AE3F-59864674CC78}" name="W_PCT_RANK" dataDxfId="351"/>
    <tableColumn id="33" xr3:uid="{B08FD0C4-EA3A-4582-9DC2-8705AACC9A1B}" name="MIN_RANK" dataDxfId="350"/>
    <tableColumn id="34" xr3:uid="{034A345E-D6D6-482F-B6CD-5105CF1C0C78}" name="OPP_FGM_RANK" dataDxfId="349"/>
    <tableColumn id="35" xr3:uid="{6A298D3C-9420-4CE9-A31C-2E332FB445B5}" name="OPP_FGA_RANK" dataDxfId="348"/>
    <tableColumn id="36" xr3:uid="{7B80D462-3161-4071-BB60-7A5F2754CDB0}" name="OPP_FG_PCT_RANK" dataDxfId="347"/>
    <tableColumn id="37" xr3:uid="{E4AC0F3C-8A3D-498A-91E7-6D03B1E4E977}" name="OPP_FG3M_RANK" dataDxfId="346"/>
    <tableColumn id="38" xr3:uid="{43897B19-D4FB-4498-8C6B-9B64F0DBBA0C}" name="OPP_FG3A_RANK" dataDxfId="345"/>
    <tableColumn id="39" xr3:uid="{87E9358C-38B0-4C59-8F43-DA05A43C088E}" name="OPP_FG3_PCT_RANK" dataDxfId="344"/>
    <tableColumn id="40" xr3:uid="{335E9974-10C1-47DC-A65F-D9CB2073592B}" name="OPP_FTM_RANK" dataDxfId="343"/>
    <tableColumn id="41" xr3:uid="{153C24A3-02D7-44E3-A66A-3659463DDD9F}" name="OPP_FTA_RANK" dataDxfId="342"/>
    <tableColumn id="42" xr3:uid="{A9EDDE75-A537-43BE-AA28-345078F1E5CB}" name="OPP_FT_PCT_RANK" dataDxfId="341"/>
    <tableColumn id="43" xr3:uid="{B9AD942C-88E0-4B84-8CE3-473D78A9D4E0}" name="OPP_OREB_RANK" dataDxfId="340"/>
    <tableColumn id="44" xr3:uid="{51720F1C-337D-4BD0-BEAF-37EB59FDACD1}" name="OPP_DREB_RANK" dataDxfId="339"/>
    <tableColumn id="45" xr3:uid="{79F8A741-DC06-4DBF-86FD-0E45319E5B0F}" name="OPP_REB_RANK" dataDxfId="338"/>
    <tableColumn id="46" xr3:uid="{DBAC9ED8-11A8-4098-8F30-F65EC02FD691}" name="OPP_AST_RANK" dataDxfId="337"/>
    <tableColumn id="47" xr3:uid="{A93F1294-7AC7-48F1-B4A0-6CE24E538573}" name="OPP_TOV_RANK" dataDxfId="336"/>
    <tableColumn id="48" xr3:uid="{12732B21-47F3-42A8-8A66-E1CD22889348}" name="OPP_STL_RANK" dataDxfId="335"/>
    <tableColumn id="49" xr3:uid="{BB72BB7F-C0A6-4942-BA8B-448CBECD1AAB}" name="OPP_BLK_RANK" dataDxfId="334"/>
    <tableColumn id="50" xr3:uid="{883449DF-562B-46D6-827D-0804CE720A66}" name="OPP_BLKA_RANK" dataDxfId="333"/>
    <tableColumn id="51" xr3:uid="{30EABAA4-C900-4C92-B0DC-F46F88AA41A6}" name="OPP_PF_RANK" dataDxfId="332"/>
    <tableColumn id="52" xr3:uid="{BA327F5C-4F87-4444-B41A-AC485BE8AABC}" name="OPP_PFD_RANK" dataDxfId="331"/>
    <tableColumn id="53" xr3:uid="{E27B22ED-69F0-4D51-AF7B-EB7806F4A813}" name="OPP_PTS_RANK" dataDxfId="330"/>
    <tableColumn id="54" xr3:uid="{154C459F-CF91-4FB6-9FF1-7E75766A90CB}" name="PLUS_MINUS_RANK" dataDxfId="329"/>
    <tableColumn id="55" xr3:uid="{4B702D3B-2040-4954-BC76-4206E68747EE}" name="CFID" dataDxfId="328"/>
    <tableColumn id="56" xr3:uid="{03F1148C-4ACA-4BAA-A5F7-B0B9796EB72A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E7462FC-17BD-4C16-9119-E7148910AF21}" name="TableClutchBaseN1" displayName="TableClutchBaseN1" ref="A1:BD31" totalsRowShown="0" headerRowDxfId="212">
  <autoFilter ref="A1:BD31" xr:uid="{AD0402A3-CE83-4FFD-A7A0-6792E95EBAD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CEB090F-1C23-4B7B-8A71-FE6DAF4BDB97}" name="TEAM_ID" dataDxfId="268"/>
    <tableColumn id="2" xr3:uid="{C9458CB8-531D-4C7F-8D8C-3BA82144DDA6}" name="TEAM_NAME" dataDxfId="267"/>
    <tableColumn id="3" xr3:uid="{48CDE8E1-4A7C-4E92-9580-199DA54FE868}" name="GP" dataDxfId="266"/>
    <tableColumn id="4" xr3:uid="{4C23108C-A7B1-4EC0-8FAA-C320F13DCABA}" name="W" dataDxfId="265"/>
    <tableColumn id="5" xr3:uid="{481D8B94-D051-45FA-96E6-3EB225E8992B}" name="L" dataDxfId="264"/>
    <tableColumn id="6" xr3:uid="{0B7450D2-D2F8-4C93-8DF0-624F673CCA34}" name="W_PCT" dataDxfId="263"/>
    <tableColumn id="7" xr3:uid="{AD1D6F2B-B055-4EDE-B03B-5BB708828D80}" name="MIN" dataDxfId="262"/>
    <tableColumn id="8" xr3:uid="{3398F5D6-5F62-43B0-94B4-1F72EFF79845}" name="FGM" dataDxfId="261"/>
    <tableColumn id="9" xr3:uid="{67672711-3EB9-425C-907E-AC8352B9F0F2}" name="FGA" dataDxfId="260"/>
    <tableColumn id="10" xr3:uid="{E5344F63-3588-4A7E-A95E-A512689A05D3}" name="FG_PCT" dataDxfId="259"/>
    <tableColumn id="11" xr3:uid="{695BF8D8-6C29-4777-B616-B13AFB3EB5D9}" name="FG3M" dataDxfId="258"/>
    <tableColumn id="12" xr3:uid="{D320B685-3D29-4D06-9887-8DBF715DE2B2}" name="FG3A" dataDxfId="257"/>
    <tableColumn id="13" xr3:uid="{4E298EB4-4549-4BD0-801B-08EF855EE7EA}" name="FG3_PCT" dataDxfId="256"/>
    <tableColumn id="14" xr3:uid="{86B9097A-B5FA-43A9-9FF4-DE224AE893E3}" name="FTM" dataDxfId="255"/>
    <tableColumn id="15" xr3:uid="{9761A1DA-273D-425B-88EF-AD0FADC6F476}" name="FTA" dataDxfId="254"/>
    <tableColumn id="16" xr3:uid="{58A34836-5814-493F-94AE-CADA13ED3377}" name="FT_PCT" dataDxfId="253"/>
    <tableColumn id="17" xr3:uid="{3CF1B124-D11A-4F4F-9289-AD614FBCD169}" name="OREB" dataDxfId="252"/>
    <tableColumn id="18" xr3:uid="{3FA7603B-E2AF-40BF-9A91-07CEA10125F3}" name="DREB" dataDxfId="251"/>
    <tableColumn id="19" xr3:uid="{2F31EEBB-7694-4001-B68B-CB7AF4E2B559}" name="REB" dataDxfId="250"/>
    <tableColumn id="20" xr3:uid="{1C626BB6-A84A-4A20-8291-1B10A5B06AE3}" name="AST" dataDxfId="249"/>
    <tableColumn id="21" xr3:uid="{DC39DD4D-733A-4EB3-A3E6-4A9275A98242}" name="TOV" dataDxfId="248"/>
    <tableColumn id="22" xr3:uid="{4F6FA0BD-5037-480E-A027-68499A9BC956}" name="STL" dataDxfId="247"/>
    <tableColumn id="23" xr3:uid="{D95BFC5A-4554-441B-85E7-44B0023110F9}" name="BLK" dataDxfId="246"/>
    <tableColumn id="24" xr3:uid="{9906E5A4-2356-4FF2-820B-ADBA2D3F2418}" name="BLKA" dataDxfId="245"/>
    <tableColumn id="25" xr3:uid="{27A7AA5D-892D-4D59-8128-7EAEEED80A9F}" name="PF" dataDxfId="244"/>
    <tableColumn id="26" xr3:uid="{C5B37BE7-48EB-44FF-840B-4B01D2006EA1}" name="PFD" dataDxfId="243"/>
    <tableColumn id="27" xr3:uid="{3DCFD67B-0BBE-45DB-A9C6-DA29FAF2917A}" name="PTS" dataDxfId="242"/>
    <tableColumn id="28" xr3:uid="{A177C722-6F3B-4EBD-A167-AFB693491EF0}" name="PLUS_MINUS" dataDxfId="241"/>
    <tableColumn id="29" xr3:uid="{530A4BA7-24C5-4140-AA43-EAE788A5C9DF}" name="GP_RANK" dataDxfId="240"/>
    <tableColumn id="30" xr3:uid="{E4E7BD4D-052F-4F15-B0FA-98989E32BB3C}" name="W_RANK" dataDxfId="239"/>
    <tableColumn id="31" xr3:uid="{589122AB-0518-4F9A-A892-BB48E65DE3D1}" name="L_RANK" dataDxfId="238"/>
    <tableColumn id="32" xr3:uid="{52B0953D-EFA2-4951-9E30-1607A2577F51}" name="W_PCT_RANK" dataDxfId="237"/>
    <tableColumn id="33" xr3:uid="{64E27AB3-B272-4CB2-89D6-7F17E5775FB4}" name="MIN_RANK" dataDxfId="236"/>
    <tableColumn id="34" xr3:uid="{27D53C44-43BC-4D20-A40D-D043B48156CD}" name="FGM_RANK" dataDxfId="235"/>
    <tableColumn id="35" xr3:uid="{4593E99A-DBFC-43B9-8C8E-07BB1BFBED28}" name="FGA_RANK" dataDxfId="234"/>
    <tableColumn id="36" xr3:uid="{518FBA17-9FDF-45C8-8F79-E6004171C00D}" name="FG_PCT_RANK" dataDxfId="233"/>
    <tableColumn id="37" xr3:uid="{F2923E6C-426C-4A9D-836A-373F9D5162F8}" name="FG3M_RANK" dataDxfId="232"/>
    <tableColumn id="38" xr3:uid="{96E0D4EC-A876-4499-A3A1-04BC2B2C5670}" name="FG3A_RANK" dataDxfId="231"/>
    <tableColumn id="39" xr3:uid="{08B6A6B8-AFAB-4EFF-A9F8-9DEC2A187C21}" name="FG3_PCT_RANK" dataDxfId="230"/>
    <tableColumn id="40" xr3:uid="{757209AC-CC64-49AC-8928-C6FAF95644B6}" name="FTM_RANK" dataDxfId="229"/>
    <tableColumn id="41" xr3:uid="{8C02B866-14AB-44FE-98F6-43D637B873A7}" name="FTA_RANK" dataDxfId="228"/>
    <tableColumn id="42" xr3:uid="{BFAE08A0-70DC-4845-920C-A6A22F1C211E}" name="FT_PCT_RANK" dataDxfId="227"/>
    <tableColumn id="43" xr3:uid="{F7A5D554-DE5E-426C-BBC6-B08A8BFBC464}" name="OREB_RANK" dataDxfId="226"/>
    <tableColumn id="44" xr3:uid="{13AD3FDF-FA74-4D89-B51C-549A9F243B43}" name="DREB_RANK" dataDxfId="225"/>
    <tableColumn id="45" xr3:uid="{73AC309D-A5E5-4F80-98F9-8F54C5AAAA6A}" name="REB_RANK" dataDxfId="224"/>
    <tableColumn id="46" xr3:uid="{A52A65AF-1548-41B1-9DE5-309A5B16C93D}" name="AST_RANK" dataDxfId="223"/>
    <tableColumn id="47" xr3:uid="{1404AE75-4DB4-4272-909B-25BE6BD767EF}" name="TOV_RANK" dataDxfId="222"/>
    <tableColumn id="48" xr3:uid="{B3CCA6DF-7831-4664-BE3F-8BA7419EAFA2}" name="STL_RANK" dataDxfId="221"/>
    <tableColumn id="49" xr3:uid="{563AE37C-AAF7-453F-A710-B981D67133F9}" name="BLK_RANK" dataDxfId="220"/>
    <tableColumn id="50" xr3:uid="{CAA95D9B-E8B3-478C-A40D-6CEFAB73C222}" name="BLKA_RANK" dataDxfId="219"/>
    <tableColumn id="51" xr3:uid="{67D13612-C206-49AE-A8BE-72CE0D446AB8}" name="PF_RANK" dataDxfId="218"/>
    <tableColumn id="52" xr3:uid="{4C4679BB-0D0D-4F46-84E4-00D086EDADBF}" name="PFD_RANK" dataDxfId="217"/>
    <tableColumn id="53" xr3:uid="{FF156D86-AC2A-4177-A420-CA98B2546F11}" name="PTS_RANK" dataDxfId="216"/>
    <tableColumn id="54" xr3:uid="{5839F08B-066C-4E41-97A8-B587685646A4}" name="PLUS_MINUS_RANK" dataDxfId="215"/>
    <tableColumn id="55" xr3:uid="{F6CD8E55-55AC-46A1-987E-12A83F85E9D3}" name="CFID" dataDxfId="214"/>
    <tableColumn id="56" xr3:uid="{BB401B80-D424-4327-9B9A-D87764137D3A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86CA6FD-8F3A-40C4-A372-0B2066686150}" name="TableClutchOpponentN1" displayName="TableClutchOpponentN1" ref="A1:BD31" totalsRowShown="0" headerRowDxfId="98">
  <autoFilter ref="A1:BD31" xr:uid="{41A51F9C-9A32-407C-97A1-1508BCF5FC5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B906E1B-5745-442C-BEC3-D7E9B4D5FF49}" name="TEAM_ID" dataDxfId="154"/>
    <tableColumn id="2" xr3:uid="{30D5E0CA-A50E-4496-A74D-A2CF247F4548}" name="TEAM_NAME" dataDxfId="153"/>
    <tableColumn id="3" xr3:uid="{79D17205-FFF9-494A-A93F-042D12071081}" name="GP" dataDxfId="152"/>
    <tableColumn id="4" xr3:uid="{2471A470-5B88-4012-B4C5-C6B04252A25A}" name="W" dataDxfId="151"/>
    <tableColumn id="5" xr3:uid="{F627879C-2BC1-413A-A4BF-26F347985783}" name="L" dataDxfId="150"/>
    <tableColumn id="6" xr3:uid="{CFAB6A53-1386-402B-9059-DA3D2CE03735}" name="W_PCT" dataDxfId="149"/>
    <tableColumn id="7" xr3:uid="{654A1808-FE04-41B2-AD55-5DFAD02F0BCA}" name="MIN" dataDxfId="148"/>
    <tableColumn id="8" xr3:uid="{8EBD06D5-407A-4939-82CB-BB98BF2E9F95}" name="OPP_FGM" dataDxfId="147"/>
    <tableColumn id="9" xr3:uid="{81EC3629-61E0-4E06-B6DD-2AE0A2F5A7BA}" name="OPP_FGA" dataDxfId="146"/>
    <tableColumn id="10" xr3:uid="{61179B95-3671-4CB3-8C65-8DAD0C750187}" name="OPP_FG_PCT" dataDxfId="145"/>
    <tableColumn id="11" xr3:uid="{62DAA6DC-DFBD-442E-B1B1-306EDC179059}" name="OPP_FG3M" dataDxfId="144"/>
    <tableColumn id="12" xr3:uid="{A69A8FBA-80C1-403E-B201-B5C683FACE05}" name="OPP_FG3A" dataDxfId="143"/>
    <tableColumn id="13" xr3:uid="{2F76AC25-1F32-440E-A4DB-CB61210D5FB3}" name="OPP_FG3_PCT" dataDxfId="142"/>
    <tableColumn id="14" xr3:uid="{9B483887-C7E5-4D90-A0D5-852643BB3733}" name="OPP_FTM" dataDxfId="141"/>
    <tableColumn id="15" xr3:uid="{C8B0DB52-143C-48F9-BB6C-4FE689E24A7A}" name="OPP_FTA" dataDxfId="140"/>
    <tableColumn id="16" xr3:uid="{DCB14A01-43D8-418B-9A34-EBB383A0EF5B}" name="OPP_FT_PCT" dataDxfId="139"/>
    <tableColumn id="17" xr3:uid="{C6686CFC-A09E-4AAD-B28C-488ECE4E0566}" name="OPP_OREB" dataDxfId="138"/>
    <tableColumn id="18" xr3:uid="{4960F567-8284-422B-9C84-1A874257BBCB}" name="OPP_DREB" dataDxfId="137"/>
    <tableColumn id="19" xr3:uid="{8C4E9D94-940A-4A9B-A634-17E27AE06C1C}" name="OPP_REB" dataDxfId="136"/>
    <tableColumn id="20" xr3:uid="{DF00357E-F20F-42A2-9650-A4F349BFD992}" name="OPP_AST" dataDxfId="135"/>
    <tableColumn id="21" xr3:uid="{0F64F840-015A-4B6E-9BBD-28062503997A}" name="OPP_TOV" dataDxfId="134"/>
    <tableColumn id="22" xr3:uid="{79041870-D0B6-4608-985A-F26E65923DC9}" name="OPP_STL" dataDxfId="133"/>
    <tableColumn id="23" xr3:uid="{EEA96802-0786-49FE-8ED0-A53C9715F851}" name="OPP_BLK" dataDxfId="132"/>
    <tableColumn id="24" xr3:uid="{F1FFA61A-AA9D-44DE-9434-CFA0E6F34890}" name="OPP_BLKA" dataDxfId="131"/>
    <tableColumn id="25" xr3:uid="{B5CA9B33-EF9D-4F80-9019-A002868189DB}" name="OPP_PF" dataDxfId="130"/>
    <tableColumn id="26" xr3:uid="{D69CF00B-0119-4311-8B31-816AD8321CA8}" name="OPP_PFD" dataDxfId="129"/>
    <tableColumn id="27" xr3:uid="{1D84B05E-A641-4043-9E36-07C6B57E3A90}" name="OPP_PTS" dataDxfId="128"/>
    <tableColumn id="28" xr3:uid="{4DD62A63-ACA6-43C9-9FA0-50C7ADAF2D15}" name="PLUS_MINUS" dataDxfId="127"/>
    <tableColumn id="29" xr3:uid="{7A0EF906-F24F-425B-90A6-72F79BEF4C20}" name="GP_RANK" dataDxfId="126"/>
    <tableColumn id="30" xr3:uid="{FBC6A3AA-74E9-4C98-BCCA-9ABF42932E65}" name="W_RANK" dataDxfId="125"/>
    <tableColumn id="31" xr3:uid="{1F8E1DBE-32D4-4B79-85F3-5ADF066EDC57}" name="L_RANK" dataDxfId="124"/>
    <tableColumn id="32" xr3:uid="{0D7810AE-E494-48A0-B597-89F584410455}" name="W_PCT_RANK" dataDxfId="123"/>
    <tableColumn id="33" xr3:uid="{769AB7E7-6A7B-4FC5-8CC2-42984BD1C3B7}" name="MIN_RANK" dataDxfId="122"/>
    <tableColumn id="34" xr3:uid="{A21846B7-944E-4CCA-A321-9D4B3011FD23}" name="OPP_FGM_RANK" dataDxfId="121"/>
    <tableColumn id="35" xr3:uid="{679F0DEA-6916-40F5-9FB4-B8082408DBC0}" name="OPP_FGA_RANK" dataDxfId="120"/>
    <tableColumn id="36" xr3:uid="{08CC5E38-972D-49C0-A11B-3E0C805441FE}" name="OPP_FG_PCT_RANK" dataDxfId="119"/>
    <tableColumn id="37" xr3:uid="{31DC0650-5113-473B-993C-594DFDC9DD96}" name="OPP_FG3M_RANK" dataDxfId="118"/>
    <tableColumn id="38" xr3:uid="{A81A2CC6-CFA1-46F1-B066-8FDD4AE58D34}" name="OPP_FG3A_RANK" dataDxfId="117"/>
    <tableColumn id="39" xr3:uid="{1747C007-064B-405B-96CB-6A06DAE6D5F6}" name="OPP_FG3_PCT_RANK" dataDxfId="116"/>
    <tableColumn id="40" xr3:uid="{DD18EDA3-AFEF-4B75-858B-D64B6033A826}" name="OPP_FTM_RANK" dataDxfId="115"/>
    <tableColumn id="41" xr3:uid="{4959F39B-848A-4598-A1A3-B522A4C7CB26}" name="OPP_FTA_RANK" dataDxfId="114"/>
    <tableColumn id="42" xr3:uid="{B009219F-BA1C-4C12-B3F7-5FAF1F3A3B0A}" name="OPP_FT_PCT_RANK" dataDxfId="113"/>
    <tableColumn id="43" xr3:uid="{C21D57C4-BEF4-4AE5-94D1-E30A3E5C4BF0}" name="OPP_OREB_RANK" dataDxfId="112"/>
    <tableColumn id="44" xr3:uid="{C538DD34-AADA-442B-874C-9572CCEC4233}" name="OPP_DREB_RANK" dataDxfId="111"/>
    <tableColumn id="45" xr3:uid="{82CF11F0-F37F-4CB0-910A-8E8511575C63}" name="OPP_REB_RANK" dataDxfId="110"/>
    <tableColumn id="46" xr3:uid="{A493563A-9D8C-4E65-86BB-D59FE6F3179C}" name="OPP_AST_RANK" dataDxfId="109"/>
    <tableColumn id="47" xr3:uid="{89768F66-5DEA-406C-81C0-EF0D35ECD53F}" name="OPP_TOV_RANK" dataDxfId="108"/>
    <tableColumn id="48" xr3:uid="{23C48A34-22C8-4513-B164-130133F81BB9}" name="OPP_STL_RANK" dataDxfId="107"/>
    <tableColumn id="49" xr3:uid="{F616C287-D0BC-49C2-A004-1FC6EBE62BED}" name="OPP_BLK_RANK" dataDxfId="106"/>
    <tableColumn id="50" xr3:uid="{79D85DCA-8AE5-4DB9-B10F-D65D8FC6AC93}" name="OPP_BLKA_RANK" dataDxfId="105"/>
    <tableColumn id="51" xr3:uid="{532C6F7E-CBAD-4E64-8D93-9DA0D4197F81}" name="OPP_PF_RANK" dataDxfId="104"/>
    <tableColumn id="52" xr3:uid="{99DB6909-5E94-4EB2-A07A-0C0069584704}" name="OPP_PFD_RANK" dataDxfId="103"/>
    <tableColumn id="53" xr3:uid="{55640F0E-E257-4C1E-9071-677E19394131}" name="OPP_PTS_RANK" dataDxfId="102"/>
    <tableColumn id="54" xr3:uid="{96FEAAA1-CEF5-4D20-A9E3-4341A144A24F}" name="PLUS_MINUS_RANK" dataDxfId="101"/>
    <tableColumn id="55" xr3:uid="{29C76E66-889F-404D-AB30-8E4390475848}" name="CFID" dataDxfId="100"/>
    <tableColumn id="56" xr3:uid="{3621B042-6A5C-4D7E-896C-8A2E53770C7D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7944AC1-A1F9-4615-BE6C-B150E3D53A26}" name="TableClutchAdvancedN1" displayName="TableClutchAdvancedN1" ref="A1:AV31" totalsRowShown="0" headerRowDxfId="0">
  <autoFilter ref="A1:AV31" xr:uid="{2BF23396-DA3D-4163-9E54-3D2DBBD8A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AF57D45-4EEE-4962-AB2D-39F8FD10FECD}" name="TEAM_ID" dataDxfId="48"/>
    <tableColumn id="2" xr3:uid="{236F4218-46FD-45E6-B7C1-ED14C8191480}" name="TEAM_NAME" dataDxfId="47"/>
    <tableColumn id="3" xr3:uid="{D37290DA-485A-4529-AF47-8620D0AF527C}" name="GP" dataDxfId="46"/>
    <tableColumn id="4" xr3:uid="{49E9F3EE-F397-4B03-A612-97F8AE59F63F}" name="W" dataDxfId="45"/>
    <tableColumn id="5" xr3:uid="{5C9AC08A-F173-42BD-BDD6-70C8A7CF54C5}" name="L" dataDxfId="44"/>
    <tableColumn id="6" xr3:uid="{FC435D1A-E10E-494B-B06A-48BACDBBEEB6}" name="W_PCT" dataDxfId="43"/>
    <tableColumn id="7" xr3:uid="{2E6C70E0-DE73-4DE2-AFC4-4E1801D9A42F}" name="MIN" dataDxfId="42"/>
    <tableColumn id="8" xr3:uid="{17D031F7-8309-4B78-B222-DF51BDEDE276}" name="E_OFF_RATING" dataDxfId="41"/>
    <tableColumn id="9" xr3:uid="{A7D0C91F-EB81-487B-8278-3AC0D0BD4F9B}" name="OFF_RATING" dataDxfId="40"/>
    <tableColumn id="10" xr3:uid="{BCB04427-3810-4CE1-BACD-037E0A821281}" name="E_DEF_RATING" dataDxfId="39"/>
    <tableColumn id="11" xr3:uid="{EF1FC4B5-A08A-416F-A52E-096C38F1F7DF}" name="DEF_RATING" dataDxfId="38"/>
    <tableColumn id="12" xr3:uid="{9226A6A8-39CA-40E7-9175-6B46790640DC}" name="E_NET_RATING" dataDxfId="37"/>
    <tableColumn id="13" xr3:uid="{CE36F346-CCCA-45AF-8E39-35CA008DF2C0}" name="NET_RATING" dataDxfId="36"/>
    <tableColumn id="14" xr3:uid="{24191101-FF97-4A54-B86B-234BCC7376CE}" name="AST_PCT" dataDxfId="35"/>
    <tableColumn id="15" xr3:uid="{F7F4487C-58AF-4CDE-A6BD-0E2C01ACD505}" name="AST_TO" dataDxfId="34"/>
    <tableColumn id="16" xr3:uid="{511C0304-971A-4EE7-9348-20DD18B013DE}" name="AST_RATIO" dataDxfId="33"/>
    <tableColumn id="17" xr3:uid="{ADC3FD62-3369-4289-A531-5D034C08DE56}" name="OREB_PCT" dataDxfId="32"/>
    <tableColumn id="18" xr3:uid="{A568C78F-F82B-4E0B-BBFD-FC26C6E62E27}" name="DREB_PCT" dataDxfId="31"/>
    <tableColumn id="19" xr3:uid="{7D2D8090-3B03-4688-81D3-F599AD0B6FFF}" name="REB_PCT" dataDxfId="30"/>
    <tableColumn id="20" xr3:uid="{7701E9A8-C73D-4B33-9818-EEE35F589B43}" name="TM_TOV_PCT" dataDxfId="29"/>
    <tableColumn id="21" xr3:uid="{6BD2A5BC-400D-4A14-83E9-7AE91F2BBD43}" name="EFG_PCT" dataDxfId="28"/>
    <tableColumn id="22" xr3:uid="{95675E44-5AE9-4933-9F83-4A9B7117D68F}" name="TS_PCT" dataDxfId="27"/>
    <tableColumn id="23" xr3:uid="{091C87EC-3B5D-40AE-81C8-F0A06B877897}" name="E_PACE" dataDxfId="26"/>
    <tableColumn id="24" xr3:uid="{E1C8E92A-18AD-49C8-8D46-E7D98CA40853}" name="PACE" dataDxfId="25"/>
    <tableColumn id="25" xr3:uid="{36D91D3A-2BDE-4FFA-BC05-878ED5D5F5BA}" name="PACE_PER40" dataDxfId="24"/>
    <tableColumn id="26" xr3:uid="{BDCF427D-BC25-4FFB-A01C-6E516C79973C}" name="POSS" dataDxfId="23"/>
    <tableColumn id="27" xr3:uid="{E3B71AD7-E4AC-4AFB-A2EA-97503C5D49C3}" name="PIE" dataDxfId="22"/>
    <tableColumn id="28" xr3:uid="{45F9E066-9AB4-4B95-BE62-193467D4843E}" name="GP_RANK" dataDxfId="21"/>
    <tableColumn id="29" xr3:uid="{EC630193-B47B-4A4C-B3A1-E80048FC83B8}" name="W_RANK" dataDxfId="20"/>
    <tableColumn id="30" xr3:uid="{7DDA2D5E-5D8D-4046-A30D-960F89F44823}" name="L_RANK" dataDxfId="19"/>
    <tableColumn id="31" xr3:uid="{C693EB12-36A8-4504-801D-7238231CC0C2}" name="W_PCT_RANK" dataDxfId="18"/>
    <tableColumn id="32" xr3:uid="{95D89147-13C3-4C3C-82E8-FEC96AF09095}" name="MIN_RANK" dataDxfId="17"/>
    <tableColumn id="33" xr3:uid="{828E7CEB-08DD-4CC1-926C-D04EE5572F7A}" name="OFF_RATING_RANK" dataDxfId="16"/>
    <tableColumn id="34" xr3:uid="{FFBB9E03-AA93-497B-9B29-1F47176FF5BD}" name="DEF_RATING_RANK" dataDxfId="15"/>
    <tableColumn id="35" xr3:uid="{9E28516D-5AC6-4762-BC3C-466C8F143391}" name="NET_RATING_RANK" dataDxfId="14"/>
    <tableColumn id="36" xr3:uid="{7D38D713-98BF-4F90-9592-0BB6F4FCDF32}" name="AST_PCT_RANK" dataDxfId="13"/>
    <tableColumn id="37" xr3:uid="{55EB8B10-6BC3-404A-8FF8-FBC28063BAE7}" name="AST_TO_RANK" dataDxfId="12"/>
    <tableColumn id="38" xr3:uid="{4B918BE6-E3FA-4EAC-B74A-367E126018EE}" name="AST_RATIO_RANK" dataDxfId="11"/>
    <tableColumn id="39" xr3:uid="{D8D33A21-A471-4B99-97AC-EB2072572312}" name="OREB_PCT_RANK" dataDxfId="10"/>
    <tableColumn id="40" xr3:uid="{9E7C8172-BD35-4BD1-8012-F5EFAA6920F5}" name="DREB_PCT_RANK" dataDxfId="9"/>
    <tableColumn id="41" xr3:uid="{B0F7A8A5-DB1A-45D2-8E32-D156986FDF6B}" name="REB_PCT_RANK" dataDxfId="8"/>
    <tableColumn id="42" xr3:uid="{3040F5FF-DDAD-4766-A21E-95717D95813C}" name="TM_TOV_PCT_RANK" dataDxfId="7"/>
    <tableColumn id="43" xr3:uid="{76CCC995-48C6-4C97-BABB-4A6B303F0CA4}" name="EFG_PCT_RANK" dataDxfId="6"/>
    <tableColumn id="44" xr3:uid="{60EC0040-EEFA-4799-9F72-59A795DB518C}" name="TS_PCT_RANK" dataDxfId="5"/>
    <tableColumn id="45" xr3:uid="{2DFC4394-6812-40A7-AE0C-E6D23A11DFC0}" name="PACE_RANK" dataDxfId="4"/>
    <tableColumn id="46" xr3:uid="{BA196A2C-BF3D-402E-8BA9-22615663BD57}" name="PIE_RANK" dataDxfId="3"/>
    <tableColumn id="47" xr3:uid="{F0467F9C-C95F-46BD-99B1-4392E2D1865A}" name="CFID" dataDxfId="2"/>
    <tableColumn id="48" xr3:uid="{E28E189F-5887-4093-A65E-45B34E88427B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topLeftCell="A7" workbookViewId="0">
      <selection activeCell="C22" sqref="C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1411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1416</v>
      </c>
      <c r="D3" s="2">
        <v>12</v>
      </c>
      <c r="F3" s="1" t="s">
        <v>1412</v>
      </c>
      <c r="G3" s="2">
        <v>11</v>
      </c>
    </row>
    <row r="4" spans="1:7" x14ac:dyDescent="0.25">
      <c r="A4" s="23"/>
      <c r="B4" s="5" t="s">
        <v>6</v>
      </c>
      <c r="C4" s="11">
        <v>0.40200000000000002</v>
      </c>
      <c r="F4" s="11">
        <v>0.35699999999999998</v>
      </c>
    </row>
    <row r="5" spans="1:7" x14ac:dyDescent="0.25">
      <c r="A5" s="23"/>
      <c r="B5" s="5" t="s">
        <v>7</v>
      </c>
      <c r="C5" s="1" t="s">
        <v>1413</v>
      </c>
      <c r="F5" s="1" t="s">
        <v>1413</v>
      </c>
    </row>
    <row r="6" spans="1:7" x14ac:dyDescent="0.25">
      <c r="A6" s="23"/>
      <c r="B6" s="5" t="s">
        <v>2</v>
      </c>
      <c r="C6" s="1" t="s">
        <v>1345</v>
      </c>
      <c r="F6" s="1" t="s">
        <v>1414</v>
      </c>
    </row>
    <row r="7" spans="1:7" x14ac:dyDescent="0.25">
      <c r="A7" s="23"/>
      <c r="B7" s="5" t="s">
        <v>3</v>
      </c>
      <c r="C7" s="1" t="s">
        <v>1417</v>
      </c>
      <c r="F7" s="1" t="s">
        <v>1415</v>
      </c>
    </row>
    <row r="8" spans="1:7" x14ac:dyDescent="0.25">
      <c r="A8" s="23"/>
      <c r="B8" s="5" t="s">
        <v>0</v>
      </c>
      <c r="C8" s="1" t="s">
        <v>1418</v>
      </c>
      <c r="F8" s="1" t="s">
        <v>1412</v>
      </c>
    </row>
    <row r="9" spans="1:7" x14ac:dyDescent="0.25">
      <c r="A9" s="23"/>
      <c r="B9" s="5" t="s">
        <v>1</v>
      </c>
      <c r="C9" s="1" t="s">
        <v>1419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0.45</v>
      </c>
      <c r="D11" s="3">
        <v>23</v>
      </c>
      <c r="F11" s="9">
        <v>0.45700000000000002</v>
      </c>
      <c r="G11" s="3">
        <v>14</v>
      </c>
    </row>
    <row r="12" spans="1:7" x14ac:dyDescent="0.25">
      <c r="A12" s="23"/>
      <c r="B12" s="14" t="s">
        <v>36</v>
      </c>
      <c r="C12" s="8">
        <v>38</v>
      </c>
      <c r="D12" s="3">
        <v>30</v>
      </c>
      <c r="F12" s="8">
        <v>41.6</v>
      </c>
      <c r="G12" s="3">
        <v>7</v>
      </c>
    </row>
    <row r="13" spans="1:7" x14ac:dyDescent="0.25">
      <c r="A13" s="23"/>
      <c r="B13" s="14" t="s">
        <v>37</v>
      </c>
      <c r="C13" s="8">
        <v>84.4</v>
      </c>
      <c r="D13" s="3">
        <v>30</v>
      </c>
      <c r="F13" s="8">
        <v>91</v>
      </c>
      <c r="G13" s="3">
        <v>10</v>
      </c>
    </row>
    <row r="14" spans="1:7" x14ac:dyDescent="0.25">
      <c r="A14" s="23"/>
      <c r="B14" s="14" t="s">
        <v>27</v>
      </c>
      <c r="C14" s="9">
        <v>0.34200000000000003</v>
      </c>
      <c r="D14" s="3">
        <v>25</v>
      </c>
      <c r="F14" s="9">
        <v>0.34100000000000003</v>
      </c>
      <c r="G14" s="3">
        <v>22</v>
      </c>
    </row>
    <row r="15" spans="1:7" x14ac:dyDescent="0.25">
      <c r="A15" s="23"/>
      <c r="B15" s="14" t="s">
        <v>38</v>
      </c>
      <c r="C15" s="8">
        <v>9.9</v>
      </c>
      <c r="D15" s="3">
        <v>27</v>
      </c>
      <c r="F15" s="8">
        <v>10.4</v>
      </c>
      <c r="G15" s="3">
        <v>22</v>
      </c>
    </row>
    <row r="16" spans="1:7" x14ac:dyDescent="0.25">
      <c r="A16" s="23"/>
      <c r="B16" s="14" t="s">
        <v>39</v>
      </c>
      <c r="C16" s="8">
        <v>28.9</v>
      </c>
      <c r="D16" s="3">
        <v>25</v>
      </c>
      <c r="F16" s="8">
        <v>30.6</v>
      </c>
      <c r="G16" s="3">
        <v>20</v>
      </c>
    </row>
    <row r="17" spans="1:7" x14ac:dyDescent="0.25">
      <c r="A17" s="23"/>
      <c r="B17" s="14" t="s">
        <v>28</v>
      </c>
      <c r="C17" s="9">
        <v>0.77200000000000002</v>
      </c>
      <c r="D17" s="3">
        <v>15</v>
      </c>
      <c r="F17" s="9">
        <v>0.77100000000000002</v>
      </c>
      <c r="G17" s="3">
        <v>15</v>
      </c>
    </row>
    <row r="18" spans="1:7" x14ac:dyDescent="0.25">
      <c r="A18" s="23"/>
      <c r="B18" s="14" t="s">
        <v>41</v>
      </c>
      <c r="C18" s="8">
        <v>17.7</v>
      </c>
      <c r="D18" s="3">
        <v>15</v>
      </c>
      <c r="F18" s="8">
        <v>15.4</v>
      </c>
      <c r="G18" s="3">
        <v>27</v>
      </c>
    </row>
    <row r="19" spans="1:7" x14ac:dyDescent="0.25">
      <c r="A19" s="23"/>
      <c r="B19" s="14" t="s">
        <v>40</v>
      </c>
      <c r="C19" s="8">
        <v>23</v>
      </c>
      <c r="D19" s="3">
        <v>18</v>
      </c>
      <c r="F19" s="8">
        <v>20</v>
      </c>
      <c r="G19" s="3">
        <v>27</v>
      </c>
    </row>
    <row r="20" spans="1:7" x14ac:dyDescent="0.25">
      <c r="A20" s="23"/>
      <c r="B20" s="14" t="s">
        <v>29</v>
      </c>
      <c r="C20" s="8">
        <v>23.9</v>
      </c>
      <c r="D20" s="3">
        <v>19</v>
      </c>
      <c r="F20" s="8">
        <v>26.9</v>
      </c>
      <c r="G20" s="3">
        <v>3</v>
      </c>
    </row>
    <row r="21" spans="1:7" x14ac:dyDescent="0.25">
      <c r="A21" s="23"/>
      <c r="B21" s="14" t="s">
        <v>30</v>
      </c>
      <c r="C21" s="8">
        <v>14</v>
      </c>
      <c r="D21" s="3">
        <v>15</v>
      </c>
      <c r="F21" s="8">
        <v>16.899999999999999</v>
      </c>
      <c r="G21" s="3">
        <v>24</v>
      </c>
    </row>
    <row r="22" spans="1:7" x14ac:dyDescent="0.25">
      <c r="A22" s="23"/>
      <c r="B22" s="14" t="s">
        <v>32</v>
      </c>
      <c r="C22" s="8">
        <v>41.8</v>
      </c>
      <c r="D22" s="3">
        <v>29</v>
      </c>
      <c r="F22" s="8">
        <v>45.1</v>
      </c>
      <c r="G22" s="3">
        <v>19</v>
      </c>
    </row>
    <row r="23" spans="1:7" x14ac:dyDescent="0.25">
      <c r="A23" s="23"/>
      <c r="B23" s="14" t="s">
        <v>31</v>
      </c>
      <c r="C23" s="8">
        <v>8.8000000000000007</v>
      </c>
      <c r="D23" s="3">
        <v>29</v>
      </c>
      <c r="F23" s="8">
        <v>9.9</v>
      </c>
      <c r="G23" s="3">
        <v>24</v>
      </c>
    </row>
    <row r="24" spans="1:7" x14ac:dyDescent="0.25">
      <c r="A24" s="23"/>
      <c r="B24" s="14" t="s">
        <v>33</v>
      </c>
      <c r="C24" s="8">
        <v>33</v>
      </c>
      <c r="D24" s="3">
        <v>26</v>
      </c>
      <c r="F24" s="8">
        <v>35.299999999999997</v>
      </c>
      <c r="G24" s="3">
        <v>18</v>
      </c>
    </row>
    <row r="25" spans="1:7" x14ac:dyDescent="0.25">
      <c r="A25" s="23"/>
      <c r="B25" s="14" t="s">
        <v>34</v>
      </c>
      <c r="C25" s="8">
        <v>8.3000000000000007</v>
      </c>
      <c r="D25" s="3">
        <v>6</v>
      </c>
      <c r="F25" s="8">
        <v>7.6</v>
      </c>
      <c r="G25" s="3">
        <v>16</v>
      </c>
    </row>
    <row r="26" spans="1:7" x14ac:dyDescent="0.25">
      <c r="A26" s="23"/>
      <c r="B26" s="14" t="s">
        <v>35</v>
      </c>
      <c r="C26" s="8">
        <v>5.5</v>
      </c>
      <c r="D26" s="3">
        <v>4</v>
      </c>
      <c r="F26" s="8">
        <v>5.5</v>
      </c>
      <c r="G26" s="3">
        <v>10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0.45100000000000001</v>
      </c>
      <c r="D28" s="3">
        <v>7</v>
      </c>
      <c r="F28" s="9">
        <v>0.46600000000000003</v>
      </c>
      <c r="G28" s="3">
        <v>22</v>
      </c>
    </row>
    <row r="29" spans="1:7" x14ac:dyDescent="0.25">
      <c r="A29" s="23"/>
      <c r="B29" s="18" t="s">
        <v>43</v>
      </c>
      <c r="C29" s="9">
        <v>0.36</v>
      </c>
      <c r="D29" s="3">
        <v>21</v>
      </c>
      <c r="F29" s="9">
        <v>0.36</v>
      </c>
      <c r="G29" s="3">
        <v>20</v>
      </c>
    </row>
    <row r="30" spans="1:7" x14ac:dyDescent="0.25">
      <c r="A30" s="23"/>
      <c r="B30" s="18" t="s">
        <v>44</v>
      </c>
      <c r="C30" s="8">
        <v>11.6</v>
      </c>
      <c r="D30" s="3">
        <v>16</v>
      </c>
      <c r="F30" s="8">
        <v>12.6</v>
      </c>
      <c r="G30" s="3">
        <v>24</v>
      </c>
    </row>
    <row r="31" spans="1:7" x14ac:dyDescent="0.25">
      <c r="A31" s="23"/>
      <c r="B31" s="17" t="s">
        <v>45</v>
      </c>
      <c r="C31" s="8">
        <v>32.200000000000003</v>
      </c>
      <c r="D31" s="3">
        <v>15</v>
      </c>
      <c r="F31" s="8">
        <v>35.1</v>
      </c>
      <c r="G31" s="3">
        <v>25</v>
      </c>
    </row>
    <row r="32" spans="1:7" x14ac:dyDescent="0.25">
      <c r="A32" s="23"/>
      <c r="B32" s="17" t="s">
        <v>46</v>
      </c>
      <c r="C32" s="8">
        <v>15.2</v>
      </c>
      <c r="D32" s="3">
        <v>6</v>
      </c>
      <c r="F32" s="8">
        <v>15.1</v>
      </c>
      <c r="G32" s="3">
        <v>20</v>
      </c>
    </row>
    <row r="33" spans="1:7" x14ac:dyDescent="0.25">
      <c r="A33" s="23"/>
      <c r="B33" s="17" t="s">
        <v>47</v>
      </c>
      <c r="C33" s="8">
        <v>9.5</v>
      </c>
      <c r="D33" s="3">
        <v>5</v>
      </c>
      <c r="F33" s="8">
        <v>9.5</v>
      </c>
      <c r="G33" s="3">
        <v>10</v>
      </c>
    </row>
    <row r="35" spans="1:7" x14ac:dyDescent="0.25">
      <c r="A35" s="23" t="s">
        <v>60</v>
      </c>
      <c r="B35" s="4" t="s">
        <v>8</v>
      </c>
      <c r="C35" s="8">
        <v>105.6</v>
      </c>
      <c r="D35" s="3">
        <v>27</v>
      </c>
      <c r="F35" s="8">
        <v>103.4</v>
      </c>
      <c r="G35" s="3">
        <v>27</v>
      </c>
    </row>
    <row r="36" spans="1:7" x14ac:dyDescent="0.25">
      <c r="A36" s="23"/>
      <c r="B36" s="4" t="s">
        <v>9</v>
      </c>
      <c r="C36" s="8">
        <v>108</v>
      </c>
      <c r="D36" s="3">
        <v>9</v>
      </c>
      <c r="F36" s="8">
        <v>112</v>
      </c>
      <c r="G36" s="3">
        <v>25</v>
      </c>
    </row>
    <row r="37" spans="1:7" x14ac:dyDescent="0.25">
      <c r="A37" s="23"/>
      <c r="B37" s="4" t="s">
        <v>10</v>
      </c>
      <c r="C37" s="8">
        <v>-2.4</v>
      </c>
      <c r="D37" s="3">
        <v>24</v>
      </c>
      <c r="F37" s="8">
        <v>-8.6</v>
      </c>
      <c r="G37" s="3">
        <v>28</v>
      </c>
    </row>
    <row r="38" spans="1:7" x14ac:dyDescent="0.25">
      <c r="A38" s="23"/>
      <c r="B38" s="4" t="s">
        <v>11</v>
      </c>
      <c r="C38" s="13">
        <v>97.15</v>
      </c>
      <c r="D38" s="3">
        <v>30</v>
      </c>
      <c r="F38" s="13">
        <v>104.79</v>
      </c>
      <c r="G38" s="3">
        <v>7</v>
      </c>
    </row>
    <row r="39" spans="1:7" x14ac:dyDescent="0.25">
      <c r="A39" s="23"/>
      <c r="B39" s="4" t="s">
        <v>12</v>
      </c>
      <c r="C39" s="10">
        <v>0.50800000000000001</v>
      </c>
      <c r="D39" s="3">
        <v>27</v>
      </c>
      <c r="F39" s="9">
        <v>0.51400000000000001</v>
      </c>
      <c r="G39" s="3">
        <v>18</v>
      </c>
    </row>
    <row r="40" spans="1:7" x14ac:dyDescent="0.25">
      <c r="A40" s="23"/>
      <c r="B40" s="4" t="s">
        <v>13</v>
      </c>
      <c r="C40" s="10">
        <v>0.63100000000000001</v>
      </c>
      <c r="D40" s="3">
        <v>6</v>
      </c>
      <c r="F40" s="9">
        <v>0.64600000000000002</v>
      </c>
      <c r="G40" s="3">
        <v>3</v>
      </c>
    </row>
    <row r="41" spans="1:7" x14ac:dyDescent="0.25">
      <c r="A41" s="23"/>
      <c r="B41" s="4" t="s">
        <v>14</v>
      </c>
      <c r="C41" s="10">
        <v>0.48399999999999999</v>
      </c>
      <c r="D41" s="3">
        <v>26</v>
      </c>
      <c r="F41" s="9">
        <v>0.49</v>
      </c>
      <c r="G41" s="3">
        <v>23</v>
      </c>
    </row>
    <row r="42" spans="1:7" x14ac:dyDescent="0.25">
      <c r="A42" s="23"/>
      <c r="B42" s="4" t="s">
        <v>15</v>
      </c>
      <c r="C42" s="10">
        <v>0.247</v>
      </c>
      <c r="D42" s="3">
        <v>27</v>
      </c>
      <c r="F42" s="9">
        <v>0.254</v>
      </c>
      <c r="G42" s="3">
        <v>25</v>
      </c>
    </row>
    <row r="43" spans="1:7" x14ac:dyDescent="0.25">
      <c r="A43" s="23"/>
      <c r="B43" s="4" t="s">
        <v>16</v>
      </c>
      <c r="C43" s="10">
        <v>0.72399999999999998</v>
      </c>
      <c r="D43" s="3">
        <v>20</v>
      </c>
      <c r="F43" s="9">
        <v>0.72499999999999998</v>
      </c>
      <c r="G43" s="3">
        <v>18</v>
      </c>
    </row>
    <row r="44" spans="1:7" x14ac:dyDescent="0.25">
      <c r="A44" s="23"/>
      <c r="B44" s="4" t="s">
        <v>17</v>
      </c>
      <c r="C44" s="10">
        <v>0.14299999999999999</v>
      </c>
      <c r="D44" s="3">
        <v>23</v>
      </c>
      <c r="F44" s="9">
        <v>0.161</v>
      </c>
      <c r="G44" s="3">
        <v>22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69.8</v>
      </c>
      <c r="D46" s="3">
        <v>26</v>
      </c>
      <c r="F46" s="8">
        <v>65.900000000000006</v>
      </c>
      <c r="G46" s="3">
        <v>26</v>
      </c>
    </row>
    <row r="47" spans="1:7" x14ac:dyDescent="0.25">
      <c r="A47" s="23"/>
      <c r="B47" s="20" t="s">
        <v>49</v>
      </c>
      <c r="C47" s="8">
        <v>71.2</v>
      </c>
      <c r="D47" s="3">
        <v>8</v>
      </c>
      <c r="F47" s="8">
        <v>70.400000000000006</v>
      </c>
      <c r="G47" s="3">
        <v>16</v>
      </c>
    </row>
    <row r="48" spans="1:7" x14ac:dyDescent="0.25">
      <c r="A48" s="23"/>
      <c r="B48" s="20" t="s">
        <v>50</v>
      </c>
      <c r="C48" s="8">
        <v>-1.4</v>
      </c>
      <c r="D48" s="3">
        <v>22</v>
      </c>
      <c r="F48" s="8">
        <v>-4.5</v>
      </c>
      <c r="G48" s="3">
        <v>25</v>
      </c>
    </row>
    <row r="49" spans="1:7" x14ac:dyDescent="0.25">
      <c r="A49" s="23"/>
      <c r="B49" s="20" t="s">
        <v>51</v>
      </c>
      <c r="C49" s="8">
        <v>51.8</v>
      </c>
      <c r="D49" s="3">
        <v>25</v>
      </c>
      <c r="F49" s="8">
        <v>58.2</v>
      </c>
      <c r="G49" s="3">
        <v>8</v>
      </c>
    </row>
    <row r="50" spans="1:7" x14ac:dyDescent="0.25">
      <c r="A50" s="23"/>
      <c r="B50" s="20" t="s">
        <v>52</v>
      </c>
      <c r="C50" s="8">
        <v>53</v>
      </c>
      <c r="D50" s="3">
        <v>6</v>
      </c>
      <c r="F50" s="8">
        <v>63.8</v>
      </c>
      <c r="G50" s="3">
        <v>28</v>
      </c>
    </row>
    <row r="51" spans="1:7" x14ac:dyDescent="0.25">
      <c r="A51" s="23"/>
      <c r="B51" s="20" t="s">
        <v>53</v>
      </c>
      <c r="C51" s="8">
        <v>-1.2</v>
      </c>
      <c r="D51" s="3">
        <v>15</v>
      </c>
      <c r="F51" s="8">
        <v>-5.6</v>
      </c>
      <c r="G51" s="3">
        <v>30</v>
      </c>
    </row>
    <row r="53" spans="1:7" x14ac:dyDescent="0.25">
      <c r="A53" s="23" t="s">
        <v>57</v>
      </c>
      <c r="B53" s="6" t="s">
        <v>18</v>
      </c>
      <c r="C53" s="7">
        <v>17.2</v>
      </c>
      <c r="D53" s="3">
        <v>10</v>
      </c>
      <c r="F53" s="7">
        <v>14.7</v>
      </c>
      <c r="G53" s="3">
        <v>29</v>
      </c>
    </row>
    <row r="54" spans="1:7" x14ac:dyDescent="0.25">
      <c r="A54" s="23"/>
      <c r="B54" s="6" t="s">
        <v>19</v>
      </c>
      <c r="C54" s="7">
        <v>16.600000000000001</v>
      </c>
      <c r="D54" s="3">
        <v>18</v>
      </c>
      <c r="F54" s="7">
        <v>21.9</v>
      </c>
      <c r="G54" s="3">
        <v>30</v>
      </c>
    </row>
    <row r="55" spans="1:7" x14ac:dyDescent="0.25">
      <c r="A55" s="23"/>
      <c r="B55" s="6" t="s">
        <v>20</v>
      </c>
      <c r="C55" s="7">
        <v>11.2</v>
      </c>
      <c r="D55" s="3">
        <v>29</v>
      </c>
      <c r="F55" s="7">
        <v>12.6</v>
      </c>
      <c r="G55" s="3">
        <v>20</v>
      </c>
    </row>
    <row r="56" spans="1:7" x14ac:dyDescent="0.25">
      <c r="A56" s="23"/>
      <c r="B56" s="6" t="s">
        <v>21</v>
      </c>
      <c r="C56" s="7">
        <v>11.6</v>
      </c>
      <c r="D56" s="3">
        <v>4</v>
      </c>
      <c r="F56" s="7">
        <v>15.2</v>
      </c>
      <c r="G56" s="3">
        <v>27</v>
      </c>
    </row>
    <row r="57" spans="1:7" x14ac:dyDescent="0.25">
      <c r="A57" s="23"/>
      <c r="B57" s="6" t="s">
        <v>22</v>
      </c>
      <c r="C57" s="7">
        <v>12.3</v>
      </c>
      <c r="D57" s="3">
        <v>12.3</v>
      </c>
      <c r="F57" s="7">
        <v>15.4</v>
      </c>
      <c r="G57" s="3">
        <v>15.4</v>
      </c>
    </row>
    <row r="58" spans="1:7" x14ac:dyDescent="0.25">
      <c r="A58" s="23"/>
      <c r="B58" s="6" t="s">
        <v>23</v>
      </c>
      <c r="C58" s="7">
        <v>16.3</v>
      </c>
      <c r="D58" s="3">
        <v>16.3</v>
      </c>
      <c r="F58" s="7">
        <v>16.3</v>
      </c>
      <c r="G58" s="3">
        <v>16.3</v>
      </c>
    </row>
    <row r="59" spans="1:7" x14ac:dyDescent="0.25">
      <c r="A59" s="23"/>
      <c r="B59" s="6" t="s">
        <v>24</v>
      </c>
      <c r="C59" s="7">
        <v>46.3</v>
      </c>
      <c r="D59" s="3">
        <v>21</v>
      </c>
      <c r="F59" s="7">
        <v>53.7</v>
      </c>
      <c r="G59" s="3">
        <v>1</v>
      </c>
    </row>
    <row r="60" spans="1:7" x14ac:dyDescent="0.25">
      <c r="A60" s="23"/>
      <c r="B60" s="6" t="s">
        <v>25</v>
      </c>
      <c r="C60" s="7">
        <v>42.7</v>
      </c>
      <c r="D60" s="3">
        <v>3</v>
      </c>
      <c r="F60" s="7">
        <v>49.4</v>
      </c>
      <c r="G60" s="3">
        <v>20</v>
      </c>
    </row>
    <row r="62" spans="1:7" x14ac:dyDescent="0.25">
      <c r="A62" s="23" t="s">
        <v>58</v>
      </c>
      <c r="B62" s="21" t="s">
        <v>54</v>
      </c>
      <c r="C62" s="22">
        <v>4.0999999999999996</v>
      </c>
      <c r="D62" s="3">
        <v>7</v>
      </c>
      <c r="F62" s="22">
        <v>5.0999999999999996</v>
      </c>
      <c r="G62" s="3">
        <v>2</v>
      </c>
    </row>
    <row r="63" spans="1:7" x14ac:dyDescent="0.25">
      <c r="A63" s="23"/>
      <c r="B63" s="21" t="s">
        <v>55</v>
      </c>
      <c r="C63" s="3">
        <v>19</v>
      </c>
      <c r="D63" s="3">
        <v>21</v>
      </c>
      <c r="F63" s="3">
        <v>4</v>
      </c>
      <c r="G63" s="3">
        <v>12</v>
      </c>
    </row>
    <row r="64" spans="1:7" x14ac:dyDescent="0.25">
      <c r="A64" s="23"/>
      <c r="B64" s="21" t="s">
        <v>56</v>
      </c>
      <c r="C64" s="3">
        <v>28</v>
      </c>
      <c r="D64" s="3">
        <v>29</v>
      </c>
      <c r="F64" s="3">
        <v>1</v>
      </c>
      <c r="G64" s="3">
        <v>1</v>
      </c>
    </row>
    <row r="65" spans="1:7" x14ac:dyDescent="0.25">
      <c r="A65" s="23"/>
      <c r="B65" s="21" t="s">
        <v>26</v>
      </c>
      <c r="C65" s="9">
        <v>0.41599999999999998</v>
      </c>
      <c r="D65" s="3">
        <v>19</v>
      </c>
      <c r="F65" s="9">
        <v>0.44700000000000001</v>
      </c>
      <c r="G65" s="3">
        <v>8</v>
      </c>
    </row>
    <row r="66" spans="1:7" x14ac:dyDescent="0.25">
      <c r="A66" s="23"/>
      <c r="B66" s="21" t="s">
        <v>42</v>
      </c>
      <c r="C66" s="9">
        <v>0.443</v>
      </c>
      <c r="D66" s="3">
        <v>19</v>
      </c>
      <c r="F66" s="9">
        <v>0.4</v>
      </c>
      <c r="G66" s="3">
        <v>13</v>
      </c>
    </row>
    <row r="67" spans="1:7" x14ac:dyDescent="0.25">
      <c r="A67" s="23"/>
      <c r="B67" s="21" t="s">
        <v>8</v>
      </c>
      <c r="C67" s="8">
        <v>100.8</v>
      </c>
      <c r="D67" s="3">
        <v>24</v>
      </c>
      <c r="F67" s="8">
        <v>100</v>
      </c>
      <c r="G67" s="3">
        <v>22</v>
      </c>
    </row>
    <row r="68" spans="1:7" x14ac:dyDescent="0.25">
      <c r="A68" s="23"/>
      <c r="B68" s="21" t="s">
        <v>9</v>
      </c>
      <c r="C68" s="8">
        <v>110.4</v>
      </c>
      <c r="D68" s="3">
        <v>21</v>
      </c>
      <c r="F68" s="8">
        <v>113.2</v>
      </c>
      <c r="G68" s="3">
        <v>21</v>
      </c>
    </row>
    <row r="69" spans="1:7" x14ac:dyDescent="0.25">
      <c r="A69" s="23"/>
      <c r="B69" s="21" t="s">
        <v>10</v>
      </c>
      <c r="C69" s="8">
        <v>-9.6999999999999993</v>
      </c>
      <c r="D69" s="3">
        <v>29</v>
      </c>
      <c r="F69" s="8">
        <v>-13.2</v>
      </c>
      <c r="G69" s="3">
        <v>23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workbookViewId="0">
      <selection activeCell="D11" sqref="D11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1610612763</v>
      </c>
      <c r="B2" s="1" t="s">
        <v>755</v>
      </c>
      <c r="C2" s="1" t="s">
        <v>145</v>
      </c>
      <c r="D2" s="1" t="s">
        <v>1346</v>
      </c>
      <c r="E2" s="1" t="s">
        <v>1333</v>
      </c>
      <c r="F2" s="1" t="s">
        <v>756</v>
      </c>
      <c r="G2" s="1" t="s">
        <v>227</v>
      </c>
      <c r="H2" s="1" t="s">
        <v>1337</v>
      </c>
      <c r="I2" s="1" t="s">
        <v>1347</v>
      </c>
      <c r="J2" s="1">
        <v>21</v>
      </c>
      <c r="K2" s="1" t="s">
        <v>1348</v>
      </c>
      <c r="L2" s="1" t="s">
        <v>1349</v>
      </c>
      <c r="M2" s="1">
        <v>1629001</v>
      </c>
    </row>
    <row r="3" spans="1:13" x14ac:dyDescent="0.25">
      <c r="A3" s="1">
        <v>1610612763</v>
      </c>
      <c r="B3" s="1" t="s">
        <v>755</v>
      </c>
      <c r="C3" s="1" t="s">
        <v>145</v>
      </c>
      <c r="D3" s="1" t="s">
        <v>1350</v>
      </c>
      <c r="E3" s="1" t="s">
        <v>1348</v>
      </c>
      <c r="F3" s="1" t="s">
        <v>1329</v>
      </c>
      <c r="G3" s="1" t="s">
        <v>337</v>
      </c>
      <c r="H3" s="1" t="s">
        <v>1338</v>
      </c>
      <c r="I3" s="1" t="s">
        <v>1351</v>
      </c>
      <c r="J3" s="1">
        <v>26</v>
      </c>
      <c r="K3" s="1" t="s">
        <v>757</v>
      </c>
      <c r="L3" s="1" t="s">
        <v>1352</v>
      </c>
      <c r="M3" s="1">
        <v>203937</v>
      </c>
    </row>
    <row r="4" spans="1:13" x14ac:dyDescent="0.25">
      <c r="A4" s="1">
        <v>1610612763</v>
      </c>
      <c r="B4" s="1" t="s">
        <v>755</v>
      </c>
      <c r="C4" s="1" t="s">
        <v>145</v>
      </c>
      <c r="D4" s="1" t="s">
        <v>1353</v>
      </c>
      <c r="E4" s="1" t="s">
        <v>1324</v>
      </c>
      <c r="F4" s="1" t="s">
        <v>756</v>
      </c>
      <c r="G4" s="1" t="s">
        <v>266</v>
      </c>
      <c r="H4" s="1" t="s">
        <v>1354</v>
      </c>
      <c r="I4" s="1" t="s">
        <v>1355</v>
      </c>
      <c r="J4" s="1">
        <v>24</v>
      </c>
      <c r="K4" s="1" t="s">
        <v>1348</v>
      </c>
      <c r="L4" s="1" t="s">
        <v>1356</v>
      </c>
      <c r="M4" s="1">
        <v>1628960</v>
      </c>
    </row>
    <row r="5" spans="1:13" x14ac:dyDescent="0.25">
      <c r="A5" s="1">
        <v>1610612763</v>
      </c>
      <c r="B5" s="1" t="s">
        <v>755</v>
      </c>
      <c r="C5" s="1" t="s">
        <v>145</v>
      </c>
      <c r="D5" s="1" t="s">
        <v>1357</v>
      </c>
      <c r="E5" s="1" t="s">
        <v>757</v>
      </c>
      <c r="F5" s="1" t="s">
        <v>758</v>
      </c>
      <c r="G5" s="1" t="s">
        <v>337</v>
      </c>
      <c r="H5" s="1" t="s">
        <v>1341</v>
      </c>
      <c r="I5" s="1" t="s">
        <v>1358</v>
      </c>
      <c r="J5" s="1">
        <v>24</v>
      </c>
      <c r="K5" s="1" t="s">
        <v>757</v>
      </c>
      <c r="L5" s="1" t="s">
        <v>1359</v>
      </c>
      <c r="M5" s="1">
        <v>203998</v>
      </c>
    </row>
    <row r="6" spans="1:13" x14ac:dyDescent="0.25">
      <c r="A6" s="1">
        <v>1610612763</v>
      </c>
      <c r="B6" s="1" t="s">
        <v>755</v>
      </c>
      <c r="C6" s="1" t="s">
        <v>145</v>
      </c>
      <c r="D6" s="1" t="s">
        <v>1360</v>
      </c>
      <c r="E6" s="1" t="s">
        <v>1331</v>
      </c>
      <c r="F6" s="1" t="s">
        <v>1322</v>
      </c>
      <c r="G6" s="1" t="s">
        <v>1361</v>
      </c>
      <c r="H6" s="1" t="s">
        <v>1327</v>
      </c>
      <c r="I6" s="1" t="s">
        <v>1362</v>
      </c>
      <c r="J6" s="1">
        <v>35</v>
      </c>
      <c r="K6" s="1" t="s">
        <v>1363</v>
      </c>
      <c r="L6" s="1" t="s">
        <v>1364</v>
      </c>
      <c r="M6" s="1">
        <v>2738</v>
      </c>
    </row>
    <row r="7" spans="1:13" x14ac:dyDescent="0.25">
      <c r="A7" s="1">
        <v>1610612763</v>
      </c>
      <c r="B7" s="1" t="s">
        <v>755</v>
      </c>
      <c r="C7" s="1" t="s">
        <v>145</v>
      </c>
      <c r="D7" s="1" t="s">
        <v>1365</v>
      </c>
      <c r="E7" s="1" t="s">
        <v>1330</v>
      </c>
      <c r="F7" s="1" t="s">
        <v>756</v>
      </c>
      <c r="G7" s="1" t="s">
        <v>256</v>
      </c>
      <c r="H7" s="1" t="s">
        <v>1366</v>
      </c>
      <c r="I7" s="1" t="s">
        <v>1367</v>
      </c>
      <c r="J7" s="1">
        <v>20</v>
      </c>
      <c r="K7" s="1" t="s">
        <v>1325</v>
      </c>
      <c r="L7" s="1" t="s">
        <v>1368</v>
      </c>
      <c r="M7" s="1">
        <v>1629630</v>
      </c>
    </row>
    <row r="8" spans="1:13" x14ac:dyDescent="0.25">
      <c r="A8" s="1">
        <v>1610612763</v>
      </c>
      <c r="B8" s="1" t="s">
        <v>755</v>
      </c>
      <c r="C8" s="1" t="s">
        <v>145</v>
      </c>
      <c r="D8" s="1" t="s">
        <v>1369</v>
      </c>
      <c r="E8" s="1" t="s">
        <v>1328</v>
      </c>
      <c r="F8" s="1" t="s">
        <v>1370</v>
      </c>
      <c r="G8" s="1" t="s">
        <v>1371</v>
      </c>
      <c r="H8" s="1" t="s">
        <v>1372</v>
      </c>
      <c r="I8" s="1" t="s">
        <v>1373</v>
      </c>
      <c r="J8" s="1">
        <v>20</v>
      </c>
      <c r="K8" s="1" t="s">
        <v>1348</v>
      </c>
      <c r="L8" s="1" t="s">
        <v>1374</v>
      </c>
      <c r="M8" s="1">
        <v>1628991</v>
      </c>
    </row>
    <row r="9" spans="1:13" x14ac:dyDescent="0.25">
      <c r="A9" s="1">
        <v>1610612763</v>
      </c>
      <c r="B9" s="1" t="s">
        <v>755</v>
      </c>
      <c r="C9" s="1" t="s">
        <v>145</v>
      </c>
      <c r="D9" s="1" t="s">
        <v>1375</v>
      </c>
      <c r="E9" s="1" t="s">
        <v>1363</v>
      </c>
      <c r="F9" s="1" t="s">
        <v>1329</v>
      </c>
      <c r="G9" s="1" t="s">
        <v>299</v>
      </c>
      <c r="H9" s="1" t="s">
        <v>1327</v>
      </c>
      <c r="I9" s="1" t="s">
        <v>1376</v>
      </c>
      <c r="J9" s="1">
        <v>23</v>
      </c>
      <c r="K9" s="1" t="s">
        <v>1325</v>
      </c>
      <c r="L9" s="1" t="s">
        <v>1339</v>
      </c>
      <c r="M9" s="1">
        <v>1629634</v>
      </c>
    </row>
    <row r="10" spans="1:13" x14ac:dyDescent="0.25">
      <c r="A10" s="1">
        <v>1610612763</v>
      </c>
      <c r="B10" s="1" t="s">
        <v>755</v>
      </c>
      <c r="C10" s="1" t="s">
        <v>145</v>
      </c>
      <c r="D10" s="1" t="s">
        <v>1377</v>
      </c>
      <c r="E10" s="1" t="s">
        <v>1340</v>
      </c>
      <c r="F10" s="1" t="s">
        <v>1326</v>
      </c>
      <c r="G10" s="1" t="s">
        <v>1371</v>
      </c>
      <c r="H10" s="1" t="s">
        <v>1378</v>
      </c>
      <c r="I10" s="1" t="s">
        <v>1379</v>
      </c>
      <c r="J10" s="1">
        <v>27</v>
      </c>
      <c r="K10" s="1" t="s">
        <v>1380</v>
      </c>
      <c r="L10" s="1" t="s">
        <v>1323</v>
      </c>
      <c r="M10" s="1">
        <v>202685</v>
      </c>
    </row>
    <row r="11" spans="1:13" x14ac:dyDescent="0.25">
      <c r="A11" s="1">
        <v>1610612763</v>
      </c>
      <c r="B11" s="1" t="s">
        <v>755</v>
      </c>
      <c r="C11" s="1" t="s">
        <v>145</v>
      </c>
      <c r="D11" s="1" t="s">
        <v>1381</v>
      </c>
      <c r="E11" s="1" t="s">
        <v>1382</v>
      </c>
      <c r="F11" s="1" t="s">
        <v>1322</v>
      </c>
      <c r="G11" s="1" t="s">
        <v>299</v>
      </c>
      <c r="H11" s="1" t="s">
        <v>1327</v>
      </c>
      <c r="I11" s="1" t="s">
        <v>1383</v>
      </c>
      <c r="J11" s="1">
        <v>25</v>
      </c>
      <c r="K11" s="1" t="s">
        <v>1348</v>
      </c>
      <c r="L11" s="1" t="s">
        <v>1384</v>
      </c>
      <c r="M11" s="1">
        <v>1629139</v>
      </c>
    </row>
    <row r="12" spans="1:13" x14ac:dyDescent="0.25">
      <c r="A12" s="1">
        <v>1610612763</v>
      </c>
      <c r="B12" s="1" t="s">
        <v>755</v>
      </c>
      <c r="C12" s="1" t="s">
        <v>145</v>
      </c>
      <c r="D12" s="1" t="s">
        <v>1385</v>
      </c>
      <c r="E12" s="1" t="s">
        <v>1386</v>
      </c>
      <c r="F12" s="1" t="s">
        <v>1322</v>
      </c>
      <c r="G12" s="1" t="s">
        <v>299</v>
      </c>
      <c r="H12" s="1" t="s">
        <v>1387</v>
      </c>
      <c r="I12" s="1" t="s">
        <v>1388</v>
      </c>
      <c r="J12" s="1">
        <v>22</v>
      </c>
      <c r="K12" s="1" t="s">
        <v>1321</v>
      </c>
      <c r="L12" s="1" t="s">
        <v>1389</v>
      </c>
      <c r="M12" s="1">
        <v>1628367</v>
      </c>
    </row>
    <row r="13" spans="1:13" x14ac:dyDescent="0.25">
      <c r="A13" s="1">
        <v>1610612763</v>
      </c>
      <c r="B13" s="1" t="s">
        <v>755</v>
      </c>
      <c r="C13" s="1" t="s">
        <v>145</v>
      </c>
      <c r="D13" s="1" t="s">
        <v>1390</v>
      </c>
      <c r="E13" s="1" t="s">
        <v>1391</v>
      </c>
      <c r="F13" s="1" t="s">
        <v>756</v>
      </c>
      <c r="G13" s="1" t="s">
        <v>248</v>
      </c>
      <c r="H13" s="1" t="s">
        <v>1392</v>
      </c>
      <c r="I13" s="1" t="s">
        <v>1393</v>
      </c>
      <c r="J13" s="1">
        <v>23</v>
      </c>
      <c r="K13" s="1" t="s">
        <v>1334</v>
      </c>
      <c r="L13" s="1" t="s">
        <v>1356</v>
      </c>
      <c r="M13" s="1">
        <v>1626145</v>
      </c>
    </row>
    <row r="14" spans="1:13" x14ac:dyDescent="0.25">
      <c r="A14" s="1">
        <v>1610612763</v>
      </c>
      <c r="B14" s="1" t="s">
        <v>755</v>
      </c>
      <c r="C14" s="1" t="s">
        <v>145</v>
      </c>
      <c r="D14" s="1" t="s">
        <v>1394</v>
      </c>
      <c r="E14" s="1" t="s">
        <v>1332</v>
      </c>
      <c r="F14" s="1" t="s">
        <v>756</v>
      </c>
      <c r="G14" s="1" t="s">
        <v>1361</v>
      </c>
      <c r="H14" s="1" t="s">
        <v>1395</v>
      </c>
      <c r="I14" s="1" t="s">
        <v>1396</v>
      </c>
      <c r="J14" s="1">
        <v>24</v>
      </c>
      <c r="K14" s="1" t="s">
        <v>1325</v>
      </c>
      <c r="L14" s="1" t="s">
        <v>1323</v>
      </c>
      <c r="M14" s="1">
        <v>1629741</v>
      </c>
    </row>
    <row r="15" spans="1:13" x14ac:dyDescent="0.25">
      <c r="A15" s="1">
        <v>1610612763</v>
      </c>
      <c r="B15" s="1" t="s">
        <v>755</v>
      </c>
      <c r="C15" s="1" t="s">
        <v>145</v>
      </c>
      <c r="D15" s="1" t="s">
        <v>1397</v>
      </c>
      <c r="E15" s="1" t="s">
        <v>1336</v>
      </c>
      <c r="F15" s="1" t="s">
        <v>1322</v>
      </c>
      <c r="G15" s="1" t="s">
        <v>331</v>
      </c>
      <c r="H15" s="1" t="s">
        <v>1398</v>
      </c>
      <c r="I15" s="1" t="s">
        <v>1399</v>
      </c>
      <c r="J15" s="1">
        <v>23</v>
      </c>
      <c r="K15" s="1" t="s">
        <v>1321</v>
      </c>
      <c r="L15" s="1" t="s">
        <v>1400</v>
      </c>
      <c r="M15" s="1">
        <v>1628415</v>
      </c>
    </row>
    <row r="16" spans="1:13" x14ac:dyDescent="0.25">
      <c r="A16" s="1">
        <v>1610612763</v>
      </c>
      <c r="B16" s="1" t="s">
        <v>755</v>
      </c>
      <c r="C16" s="1" t="s">
        <v>145</v>
      </c>
      <c r="D16" s="1" t="s">
        <v>1401</v>
      </c>
      <c r="E16" s="1" t="s">
        <v>1344</v>
      </c>
      <c r="F16" s="1" t="s">
        <v>758</v>
      </c>
      <c r="G16" s="1" t="s">
        <v>1361</v>
      </c>
      <c r="H16" s="1" t="s">
        <v>1342</v>
      </c>
      <c r="I16" s="1" t="s">
        <v>1402</v>
      </c>
      <c r="J16" s="1">
        <v>28</v>
      </c>
      <c r="K16" s="1" t="s">
        <v>1343</v>
      </c>
      <c r="L16" s="1" t="s">
        <v>1364</v>
      </c>
      <c r="M16" s="1">
        <v>203524</v>
      </c>
    </row>
    <row r="17" spans="1:13" x14ac:dyDescent="0.25">
      <c r="A17" s="1">
        <v>1610612763</v>
      </c>
      <c r="B17" s="1" t="s">
        <v>755</v>
      </c>
      <c r="C17" s="1" t="s">
        <v>145</v>
      </c>
      <c r="D17" s="1" t="s">
        <v>1403</v>
      </c>
      <c r="E17" s="1" t="s">
        <v>1404</v>
      </c>
      <c r="F17" s="1" t="s">
        <v>756</v>
      </c>
      <c r="G17" s="1" t="s">
        <v>286</v>
      </c>
      <c r="H17" s="1" t="s">
        <v>1405</v>
      </c>
      <c r="I17" s="1" t="s">
        <v>1406</v>
      </c>
      <c r="J17" s="1">
        <v>23</v>
      </c>
      <c r="K17" s="1" t="s">
        <v>1325</v>
      </c>
      <c r="L17" s="1"/>
      <c r="M17" s="1">
        <v>1629723</v>
      </c>
    </row>
    <row r="18" spans="1:13" x14ac:dyDescent="0.25">
      <c r="A18" s="1">
        <v>1610612763</v>
      </c>
      <c r="B18" s="1" t="s">
        <v>755</v>
      </c>
      <c r="C18" s="1" t="s">
        <v>145</v>
      </c>
      <c r="D18" s="1" t="s">
        <v>1407</v>
      </c>
      <c r="E18" s="1" t="s">
        <v>1408</v>
      </c>
      <c r="F18" s="1" t="s">
        <v>758</v>
      </c>
      <c r="G18" s="1" t="s">
        <v>1361</v>
      </c>
      <c r="H18" s="1" t="s">
        <v>1335</v>
      </c>
      <c r="I18" s="1" t="s">
        <v>1409</v>
      </c>
      <c r="J18" s="1">
        <v>29</v>
      </c>
      <c r="K18" s="1" t="s">
        <v>1380</v>
      </c>
      <c r="L18" s="1" t="s">
        <v>1410</v>
      </c>
      <c r="M18" s="1">
        <v>203109</v>
      </c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760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761</v>
      </c>
      <c r="H2" s="1">
        <v>1</v>
      </c>
      <c r="I2" s="1" t="s">
        <v>762</v>
      </c>
      <c r="J2" s="1" t="s">
        <v>152</v>
      </c>
      <c r="K2" s="1" t="s">
        <v>763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764</v>
      </c>
      <c r="R2" s="1" t="s">
        <v>765</v>
      </c>
      <c r="S2" s="1" t="s">
        <v>766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767</v>
      </c>
      <c r="Z2" s="1">
        <v>6</v>
      </c>
      <c r="AA2" s="1" t="s">
        <v>188</v>
      </c>
      <c r="AB2" s="1">
        <v>11</v>
      </c>
      <c r="AC2" s="1" t="s">
        <v>768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769</v>
      </c>
      <c r="AT2" s="1" t="s">
        <v>770</v>
      </c>
      <c r="AU2" s="1" t="s">
        <v>232</v>
      </c>
      <c r="AV2" s="1" t="s">
        <v>771</v>
      </c>
      <c r="AW2" s="1" t="s">
        <v>772</v>
      </c>
      <c r="AX2" s="1" t="s">
        <v>185</v>
      </c>
      <c r="AY2" s="1" t="s">
        <v>773</v>
      </c>
      <c r="AZ2" s="1" t="s">
        <v>774</v>
      </c>
      <c r="BA2" s="1" t="s">
        <v>775</v>
      </c>
      <c r="BB2" s="1" t="s">
        <v>776</v>
      </c>
      <c r="BC2" s="1" t="s">
        <v>777</v>
      </c>
      <c r="BD2" s="1" t="s">
        <v>778</v>
      </c>
      <c r="BE2" s="1">
        <v>117.7</v>
      </c>
      <c r="BF2" s="1">
        <v>111.2</v>
      </c>
      <c r="BG2" s="1">
        <v>6.5</v>
      </c>
      <c r="BH2" s="1" t="s">
        <v>779</v>
      </c>
      <c r="BI2" s="1" t="s">
        <v>266</v>
      </c>
      <c r="BJ2" s="1" t="s">
        <v>216</v>
      </c>
      <c r="BK2" s="1" t="s">
        <v>216</v>
      </c>
      <c r="BL2" s="1" t="s">
        <v>761</v>
      </c>
      <c r="BM2" s="1" t="s">
        <v>780</v>
      </c>
      <c r="BN2" s="1" t="s">
        <v>781</v>
      </c>
      <c r="BO2" s="1" t="s">
        <v>782</v>
      </c>
      <c r="BP2" s="1" t="s">
        <v>783</v>
      </c>
      <c r="BQ2" s="1" t="s">
        <v>784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785</v>
      </c>
      <c r="CC2" s="1" t="s">
        <v>786</v>
      </c>
    </row>
    <row r="3" spans="1:81" x14ac:dyDescent="0.25">
      <c r="A3" s="1" t="s">
        <v>145</v>
      </c>
      <c r="B3" s="1" t="s">
        <v>760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787</v>
      </c>
      <c r="H3" s="1">
        <v>1</v>
      </c>
      <c r="I3" s="1" t="s">
        <v>788</v>
      </c>
      <c r="J3" s="1" t="s">
        <v>181</v>
      </c>
      <c r="K3" s="1" t="s">
        <v>789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790</v>
      </c>
      <c r="R3" s="1" t="s">
        <v>791</v>
      </c>
      <c r="S3" s="1" t="s">
        <v>766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792</v>
      </c>
      <c r="Z3" s="1">
        <v>6</v>
      </c>
      <c r="AA3" s="1" t="s">
        <v>188</v>
      </c>
      <c r="AB3" s="1">
        <v>10</v>
      </c>
      <c r="AC3" s="1" t="s">
        <v>793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794</v>
      </c>
      <c r="AT3" s="1" t="s">
        <v>795</v>
      </c>
      <c r="AU3" s="1" t="s">
        <v>161</v>
      </c>
      <c r="AV3" s="1" t="s">
        <v>796</v>
      </c>
      <c r="AW3" s="1" t="s">
        <v>797</v>
      </c>
      <c r="AX3" s="1" t="s">
        <v>186</v>
      </c>
      <c r="AY3" s="1" t="s">
        <v>798</v>
      </c>
      <c r="AZ3" s="1" t="s">
        <v>799</v>
      </c>
      <c r="BA3" s="1" t="s">
        <v>800</v>
      </c>
      <c r="BB3" s="1" t="s">
        <v>801</v>
      </c>
      <c r="BC3" s="1" t="s">
        <v>802</v>
      </c>
      <c r="BD3" s="1" t="s">
        <v>803</v>
      </c>
      <c r="BE3" s="1">
        <v>118.1</v>
      </c>
      <c r="BF3" s="1">
        <v>109.3</v>
      </c>
      <c r="BG3" s="1">
        <v>8.9</v>
      </c>
      <c r="BH3" s="1" t="s">
        <v>787</v>
      </c>
      <c r="BI3" s="1" t="s">
        <v>804</v>
      </c>
      <c r="BJ3" s="1" t="s">
        <v>805</v>
      </c>
      <c r="BK3" s="1" t="s">
        <v>804</v>
      </c>
      <c r="BL3" s="1" t="s">
        <v>806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807</v>
      </c>
      <c r="BS3" s="1" t="s">
        <v>228</v>
      </c>
      <c r="BT3" s="1"/>
      <c r="BU3" s="1"/>
      <c r="BV3" s="1"/>
      <c r="BW3" s="1"/>
      <c r="BX3" s="1"/>
      <c r="BY3" s="1" t="s">
        <v>759</v>
      </c>
      <c r="BZ3" s="1" t="s">
        <v>291</v>
      </c>
      <c r="CA3" s="1" t="s">
        <v>253</v>
      </c>
      <c r="CB3" s="1" t="s">
        <v>808</v>
      </c>
      <c r="CC3" s="1" t="s">
        <v>809</v>
      </c>
    </row>
    <row r="4" spans="1:81" x14ac:dyDescent="0.25">
      <c r="A4" s="1" t="s">
        <v>145</v>
      </c>
      <c r="B4" s="1" t="s">
        <v>760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810</v>
      </c>
      <c r="H4" s="1">
        <v>2</v>
      </c>
      <c r="I4" s="1" t="s">
        <v>811</v>
      </c>
      <c r="J4" s="1" t="s">
        <v>203</v>
      </c>
      <c r="K4" s="1" t="s">
        <v>812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813</v>
      </c>
      <c r="R4" s="1" t="s">
        <v>814</v>
      </c>
      <c r="S4" s="1" t="s">
        <v>815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816</v>
      </c>
      <c r="Y4" s="1" t="s">
        <v>817</v>
      </c>
      <c r="Z4" s="1">
        <v>10</v>
      </c>
      <c r="AA4" s="1" t="s">
        <v>793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818</v>
      </c>
      <c r="AT4" s="1" t="s">
        <v>819</v>
      </c>
      <c r="AU4" s="1" t="s">
        <v>185</v>
      </c>
      <c r="AV4" s="1" t="s">
        <v>820</v>
      </c>
      <c r="AW4" s="1" t="s">
        <v>821</v>
      </c>
      <c r="AX4" s="1" t="s">
        <v>157</v>
      </c>
      <c r="AY4" s="1" t="s">
        <v>822</v>
      </c>
      <c r="AZ4" s="1" t="s">
        <v>823</v>
      </c>
      <c r="BA4" s="1" t="s">
        <v>824</v>
      </c>
      <c r="BB4" s="1" t="s">
        <v>825</v>
      </c>
      <c r="BC4" s="1" t="s">
        <v>826</v>
      </c>
      <c r="BD4" s="1" t="s">
        <v>827</v>
      </c>
      <c r="BE4" s="1">
        <v>114.4</v>
      </c>
      <c r="BF4" s="1">
        <v>108.4</v>
      </c>
      <c r="BG4" s="1">
        <v>6.1</v>
      </c>
      <c r="BH4" s="1" t="s">
        <v>810</v>
      </c>
      <c r="BI4" s="1" t="s">
        <v>828</v>
      </c>
      <c r="BJ4" s="1" t="s">
        <v>782</v>
      </c>
      <c r="BK4" s="1" t="s">
        <v>829</v>
      </c>
      <c r="BL4" s="1" t="s">
        <v>779</v>
      </c>
      <c r="BM4" s="1" t="s">
        <v>266</v>
      </c>
      <c r="BN4" s="1" t="s">
        <v>830</v>
      </c>
      <c r="BO4" s="1" t="s">
        <v>266</v>
      </c>
      <c r="BP4" s="1" t="s">
        <v>261</v>
      </c>
      <c r="BQ4" s="1" t="s">
        <v>173</v>
      </c>
      <c r="BR4" s="1" t="s">
        <v>831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832</v>
      </c>
      <c r="CC4" s="1" t="s">
        <v>833</v>
      </c>
    </row>
    <row r="5" spans="1:81" x14ac:dyDescent="0.25">
      <c r="A5" s="1" t="s">
        <v>145</v>
      </c>
      <c r="B5" s="1" t="s">
        <v>760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834</v>
      </c>
      <c r="H5" s="1">
        <v>2</v>
      </c>
      <c r="I5" s="1" t="s">
        <v>835</v>
      </c>
      <c r="J5" s="1" t="s">
        <v>219</v>
      </c>
      <c r="K5" s="1" t="s">
        <v>812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836</v>
      </c>
      <c r="R5" s="1" t="s">
        <v>837</v>
      </c>
      <c r="S5" s="1" t="s">
        <v>838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763</v>
      </c>
      <c r="Y5" s="1" t="s">
        <v>839</v>
      </c>
      <c r="Z5" s="1">
        <v>12</v>
      </c>
      <c r="AA5" s="1" t="s">
        <v>840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841</v>
      </c>
      <c r="AT5" s="1" t="s">
        <v>842</v>
      </c>
      <c r="AU5" s="1" t="s">
        <v>185</v>
      </c>
      <c r="AV5" s="1" t="s">
        <v>843</v>
      </c>
      <c r="AW5" s="1" t="s">
        <v>844</v>
      </c>
      <c r="AX5" s="1" t="s">
        <v>155</v>
      </c>
      <c r="AY5" s="1" t="s">
        <v>845</v>
      </c>
      <c r="AZ5" s="1" t="s">
        <v>846</v>
      </c>
      <c r="BA5" s="1" t="s">
        <v>847</v>
      </c>
      <c r="BB5" s="1" t="s">
        <v>848</v>
      </c>
      <c r="BC5" s="1" t="s">
        <v>849</v>
      </c>
      <c r="BD5" s="1" t="s">
        <v>850</v>
      </c>
      <c r="BE5" s="1">
        <v>110.7</v>
      </c>
      <c r="BF5" s="1">
        <v>106.7</v>
      </c>
      <c r="BG5" s="1">
        <v>4</v>
      </c>
      <c r="BH5" s="1" t="s">
        <v>806</v>
      </c>
      <c r="BI5" s="1" t="s">
        <v>296</v>
      </c>
      <c r="BJ5" s="1" t="s">
        <v>266</v>
      </c>
      <c r="BK5" s="1" t="s">
        <v>296</v>
      </c>
      <c r="BL5" s="1" t="s">
        <v>834</v>
      </c>
      <c r="BM5" s="1" t="s">
        <v>828</v>
      </c>
      <c r="BN5" s="1" t="s">
        <v>780</v>
      </c>
      <c r="BO5" s="1" t="s">
        <v>782</v>
      </c>
      <c r="BP5" s="1" t="s">
        <v>828</v>
      </c>
      <c r="BQ5" s="1" t="s">
        <v>784</v>
      </c>
      <c r="BR5" s="1" t="s">
        <v>831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831</v>
      </c>
      <c r="CA5" s="1" t="s">
        <v>851</v>
      </c>
      <c r="CB5" s="1" t="s">
        <v>852</v>
      </c>
      <c r="CC5" s="1" t="s">
        <v>853</v>
      </c>
    </row>
    <row r="6" spans="1:81" x14ac:dyDescent="0.25">
      <c r="A6" s="1" t="s">
        <v>145</v>
      </c>
      <c r="B6" s="1" t="s">
        <v>760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854</v>
      </c>
      <c r="H6" s="1">
        <v>3</v>
      </c>
      <c r="I6" s="1" t="s">
        <v>855</v>
      </c>
      <c r="J6" s="1" t="s">
        <v>203</v>
      </c>
      <c r="K6" s="1" t="s">
        <v>856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857</v>
      </c>
      <c r="R6" s="1" t="s">
        <v>858</v>
      </c>
      <c r="S6" s="1" t="s">
        <v>838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859</v>
      </c>
      <c r="Y6" s="1" t="s">
        <v>860</v>
      </c>
      <c r="Z6" s="1">
        <v>10</v>
      </c>
      <c r="AA6" s="1" t="s">
        <v>793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861</v>
      </c>
      <c r="AT6" s="1" t="s">
        <v>862</v>
      </c>
      <c r="AU6" s="1" t="s">
        <v>208</v>
      </c>
      <c r="AV6" s="1" t="s">
        <v>769</v>
      </c>
      <c r="AW6" s="1" t="s">
        <v>863</v>
      </c>
      <c r="AX6" s="1" t="s">
        <v>186</v>
      </c>
      <c r="AY6" s="1" t="s">
        <v>864</v>
      </c>
      <c r="AZ6" s="1" t="s">
        <v>865</v>
      </c>
      <c r="BA6" s="1" t="s">
        <v>866</v>
      </c>
      <c r="BB6" s="1" t="s">
        <v>849</v>
      </c>
      <c r="BC6" s="1" t="s">
        <v>785</v>
      </c>
      <c r="BD6" s="1" t="s">
        <v>867</v>
      </c>
      <c r="BE6" s="1">
        <v>115.2</v>
      </c>
      <c r="BF6" s="1">
        <v>112.5</v>
      </c>
      <c r="BG6" s="1">
        <v>2.7</v>
      </c>
      <c r="BH6" s="1" t="s">
        <v>854</v>
      </c>
      <c r="BI6" s="1" t="s">
        <v>868</v>
      </c>
      <c r="BJ6" s="1" t="s">
        <v>780</v>
      </c>
      <c r="BK6" s="1" t="s">
        <v>869</v>
      </c>
      <c r="BL6" s="1" t="s">
        <v>806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828</v>
      </c>
      <c r="CA6" s="1" t="s">
        <v>870</v>
      </c>
      <c r="CB6" s="1" t="s">
        <v>871</v>
      </c>
      <c r="CC6" s="1" t="s">
        <v>872</v>
      </c>
    </row>
    <row r="7" spans="1:81" x14ac:dyDescent="0.25">
      <c r="A7" s="1" t="s">
        <v>145</v>
      </c>
      <c r="B7" s="1" t="s">
        <v>760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873</v>
      </c>
      <c r="H7" s="1">
        <v>3</v>
      </c>
      <c r="I7" s="1" t="s">
        <v>855</v>
      </c>
      <c r="J7" s="1" t="s">
        <v>219</v>
      </c>
      <c r="K7" s="1" t="s">
        <v>874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875</v>
      </c>
      <c r="R7" s="1" t="s">
        <v>814</v>
      </c>
      <c r="S7" s="1" t="s">
        <v>876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877</v>
      </c>
      <c r="Z7" s="1">
        <v>8</v>
      </c>
      <c r="AA7" s="1" t="s">
        <v>878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878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879</v>
      </c>
      <c r="AT7" s="1" t="s">
        <v>880</v>
      </c>
      <c r="AU7" s="1" t="s">
        <v>260</v>
      </c>
      <c r="AV7" s="1" t="s">
        <v>881</v>
      </c>
      <c r="AW7" s="1" t="s">
        <v>882</v>
      </c>
      <c r="AX7" s="1" t="s">
        <v>161</v>
      </c>
      <c r="AY7" s="1" t="s">
        <v>883</v>
      </c>
      <c r="AZ7" s="1" t="s">
        <v>884</v>
      </c>
      <c r="BA7" s="1" t="s">
        <v>885</v>
      </c>
      <c r="BB7" s="1" t="s">
        <v>886</v>
      </c>
      <c r="BC7" s="1" t="s">
        <v>887</v>
      </c>
      <c r="BD7" s="1" t="s">
        <v>888</v>
      </c>
      <c r="BE7" s="1">
        <v>114.7</v>
      </c>
      <c r="BF7" s="1">
        <v>110.5</v>
      </c>
      <c r="BG7" s="1">
        <v>4.2</v>
      </c>
      <c r="BH7" s="1" t="s">
        <v>889</v>
      </c>
      <c r="BI7" s="1" t="s">
        <v>176</v>
      </c>
      <c r="BJ7" s="1" t="s">
        <v>216</v>
      </c>
      <c r="BK7" s="1" t="s">
        <v>296</v>
      </c>
      <c r="BL7" s="1" t="s">
        <v>873</v>
      </c>
      <c r="BM7" s="1" t="s">
        <v>410</v>
      </c>
      <c r="BN7" s="1" t="s">
        <v>780</v>
      </c>
      <c r="BO7" s="1" t="s">
        <v>869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890</v>
      </c>
      <c r="CC7" s="1" t="s">
        <v>891</v>
      </c>
    </row>
    <row r="8" spans="1:81" x14ac:dyDescent="0.25">
      <c r="A8" s="1" t="s">
        <v>145</v>
      </c>
      <c r="B8" s="1" t="s">
        <v>760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892</v>
      </c>
      <c r="H8" s="1">
        <v>4</v>
      </c>
      <c r="I8" s="1" t="s">
        <v>893</v>
      </c>
      <c r="J8" s="1" t="s">
        <v>231</v>
      </c>
      <c r="K8" s="1" t="s">
        <v>894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875</v>
      </c>
      <c r="R8" s="1" t="s">
        <v>858</v>
      </c>
      <c r="S8" s="1" t="s">
        <v>895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896</v>
      </c>
      <c r="Y8" s="1" t="s">
        <v>897</v>
      </c>
      <c r="Z8" s="1">
        <v>10</v>
      </c>
      <c r="AA8" s="1" t="s">
        <v>793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898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899</v>
      </c>
      <c r="AT8" s="1" t="s">
        <v>900</v>
      </c>
      <c r="AU8" s="1" t="s">
        <v>157</v>
      </c>
      <c r="AV8" s="1" t="s">
        <v>901</v>
      </c>
      <c r="AW8" s="1" t="s">
        <v>902</v>
      </c>
      <c r="AX8" s="1" t="s">
        <v>190</v>
      </c>
      <c r="AY8" s="1" t="s">
        <v>845</v>
      </c>
      <c r="AZ8" s="1" t="s">
        <v>903</v>
      </c>
      <c r="BA8" s="1" t="s">
        <v>824</v>
      </c>
      <c r="BB8" s="1" t="s">
        <v>904</v>
      </c>
      <c r="BC8" s="1" t="s">
        <v>905</v>
      </c>
      <c r="BD8" s="1" t="s">
        <v>906</v>
      </c>
      <c r="BE8" s="1">
        <v>113.9</v>
      </c>
      <c r="BF8" s="1">
        <v>109.1</v>
      </c>
      <c r="BG8" s="1">
        <v>4.8</v>
      </c>
      <c r="BH8" s="1" t="s">
        <v>907</v>
      </c>
      <c r="BI8" s="1" t="s">
        <v>216</v>
      </c>
      <c r="BJ8" s="1" t="s">
        <v>266</v>
      </c>
      <c r="BK8" s="1" t="s">
        <v>296</v>
      </c>
      <c r="BL8" s="1" t="s">
        <v>892</v>
      </c>
      <c r="BM8" s="1" t="s">
        <v>908</v>
      </c>
      <c r="BN8" s="1" t="s">
        <v>829</v>
      </c>
      <c r="BO8" s="1" t="s">
        <v>807</v>
      </c>
      <c r="BP8" s="1" t="s">
        <v>291</v>
      </c>
      <c r="BQ8" s="1" t="s">
        <v>851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909</v>
      </c>
      <c r="BZ8" s="1" t="s">
        <v>831</v>
      </c>
      <c r="CA8" s="1" t="s">
        <v>233</v>
      </c>
      <c r="CB8" s="1" t="s">
        <v>910</v>
      </c>
      <c r="CC8" s="1" t="s">
        <v>911</v>
      </c>
    </row>
    <row r="9" spans="1:81" x14ac:dyDescent="0.25">
      <c r="A9" s="1" t="s">
        <v>145</v>
      </c>
      <c r="B9" s="1" t="s">
        <v>760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761</v>
      </c>
      <c r="H9" s="1">
        <v>4</v>
      </c>
      <c r="I9" s="1" t="s">
        <v>855</v>
      </c>
      <c r="J9" s="1" t="s">
        <v>203</v>
      </c>
      <c r="K9" s="1" t="s">
        <v>894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912</v>
      </c>
      <c r="R9" s="1" t="s">
        <v>913</v>
      </c>
      <c r="S9" s="1" t="s">
        <v>876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914</v>
      </c>
      <c r="Z9" s="1">
        <v>10</v>
      </c>
      <c r="AA9" s="1" t="s">
        <v>793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915</v>
      </c>
      <c r="AT9" s="1" t="s">
        <v>916</v>
      </c>
      <c r="AU9" s="1" t="s">
        <v>260</v>
      </c>
      <c r="AV9" s="1" t="s">
        <v>917</v>
      </c>
      <c r="AW9" s="1" t="s">
        <v>844</v>
      </c>
      <c r="AX9" s="1" t="s">
        <v>164</v>
      </c>
      <c r="AY9" s="1" t="s">
        <v>918</v>
      </c>
      <c r="AZ9" s="1" t="s">
        <v>919</v>
      </c>
      <c r="BA9" s="1" t="s">
        <v>920</v>
      </c>
      <c r="BB9" s="1" t="s">
        <v>921</v>
      </c>
      <c r="BC9" s="1" t="s">
        <v>803</v>
      </c>
      <c r="BD9" s="1" t="s">
        <v>922</v>
      </c>
      <c r="BE9" s="1">
        <v>112.4</v>
      </c>
      <c r="BF9" s="1">
        <v>108</v>
      </c>
      <c r="BG9" s="1">
        <v>4.4000000000000004</v>
      </c>
      <c r="BH9" s="1" t="s">
        <v>761</v>
      </c>
      <c r="BI9" s="1" t="s">
        <v>807</v>
      </c>
      <c r="BJ9" s="1" t="s">
        <v>804</v>
      </c>
      <c r="BK9" s="1" t="s">
        <v>780</v>
      </c>
      <c r="BL9" s="1" t="s">
        <v>923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924</v>
      </c>
      <c r="CA9" s="1" t="s">
        <v>270</v>
      </c>
      <c r="CB9" s="1" t="s">
        <v>871</v>
      </c>
      <c r="CC9" s="1" t="s">
        <v>925</v>
      </c>
    </row>
    <row r="10" spans="1:81" x14ac:dyDescent="0.25">
      <c r="A10" s="1" t="s">
        <v>145</v>
      </c>
      <c r="B10" s="1" t="s">
        <v>760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926</v>
      </c>
      <c r="H10" s="1">
        <v>5</v>
      </c>
      <c r="I10" s="1" t="s">
        <v>855</v>
      </c>
      <c r="J10" s="1" t="s">
        <v>181</v>
      </c>
      <c r="K10" s="1" t="s">
        <v>927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928</v>
      </c>
      <c r="R10" s="1" t="s">
        <v>897</v>
      </c>
      <c r="S10" s="1" t="s">
        <v>929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930</v>
      </c>
      <c r="Z10" s="1">
        <v>5</v>
      </c>
      <c r="AA10" s="1" t="s">
        <v>160</v>
      </c>
      <c r="AB10" s="1">
        <v>-10</v>
      </c>
      <c r="AC10" s="1" t="s">
        <v>931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932</v>
      </c>
      <c r="AT10" s="1" t="s">
        <v>933</v>
      </c>
      <c r="AU10" s="1" t="s">
        <v>190</v>
      </c>
      <c r="AV10" s="1" t="s">
        <v>934</v>
      </c>
      <c r="AW10" s="1" t="s">
        <v>935</v>
      </c>
      <c r="AX10" s="1" t="s">
        <v>157</v>
      </c>
      <c r="AY10" s="1" t="s">
        <v>936</v>
      </c>
      <c r="AZ10" s="1" t="s">
        <v>937</v>
      </c>
      <c r="BA10" s="1" t="s">
        <v>938</v>
      </c>
      <c r="BB10" s="1" t="s">
        <v>939</v>
      </c>
      <c r="BC10" s="1" t="s">
        <v>940</v>
      </c>
      <c r="BD10" s="1" t="s">
        <v>941</v>
      </c>
      <c r="BE10" s="1">
        <v>108</v>
      </c>
      <c r="BF10" s="1">
        <v>104.7</v>
      </c>
      <c r="BG10" s="1">
        <v>3.3</v>
      </c>
      <c r="BH10" s="1" t="s">
        <v>926</v>
      </c>
      <c r="BI10" s="1" t="s">
        <v>942</v>
      </c>
      <c r="BJ10" s="1" t="s">
        <v>943</v>
      </c>
      <c r="BK10" s="1" t="s">
        <v>804</v>
      </c>
      <c r="BL10" s="1" t="s">
        <v>944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945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946</v>
      </c>
      <c r="CC10" s="1" t="s">
        <v>947</v>
      </c>
    </row>
    <row r="11" spans="1:81" x14ac:dyDescent="0.25">
      <c r="A11" s="1" t="s">
        <v>145</v>
      </c>
      <c r="B11" s="1" t="s">
        <v>760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948</v>
      </c>
      <c r="H11" s="1">
        <v>5</v>
      </c>
      <c r="I11" s="1" t="s">
        <v>855</v>
      </c>
      <c r="J11" s="1" t="s">
        <v>219</v>
      </c>
      <c r="K11" s="1" t="s">
        <v>856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949</v>
      </c>
      <c r="R11" s="1" t="s">
        <v>897</v>
      </c>
      <c r="S11" s="1" t="s">
        <v>876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950</v>
      </c>
      <c r="Z11" s="1">
        <v>8</v>
      </c>
      <c r="AA11" s="1" t="s">
        <v>878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878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951</v>
      </c>
      <c r="AT11" s="1" t="s">
        <v>952</v>
      </c>
      <c r="AU11" s="1" t="s">
        <v>185</v>
      </c>
      <c r="AV11" s="1" t="s">
        <v>953</v>
      </c>
      <c r="AW11" s="1" t="s">
        <v>954</v>
      </c>
      <c r="AX11" s="1" t="s">
        <v>157</v>
      </c>
      <c r="AY11" s="1" t="s">
        <v>955</v>
      </c>
      <c r="AZ11" s="1" t="s">
        <v>956</v>
      </c>
      <c r="BA11" s="1" t="s">
        <v>957</v>
      </c>
      <c r="BB11" s="1" t="s">
        <v>958</v>
      </c>
      <c r="BC11" s="1" t="s">
        <v>915</v>
      </c>
      <c r="BD11" s="1" t="s">
        <v>959</v>
      </c>
      <c r="BE11" s="1">
        <v>111.7</v>
      </c>
      <c r="BF11" s="1">
        <v>106.5</v>
      </c>
      <c r="BG11" s="1">
        <v>5.3</v>
      </c>
      <c r="BH11" s="1" t="s">
        <v>806</v>
      </c>
      <c r="BI11" s="1" t="s">
        <v>266</v>
      </c>
      <c r="BJ11" s="1" t="s">
        <v>296</v>
      </c>
      <c r="BK11" s="1" t="s">
        <v>296</v>
      </c>
      <c r="BL11" s="1" t="s">
        <v>948</v>
      </c>
      <c r="BM11" s="1" t="s">
        <v>868</v>
      </c>
      <c r="BN11" s="1" t="s">
        <v>780</v>
      </c>
      <c r="BO11" s="1" t="s">
        <v>782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960</v>
      </c>
      <c r="CA11" s="1" t="s">
        <v>326</v>
      </c>
      <c r="CB11" s="1" t="s">
        <v>961</v>
      </c>
      <c r="CC11" s="1" t="s">
        <v>962</v>
      </c>
    </row>
    <row r="12" spans="1:81" x14ac:dyDescent="0.25">
      <c r="A12" s="1" t="s">
        <v>145</v>
      </c>
      <c r="B12" s="1" t="s">
        <v>760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963</v>
      </c>
      <c r="H12" s="1">
        <v>6</v>
      </c>
      <c r="I12" s="1" t="s">
        <v>855</v>
      </c>
      <c r="J12" s="1" t="s">
        <v>219</v>
      </c>
      <c r="K12" s="1" t="s">
        <v>964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912</v>
      </c>
      <c r="R12" s="1" t="s">
        <v>766</v>
      </c>
      <c r="S12" s="1" t="s">
        <v>895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965</v>
      </c>
      <c r="Y12" s="1" t="s">
        <v>966</v>
      </c>
      <c r="Z12" s="1">
        <v>7</v>
      </c>
      <c r="AA12" s="1" t="s">
        <v>898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967</v>
      </c>
      <c r="AT12" s="1" t="s">
        <v>968</v>
      </c>
      <c r="AU12" s="1" t="s">
        <v>186</v>
      </c>
      <c r="AV12" s="1" t="s">
        <v>969</v>
      </c>
      <c r="AW12" s="1" t="s">
        <v>970</v>
      </c>
      <c r="AX12" s="1" t="s">
        <v>157</v>
      </c>
      <c r="AY12" s="1" t="s">
        <v>971</v>
      </c>
      <c r="AZ12" s="1" t="s">
        <v>972</v>
      </c>
      <c r="BA12" s="1" t="s">
        <v>973</v>
      </c>
      <c r="BB12" s="1" t="s">
        <v>974</v>
      </c>
      <c r="BC12" s="1" t="s">
        <v>897</v>
      </c>
      <c r="BD12" s="1" t="s">
        <v>975</v>
      </c>
      <c r="BE12" s="1">
        <v>114.5</v>
      </c>
      <c r="BF12" s="1">
        <v>111.1</v>
      </c>
      <c r="BG12" s="1">
        <v>3.4</v>
      </c>
      <c r="BH12" s="1" t="s">
        <v>907</v>
      </c>
      <c r="BI12" s="1" t="s">
        <v>266</v>
      </c>
      <c r="BJ12" s="1" t="s">
        <v>216</v>
      </c>
      <c r="BK12" s="1" t="s">
        <v>296</v>
      </c>
      <c r="BL12" s="1" t="s">
        <v>963</v>
      </c>
      <c r="BM12" s="1" t="s">
        <v>976</v>
      </c>
      <c r="BN12" s="1" t="s">
        <v>782</v>
      </c>
      <c r="BO12" s="1" t="s">
        <v>942</v>
      </c>
      <c r="BP12" s="1" t="s">
        <v>270</v>
      </c>
      <c r="BQ12" s="1" t="s">
        <v>286</v>
      </c>
      <c r="BR12" s="1" t="s">
        <v>410</v>
      </c>
      <c r="BS12" s="1" t="s">
        <v>977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831</v>
      </c>
      <c r="CB12" s="1" t="s">
        <v>978</v>
      </c>
      <c r="CC12" s="1" t="s">
        <v>979</v>
      </c>
    </row>
    <row r="13" spans="1:81" x14ac:dyDescent="0.25">
      <c r="A13" s="1" t="s">
        <v>145</v>
      </c>
      <c r="B13" s="1" t="s">
        <v>760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873</v>
      </c>
      <c r="H13" s="1">
        <v>6</v>
      </c>
      <c r="I13" s="1" t="s">
        <v>855</v>
      </c>
      <c r="J13" s="1" t="s">
        <v>203</v>
      </c>
      <c r="K13" s="1" t="s">
        <v>856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980</v>
      </c>
      <c r="R13" s="1" t="s">
        <v>981</v>
      </c>
      <c r="S13" s="1" t="s">
        <v>929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982</v>
      </c>
      <c r="Y13" s="1" t="s">
        <v>983</v>
      </c>
      <c r="Z13" s="1">
        <v>9</v>
      </c>
      <c r="AA13" s="1" t="s">
        <v>984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877</v>
      </c>
      <c r="AT13" s="1" t="s">
        <v>985</v>
      </c>
      <c r="AU13" s="1" t="s">
        <v>273</v>
      </c>
      <c r="AV13" s="1" t="s">
        <v>986</v>
      </c>
      <c r="AW13" s="1" t="s">
        <v>987</v>
      </c>
      <c r="AX13" s="1" t="s">
        <v>224</v>
      </c>
      <c r="AY13" s="1" t="s">
        <v>988</v>
      </c>
      <c r="AZ13" s="1" t="s">
        <v>989</v>
      </c>
      <c r="BA13" s="1" t="s">
        <v>990</v>
      </c>
      <c r="BB13" s="1" t="s">
        <v>991</v>
      </c>
      <c r="BC13" s="1" t="s">
        <v>850</v>
      </c>
      <c r="BD13" s="1" t="s">
        <v>992</v>
      </c>
      <c r="BE13" s="1">
        <v>112.2</v>
      </c>
      <c r="BF13" s="1">
        <v>112.3</v>
      </c>
      <c r="BG13" s="1">
        <v>-0.1</v>
      </c>
      <c r="BH13" s="1" t="s">
        <v>873</v>
      </c>
      <c r="BI13" s="1" t="s">
        <v>868</v>
      </c>
      <c r="BJ13" s="1" t="s">
        <v>782</v>
      </c>
      <c r="BK13" s="1" t="s">
        <v>869</v>
      </c>
      <c r="BL13" s="1" t="s">
        <v>993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831</v>
      </c>
      <c r="CB13" s="1" t="s">
        <v>994</v>
      </c>
      <c r="CC13" s="1" t="s">
        <v>995</v>
      </c>
    </row>
    <row r="14" spans="1:81" x14ac:dyDescent="0.25">
      <c r="A14" s="1" t="s">
        <v>145</v>
      </c>
      <c r="B14" s="1" t="s">
        <v>760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948</v>
      </c>
      <c r="H14" s="1">
        <v>7</v>
      </c>
      <c r="I14" s="1" t="s">
        <v>996</v>
      </c>
      <c r="J14" s="1" t="s">
        <v>244</v>
      </c>
      <c r="K14" s="1" t="s">
        <v>894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980</v>
      </c>
      <c r="R14" s="1" t="s">
        <v>997</v>
      </c>
      <c r="S14" s="1" t="s">
        <v>998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999</v>
      </c>
      <c r="Z14" s="1">
        <v>9</v>
      </c>
      <c r="AA14" s="1" t="s">
        <v>984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984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765</v>
      </c>
      <c r="AT14" s="1" t="s">
        <v>1000</v>
      </c>
      <c r="AU14" s="1" t="s">
        <v>164</v>
      </c>
      <c r="AV14" s="1" t="s">
        <v>1001</v>
      </c>
      <c r="AW14" s="1" t="s">
        <v>1002</v>
      </c>
      <c r="AX14" s="1" t="s">
        <v>185</v>
      </c>
      <c r="AY14" s="1" t="s">
        <v>1003</v>
      </c>
      <c r="AZ14" s="1" t="s">
        <v>1004</v>
      </c>
      <c r="BA14" s="1" t="s">
        <v>1005</v>
      </c>
      <c r="BB14" s="1" t="s">
        <v>1001</v>
      </c>
      <c r="BC14" s="1" t="s">
        <v>913</v>
      </c>
      <c r="BD14" s="1" t="s">
        <v>914</v>
      </c>
      <c r="BE14" s="1">
        <v>107.3</v>
      </c>
      <c r="BF14" s="1">
        <v>106.6</v>
      </c>
      <c r="BG14" s="1">
        <v>0.7</v>
      </c>
      <c r="BH14" s="1" t="s">
        <v>948</v>
      </c>
      <c r="BI14" s="1" t="s">
        <v>869</v>
      </c>
      <c r="BJ14" s="1" t="s">
        <v>942</v>
      </c>
      <c r="BK14" s="1" t="s">
        <v>807</v>
      </c>
      <c r="BL14" s="1" t="s">
        <v>1006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976</v>
      </c>
      <c r="CA14" s="1" t="s">
        <v>1007</v>
      </c>
      <c r="CB14" s="1" t="s">
        <v>1008</v>
      </c>
      <c r="CC14" s="1" t="s">
        <v>833</v>
      </c>
    </row>
    <row r="15" spans="1:81" x14ac:dyDescent="0.25">
      <c r="A15" s="1" t="s">
        <v>145</v>
      </c>
      <c r="B15" s="1" t="s">
        <v>760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948</v>
      </c>
      <c r="H15" s="1">
        <v>7</v>
      </c>
      <c r="I15" s="1" t="s">
        <v>855</v>
      </c>
      <c r="J15" s="1" t="s">
        <v>231</v>
      </c>
      <c r="K15" s="1" t="s">
        <v>894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928</v>
      </c>
      <c r="R15" s="1" t="s">
        <v>814</v>
      </c>
      <c r="S15" s="1" t="s">
        <v>1009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1010</v>
      </c>
      <c r="Y15" s="1" t="s">
        <v>997</v>
      </c>
      <c r="Z15" s="1">
        <v>11</v>
      </c>
      <c r="AA15" s="1" t="s">
        <v>768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1011</v>
      </c>
      <c r="AT15" s="1" t="s">
        <v>1012</v>
      </c>
      <c r="AU15" s="1" t="s">
        <v>163</v>
      </c>
      <c r="AV15" s="1" t="s">
        <v>1013</v>
      </c>
      <c r="AW15" s="1" t="s">
        <v>1012</v>
      </c>
      <c r="AX15" s="1" t="s">
        <v>164</v>
      </c>
      <c r="AY15" s="1" t="s">
        <v>1014</v>
      </c>
      <c r="AZ15" s="1" t="s">
        <v>1015</v>
      </c>
      <c r="BA15" s="1" t="s">
        <v>999</v>
      </c>
      <c r="BB15" s="1" t="s">
        <v>769</v>
      </c>
      <c r="BC15" s="1" t="s">
        <v>1016</v>
      </c>
      <c r="BD15" s="1" t="s">
        <v>1017</v>
      </c>
      <c r="BE15" s="1">
        <v>111.7</v>
      </c>
      <c r="BF15" s="1">
        <v>110</v>
      </c>
      <c r="BG15" s="1">
        <v>1.7</v>
      </c>
      <c r="BH15" s="1" t="s">
        <v>1018</v>
      </c>
      <c r="BI15" s="1" t="s">
        <v>266</v>
      </c>
      <c r="BJ15" s="1" t="s">
        <v>296</v>
      </c>
      <c r="BK15" s="1" t="s">
        <v>276</v>
      </c>
      <c r="BL15" s="1" t="s">
        <v>948</v>
      </c>
      <c r="BM15" s="1" t="s">
        <v>782</v>
      </c>
      <c r="BN15" s="1" t="s">
        <v>782</v>
      </c>
      <c r="BO15" s="1" t="s">
        <v>807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943</v>
      </c>
      <c r="CB15" s="1" t="s">
        <v>1019</v>
      </c>
      <c r="CC15" s="1" t="s">
        <v>833</v>
      </c>
    </row>
    <row r="16" spans="1:81" x14ac:dyDescent="0.25">
      <c r="A16" s="1" t="s">
        <v>145</v>
      </c>
      <c r="B16" s="1" t="s">
        <v>760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1020</v>
      </c>
      <c r="H16" s="1">
        <v>8</v>
      </c>
      <c r="I16" s="1" t="s">
        <v>855</v>
      </c>
      <c r="J16" s="1" t="s">
        <v>181</v>
      </c>
      <c r="K16" s="1" t="s">
        <v>856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1021</v>
      </c>
      <c r="R16" s="1" t="s">
        <v>815</v>
      </c>
      <c r="S16" s="1" t="s">
        <v>1022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1023</v>
      </c>
      <c r="Z16" s="1">
        <v>11</v>
      </c>
      <c r="AA16" s="1" t="s">
        <v>768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1024</v>
      </c>
      <c r="AT16" s="1" t="s">
        <v>1025</v>
      </c>
      <c r="AU16" s="1" t="s">
        <v>186</v>
      </c>
      <c r="AV16" s="1" t="s">
        <v>877</v>
      </c>
      <c r="AW16" s="1" t="s">
        <v>1026</v>
      </c>
      <c r="AX16" s="1" t="s">
        <v>161</v>
      </c>
      <c r="AY16" s="1" t="s">
        <v>1027</v>
      </c>
      <c r="AZ16" s="1" t="s">
        <v>1028</v>
      </c>
      <c r="BA16" s="1" t="s">
        <v>1029</v>
      </c>
      <c r="BB16" s="1" t="s">
        <v>1030</v>
      </c>
      <c r="BC16" s="1" t="s">
        <v>1031</v>
      </c>
      <c r="BD16" s="1" t="s">
        <v>1032</v>
      </c>
      <c r="BE16" s="1">
        <v>107</v>
      </c>
      <c r="BF16" s="1">
        <v>107.3</v>
      </c>
      <c r="BG16" s="1">
        <v>-0.2</v>
      </c>
      <c r="BH16" s="1" t="s">
        <v>1020</v>
      </c>
      <c r="BI16" s="1" t="s">
        <v>782</v>
      </c>
      <c r="BJ16" s="1" t="s">
        <v>868</v>
      </c>
      <c r="BK16" s="1" t="s">
        <v>942</v>
      </c>
      <c r="BL16" s="1" t="s">
        <v>923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807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851</v>
      </c>
      <c r="CA16" s="1" t="s">
        <v>397</v>
      </c>
      <c r="CB16" s="1" t="s">
        <v>1033</v>
      </c>
      <c r="CC16" s="1" t="s">
        <v>1034</v>
      </c>
    </row>
    <row r="17" spans="1:81" x14ac:dyDescent="0.25">
      <c r="A17" s="1" t="s">
        <v>145</v>
      </c>
      <c r="B17" s="1" t="s">
        <v>760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963</v>
      </c>
      <c r="H17" s="1">
        <v>8</v>
      </c>
      <c r="I17" s="1" t="s">
        <v>855</v>
      </c>
      <c r="J17" s="1" t="s">
        <v>152</v>
      </c>
      <c r="K17" s="1" t="s">
        <v>927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928</v>
      </c>
      <c r="R17" s="1" t="s">
        <v>815</v>
      </c>
      <c r="S17" s="1" t="s">
        <v>895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981</v>
      </c>
      <c r="Z17" s="1">
        <v>9</v>
      </c>
      <c r="AA17" s="1" t="s">
        <v>984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1001</v>
      </c>
      <c r="AT17" s="1" t="s">
        <v>1035</v>
      </c>
      <c r="AU17" s="1" t="s">
        <v>260</v>
      </c>
      <c r="AV17" s="1" t="s">
        <v>1036</v>
      </c>
      <c r="AW17" s="1" t="s">
        <v>1037</v>
      </c>
      <c r="AX17" s="1" t="s">
        <v>190</v>
      </c>
      <c r="AY17" s="1" t="s">
        <v>1038</v>
      </c>
      <c r="AZ17" s="1" t="s">
        <v>1039</v>
      </c>
      <c r="BA17" s="1" t="s">
        <v>1040</v>
      </c>
      <c r="BB17" s="1" t="s">
        <v>1041</v>
      </c>
      <c r="BC17" s="1" t="s">
        <v>1042</v>
      </c>
      <c r="BD17" s="1" t="s">
        <v>1043</v>
      </c>
      <c r="BE17" s="1">
        <v>115.1</v>
      </c>
      <c r="BF17" s="1">
        <v>114.3</v>
      </c>
      <c r="BG17" s="1">
        <v>0.9</v>
      </c>
      <c r="BH17" s="1" t="s">
        <v>806</v>
      </c>
      <c r="BI17" s="1" t="s">
        <v>266</v>
      </c>
      <c r="BJ17" s="1" t="s">
        <v>296</v>
      </c>
      <c r="BK17" s="1" t="s">
        <v>296</v>
      </c>
      <c r="BL17" s="1" t="s">
        <v>963</v>
      </c>
      <c r="BM17" s="1" t="s">
        <v>1044</v>
      </c>
      <c r="BN17" s="1" t="s">
        <v>943</v>
      </c>
      <c r="BO17" s="1" t="s">
        <v>782</v>
      </c>
      <c r="BP17" s="1" t="s">
        <v>960</v>
      </c>
      <c r="BQ17" s="1" t="s">
        <v>286</v>
      </c>
      <c r="BR17" s="1" t="s">
        <v>1045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1046</v>
      </c>
      <c r="CC17" s="1" t="s">
        <v>1047</v>
      </c>
    </row>
    <row r="18" spans="1:81" x14ac:dyDescent="0.25">
      <c r="A18" s="1" t="s">
        <v>145</v>
      </c>
      <c r="B18" s="1" t="s">
        <v>760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873</v>
      </c>
      <c r="H18" s="1">
        <v>9</v>
      </c>
      <c r="I18" s="1" t="s">
        <v>1048</v>
      </c>
      <c r="J18" s="1" t="s">
        <v>244</v>
      </c>
      <c r="K18" s="1" t="s">
        <v>894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1049</v>
      </c>
      <c r="R18" s="1" t="s">
        <v>997</v>
      </c>
      <c r="S18" s="1" t="s">
        <v>1050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874</v>
      </c>
      <c r="Y18" s="1" t="s">
        <v>876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1051</v>
      </c>
      <c r="AT18" s="1" t="s">
        <v>1052</v>
      </c>
      <c r="AU18" s="1" t="s">
        <v>190</v>
      </c>
      <c r="AV18" s="1" t="s">
        <v>791</v>
      </c>
      <c r="AW18" s="1" t="s">
        <v>1053</v>
      </c>
      <c r="AX18" s="1" t="s">
        <v>186</v>
      </c>
      <c r="AY18" s="1" t="s">
        <v>1054</v>
      </c>
      <c r="AZ18" s="1" t="s">
        <v>1055</v>
      </c>
      <c r="BA18" s="1" t="s">
        <v>968</v>
      </c>
      <c r="BB18" s="1" t="s">
        <v>1056</v>
      </c>
      <c r="BC18" s="1" t="s">
        <v>1057</v>
      </c>
      <c r="BD18" s="1" t="s">
        <v>1058</v>
      </c>
      <c r="BE18" s="1">
        <v>110.7</v>
      </c>
      <c r="BF18" s="1">
        <v>111.8</v>
      </c>
      <c r="BG18" s="1">
        <v>-1.1000000000000001</v>
      </c>
      <c r="BH18" s="1" t="s">
        <v>873</v>
      </c>
      <c r="BI18" s="1" t="s">
        <v>908</v>
      </c>
      <c r="BJ18" s="1" t="s">
        <v>869</v>
      </c>
      <c r="BK18" s="1" t="s">
        <v>807</v>
      </c>
      <c r="BL18" s="1" t="s">
        <v>1059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924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1060</v>
      </c>
      <c r="CC18" s="1" t="s">
        <v>979</v>
      </c>
    </row>
    <row r="19" spans="1:81" x14ac:dyDescent="0.25">
      <c r="A19" s="1" t="s">
        <v>145</v>
      </c>
      <c r="B19" s="1" t="s">
        <v>760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1061</v>
      </c>
      <c r="H19" s="1">
        <v>9</v>
      </c>
      <c r="I19" s="1" t="s">
        <v>1048</v>
      </c>
      <c r="J19" s="1" t="s">
        <v>152</v>
      </c>
      <c r="K19" s="1" t="s">
        <v>1062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1049</v>
      </c>
      <c r="R19" s="1" t="s">
        <v>1063</v>
      </c>
      <c r="S19" s="1" t="s">
        <v>1022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965</v>
      </c>
      <c r="Y19" s="1" t="s">
        <v>1064</v>
      </c>
      <c r="Z19" s="1">
        <v>7</v>
      </c>
      <c r="AA19" s="1" t="s">
        <v>898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1065</v>
      </c>
      <c r="AT19" s="1" t="s">
        <v>1066</v>
      </c>
      <c r="AU19" s="1" t="s">
        <v>260</v>
      </c>
      <c r="AV19" s="1" t="s">
        <v>1067</v>
      </c>
      <c r="AW19" s="1" t="s">
        <v>1068</v>
      </c>
      <c r="AX19" s="1" t="s">
        <v>339</v>
      </c>
      <c r="AY19" s="1" t="s">
        <v>1069</v>
      </c>
      <c r="AZ19" s="1" t="s">
        <v>1070</v>
      </c>
      <c r="BA19" s="1" t="s">
        <v>1071</v>
      </c>
      <c r="BB19" s="1" t="s">
        <v>1072</v>
      </c>
      <c r="BC19" s="1" t="s">
        <v>1043</v>
      </c>
      <c r="BD19" s="1" t="s">
        <v>1073</v>
      </c>
      <c r="BE19" s="1">
        <v>114.2</v>
      </c>
      <c r="BF19" s="1">
        <v>115.3</v>
      </c>
      <c r="BG19" s="1">
        <v>-1.1000000000000001</v>
      </c>
      <c r="BH19" s="1" t="s">
        <v>1018</v>
      </c>
      <c r="BI19" s="1" t="s">
        <v>398</v>
      </c>
      <c r="BJ19" s="1" t="s">
        <v>296</v>
      </c>
      <c r="BK19" s="1" t="s">
        <v>216</v>
      </c>
      <c r="BL19" s="1" t="s">
        <v>1061</v>
      </c>
      <c r="BM19" s="1" t="s">
        <v>1044</v>
      </c>
      <c r="BN19" s="1" t="s">
        <v>1074</v>
      </c>
      <c r="BO19" s="1" t="s">
        <v>782</v>
      </c>
      <c r="BP19" s="1" t="s">
        <v>924</v>
      </c>
      <c r="BQ19" s="1" t="s">
        <v>276</v>
      </c>
      <c r="BR19" s="1" t="s">
        <v>960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1007</v>
      </c>
      <c r="CA19" s="1" t="s">
        <v>831</v>
      </c>
      <c r="CB19" s="1" t="s">
        <v>1075</v>
      </c>
      <c r="CC19" s="1" t="s">
        <v>1076</v>
      </c>
    </row>
    <row r="20" spans="1:81" x14ac:dyDescent="0.25">
      <c r="A20" s="1" t="s">
        <v>145</v>
      </c>
      <c r="B20" s="1" t="s">
        <v>760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1077</v>
      </c>
      <c r="H20" s="1">
        <v>10</v>
      </c>
      <c r="I20" s="1" t="s">
        <v>1048</v>
      </c>
      <c r="J20" s="1" t="s">
        <v>152</v>
      </c>
      <c r="K20" s="1" t="s">
        <v>964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1078</v>
      </c>
      <c r="R20" s="1" t="s">
        <v>895</v>
      </c>
      <c r="S20" s="1" t="s">
        <v>1022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1009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1079</v>
      </c>
      <c r="AT20" s="1" t="s">
        <v>1080</v>
      </c>
      <c r="AU20" s="1" t="s">
        <v>157</v>
      </c>
      <c r="AV20" s="1" t="s">
        <v>1081</v>
      </c>
      <c r="AW20" s="1" t="s">
        <v>1082</v>
      </c>
      <c r="AX20" s="1" t="s">
        <v>157</v>
      </c>
      <c r="AY20" s="1" t="s">
        <v>1083</v>
      </c>
      <c r="AZ20" s="1" t="s">
        <v>1084</v>
      </c>
      <c r="BA20" s="1" t="s">
        <v>1085</v>
      </c>
      <c r="BB20" s="1" t="s">
        <v>1086</v>
      </c>
      <c r="BC20" s="1" t="s">
        <v>1087</v>
      </c>
      <c r="BD20" s="1" t="s">
        <v>1088</v>
      </c>
      <c r="BE20" s="1">
        <v>111.8</v>
      </c>
      <c r="BF20" s="1">
        <v>113.5</v>
      </c>
      <c r="BG20" s="1">
        <v>-1.7</v>
      </c>
      <c r="BH20" s="1" t="s">
        <v>1006</v>
      </c>
      <c r="BI20" s="1" t="s">
        <v>1089</v>
      </c>
      <c r="BJ20" s="1" t="s">
        <v>276</v>
      </c>
      <c r="BK20" s="1" t="s">
        <v>266</v>
      </c>
      <c r="BL20" s="1" t="s">
        <v>1077</v>
      </c>
      <c r="BM20" s="1" t="s">
        <v>1044</v>
      </c>
      <c r="BN20" s="1" t="s">
        <v>976</v>
      </c>
      <c r="BO20" s="1" t="s">
        <v>942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1090</v>
      </c>
      <c r="CC20" s="1" t="s">
        <v>1076</v>
      </c>
    </row>
    <row r="21" spans="1:81" x14ac:dyDescent="0.25">
      <c r="A21" s="1" t="s">
        <v>145</v>
      </c>
      <c r="B21" s="1" t="s">
        <v>760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1091</v>
      </c>
      <c r="H21" s="1">
        <v>10</v>
      </c>
      <c r="I21" s="1" t="s">
        <v>1048</v>
      </c>
      <c r="J21" s="1" t="s">
        <v>244</v>
      </c>
      <c r="K21" s="1" t="s">
        <v>1092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1049</v>
      </c>
      <c r="R21" s="1" t="s">
        <v>929</v>
      </c>
      <c r="S21" s="1" t="s">
        <v>838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1093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930</v>
      </c>
      <c r="AT21" s="1" t="s">
        <v>1094</v>
      </c>
      <c r="AU21" s="1" t="s">
        <v>234</v>
      </c>
      <c r="AV21" s="1" t="s">
        <v>1095</v>
      </c>
      <c r="AW21" s="1" t="s">
        <v>1096</v>
      </c>
      <c r="AX21" s="1" t="s">
        <v>260</v>
      </c>
      <c r="AY21" s="1" t="s">
        <v>1097</v>
      </c>
      <c r="AZ21" s="1" t="s">
        <v>1098</v>
      </c>
      <c r="BA21" s="1" t="s">
        <v>1099</v>
      </c>
      <c r="BB21" s="1" t="s">
        <v>1100</v>
      </c>
      <c r="BC21" s="1" t="s">
        <v>1101</v>
      </c>
      <c r="BD21" s="1" t="s">
        <v>1102</v>
      </c>
      <c r="BE21" s="1">
        <v>105.7</v>
      </c>
      <c r="BF21" s="1">
        <v>105.9</v>
      </c>
      <c r="BG21" s="1">
        <v>-0.2</v>
      </c>
      <c r="BH21" s="1" t="s">
        <v>1091</v>
      </c>
      <c r="BI21" s="1" t="s">
        <v>1044</v>
      </c>
      <c r="BJ21" s="1" t="s">
        <v>942</v>
      </c>
      <c r="BK21" s="1" t="s">
        <v>960</v>
      </c>
      <c r="BL21" s="1" t="s">
        <v>1103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1104</v>
      </c>
      <c r="BR21" s="1" t="s">
        <v>233</v>
      </c>
      <c r="BS21" s="1" t="s">
        <v>909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1033</v>
      </c>
      <c r="CC21" s="1" t="s">
        <v>1105</v>
      </c>
    </row>
    <row r="22" spans="1:81" x14ac:dyDescent="0.25">
      <c r="A22" s="1" t="s">
        <v>145</v>
      </c>
      <c r="B22" s="1" t="s">
        <v>760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1106</v>
      </c>
      <c r="H22" s="1">
        <v>11</v>
      </c>
      <c r="I22" s="1" t="s">
        <v>1048</v>
      </c>
      <c r="J22" s="1" t="s">
        <v>244</v>
      </c>
      <c r="K22" s="1" t="s">
        <v>1092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1107</v>
      </c>
      <c r="R22" s="1" t="s">
        <v>895</v>
      </c>
      <c r="S22" s="1" t="s">
        <v>1002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1108</v>
      </c>
      <c r="Z22" s="1">
        <v>-6</v>
      </c>
      <c r="AA22" s="1" t="s">
        <v>367</v>
      </c>
      <c r="AB22" s="1">
        <v>-8</v>
      </c>
      <c r="AC22" s="1" t="s">
        <v>1109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1110</v>
      </c>
      <c r="AT22" s="1" t="s">
        <v>1111</v>
      </c>
      <c r="AU22" s="1" t="s">
        <v>158</v>
      </c>
      <c r="AV22" s="1" t="s">
        <v>1112</v>
      </c>
      <c r="AW22" s="1" t="s">
        <v>1113</v>
      </c>
      <c r="AX22" s="1" t="s">
        <v>190</v>
      </c>
      <c r="AY22" s="1" t="s">
        <v>1114</v>
      </c>
      <c r="AZ22" s="1" t="s">
        <v>1115</v>
      </c>
      <c r="BA22" s="1" t="s">
        <v>1116</v>
      </c>
      <c r="BB22" s="1" t="s">
        <v>1117</v>
      </c>
      <c r="BC22" s="1" t="s">
        <v>1118</v>
      </c>
      <c r="BD22" s="1" t="s">
        <v>1091</v>
      </c>
      <c r="BE22" s="1">
        <v>114</v>
      </c>
      <c r="BF22" s="1">
        <v>116.9</v>
      </c>
      <c r="BG22" s="1">
        <v>-2.9</v>
      </c>
      <c r="BH22" s="1" t="s">
        <v>1106</v>
      </c>
      <c r="BI22" s="1" t="s">
        <v>1119</v>
      </c>
      <c r="BJ22" s="1" t="s">
        <v>1119</v>
      </c>
      <c r="BK22" s="1" t="s">
        <v>960</v>
      </c>
      <c r="BL22" s="1" t="s">
        <v>993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1120</v>
      </c>
      <c r="BS22" s="1" t="s">
        <v>372</v>
      </c>
      <c r="BT22" s="1"/>
      <c r="BU22" s="1"/>
      <c r="BV22" s="1"/>
      <c r="BW22" s="1"/>
      <c r="BX22" s="1"/>
      <c r="BY22" s="1" t="s">
        <v>1121</v>
      </c>
      <c r="BZ22" s="1" t="s">
        <v>924</v>
      </c>
      <c r="CA22" s="1" t="s">
        <v>337</v>
      </c>
      <c r="CB22" s="1" t="s">
        <v>1122</v>
      </c>
      <c r="CC22" s="1" t="s">
        <v>1123</v>
      </c>
    </row>
    <row r="23" spans="1:81" x14ac:dyDescent="0.25">
      <c r="A23" s="1" t="s">
        <v>145</v>
      </c>
      <c r="B23" s="1" t="s">
        <v>760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1124</v>
      </c>
      <c r="H23" s="1">
        <v>11</v>
      </c>
      <c r="I23" s="1" t="s">
        <v>1048</v>
      </c>
      <c r="J23" s="1" t="s">
        <v>219</v>
      </c>
      <c r="K23" s="1" t="s">
        <v>1125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1126</v>
      </c>
      <c r="R23" s="1" t="s">
        <v>997</v>
      </c>
      <c r="S23" s="1" t="s">
        <v>1127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929</v>
      </c>
      <c r="Z23" s="1">
        <v>6</v>
      </c>
      <c r="AA23" s="1" t="s">
        <v>188</v>
      </c>
      <c r="AB23" s="1">
        <v>-9</v>
      </c>
      <c r="AC23" s="1" t="s">
        <v>1128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1129</v>
      </c>
      <c r="AT23" s="1" t="s">
        <v>1130</v>
      </c>
      <c r="AU23" s="1" t="s">
        <v>226</v>
      </c>
      <c r="AV23" s="1" t="s">
        <v>1131</v>
      </c>
      <c r="AW23" s="1" t="s">
        <v>1132</v>
      </c>
      <c r="AX23" s="1" t="s">
        <v>260</v>
      </c>
      <c r="AY23" s="1" t="s">
        <v>1133</v>
      </c>
      <c r="AZ23" s="1" t="s">
        <v>1134</v>
      </c>
      <c r="BA23" s="1" t="s">
        <v>1135</v>
      </c>
      <c r="BB23" s="1" t="s">
        <v>1136</v>
      </c>
      <c r="BC23" s="1" t="s">
        <v>1137</v>
      </c>
      <c r="BD23" s="1" t="s">
        <v>1138</v>
      </c>
      <c r="BE23" s="1">
        <v>112.5</v>
      </c>
      <c r="BF23" s="1">
        <v>114</v>
      </c>
      <c r="BG23" s="1">
        <v>-1.5</v>
      </c>
      <c r="BH23" s="1" t="s">
        <v>923</v>
      </c>
      <c r="BI23" s="1" t="s">
        <v>323</v>
      </c>
      <c r="BJ23" s="1" t="s">
        <v>276</v>
      </c>
      <c r="BK23" s="1" t="s">
        <v>276</v>
      </c>
      <c r="BL23" s="1" t="s">
        <v>1124</v>
      </c>
      <c r="BM23" s="1" t="s">
        <v>386</v>
      </c>
      <c r="BN23" s="1" t="s">
        <v>942</v>
      </c>
      <c r="BO23" s="1" t="s">
        <v>908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1060</v>
      </c>
      <c r="CC23" s="1" t="s">
        <v>1076</v>
      </c>
    </row>
    <row r="24" spans="1:81" x14ac:dyDescent="0.25">
      <c r="A24" s="1" t="s">
        <v>145</v>
      </c>
      <c r="B24" s="1" t="s">
        <v>760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1139</v>
      </c>
      <c r="H24" s="1">
        <v>12</v>
      </c>
      <c r="I24" s="1" t="s">
        <v>1048</v>
      </c>
      <c r="J24" s="1" t="s">
        <v>231</v>
      </c>
      <c r="K24" s="1" t="s">
        <v>856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1140</v>
      </c>
      <c r="R24" s="1" t="s">
        <v>876</v>
      </c>
      <c r="S24" s="1" t="s">
        <v>1141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1142</v>
      </c>
      <c r="Z24" s="1">
        <v>5</v>
      </c>
      <c r="AA24" s="1" t="s">
        <v>160</v>
      </c>
      <c r="AB24" s="1">
        <v>-9</v>
      </c>
      <c r="AC24" s="1" t="s">
        <v>1128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1143</v>
      </c>
      <c r="AT24" s="1" t="s">
        <v>1144</v>
      </c>
      <c r="AU24" s="1" t="s">
        <v>262</v>
      </c>
      <c r="AV24" s="1" t="s">
        <v>1145</v>
      </c>
      <c r="AW24" s="1" t="s">
        <v>1146</v>
      </c>
      <c r="AX24" s="1" t="s">
        <v>153</v>
      </c>
      <c r="AY24" s="1" t="s">
        <v>920</v>
      </c>
      <c r="AZ24" s="1" t="s">
        <v>1147</v>
      </c>
      <c r="BA24" s="1" t="s">
        <v>1099</v>
      </c>
      <c r="BB24" s="1" t="s">
        <v>1148</v>
      </c>
      <c r="BC24" s="1" t="s">
        <v>1149</v>
      </c>
      <c r="BD24" s="1" t="s">
        <v>1150</v>
      </c>
      <c r="BE24" s="1">
        <v>103.5</v>
      </c>
      <c r="BF24" s="1">
        <v>106.1</v>
      </c>
      <c r="BG24" s="1">
        <v>-2.6</v>
      </c>
      <c r="BH24" s="1" t="s">
        <v>1151</v>
      </c>
      <c r="BI24" s="1" t="s">
        <v>398</v>
      </c>
      <c r="BJ24" s="1" t="s">
        <v>398</v>
      </c>
      <c r="BK24" s="1" t="s">
        <v>398</v>
      </c>
      <c r="BL24" s="1" t="s">
        <v>1139</v>
      </c>
      <c r="BM24" s="1" t="s">
        <v>942</v>
      </c>
      <c r="BN24" s="1" t="s">
        <v>1044</v>
      </c>
      <c r="BO24" s="1" t="s">
        <v>868</v>
      </c>
      <c r="BP24" s="1" t="s">
        <v>1152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831</v>
      </c>
      <c r="CA24" s="1" t="s">
        <v>349</v>
      </c>
      <c r="CB24" s="1" t="s">
        <v>1153</v>
      </c>
      <c r="CC24" s="1" t="s">
        <v>1154</v>
      </c>
    </row>
    <row r="25" spans="1:81" x14ac:dyDescent="0.25">
      <c r="A25" s="1" t="s">
        <v>145</v>
      </c>
      <c r="B25" s="1" t="s">
        <v>760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1155</v>
      </c>
      <c r="H25" s="1">
        <v>12</v>
      </c>
      <c r="I25" s="1" t="s">
        <v>1048</v>
      </c>
      <c r="J25" s="1" t="s">
        <v>244</v>
      </c>
      <c r="K25" s="1" t="s">
        <v>874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1156</v>
      </c>
      <c r="R25" s="1" t="s">
        <v>998</v>
      </c>
      <c r="S25" s="1" t="s">
        <v>1141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1157</v>
      </c>
      <c r="Y25" s="1" t="s">
        <v>1158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1159</v>
      </c>
      <c r="AT25" s="1" t="s">
        <v>1052</v>
      </c>
      <c r="AU25" s="1" t="s">
        <v>327</v>
      </c>
      <c r="AV25" s="1" t="s">
        <v>867</v>
      </c>
      <c r="AW25" s="1" t="s">
        <v>1160</v>
      </c>
      <c r="AX25" s="1" t="s">
        <v>153</v>
      </c>
      <c r="AY25" s="1" t="s">
        <v>1161</v>
      </c>
      <c r="AZ25" s="1" t="s">
        <v>1162</v>
      </c>
      <c r="BA25" s="1" t="s">
        <v>1163</v>
      </c>
      <c r="BB25" s="1" t="s">
        <v>992</v>
      </c>
      <c r="BC25" s="1" t="s">
        <v>1164</v>
      </c>
      <c r="BD25" s="1" t="s">
        <v>1165</v>
      </c>
      <c r="BE25" s="1">
        <v>113.3</v>
      </c>
      <c r="BF25" s="1">
        <v>119.4</v>
      </c>
      <c r="BG25" s="1">
        <v>-6</v>
      </c>
      <c r="BH25" s="1" t="s">
        <v>1155</v>
      </c>
      <c r="BI25" s="1" t="s">
        <v>1166</v>
      </c>
      <c r="BJ25" s="1" t="s">
        <v>1119</v>
      </c>
      <c r="BK25" s="1" t="s">
        <v>410</v>
      </c>
      <c r="BL25" s="1" t="s">
        <v>993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1167</v>
      </c>
      <c r="BR25" s="1" t="s">
        <v>924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1168</v>
      </c>
      <c r="CC25" s="1" t="s">
        <v>947</v>
      </c>
    </row>
    <row r="26" spans="1:81" x14ac:dyDescent="0.25">
      <c r="A26" s="1" t="s">
        <v>145</v>
      </c>
      <c r="B26" s="1" t="s">
        <v>760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1091</v>
      </c>
      <c r="H26" s="1">
        <v>13</v>
      </c>
      <c r="I26" s="1" t="s">
        <v>1048</v>
      </c>
      <c r="J26" s="1" t="s">
        <v>231</v>
      </c>
      <c r="K26" s="1" t="s">
        <v>856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1140</v>
      </c>
      <c r="R26" s="1" t="s">
        <v>929</v>
      </c>
      <c r="S26" s="1" t="s">
        <v>1050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1169</v>
      </c>
      <c r="Z26" s="1">
        <v>-8</v>
      </c>
      <c r="AA26" s="1" t="s">
        <v>1109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1170</v>
      </c>
      <c r="AT26" s="1" t="s">
        <v>1171</v>
      </c>
      <c r="AU26" s="1" t="s">
        <v>190</v>
      </c>
      <c r="AV26" s="1" t="s">
        <v>1172</v>
      </c>
      <c r="AW26" s="1" t="s">
        <v>1173</v>
      </c>
      <c r="AX26" s="1" t="s">
        <v>186</v>
      </c>
      <c r="AY26" s="1" t="s">
        <v>1174</v>
      </c>
      <c r="AZ26" s="1" t="s">
        <v>1175</v>
      </c>
      <c r="BA26" s="1" t="s">
        <v>1176</v>
      </c>
      <c r="BB26" s="1" t="s">
        <v>1177</v>
      </c>
      <c r="BC26" s="1" t="s">
        <v>1178</v>
      </c>
      <c r="BD26" s="1" t="s">
        <v>1179</v>
      </c>
      <c r="BE26" s="1">
        <v>115.4</v>
      </c>
      <c r="BF26" s="1">
        <v>116.8</v>
      </c>
      <c r="BG26" s="1">
        <v>-1.3</v>
      </c>
      <c r="BH26" s="1" t="s">
        <v>1059</v>
      </c>
      <c r="BI26" s="1" t="s">
        <v>398</v>
      </c>
      <c r="BJ26" s="1" t="s">
        <v>276</v>
      </c>
      <c r="BK26" s="1" t="s">
        <v>393</v>
      </c>
      <c r="BL26" s="1" t="s">
        <v>1091</v>
      </c>
      <c r="BM26" s="1" t="s">
        <v>1044</v>
      </c>
      <c r="BN26" s="1" t="s">
        <v>908</v>
      </c>
      <c r="BO26" s="1" t="s">
        <v>868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960</v>
      </c>
      <c r="CA26" s="1" t="s">
        <v>337</v>
      </c>
      <c r="CB26" s="1" t="s">
        <v>1180</v>
      </c>
      <c r="CC26" s="1" t="s">
        <v>1181</v>
      </c>
    </row>
    <row r="27" spans="1:81" x14ac:dyDescent="0.25">
      <c r="A27" s="1" t="s">
        <v>145</v>
      </c>
      <c r="B27" s="1" t="s">
        <v>760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1155</v>
      </c>
      <c r="H27" s="1">
        <v>13</v>
      </c>
      <c r="I27" s="1" t="s">
        <v>1048</v>
      </c>
      <c r="J27" s="1" t="s">
        <v>181</v>
      </c>
      <c r="K27" s="1" t="s">
        <v>1182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1183</v>
      </c>
      <c r="R27" s="1" t="s">
        <v>1052</v>
      </c>
      <c r="S27" s="1" t="s">
        <v>1184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856</v>
      </c>
      <c r="Y27" s="1" t="s">
        <v>1185</v>
      </c>
      <c r="Z27" s="1">
        <v>-11</v>
      </c>
      <c r="AA27" s="1" t="s">
        <v>1186</v>
      </c>
      <c r="AB27" s="1">
        <v>-9</v>
      </c>
      <c r="AC27" s="1" t="s">
        <v>1128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1187</v>
      </c>
      <c r="AT27" s="1" t="s">
        <v>1188</v>
      </c>
      <c r="AU27" s="1" t="s">
        <v>158</v>
      </c>
      <c r="AV27" s="1" t="s">
        <v>1189</v>
      </c>
      <c r="AW27" s="1" t="s">
        <v>1190</v>
      </c>
      <c r="AX27" s="1" t="s">
        <v>164</v>
      </c>
      <c r="AY27" s="1" t="s">
        <v>1191</v>
      </c>
      <c r="AZ27" s="1" t="s">
        <v>1192</v>
      </c>
      <c r="BA27" s="1" t="s">
        <v>1193</v>
      </c>
      <c r="BB27" s="1" t="s">
        <v>1194</v>
      </c>
      <c r="BC27" s="1" t="s">
        <v>872</v>
      </c>
      <c r="BD27" s="1" t="s">
        <v>1195</v>
      </c>
      <c r="BE27" s="1">
        <v>104.9</v>
      </c>
      <c r="BF27" s="1">
        <v>113.4</v>
      </c>
      <c r="BG27" s="1">
        <v>-8.4</v>
      </c>
      <c r="BH27" s="1" t="s">
        <v>1155</v>
      </c>
      <c r="BI27" s="1" t="s">
        <v>1166</v>
      </c>
      <c r="BJ27" s="1" t="s">
        <v>402</v>
      </c>
      <c r="BK27" s="1" t="s">
        <v>942</v>
      </c>
      <c r="BL27" s="1" t="s">
        <v>1196</v>
      </c>
      <c r="BM27" s="1" t="s">
        <v>1089</v>
      </c>
      <c r="BN27" s="1" t="s">
        <v>393</v>
      </c>
      <c r="BO27" s="1" t="s">
        <v>398</v>
      </c>
      <c r="BP27" s="1" t="s">
        <v>1197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1198</v>
      </c>
      <c r="BZ27" s="1" t="s">
        <v>1199</v>
      </c>
      <c r="CA27" s="1" t="s">
        <v>363</v>
      </c>
      <c r="CB27" s="1" t="s">
        <v>1200</v>
      </c>
      <c r="CC27" s="1" t="s">
        <v>1123</v>
      </c>
    </row>
    <row r="28" spans="1:81" x14ac:dyDescent="0.25">
      <c r="A28" s="1" t="s">
        <v>145</v>
      </c>
      <c r="B28" s="1" t="s">
        <v>760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1201</v>
      </c>
      <c r="H28" s="1">
        <v>14</v>
      </c>
      <c r="I28" s="1" t="s">
        <v>1048</v>
      </c>
      <c r="J28" s="1" t="s">
        <v>181</v>
      </c>
      <c r="K28" s="1" t="s">
        <v>1062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1202</v>
      </c>
      <c r="R28" s="1" t="s">
        <v>1184</v>
      </c>
      <c r="S28" s="1" t="s">
        <v>1203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1204</v>
      </c>
      <c r="Z28" s="1">
        <v>-9</v>
      </c>
      <c r="AA28" s="1" t="s">
        <v>1128</v>
      </c>
      <c r="AB28" s="1">
        <v>-11</v>
      </c>
      <c r="AC28" s="1" t="s">
        <v>1186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1186</v>
      </c>
      <c r="AJ28" s="1">
        <v>-10</v>
      </c>
      <c r="AK28" s="1" t="s">
        <v>931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853</v>
      </c>
      <c r="AT28" s="1" t="s">
        <v>1205</v>
      </c>
      <c r="AU28" s="1" t="s">
        <v>304</v>
      </c>
      <c r="AV28" s="1" t="s">
        <v>1206</v>
      </c>
      <c r="AW28" s="1" t="s">
        <v>1207</v>
      </c>
      <c r="AX28" s="1" t="s">
        <v>208</v>
      </c>
      <c r="AY28" s="1" t="s">
        <v>1135</v>
      </c>
      <c r="AZ28" s="1" t="s">
        <v>1208</v>
      </c>
      <c r="BA28" s="1" t="s">
        <v>1209</v>
      </c>
      <c r="BB28" s="1" t="s">
        <v>1210</v>
      </c>
      <c r="BC28" s="1" t="s">
        <v>1093</v>
      </c>
      <c r="BD28" s="1" t="s">
        <v>1211</v>
      </c>
      <c r="BE28" s="1">
        <v>104.5</v>
      </c>
      <c r="BF28" s="1">
        <v>114.1</v>
      </c>
      <c r="BG28" s="1">
        <v>-9.6</v>
      </c>
      <c r="BH28" s="1" t="s">
        <v>1201</v>
      </c>
      <c r="BI28" s="1" t="s">
        <v>1119</v>
      </c>
      <c r="BJ28" s="1" t="s">
        <v>1074</v>
      </c>
      <c r="BK28" s="1" t="s">
        <v>1212</v>
      </c>
      <c r="BL28" s="1" t="s">
        <v>1213</v>
      </c>
      <c r="BM28" s="1" t="s">
        <v>1214</v>
      </c>
      <c r="BN28" s="1" t="s">
        <v>393</v>
      </c>
      <c r="BO28" s="1" t="s">
        <v>393</v>
      </c>
      <c r="BP28" s="1" t="s">
        <v>1199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1121</v>
      </c>
      <c r="BZ28" s="1" t="s">
        <v>407</v>
      </c>
      <c r="CA28" s="1" t="s">
        <v>1074</v>
      </c>
      <c r="CB28" s="1" t="s">
        <v>1215</v>
      </c>
      <c r="CC28" s="1" t="s">
        <v>1216</v>
      </c>
    </row>
    <row r="29" spans="1:81" x14ac:dyDescent="0.25">
      <c r="A29" s="1" t="s">
        <v>145</v>
      </c>
      <c r="B29" s="1" t="s">
        <v>760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1217</v>
      </c>
      <c r="H29" s="1">
        <v>14</v>
      </c>
      <c r="I29" s="1" t="s">
        <v>1048</v>
      </c>
      <c r="J29" s="1" t="s">
        <v>231</v>
      </c>
      <c r="K29" s="1" t="s">
        <v>1062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1140</v>
      </c>
      <c r="R29" s="1" t="s">
        <v>1063</v>
      </c>
      <c r="S29" s="1" t="s">
        <v>1052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1218</v>
      </c>
      <c r="Z29" s="1">
        <v>11</v>
      </c>
      <c r="AA29" s="1" t="s">
        <v>768</v>
      </c>
      <c r="AB29" s="1">
        <v>-9</v>
      </c>
      <c r="AC29" s="1" t="s">
        <v>1128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1219</v>
      </c>
      <c r="AT29" s="1" t="s">
        <v>1082</v>
      </c>
      <c r="AU29" s="1" t="s">
        <v>260</v>
      </c>
      <c r="AV29" s="1" t="s">
        <v>1056</v>
      </c>
      <c r="AW29" s="1" t="s">
        <v>1220</v>
      </c>
      <c r="AX29" s="1" t="s">
        <v>186</v>
      </c>
      <c r="AY29" s="1" t="s">
        <v>1221</v>
      </c>
      <c r="AZ29" s="1" t="s">
        <v>1222</v>
      </c>
      <c r="BA29" s="1" t="s">
        <v>1223</v>
      </c>
      <c r="BB29" s="1" t="s">
        <v>1224</v>
      </c>
      <c r="BC29" s="1" t="s">
        <v>1137</v>
      </c>
      <c r="BD29" s="1" t="s">
        <v>1225</v>
      </c>
      <c r="BE29" s="1">
        <v>108.9</v>
      </c>
      <c r="BF29" s="1">
        <v>110.1</v>
      </c>
      <c r="BG29" s="1">
        <v>-1.3</v>
      </c>
      <c r="BH29" s="1" t="s">
        <v>944</v>
      </c>
      <c r="BI29" s="1" t="s">
        <v>323</v>
      </c>
      <c r="BJ29" s="1" t="s">
        <v>266</v>
      </c>
      <c r="BK29" s="1" t="s">
        <v>276</v>
      </c>
      <c r="BL29" s="1" t="s">
        <v>1217</v>
      </c>
      <c r="BM29" s="1" t="s">
        <v>908</v>
      </c>
      <c r="BN29" s="1" t="s">
        <v>1119</v>
      </c>
      <c r="BO29" s="1" t="s">
        <v>1074</v>
      </c>
      <c r="BP29" s="1" t="s">
        <v>337</v>
      </c>
      <c r="BQ29" s="1" t="s">
        <v>323</v>
      </c>
      <c r="BR29" s="1" t="s">
        <v>1199</v>
      </c>
      <c r="BS29" s="1" t="s">
        <v>239</v>
      </c>
      <c r="BT29" s="1"/>
      <c r="BU29" s="1"/>
      <c r="BV29" s="1"/>
      <c r="BW29" s="1"/>
      <c r="BX29" s="1"/>
      <c r="BY29" s="1" t="s">
        <v>1198</v>
      </c>
      <c r="BZ29" s="1" t="s">
        <v>851</v>
      </c>
      <c r="CA29" s="1" t="s">
        <v>960</v>
      </c>
      <c r="CB29" s="1" t="s">
        <v>1226</v>
      </c>
      <c r="CC29" s="1" t="s">
        <v>1227</v>
      </c>
    </row>
    <row r="30" spans="1:81" x14ac:dyDescent="0.25">
      <c r="A30" s="1" t="s">
        <v>145</v>
      </c>
      <c r="B30" s="1" t="s">
        <v>760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1228</v>
      </c>
      <c r="H30" s="1">
        <v>15</v>
      </c>
      <c r="I30" s="1" t="s">
        <v>1048</v>
      </c>
      <c r="J30" s="1" t="s">
        <v>203</v>
      </c>
      <c r="K30" s="1" t="s">
        <v>1229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1230</v>
      </c>
      <c r="R30" s="1" t="s">
        <v>1052</v>
      </c>
      <c r="S30" s="1" t="s">
        <v>1231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1232</v>
      </c>
      <c r="Z30" s="1">
        <v>-18</v>
      </c>
      <c r="AA30" s="1" t="s">
        <v>1233</v>
      </c>
      <c r="AB30" s="1">
        <v>-9</v>
      </c>
      <c r="AC30" s="1" t="s">
        <v>1128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1234</v>
      </c>
      <c r="AT30" s="1" t="s">
        <v>1235</v>
      </c>
      <c r="AU30" s="1" t="s">
        <v>327</v>
      </c>
      <c r="AV30" s="1" t="s">
        <v>859</v>
      </c>
      <c r="AW30" s="1" t="s">
        <v>1236</v>
      </c>
      <c r="AX30" s="1" t="s">
        <v>327</v>
      </c>
      <c r="AY30" s="1" t="s">
        <v>1237</v>
      </c>
      <c r="AZ30" s="1" t="s">
        <v>1238</v>
      </c>
      <c r="BA30" s="1" t="s">
        <v>1239</v>
      </c>
      <c r="BB30" s="1" t="s">
        <v>1240</v>
      </c>
      <c r="BC30" s="1" t="s">
        <v>1241</v>
      </c>
      <c r="BD30" s="1" t="s">
        <v>1242</v>
      </c>
      <c r="BE30" s="1">
        <v>104.6</v>
      </c>
      <c r="BF30" s="1">
        <v>113.8</v>
      </c>
      <c r="BG30" s="1">
        <v>-9.1999999999999993</v>
      </c>
      <c r="BH30" s="1" t="s">
        <v>1228</v>
      </c>
      <c r="BI30" s="1" t="s">
        <v>1152</v>
      </c>
      <c r="BJ30" s="1" t="s">
        <v>1243</v>
      </c>
      <c r="BK30" s="1" t="s">
        <v>1119</v>
      </c>
      <c r="BL30" s="1" t="s">
        <v>1196</v>
      </c>
      <c r="BM30" s="1" t="s">
        <v>1214</v>
      </c>
      <c r="BN30" s="1" t="s">
        <v>393</v>
      </c>
      <c r="BO30" s="1" t="s">
        <v>323</v>
      </c>
      <c r="BP30" s="1" t="s">
        <v>1244</v>
      </c>
      <c r="BQ30" s="1" t="s">
        <v>1104</v>
      </c>
      <c r="BR30" s="1" t="s">
        <v>1245</v>
      </c>
      <c r="BS30" s="1" t="s">
        <v>239</v>
      </c>
      <c r="BT30" s="1"/>
      <c r="BU30" s="1"/>
      <c r="BV30" s="1"/>
      <c r="BW30" s="1"/>
      <c r="BX30" s="1"/>
      <c r="BY30" s="1" t="s">
        <v>1198</v>
      </c>
      <c r="BZ30" s="1" t="s">
        <v>349</v>
      </c>
      <c r="CA30" s="1" t="s">
        <v>1246</v>
      </c>
      <c r="CB30" s="1" t="s">
        <v>1247</v>
      </c>
      <c r="CC30" s="1" t="s">
        <v>1248</v>
      </c>
    </row>
    <row r="31" spans="1:81" x14ac:dyDescent="0.25">
      <c r="A31" s="1" t="s">
        <v>145</v>
      </c>
      <c r="B31" s="1" t="s">
        <v>760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1228</v>
      </c>
      <c r="H31" s="1">
        <v>15</v>
      </c>
      <c r="I31" s="1" t="s">
        <v>1048</v>
      </c>
      <c r="J31" s="1" t="s">
        <v>152</v>
      </c>
      <c r="K31" s="1" t="s">
        <v>1182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1202</v>
      </c>
      <c r="R31" s="1" t="s">
        <v>1141</v>
      </c>
      <c r="S31" s="1" t="s">
        <v>1249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1220</v>
      </c>
      <c r="Z31" s="1">
        <v>-6</v>
      </c>
      <c r="AA31" s="1" t="s">
        <v>367</v>
      </c>
      <c r="AB31" s="1">
        <v>-13</v>
      </c>
      <c r="AC31" s="1" t="s">
        <v>1250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1251</v>
      </c>
      <c r="AT31" s="1" t="s">
        <v>1252</v>
      </c>
      <c r="AU31" s="1" t="s">
        <v>327</v>
      </c>
      <c r="AV31" s="1" t="s">
        <v>1253</v>
      </c>
      <c r="AW31" s="1" t="s">
        <v>1254</v>
      </c>
      <c r="AX31" s="1" t="s">
        <v>157</v>
      </c>
      <c r="AY31" s="1" t="s">
        <v>1255</v>
      </c>
      <c r="AZ31" s="1" t="s">
        <v>1256</v>
      </c>
      <c r="BA31" s="1" t="s">
        <v>1257</v>
      </c>
      <c r="BB31" s="1" t="s">
        <v>1258</v>
      </c>
      <c r="BC31" s="1" t="s">
        <v>1259</v>
      </c>
      <c r="BD31" s="1" t="s">
        <v>1260</v>
      </c>
      <c r="BE31" s="1">
        <v>107.5</v>
      </c>
      <c r="BF31" s="1">
        <v>116.8</v>
      </c>
      <c r="BG31" s="1">
        <v>-9.3000000000000007</v>
      </c>
      <c r="BH31" s="1" t="s">
        <v>1261</v>
      </c>
      <c r="BI31" s="1" t="s">
        <v>398</v>
      </c>
      <c r="BJ31" s="1" t="s">
        <v>398</v>
      </c>
      <c r="BK31" s="1" t="s">
        <v>393</v>
      </c>
      <c r="BL31" s="1" t="s">
        <v>1228</v>
      </c>
      <c r="BM31" s="1" t="s">
        <v>1262</v>
      </c>
      <c r="BN31" s="1" t="s">
        <v>402</v>
      </c>
      <c r="BO31" s="1" t="s">
        <v>1119</v>
      </c>
      <c r="BP31" s="1" t="s">
        <v>1197</v>
      </c>
      <c r="BQ31" s="1" t="s">
        <v>1263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1121</v>
      </c>
      <c r="BZ31" s="1" t="s">
        <v>1199</v>
      </c>
      <c r="CA31" s="1" t="s">
        <v>386</v>
      </c>
      <c r="CB31" s="1" t="s">
        <v>1264</v>
      </c>
      <c r="CC31" s="1" t="s">
        <v>1265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1266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1267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1268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1269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1270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1271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1272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1273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1274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1275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1276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1277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1278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1279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1276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1280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1279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1281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1279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1282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1275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1274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1268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1283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1279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1284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1285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1269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1286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1287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1288</v>
      </c>
      <c r="T4" s="1">
        <v>23.7</v>
      </c>
      <c r="U4" s="1" t="s">
        <v>1271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1289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1290</v>
      </c>
      <c r="T5" s="1">
        <v>26</v>
      </c>
      <c r="U5" s="1" t="s">
        <v>1271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1291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1292</v>
      </c>
      <c r="T7" s="1">
        <v>25.7</v>
      </c>
      <c r="U7" s="1" t="s">
        <v>1293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1295</v>
      </c>
      <c r="T8" s="1">
        <v>24.5</v>
      </c>
      <c r="U8" s="1" t="s">
        <v>1296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1297</v>
      </c>
      <c r="T9" s="1">
        <v>24.6</v>
      </c>
      <c r="U9" s="1" t="s">
        <v>1271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1269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1298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1271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1299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1300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1301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1302</v>
      </c>
      <c r="T14" s="1">
        <v>24.1</v>
      </c>
      <c r="U14" s="1" t="s">
        <v>1282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1303</v>
      </c>
      <c r="T15" s="1">
        <v>25</v>
      </c>
      <c r="U15" s="1" t="s">
        <v>1273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1304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1269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1298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1274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1305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1290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1306</v>
      </c>
      <c r="T21" s="1">
        <v>25.6</v>
      </c>
      <c r="U21" s="1" t="s">
        <v>1282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1307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1302</v>
      </c>
      <c r="T22" s="1">
        <v>24.9</v>
      </c>
      <c r="U22" s="1" t="s">
        <v>1308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1296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1309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1310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1311</v>
      </c>
      <c r="T26" s="1">
        <v>23.2</v>
      </c>
      <c r="U26" s="1" t="s">
        <v>1312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1313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1314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1315</v>
      </c>
      <c r="T28" s="1">
        <v>24.7</v>
      </c>
      <c r="U28" s="1" t="s">
        <v>1267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1295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1318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1319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1266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1268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1319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1298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1298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1268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1268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1289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1289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1319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1289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1320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1319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1276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1276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1266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1266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1268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1277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2019-11-22T13:53:20Z</dcterms:modified>
</cp:coreProperties>
</file>