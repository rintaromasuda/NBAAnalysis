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A79BD9F9-C15A-4470-B3FF-87A1CCA67DA1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<sst xmlns="http://schemas.openxmlformats.org/spreadsheetml/2006/main" count="5930" uniqueCount="1421">
  <si>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</si>
  <si>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</si>
  <si>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</si>
  <si>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</si>
  <si>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</si>
  <si>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</si>
  <si>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</si>
  <si>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</si>
  <si>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</si>
  <si>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</si>
  <si>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</si>
  <si>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</si>
  <si>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</si>
  <si>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</si>
  <si>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</si>
  <si>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</si>
  <si>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</si>
  <si>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</si>
  <si>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</si>
  <si>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</si>
  <si>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</si>
  <si>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</si>
  <si>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</si>
  <si>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</si>
  <si>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</si>
  <si>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</si>
  <si>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</si>
  <si>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</si>
  <si>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</si>
  <si>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</si>
  <si>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</si>
  <si>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</si>
  <si>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</si>
  <si>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</si>
  <si>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</si>
  <si>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</si>
  <si>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</si>
  <si>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</si>
  <si>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</si>
  <si>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</si>
  <si>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</si>
  <si>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</si>
  <si>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</si>
  <si>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</si>
  <si>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</si>
  <si>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</si>
  <si>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</si>
  <si>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</si>
  <si>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</si>
  <si>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</si>
  <si>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</si>
  <si>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</si>
  <si>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</si>
  <si>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</si>
  <si>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</si>
  <si>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</si>
  <si>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</si>
  <si>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</si>
  <si>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</si>
  <si>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</si>
  <si>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</si>
  <si>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</si>
  <si>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</si>
  <si>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</si>
  <si>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</si>
  <si>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</si>
  <si>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</si>
  <si>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</si>
  <si>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</si>
  <si>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</si>
  <si>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</si>
  <si>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</si>
  <si>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</si>
  <si>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</si>
  <si>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</si>
  <si>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</si>
  <si>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</si>
  <si>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</si>
  <si>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</si>
  <si>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</si>
  <si>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</si>
  <si>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</si>
  <si>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</si>
  <si>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</si>
  <si>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</si>
  <si>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</si>
  <si>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</si>
  <si>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</si>
  <si>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</si>
  <si>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</si>
  <si>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</si>
  <si>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</si>
  <si>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</si>
  <si>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</si>
  <si>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</si>
  <si>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</si>
  <si>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</si>
  <si>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</si>
  <si>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</si>
  <si>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</si>
  <si>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</si>
  <si>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</si>
  <si>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</si>
  <si>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</si>
  <si>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</si>
  <si>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</si>
  <si>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</si>
  <si>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</si>
  <si>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</si>
  <si>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</si>
  <si>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</si>
  <si>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</si>
  <si>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</si>
  <si>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</si>
  <si>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</si>
  <si>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</si>
  <si>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</si>
  <si>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</si>
  <si>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</si>
  <si>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</si>
  <si>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</si>
  <si>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</si>
  <si>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</si>
  <si>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</si>
  <si>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</si>
  <si>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</si>
  <si>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</si>
  <si>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</si>
  <si>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</si>
  <si>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</si>
  <si>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</si>
  <si>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</si>
  <si>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</si>
  <si>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</si>
  <si>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</si>
  <si>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</si>
  <si>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</si>
  <si>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</si>
  <si>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</si>
  <si>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</si>
  <si>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</si>
  <si>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</si>
  <si>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</si>
  <si>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</si>
  <si>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</si>
  <si>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</si>
  <si>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</si>
  <si>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</si>
  <si>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</si>
  <si>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</si>
  <si>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</si>
  <si>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</si>
  <si>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</si>
  <si>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</si>
  <si>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</si>
  <si>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</si>
  <si>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</si>
  <si>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</si>
  <si>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</si>
  <si>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</si>
  <si>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</si>
  <si>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</si>
  <si>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</si>
  <si>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</si>
  <si>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</si>
  <si>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</si>
  <si>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</si>
  <si>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</si>
  <si>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</si>
  <si>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</si>
  <si>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</si>
  <si>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</si>
  <si>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</si>
  <si>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</si>
  <si>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</si>
  <si>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</si>
  <si>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</si>
  <si>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</si>
  <si>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</si>
  <si>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</si>
  <si>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</si>
  <si>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</si>
  <si>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</si>
  <si>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</si>
  <si>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</si>
  <si>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</si>
  <si>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</si>
  <si>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</si>
  <si>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</si>
  <si>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</si>
  <si>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</si>
  <si>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</si>
  <si>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</si>
  <si>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</si>
  <si>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</si>
  <si>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</si>
  <si>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</si>
  <si>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</si>
  <si>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</si>
  <si>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</si>
  <si>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</si>
  <si>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</si>
  <si>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</si>
  <si>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</si>
  <si>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</si>
  <si>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</si>
  <si>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</si>
  <si>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</si>
  <si>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</si>
  <si>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</si>
  <si>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</si>
  <si>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</si>
  <si>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</si>
  <si>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</si>
  <si>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</si>
  <si>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</si>
  <si>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</si>
  <si>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</si>
  <si>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</si>
  <si>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</si>
  <si>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</si>
  <si>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</si>
  <si>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</si>
  <si>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</si>
  <si>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</si>
  <si>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</si>
  <si>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</si>
  <si>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</si>
  <si>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</si>
  <si>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</si>
  <si>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</si>
  <si>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</si>
  <si>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</si>
  <si>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</si>
  <si>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</si>
  <si>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</si>
  <si>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</si>
  <si>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</si>
  <si>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</si>
  <si>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</si>
  <si>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</si>
  <si>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</si>
  <si>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</si>
  <si>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</si>
  <si>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</si>
  <si>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</si>
  <si>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</si>
  <si>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</si>
  <si>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</si>
  <si>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</si>
  <si>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</si>
  <si>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</si>
  <si>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</si>
  <si>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</si>
  <si>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</si>
  <si>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</si>
  <si>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</si>
  <si>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</si>
  <si>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</si>
  <si>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</si>
  <si>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</si>
  <si>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</si>
  <si>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</si>
  <si>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</si>
  <si>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</si>
  <si>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</si>
  <si>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</si>
  <si>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</si>
  <si>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</si>
  <si>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</si>
  <si>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</si>
  <si>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</si>
  <si>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</si>
  <si>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</si>
  <si>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</si>
  <si>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</si>
  <si>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</si>
  <si>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</si>
  <si>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</si>
  <si>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</si>
  <si>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</si>
  <si>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</si>
  <si>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</si>
  <si>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</si>
  <si>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</si>
  <si>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</si>
  <si>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</si>
  <si>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</si>
  <si>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</si>
  <si>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</si>
  <si>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</si>
  <si>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</si>
  <si>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</si>
  <si>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</si>
  <si>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</si>
  <si>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</si>
  <si>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</si>
  <si>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</si>
  <si>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</si>
  <si>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</si>
  <si>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</si>
  <si>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</si>
  <si>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</si>
  <si>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</si>
  <si>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</si>
  <si>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</si>
  <si>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</si>
  <si>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</si>
  <si>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</si>
  <si>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</si>
  <si>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</si>
  <si>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</si>
  <si>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</si>
  <si>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</si>
  <si>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</si>
  <si>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</si>
  <si>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</si>
  <si>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</si>
  <si>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</si>
  <si>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</si>
  <si>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</si>
  <si>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</si>
  <si>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</si>
  <si>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</si>
  <si>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</si>
  <si>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</si>
  <si>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</si>
  <si>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</si>
  <si>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</si>
  <si>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</si>
  <si>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</si>
  <si>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</si>
  <si>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</si>
  <si>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</si>
  <si>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</si>
  <si>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</si>
  <si>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</si>
  <si>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</si>
  <si>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</si>
  <si>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</si>
  <si>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</si>
  <si>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</si>
  <si>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</si>
  <si>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</si>
  <si>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</si>
  <si>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</si>
  <si>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</si>
  <si>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</si>
  <si>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</si>
  <si>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</si>
  <si>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</si>
  <si>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</si>
  <si>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</si>
  <si>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</si>
  <si>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</si>
  <si>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</si>
  <si>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</si>
  <si>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</si>
  <si>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</si>
  <si>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</si>
  <si>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</si>
  <si>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</si>
  <si>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</si>
  <si>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</si>
  <si>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</si>
  <si>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</si>
  <si>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</si>
  <si>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</si>
  <si>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</si>
  <si>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</si>
  <si>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</si>
  <si>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</si>
  <si>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</si>
  <si>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</si>
  <si>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</si>
  <si>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</si>
  <si>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</si>
  <si>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</si>
  <si>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</si>
  <si>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</si>
  <si>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</si>
  <si>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</si>
  <si>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</si>
  <si>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</si>
  <si>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</si>
  <si>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</si>
  <si>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</si>
  <si>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</si>
  <si>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</si>
  <si>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</si>
  <si>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</si>
  <si>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</si>
  <si>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</si>
  <si>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</si>
  <si>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</si>
  <si>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</si>
  <si>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</si>
  <si>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</si>
  <si>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</si>
  <si>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</si>
  <si>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</si>
  <si>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</si>
  <si>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</si>
  <si>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</si>
  <si>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</si>
  <si>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</si>
  <si>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</si>
  <si>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</si>
  <si>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</si>
  <si>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</si>
  <si>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</si>
  <si>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</si>
  <si>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</si>
  <si>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</si>
  <si>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</si>
  <si>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</si>
  <si>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</si>
  <si>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</si>
  <si>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</si>
  <si>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</si>
  <si>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</si>
  <si>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</si>
  <si>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</si>
  <si>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</si>
  <si>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</si>
  <si>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</si>
  <si>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</si>
  <si>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</si>
  <si>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</si>
  <si>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</si>
  <si>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</si>
  <si>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</si>
  <si>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</si>
  <si>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</si>
  <si>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</si>
  <si>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</si>
  <si>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</si>
  <si>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</si>
  <si>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</si>
  <si>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</si>
  <si>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</si>
  <si>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</si>
  <si>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</si>
  <si>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</si>
  <si>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</si>
  <si>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</si>
  <si>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</si>
  <si>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</si>
  <si>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</si>
  <si>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</si>
  <si>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</si>
  <si>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</si>
  <si>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</si>
  <si>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</si>
  <si>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</si>
  <si>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</si>
  <si>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</si>
  <si>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</si>
  <si>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</si>
  <si>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</si>
  <si>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</si>
  <si>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</si>
  <si>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</si>
  <si>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</si>
  <si>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</si>
  <si>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</si>
  <si>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</si>
  <si>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</si>
  <si>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</si>
  <si>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</si>
  <si>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</si>
  <si>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</si>
  <si>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</si>
  <si>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</si>
  <si>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</si>
  <si>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</si>
  <si>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</si>
  <si>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</si>
  <si>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</si>
  <si>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</si>
  <si>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</si>
  <si>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</si>
  <si>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</si>
  <si>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</si>
  <si>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</si>
  <si>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</si>
  <si>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</si>
  <si>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</si>
  <si>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</si>
  <si>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</si>
  <si>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</si>
  <si>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</si>
  <si>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</si>
  <si>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</si>
  <si>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</si>
  <si>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</si>
  <si>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</si>
  <si>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</si>
  <si>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</si>
  <si>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</si>
  <si>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</si>
  <si>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</si>
  <si>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</si>
  <si>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</si>
  <si>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</si>
  <si>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</si>
  <si>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</si>
  <si>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</si>
  <si>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</si>
  <si>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</si>
  <si>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</si>
  <si>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</si>
  <si>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</si>
  <si>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</si>
  <si>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</si>
  <si>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</si>
  <si>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</si>
  <si>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</si>
  <si>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</si>
  <si>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</si>
  <si>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</si>
  <si>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</si>
  <si>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</si>
  <si>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</si>
  <si>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</si>
  <si>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</si>
  <si>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</si>
  <si>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</si>
  <si>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</si>
  <si>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</si>
  <si>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</si>
  <si>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</si>
  <si>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</si>
  <si>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</si>
  <si>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</si>
  <si>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</si>
  <si>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</si>
  <si>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</si>
  <si>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</si>
  <si>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</si>
  <si>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</si>
  <si>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</si>
  <si>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</si>
  <si>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</si>
  <si>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</si>
  <si>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</si>
  <si>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</si>
  <si>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</si>
  <si>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</si>
  <si>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</si>
  <si>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</si>
  <si>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</si>
  <si>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</si>
  <si>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</si>
  <si>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</si>
  <si>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</si>
  <si>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</si>
  <si>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</si>
  <si>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</si>
  <si>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</si>
  <si>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</si>
  <si>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</si>
  <si>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</si>
  <si>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</si>
  <si>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</si>
  <si>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</si>
  <si>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</si>
  <si>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</si>
  <si>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</si>
  <si>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</si>
  <si>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</si>
  <si>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</si>
  <si>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</si>
  <si>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</si>
  <si>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</si>
  <si>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</si>
  <si>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</si>
  <si>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</si>
  <si>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</si>
  <si>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</si>
  <si>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</si>
  <si>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</si>
  <si>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</si>
  <si>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</si>
  <si>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</si>
  <si>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</si>
  <si>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</si>
  <si>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</si>
  <si>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</si>
  <si>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</si>
  <si>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</si>
  <si>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</si>
  <si>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</si>
  <si>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</si>
  <si>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</si>
  <si>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</si>
  <si>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</si>
  <si>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</si>
  <si>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</si>
  <si>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</si>
  <si>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</si>
  <si>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</si>
  <si>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</si>
  <si>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</si>
  <si>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</si>
  <si>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</si>
  <si>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</si>
  <si>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</si>
  <si>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</si>
  <si>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</si>
  <si>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</si>
  <si>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</si>
  <si>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</si>
  <si>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</si>
  <si>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</si>
  <si>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</si>
  <si>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</si>
  <si>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</si>
  <si>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</si>
  <si>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</si>
  <si>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</si>
  <si>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</si>
  <si>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</si>
  <si>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</si>
  <si>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</si>
  <si>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</si>
  <si>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</si>
  <si>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</si>
  <si>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</si>
  <si>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</si>
  <si>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</si>
  <si>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</si>
  <si>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</si>
  <si>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</si>
  <si>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</si>
  <si>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</si>
  <si>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</si>
  <si>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</si>
  <si>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</si>
  <si>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</si>
  <si>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</si>
  <si>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</si>
  <si>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</si>
  <si>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</si>
  <si>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</si>
  <si>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</si>
  <si>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</si>
  <si>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</si>
  <si>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</si>
  <si>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</si>
  <si>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</si>
  <si>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</si>
  <si>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</si>
  <si>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</si>
  <si>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</si>
  <si>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</si>
  <si>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</si>
  <si>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</si>
  <si>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</si>
  <si>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</si>
  <si>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</si>
  <si>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</si>
  <si>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</si>
  <si>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</si>
  <si>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</si>
  <si>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</si>
  <si>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</si>
  <si>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</si>
  <si>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</si>
  <si>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</si>
  <si>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</si>
  <si>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</si>
  <si>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</si>
  <si>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</si>
  <si>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</si>
  <si>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</si>
  <si>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</si>
  <si>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</si>
  <si>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</si>
  <si>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</si>
  <si>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</si>
  <si>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</si>
  <si>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</si>
  <si>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</si>
  <si>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</si>
  <si>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</si>
  <si>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</si>
  <si>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</si>
  <si>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</si>
  <si>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</si>
  <si>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</si>
  <si>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</si>
  <si>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</si>
  <si>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</si>
  <si>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</si>
  <si>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</si>
  <si>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</si>
  <si>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</si>
  <si>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</si>
  <si>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</si>
  <si>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</si>
  <si>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</si>
  <si>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</si>
  <si>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</si>
  <si>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</si>
  <si>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</si>
  <si>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</si>
  <si>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</si>
  <si>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</si>
  <si>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</si>
  <si>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</si>
  <si>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</si>
  <si>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</si>
  <si>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</si>
  <si>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</si>
  <si>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</si>
  <si>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</si>
  <si>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</si>
  <si>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</si>
  <si>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</si>
  <si>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</si>
  <si>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</si>
  <si>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</si>
  <si>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</si>
  <si>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</si>
  <si>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</si>
  <si>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</si>
  <si>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</si>
  <si>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</si>
  <si>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</si>
  <si>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</si>
  <si>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</si>
  <si>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</si>
  <si>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</si>
  <si>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</si>
  <si>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</si>
  <si>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</si>
  <si>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</si>
  <si>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</si>
  <si>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</si>
  <si>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</si>
  <si>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</si>
  <si>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</si>
  <si>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</si>
  <si>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</si>
  <si>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</si>
  <si>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</si>
  <si>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</si>
  <si>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</si>
  <si>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</si>
  <si>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</si>
  <si>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</si>
  <si>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</si>
  <si>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</si>
  <si>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</si>
  <si>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</si>
  <si>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</si>
  <si>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</si>
  <si>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</si>
  <si>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</si>
  <si>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</si>
  <si>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9</t>
  </si>
  <si>
    <t>7</t>
  </si>
  <si>
    <t>8</t>
  </si>
  <si>
    <t>5</t>
  </si>
  <si>
    <t>6</t>
  </si>
  <si>
    <t>6-6</t>
  </si>
  <si>
    <t>F</t>
  </si>
  <si>
    <t>230</t>
  </si>
  <si>
    <t xml:space="preserve"> </t>
  </si>
  <si>
    <t>F-C</t>
  </si>
  <si>
    <t>C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</si>
  <si>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</si>
  <si>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</si>
  <si>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</si>
  <si>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</si>
  <si>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</si>
  <si>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</si>
  <si>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</si>
  <si>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</si>
  <si>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</si>
  <si>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</si>
  <si>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</si>
  <si>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</si>
  <si>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</si>
  <si>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</si>
  <si>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</si>
  <si>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</si>
  <si>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</si>
  <si>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</si>
  <si>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</si>
  <si>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</si>
  <si>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</si>
  <si>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</si>
  <si>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</si>
  <si>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</si>
  <si>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</si>
  <si>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</si>
  <si>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</si>
  <si>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</si>
  <si>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</si>
  <si>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</si>
  <si>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</si>
  <si>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</si>
  <si>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</si>
  <si>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</si>
  <si>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</si>
  <si>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</si>
  <si>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</si>
  <si>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</si>
  <si>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</si>
  <si>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</si>
  <si>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</si>
  <si>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</si>
  <si>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</si>
  <si>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</si>
  <si>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</si>
  <si>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</si>
  <si>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</si>
  <si>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</si>
  <si>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7-0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</si>
  <si>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</si>
  <si>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</si>
  <si>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</si>
  <si>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</si>
  <si>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</si>
  <si>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</si>
  <si>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</si>
  <si>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</si>
  <si>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</si>
  <si>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</si>
  <si>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</si>
  <si>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</si>
  <si>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</si>
  <si>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</si>
  <si>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</si>
  <si>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</si>
  <si>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</si>
  <si>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</si>
  <si>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</si>
  <si>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</si>
  <si>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</si>
  <si>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</si>
  <si>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</si>
  <si>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</si>
  <si>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</si>
  <si>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</si>
  <si>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</si>
  <si>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</si>
  <si>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</si>
  <si>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</si>
  <si>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</si>
  <si>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</si>
  <si>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</si>
  <si>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</si>
  <si>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</si>
  <si>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</si>
  <si>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</si>
  <si>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</si>
  <si>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</si>
  <si>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</si>
  <si>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</si>
  <si>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</si>
  <si>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</si>
  <si>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</si>
  <si>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</si>
  <si>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</si>
  <si>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</si>
  <si>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</si>
  <si>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</si>
  <si>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</si>
  <si>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</si>
  <si>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</si>
  <si>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</si>
  <si>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</si>
  <si>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</si>
  <si>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</si>
  <si>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</si>
  <si>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</si>
  <si>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</si>
  <si>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</si>
  <si>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</si>
  <si>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</si>
  <si>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</si>
  <si>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</si>
  <si>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</si>
  <si>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</si>
  <si>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</si>
  <si>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</si>
  <si>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</si>
  <si>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</si>
  <si>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</si>
  <si>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</si>
  <si>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</si>
  <si>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</si>
  <si>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</si>
  <si>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</si>
  <si>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</si>
  <si>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</si>
  <si>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</si>
  <si>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</si>
  <si>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</si>
  <si>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</si>
  <si>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</si>
  <si>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</si>
  <si>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</si>
  <si>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</si>
  <si>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</si>
  <si>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</si>
  <si>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</si>
  <si>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</si>
  <si>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</si>
  <si>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</si>
  <si>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</si>
  <si>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</si>
  <si>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</si>
  <si>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</si>
  <si>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</si>
  <si>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</si>
  <si>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</si>
  <si>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</si>
  <si>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</si>
  <si>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</si>
  <si>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</si>
  <si>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</si>
  <si>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</si>
  <si>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</si>
  <si>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</si>
  <si>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</si>
  <si>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</si>
  <si>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</si>
  <si>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</si>
  <si>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</si>
  <si>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</si>
  <si>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</si>
  <si>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</si>
  <si>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</si>
  <si>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</si>
  <si>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</si>
  <si>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</si>
  <si>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</si>
  <si>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</si>
  <si>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</si>
  <si>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</si>
  <si>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</si>
  <si>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</si>
  <si>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</si>
  <si>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</si>
  <si>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</si>
  <si>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</si>
  <si>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</si>
  <si>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</si>
  <si>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</si>
  <si>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</si>
  <si>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</si>
  <si>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</si>
  <si>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</si>
  <si>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</si>
  <si>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</si>
  <si>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</si>
  <si>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</si>
  <si>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</si>
  <si>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</si>
  <si>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</si>
  <si>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</si>
  <si>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</si>
  <si>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</si>
  <si>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</si>
  <si>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</si>
  <si>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</si>
  <si>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</si>
  <si>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</si>
  <si>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</si>
  <si>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</si>
  <si>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</si>
  <si>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</si>
  <si>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</si>
  <si>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</si>
  <si>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</si>
  <si>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</si>
  <si>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</si>
  <si>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</si>
  <si>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</si>
  <si>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</si>
  <si>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</si>
  <si>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</si>
  <si>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</si>
  <si>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</si>
  <si>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</si>
  <si>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</si>
  <si>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</si>
  <si>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</si>
  <si>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</si>
  <si>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</si>
  <si>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</si>
  <si>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</si>
  <si>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</si>
  <si>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</si>
  <si>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</si>
  <si>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</si>
  <si>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</si>
  <si>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</si>
  <si>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</si>
  <si>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</si>
  <si>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</si>
  <si>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</si>
  <si>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</si>
  <si>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</si>
  <si>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</si>
  <si>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</si>
  <si>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</si>
  <si>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</si>
  <si>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</si>
  <si>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</si>
  <si>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</si>
  <si>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</si>
  <si>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</si>
  <si>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</si>
  <si>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</si>
  <si>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</si>
  <si>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</si>
  <si>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</si>
  <si>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</si>
  <si>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</si>
  <si>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</si>
  <si>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</si>
  <si>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</si>
  <si>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</si>
  <si>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</si>
  <si>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</si>
  <si>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</si>
  <si>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</si>
  <si>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</si>
  <si>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</si>
  <si>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</si>
  <si>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</si>
  <si>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</si>
  <si>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</si>
  <si>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</si>
  <si>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</si>
  <si>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</si>
  <si>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</si>
  <si>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</si>
  <si>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</si>
  <si>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</si>
  <si>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</si>
  <si>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</si>
  <si>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</si>
  <si>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</si>
  <si>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</si>
  <si>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</si>
  <si>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</si>
  <si>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</si>
  <si>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</si>
  <si>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</si>
  <si>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</si>
  <si>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</si>
  <si>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</si>
  <si>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</si>
  <si>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</si>
  <si>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</si>
  <si>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</si>
  <si>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</si>
  <si>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</si>
  <si>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</si>
  <si>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</si>
  <si>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</si>
  <si>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</si>
  <si>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</si>
  <si>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</si>
  <si>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</si>
  <si>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</si>
  <si>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</si>
  <si>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</si>
  <si>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</si>
  <si>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</si>
  <si>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</si>
  <si>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</si>
  <si>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</si>
  <si>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</si>
  <si>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</si>
  <si>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</si>
  <si>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</si>
  <si>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</si>
  <si>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</si>
  <si>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</si>
  <si>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</si>
  <si>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</si>
  <si>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</si>
  <si>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</si>
  <si>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</si>
  <si>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</si>
  <si>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</si>
  <si>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</si>
  <si>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</si>
  <si>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</si>
  <si>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</si>
  <si>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</si>
  <si>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</si>
  <si>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</si>
  <si>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</si>
  <si>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</si>
  <si>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</si>
  <si>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</si>
  <si>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</si>
  <si>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</si>
  <si>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</si>
  <si>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</si>
  <si>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</si>
  <si>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</si>
  <si>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</si>
  <si>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</si>
  <si>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</si>
  <si>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</si>
  <si>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</si>
  <si>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</si>
  <si>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</si>
  <si>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</si>
  <si>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</si>
  <si>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</si>
  <si>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</si>
  <si>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</si>
  <si>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</si>
  <si>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</si>
  <si>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</si>
  <si>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</si>
  <si>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</si>
  <si>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</si>
  <si>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</si>
  <si>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</si>
  <si>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</si>
  <si>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</si>
  <si>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</si>
  <si>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</si>
  <si>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</si>
  <si>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</si>
  <si>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</si>
  <si>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</si>
  <si>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</si>
  <si>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</si>
  <si>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</si>
  <si>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</si>
  <si>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</si>
  <si>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</si>
  <si>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</si>
  <si>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</si>
  <si>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</si>
  <si>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</si>
  <si>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</si>
  <si>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</si>
  <si>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</si>
  <si>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</si>
  <si>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</si>
  <si>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</si>
  <si>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</si>
  <si>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</si>
  <si>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</si>
  <si>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</si>
  <si>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</si>
  <si>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</si>
  <si>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</si>
  <si>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</si>
  <si>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</si>
  <si>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</si>
  <si>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</si>
  <si>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</si>
  <si>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</si>
  <si>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</si>
  <si>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</si>
  <si>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</si>
  <si>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</si>
  <si>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</si>
  <si>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</si>
  <si>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</si>
  <si>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</si>
  <si>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</si>
  <si>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</si>
  <si>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</si>
  <si>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</si>
  <si>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</si>
  <si>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</si>
  <si>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</si>
  <si>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</si>
  <si>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</si>
  <si>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</si>
  <si>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</si>
  <si>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</si>
  <si>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</si>
  <si>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</si>
  <si>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</si>
  <si>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</si>
  <si>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</si>
  <si>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</si>
  <si>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</si>
  <si>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</si>
  <si>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</si>
  <si>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</si>
  <si>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</si>
  <si>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</si>
  <si>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</si>
  <si>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</si>
  <si>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</si>
  <si>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</si>
  <si>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</si>
  <si>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</si>
  <si>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</si>
  <si>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</si>
  <si>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</si>
  <si>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</si>
  <si>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</si>
  <si>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</si>
  <si>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</si>
  <si>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</si>
  <si>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</si>
  <si>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</si>
  <si>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</si>
  <si>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</si>
  <si>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</si>
  <si>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</si>
  <si>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</si>
  <si>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</si>
  <si>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</si>
  <si>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</si>
  <si>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</si>
  <si>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</si>
  <si>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</si>
  <si>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</si>
  <si>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</si>
  <si>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</si>
  <si>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</si>
  <si>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</si>
  <si>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</si>
  <si>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</si>
  <si>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</si>
  <si>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</si>
  <si>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</si>
  <si>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</si>
  <si>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</si>
  <si>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</si>
  <si>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</si>
  <si>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</si>
  <si>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</si>
  <si>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</si>
  <si>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</si>
  <si>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</si>
  <si>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</si>
  <si>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</si>
  <si>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</si>
  <si>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</si>
  <si>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</si>
  <si>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</si>
  <si>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</si>
  <si>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</si>
  <si>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</si>
  <si>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</si>
  <si>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</si>
  <si>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</si>
  <si>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</si>
  <si>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</si>
  <si>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</si>
  <si>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</si>
  <si>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</si>
  <si>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</si>
  <si>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</si>
  <si>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</si>
  <si>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</si>
  <si>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</si>
  <si>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</si>
  <si>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</si>
  <si>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</si>
  <si>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</si>
  <si>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</si>
  <si>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</si>
  <si>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</si>
  <si>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</si>
  <si>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</si>
  <si>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</si>
  <si>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</si>
  <si>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</si>
  <si>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</si>
  <si>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</si>
  <si>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</si>
  <si>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</si>
  <si>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</si>
  <si>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</si>
  <si>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</si>
  <si>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</si>
  <si>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</si>
  <si>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</si>
  <si>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</si>
  <si>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</si>
  <si>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</si>
  <si>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</si>
  <si>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</si>
  <si>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</si>
  <si>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</si>
  <si>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</si>
  <si>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</si>
  <si>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</si>
  <si>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</si>
  <si>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</si>
  <si>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</si>
  <si>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</si>
  <si>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</si>
  <si>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</si>
  <si>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</si>
  <si>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</si>
  <si>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</si>
  <si>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</si>
  <si>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</si>
  <si>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</si>
  <si>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</si>
  <si>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</si>
  <si>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</si>
  <si>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</si>
  <si>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</si>
  <si>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</si>
  <si>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</si>
  <si>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</si>
  <si>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</si>
  <si>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</si>
  <si>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</si>
  <si>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</si>
  <si>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</si>
  <si>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</si>
  <si>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</si>
  <si>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</si>
  <si>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</si>
  <si>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</si>
  <si>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</si>
  <si>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</si>
  <si>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</si>
  <si>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</si>
  <si>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</si>
  <si>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0</t>
  </si>
  <si>
    <t>200</t>
  </si>
  <si>
    <t>10</t>
  </si>
  <si>
    <t>Kentucky</t>
  </si>
  <si>
    <t>North Carolina</t>
  </si>
  <si>
    <t>190</t>
  </si>
  <si>
    <t>4</t>
  </si>
  <si>
    <t>11</t>
  </si>
  <si>
    <t>255</t>
  </si>
  <si>
    <t>C-F</t>
  </si>
  <si>
    <t>22</t>
  </si>
  <si>
    <t>Kevin Love</t>
  </si>
  <si>
    <t>251</t>
  </si>
  <si>
    <t>SEP 07, 1988</t>
  </si>
  <si>
    <t>UCLA</t>
  </si>
  <si>
    <t>Collin Sexton</t>
  </si>
  <si>
    <t>JAN 04, 1999</t>
  </si>
  <si>
    <t>Alabama</t>
  </si>
  <si>
    <t>Kevin Porter Jr.</t>
  </si>
  <si>
    <t>203</t>
  </si>
  <si>
    <t>MAY 04, 2000</t>
  </si>
  <si>
    <t>USC</t>
  </si>
  <si>
    <t>Jordan Clarkson</t>
  </si>
  <si>
    <t>194</t>
  </si>
  <si>
    <t>JUN 07, 1992</t>
  </si>
  <si>
    <t>Missouri</t>
  </si>
  <si>
    <t>Dylan Windler</t>
  </si>
  <si>
    <t>196</t>
  </si>
  <si>
    <t>SEP 22, 1996</t>
  </si>
  <si>
    <t>Belmont</t>
  </si>
  <si>
    <t>Darius Garland</t>
  </si>
  <si>
    <t>192</t>
  </si>
  <si>
    <t>JAN 26, 2000</t>
  </si>
  <si>
    <t>Vanderbilt</t>
  </si>
  <si>
    <t>Tristan Thompson</t>
  </si>
  <si>
    <t>13</t>
  </si>
  <si>
    <t>254</t>
  </si>
  <si>
    <t>MAR 13, 1991</t>
  </si>
  <si>
    <t>Texas</t>
  </si>
  <si>
    <t>Cedi Osman</t>
  </si>
  <si>
    <t>16</t>
  </si>
  <si>
    <t>APR 08, 1995</t>
  </si>
  <si>
    <t>Matthew Dellavedova</t>
  </si>
  <si>
    <t>18</t>
  </si>
  <si>
    <t>SEP 08, 1990</t>
  </si>
  <si>
    <t>St. Mary's (CA)</t>
  </si>
  <si>
    <t>Brandon Knight</t>
  </si>
  <si>
    <t>20</t>
  </si>
  <si>
    <t>182</t>
  </si>
  <si>
    <t>DEC 02, 1991</t>
  </si>
  <si>
    <t>Tyler Cook</t>
  </si>
  <si>
    <t>21</t>
  </si>
  <si>
    <t>SEP 23, 1997</t>
  </si>
  <si>
    <t>Iowa</t>
  </si>
  <si>
    <t>Larry Nance Jr.</t>
  </si>
  <si>
    <t>245</t>
  </si>
  <si>
    <t>JAN 01, 1993</t>
  </si>
  <si>
    <t>Wyoming</t>
  </si>
  <si>
    <t>Alfonzo McKinnie</t>
  </si>
  <si>
    <t>28</t>
  </si>
  <si>
    <t>215</t>
  </si>
  <si>
    <t>SEP 17, 1992</t>
  </si>
  <si>
    <t>Wisc.-Green Bay</t>
  </si>
  <si>
    <t>John Henson</t>
  </si>
  <si>
    <t>31</t>
  </si>
  <si>
    <t>219</t>
  </si>
  <si>
    <t>DEC 28, 1990</t>
  </si>
  <si>
    <t>Dean Wade</t>
  </si>
  <si>
    <t>32</t>
  </si>
  <si>
    <t>228</t>
  </si>
  <si>
    <t>NOV 20, 1996</t>
  </si>
  <si>
    <t>Kansas State</t>
  </si>
  <si>
    <t>Ante Zizic</t>
  </si>
  <si>
    <t>41</t>
  </si>
  <si>
    <t>266</t>
  </si>
  <si>
    <t>JAN 04, 1997</t>
  </si>
  <si>
    <t>Cavaliers</t>
    <phoneticPr fontId="1"/>
  </si>
  <si>
    <t>4-10</t>
    <phoneticPr fontId="1"/>
  </si>
  <si>
    <t xml:space="preserve">2-8  </t>
    <phoneticPr fontId="1"/>
  </si>
  <si>
    <t xml:space="preserve">2-4  </t>
    <phoneticPr fontId="1"/>
  </si>
  <si>
    <t xml:space="preserve">2-6  </t>
    <phoneticPr fontId="1"/>
  </si>
  <si>
    <t>19-63</t>
    <phoneticPr fontId="1"/>
  </si>
  <si>
    <t xml:space="preserve">0-10 </t>
    <phoneticPr fontId="1"/>
  </si>
  <si>
    <t>13-28</t>
    <phoneticPr fontId="1"/>
  </si>
  <si>
    <t xml:space="preserve">6-35 </t>
    <phoneticPr fontId="1"/>
  </si>
  <si>
    <t>12-46</t>
    <phoneticPr fontId="1"/>
  </si>
  <si>
    <t>7-17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</si>
</sst>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D7C37B-6BEC-4A06-B118-24A707BD6792}" name="TableRoster" displayName="TableRoster" ref="A1:M17" totalsRowShown="0" headerRowDxfId="1074">
  <autoFilter ref="A1:M17" xr:uid="{4719BDB9-92A0-4254-B09D-0D660A5C4B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12C7ADB-8DE7-4C03-8FBF-4C996E6B6E3A}" name="TeamID" dataDxfId="1087"/>
    <tableColumn id="2" xr3:uid="{3182E8F1-37DE-4DC7-A06D-8C44FC99185F}" name="SEASON" dataDxfId="1086"/>
    <tableColumn id="3" xr3:uid="{40A8B0E3-0339-47B0-953B-C488BDA0CD67}" name="LeagueID" dataDxfId="1085"/>
    <tableColumn id="4" xr3:uid="{0806A87D-F3B6-4D52-AD4A-697D6E246744}" name="PLAYER" dataDxfId="1084"/>
    <tableColumn id="5" xr3:uid="{4355CA2E-F23F-4D02-9831-6B0D3D259A99}" name="NUM" dataDxfId="1083"/>
    <tableColumn id="6" xr3:uid="{21EA2550-E935-4F88-BE4A-D044C5FFF478}" name="POSITION" dataDxfId="1082"/>
    <tableColumn id="7" xr3:uid="{8744BA2A-A5ED-40CC-A0EA-DBB1A6C5B9D3}" name="HEIGHT" dataDxfId="1081"/>
    <tableColumn id="8" xr3:uid="{866D918E-A297-4702-BA90-C7C9DAC7CE00}" name="WEIGHT" dataDxfId="1080"/>
    <tableColumn id="9" xr3:uid="{15E51E5C-5F29-43FC-A579-6502FDF49448}" name="BIRTH_DATE" dataDxfId="1079"/>
    <tableColumn id="10" xr3:uid="{C1763E25-82FB-4E29-8104-226F5D425E04}" name="AGE" dataDxfId="1078"/>
    <tableColumn id="11" xr3:uid="{B7C77D4B-C52E-4375-B3A6-1454DF41B985}" name="EXP" dataDxfId="1077"/>
    <tableColumn id="12" xr3:uid="{01AFB699-ED81-46FD-9669-2C3380B72812}" name="SCHOOL" dataDxfId="1076"/>
    <tableColumn id="13" xr3:uid="{E2CC86D3-4809-40EF-B480-3B9D6FB7347E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DF5A85-5866-489C-9407-A51484E794B3}" name="TableStandingsN" displayName="TableStandingsN" ref="A1:CC31" totalsRowShown="0" headerRowDxfId="992">
  <autoFilter ref="A1:CC31" xr:uid="{9CDA83AE-B681-487E-8E9A-2EF86CC985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FDFD7D0-A826-4404-AC0B-3AE4E4C19B15}" name="LeagueID" dataDxfId="1073"/>
    <tableColumn id="2" xr3:uid="{2FEC4DC0-B30B-4333-96D0-CEFA8CEA00CC}" name="SeasonID" dataDxfId="1072"/>
    <tableColumn id="3" xr3:uid="{E0190C65-49FD-44BE-9E4C-BC1D4FEB957F}" name="TeamID" dataDxfId="1071"/>
    <tableColumn id="4" xr3:uid="{3A91A336-CCEB-426F-ACF9-A0AB347F55A1}" name="TeamCity" dataDxfId="1070"/>
    <tableColumn id="5" xr3:uid="{216B4826-5DBB-4D07-ACE9-61EF734E06DD}" name="TeamName" dataDxfId="1069"/>
    <tableColumn id="6" xr3:uid="{D342BCDB-22BD-48D6-A2B3-8701B6D33F2B}" name="Conference" dataDxfId="1068"/>
    <tableColumn id="7" xr3:uid="{9AE0D744-A616-44B1-85FB-75C9DC902758}" name="ConferenceRecord" dataDxfId="1067"/>
    <tableColumn id="8" xr3:uid="{37DC5E80-377A-470C-B427-6A4841F7B159}" name="PlayoffRank" dataDxfId="1066"/>
    <tableColumn id="9" xr3:uid="{FD96EEE9-21AF-414D-8454-AFFDA1C9D1AE}" name="ClinchIndicator" dataDxfId="1065"/>
    <tableColumn id="10" xr3:uid="{44C209DB-63ED-4978-BE7C-F6150BD20C93}" name="Division" dataDxfId="1064"/>
    <tableColumn id="11" xr3:uid="{CE3E76FA-89B7-468C-9563-F958F6F228E6}" name="DivisionRecord" dataDxfId="1063"/>
    <tableColumn id="12" xr3:uid="{22136CD8-9623-48C7-A361-72E3FB72E59B}" name="DivisionRank" dataDxfId="1062"/>
    <tableColumn id="13" xr3:uid="{7843B67D-DDF5-4F0E-84D9-E3E3E543F6B8}" name="WINS" dataDxfId="1061"/>
    <tableColumn id="14" xr3:uid="{B0912D49-6713-4955-A71E-B8ED6CC09631}" name="LOSSES" dataDxfId="1060"/>
    <tableColumn id="15" xr3:uid="{53913B73-3549-4FCB-AB33-74C04BD00531}" name="WinPCT" dataDxfId="1059"/>
    <tableColumn id="16" xr3:uid="{2F820916-CAF7-4D36-93F2-50B6822E9220}" name="LeagueRank" dataDxfId="1058"/>
    <tableColumn id="17" xr3:uid="{1A8BD62A-3EFB-42CF-8867-058704650485}" name="Record" dataDxfId="1057"/>
    <tableColumn id="18" xr3:uid="{6EA24F1A-E8E1-4AFF-BB83-DC699AE97C41}" name="HOME" dataDxfId="1056"/>
    <tableColumn id="19" xr3:uid="{E2B36B47-9A79-404C-966E-2B57CF65BD1F}" name="ROAD" dataDxfId="1055"/>
    <tableColumn id="20" xr3:uid="{A8868273-550F-43F5-BF9F-91AC92994789}" name="L10" dataDxfId="1054"/>
    <tableColumn id="21" xr3:uid="{549E8909-6A5A-4DEE-9907-BC690741173A}" name="Last10Home" dataDxfId="1053"/>
    <tableColumn id="22" xr3:uid="{3CF25028-751C-4E3C-927A-F0DA1C6D38A4}" name="Last10Road" dataDxfId="1052"/>
    <tableColumn id="23" xr3:uid="{C31B4C44-6014-4CF7-A7C2-278F06A126B5}" name="OT" dataDxfId="1051"/>
    <tableColumn id="24" xr3:uid="{13BEC9A7-97EE-42AD-9B0F-0F98C035F3B8}" name="ThreePTSOrLess" dataDxfId="1050"/>
    <tableColumn id="25" xr3:uid="{5BFBB018-D043-4125-8791-8FBBEEF32D8C}" name="TenPTSOrMore" dataDxfId="1049"/>
    <tableColumn id="26" xr3:uid="{6EBACA90-47B3-41E1-95A1-B5E850681F7A}" name="LongHomeStreak" dataDxfId="1048"/>
    <tableColumn id="27" xr3:uid="{E637E4D4-F967-4B90-9DE5-59FE9AAE6A03}" name="strLongHomeStreak" dataDxfId="1047"/>
    <tableColumn id="28" xr3:uid="{87564260-A578-4E93-94AB-BB3CB05E2677}" name="LongRoadStreak" dataDxfId="1046"/>
    <tableColumn id="29" xr3:uid="{F3630B2E-A81C-4226-AD4F-7123078AF563}" name="strLongRoadStreak" dataDxfId="1045"/>
    <tableColumn id="30" xr3:uid="{29D098AC-0A6B-4914-B474-66B92A15F3B5}" name="LongWinStreak" dataDxfId="1044"/>
    <tableColumn id="31" xr3:uid="{33853983-BB98-4B0A-A5F1-5C585B52EEE6}" name="LongLossStreak" dataDxfId="1043"/>
    <tableColumn id="32" xr3:uid="{4DB2557C-CEB2-4585-8FE5-B395DD2C307F}" name="CurrentHomeStreak" dataDxfId="1042"/>
    <tableColumn id="33" xr3:uid="{D5077FEB-2CA4-4356-8090-244E5F3F2857}" name="strCurrentHomeStreak" dataDxfId="1041"/>
    <tableColumn id="34" xr3:uid="{29A69ACE-0F16-4D27-8202-695224690CFC}" name="CurrentRoadStreak" dataDxfId="1040"/>
    <tableColumn id="35" xr3:uid="{42DA0167-142D-4502-A2B4-E1BCE3517261}" name="strCurrentRoadStreak" dataDxfId="1039"/>
    <tableColumn id="36" xr3:uid="{AA40C172-7603-4CBF-831E-F0A5A0B5139B}" name="CurrentStreak" dataDxfId="1038"/>
    <tableColumn id="37" xr3:uid="{5442E94A-4D54-4022-931B-9C9A674EFECA}" name="strCurrentStreak" dataDxfId="1037"/>
    <tableColumn id="38" xr3:uid="{722F2B94-C90F-44BB-96B5-D37ACEA514EE}" name="ConferenceGamesBack" dataDxfId="1036"/>
    <tableColumn id="39" xr3:uid="{F35EFCE5-8D12-431D-BD90-88A19449A90C}" name="DivisionGamesBack" dataDxfId="1035"/>
    <tableColumn id="40" xr3:uid="{B559417A-380C-4767-A42A-7A487AFDDB60}" name="ClinchedConferenceTitle" dataDxfId="1034"/>
    <tableColumn id="41" xr3:uid="{0DC3BC2B-9704-4146-9951-C4530CC0ED35}" name="ClinchedDivisionTitle" dataDxfId="1033"/>
    <tableColumn id="42" xr3:uid="{ED7060CA-139E-4F1E-8610-97A539E34A74}" name="ClinchedPlayoffBirth" dataDxfId="1032"/>
    <tableColumn id="43" xr3:uid="{4B1105BB-4923-460E-8429-F5C8DA12A970}" name="EliminatedConference" dataDxfId="1031"/>
    <tableColumn id="44" xr3:uid="{457AA65A-C866-453D-9F08-702533F91CA2}" name="EliminatedDivision" dataDxfId="1030"/>
    <tableColumn id="45" xr3:uid="{EA996034-276D-4F65-AE32-F4FE55EAAF14}" name="AheadAtHalf" dataDxfId="1029"/>
    <tableColumn id="46" xr3:uid="{307FF798-A450-4323-9A25-F5A23A621BFB}" name="BehindAtHalf" dataDxfId="1028"/>
    <tableColumn id="47" xr3:uid="{1F760991-02DC-4D23-A769-EA0C2258C54D}" name="TiedAtHalf" dataDxfId="1027"/>
    <tableColumn id="48" xr3:uid="{D50B8F33-5A3E-498A-9045-CAF9EA28A520}" name="AheadAtThird" dataDxfId="1026"/>
    <tableColumn id="49" xr3:uid="{B598E2E0-3095-4319-AA6A-57CE2BA44916}" name="BehindAtThird" dataDxfId="1025"/>
    <tableColumn id="50" xr3:uid="{9B2F3F15-FAE1-4BE4-A40B-ADC06CB37930}" name="TiedAtThird" dataDxfId="1024"/>
    <tableColumn id="51" xr3:uid="{E6EC0090-FEAA-40EC-BD05-B672674984EB}" name="Score100PTS" dataDxfId="1023"/>
    <tableColumn id="52" xr3:uid="{EE7A5B84-B227-45C0-896D-5D959F6E7F33}" name="OppScore100PTS" dataDxfId="1022"/>
    <tableColumn id="53" xr3:uid="{27E03BB1-F60C-4E1B-84F9-122470C1EF80}" name="OppOver500" dataDxfId="1021"/>
    <tableColumn id="54" xr3:uid="{0A887357-86EA-4CE6-A139-9ED7E9FB6225}" name="LeadInFGPCT" dataDxfId="1020"/>
    <tableColumn id="55" xr3:uid="{C49286CA-498C-46C0-A40E-81C845ACC2E1}" name="LeadInReb" dataDxfId="1019"/>
    <tableColumn id="56" xr3:uid="{591DE147-D61F-4925-9E8F-306D3FAD2315}" name="FewerTurnovers" dataDxfId="1018"/>
    <tableColumn id="57" xr3:uid="{7BDE5B17-83CA-43FC-9673-F6443C31FD94}" name="PointsPG" dataDxfId="1017"/>
    <tableColumn id="58" xr3:uid="{869E2ACA-747D-4685-9AD6-BFFF3772A554}" name="OppPointsPG" dataDxfId="1016"/>
    <tableColumn id="59" xr3:uid="{DEA11933-F627-4A7E-9148-8CC6BB592B70}" name="DiffPointsPG" dataDxfId="1015"/>
    <tableColumn id="60" xr3:uid="{706859E1-3CBE-4E49-923B-AAD9CB4B9219}" name="vsEast" dataDxfId="1014"/>
    <tableColumn id="61" xr3:uid="{9108E52F-297F-4791-954D-56F9E327F4B6}" name="vsAtlantic" dataDxfId="1013"/>
    <tableColumn id="62" xr3:uid="{5BD5D924-1D25-4AB1-8B07-AA61E237DA7B}" name="vsCentral" dataDxfId="1012"/>
    <tableColumn id="63" xr3:uid="{1185A777-B68B-47E4-9B3E-4EDC0E297A2C}" name="vsSoutheast" dataDxfId="1011"/>
    <tableColumn id="64" xr3:uid="{A8749234-955A-445B-BF7E-D97D28F9498F}" name="vsWest" dataDxfId="1010"/>
    <tableColumn id="65" xr3:uid="{45A2C35C-DAE7-4F93-BDCF-33DF6F781743}" name="vsNorthwest" dataDxfId="1009"/>
    <tableColumn id="66" xr3:uid="{2B02F298-10F6-4AF9-A143-E89E9EBD9657}" name="vsPacific" dataDxfId="1008"/>
    <tableColumn id="67" xr3:uid="{E5F49C59-956B-4F0B-83C2-73BCB92886F7}" name="vsSouthwest" dataDxfId="1007"/>
    <tableColumn id="68" xr3:uid="{DD63029E-A653-456F-BEDF-45E4B66C59F0}" name="Jan" dataDxfId="1006"/>
    <tableColumn id="69" xr3:uid="{1ABD3B78-6E57-4C2E-97DD-9DDD91595250}" name="Feb" dataDxfId="1005"/>
    <tableColumn id="70" xr3:uid="{6508009B-4A68-4193-A1AC-6E44C7918446}" name="Mar" dataDxfId="1004"/>
    <tableColumn id="71" xr3:uid="{43619E82-4D2D-412D-B1BC-7F255AE53A8F}" name="Apr" dataDxfId="1003"/>
    <tableColumn id="72" xr3:uid="{8E5F7B23-CE58-4653-84A5-40A17F350E2D}" name="May" dataDxfId="1002"/>
    <tableColumn id="73" xr3:uid="{E15EAF0F-8A7E-43CB-9312-A38E3383EFC0}" name="Jun" dataDxfId="1001"/>
    <tableColumn id="74" xr3:uid="{BEDE21F0-4988-49CC-B11F-71AE53B74EC3}" name="Jul" dataDxfId="1000"/>
    <tableColumn id="75" xr3:uid="{1C6E430F-22D7-400F-B8E4-C4537074925D}" name="Aug" dataDxfId="999"/>
    <tableColumn id="76" xr3:uid="{09820B5D-365D-4B1A-81F2-2A5C88EBBA45}" name="Sep" dataDxfId="998"/>
    <tableColumn id="77" xr3:uid="{BD96027C-99D7-464E-ABC8-9C915DA3F9BE}" name="Oct" dataDxfId="997"/>
    <tableColumn id="78" xr3:uid="{9451BF46-2AE9-4A39-81D4-0189BBE7E509}" name="Nov" dataDxfId="996"/>
    <tableColumn id="79" xr3:uid="{194D2F1B-6D8B-4D75-956E-F5E6BFF6CE83}" name="Dec" dataDxfId="995"/>
    <tableColumn id="80" xr3:uid="{42AFA6BA-B52D-4A0B-AC44-8BDCFEC1AD7D}" name="PreAS" dataDxfId="994"/>
    <tableColumn id="81" xr3:uid="{326C506F-5766-4159-AF59-2A32CC98C7A4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2E32CAF-256C-4841-9AC9-81A176C5CD4A}" name="TableBaseN" displayName="TableBaseN" ref="A1:BD31" totalsRowShown="0" headerRowDxfId="853">
  <autoFilter ref="A1:BD31" xr:uid="{45DD6620-3B13-4CF7-8A84-370264BF82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0E3D61A-CAB4-4FBA-9168-EA69176BA3C9}" name="TEAM_ID" dataDxfId="909"/>
    <tableColumn id="2" xr3:uid="{579AEB8A-EB5C-47F8-AAE4-450336CF6408}" name="TEAM_NAME" dataDxfId="908"/>
    <tableColumn id="3" xr3:uid="{D662CAB5-DCA6-4904-B96E-45FA8A9C4DC3}" name="GP" dataDxfId="907"/>
    <tableColumn id="4" xr3:uid="{6D7948EE-1F9A-4979-93B3-715D77BAF953}" name="W" dataDxfId="906"/>
    <tableColumn id="5" xr3:uid="{92ACF63F-0D47-4843-86F3-E865D70F28FC}" name="L" dataDxfId="905"/>
    <tableColumn id="6" xr3:uid="{0C930760-6214-4EB7-946D-4601F156E553}" name="W_PCT" dataDxfId="904"/>
    <tableColumn id="7" xr3:uid="{28BAE22D-FD7C-464D-B9CC-2DCFC7BD646D}" name="MIN" dataDxfId="903"/>
    <tableColumn id="8" xr3:uid="{6E893AA4-FCD5-4A47-8829-0D357F2C84CD}" name="FGM" dataDxfId="902"/>
    <tableColumn id="9" xr3:uid="{F430D74E-D444-4BE1-87A7-766A0270D7B8}" name="FGA" dataDxfId="901"/>
    <tableColumn id="10" xr3:uid="{50C18FD4-A7BA-4047-A90B-5FEE95DE3BD6}" name="FG_PCT" dataDxfId="900"/>
    <tableColumn id="11" xr3:uid="{49ECAEBD-DB4E-4DD9-A133-F4C999898112}" name="FG3M" dataDxfId="899"/>
    <tableColumn id="12" xr3:uid="{5AD9373B-FBAF-48D4-9C17-48550278C381}" name="FG3A" dataDxfId="898"/>
    <tableColumn id="13" xr3:uid="{C8AB0E49-C41E-4FD2-B7E6-D815CB812239}" name="FG3_PCT" dataDxfId="897"/>
    <tableColumn id="14" xr3:uid="{E66D716B-10D8-4B52-92E0-22BFE0F7D37D}" name="FTM" dataDxfId="896"/>
    <tableColumn id="15" xr3:uid="{5E11A9BA-8FF8-4D07-BAB6-953F034D4CE5}" name="FTA" dataDxfId="895"/>
    <tableColumn id="16" xr3:uid="{0EF525A4-D446-442C-998C-99F7703213A4}" name="FT_PCT" dataDxfId="894"/>
    <tableColumn id="17" xr3:uid="{CB78FB4B-88C7-4F2B-A366-4B93DAC57433}" name="OREB" dataDxfId="893"/>
    <tableColumn id="18" xr3:uid="{07C176F4-C861-47EC-864B-215CE3BA5FA0}" name="DREB" dataDxfId="892"/>
    <tableColumn id="19" xr3:uid="{65D21EE7-41FC-4E0F-B5EB-DADB7855A699}" name="REB" dataDxfId="891"/>
    <tableColumn id="20" xr3:uid="{4DE47251-1295-44B1-9E5A-45EC3F8390C7}" name="AST" dataDxfId="890"/>
    <tableColumn id="21" xr3:uid="{2E5A6343-355D-424F-B317-D889A703525D}" name="TOV" dataDxfId="889"/>
    <tableColumn id="22" xr3:uid="{EDB80E18-D2D3-48D1-86FD-21C662A95C35}" name="STL" dataDxfId="888"/>
    <tableColumn id="23" xr3:uid="{6A972C6F-9923-4196-A7DD-8BF6C9E86110}" name="BLK" dataDxfId="887"/>
    <tableColumn id="24" xr3:uid="{7D118F48-45A8-49D0-B87D-BADC7EE4B7D3}" name="BLKA" dataDxfId="886"/>
    <tableColumn id="25" xr3:uid="{E8718889-0A8C-4E82-91B5-AA31166874F2}" name="PF" dataDxfId="885"/>
    <tableColumn id="26" xr3:uid="{615CA3B9-30A8-417D-84D8-BF86754AF497}" name="PFD" dataDxfId="884"/>
    <tableColumn id="27" xr3:uid="{F6E4E82D-019F-4FA9-BB2F-8FBB956587F3}" name="PTS" dataDxfId="883"/>
    <tableColumn id="28" xr3:uid="{884490B8-FF3F-4662-8A08-B3876C458EB0}" name="PLUS_MINUS" dataDxfId="882"/>
    <tableColumn id="29" xr3:uid="{251EE9AF-F6C9-4594-8297-A67E67317E0C}" name="GP_RANK" dataDxfId="881"/>
    <tableColumn id="30" xr3:uid="{F2608B1B-C76B-4F28-8F81-8D3BBC773191}" name="W_RANK" dataDxfId="880"/>
    <tableColumn id="31" xr3:uid="{3CC90B2E-28B7-4D54-8A20-B8A8E0D8602F}" name="L_RANK" dataDxfId="879"/>
    <tableColumn id="32" xr3:uid="{3914DDF1-192F-4883-86FA-1FAA37F8636E}" name="W_PCT_RANK" dataDxfId="878"/>
    <tableColumn id="33" xr3:uid="{15F0EEE6-8263-4CD4-BAB7-A7EF110E9BD8}" name="MIN_RANK" dataDxfId="877"/>
    <tableColumn id="34" xr3:uid="{CB321369-490F-43F9-B07D-A0FB017F2CED}" name="FGM_RANK" dataDxfId="876"/>
    <tableColumn id="35" xr3:uid="{C9E6413E-E84F-4128-BABD-683201F6F2D6}" name="FGA_RANK" dataDxfId="875"/>
    <tableColumn id="36" xr3:uid="{C750B690-F40A-4D98-8787-A8B2CFB395BF}" name="FG_PCT_RANK" dataDxfId="874"/>
    <tableColumn id="37" xr3:uid="{823469CE-201B-4935-9C89-ABA679E82B0B}" name="FG3M_RANK" dataDxfId="873"/>
    <tableColumn id="38" xr3:uid="{1C57C36F-1D40-4EA2-AB42-BF6D3D742448}" name="FG3A_RANK" dataDxfId="872"/>
    <tableColumn id="39" xr3:uid="{18818796-6B18-4A14-8A5C-5998A75A0849}" name="FG3_PCT_RANK" dataDxfId="871"/>
    <tableColumn id="40" xr3:uid="{E95DCBB2-0566-486F-8901-E810B1EA8EF9}" name="FTM_RANK" dataDxfId="870"/>
    <tableColumn id="41" xr3:uid="{33841E4B-CC65-4A14-9946-19D4E0A5A312}" name="FTA_RANK" dataDxfId="869"/>
    <tableColumn id="42" xr3:uid="{D49536D1-D3A3-4C8F-A4BF-94AF3EC33236}" name="FT_PCT_RANK" dataDxfId="868"/>
    <tableColumn id="43" xr3:uid="{1781417E-587F-47C0-9E2D-221F4318CD61}" name="OREB_RANK" dataDxfId="867"/>
    <tableColumn id="44" xr3:uid="{C381E791-C4C4-4CBF-B775-A881BA0DB1FA}" name="DREB_RANK" dataDxfId="866"/>
    <tableColumn id="45" xr3:uid="{490F50D4-4A63-4665-91F5-431B074C68C8}" name="REB_RANK" dataDxfId="865"/>
    <tableColumn id="46" xr3:uid="{20B52007-17CC-4471-B384-82DC95043A9E}" name="AST_RANK" dataDxfId="864"/>
    <tableColumn id="47" xr3:uid="{8120ED95-FFF2-4B89-AB4A-A1F7A387A1D3}" name="TOV_RANK" dataDxfId="863"/>
    <tableColumn id="48" xr3:uid="{0BBB95E1-DC22-4A0B-8196-309C56DDF874}" name="STL_RANK" dataDxfId="862"/>
    <tableColumn id="49" xr3:uid="{20B0D96C-C376-44BA-8F6F-82BF7A79D2F2}" name="BLK_RANK" dataDxfId="861"/>
    <tableColumn id="50" xr3:uid="{42E1960C-F88C-417F-989D-8F301CD6E009}" name="BLKA_RANK" dataDxfId="860"/>
    <tableColumn id="51" xr3:uid="{261656D1-2CA3-4357-8559-95394A442D49}" name="PF_RANK" dataDxfId="859"/>
    <tableColumn id="52" xr3:uid="{71A7B8C1-1ACA-4539-949C-02D0DA3393ED}" name="PFD_RANK" dataDxfId="858"/>
    <tableColumn id="53" xr3:uid="{DCA509B2-0D06-4CE5-A678-9000A9790DF0}" name="PTS_RANK" dataDxfId="857"/>
    <tableColumn id="54" xr3:uid="{66D5E8D2-DCDE-4524-87B1-CFC79EE7B371}" name="PLUS_MINUS_RANK" dataDxfId="856"/>
    <tableColumn id="55" xr3:uid="{195F00A0-2029-40DD-9052-50BB6EB46711}" name="CFID" dataDxfId="855"/>
    <tableColumn id="56" xr3:uid="{DC58F6EC-FB36-42E3-BD5F-6C63AB4B6F57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EA25-F4D9-409F-A898-7A83197CB918}" name="TableAdvancedN" displayName="TableAdvancedN" ref="A1:AV31" totalsRowShown="0" headerRowDxfId="747">
  <autoFilter ref="A1:AV31" xr:uid="{ABA08245-26D4-4019-A4EB-634A28512D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5C14B79-5F25-407F-8466-3F70867FE597}" name="TEAM_ID" dataDxfId="795"/>
    <tableColumn id="2" xr3:uid="{DCC3DB66-AA3D-4513-B067-51E23F099F5C}" name="TEAM_NAME" dataDxfId="794"/>
    <tableColumn id="3" xr3:uid="{802D62D3-0C78-40E8-A719-E976C2C31FE5}" name="GP" dataDxfId="793"/>
    <tableColumn id="4" xr3:uid="{942F6D7D-63B1-4F82-A036-0E5E2928816B}" name="W" dataDxfId="792"/>
    <tableColumn id="5" xr3:uid="{55C898DD-858E-4A52-B4D6-6EF351444BED}" name="L" dataDxfId="791"/>
    <tableColumn id="6" xr3:uid="{60387779-8D80-40D0-A9D8-32D4F2DAB21D}" name="W_PCT" dataDxfId="790"/>
    <tableColumn id="7" xr3:uid="{30867C08-3DF5-4664-AA5F-4BB3B50D1E46}" name="MIN" dataDxfId="789"/>
    <tableColumn id="8" xr3:uid="{1D724E0E-B439-443A-9E94-20E35F4670B5}" name="E_OFF_RATING" dataDxfId="788"/>
    <tableColumn id="9" xr3:uid="{2DE9ECD8-47BE-4EBE-A2FA-C0CB67DCBC33}" name="OFF_RATING" dataDxfId="787"/>
    <tableColumn id="10" xr3:uid="{80458E90-4948-4893-9598-646C00787689}" name="E_DEF_RATING" dataDxfId="786"/>
    <tableColumn id="11" xr3:uid="{837171AE-3D0B-43C6-8F6E-31334CCB38E6}" name="DEF_RATING" dataDxfId="785"/>
    <tableColumn id="12" xr3:uid="{DD202002-E625-4438-9ECF-AC2919D8C3DD}" name="E_NET_RATING" dataDxfId="784"/>
    <tableColumn id="13" xr3:uid="{F10C18CD-D83D-4C4C-8D3B-EECE58BCD28A}" name="NET_RATING" dataDxfId="783"/>
    <tableColumn id="14" xr3:uid="{1C58D018-056B-47CC-AF0A-893AEB23779F}" name="AST_PCT" dataDxfId="782"/>
    <tableColumn id="15" xr3:uid="{A2850C6E-8420-40EA-952C-21FDC050A4BB}" name="AST_TO" dataDxfId="781"/>
    <tableColumn id="16" xr3:uid="{8EF4973A-42F2-4638-A5D6-9EE255D80E94}" name="AST_RATIO" dataDxfId="780"/>
    <tableColumn id="17" xr3:uid="{759207AC-B1A6-498B-AAF1-42F5BC95E496}" name="OREB_PCT" dataDxfId="779"/>
    <tableColumn id="18" xr3:uid="{6EE026F8-812F-46F0-92E8-610A0FC15C84}" name="DREB_PCT" dataDxfId="778"/>
    <tableColumn id="19" xr3:uid="{B7CE4E53-7DEA-4BFD-BD28-640F9C6F96AD}" name="REB_PCT" dataDxfId="777"/>
    <tableColumn id="20" xr3:uid="{E93879DC-020A-48E4-9EB1-A28F3A5B3CB6}" name="TM_TOV_PCT" dataDxfId="776"/>
    <tableColumn id="21" xr3:uid="{07EAD9AE-76AB-4ECE-9CA2-2D791F98F60E}" name="EFG_PCT" dataDxfId="775"/>
    <tableColumn id="22" xr3:uid="{C946F36E-A6A0-4CDA-988C-4AB0B6319574}" name="TS_PCT" dataDxfId="774"/>
    <tableColumn id="23" xr3:uid="{878A28FE-A34B-489A-AFAC-B743C54747DF}" name="E_PACE" dataDxfId="773"/>
    <tableColumn id="24" xr3:uid="{5F8EA054-526A-44CA-ADBF-6884F2418530}" name="PACE" dataDxfId="772"/>
    <tableColumn id="25" xr3:uid="{E93BAD80-3AFB-4EC1-9D4C-860130880735}" name="PACE_PER40" dataDxfId="771"/>
    <tableColumn id="26" xr3:uid="{EFA5F70E-0B91-4E53-A2D4-0E0CE46BF622}" name="POSS" dataDxfId="770"/>
    <tableColumn id="27" xr3:uid="{7C97FFED-214B-44E1-9FF5-B23211F63ACB}" name="PIE" dataDxfId="769"/>
    <tableColumn id="28" xr3:uid="{908BE414-AAB1-4DDB-8BF8-58DC02EEB70E}" name="GP_RANK" dataDxfId="768"/>
    <tableColumn id="29" xr3:uid="{B423A6BC-6D88-409F-8608-2B05CDFC86EC}" name="W_RANK" dataDxfId="767"/>
    <tableColumn id="30" xr3:uid="{76EF76C3-E989-4990-8672-E3358453A1B9}" name="L_RANK" dataDxfId="766"/>
    <tableColumn id="31" xr3:uid="{CA68AD39-EA5D-478D-97D2-D3CA0F656BC8}" name="W_PCT_RANK" dataDxfId="765"/>
    <tableColumn id="32" xr3:uid="{841DE9A6-D564-4B9E-8F79-9B86DED83F76}" name="MIN_RANK" dataDxfId="764"/>
    <tableColumn id="33" xr3:uid="{9FA55905-146D-49EA-A8BE-FA091050ED61}" name="OFF_RATING_RANK" dataDxfId="763"/>
    <tableColumn id="34" xr3:uid="{4AE9E1B1-FF02-40D2-9618-DD7DFD240F7F}" name="DEF_RATING_RANK" dataDxfId="762"/>
    <tableColumn id="35" xr3:uid="{79A64757-422B-452D-ACC0-6C8E3A1C7475}" name="NET_RATING_RANK" dataDxfId="761"/>
    <tableColumn id="36" xr3:uid="{77613A47-5856-4FE6-A61F-352D279560F0}" name="AST_PCT_RANK" dataDxfId="760"/>
    <tableColumn id="37" xr3:uid="{214B27B9-0411-4A57-B077-89877AEB9ABA}" name="AST_TO_RANK" dataDxfId="759"/>
    <tableColumn id="38" xr3:uid="{CF5878FF-7076-4724-8DA7-29E02D92F31B}" name="AST_RATIO_RANK" dataDxfId="758"/>
    <tableColumn id="39" xr3:uid="{756AFA41-A60A-4072-A9D8-28E8A9B21976}" name="OREB_PCT_RANK" dataDxfId="757"/>
    <tableColumn id="40" xr3:uid="{31438E35-5027-4808-9FFA-DD34D3E0A5B9}" name="DREB_PCT_RANK" dataDxfId="756"/>
    <tableColumn id="41" xr3:uid="{A73FB5E9-6D13-4403-B280-332655230F75}" name="REB_PCT_RANK" dataDxfId="755"/>
    <tableColumn id="42" xr3:uid="{8FEA3A33-FA8F-491F-8BEB-A8B9DD7999F5}" name="TM_TOV_PCT_RANK" dataDxfId="754"/>
    <tableColumn id="43" xr3:uid="{F223C5A7-3E5A-4A13-82D1-8E1859D9E71B}" name="EFG_PCT_RANK" dataDxfId="753"/>
    <tableColumn id="44" xr3:uid="{96A72770-F3AA-4729-A0E0-BD109EE7F4A5}" name="TS_PCT_RANK" dataDxfId="752"/>
    <tableColumn id="45" xr3:uid="{D3A87F26-3564-449A-925A-DA76DD3DF1F1}" name="PACE_RANK" dataDxfId="751"/>
    <tableColumn id="46" xr3:uid="{476A0CEB-729A-42BF-A84D-7911A821B259}" name="PIE_RANK" dataDxfId="750"/>
    <tableColumn id="47" xr3:uid="{5113F1A7-278F-483C-9681-E1591E9CCAF5}" name="CFID" dataDxfId="749"/>
    <tableColumn id="48" xr3:uid="{9B5E47D3-DFD6-4608-84F4-F23B9E4C7528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2BAF1-7C03-4DC3-9EE5-59A8B3536499}" name="TableAdvancedNStarters" displayName="TableAdvancedNStarters" ref="A1:AV31" totalsRowShown="0" headerRowDxfId="649">
  <autoFilter ref="A1:AV31" xr:uid="{F379DB06-4618-45EA-B588-F578551581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AF20C62-D447-459F-95FC-F8268941EF8C}" name="TEAM_ID" dataDxfId="697"/>
    <tableColumn id="2" xr3:uid="{30D62564-3621-4994-A851-87C730F7AEC6}" name="TEAM_NAME" dataDxfId="696"/>
    <tableColumn id="3" xr3:uid="{4FD0EB65-DC03-4FF8-819D-F55537BFBA6D}" name="GP" dataDxfId="695"/>
    <tableColumn id="4" xr3:uid="{8B332958-70C5-416F-8841-9EEC0CF094DB}" name="W" dataDxfId="694"/>
    <tableColumn id="5" xr3:uid="{4ADAF4C0-17A2-4004-8789-5382845DC810}" name="L" dataDxfId="693"/>
    <tableColumn id="6" xr3:uid="{BE67DBD1-9EA8-4620-BDF7-F523676E88EB}" name="W_PCT" dataDxfId="692"/>
    <tableColumn id="7" xr3:uid="{784F525C-E4E5-452F-99AE-373584881436}" name="MIN" dataDxfId="691"/>
    <tableColumn id="8" xr3:uid="{FAA40FE1-FCEC-450A-8DE6-ECE8D4CAA183}" name="E_OFF_RATING" dataDxfId="690"/>
    <tableColumn id="9" xr3:uid="{544E9813-8060-42D9-B56E-984B8B9DF913}" name="OFF_RATING" dataDxfId="689"/>
    <tableColumn id="10" xr3:uid="{4B6C724A-ED71-4376-97E2-16ACBE5DFAF5}" name="E_DEF_RATING" dataDxfId="688"/>
    <tableColumn id="11" xr3:uid="{F754B31E-077F-4DD3-B1B7-7583AE83A00F}" name="DEF_RATING" dataDxfId="687"/>
    <tableColumn id="12" xr3:uid="{D2B3CBDE-8767-4689-9984-53A3CC491356}" name="E_NET_RATING" dataDxfId="686"/>
    <tableColumn id="13" xr3:uid="{345F5F62-3ECB-4C78-8913-F87CD5D5A70F}" name="NET_RATING" dataDxfId="685"/>
    <tableColumn id="14" xr3:uid="{25520CB3-7F12-456E-B3E9-53C2A3C09825}" name="AST_PCT" dataDxfId="684"/>
    <tableColumn id="15" xr3:uid="{2EE2D7AA-5D8B-47C3-8BEE-1FB5DA6A8295}" name="AST_TO" dataDxfId="683"/>
    <tableColumn id="16" xr3:uid="{69AAEAE2-540B-4E45-B4A2-0AC2821F7CC5}" name="AST_RATIO" dataDxfId="682"/>
    <tableColumn id="17" xr3:uid="{A0C943A2-A5F3-4D0F-8927-E58C86895BAD}" name="OREB_PCT" dataDxfId="681"/>
    <tableColumn id="18" xr3:uid="{FC7C1A39-A60F-4DF6-BB9B-96240DD03B57}" name="DREB_PCT" dataDxfId="680"/>
    <tableColumn id="19" xr3:uid="{4A59C85D-1C10-4918-9502-7F95FEB142DE}" name="REB_PCT" dataDxfId="679"/>
    <tableColumn id="20" xr3:uid="{51736C73-A2D9-42D0-BCE6-54AD2C5C1CDD}" name="TM_TOV_PCT" dataDxfId="678"/>
    <tableColumn id="21" xr3:uid="{E26C12C4-D5C9-4F99-B067-DA76EB85F1E9}" name="EFG_PCT" dataDxfId="677"/>
    <tableColumn id="22" xr3:uid="{09420C13-F619-4399-9DA7-FEB2DAD17F50}" name="TS_PCT" dataDxfId="676"/>
    <tableColumn id="23" xr3:uid="{8DCD1D61-E3FB-443C-9AD8-4B9386026984}" name="E_PACE" dataDxfId="675"/>
    <tableColumn id="24" xr3:uid="{58007136-F38F-4CEE-B12F-CA4C08C4640B}" name="PACE" dataDxfId="674"/>
    <tableColumn id="25" xr3:uid="{563E684A-3E3A-4D09-80AF-F1947E6CAEBB}" name="PACE_PER40" dataDxfId="673"/>
    <tableColumn id="26" xr3:uid="{77816840-E1C3-4799-89B2-45D6140FEC81}" name="POSS" dataDxfId="672"/>
    <tableColumn id="27" xr3:uid="{93FDC575-216F-4D58-991D-BDF26E45A566}" name="PIE" dataDxfId="671"/>
    <tableColumn id="28" xr3:uid="{C87AE6E1-8B80-43E7-A668-8C66F26D18E5}" name="GP_RANK" dataDxfId="670"/>
    <tableColumn id="29" xr3:uid="{E6D610FA-D2E1-4ECC-9518-4A74F907C2C1}" name="W_RANK" dataDxfId="669"/>
    <tableColumn id="30" xr3:uid="{B1A5DE51-51E1-4418-A8A7-3CD60CE4170B}" name="L_RANK" dataDxfId="668"/>
    <tableColumn id="31" xr3:uid="{29FA0B27-8C2A-47E8-A042-DE725027BB05}" name="W_PCT_RANK" dataDxfId="667"/>
    <tableColumn id="32" xr3:uid="{6A4F877A-C7D9-4416-912F-62279D3A68B0}" name="MIN_RANK" dataDxfId="666"/>
    <tableColumn id="33" xr3:uid="{70045FB6-9653-47FA-A373-BD9603A0B9C0}" name="OFF_RATING_RANK" dataDxfId="665"/>
    <tableColumn id="34" xr3:uid="{F4CB9349-EC21-4C70-95C8-2DE3CB6E5CA4}" name="DEF_RATING_RANK" dataDxfId="664"/>
    <tableColumn id="35" xr3:uid="{829A11E3-E8B7-4F6D-8FFD-B38E9CC96A56}" name="NET_RATING_RANK" dataDxfId="663"/>
    <tableColumn id="36" xr3:uid="{C0EB759E-A9DD-45C1-BC3B-BB608212A799}" name="AST_PCT_RANK" dataDxfId="662"/>
    <tableColumn id="37" xr3:uid="{CC3C4854-1B0F-488A-897B-71F03E29374F}" name="AST_TO_RANK" dataDxfId="661"/>
    <tableColumn id="38" xr3:uid="{AE3E2AD9-2943-49D6-AA87-39344F8F94F5}" name="AST_RATIO_RANK" dataDxfId="660"/>
    <tableColumn id="39" xr3:uid="{BE867F60-55B4-4E57-8A0A-8D41858779B2}" name="OREB_PCT_RANK" dataDxfId="659"/>
    <tableColumn id="40" xr3:uid="{6B9314F4-DE9F-4A14-8D20-A8162A0D90D2}" name="DREB_PCT_RANK" dataDxfId="658"/>
    <tableColumn id="41" xr3:uid="{C0AD040B-E5BD-4F4B-B743-032AC68AAFEC}" name="REB_PCT_RANK" dataDxfId="657"/>
    <tableColumn id="42" xr3:uid="{53FA50D8-1E19-45BE-A91A-BAB6CB3B3A43}" name="TM_TOV_PCT_RANK" dataDxfId="656"/>
    <tableColumn id="43" xr3:uid="{F009FDD4-43EB-45E6-A776-71560A453851}" name="EFG_PCT_RANK" dataDxfId="655"/>
    <tableColumn id="44" xr3:uid="{9CA78645-802E-4815-83A4-588FE51F11D7}" name="TS_PCT_RANK" dataDxfId="654"/>
    <tableColumn id="45" xr3:uid="{EDAFE050-6670-4611-8F0A-E0BEA70EBE58}" name="PACE_RANK" dataDxfId="653"/>
    <tableColumn id="46" xr3:uid="{5A07FD74-31DB-47C1-BBD1-72C9632712EB}" name="PIE_RANK" dataDxfId="652"/>
    <tableColumn id="47" xr3:uid="{599F0785-C29D-4A37-9697-CA6C0AEBAD83}" name="CFID" dataDxfId="651"/>
    <tableColumn id="48" xr3:uid="{CA70FF9D-6630-419C-B804-2395EBCF78C1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24314C-E78C-4025-8E8C-DA83B21ED3C4}" name="TableAdvancedNBench" displayName="TableAdvancedNBench" ref="A1:AV31" totalsRowShown="0" headerRowDxfId="551">
  <autoFilter ref="A1:AV31" xr:uid="{F1A4D2CC-1577-4439-A4FC-556D7A8247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50F26E2-F4B6-4AEB-B5DE-BDE310775B39}" name="TEAM_ID" dataDxfId="599"/>
    <tableColumn id="2" xr3:uid="{E7FF6FBA-2C0B-49E8-B9D0-8C68530A434C}" name="TEAM_NAME" dataDxfId="598"/>
    <tableColumn id="3" xr3:uid="{3BCC86EC-528C-4C0E-9806-42B3E2A85850}" name="GP" dataDxfId="597"/>
    <tableColumn id="4" xr3:uid="{4EE57411-0062-4EF2-A416-BAE0FF4D441A}" name="W" dataDxfId="596"/>
    <tableColumn id="5" xr3:uid="{A4553A9C-9859-432D-908B-D4C81DEA2D6D}" name="L" dataDxfId="595"/>
    <tableColumn id="6" xr3:uid="{D5258D0C-03BB-4627-B13D-3940C27F5FAC}" name="W_PCT" dataDxfId="594"/>
    <tableColumn id="7" xr3:uid="{E72585B2-631C-4D79-952A-E4CFD270D8B5}" name="MIN" dataDxfId="593"/>
    <tableColumn id="8" xr3:uid="{8AA31D42-F04C-4814-98CC-ED8BDB5944D4}" name="E_OFF_RATING" dataDxfId="592"/>
    <tableColumn id="9" xr3:uid="{15F14123-1D84-4C75-8BAA-A830170CD829}" name="OFF_RATING" dataDxfId="591"/>
    <tableColumn id="10" xr3:uid="{D58276AE-0CE6-45A7-B303-AB69DFA2F693}" name="E_DEF_RATING" dataDxfId="590"/>
    <tableColumn id="11" xr3:uid="{A8712B28-91E3-4F5B-84D7-26612D6C35F0}" name="DEF_RATING" dataDxfId="589"/>
    <tableColumn id="12" xr3:uid="{5225B0EE-7DA4-4CFA-85F7-CDFC7C382C84}" name="E_NET_RATING" dataDxfId="588"/>
    <tableColumn id="13" xr3:uid="{5FCFB3BA-B2C0-4DEB-ADDA-4B8BEA4A8B8F}" name="NET_RATING" dataDxfId="587"/>
    <tableColumn id="14" xr3:uid="{53DED3EF-D10F-4B11-92D6-5713CA814121}" name="AST_PCT" dataDxfId="586"/>
    <tableColumn id="15" xr3:uid="{A016D913-5D0C-4988-8283-18EC5A3662AE}" name="AST_TO" dataDxfId="585"/>
    <tableColumn id="16" xr3:uid="{B3399119-FE72-4422-AF4C-498D22C6F63B}" name="AST_RATIO" dataDxfId="584"/>
    <tableColumn id="17" xr3:uid="{3DD3879A-805A-456F-BE99-7D534186C9A1}" name="OREB_PCT" dataDxfId="583"/>
    <tableColumn id="18" xr3:uid="{15C1958B-D508-4851-9529-C1675040694C}" name="DREB_PCT" dataDxfId="582"/>
    <tableColumn id="19" xr3:uid="{C684E46F-D93B-457F-88FA-BE08F4C4B5C1}" name="REB_PCT" dataDxfId="581"/>
    <tableColumn id="20" xr3:uid="{1438E3D1-99C8-40DD-BEB7-9917A544EBC1}" name="TM_TOV_PCT" dataDxfId="580"/>
    <tableColumn id="21" xr3:uid="{036231D8-89D0-4077-93C2-D9EEF2CD9BA1}" name="EFG_PCT" dataDxfId="579"/>
    <tableColumn id="22" xr3:uid="{7DEB66BD-DC21-4DF9-82BA-FA0F0942FDE8}" name="TS_PCT" dataDxfId="578"/>
    <tableColumn id="23" xr3:uid="{8C7C15E2-C6A7-4622-9FC4-B6E2434E190D}" name="E_PACE" dataDxfId="577"/>
    <tableColumn id="24" xr3:uid="{A61D2B99-099B-4128-A01A-CC7EAD5F6296}" name="PACE" dataDxfId="576"/>
    <tableColumn id="25" xr3:uid="{501A3B39-55F5-4D9C-B408-321287FE75F8}" name="PACE_PER40" dataDxfId="575"/>
    <tableColumn id="26" xr3:uid="{A2900E64-5D37-4DE2-A132-E07D9E57C98D}" name="POSS" dataDxfId="574"/>
    <tableColumn id="27" xr3:uid="{1EC24C71-C82F-493A-B6E2-5BC9874636F0}" name="PIE" dataDxfId="573"/>
    <tableColumn id="28" xr3:uid="{0BEB265E-A766-4CEC-B3C2-5F3C32E7377E}" name="GP_RANK" dataDxfId="572"/>
    <tableColumn id="29" xr3:uid="{A66E34AB-0BE4-4540-93E4-20035F051EB6}" name="W_RANK" dataDxfId="571"/>
    <tableColumn id="30" xr3:uid="{29E8C877-A194-4BF5-971E-D0D6C529810E}" name="L_RANK" dataDxfId="570"/>
    <tableColumn id="31" xr3:uid="{ADA7F503-D0F9-4C4B-9C20-476B574FC755}" name="W_PCT_RANK" dataDxfId="569"/>
    <tableColumn id="32" xr3:uid="{EFF3C6B6-A144-4272-90D3-59AE069DAD8D}" name="MIN_RANK" dataDxfId="568"/>
    <tableColumn id="33" xr3:uid="{977170BE-858F-4F46-B825-ABC1E3D84514}" name="OFF_RATING_RANK" dataDxfId="567"/>
    <tableColumn id="34" xr3:uid="{A667C399-B6B4-4350-9474-7901F2E6944D}" name="DEF_RATING_RANK" dataDxfId="566"/>
    <tableColumn id="35" xr3:uid="{7B3CD82C-3095-43F0-A51D-8FCF61BB4627}" name="NET_RATING_RANK" dataDxfId="565"/>
    <tableColumn id="36" xr3:uid="{A74972F7-F9C4-42AE-9E9F-5679EC445CB3}" name="AST_PCT_RANK" dataDxfId="564"/>
    <tableColumn id="37" xr3:uid="{F9002BDD-DCC6-404D-919E-708A61000544}" name="AST_TO_RANK" dataDxfId="563"/>
    <tableColumn id="38" xr3:uid="{E4526486-CA31-4992-B120-3E0B89A9AC2F}" name="AST_RATIO_RANK" dataDxfId="562"/>
    <tableColumn id="39" xr3:uid="{8F171FCB-0B68-4227-83DA-CF74F155B168}" name="OREB_PCT_RANK" dataDxfId="561"/>
    <tableColumn id="40" xr3:uid="{942604A2-B8CC-446C-BEB7-E9A91DD995D9}" name="DREB_PCT_RANK" dataDxfId="560"/>
    <tableColumn id="41" xr3:uid="{A9DF504C-62BC-4165-B2D8-3C7C64533A6D}" name="REB_PCT_RANK" dataDxfId="559"/>
    <tableColumn id="42" xr3:uid="{8A69CCEE-316D-4934-B998-DC91FF75A077}" name="TM_TOV_PCT_RANK" dataDxfId="558"/>
    <tableColumn id="43" xr3:uid="{F9C346EC-5EF2-49BB-A0C9-9209C6EC1D33}" name="EFG_PCT_RANK" dataDxfId="557"/>
    <tableColumn id="44" xr3:uid="{F60F552E-CAAF-4C78-9BE7-C2C822489A32}" name="TS_PCT_RANK" dataDxfId="556"/>
    <tableColumn id="45" xr3:uid="{9DB015CE-5D7D-4478-9B7F-04749C6F4C62}" name="PACE_RANK" dataDxfId="555"/>
    <tableColumn id="46" xr3:uid="{354B27A3-352E-4F44-9981-8B59E5786BDE}" name="PIE_RANK" dataDxfId="554"/>
    <tableColumn id="47" xr3:uid="{9A30347C-08AC-4488-99F5-B5ACB2B794C5}" name="CFID" dataDxfId="553"/>
    <tableColumn id="48" xr3:uid="{F0BF2C7B-B0D3-487C-A198-261079A9CDA4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C3B58DE-95C1-4C5D-8ED4-974F843829C3}" name="TableMiscN" displayName="TableMiscN" ref="A1:AD31" totalsRowShown="0" headerRowDxfId="471">
  <autoFilter ref="A1:AD31" xr:uid="{DD55876D-5E2F-468A-9F45-A2F9BAE254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3BE5466B-D9B2-4B22-A6F4-C2A06BCD1A2F}" name="TEAM_ID" dataDxfId="501"/>
    <tableColumn id="2" xr3:uid="{9654A0A3-CF7E-4C11-AD4C-8B9E67D7263C}" name="TEAM_NAME" dataDxfId="500"/>
    <tableColumn id="3" xr3:uid="{B4408BED-AB73-48FF-9ACD-D6F76F53FFF4}" name="GP" dataDxfId="499"/>
    <tableColumn id="4" xr3:uid="{0C9DAF87-DC42-472A-9BF1-C0D5A2372C62}" name="W" dataDxfId="498"/>
    <tableColumn id="5" xr3:uid="{50A86A82-510F-48EF-8A85-45BC2BE6C073}" name="L" dataDxfId="497"/>
    <tableColumn id="6" xr3:uid="{58992900-B8E9-40BF-A7ED-80ACB6B03B8A}" name="W_PCT" dataDxfId="496"/>
    <tableColumn id="7" xr3:uid="{03EBF692-A1F3-4FE8-9929-2204545DE0FA}" name="MIN" dataDxfId="495"/>
    <tableColumn id="8" xr3:uid="{0951755A-07A1-4A2A-A12D-3B99C6547262}" name="PTS_OFF_TOV" dataDxfId="494"/>
    <tableColumn id="9" xr3:uid="{62AF0755-C2FD-4039-8384-29F85EFC93FE}" name="PTS_2ND_CHANCE" dataDxfId="493"/>
    <tableColumn id="10" xr3:uid="{55663DC6-BA7E-4666-9CA5-DD697C272DF8}" name="PTS_FB" dataDxfId="492"/>
    <tableColumn id="11" xr3:uid="{47843CF8-3A3D-419C-9CEE-0676E08F46B2}" name="PTS_PAINT" dataDxfId="491"/>
    <tableColumn id="12" xr3:uid="{BD6553ED-4100-42B0-99F2-1429E0B27BF1}" name="OPP_PTS_OFF_TOV" dataDxfId="490"/>
    <tableColumn id="13" xr3:uid="{513E74B7-B389-4917-9252-C3ABCEC3A142}" name="OPP_PTS_2ND_CHANCE" dataDxfId="489"/>
    <tableColumn id="14" xr3:uid="{E08DE394-B20A-49E2-A312-B484E5FF2E6F}" name="OPP_PTS_FB" dataDxfId="488"/>
    <tableColumn id="15" xr3:uid="{A9C3A3F9-D754-4824-98EB-839DF94E627B}" name="OPP_PTS_PAINT" dataDxfId="487"/>
    <tableColumn id="16" xr3:uid="{947698C4-50E0-47C3-9682-C2CD84F70B08}" name="GP_RANK" dataDxfId="486"/>
    <tableColumn id="17" xr3:uid="{75209622-06E6-46CE-AE1D-9069285DD2B5}" name="W_RANK" dataDxfId="485"/>
    <tableColumn id="18" xr3:uid="{003E9F34-993A-4FC1-9616-452DB983F648}" name="L_RANK" dataDxfId="484"/>
    <tableColumn id="19" xr3:uid="{81D8F07D-5AB8-4557-92DD-1E854442A846}" name="W_PCT_RANK" dataDxfId="483"/>
    <tableColumn id="20" xr3:uid="{D0607B0F-A44E-4A37-B383-17C368E71F2C}" name="MIN_RANK" dataDxfId="482"/>
    <tableColumn id="21" xr3:uid="{ED34091A-B219-4CAE-B6CD-E70D666698D7}" name="PTS_OFF_TOV_RANK" dataDxfId="481"/>
    <tableColumn id="22" xr3:uid="{BA4AE64A-E837-4AF1-9F53-9E3EB728060E}" name="PTS_2ND_CHANCE_RANK" dataDxfId="480"/>
    <tableColumn id="23" xr3:uid="{09504289-B8EC-4780-BBDC-FD9394D975EF}" name="PTS_FB_RANK" dataDxfId="479"/>
    <tableColumn id="24" xr3:uid="{5BC5412C-E058-4875-A3EF-4FDE4A302931}" name="PTS_PAINT_RANK" dataDxfId="478"/>
    <tableColumn id="25" xr3:uid="{D2CCD926-2192-4167-9A35-160236B22287}" name="OPP_PTS_OFF_TOV_RANK" dataDxfId="477"/>
    <tableColumn id="26" xr3:uid="{7374B3D1-7077-4E44-A5DB-3AA8966DC555}" name="OPP_PTS_2ND_CHANCE_RANK" dataDxfId="476"/>
    <tableColumn id="27" xr3:uid="{2100E411-BC5A-4CE0-9AB2-1DFE25597903}" name="OPP_PTS_FB_RANK" dataDxfId="475"/>
    <tableColumn id="28" xr3:uid="{893B01EF-7C5C-477B-8D3E-C97EE99D65F9}" name="OPP_PTS_PAINT_RANK" dataDxfId="474"/>
    <tableColumn id="29" xr3:uid="{0E0D8B1C-1892-47F4-8B18-CC0ED12DC694}" name="CFID" dataDxfId="473"/>
    <tableColumn id="30" xr3:uid="{E19311B0-B3B9-478D-A4A4-3F0249D5F546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DEA99A1-551E-435E-B523-4BC15D81FF01}" name="TableOppBaseN" displayName="TableOppBaseN" ref="A1:BD31" totalsRowShown="0" headerRowDxfId="383">
  <autoFilter ref="A1:BD31" xr:uid="{86951C23-BF0F-40AD-8CEE-32AF64729A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A0BD9E3-42CE-4F0A-94ED-7EA1CF1CC2AC}" name="TEAM_ID" dataDxfId="439"/>
    <tableColumn id="2" xr3:uid="{7BC321F0-22C5-47F2-9AA9-ADCADE45D8B1}" name="TEAM_NAME" dataDxfId="438"/>
    <tableColumn id="3" xr3:uid="{56469328-2E5E-4AA2-BC76-967F7E45042B}" name="GP" dataDxfId="437"/>
    <tableColumn id="4" xr3:uid="{46C543CE-E262-4CE3-A74E-1EFC0CB352D5}" name="W" dataDxfId="436"/>
    <tableColumn id="5" xr3:uid="{E5463528-AC25-4EC6-B43F-657F839C94FA}" name="L" dataDxfId="435"/>
    <tableColumn id="6" xr3:uid="{1ABB5013-4ACF-4842-BE2B-19B2B08876E6}" name="W_PCT" dataDxfId="434"/>
    <tableColumn id="7" xr3:uid="{CA369725-F892-4FAB-A1BA-676E7373C488}" name="MIN" dataDxfId="433"/>
    <tableColumn id="8" xr3:uid="{A3510810-9954-4EEE-BE97-6923DBA95335}" name="OPP_FGM" dataDxfId="432"/>
    <tableColumn id="9" xr3:uid="{B6DB1661-E16B-4B9D-B99F-313A2FACF190}" name="OPP_FGA" dataDxfId="431"/>
    <tableColumn id="10" xr3:uid="{02D0700E-DC51-42BE-A1D2-9A17F091E78C}" name="OPP_FG_PCT" dataDxfId="430"/>
    <tableColumn id="11" xr3:uid="{1A8FA797-2557-4C0E-89F5-C7E36EE888D4}" name="OPP_FG3M" dataDxfId="429"/>
    <tableColumn id="12" xr3:uid="{59C18CC9-D146-4A4D-AF8E-ACBEA2BEBCCA}" name="OPP_FG3A" dataDxfId="428"/>
    <tableColumn id="13" xr3:uid="{151B687C-E2B8-488B-B379-9CF4DB959989}" name="OPP_FG3_PCT" dataDxfId="427"/>
    <tableColumn id="14" xr3:uid="{0D611B66-BA30-4180-992B-7BFAA5D833DA}" name="OPP_FTM" dataDxfId="426"/>
    <tableColumn id="15" xr3:uid="{EC134A8D-0C5E-4AE0-B5F2-4E1F55DFF4B1}" name="OPP_FTA" dataDxfId="425"/>
    <tableColumn id="16" xr3:uid="{B391A91C-6E5B-4D3A-9721-C28130807A70}" name="OPP_FT_PCT" dataDxfId="424"/>
    <tableColumn id="17" xr3:uid="{BD8C4FC9-73A9-431C-8234-442283B07BF9}" name="OPP_OREB" dataDxfId="423"/>
    <tableColumn id="18" xr3:uid="{0915C9B3-3875-43AE-A09A-97A803709897}" name="OPP_DREB" dataDxfId="422"/>
    <tableColumn id="19" xr3:uid="{8A29FCA7-AE4F-4B17-81BE-9E7631A0470E}" name="OPP_REB" dataDxfId="421"/>
    <tableColumn id="20" xr3:uid="{6001B9D1-6D68-4620-B961-9A7DB0815A87}" name="OPP_AST" dataDxfId="420"/>
    <tableColumn id="21" xr3:uid="{3A55B723-CF1E-4FE6-849E-6C575D73D860}" name="OPP_TOV" dataDxfId="419"/>
    <tableColumn id="22" xr3:uid="{6F5FDCD7-4740-432C-B8AB-AEA494E6C66E}" name="OPP_STL" dataDxfId="418"/>
    <tableColumn id="23" xr3:uid="{806740E0-528D-46EA-A1A0-A92E2C4F521E}" name="OPP_BLK" dataDxfId="417"/>
    <tableColumn id="24" xr3:uid="{796F86F9-3CDC-47BC-9F9B-CE8C2BBC1F43}" name="OPP_BLKA" dataDxfId="416"/>
    <tableColumn id="25" xr3:uid="{A24A8885-D733-4247-BA42-615A72644E05}" name="OPP_PF" dataDxfId="415"/>
    <tableColumn id="26" xr3:uid="{99D828FD-64B5-45CC-B8AC-8539A61FCA69}" name="OPP_PFD" dataDxfId="414"/>
    <tableColumn id="27" xr3:uid="{0B5292D9-79AF-4BDF-B8BC-49EBF69746D6}" name="OPP_PTS" dataDxfId="413"/>
    <tableColumn id="28" xr3:uid="{2976266E-E395-4203-B7CE-9E0CDDA4D42A}" name="PLUS_MINUS" dataDxfId="412"/>
    <tableColumn id="29" xr3:uid="{D2B9AE86-D1E9-480A-849D-A6A7A5C5D449}" name="GP_RANK" dataDxfId="411"/>
    <tableColumn id="30" xr3:uid="{0BF13623-3730-45A6-9574-C001A014BF6B}" name="W_RANK" dataDxfId="410"/>
    <tableColumn id="31" xr3:uid="{B6EDA00A-30DE-49E2-A2CF-363B5A3FC882}" name="L_RANK" dataDxfId="409"/>
    <tableColumn id="32" xr3:uid="{A8697D60-5207-4201-ACA8-E71D59C73D2D}" name="W_PCT_RANK" dataDxfId="408"/>
    <tableColumn id="33" xr3:uid="{2A944C6C-1E1E-4A30-8338-9F956EAF897D}" name="MIN_RANK" dataDxfId="407"/>
    <tableColumn id="34" xr3:uid="{ECFE2C91-254B-4A50-A1C8-272B099C74AF}" name="OPP_FGM_RANK" dataDxfId="406"/>
    <tableColumn id="35" xr3:uid="{05607785-81C0-4668-B677-677B81EBF56A}" name="OPP_FGA_RANK" dataDxfId="405"/>
    <tableColumn id="36" xr3:uid="{0BA42BD4-A4CD-423D-B934-E1DB095924CF}" name="OPP_FG_PCT_RANK" dataDxfId="404"/>
    <tableColumn id="37" xr3:uid="{07A4985C-0241-427E-B3B6-353A98053430}" name="OPP_FG3M_RANK" dataDxfId="403"/>
    <tableColumn id="38" xr3:uid="{68420A3E-F5B1-4692-BF76-5A1C4BB2498E}" name="OPP_FG3A_RANK" dataDxfId="402"/>
    <tableColumn id="39" xr3:uid="{B5A6E760-3C5D-40E9-B88F-1826F2E4634F}" name="OPP_FG3_PCT_RANK" dataDxfId="401"/>
    <tableColumn id="40" xr3:uid="{B75AA955-6D57-419F-96C3-F54519CE6CF4}" name="OPP_FTM_RANK" dataDxfId="400"/>
    <tableColumn id="41" xr3:uid="{8393EC10-8FC4-4949-A526-D2FD37262B3B}" name="OPP_FTA_RANK" dataDxfId="399"/>
    <tableColumn id="42" xr3:uid="{4D8A71C1-247D-44CD-8165-D8D4A67406C3}" name="OPP_FT_PCT_RANK" dataDxfId="398"/>
    <tableColumn id="43" xr3:uid="{30EF92A9-E46C-4E1C-8B95-4AE01CBDAF7C}" name="OPP_OREB_RANK" dataDxfId="397"/>
    <tableColumn id="44" xr3:uid="{434EAE99-20FF-4D21-9580-1803D531E1E7}" name="OPP_DREB_RANK" dataDxfId="396"/>
    <tableColumn id="45" xr3:uid="{E33C88E9-4266-4D42-85FA-44E6774DF55B}" name="OPP_REB_RANK" dataDxfId="395"/>
    <tableColumn id="46" xr3:uid="{2A53A958-5AB0-4039-AD0E-70EDBD912AF6}" name="OPP_AST_RANK" dataDxfId="394"/>
    <tableColumn id="47" xr3:uid="{39984E99-188C-4E8E-9BAC-93BB48B895D9}" name="OPP_TOV_RANK" dataDxfId="393"/>
    <tableColumn id="48" xr3:uid="{883F2D9A-4BFA-4BC0-A034-23C9E5C2E924}" name="OPP_STL_RANK" dataDxfId="392"/>
    <tableColumn id="49" xr3:uid="{468745ED-94DA-44DE-8577-7C6BEB3E252E}" name="OPP_BLK_RANK" dataDxfId="391"/>
    <tableColumn id="50" xr3:uid="{DF236A65-7401-4890-9DF3-D2CB445B2E1F}" name="OPP_BLKA_RANK" dataDxfId="390"/>
    <tableColumn id="51" xr3:uid="{8B798E10-9FA7-4F31-B63F-AA39D622FA81}" name="OPP_PF_RANK" dataDxfId="389"/>
    <tableColumn id="52" xr3:uid="{2CEEB095-9C2E-41AA-9C54-2F0AAA173389}" name="OPP_PFD_RANK" dataDxfId="388"/>
    <tableColumn id="53" xr3:uid="{0DE0A930-0999-4A73-BB12-77640BF036A5}" name="OPP_PTS_RANK" dataDxfId="387"/>
    <tableColumn id="54" xr3:uid="{8F229F31-811C-469B-98D6-634681BB0BDF}" name="PLUS_MINUS_RANK" dataDxfId="386"/>
    <tableColumn id="55" xr3:uid="{37DD78CC-CE11-4976-BDDC-586BFFA166FA}" name="CFID" dataDxfId="385"/>
    <tableColumn id="56" xr3:uid="{470EF471-F030-4C8F-B4E1-4B9F63D214A4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D0D5576-6663-4C9B-926C-53676DB5DC94}" name="TableClutchBaseN" displayName="TableClutchBaseN" ref="A1:BD31" totalsRowShown="0" headerRowDxfId="269">
  <autoFilter ref="A1:BD31" xr:uid="{72CBEAC4-B3A4-4668-A098-DEAA6581E9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1F58B6F-8F34-40F6-BEE9-0E85C9885225}" name="TEAM_ID" dataDxfId="325"/>
    <tableColumn id="2" xr3:uid="{EEF3FDF3-F8CD-48C9-AD96-4E1D9278DE49}" name="TEAM_NAME" dataDxfId="324"/>
    <tableColumn id="3" xr3:uid="{964538DC-2505-4129-816B-B80798770DF3}" name="GP" dataDxfId="323"/>
    <tableColumn id="4" xr3:uid="{901B4CE8-297C-4F32-9F07-B719C7FBE67B}" name="W" dataDxfId="322"/>
    <tableColumn id="5" xr3:uid="{8A7ACA42-93B1-4D3C-9B8F-53687ECC7C40}" name="L" dataDxfId="321"/>
    <tableColumn id="6" xr3:uid="{11394C8C-B5DB-4839-BA7C-715C6BBE96C5}" name="W_PCT" dataDxfId="320"/>
    <tableColumn id="7" xr3:uid="{1F9FDE9C-070A-459B-800D-3ECC4171348B}" name="MIN" dataDxfId="319"/>
    <tableColumn id="8" xr3:uid="{4CE892B5-5D45-439A-9BBF-DAD3423E3728}" name="FGM" dataDxfId="318"/>
    <tableColumn id="9" xr3:uid="{F915BB5F-7C90-472C-9C25-C068AC08C1A8}" name="FGA" dataDxfId="317"/>
    <tableColumn id="10" xr3:uid="{CBADADEF-1B69-4B62-8F01-6EEF78DD4086}" name="FG_PCT" dataDxfId="316"/>
    <tableColumn id="11" xr3:uid="{1BDBBE7E-020A-421F-9D05-1C126154987D}" name="FG3M" dataDxfId="315"/>
    <tableColumn id="12" xr3:uid="{ABA04603-C98E-44AD-B13E-5CB90483A5F2}" name="FG3A" dataDxfId="314"/>
    <tableColumn id="13" xr3:uid="{7891324F-591B-439A-B512-5C6C659286CF}" name="FG3_PCT" dataDxfId="313"/>
    <tableColumn id="14" xr3:uid="{6E614E5F-5F64-4833-9639-34C276752CA8}" name="FTM" dataDxfId="312"/>
    <tableColumn id="15" xr3:uid="{1C594897-1872-47B9-ADB4-E4F4D15C2B72}" name="FTA" dataDxfId="311"/>
    <tableColumn id="16" xr3:uid="{C8FA1E67-A2D7-4696-BF38-138895A32C57}" name="FT_PCT" dataDxfId="310"/>
    <tableColumn id="17" xr3:uid="{719B2FD4-2AF3-4520-928A-FB7069C4139A}" name="OREB" dataDxfId="309"/>
    <tableColumn id="18" xr3:uid="{CE5B0132-6FCC-47B5-823A-026E2976C24B}" name="DREB" dataDxfId="308"/>
    <tableColumn id="19" xr3:uid="{BC693279-EF96-42F2-9BBE-32DDA2151732}" name="REB" dataDxfId="307"/>
    <tableColumn id="20" xr3:uid="{4196E9EC-A97E-4E45-A9BA-F3A7A12B2B9F}" name="AST" dataDxfId="306"/>
    <tableColumn id="21" xr3:uid="{A354B9F9-83DC-4ABC-9D69-81A02C8CA649}" name="TOV" dataDxfId="305"/>
    <tableColumn id="22" xr3:uid="{9E56A191-9266-4D3E-8D4C-F0024BA61FBA}" name="STL" dataDxfId="304"/>
    <tableColumn id="23" xr3:uid="{906F0B8F-7FF0-4725-BBDA-D52C520582F0}" name="BLK" dataDxfId="303"/>
    <tableColumn id="24" xr3:uid="{6F949343-BF2F-45F1-8E36-8AF0A977B77C}" name="BLKA" dataDxfId="302"/>
    <tableColumn id="25" xr3:uid="{021507FC-CD2A-425E-A26A-D9D8541BB0BA}" name="PF" dataDxfId="301"/>
    <tableColumn id="26" xr3:uid="{F057342C-C01A-47B5-ACD2-3AA07B2EC3A0}" name="PFD" dataDxfId="300"/>
    <tableColumn id="27" xr3:uid="{6BFFFD2B-1B9E-4071-A1D8-895F9BA2296A}" name="PTS" dataDxfId="299"/>
    <tableColumn id="28" xr3:uid="{123F5E48-5403-4D4C-80CB-675449EFE402}" name="PLUS_MINUS" dataDxfId="298"/>
    <tableColumn id="29" xr3:uid="{5CC6AF38-FC83-4FCD-848E-9D02E4391C92}" name="GP_RANK" dataDxfId="297"/>
    <tableColumn id="30" xr3:uid="{C94768C3-2638-46D2-9681-703BDC60D478}" name="W_RANK" dataDxfId="296"/>
    <tableColumn id="31" xr3:uid="{5E770C1A-BC66-4F0A-A3D5-45D8AC1D95DA}" name="L_RANK" dataDxfId="295"/>
    <tableColumn id="32" xr3:uid="{54FD386C-0745-4F6A-A4AD-81CD022352C4}" name="W_PCT_RANK" dataDxfId="294"/>
    <tableColumn id="33" xr3:uid="{271E144A-85BD-402A-89AF-703448D9DFF6}" name="MIN_RANK" dataDxfId="293"/>
    <tableColumn id="34" xr3:uid="{A06B2E2D-DEC4-48D1-B1BB-C3C4284B4473}" name="FGM_RANK" dataDxfId="292"/>
    <tableColumn id="35" xr3:uid="{52F46DD5-E8C1-4D7D-9FC3-8819ABB3B72D}" name="FGA_RANK" dataDxfId="291"/>
    <tableColumn id="36" xr3:uid="{65141746-0D47-4DC7-A095-2994431E4270}" name="FG_PCT_RANK" dataDxfId="290"/>
    <tableColumn id="37" xr3:uid="{CF037B8E-97F5-4C08-8F3C-DA57D0EF868B}" name="FG3M_RANK" dataDxfId="289"/>
    <tableColumn id="38" xr3:uid="{7C6E82BC-AD44-42B0-91FC-EB3E26B53C19}" name="FG3A_RANK" dataDxfId="288"/>
    <tableColumn id="39" xr3:uid="{11FAAD16-1064-476C-9F38-960B0F5EF804}" name="FG3_PCT_RANK" dataDxfId="287"/>
    <tableColumn id="40" xr3:uid="{7B068C30-B39E-4EE1-A20E-652B9384D01F}" name="FTM_RANK" dataDxfId="286"/>
    <tableColumn id="41" xr3:uid="{5E8B5953-16CA-4E45-84A2-6A713BDD4AAB}" name="FTA_RANK" dataDxfId="285"/>
    <tableColumn id="42" xr3:uid="{1B9FB43B-4E41-4720-AFC7-E62BDED3E2B6}" name="FT_PCT_RANK" dataDxfId="284"/>
    <tableColumn id="43" xr3:uid="{A6B0BF57-D2B8-4C3B-8025-C30099D210BC}" name="OREB_RANK" dataDxfId="283"/>
    <tableColumn id="44" xr3:uid="{61C73297-92B2-48D8-AF91-1A10E84753CB}" name="DREB_RANK" dataDxfId="282"/>
    <tableColumn id="45" xr3:uid="{FF307893-3EAA-41E7-BB49-E2992E97D296}" name="REB_RANK" dataDxfId="281"/>
    <tableColumn id="46" xr3:uid="{818C27D4-CBEC-4DBA-967D-39556FAAB264}" name="AST_RANK" dataDxfId="280"/>
    <tableColumn id="47" xr3:uid="{054991C2-4B0B-4440-B70B-19FC7088CB5A}" name="TOV_RANK" dataDxfId="279"/>
    <tableColumn id="48" xr3:uid="{9A69DA20-C931-4097-B73B-924D89A93D4D}" name="STL_RANK" dataDxfId="278"/>
    <tableColumn id="49" xr3:uid="{3DF7B862-5FBF-421D-9EEC-326EF5A91E7A}" name="BLK_RANK" dataDxfId="277"/>
    <tableColumn id="50" xr3:uid="{F7B20B69-50D7-44AD-8C72-DD49F1587A55}" name="BLKA_RANK" dataDxfId="276"/>
    <tableColumn id="51" xr3:uid="{BEACACB3-BD57-4325-BD68-13523D081246}" name="PF_RANK" dataDxfId="275"/>
    <tableColumn id="52" xr3:uid="{379C211C-B2A7-4842-A0C8-0223D1015D8F}" name="PFD_RANK" dataDxfId="274"/>
    <tableColumn id="53" xr3:uid="{7C49B94F-C22D-428F-B695-F63D6E789E05}" name="PTS_RANK" dataDxfId="273"/>
    <tableColumn id="54" xr3:uid="{897A60C0-E13A-454E-B26C-C2FA83DB6E5D}" name="PLUS_MINUS_RANK" dataDxfId="272"/>
    <tableColumn id="55" xr3:uid="{BD776074-A255-4385-8524-3BDE0CD0B7FB}" name="CFID" dataDxfId="271"/>
    <tableColumn id="56" xr3:uid="{C055CB6E-DF4D-4756-9FB8-056EE6453006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1EBC116-7D6D-4808-89E1-DD3CDD931BD7}" name="TableClutchOpponentN" displayName="TableClutchOpponentN" ref="A1:BD31" totalsRowShown="0" headerRowDxfId="155">
  <autoFilter ref="A1:BD31" xr:uid="{2440538B-158D-452C-85C8-3EFF264D02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2B70070-7E34-4755-A00B-DA37E47E64AA}" name="TEAM_ID" dataDxfId="211"/>
    <tableColumn id="2" xr3:uid="{FA120951-5B9D-417E-904E-9325B96817E9}" name="TEAM_NAME" dataDxfId="210"/>
    <tableColumn id="3" xr3:uid="{81EF5DCC-330E-4C6F-9F33-C3FCF644855C}" name="GP" dataDxfId="209"/>
    <tableColumn id="4" xr3:uid="{FB81DB06-7039-46B5-8DF0-A2DC01959684}" name="W" dataDxfId="208"/>
    <tableColumn id="5" xr3:uid="{135652ED-5027-4011-8D01-978D37794D9A}" name="L" dataDxfId="207"/>
    <tableColumn id="6" xr3:uid="{4BE50034-FDA6-4DD1-927F-B3226D17321F}" name="W_PCT" dataDxfId="206"/>
    <tableColumn id="7" xr3:uid="{30F61F3A-FF39-4548-8B06-8567CB80C912}" name="MIN" dataDxfId="205"/>
    <tableColumn id="8" xr3:uid="{3E4A5E1B-126B-477D-A23E-F109A3190777}" name="OPP_FGM" dataDxfId="204"/>
    <tableColumn id="9" xr3:uid="{DB90F803-1201-45AC-8ED6-5C3253C4BFF9}" name="OPP_FGA" dataDxfId="203"/>
    <tableColumn id="10" xr3:uid="{E54C738D-915F-440B-8DE6-E6C4E451CCA1}" name="OPP_FG_PCT" dataDxfId="202"/>
    <tableColumn id="11" xr3:uid="{9066913A-24BC-4B2C-BAB6-C62A053181F0}" name="OPP_FG3M" dataDxfId="201"/>
    <tableColumn id="12" xr3:uid="{E2741D93-6CC6-4A76-B4E2-5CF7F385025F}" name="OPP_FG3A" dataDxfId="200"/>
    <tableColumn id="13" xr3:uid="{0A80C7A2-8D8D-4659-8BBC-682B0BFE20BA}" name="OPP_FG3_PCT" dataDxfId="199"/>
    <tableColumn id="14" xr3:uid="{6713D4F6-960D-4261-8873-C93FE239DDE0}" name="OPP_FTM" dataDxfId="198"/>
    <tableColumn id="15" xr3:uid="{A5222EE7-F9B6-4A04-A0AB-C732CAFF8AD4}" name="OPP_FTA" dataDxfId="197"/>
    <tableColumn id="16" xr3:uid="{A3826096-F350-4F68-A833-8C409503564E}" name="OPP_FT_PCT" dataDxfId="196"/>
    <tableColumn id="17" xr3:uid="{03B47DA9-EFA4-4E1A-960B-1A50CCADB830}" name="OPP_OREB" dataDxfId="195"/>
    <tableColumn id="18" xr3:uid="{F4C5149C-F0CE-4477-B7F1-EA56CF6511DE}" name="OPP_DREB" dataDxfId="194"/>
    <tableColumn id="19" xr3:uid="{A3E62157-9AA3-420E-9DFB-CC16B83D86DC}" name="OPP_REB" dataDxfId="193"/>
    <tableColumn id="20" xr3:uid="{65833D51-E275-4ABF-8AD3-93A564B09761}" name="OPP_AST" dataDxfId="192"/>
    <tableColumn id="21" xr3:uid="{497D4FBB-EFED-42AA-AA9B-745D679A2B38}" name="OPP_TOV" dataDxfId="191"/>
    <tableColumn id="22" xr3:uid="{CF0A5A53-B98C-4488-9A6C-F88D4423941A}" name="OPP_STL" dataDxfId="190"/>
    <tableColumn id="23" xr3:uid="{7BC10248-C458-4CEB-9541-E856DB758DC1}" name="OPP_BLK" dataDxfId="189"/>
    <tableColumn id="24" xr3:uid="{FF05A807-843E-42F5-BB40-22E4E8206D0F}" name="OPP_BLKA" dataDxfId="188"/>
    <tableColumn id="25" xr3:uid="{99A26F87-8C99-49AB-AF4A-234BBCF55D19}" name="OPP_PF" dataDxfId="187"/>
    <tableColumn id="26" xr3:uid="{2570467B-E3AA-4F48-A6AE-85CF9F0C6E57}" name="OPP_PFD" dataDxfId="186"/>
    <tableColumn id="27" xr3:uid="{2E1B95BE-0014-4F99-8C57-9D389EFE0587}" name="OPP_PTS" dataDxfId="185"/>
    <tableColumn id="28" xr3:uid="{C2DA5E0D-46F3-4FF7-B3FE-F2E43B5CB135}" name="PLUS_MINUS" dataDxfId="184"/>
    <tableColumn id="29" xr3:uid="{99C18EC4-DDB1-4C05-84C0-06D032B5F383}" name="GP_RANK" dataDxfId="183"/>
    <tableColumn id="30" xr3:uid="{D8988219-B414-4A2F-9D11-17045028AEB7}" name="W_RANK" dataDxfId="182"/>
    <tableColumn id="31" xr3:uid="{C95FBDFE-8613-48DD-8CEA-7AAFDEDDC8CC}" name="L_RANK" dataDxfId="181"/>
    <tableColumn id="32" xr3:uid="{F43AD04B-2664-4D9F-BD7D-2A56591DE696}" name="W_PCT_RANK" dataDxfId="180"/>
    <tableColumn id="33" xr3:uid="{1431BE20-9F06-4BCD-97F5-F0A3B0E85A70}" name="MIN_RANK" dataDxfId="179"/>
    <tableColumn id="34" xr3:uid="{A07FCCB5-8927-4680-A324-0EBF4A4E3A1D}" name="OPP_FGM_RANK" dataDxfId="178"/>
    <tableColumn id="35" xr3:uid="{A6D38680-A368-470F-83AC-2161ABD60B28}" name="OPP_FGA_RANK" dataDxfId="177"/>
    <tableColumn id="36" xr3:uid="{143D748F-90AD-4A9E-98B6-EB291555C373}" name="OPP_FG_PCT_RANK" dataDxfId="176"/>
    <tableColumn id="37" xr3:uid="{518726FE-04BF-478D-A98B-8A7B75A34F2D}" name="OPP_FG3M_RANK" dataDxfId="175"/>
    <tableColumn id="38" xr3:uid="{5D5D3092-808E-4165-87D4-1CC6A5D4E7CC}" name="OPP_FG3A_RANK" dataDxfId="174"/>
    <tableColumn id="39" xr3:uid="{221549A5-676B-4982-B02F-2CFC722E4ED0}" name="OPP_FG3_PCT_RANK" dataDxfId="173"/>
    <tableColumn id="40" xr3:uid="{032D969A-C1C8-4208-87D7-53D8DB9A74D5}" name="OPP_FTM_RANK" dataDxfId="172"/>
    <tableColumn id="41" xr3:uid="{86CBAB24-D4CF-47B9-957F-95F483CD7F61}" name="OPP_FTA_RANK" dataDxfId="171"/>
    <tableColumn id="42" xr3:uid="{FFA42968-7FBC-49D7-9895-F499A0F08B59}" name="OPP_FT_PCT_RANK" dataDxfId="170"/>
    <tableColumn id="43" xr3:uid="{A4A003B9-935E-40CC-8530-351471163F6E}" name="OPP_OREB_RANK" dataDxfId="169"/>
    <tableColumn id="44" xr3:uid="{886A1C54-88EA-4813-A81C-3403492F142C}" name="OPP_DREB_RANK" dataDxfId="168"/>
    <tableColumn id="45" xr3:uid="{78EBBE30-A6F6-4127-9E85-1A7E88F62953}" name="OPP_REB_RANK" dataDxfId="167"/>
    <tableColumn id="46" xr3:uid="{4EC65612-E2C8-492B-B021-24A5449FF1DD}" name="OPP_AST_RANK" dataDxfId="166"/>
    <tableColumn id="47" xr3:uid="{0B2508AE-65E6-451F-B64A-710BBB4E4C65}" name="OPP_TOV_RANK" dataDxfId="165"/>
    <tableColumn id="48" xr3:uid="{08D71D68-4939-407F-A0B1-A0450C7545C2}" name="OPP_STL_RANK" dataDxfId="164"/>
    <tableColumn id="49" xr3:uid="{4822D74D-9CCA-41E1-B06A-A6D520C7482E}" name="OPP_BLK_RANK" dataDxfId="163"/>
    <tableColumn id="50" xr3:uid="{2F6F8BA2-6F5F-4BEC-84C2-CB7A46F7C0B4}" name="OPP_BLKA_RANK" dataDxfId="162"/>
    <tableColumn id="51" xr3:uid="{A0B28A77-42C0-4667-A0A7-410B4BAFB9A8}" name="OPP_PF_RANK" dataDxfId="161"/>
    <tableColumn id="52" xr3:uid="{87614491-A64F-48E6-9B58-C7C8F414E254}" name="OPP_PFD_RANK" dataDxfId="160"/>
    <tableColumn id="53" xr3:uid="{316019F2-801D-4183-B84E-E85FB102ACDB}" name="OPP_PTS_RANK" dataDxfId="159"/>
    <tableColumn id="54" xr3:uid="{084DB2BD-9EC4-4C2B-8010-1954452BF8BA}" name="PLUS_MINUS_RANK" dataDxfId="158"/>
    <tableColumn id="55" xr3:uid="{786FF6B7-D960-4222-9569-8E97F213F282}" name="CFID" dataDxfId="157"/>
    <tableColumn id="56" xr3:uid="{C8811DDD-7ECD-4FF6-A04F-CE633837F72B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C2FD1D5-942E-45AD-B0DC-02C9B1F50072}" name="TableClutchAdvancedN" displayName="TableClutchAdvancedN" ref="A1:AV31" totalsRowShown="0" headerRowDxfId="49">
  <autoFilter ref="A1:AV31" xr:uid="{CDE14DE8-AD8A-4458-8FB4-DDFEA6CF1F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6C8D8D9-0158-46CB-8C50-9620D4963C31}" name="TEAM_ID" dataDxfId="97"/>
    <tableColumn id="2" xr3:uid="{734D3675-1AFC-40D0-A67A-405B990E7967}" name="TEAM_NAME" dataDxfId="96"/>
    <tableColumn id="3" xr3:uid="{399C11D2-8103-497F-AB41-2B230A397B0D}" name="GP" dataDxfId="95"/>
    <tableColumn id="4" xr3:uid="{3BB30E27-D49F-4500-8F47-F096FA3B85A0}" name="W" dataDxfId="94"/>
    <tableColumn id="5" xr3:uid="{FAF85911-5C0D-466E-8230-157A310A3CFD}" name="L" dataDxfId="93"/>
    <tableColumn id="6" xr3:uid="{CE93AA5C-C5F2-4306-9ABD-7404EF1D1034}" name="W_PCT" dataDxfId="92"/>
    <tableColumn id="7" xr3:uid="{43AC6C3E-ED05-419B-9C4F-4A07FE42CF00}" name="MIN" dataDxfId="91"/>
    <tableColumn id="8" xr3:uid="{BE93B451-B843-4800-8BAA-C9A115D75FCB}" name="E_OFF_RATING" dataDxfId="90"/>
    <tableColumn id="9" xr3:uid="{9A6F4557-4E62-40D2-92EF-3061449C4ECC}" name="OFF_RATING" dataDxfId="89"/>
    <tableColumn id="10" xr3:uid="{C5682C66-551F-4082-AA40-314916282D3D}" name="E_DEF_RATING" dataDxfId="88"/>
    <tableColumn id="11" xr3:uid="{77979EE6-571A-45D3-B510-6A03C3CC9E96}" name="DEF_RATING" dataDxfId="87"/>
    <tableColumn id="12" xr3:uid="{E6C37F31-DF56-4635-9DB6-01AE377B3CFD}" name="E_NET_RATING" dataDxfId="86"/>
    <tableColumn id="13" xr3:uid="{1F609B2E-BC43-4335-8B2A-0CB8A2A8115F}" name="NET_RATING" dataDxfId="85"/>
    <tableColumn id="14" xr3:uid="{93A62501-CE6E-402D-BCD3-6EF9243701B8}" name="AST_PCT" dataDxfId="84"/>
    <tableColumn id="15" xr3:uid="{A59A568B-CB5D-4351-8EAE-879A6CFC03FC}" name="AST_TO" dataDxfId="83"/>
    <tableColumn id="16" xr3:uid="{AD3007A6-2ACE-4DBB-B7DA-CC1ADD47820B}" name="AST_RATIO" dataDxfId="82"/>
    <tableColumn id="17" xr3:uid="{B91079CD-B607-4463-A84A-E2F9CEC6C03D}" name="OREB_PCT" dataDxfId="81"/>
    <tableColumn id="18" xr3:uid="{134CF4DD-FF79-4E11-BDE4-2EF1B24508A7}" name="DREB_PCT" dataDxfId="80"/>
    <tableColumn id="19" xr3:uid="{0EEE9903-054C-40F2-9673-608B01B463D4}" name="REB_PCT" dataDxfId="79"/>
    <tableColumn id="20" xr3:uid="{A14C388B-2575-465C-B0FF-D43D86BEC07E}" name="TM_TOV_PCT" dataDxfId="78"/>
    <tableColumn id="21" xr3:uid="{0760FCBF-1A8B-4465-AFA7-16377E101D1C}" name="EFG_PCT" dataDxfId="77"/>
    <tableColumn id="22" xr3:uid="{E5A8AB95-6872-4FF6-BF98-E412E0F39EEE}" name="TS_PCT" dataDxfId="76"/>
    <tableColumn id="23" xr3:uid="{EB8750EA-A8DA-4FCF-B0F4-EF6578AE31DF}" name="E_PACE" dataDxfId="75"/>
    <tableColumn id="24" xr3:uid="{8AB42838-2C7E-40AA-A883-184C04F35155}" name="PACE" dataDxfId="74"/>
    <tableColumn id="25" xr3:uid="{63BAEAB7-DB1C-4C3F-A047-0B17A179F159}" name="PACE_PER40" dataDxfId="73"/>
    <tableColumn id="26" xr3:uid="{2F2D4395-15D1-4F3B-B672-657BFE6BB0DD}" name="POSS" dataDxfId="72"/>
    <tableColumn id="27" xr3:uid="{A560FC3A-25BE-4836-A388-9857484085A5}" name="PIE" dataDxfId="71"/>
    <tableColumn id="28" xr3:uid="{795BA672-D6EA-4967-B2CE-6FDAAC16FD4C}" name="GP_RANK" dataDxfId="70"/>
    <tableColumn id="29" xr3:uid="{79A1F635-A64A-4133-85E5-48ED502C2337}" name="W_RANK" dataDxfId="69"/>
    <tableColumn id="30" xr3:uid="{78A4E52B-E7A4-4524-8AD2-B2957DAE336B}" name="L_RANK" dataDxfId="68"/>
    <tableColumn id="31" xr3:uid="{B9DDCB35-15CF-40CE-AC34-1DF865FBAF5E}" name="W_PCT_RANK" dataDxfId="67"/>
    <tableColumn id="32" xr3:uid="{7850DA16-7167-4A01-A711-C2B78CDFAFFA}" name="MIN_RANK" dataDxfId="66"/>
    <tableColumn id="33" xr3:uid="{D0CC8849-CB75-46C7-8D0C-FFF977C2AC2F}" name="OFF_RATING_RANK" dataDxfId="65"/>
    <tableColumn id="34" xr3:uid="{C31BEB95-A32B-422C-8D4A-919F3EEEEC1A}" name="DEF_RATING_RANK" dataDxfId="64"/>
    <tableColumn id="35" xr3:uid="{80C311B8-D4EF-4E4C-97D2-D130A1F73F66}" name="NET_RATING_RANK" dataDxfId="63"/>
    <tableColumn id="36" xr3:uid="{19320E28-AD51-4F36-91FE-88A6F1E657FB}" name="AST_PCT_RANK" dataDxfId="62"/>
    <tableColumn id="37" xr3:uid="{A9005D88-FB08-47B2-84F9-A4F74846C1BE}" name="AST_TO_RANK" dataDxfId="61"/>
    <tableColumn id="38" xr3:uid="{25D9B2CE-5653-4255-806B-1FA353CBC9A2}" name="AST_RATIO_RANK" dataDxfId="60"/>
    <tableColumn id="39" xr3:uid="{97945148-6B19-44EA-BAE8-5EC4FB8A4BC8}" name="OREB_PCT_RANK" dataDxfId="59"/>
    <tableColumn id="40" xr3:uid="{67EDA9C2-6D2D-4848-A561-CBEEC1B91576}" name="DREB_PCT_RANK" dataDxfId="58"/>
    <tableColumn id="41" xr3:uid="{07D84F5A-8E7C-4E43-9C55-FE012EC8B7BC}" name="REB_PCT_RANK" dataDxfId="57"/>
    <tableColumn id="42" xr3:uid="{F8EB6424-DD2D-4810-BEEA-B94E9979ADB9}" name="TM_TOV_PCT_RANK" dataDxfId="56"/>
    <tableColumn id="43" xr3:uid="{6D1D2907-AA88-4F95-AC4D-FB695C6C9DFC}" name="EFG_PCT_RANK" dataDxfId="55"/>
    <tableColumn id="44" xr3:uid="{E24471DD-F0D5-4132-9CF8-D9982D083FFC}" name="TS_PCT_RANK" dataDxfId="54"/>
    <tableColumn id="45" xr3:uid="{401C517C-5DD5-4ED8-A615-BB527BB5BE69}" name="PACE_RANK" dataDxfId="53"/>
    <tableColumn id="46" xr3:uid="{2A5D597D-3303-48E5-B90C-820AB699D781}" name="PIE_RANK" dataDxfId="52"/>
    <tableColumn id="47" xr3:uid="{F5FFB874-66BC-4953-BD62-9039C1B0201E}" name="CFID" dataDxfId="51"/>
    <tableColumn id="48" xr3:uid="{0C7F31AF-D870-492E-836C-2FCCEEBCE772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AE8ECB-91E3-4981-819F-8CADC667C6B9}" name="TableStandingsN1" displayName="TableStandingsN1" ref="A1:CC31" totalsRowShown="0" headerRowDxfId="910">
  <autoFilter ref="A1:CC31" xr:uid="{1DAB10A1-CD1F-4CA4-9497-01B37EEF54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7FDE3E2F-6947-4049-AFE1-C701FD21771E}" name="LeagueID" dataDxfId="991"/>
    <tableColumn id="2" xr3:uid="{E79CBD1D-3068-41E7-B96F-0061AAA9DCB8}" name="SeasonID" dataDxfId="990"/>
    <tableColumn id="3" xr3:uid="{842D98D6-9339-4441-B007-62DA2967B106}" name="TeamID" dataDxfId="989"/>
    <tableColumn id="4" xr3:uid="{79F80844-81F5-4025-8AC3-CCC1937CD156}" name="TeamCity" dataDxfId="988"/>
    <tableColumn id="5" xr3:uid="{2F2ED1F4-A10F-4488-B60F-F7C92374DEFD}" name="TeamName" dataDxfId="987"/>
    <tableColumn id="6" xr3:uid="{0DC9BED1-E350-4EAE-82B4-A8D4C60643EE}" name="Conference" dataDxfId="986"/>
    <tableColumn id="7" xr3:uid="{6095F102-2616-4196-B2A4-4482C4972AE3}" name="ConferenceRecord" dataDxfId="985"/>
    <tableColumn id="8" xr3:uid="{59A62542-410D-48DD-8D1C-EB6E26C35383}" name="PlayoffRank" dataDxfId="984"/>
    <tableColumn id="9" xr3:uid="{7A1CF398-1BE4-4F01-93CC-7EC03D8D222A}" name="ClinchIndicator" dataDxfId="983"/>
    <tableColumn id="10" xr3:uid="{1CDD3D4B-26F6-4772-ABA0-5FD5016DE83B}" name="Division" dataDxfId="982"/>
    <tableColumn id="11" xr3:uid="{DA376CEE-9A85-4A34-9969-178EBF7F134D}" name="DivisionRecord" dataDxfId="981"/>
    <tableColumn id="12" xr3:uid="{B30FC53A-777C-4266-965C-7AF72F8057E5}" name="DivisionRank" dataDxfId="980"/>
    <tableColumn id="13" xr3:uid="{8D87CEFB-571B-4145-A420-C2DAA871DC2C}" name="WINS" dataDxfId="979"/>
    <tableColumn id="14" xr3:uid="{EF62F0A6-9E52-411B-8500-4DFAFD3E0379}" name="LOSSES" dataDxfId="978"/>
    <tableColumn id="15" xr3:uid="{7FA32F34-8C62-4514-863A-A27A3CD085CE}" name="WinPCT" dataDxfId="977"/>
    <tableColumn id="16" xr3:uid="{D60650AE-0196-42FB-96CD-CA18B7F1C8E6}" name="LeagueRank" dataDxfId="976"/>
    <tableColumn id="17" xr3:uid="{E536F07A-6B14-480A-913E-5C8310FB9C7D}" name="Record" dataDxfId="975"/>
    <tableColumn id="18" xr3:uid="{8813E35B-BC4C-4FA0-A232-C9DA12D69D19}" name="HOME" dataDxfId="974"/>
    <tableColumn id="19" xr3:uid="{178F12B4-408A-466C-9550-8F18AEB2BD5F}" name="ROAD" dataDxfId="973"/>
    <tableColumn id="20" xr3:uid="{9ECC49C8-A858-49F9-A02F-33A79B2DEB81}" name="L10" dataDxfId="972"/>
    <tableColumn id="21" xr3:uid="{15EDC75E-A354-4E9D-8AAA-CAE16BF76828}" name="Last10Home" dataDxfId="971"/>
    <tableColumn id="22" xr3:uid="{2B9CABE7-804E-4991-93A6-0E6C383EE36B}" name="Last10Road" dataDxfId="970"/>
    <tableColumn id="23" xr3:uid="{E93614F6-5B43-4311-9C17-81A86CD529BA}" name="OT" dataDxfId="969"/>
    <tableColumn id="24" xr3:uid="{99E16DD7-42CB-4829-B574-02913FE0B813}" name="ThreePTSOrLess" dataDxfId="968"/>
    <tableColumn id="25" xr3:uid="{01473979-2626-4B8B-B9F0-90CC714B3136}" name="TenPTSOrMore" dataDxfId="967"/>
    <tableColumn id="26" xr3:uid="{CC414860-8818-43FA-BEA5-1CE5B8C10AA8}" name="LongHomeStreak" dataDxfId="966"/>
    <tableColumn id="27" xr3:uid="{34585AAF-1A6F-4D6C-B040-28E3EA348D1D}" name="strLongHomeStreak" dataDxfId="965"/>
    <tableColumn id="28" xr3:uid="{630B2EB0-9A5E-4930-A274-3C54B2D819FE}" name="LongRoadStreak" dataDxfId="964"/>
    <tableColumn id="29" xr3:uid="{F0EF858B-2468-49A2-852B-1D6702B5026D}" name="strLongRoadStreak" dataDxfId="963"/>
    <tableColumn id="30" xr3:uid="{064B5A53-2248-45E6-A3EB-0316ECAA541B}" name="LongWinStreak" dataDxfId="962"/>
    <tableColumn id="31" xr3:uid="{76DD6506-39D6-42F6-B26C-875FB693B98E}" name="LongLossStreak" dataDxfId="961"/>
    <tableColumn id="32" xr3:uid="{22C54956-4A5A-4D99-99C3-B010FC63A503}" name="CurrentHomeStreak" dataDxfId="960"/>
    <tableColumn id="33" xr3:uid="{04C0EC6E-D0FE-48BF-A54D-8194CF20193D}" name="strCurrentHomeStreak" dataDxfId="959"/>
    <tableColumn id="34" xr3:uid="{EE6B0F34-365E-4769-8ABD-89AE2EDC3EC6}" name="CurrentRoadStreak" dataDxfId="958"/>
    <tableColumn id="35" xr3:uid="{9FD4752D-392D-4798-916A-96E69B416485}" name="strCurrentRoadStreak" dataDxfId="957"/>
    <tableColumn id="36" xr3:uid="{F74D9553-E33D-40D7-88D0-EA905708D734}" name="CurrentStreak" dataDxfId="956"/>
    <tableColumn id="37" xr3:uid="{AD311B56-5E5F-49F4-9D0E-C3AB537E68B4}" name="strCurrentStreak" dataDxfId="955"/>
    <tableColumn id="38" xr3:uid="{5E123AC3-E2DC-4B76-A309-4CCBD19CCBA5}" name="ConferenceGamesBack" dataDxfId="954"/>
    <tableColumn id="39" xr3:uid="{E23E89E1-64EB-4A33-8FEE-BACD38EC8FDB}" name="DivisionGamesBack" dataDxfId="953"/>
    <tableColumn id="40" xr3:uid="{E542F81E-A37B-4858-BDC8-C1B66D22D0AE}" name="ClinchedConferenceTitle" dataDxfId="952"/>
    <tableColumn id="41" xr3:uid="{8B0CFCD4-2435-4DB1-96F1-0C447C409D43}" name="ClinchedDivisionTitle" dataDxfId="951"/>
    <tableColumn id="42" xr3:uid="{52958719-E3F7-4394-9124-D10401C3E74B}" name="ClinchedPlayoffBirth" dataDxfId="950"/>
    <tableColumn id="43" xr3:uid="{D9D2A17C-8B20-4C38-BA43-E87639206F00}" name="EliminatedConference" dataDxfId="949"/>
    <tableColumn id="44" xr3:uid="{BCAD50CB-C53E-44C3-94CD-C28651042BA2}" name="EliminatedDivision" dataDxfId="948"/>
    <tableColumn id="45" xr3:uid="{D512E339-38D8-4F70-8695-7D72288D7A25}" name="AheadAtHalf" dataDxfId="947"/>
    <tableColumn id="46" xr3:uid="{3BC31619-3479-4D11-AECF-20C5DD791250}" name="BehindAtHalf" dataDxfId="946"/>
    <tableColumn id="47" xr3:uid="{AE32BB5C-8D4A-4B73-AD92-A7B752958370}" name="TiedAtHalf" dataDxfId="945"/>
    <tableColumn id="48" xr3:uid="{DC1D9A85-3316-428E-88C2-9F574044F81F}" name="AheadAtThird" dataDxfId="944"/>
    <tableColumn id="49" xr3:uid="{44BC17F3-DF1D-4459-A985-671B1CDC93EB}" name="BehindAtThird" dataDxfId="943"/>
    <tableColumn id="50" xr3:uid="{C3A39DC7-FB9D-49BE-93A4-688E81DEE52F}" name="TiedAtThird" dataDxfId="942"/>
    <tableColumn id="51" xr3:uid="{7414DF25-9244-476A-ABDF-703B42DA9CB4}" name="Score100PTS" dataDxfId="941"/>
    <tableColumn id="52" xr3:uid="{66A97CAC-2187-488F-ABAD-629467A9C1BC}" name="OppScore100PTS" dataDxfId="940"/>
    <tableColumn id="53" xr3:uid="{39A620F8-68E8-4B21-9CBA-5254570C9504}" name="OppOver500" dataDxfId="939"/>
    <tableColumn id="54" xr3:uid="{419415BD-71CA-40CA-89D3-8E15211AFE46}" name="LeadInFGPCT" dataDxfId="938"/>
    <tableColumn id="55" xr3:uid="{448AF2F7-64F7-4BA2-9908-D5C514EB13D6}" name="LeadInReb" dataDxfId="937"/>
    <tableColumn id="56" xr3:uid="{9956F179-6F9D-4DAC-B3A3-7CABFA8C7BFB}" name="FewerTurnovers" dataDxfId="936"/>
    <tableColumn id="57" xr3:uid="{A4E9CAD6-9C1D-46F7-B6C0-F1C68749A179}" name="PointsPG" dataDxfId="935"/>
    <tableColumn id="58" xr3:uid="{7AF295B2-3ECE-4606-84D5-89A43C05F18C}" name="OppPointsPG" dataDxfId="934"/>
    <tableColumn id="59" xr3:uid="{CCB0A878-2847-4225-AA12-5AB709DFA2B6}" name="DiffPointsPG" dataDxfId="933"/>
    <tableColumn id="60" xr3:uid="{F79A3CA9-FC09-408D-87B6-A29D72B2B4EB}" name="vsEast" dataDxfId="932"/>
    <tableColumn id="61" xr3:uid="{59FE5BD4-1CEC-4B37-A258-14078AC4F2C4}" name="vsAtlantic" dataDxfId="931"/>
    <tableColumn id="62" xr3:uid="{7670A2D8-6AA7-4809-8AEF-1C50B1046426}" name="vsCentral" dataDxfId="930"/>
    <tableColumn id="63" xr3:uid="{749ACCBE-5FCB-4360-9624-E32F3E1A4178}" name="vsSoutheast" dataDxfId="929"/>
    <tableColumn id="64" xr3:uid="{325D5A37-325E-468D-A641-8B8EDC7AA086}" name="vsWest" dataDxfId="928"/>
    <tableColumn id="65" xr3:uid="{C3709376-3D68-476C-BA53-4E0845ABC6A7}" name="vsNorthwest" dataDxfId="927"/>
    <tableColumn id="66" xr3:uid="{A83131BD-A71D-40AE-ACDF-DD5AF4AE9081}" name="vsPacific" dataDxfId="926"/>
    <tableColumn id="67" xr3:uid="{6530A0CF-A75A-461C-885A-A8C722FAF2CF}" name="vsSouthwest" dataDxfId="925"/>
    <tableColumn id="68" xr3:uid="{FDFB5D76-0F99-43A2-9AAC-A300B096F236}" name="Jan" dataDxfId="924"/>
    <tableColumn id="69" xr3:uid="{3A2E6DC2-FA67-47F4-9730-F55BFF34D7A7}" name="Feb" dataDxfId="923"/>
    <tableColumn id="70" xr3:uid="{826F4E29-CD72-451C-8F52-774584D4F57B}" name="Mar" dataDxfId="922"/>
    <tableColumn id="71" xr3:uid="{A859FAA6-94A3-47E5-B86F-5BCFDEF6AF23}" name="Apr" dataDxfId="921"/>
    <tableColumn id="72" xr3:uid="{69965D63-48B8-4230-B4FC-2557A793F689}" name="May" dataDxfId="920"/>
    <tableColumn id="73" xr3:uid="{6CCC67D7-55AA-499E-94CF-AC01BE34FEF0}" name="Jun" dataDxfId="919"/>
    <tableColumn id="74" xr3:uid="{27150A37-3354-41EC-8855-20AD1F787F79}" name="Jul" dataDxfId="918"/>
    <tableColumn id="75" xr3:uid="{15A90093-95DE-4540-9188-900A142092A3}" name="Aug" dataDxfId="917"/>
    <tableColumn id="76" xr3:uid="{8748AA89-8EEA-4C6B-B6EC-4C731BDAC379}" name="Sep" dataDxfId="916"/>
    <tableColumn id="77" xr3:uid="{DABD817E-9504-4019-8828-66C76BFF636F}" name="Oct" dataDxfId="915"/>
    <tableColumn id="78" xr3:uid="{D3A9A2E1-958A-4324-BA88-FE314CA633CB}" name="Nov" dataDxfId="914"/>
    <tableColumn id="79" xr3:uid="{9FDCA2E4-D740-4CE1-BDA3-90D315FE137B}" name="Dec" dataDxfId="913"/>
    <tableColumn id="80" xr3:uid="{0371ECAA-1782-4CA2-9CA7-A9969D13B910}" name="PreAS" dataDxfId="912"/>
    <tableColumn id="81" xr3:uid="{E8EFD8AB-9F67-4D79-995F-DF79FBE5596D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C74AD7-5AD2-4F0C-90E3-FA5D1AA6BB8C}" name="TableBaseN1" displayName="TableBaseN1" ref="A1:BD31" totalsRowShown="0" headerRowDxfId="796">
  <autoFilter ref="A1:BD31" xr:uid="{0A865812-A8D8-415E-8C2D-FAFB47EC41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44D40F6-2E4C-49A8-A467-5CE2EB5E3824}" name="TEAM_ID" dataDxfId="852"/>
    <tableColumn id="2" xr3:uid="{C7809348-2AAF-4799-B5C3-72D5729B88D8}" name="TEAM_NAME" dataDxfId="851"/>
    <tableColumn id="3" xr3:uid="{289A23AF-1D2C-4F1A-8100-BFA14323C288}" name="GP" dataDxfId="850"/>
    <tableColumn id="4" xr3:uid="{04345B7C-4622-4A7A-90CA-A84405E2978A}" name="W" dataDxfId="849"/>
    <tableColumn id="5" xr3:uid="{8A42795F-B048-4A38-B94D-52F2ADC9698A}" name="L" dataDxfId="848"/>
    <tableColumn id="6" xr3:uid="{AFC73F2C-3E6D-4D7E-9A41-617C1215305F}" name="W_PCT" dataDxfId="847"/>
    <tableColumn id="7" xr3:uid="{536423BA-0D33-477F-9436-DB1A4D5B6A51}" name="MIN" dataDxfId="846"/>
    <tableColumn id="8" xr3:uid="{E2CE8C24-8157-4A3E-8D54-7F13330F01AB}" name="FGM" dataDxfId="845"/>
    <tableColumn id="9" xr3:uid="{6550DC69-6526-4062-87B5-4932BDEA1220}" name="FGA" dataDxfId="844"/>
    <tableColumn id="10" xr3:uid="{61FA8B5B-E545-4753-8DF1-3ADB71983CB3}" name="FG_PCT" dataDxfId="843"/>
    <tableColumn id="11" xr3:uid="{9427B1E6-1943-4F9C-ACAB-3006902FBE95}" name="FG3M" dataDxfId="842"/>
    <tableColumn id="12" xr3:uid="{FA51A526-6103-4F68-8EBE-E779FF6E75BE}" name="FG3A" dataDxfId="841"/>
    <tableColumn id="13" xr3:uid="{BDBEC456-3722-4713-B02A-284F4F824551}" name="FG3_PCT" dataDxfId="840"/>
    <tableColumn id="14" xr3:uid="{C091D90B-8ECB-4557-8F74-CD1F0529D9A2}" name="FTM" dataDxfId="839"/>
    <tableColumn id="15" xr3:uid="{7049000A-B71A-4696-8D34-24DBF021309F}" name="FTA" dataDxfId="838"/>
    <tableColumn id="16" xr3:uid="{D1A3150A-341C-496C-859B-C4BACA5512C1}" name="FT_PCT" dataDxfId="837"/>
    <tableColumn id="17" xr3:uid="{0C0394CF-D867-4EC1-9BAC-275C9D253C77}" name="OREB" dataDxfId="836"/>
    <tableColumn id="18" xr3:uid="{21730D66-CD85-45ED-BD98-CC76EFF25E36}" name="DREB" dataDxfId="835"/>
    <tableColumn id="19" xr3:uid="{29485A4F-6FB0-4E82-9CD3-97BECD23BCE6}" name="REB" dataDxfId="834"/>
    <tableColumn id="20" xr3:uid="{7325A5E3-5201-4D28-8ACF-5297C340C1FC}" name="AST" dataDxfId="833"/>
    <tableColumn id="21" xr3:uid="{2D1EFF56-6285-493F-A86E-9ADD27F16E28}" name="TOV" dataDxfId="832"/>
    <tableColumn id="22" xr3:uid="{9B65B1C6-74CB-4AF9-828C-9ADE5A2D2D52}" name="STL" dataDxfId="831"/>
    <tableColumn id="23" xr3:uid="{6C031771-CB87-4BF5-9CE2-5EAEA2533087}" name="BLK" dataDxfId="830"/>
    <tableColumn id="24" xr3:uid="{3A8CD50F-9A12-46E1-B102-2A9E3531EE99}" name="BLKA" dataDxfId="829"/>
    <tableColumn id="25" xr3:uid="{890B3810-7692-46D2-B92B-7372CB7F50C9}" name="PF" dataDxfId="828"/>
    <tableColumn id="26" xr3:uid="{B173BFB2-F664-4981-87D8-24DBD462DF25}" name="PFD" dataDxfId="827"/>
    <tableColumn id="27" xr3:uid="{CD92222C-C889-4C65-888A-564371A99B65}" name="PTS" dataDxfId="826"/>
    <tableColumn id="28" xr3:uid="{87DAD54C-C4F5-4D33-90FD-DFEE4C853653}" name="PLUS_MINUS" dataDxfId="825"/>
    <tableColumn id="29" xr3:uid="{3CDE7DEF-DB9C-48D6-B9E2-2AEB8D1030B3}" name="GP_RANK" dataDxfId="824"/>
    <tableColumn id="30" xr3:uid="{727EA4E1-292D-479C-B905-1D69EB4347F9}" name="W_RANK" dataDxfId="823"/>
    <tableColumn id="31" xr3:uid="{F796D240-BE37-43F0-9AD6-2DF1886EAF4A}" name="L_RANK" dataDxfId="822"/>
    <tableColumn id="32" xr3:uid="{16BADB49-CD6A-493A-B7B0-5EF2E1AD9B5D}" name="W_PCT_RANK" dataDxfId="821"/>
    <tableColumn id="33" xr3:uid="{0BD0E6FD-9648-424F-8673-AE4DFCAD5166}" name="MIN_RANK" dataDxfId="820"/>
    <tableColumn id="34" xr3:uid="{D6B9D19E-A985-4B88-9D04-ABE0207EC2D3}" name="FGM_RANK" dataDxfId="819"/>
    <tableColumn id="35" xr3:uid="{16886333-8C41-4A10-AC88-7E4C86E2A46A}" name="FGA_RANK" dataDxfId="818"/>
    <tableColumn id="36" xr3:uid="{5DADCAAF-05B2-41F3-BEB3-EA5A03783A58}" name="FG_PCT_RANK" dataDxfId="817"/>
    <tableColumn id="37" xr3:uid="{5E734145-1325-4112-9A60-CA648CB4167B}" name="FG3M_RANK" dataDxfId="816"/>
    <tableColumn id="38" xr3:uid="{9028BE98-C890-42CF-885E-83B91679833F}" name="FG3A_RANK" dataDxfId="815"/>
    <tableColumn id="39" xr3:uid="{605177EC-7CA7-4A89-9E3A-42D200BE7084}" name="FG3_PCT_RANK" dataDxfId="814"/>
    <tableColumn id="40" xr3:uid="{94F1DDFA-2FC4-4602-882A-4EB346AA9841}" name="FTM_RANK" dataDxfId="813"/>
    <tableColumn id="41" xr3:uid="{18EDE47E-C87A-4524-B2C1-0EFF0FB86504}" name="FTA_RANK" dataDxfId="812"/>
    <tableColumn id="42" xr3:uid="{02AE70E4-E3B9-42C0-9494-039ED81F77D6}" name="FT_PCT_RANK" dataDxfId="811"/>
    <tableColumn id="43" xr3:uid="{4F8FE43C-2509-4692-80EE-F11978C202B1}" name="OREB_RANK" dataDxfId="810"/>
    <tableColumn id="44" xr3:uid="{1FF6717C-F88F-433A-B42F-38D2ADB74742}" name="DREB_RANK" dataDxfId="809"/>
    <tableColumn id="45" xr3:uid="{62D3D492-46DE-40CA-9D2B-3DF77D29C127}" name="REB_RANK" dataDxfId="808"/>
    <tableColumn id="46" xr3:uid="{1AD20AAF-0DA5-4B72-9B48-B6F9784ADD4E}" name="AST_RANK" dataDxfId="807"/>
    <tableColumn id="47" xr3:uid="{48D23D9C-A4D8-487C-9444-F8A098D939C4}" name="TOV_RANK" dataDxfId="806"/>
    <tableColumn id="48" xr3:uid="{13B475C6-05AD-404C-8EED-4F6319306734}" name="STL_RANK" dataDxfId="805"/>
    <tableColumn id="49" xr3:uid="{16E521DE-B0CF-4EEF-8A62-F4AE63738C84}" name="BLK_RANK" dataDxfId="804"/>
    <tableColumn id="50" xr3:uid="{938DC1CA-D6F4-408A-A5C0-6E16C86E157C}" name="BLKA_RANK" dataDxfId="803"/>
    <tableColumn id="51" xr3:uid="{60588EC4-443C-4E2A-A28E-6D38BF75FD2B}" name="PF_RANK" dataDxfId="802"/>
    <tableColumn id="52" xr3:uid="{431ED864-A0C8-46B1-B073-14D2019B5289}" name="PFD_RANK" dataDxfId="801"/>
    <tableColumn id="53" xr3:uid="{5E0A9DF3-8DB6-45A3-97F8-206A0A1CAE89}" name="PTS_RANK" dataDxfId="800"/>
    <tableColumn id="54" xr3:uid="{E8CA691A-E5E8-4017-AE50-68BA363CF9F5}" name="PLUS_MINUS_RANK" dataDxfId="799"/>
    <tableColumn id="55" xr3:uid="{F927109B-4F07-4043-A1C5-130C7201710A}" name="CFID" dataDxfId="798"/>
    <tableColumn id="56" xr3:uid="{76AEB142-7F9C-41F6-9CFF-5ABD84C0312C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05004B3-B78D-41F6-8F3F-5EC45275A6BD}" name="TableAdvancedN1" displayName="TableAdvancedN1" ref="A1:AV31" totalsRowShown="0" headerRowDxfId="698">
  <autoFilter ref="A1:AV31" xr:uid="{8E5F988B-CC74-49D6-9068-1B8927122B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B98EFC2-A924-4CF7-B06D-528D5F86C405}" name="TEAM_ID" dataDxfId="746"/>
    <tableColumn id="2" xr3:uid="{2C70FCC8-D418-491A-BB62-251A439AD3CF}" name="TEAM_NAME" dataDxfId="745"/>
    <tableColumn id="3" xr3:uid="{0C01605B-F9F1-4D42-A434-0B8ABCA75FCB}" name="GP" dataDxfId="744"/>
    <tableColumn id="4" xr3:uid="{029A6109-7363-49FE-9553-765FBDF2F7A6}" name="W" dataDxfId="743"/>
    <tableColumn id="5" xr3:uid="{949C3318-13F6-4D68-804E-6A02289C0047}" name="L" dataDxfId="742"/>
    <tableColumn id="6" xr3:uid="{9869403E-660D-49DF-96B1-7DCACD443052}" name="W_PCT" dataDxfId="741"/>
    <tableColumn id="7" xr3:uid="{327BB03F-5956-43AE-83CF-E975DAADB569}" name="MIN" dataDxfId="740"/>
    <tableColumn id="8" xr3:uid="{75B8B4B3-8266-4920-9F5E-3E8D50D32F8F}" name="E_OFF_RATING" dataDxfId="739"/>
    <tableColumn id="9" xr3:uid="{0BB87E04-1A51-40C8-9E0C-6EA32F13FB56}" name="OFF_RATING" dataDxfId="738"/>
    <tableColumn id="10" xr3:uid="{D5923CB9-9385-499F-BDD3-F6F92B81519B}" name="E_DEF_RATING" dataDxfId="737"/>
    <tableColumn id="11" xr3:uid="{2783A391-B817-43B5-AA74-02AFCC2D06C4}" name="DEF_RATING" dataDxfId="736"/>
    <tableColumn id="12" xr3:uid="{A567532D-2209-4BDE-913B-C8A111B0D226}" name="E_NET_RATING" dataDxfId="735"/>
    <tableColumn id="13" xr3:uid="{9C8F023F-BD7F-4340-89CA-EE2C458760F5}" name="NET_RATING" dataDxfId="734"/>
    <tableColumn id="14" xr3:uid="{C03E7D73-A7D3-40AE-9AE0-5BFDEE33BE95}" name="AST_PCT" dataDxfId="733"/>
    <tableColumn id="15" xr3:uid="{4E12D480-832A-439D-B6A2-7F3479237E66}" name="AST_TO" dataDxfId="732"/>
    <tableColumn id="16" xr3:uid="{EE1BE8A1-0599-47B2-BA07-4E45842A4417}" name="AST_RATIO" dataDxfId="731"/>
    <tableColumn id="17" xr3:uid="{E49400DD-B882-42E9-9F67-FE234C142CD4}" name="OREB_PCT" dataDxfId="730"/>
    <tableColumn id="18" xr3:uid="{0FABE4DD-E0F0-478B-BAEA-FBE4383AF279}" name="DREB_PCT" dataDxfId="729"/>
    <tableColumn id="19" xr3:uid="{07B2263B-9846-45A1-A9F6-8373C02404CF}" name="REB_PCT" dataDxfId="728"/>
    <tableColumn id="20" xr3:uid="{F5586309-7015-4548-91DC-65B77944FA1E}" name="TM_TOV_PCT" dataDxfId="727"/>
    <tableColumn id="21" xr3:uid="{3D6331D1-2F14-4C33-A35E-BB1EC6A2B2C9}" name="EFG_PCT" dataDxfId="726"/>
    <tableColumn id="22" xr3:uid="{812AC29B-B4FD-48A8-AFA9-E2F58C04C128}" name="TS_PCT" dataDxfId="725"/>
    <tableColumn id="23" xr3:uid="{1E5F5836-9A4A-4614-9590-06EBCD582476}" name="E_PACE" dataDxfId="724"/>
    <tableColumn id="24" xr3:uid="{6118975A-FE30-4E7D-ABCD-8D4B49A3155D}" name="PACE" dataDxfId="723"/>
    <tableColumn id="25" xr3:uid="{C900FD62-71A9-4276-9C84-0FC853F343B0}" name="PACE_PER40" dataDxfId="722"/>
    <tableColumn id="26" xr3:uid="{D0BFFFFF-1B2D-486E-BFCD-672339A4E96A}" name="POSS" dataDxfId="721"/>
    <tableColumn id="27" xr3:uid="{F04FA753-4E98-48B7-9A38-01EADBBD3C1F}" name="PIE" dataDxfId="720"/>
    <tableColumn id="28" xr3:uid="{D776066A-2ADE-48C8-8121-2E95A18BCD67}" name="GP_RANK" dataDxfId="719"/>
    <tableColumn id="29" xr3:uid="{7E9787E8-5832-493C-85AD-C60FDE2B34C4}" name="W_RANK" dataDxfId="718"/>
    <tableColumn id="30" xr3:uid="{03164FBD-DAC0-45B2-97F9-F9E828D50CA8}" name="L_RANK" dataDxfId="717"/>
    <tableColumn id="31" xr3:uid="{470E767F-42D6-46B4-B104-E99A6109C97A}" name="W_PCT_RANK" dataDxfId="716"/>
    <tableColumn id="32" xr3:uid="{4BA8C2FA-A122-4B52-8CFE-B38AAA8C4EE0}" name="MIN_RANK" dataDxfId="715"/>
    <tableColumn id="33" xr3:uid="{1134EAF4-934B-4860-9F78-32385FD99E79}" name="OFF_RATING_RANK" dataDxfId="714"/>
    <tableColumn id="34" xr3:uid="{04A572FE-6C2B-4246-8C46-FB0A97ECBB21}" name="DEF_RATING_RANK" dataDxfId="713"/>
    <tableColumn id="35" xr3:uid="{691941B0-0E67-4B2C-ABFF-4CC6E6D88F9A}" name="NET_RATING_RANK" dataDxfId="712"/>
    <tableColumn id="36" xr3:uid="{F69E4983-0053-47A4-B076-8F0B556AA859}" name="AST_PCT_RANK" dataDxfId="711"/>
    <tableColumn id="37" xr3:uid="{8B60BDE0-B237-4213-BFEB-16CD4FC98F48}" name="AST_TO_RANK" dataDxfId="710"/>
    <tableColumn id="38" xr3:uid="{52FB0B47-2311-4F37-A86C-CA8D220BD325}" name="AST_RATIO_RANK" dataDxfId="709"/>
    <tableColumn id="39" xr3:uid="{3436C56C-F12D-4CF2-8C01-F155D5F773AE}" name="OREB_PCT_RANK" dataDxfId="708"/>
    <tableColumn id="40" xr3:uid="{2EDCF2E3-DBE7-4786-95F0-A21B3E05335D}" name="DREB_PCT_RANK" dataDxfId="707"/>
    <tableColumn id="41" xr3:uid="{57D174E5-F5C8-4545-B6D0-92F426EC989D}" name="REB_PCT_RANK" dataDxfId="706"/>
    <tableColumn id="42" xr3:uid="{B6C2FFAF-FAB6-4CA2-AD93-8858C1E8C9E4}" name="TM_TOV_PCT_RANK" dataDxfId="705"/>
    <tableColumn id="43" xr3:uid="{9E822243-A9E0-48FF-A9AC-7EB8D55DD771}" name="EFG_PCT_RANK" dataDxfId="704"/>
    <tableColumn id="44" xr3:uid="{A758E369-7F18-40AB-985F-D81826A91E52}" name="TS_PCT_RANK" dataDxfId="703"/>
    <tableColumn id="45" xr3:uid="{F0AB4707-93AB-4950-BEDA-E7B28B81993D}" name="PACE_RANK" dataDxfId="702"/>
    <tableColumn id="46" xr3:uid="{0692055E-2491-429C-8E2A-BCD16D7C94A4}" name="PIE_RANK" dataDxfId="701"/>
    <tableColumn id="47" xr3:uid="{B4CDE7A3-3761-41CF-B79E-E422DF30BCDA}" name="CFID" dataDxfId="700"/>
    <tableColumn id="48" xr3:uid="{5EE92D15-FE46-4F25-926B-74B59B73731D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EA0B4A-963B-4D3B-8F6A-CF46D8081706}" name="TableAdvancedN1Starters" displayName="TableAdvancedN1Starters" ref="A1:AV31" totalsRowShown="0" headerRowDxfId="600">
  <autoFilter ref="A1:AV31" xr:uid="{EF8BF2EA-86E9-4E8B-B963-59617A0BBB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BA2084B-FAAB-4A6B-A776-0270E03FD73D}" name="TEAM_ID" dataDxfId="648"/>
    <tableColumn id="2" xr3:uid="{C9CB70F2-E6CF-4CD2-B815-02EAE8DA3230}" name="TEAM_NAME" dataDxfId="647"/>
    <tableColumn id="3" xr3:uid="{C6C91758-20C7-4583-9003-B3CB5CE05FD0}" name="GP" dataDxfId="646"/>
    <tableColumn id="4" xr3:uid="{97C424C3-570D-414C-96D9-8E98F4D2D2DF}" name="W" dataDxfId="645"/>
    <tableColumn id="5" xr3:uid="{29F8815A-F480-47A3-9E9D-B6D9B1EE749F}" name="L" dataDxfId="644"/>
    <tableColumn id="6" xr3:uid="{5FAEF830-AD80-415A-98F8-B126CB860179}" name="W_PCT" dataDxfId="643"/>
    <tableColumn id="7" xr3:uid="{2C21DD73-03A5-40C2-89BC-BF4C7A97222C}" name="MIN" dataDxfId="642"/>
    <tableColumn id="8" xr3:uid="{1E205BAB-7EC6-4C1D-88DF-92F7A9CEBFB7}" name="E_OFF_RATING" dataDxfId="641"/>
    <tableColumn id="9" xr3:uid="{BB370ADD-F769-4ACD-8FD1-DD1891804EDA}" name="OFF_RATING" dataDxfId="640"/>
    <tableColumn id="10" xr3:uid="{6BA408A6-BBF7-43DE-9528-6BD681E99EE1}" name="E_DEF_RATING" dataDxfId="639"/>
    <tableColumn id="11" xr3:uid="{B6E8232A-B437-4858-91DB-0BFE9F33D27C}" name="DEF_RATING" dataDxfId="638"/>
    <tableColumn id="12" xr3:uid="{2CF74202-907B-4962-B536-15E867E633FE}" name="E_NET_RATING" dataDxfId="637"/>
    <tableColumn id="13" xr3:uid="{D0BC8695-8AF5-41C6-B6F7-E3AA0E2EB56B}" name="NET_RATING" dataDxfId="636"/>
    <tableColumn id="14" xr3:uid="{8470EC0F-09BA-4C8B-BC39-286EF85B4099}" name="AST_PCT" dataDxfId="635"/>
    <tableColumn id="15" xr3:uid="{37913A14-0AE2-4C98-AABE-0A801AC39629}" name="AST_TO" dataDxfId="634"/>
    <tableColumn id="16" xr3:uid="{7134B239-BF3F-4BB0-A252-13CD1E48CE06}" name="AST_RATIO" dataDxfId="633"/>
    <tableColumn id="17" xr3:uid="{203D1CF3-2BCE-4FE0-A390-512D792FD0D9}" name="OREB_PCT" dataDxfId="632"/>
    <tableColumn id="18" xr3:uid="{424594B5-505F-4482-B6FD-80BCDD9DF8B4}" name="DREB_PCT" dataDxfId="631"/>
    <tableColumn id="19" xr3:uid="{04C52991-D3D3-4D6F-A266-94EF4773FA1B}" name="REB_PCT" dataDxfId="630"/>
    <tableColumn id="20" xr3:uid="{A8BC0FEB-C794-45B3-9F4D-637C1C5CCDD0}" name="TM_TOV_PCT" dataDxfId="629"/>
    <tableColumn id="21" xr3:uid="{66E61EE7-DE24-4B6C-ACAA-47B7A174DB65}" name="EFG_PCT" dataDxfId="628"/>
    <tableColumn id="22" xr3:uid="{049F2FF9-613F-4867-BB96-5F8486C8A43E}" name="TS_PCT" dataDxfId="627"/>
    <tableColumn id="23" xr3:uid="{0BA69AFA-85EC-4A97-BDA8-37A144B723CB}" name="E_PACE" dataDxfId="626"/>
    <tableColumn id="24" xr3:uid="{CC07E8B5-A225-4949-BBAF-EC2517CD45C5}" name="PACE" dataDxfId="625"/>
    <tableColumn id="25" xr3:uid="{635018A5-5CB8-4B4C-B505-DED57DE6F866}" name="PACE_PER40" dataDxfId="624"/>
    <tableColumn id="26" xr3:uid="{4E976E8E-CA01-4669-8701-23746CD58224}" name="POSS" dataDxfId="623"/>
    <tableColumn id="27" xr3:uid="{55B013FC-BF2A-45F0-8E9D-AD6EBFBEC5CF}" name="PIE" dataDxfId="622"/>
    <tableColumn id="28" xr3:uid="{FD6D4CA3-04C1-4FBA-BCAD-79F6870B1876}" name="GP_RANK" dataDxfId="621"/>
    <tableColumn id="29" xr3:uid="{29BD0203-6567-4C63-A370-5238EDF4428A}" name="W_RANK" dataDxfId="620"/>
    <tableColumn id="30" xr3:uid="{201DEF84-0E65-4B86-8416-029EC99134C7}" name="L_RANK" dataDxfId="619"/>
    <tableColumn id="31" xr3:uid="{A4BB5CFE-340A-46B3-8A38-3F584A2749A6}" name="W_PCT_RANK" dataDxfId="618"/>
    <tableColumn id="32" xr3:uid="{0ADF6AE5-04D2-4DC1-825C-88DF1B0D9DD2}" name="MIN_RANK" dataDxfId="617"/>
    <tableColumn id="33" xr3:uid="{C3A10812-E136-413D-AE71-C689891BD741}" name="OFF_RATING_RANK" dataDxfId="616"/>
    <tableColumn id="34" xr3:uid="{A513B41B-4DBF-4A1E-8601-2386D59FDD40}" name="DEF_RATING_RANK" dataDxfId="615"/>
    <tableColumn id="35" xr3:uid="{D353636B-4BBA-4298-B058-816FFB4E98E9}" name="NET_RATING_RANK" dataDxfId="614"/>
    <tableColumn id="36" xr3:uid="{449066A5-B539-4E19-AA80-DAB9F99E61AE}" name="AST_PCT_RANK" dataDxfId="613"/>
    <tableColumn id="37" xr3:uid="{D8B4FB3E-87F5-482B-9210-F765C6D380B6}" name="AST_TO_RANK" dataDxfId="612"/>
    <tableColumn id="38" xr3:uid="{1B19405A-EF18-4D64-AD36-3864EC4A913E}" name="AST_RATIO_RANK" dataDxfId="611"/>
    <tableColumn id="39" xr3:uid="{1245600D-8FA2-463F-9E85-B3571F5FF686}" name="OREB_PCT_RANK" dataDxfId="610"/>
    <tableColumn id="40" xr3:uid="{C2951C4B-15E8-4C7B-9B0D-35ECCB031217}" name="DREB_PCT_RANK" dataDxfId="609"/>
    <tableColumn id="41" xr3:uid="{815FD30B-B00A-41E9-9773-4546946A9932}" name="REB_PCT_RANK" dataDxfId="608"/>
    <tableColumn id="42" xr3:uid="{5910BEFD-B31A-4E2B-9A8E-FEB502724D58}" name="TM_TOV_PCT_RANK" dataDxfId="607"/>
    <tableColumn id="43" xr3:uid="{5D838CF1-2242-4D7D-B1CA-C219D2AF152C}" name="EFG_PCT_RANK" dataDxfId="606"/>
    <tableColumn id="44" xr3:uid="{02E175CC-94FA-46E2-AC8D-7D3786D7FDCB}" name="TS_PCT_RANK" dataDxfId="605"/>
    <tableColumn id="45" xr3:uid="{DE0BAA04-3449-4B42-B00D-21B74CC4748A}" name="PACE_RANK" dataDxfId="604"/>
    <tableColumn id="46" xr3:uid="{4D755372-1897-4021-B447-014F8B4C9050}" name="PIE_RANK" dataDxfId="603"/>
    <tableColumn id="47" xr3:uid="{BB994740-71F9-469D-8A6D-666991C8D6F7}" name="CFID" dataDxfId="602"/>
    <tableColumn id="48" xr3:uid="{54AF5619-DB60-44C2-9837-E940CD5FC820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4254D47-28E5-4821-A70B-5B03A4AF800A}" name="TableAdvancedN1Bench" displayName="TableAdvancedN1Bench" ref="A1:AV31" totalsRowShown="0" headerRowDxfId="502">
  <autoFilter ref="A1:AV31" xr:uid="{5FAB141D-CE9C-46BB-A341-5B822F321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85B16C6-2CAA-4C45-A3AA-7060E2E016C0}" name="TEAM_ID" dataDxfId="550"/>
    <tableColumn id="2" xr3:uid="{4EF4D08A-2782-48A0-B898-32EA6F223F10}" name="TEAM_NAME" dataDxfId="549"/>
    <tableColumn id="3" xr3:uid="{7BCC7BF5-A472-4C6B-A967-BA1395E71919}" name="GP" dataDxfId="548"/>
    <tableColumn id="4" xr3:uid="{64D9A66D-8419-43DC-8353-F699F021112A}" name="W" dataDxfId="547"/>
    <tableColumn id="5" xr3:uid="{D1D8363E-4D4D-45DF-B3E7-A3552F853D50}" name="L" dataDxfId="546"/>
    <tableColumn id="6" xr3:uid="{7EC12A45-750C-4CD4-99E3-DF3F57A75061}" name="W_PCT" dataDxfId="545"/>
    <tableColumn id="7" xr3:uid="{79660172-1870-4E7A-ACEE-87C2DA4C77C3}" name="MIN" dataDxfId="544"/>
    <tableColumn id="8" xr3:uid="{C7561898-8A8B-4137-9F46-CC4349AE23DA}" name="E_OFF_RATING" dataDxfId="543"/>
    <tableColumn id="9" xr3:uid="{D77DECF1-03D7-48F4-99AB-3491CB77470B}" name="OFF_RATING" dataDxfId="542"/>
    <tableColumn id="10" xr3:uid="{93773A9A-3F85-4FFE-98EF-87825B6FBC4B}" name="E_DEF_RATING" dataDxfId="541"/>
    <tableColumn id="11" xr3:uid="{E95B47BE-067E-49D8-9266-2ACC27234616}" name="DEF_RATING" dataDxfId="540"/>
    <tableColumn id="12" xr3:uid="{6D5BCF16-FA99-45AF-9B80-707BAA83A07B}" name="E_NET_RATING" dataDxfId="539"/>
    <tableColumn id="13" xr3:uid="{603EE6E5-B994-4D6C-9838-904C52E4D59A}" name="NET_RATING" dataDxfId="538"/>
    <tableColumn id="14" xr3:uid="{51ACA480-E27F-4E36-8F57-7C302569A251}" name="AST_PCT" dataDxfId="537"/>
    <tableColumn id="15" xr3:uid="{0225C827-7968-428D-B5CE-BDAA931C0EC4}" name="AST_TO" dataDxfId="536"/>
    <tableColumn id="16" xr3:uid="{7342DAC6-11A4-4818-B3A4-04376E5D12ED}" name="AST_RATIO" dataDxfId="535"/>
    <tableColumn id="17" xr3:uid="{52F9EEC6-AEF4-432E-B087-26E42E510274}" name="OREB_PCT" dataDxfId="534"/>
    <tableColumn id="18" xr3:uid="{5F0872A1-1B23-4B71-8C44-441FB28A9015}" name="DREB_PCT" dataDxfId="533"/>
    <tableColumn id="19" xr3:uid="{CDD3E1F8-766E-42CA-BF61-634E9B7C4DA5}" name="REB_PCT" dataDxfId="532"/>
    <tableColumn id="20" xr3:uid="{58DECA0A-D343-43C8-A9ED-786F641EF0B2}" name="TM_TOV_PCT" dataDxfId="531"/>
    <tableColumn id="21" xr3:uid="{F9F3EDB2-4D91-404C-9276-E7DB3AF91E66}" name="EFG_PCT" dataDxfId="530"/>
    <tableColumn id="22" xr3:uid="{90E3F59A-F530-4410-A68A-5D1A69A641BB}" name="TS_PCT" dataDxfId="529"/>
    <tableColumn id="23" xr3:uid="{86CC8CC6-0D10-4D5A-B1F6-93E6E32E5C67}" name="E_PACE" dataDxfId="528"/>
    <tableColumn id="24" xr3:uid="{C9D3F196-D25C-4F5A-879D-545F4509A855}" name="PACE" dataDxfId="527"/>
    <tableColumn id="25" xr3:uid="{6A9AB240-661F-4AEC-86FA-C4403EB17164}" name="PACE_PER40" dataDxfId="526"/>
    <tableColumn id="26" xr3:uid="{31683D8A-58B9-464D-B800-3408D45D7AF4}" name="POSS" dataDxfId="525"/>
    <tableColumn id="27" xr3:uid="{B2A048D4-ADAA-4D05-AA3F-B97B8FFE4746}" name="PIE" dataDxfId="524"/>
    <tableColumn id="28" xr3:uid="{E87B1A66-CA40-490D-9DBF-29D2C5E8E674}" name="GP_RANK" dataDxfId="523"/>
    <tableColumn id="29" xr3:uid="{6D80FECF-1502-4A07-B3ED-C27562B92F26}" name="W_RANK" dataDxfId="522"/>
    <tableColumn id="30" xr3:uid="{495C61F0-F73A-42F7-A1F2-934A29A6FB01}" name="L_RANK" dataDxfId="521"/>
    <tableColumn id="31" xr3:uid="{CF41881B-0523-4C18-9947-C1B323A26817}" name="W_PCT_RANK" dataDxfId="520"/>
    <tableColumn id="32" xr3:uid="{B851C373-B1D2-454F-9028-6543EF595899}" name="MIN_RANK" dataDxfId="519"/>
    <tableColumn id="33" xr3:uid="{FB84CB9E-A15F-4508-A162-273AB2837B01}" name="OFF_RATING_RANK" dataDxfId="518"/>
    <tableColumn id="34" xr3:uid="{7C261815-1B81-4B18-8B9F-31713DD5A25E}" name="DEF_RATING_RANK" dataDxfId="517"/>
    <tableColumn id="35" xr3:uid="{287151DF-189C-42F0-84B4-1C7818D398A6}" name="NET_RATING_RANK" dataDxfId="516"/>
    <tableColumn id="36" xr3:uid="{C7D2B142-E85C-424D-8F4C-CA76FB62FD2C}" name="AST_PCT_RANK" dataDxfId="515"/>
    <tableColumn id="37" xr3:uid="{CF0879AF-3B32-4E7D-B6DE-186030510100}" name="AST_TO_RANK" dataDxfId="514"/>
    <tableColumn id="38" xr3:uid="{21150B59-9B0D-4923-BC50-2361EF5439EE}" name="AST_RATIO_RANK" dataDxfId="513"/>
    <tableColumn id="39" xr3:uid="{4D5AAABC-DD6A-4E9E-943F-E52806596A1B}" name="OREB_PCT_RANK" dataDxfId="512"/>
    <tableColumn id="40" xr3:uid="{85867305-6605-4508-BAC5-A3A989380B90}" name="DREB_PCT_RANK" dataDxfId="511"/>
    <tableColumn id="41" xr3:uid="{B3F324EE-FEE3-4197-A1D7-60715D1929B4}" name="REB_PCT_RANK" dataDxfId="510"/>
    <tableColumn id="42" xr3:uid="{F6A4BE64-5B54-4DF8-A3F8-CC45F1908448}" name="TM_TOV_PCT_RANK" dataDxfId="509"/>
    <tableColumn id="43" xr3:uid="{E2FAA997-A545-478E-9833-DACEAB8E0274}" name="EFG_PCT_RANK" dataDxfId="508"/>
    <tableColumn id="44" xr3:uid="{2802B414-7A55-47DC-B315-5D0BA2940B7A}" name="TS_PCT_RANK" dataDxfId="507"/>
    <tableColumn id="45" xr3:uid="{25A3D876-AB9F-47DC-9444-9A7E5486E42B}" name="PACE_RANK" dataDxfId="506"/>
    <tableColumn id="46" xr3:uid="{EB92D72B-E8BC-49E0-9754-5C1F21B0A32A}" name="PIE_RANK" dataDxfId="505"/>
    <tableColumn id="47" xr3:uid="{6D976D34-F22E-409A-8A5B-C4701FB03AF3}" name="CFID" dataDxfId="504"/>
    <tableColumn id="48" xr3:uid="{1D359405-A51A-4A49-AB2E-EB3344D0CA07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21BF09-125A-413A-ADE1-A9AA3C161CC3}" name="TableMiscN1" displayName="TableMiscN1" ref="A1:AD31" totalsRowShown="0" headerRowDxfId="440">
  <autoFilter ref="A1:AD31" xr:uid="{70862C98-284B-4C9E-A3C4-6525E4E591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066BD915-EF18-42E8-85AA-3665E7BDC497}" name="TEAM_ID" dataDxfId="470"/>
    <tableColumn id="2" xr3:uid="{8A73DC70-8241-4177-88E6-BB7E77B5B609}" name="TEAM_NAME" dataDxfId="469"/>
    <tableColumn id="3" xr3:uid="{F89A7DE2-3E20-4FC1-B474-2EFAD950A394}" name="GP" dataDxfId="468"/>
    <tableColumn id="4" xr3:uid="{3895D42C-E802-418E-BDAF-58E02123C0EC}" name="W" dataDxfId="467"/>
    <tableColumn id="5" xr3:uid="{22CA1827-9715-4D62-B663-BFE7CED354A8}" name="L" dataDxfId="466"/>
    <tableColumn id="6" xr3:uid="{97320BED-AF91-4CB5-AF4E-1596B91C4143}" name="W_PCT" dataDxfId="465"/>
    <tableColumn id="7" xr3:uid="{415D1C3B-5863-4F84-8FF7-22C8364B2633}" name="MIN" dataDxfId="464"/>
    <tableColumn id="8" xr3:uid="{4BD2AE65-6678-4638-AFC6-9598F21DF409}" name="PTS_OFF_TOV" dataDxfId="463"/>
    <tableColumn id="9" xr3:uid="{DBFB0D8B-5907-4EEA-AA7C-E0EB092AE4B3}" name="PTS_2ND_CHANCE" dataDxfId="462"/>
    <tableColumn id="10" xr3:uid="{3E98E571-3507-48A7-BFF8-41719166234D}" name="PTS_FB" dataDxfId="461"/>
    <tableColumn id="11" xr3:uid="{FF777E25-1AF2-48AF-B0C9-9CB24643AAF8}" name="PTS_PAINT" dataDxfId="460"/>
    <tableColumn id="12" xr3:uid="{6EFE72E5-A0A5-4675-8277-516EF4B09246}" name="OPP_PTS_OFF_TOV" dataDxfId="459"/>
    <tableColumn id="13" xr3:uid="{BAB44037-EF7C-4A16-BB95-106F368BF0D8}" name="OPP_PTS_2ND_CHANCE" dataDxfId="458"/>
    <tableColumn id="14" xr3:uid="{1779676B-F900-4A34-90C0-3474274D4186}" name="OPP_PTS_FB" dataDxfId="457"/>
    <tableColumn id="15" xr3:uid="{A4E7F56A-DD70-46FA-A6F4-9012B2E73F55}" name="OPP_PTS_PAINT" dataDxfId="456"/>
    <tableColumn id="16" xr3:uid="{693CBE5F-9E3A-4336-AC3C-BB80B8FC735B}" name="GP_RANK" dataDxfId="455"/>
    <tableColumn id="17" xr3:uid="{F2F9E7B6-6431-479B-8F63-4E7A1FFC9AAA}" name="W_RANK" dataDxfId="454"/>
    <tableColumn id="18" xr3:uid="{524042D1-1ED3-405B-A696-6A9BFCC9454A}" name="L_RANK" dataDxfId="453"/>
    <tableColumn id="19" xr3:uid="{728A9CE4-4E96-4A05-ADDF-65B250E4425D}" name="W_PCT_RANK" dataDxfId="452"/>
    <tableColumn id="20" xr3:uid="{8DF5B7BA-B20A-4A3C-AAB3-0A8E25DE0DA8}" name="MIN_RANK" dataDxfId="451"/>
    <tableColumn id="21" xr3:uid="{95A80D18-B62F-48BC-B959-86BC89214733}" name="PTS_OFF_TOV_RANK" dataDxfId="450"/>
    <tableColumn id="22" xr3:uid="{D6A37571-B44A-4C61-9532-9F2585CC51B9}" name="PTS_2ND_CHANCE_RANK" dataDxfId="449"/>
    <tableColumn id="23" xr3:uid="{B9E44856-438D-4C38-BB67-FF84CF9C63C6}" name="PTS_FB_RANK" dataDxfId="448"/>
    <tableColumn id="24" xr3:uid="{3E881164-BEE0-462C-BCB4-EEEB9FAB6817}" name="PTS_PAINT_RANK" dataDxfId="447"/>
    <tableColumn id="25" xr3:uid="{0E85B86C-77A5-4ED1-BFBC-9C8F1610CCD7}" name="OPP_PTS_OFF_TOV_RANK" dataDxfId="446"/>
    <tableColumn id="26" xr3:uid="{1C4BE9EC-FE5E-46B0-8A9B-9C9D0143440F}" name="OPP_PTS_2ND_CHANCE_RANK" dataDxfId="445"/>
    <tableColumn id="27" xr3:uid="{7413BB3F-843D-433B-8E99-0A891857B87F}" name="OPP_PTS_FB_RANK" dataDxfId="444"/>
    <tableColumn id="28" xr3:uid="{4FFB0072-5578-4873-936C-37FE19AF38B3}" name="OPP_PTS_PAINT_RANK" dataDxfId="443"/>
    <tableColumn id="29" xr3:uid="{367520F1-06D4-443C-BC24-160CB3A15DBD}" name="CFID" dataDxfId="442"/>
    <tableColumn id="30" xr3:uid="{4A02CF43-2300-4B68-B5F4-B49D79558344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2262C1-5701-4AE4-A41E-153DAEEDE506}" name="TableOppBaseN1" displayName="TableOppBaseN1" ref="A1:BD31" totalsRowShown="0" headerRowDxfId="326">
  <autoFilter ref="A1:BD31" xr:uid="{E92087F7-B71A-4CA2-8C82-5CE01B5ED3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431A15F-D618-4E2C-9EB3-201D5D9C9682}" name="TEAM_ID" dataDxfId="382"/>
    <tableColumn id="2" xr3:uid="{2C3A09E8-743E-44E3-A2DD-0E3FAB038DB2}" name="TEAM_NAME" dataDxfId="381"/>
    <tableColumn id="3" xr3:uid="{A245C3B6-1FBE-4502-8F87-5930906D3789}" name="GP" dataDxfId="380"/>
    <tableColumn id="4" xr3:uid="{F6024C0A-3201-4FB2-B860-FE0ADDCFB38F}" name="W" dataDxfId="379"/>
    <tableColumn id="5" xr3:uid="{3FE048AB-D7BE-4C96-82E4-B0D41E6B22DF}" name="L" dataDxfId="378"/>
    <tableColumn id="6" xr3:uid="{86400FA2-AC98-43A9-A37C-A4F909352472}" name="W_PCT" dataDxfId="377"/>
    <tableColumn id="7" xr3:uid="{E6BAA21B-DF24-4923-AAA7-8C05440D5760}" name="MIN" dataDxfId="376"/>
    <tableColumn id="8" xr3:uid="{4AB2E91F-8BF7-4FFA-87BA-FB3577541E31}" name="OPP_FGM" dataDxfId="375"/>
    <tableColumn id="9" xr3:uid="{E5788F81-B520-43DA-9D08-0B7DC01E0390}" name="OPP_FGA" dataDxfId="374"/>
    <tableColumn id="10" xr3:uid="{916A821E-BCAF-4145-9BF6-D22A1932AF1F}" name="OPP_FG_PCT" dataDxfId="373"/>
    <tableColumn id="11" xr3:uid="{C3720DE7-00B6-48F1-9923-8A17C6B3F0A6}" name="OPP_FG3M" dataDxfId="372"/>
    <tableColumn id="12" xr3:uid="{1C0DCA15-ECB3-48F9-AED2-3E6598E124C6}" name="OPP_FG3A" dataDxfId="371"/>
    <tableColumn id="13" xr3:uid="{52E36B1E-2C85-4CB0-BFFE-7BDC7D97A944}" name="OPP_FG3_PCT" dataDxfId="370"/>
    <tableColumn id="14" xr3:uid="{040F66F7-CF0F-4EB8-9642-C0C04E9AD012}" name="OPP_FTM" dataDxfId="369"/>
    <tableColumn id="15" xr3:uid="{0F255B3A-BD93-4F15-9C85-E5EC2127AAEA}" name="OPP_FTA" dataDxfId="368"/>
    <tableColumn id="16" xr3:uid="{2D403575-7AB9-4EAA-BF5A-5F2FA118C317}" name="OPP_FT_PCT" dataDxfId="367"/>
    <tableColumn id="17" xr3:uid="{BA3690F7-5D44-4411-8BF8-4BCA0BFAB965}" name="OPP_OREB" dataDxfId="366"/>
    <tableColumn id="18" xr3:uid="{CEDD1869-4B30-43DC-B3F2-53F05E546A31}" name="OPP_DREB" dataDxfId="365"/>
    <tableColumn id="19" xr3:uid="{5F305FB8-D7B0-400D-B192-867279ADFF51}" name="OPP_REB" dataDxfId="364"/>
    <tableColumn id="20" xr3:uid="{B333B0E5-CCE7-430A-AE31-4C258A3D5044}" name="OPP_AST" dataDxfId="363"/>
    <tableColumn id="21" xr3:uid="{A79F156F-66C3-4208-AC91-EDCEB7D46841}" name="OPP_TOV" dataDxfId="362"/>
    <tableColumn id="22" xr3:uid="{32724969-7085-40AA-BB32-5D64066B3D90}" name="OPP_STL" dataDxfId="361"/>
    <tableColumn id="23" xr3:uid="{C5123AFE-F2C8-4108-B656-C94093653837}" name="OPP_BLK" dataDxfId="360"/>
    <tableColumn id="24" xr3:uid="{4F8B7643-2CD4-4C74-97F8-5018C0888172}" name="OPP_BLKA" dataDxfId="359"/>
    <tableColumn id="25" xr3:uid="{8832ADC1-D25E-4492-9789-0EB405ABD18F}" name="OPP_PF" dataDxfId="358"/>
    <tableColumn id="26" xr3:uid="{E102251A-B2FF-49D8-B40A-D4C904B3B9EB}" name="OPP_PFD" dataDxfId="357"/>
    <tableColumn id="27" xr3:uid="{0445C146-E6B9-4266-A50C-997C7F155B62}" name="OPP_PTS" dataDxfId="356"/>
    <tableColumn id="28" xr3:uid="{9A246723-E928-45DE-A0FE-25DBCD3C51A0}" name="PLUS_MINUS" dataDxfId="355"/>
    <tableColumn id="29" xr3:uid="{73A73CD0-C9C8-493C-950E-9F24B286D2BC}" name="GP_RANK" dataDxfId="354"/>
    <tableColumn id="30" xr3:uid="{A9D5CA51-BA7C-4350-87E6-CAD7A94980FD}" name="W_RANK" dataDxfId="353"/>
    <tableColumn id="31" xr3:uid="{0D7CF6AF-8DFE-4279-B699-6A385985E96D}" name="L_RANK" dataDxfId="352"/>
    <tableColumn id="32" xr3:uid="{6A9BE51E-5094-45E8-9FB5-3E874E5CE004}" name="W_PCT_RANK" dataDxfId="351"/>
    <tableColumn id="33" xr3:uid="{3E7E77C3-6FCF-402D-A3DD-9F94FAE24FE8}" name="MIN_RANK" dataDxfId="350"/>
    <tableColumn id="34" xr3:uid="{FEE64B18-6F5A-42FD-ABE1-E750CB4CD890}" name="OPP_FGM_RANK" dataDxfId="349"/>
    <tableColumn id="35" xr3:uid="{1F581F6C-E403-4D20-9D64-652E09F02640}" name="OPP_FGA_RANK" dataDxfId="348"/>
    <tableColumn id="36" xr3:uid="{45906B05-080D-4E55-9BCD-F94B8862A2C3}" name="OPP_FG_PCT_RANK" dataDxfId="347"/>
    <tableColumn id="37" xr3:uid="{69BED1FC-CBEC-422A-B945-1BFCA0EF7077}" name="OPP_FG3M_RANK" dataDxfId="346"/>
    <tableColumn id="38" xr3:uid="{6DF301AA-27A6-41AA-BD57-2513F6B4A9B8}" name="OPP_FG3A_RANK" dataDxfId="345"/>
    <tableColumn id="39" xr3:uid="{277AF81C-9301-4C69-A054-6D8BB861C629}" name="OPP_FG3_PCT_RANK" dataDxfId="344"/>
    <tableColumn id="40" xr3:uid="{01D7CD48-7548-498E-985B-E55671A3D8E3}" name="OPP_FTM_RANK" dataDxfId="343"/>
    <tableColumn id="41" xr3:uid="{EC203C8F-200E-4FC4-AFA7-16B9CF73E564}" name="OPP_FTA_RANK" dataDxfId="342"/>
    <tableColumn id="42" xr3:uid="{B6DF8211-D152-4F84-8575-6EB444297B1B}" name="OPP_FT_PCT_RANK" dataDxfId="341"/>
    <tableColumn id="43" xr3:uid="{02422E0A-6877-4CBC-ABAD-3F327254B443}" name="OPP_OREB_RANK" dataDxfId="340"/>
    <tableColumn id="44" xr3:uid="{D5FB0DCE-A2B6-4E35-A3EE-F12D2FF7E1C9}" name="OPP_DREB_RANK" dataDxfId="339"/>
    <tableColumn id="45" xr3:uid="{ABC0ECE8-56A2-479C-969F-821C3F29676A}" name="OPP_REB_RANK" dataDxfId="338"/>
    <tableColumn id="46" xr3:uid="{AB96F54C-0D64-4F96-A10A-A4F8514FB16B}" name="OPP_AST_RANK" dataDxfId="337"/>
    <tableColumn id="47" xr3:uid="{130319CE-F58F-4E0E-8A07-3CDCEB8F6501}" name="OPP_TOV_RANK" dataDxfId="336"/>
    <tableColumn id="48" xr3:uid="{4F2D36F3-CD5E-409B-AA48-B76FDBA8D69D}" name="OPP_STL_RANK" dataDxfId="335"/>
    <tableColumn id="49" xr3:uid="{66998811-1A13-482A-8D62-867FCCFB1F17}" name="OPP_BLK_RANK" dataDxfId="334"/>
    <tableColumn id="50" xr3:uid="{63A2A57B-940E-4F7D-B9FB-B7C66DD00BAC}" name="OPP_BLKA_RANK" dataDxfId="333"/>
    <tableColumn id="51" xr3:uid="{C6C2F1B7-B353-422C-A344-83875A895311}" name="OPP_PF_RANK" dataDxfId="332"/>
    <tableColumn id="52" xr3:uid="{5662CCF8-76E6-4C14-8F45-C8C3A4C1F71D}" name="OPP_PFD_RANK" dataDxfId="331"/>
    <tableColumn id="53" xr3:uid="{9E982167-A5D9-443D-8349-A3605DD216F6}" name="OPP_PTS_RANK" dataDxfId="330"/>
    <tableColumn id="54" xr3:uid="{40CE45DE-6C6D-46DB-ABCC-6E5C36D95168}" name="PLUS_MINUS_RANK" dataDxfId="329"/>
    <tableColumn id="55" xr3:uid="{7899524E-03F7-4D2C-997B-6C9A59736137}" name="CFID" dataDxfId="328"/>
    <tableColumn id="56" xr3:uid="{303C52ED-B618-48BC-A8BC-6E2F053EA1BB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ADA7FA-C80E-475D-B86D-0E5B5779F027}" name="TableClutchBaseN1" displayName="TableClutchBaseN1" ref="A1:BD31" totalsRowShown="0" headerRowDxfId="212">
  <autoFilter ref="A1:BD31" xr:uid="{287EA3F8-1A78-4BF6-AA16-1728498443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83489C7-8325-415F-B252-03454D35CF03}" name="TEAM_ID" dataDxfId="268"/>
    <tableColumn id="2" xr3:uid="{119E3F1F-A9C6-4D95-B1B4-03077CE9B876}" name="TEAM_NAME" dataDxfId="267"/>
    <tableColumn id="3" xr3:uid="{6D68C49D-F4E8-45C4-9E45-1044557D6536}" name="GP" dataDxfId="266"/>
    <tableColumn id="4" xr3:uid="{F02B00CF-056E-4CA7-8FB4-64E634DE06A0}" name="W" dataDxfId="265"/>
    <tableColumn id="5" xr3:uid="{1E80DE0D-0A82-4CEE-8E84-FDB125F731FF}" name="L" dataDxfId="264"/>
    <tableColumn id="6" xr3:uid="{CC988606-76EC-4CDA-8C69-6D1671984187}" name="W_PCT" dataDxfId="263"/>
    <tableColumn id="7" xr3:uid="{F345C83A-0D38-422E-B7F1-276E42B4A2D6}" name="MIN" dataDxfId="262"/>
    <tableColumn id="8" xr3:uid="{46ED620E-FF79-4D7E-AE39-5F6934558791}" name="FGM" dataDxfId="261"/>
    <tableColumn id="9" xr3:uid="{D70F6111-00ED-4811-8D88-57EEB0E92BFA}" name="FGA" dataDxfId="260"/>
    <tableColumn id="10" xr3:uid="{743BE1C2-F75B-4752-AD2E-75A607E5671C}" name="FG_PCT" dataDxfId="259"/>
    <tableColumn id="11" xr3:uid="{FC8D9FC1-8F41-4BDA-A7B5-2793C80B53E7}" name="FG3M" dataDxfId="258"/>
    <tableColumn id="12" xr3:uid="{1E51A71F-0307-4F0F-BDB0-F7240B7B5CDA}" name="FG3A" dataDxfId="257"/>
    <tableColumn id="13" xr3:uid="{C1A61A18-2910-4B6D-B33C-F959B2518806}" name="FG3_PCT" dataDxfId="256"/>
    <tableColumn id="14" xr3:uid="{CE8931CE-D3FE-43CA-B907-9DB3405CB679}" name="FTM" dataDxfId="255"/>
    <tableColumn id="15" xr3:uid="{A3A501F3-EC6D-4E4C-B9AE-01D3A8031234}" name="FTA" dataDxfId="254"/>
    <tableColumn id="16" xr3:uid="{7EF9D296-D3ED-4772-9B99-6072BAE65365}" name="FT_PCT" dataDxfId="253"/>
    <tableColumn id="17" xr3:uid="{539CA616-7F5D-45F1-97D1-4EBF0E759E0C}" name="OREB" dataDxfId="252"/>
    <tableColumn id="18" xr3:uid="{3451B211-5836-4E68-A457-0964DC142CDC}" name="DREB" dataDxfId="251"/>
    <tableColumn id="19" xr3:uid="{A0E391AD-9695-47CB-9393-D4AD9F8ED071}" name="REB" dataDxfId="250"/>
    <tableColumn id="20" xr3:uid="{AB22EABB-7CE1-438C-8E8E-4FB0F55719D9}" name="AST" dataDxfId="249"/>
    <tableColumn id="21" xr3:uid="{E6109F71-B64A-4E4F-B496-E30350E709DE}" name="TOV" dataDxfId="248"/>
    <tableColumn id="22" xr3:uid="{7983729B-95C4-4B0D-8668-ACE0F23F745C}" name="STL" dataDxfId="247"/>
    <tableColumn id="23" xr3:uid="{7ECE54F2-C13D-4EE6-B9FC-C4DFD844D1D7}" name="BLK" dataDxfId="246"/>
    <tableColumn id="24" xr3:uid="{F62ABCAD-DCC9-46B0-8917-000BB5998BA0}" name="BLKA" dataDxfId="245"/>
    <tableColumn id="25" xr3:uid="{5A7BC330-8A9C-4743-87A7-1C7A0C37D8F9}" name="PF" dataDxfId="244"/>
    <tableColumn id="26" xr3:uid="{77A73402-2A66-4CCA-862B-84473DE4E3A7}" name="PFD" dataDxfId="243"/>
    <tableColumn id="27" xr3:uid="{B6FAEFDD-2E5D-4464-AD9D-64E8DB11C758}" name="PTS" dataDxfId="242"/>
    <tableColumn id="28" xr3:uid="{5FAE3140-3D0A-477D-94D2-3276D0D03266}" name="PLUS_MINUS" dataDxfId="241"/>
    <tableColumn id="29" xr3:uid="{040B1420-28EB-4188-88F0-C9699D764491}" name="GP_RANK" dataDxfId="240"/>
    <tableColumn id="30" xr3:uid="{CA6E28F2-79A5-4D7E-B76A-26ACF42E541E}" name="W_RANK" dataDxfId="239"/>
    <tableColumn id="31" xr3:uid="{C15798C5-7FA8-43BD-9691-FDF96ABAD844}" name="L_RANK" dataDxfId="238"/>
    <tableColumn id="32" xr3:uid="{72914B1E-0542-4EB0-8684-2AF2FB10BC6D}" name="W_PCT_RANK" dataDxfId="237"/>
    <tableColumn id="33" xr3:uid="{38530230-B148-4AE5-B9FB-52879741BD73}" name="MIN_RANK" dataDxfId="236"/>
    <tableColumn id="34" xr3:uid="{82A69FC8-A304-43F8-96C6-D6482E2A7CF9}" name="FGM_RANK" dataDxfId="235"/>
    <tableColumn id="35" xr3:uid="{40D836D2-FFC5-400F-ADFC-26C286BEFA27}" name="FGA_RANK" dataDxfId="234"/>
    <tableColumn id="36" xr3:uid="{7FC1F06E-BFB1-4B00-BDD2-6A7C1D86657F}" name="FG_PCT_RANK" dataDxfId="233"/>
    <tableColumn id="37" xr3:uid="{C802CEDB-A8ED-40E2-8A38-7C56641D8F5E}" name="FG3M_RANK" dataDxfId="232"/>
    <tableColumn id="38" xr3:uid="{59D32604-AF98-4D0A-BB66-1FD89C29489C}" name="FG3A_RANK" dataDxfId="231"/>
    <tableColumn id="39" xr3:uid="{02B6232C-1C69-4F47-9ADF-2BF88EF0E146}" name="FG3_PCT_RANK" dataDxfId="230"/>
    <tableColumn id="40" xr3:uid="{35CEDBF4-6B7C-4FB5-B75A-79BC1316A9EF}" name="FTM_RANK" dataDxfId="229"/>
    <tableColumn id="41" xr3:uid="{E4824231-6513-463D-89BC-EDE1DDB666D6}" name="FTA_RANK" dataDxfId="228"/>
    <tableColumn id="42" xr3:uid="{BE2F6252-A8C0-4059-960A-9314B9A05D77}" name="FT_PCT_RANK" dataDxfId="227"/>
    <tableColumn id="43" xr3:uid="{676BFA5A-F06E-4194-B324-A18930D26749}" name="OREB_RANK" dataDxfId="226"/>
    <tableColumn id="44" xr3:uid="{39657513-1FAA-404A-BD3C-2C04C4DF1204}" name="DREB_RANK" dataDxfId="225"/>
    <tableColumn id="45" xr3:uid="{AE24DCEC-00CE-4B6F-B254-DA0B737A0C42}" name="REB_RANK" dataDxfId="224"/>
    <tableColumn id="46" xr3:uid="{FB3CAB0B-B1FE-4064-82D6-A90E2892A056}" name="AST_RANK" dataDxfId="223"/>
    <tableColumn id="47" xr3:uid="{DDF6A34D-3461-4DA1-B492-5E854194AA6E}" name="TOV_RANK" dataDxfId="222"/>
    <tableColumn id="48" xr3:uid="{A1493860-3C32-4050-923C-BAD714301030}" name="STL_RANK" dataDxfId="221"/>
    <tableColumn id="49" xr3:uid="{F539D463-8414-4625-9520-008791B85501}" name="BLK_RANK" dataDxfId="220"/>
    <tableColumn id="50" xr3:uid="{609EA963-C280-4A9D-BD1E-1E053EF60268}" name="BLKA_RANK" dataDxfId="219"/>
    <tableColumn id="51" xr3:uid="{EEB0C6DF-68E8-4B8C-84DB-7F0A4E4C8F6D}" name="PF_RANK" dataDxfId="218"/>
    <tableColumn id="52" xr3:uid="{A4B0AFD8-B83B-44C8-BDD0-3E8FE0967157}" name="PFD_RANK" dataDxfId="217"/>
    <tableColumn id="53" xr3:uid="{FD6FBE3C-8B7B-45CD-80C9-3620D9FE0096}" name="PTS_RANK" dataDxfId="216"/>
    <tableColumn id="54" xr3:uid="{5C90BE6A-5FBF-4D2A-8595-A0BC55652BD4}" name="PLUS_MINUS_RANK" dataDxfId="215"/>
    <tableColumn id="55" xr3:uid="{A5490CEE-532B-4271-A720-803F9EBCE8C3}" name="CFID" dataDxfId="214"/>
    <tableColumn id="56" xr3:uid="{EA8569DA-1ECC-415E-9E51-51F52E3054DF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B5C427E-784D-48A1-A873-8E7F4F5C7A75}" name="TableClutchOpponentN1" displayName="TableClutchOpponentN1" ref="A1:BD31" totalsRowShown="0" headerRowDxfId="98">
  <autoFilter ref="A1:BD31" xr:uid="{177B2827-10BC-4068-9ACF-CD1B1F06A1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F33821A-17BB-4CD7-8090-A48323ED5516}" name="TEAM_ID" dataDxfId="154"/>
    <tableColumn id="2" xr3:uid="{D8FD599B-4F01-4F2A-9AB3-F78BB3DD2C14}" name="TEAM_NAME" dataDxfId="153"/>
    <tableColumn id="3" xr3:uid="{3F7A1CE3-BDDA-4A6F-A8E7-B90BF3EA9665}" name="GP" dataDxfId="152"/>
    <tableColumn id="4" xr3:uid="{B9D5339D-D681-4E86-AC38-FEE6C90A346B}" name="W" dataDxfId="151"/>
    <tableColumn id="5" xr3:uid="{2DBBE046-3A77-4B5F-8554-ECB8E9572D16}" name="L" dataDxfId="150"/>
    <tableColumn id="6" xr3:uid="{D4EEEF6A-D7E7-4D84-ACDE-6C9878ABB9CF}" name="W_PCT" dataDxfId="149"/>
    <tableColumn id="7" xr3:uid="{FF61511F-78DF-47E5-BEB5-5C15E23CA856}" name="MIN" dataDxfId="148"/>
    <tableColumn id="8" xr3:uid="{3E7C0697-FB57-4AAF-9375-84A6B3CA3A28}" name="OPP_FGM" dataDxfId="147"/>
    <tableColumn id="9" xr3:uid="{E40F416F-2E1F-431E-9864-DA8B8972A313}" name="OPP_FGA" dataDxfId="146"/>
    <tableColumn id="10" xr3:uid="{3B8AADB2-15E6-4635-9F8D-441DD7AE0303}" name="OPP_FG_PCT" dataDxfId="145"/>
    <tableColumn id="11" xr3:uid="{C701B21F-8A6B-485F-9D35-C7B59E344B2D}" name="OPP_FG3M" dataDxfId="144"/>
    <tableColumn id="12" xr3:uid="{E8847404-A0A6-4CBB-BFEA-3F9286552E87}" name="OPP_FG3A" dataDxfId="143"/>
    <tableColumn id="13" xr3:uid="{A91BD895-B94D-45CD-8489-1CF80CF5353B}" name="OPP_FG3_PCT" dataDxfId="142"/>
    <tableColumn id="14" xr3:uid="{E6DDB022-1424-4400-A23C-421D8782AC44}" name="OPP_FTM" dataDxfId="141"/>
    <tableColumn id="15" xr3:uid="{711DE989-9BE7-4A77-9B0D-8A8A55CD23BF}" name="OPP_FTA" dataDxfId="140"/>
    <tableColumn id="16" xr3:uid="{D8DF460C-1D6E-4C74-AE03-903D411AE0AA}" name="OPP_FT_PCT" dataDxfId="139"/>
    <tableColumn id="17" xr3:uid="{0312BF80-E298-4A23-A840-3B90862F3786}" name="OPP_OREB" dataDxfId="138"/>
    <tableColumn id="18" xr3:uid="{D5680CDC-397B-42FC-88B8-11B6D95593CE}" name="OPP_DREB" dataDxfId="137"/>
    <tableColumn id="19" xr3:uid="{EFCE5B16-4A6E-4C8E-A01E-44B4CF3D26AC}" name="OPP_REB" dataDxfId="136"/>
    <tableColumn id="20" xr3:uid="{B062AAF7-C221-4243-938D-7CACDB717F2B}" name="OPP_AST" dataDxfId="135"/>
    <tableColumn id="21" xr3:uid="{081EAE16-4839-49FA-81AB-F6C7D8D2C8A1}" name="OPP_TOV" dataDxfId="134"/>
    <tableColumn id="22" xr3:uid="{1B16CD03-90B9-4D75-AF18-6B308B2A6F06}" name="OPP_STL" dataDxfId="133"/>
    <tableColumn id="23" xr3:uid="{A38E6DB4-2BDC-4616-A887-75E56E29AE0F}" name="OPP_BLK" dataDxfId="132"/>
    <tableColumn id="24" xr3:uid="{F58B3ECC-3288-4FC2-B9C5-FFAC40574FCF}" name="OPP_BLKA" dataDxfId="131"/>
    <tableColumn id="25" xr3:uid="{96CB2108-905E-46A4-A8C3-237216BE8C84}" name="OPP_PF" dataDxfId="130"/>
    <tableColumn id="26" xr3:uid="{7BA232E8-AF19-43CD-91BA-9C666364A2A0}" name="OPP_PFD" dataDxfId="129"/>
    <tableColumn id="27" xr3:uid="{0E37A8B1-D3ED-4AE8-852D-6198EED64F99}" name="OPP_PTS" dataDxfId="128"/>
    <tableColumn id="28" xr3:uid="{C80F7396-E3FD-46CA-BB98-52B00D70176F}" name="PLUS_MINUS" dataDxfId="127"/>
    <tableColumn id="29" xr3:uid="{25045A45-39A3-4778-A0B1-1BF9DB25C444}" name="GP_RANK" dataDxfId="126"/>
    <tableColumn id="30" xr3:uid="{C94400D6-FB8E-4330-83DF-FAE468D1F8B7}" name="W_RANK" dataDxfId="125"/>
    <tableColumn id="31" xr3:uid="{57B9AA78-02AC-4C0B-9286-86985CE9955E}" name="L_RANK" dataDxfId="124"/>
    <tableColumn id="32" xr3:uid="{C68807B1-A8E3-41D0-908D-7B9878253701}" name="W_PCT_RANK" dataDxfId="123"/>
    <tableColumn id="33" xr3:uid="{4FB78B23-E578-40CA-AC43-1CA62B9DA356}" name="MIN_RANK" dataDxfId="122"/>
    <tableColumn id="34" xr3:uid="{775CEDC4-4805-472C-851D-476C82E878C4}" name="OPP_FGM_RANK" dataDxfId="121"/>
    <tableColumn id="35" xr3:uid="{6BEA78C1-2FE2-4CFA-91CB-FA5A19367DE3}" name="OPP_FGA_RANK" dataDxfId="120"/>
    <tableColumn id="36" xr3:uid="{7521C5F5-9685-406D-AE75-CE97A58BD7EE}" name="OPP_FG_PCT_RANK" dataDxfId="119"/>
    <tableColumn id="37" xr3:uid="{24CBD251-718B-44F2-A04C-8E0C72EA1430}" name="OPP_FG3M_RANK" dataDxfId="118"/>
    <tableColumn id="38" xr3:uid="{8C637FAA-F2AD-4E0E-A392-A76A0B5B21AB}" name="OPP_FG3A_RANK" dataDxfId="117"/>
    <tableColumn id="39" xr3:uid="{831C5C06-E6BE-4F4E-BD72-B3048FA76862}" name="OPP_FG3_PCT_RANK" dataDxfId="116"/>
    <tableColumn id="40" xr3:uid="{15E9291D-8363-47F4-9E07-928132757183}" name="OPP_FTM_RANK" dataDxfId="115"/>
    <tableColumn id="41" xr3:uid="{5D097229-2A0B-48D8-A011-37EBD0BEC1D7}" name="OPP_FTA_RANK" dataDxfId="114"/>
    <tableColumn id="42" xr3:uid="{A244B0BF-27F6-4346-950C-B4E61E9F9D21}" name="OPP_FT_PCT_RANK" dataDxfId="113"/>
    <tableColumn id="43" xr3:uid="{9A1A0B0B-FBA8-4B5C-ADE9-E30931529B8F}" name="OPP_OREB_RANK" dataDxfId="112"/>
    <tableColumn id="44" xr3:uid="{F1AA90F2-9E9C-4369-82AE-A0C941CA72D6}" name="OPP_DREB_RANK" dataDxfId="111"/>
    <tableColumn id="45" xr3:uid="{30D29557-BE65-4E55-B06F-B261D6BDAA9F}" name="OPP_REB_RANK" dataDxfId="110"/>
    <tableColumn id="46" xr3:uid="{AE8215E5-5C09-4B97-9BB5-DC7BDA63592C}" name="OPP_AST_RANK" dataDxfId="109"/>
    <tableColumn id="47" xr3:uid="{444C77BB-4069-4697-B3BE-CF466FA7DCE8}" name="OPP_TOV_RANK" dataDxfId="108"/>
    <tableColumn id="48" xr3:uid="{B59F8D9C-9A06-4F15-877D-3DB81DB6906E}" name="OPP_STL_RANK" dataDxfId="107"/>
    <tableColumn id="49" xr3:uid="{6109E156-F03D-4D4B-BC3D-F907819D0BB9}" name="OPP_BLK_RANK" dataDxfId="106"/>
    <tableColumn id="50" xr3:uid="{EB0657D8-8BEB-48D3-9466-689C8E400253}" name="OPP_BLKA_RANK" dataDxfId="105"/>
    <tableColumn id="51" xr3:uid="{6307F6A0-12D2-4FEB-9CA3-B013AEC940DB}" name="OPP_PF_RANK" dataDxfId="104"/>
    <tableColumn id="52" xr3:uid="{8DB3248C-7FF4-400D-B591-11022428AA11}" name="OPP_PFD_RANK" dataDxfId="103"/>
    <tableColumn id="53" xr3:uid="{1558841F-8694-4137-BEF3-E3E104AC3359}" name="OPP_PTS_RANK" dataDxfId="102"/>
    <tableColumn id="54" xr3:uid="{1AE50432-2EDD-4715-B019-BB56FF16A2A5}" name="PLUS_MINUS_RANK" dataDxfId="101"/>
    <tableColumn id="55" xr3:uid="{63C9C56B-CBB1-49CC-878E-CB0E8E1BEA6B}" name="CFID" dataDxfId="100"/>
    <tableColumn id="56" xr3:uid="{9883D10D-1F85-46C0-903B-406E3F85EAF3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DAB0D80-0B20-4836-AE3E-E20762EF1449}" name="TableClutchAdvancedN1" displayName="TableClutchAdvancedN1" ref="A1:AV31" totalsRowShown="0" headerRowDxfId="0">
  <autoFilter ref="A1:AV31" xr:uid="{075049AF-43EA-4294-BF81-F3F4C567F1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5C4D8D9-3CA2-48EB-A324-78C0219B1D98}" name="TEAM_ID" dataDxfId="48"/>
    <tableColumn id="2" xr3:uid="{7327266C-04E6-470A-B4E8-530B70456FDB}" name="TEAM_NAME" dataDxfId="47"/>
    <tableColumn id="3" xr3:uid="{D1AA4D59-C816-4579-ABB9-7D0EE9534AC2}" name="GP" dataDxfId="46"/>
    <tableColumn id="4" xr3:uid="{B1B7C3D8-37B7-457B-832D-77A72582C03A}" name="W" dataDxfId="45"/>
    <tableColumn id="5" xr3:uid="{9BBB67C5-40B3-4114-A107-BF0F1AD8E8F8}" name="L" dataDxfId="44"/>
    <tableColumn id="6" xr3:uid="{88B46636-9CE5-407C-ACCB-A6984035782A}" name="W_PCT" dataDxfId="43"/>
    <tableColumn id="7" xr3:uid="{64D98FE5-18C2-484C-B536-12C4F06F41C5}" name="MIN" dataDxfId="42"/>
    <tableColumn id="8" xr3:uid="{A9E2078C-4618-4B8D-A2E3-66FCDB10A0D6}" name="E_OFF_RATING" dataDxfId="41"/>
    <tableColumn id="9" xr3:uid="{A45CA897-BD39-4BEC-8B13-DEE1523EB305}" name="OFF_RATING" dataDxfId="40"/>
    <tableColumn id="10" xr3:uid="{5FF90DC9-53CB-44BE-8EAD-84BDD311AF32}" name="E_DEF_RATING" dataDxfId="39"/>
    <tableColumn id="11" xr3:uid="{A8CF5C57-7037-46D2-853E-98DDA0ACDADC}" name="DEF_RATING" dataDxfId="38"/>
    <tableColumn id="12" xr3:uid="{8C5B60B4-D6E2-4A04-9E7B-36F78D9A65A6}" name="E_NET_RATING" dataDxfId="37"/>
    <tableColumn id="13" xr3:uid="{ED27E0D1-2C57-4187-BFD8-994462A9F983}" name="NET_RATING" dataDxfId="36"/>
    <tableColumn id="14" xr3:uid="{59210A6F-DE17-464E-8D2E-D34AB7A72CD8}" name="AST_PCT" dataDxfId="35"/>
    <tableColumn id="15" xr3:uid="{AF3DF898-5116-4B00-A858-D02AE1458487}" name="AST_TO" dataDxfId="34"/>
    <tableColumn id="16" xr3:uid="{DC34215F-DA65-4CBE-9F3B-C4C6FE4216F4}" name="AST_RATIO" dataDxfId="33"/>
    <tableColumn id="17" xr3:uid="{BE240371-0F29-4A09-ACC5-CA7E12C17FFF}" name="OREB_PCT" dataDxfId="32"/>
    <tableColumn id="18" xr3:uid="{2358EF4C-7ED7-4258-8E00-45B86F3D11E0}" name="DREB_PCT" dataDxfId="31"/>
    <tableColumn id="19" xr3:uid="{9D528D99-0372-4D18-946C-C7CB025FCA6F}" name="REB_PCT" dataDxfId="30"/>
    <tableColumn id="20" xr3:uid="{926E34DC-9511-4396-BE1A-48399D876E90}" name="TM_TOV_PCT" dataDxfId="29"/>
    <tableColumn id="21" xr3:uid="{90C1117B-BE90-418A-BA67-A26B378F4DCA}" name="EFG_PCT" dataDxfId="28"/>
    <tableColumn id="22" xr3:uid="{BC88EE89-20FE-483F-8F51-BFE0FA22130E}" name="TS_PCT" dataDxfId="27"/>
    <tableColumn id="23" xr3:uid="{1F876BEA-779C-46CB-B7E3-F2F6ECB7D2C0}" name="E_PACE" dataDxfId="26"/>
    <tableColumn id="24" xr3:uid="{44185559-EA55-48E6-BA99-27CA6DB535C5}" name="PACE" dataDxfId="25"/>
    <tableColumn id="25" xr3:uid="{713A791C-2153-4061-94E7-BB0B0496FAFA}" name="PACE_PER40" dataDxfId="24"/>
    <tableColumn id="26" xr3:uid="{FFADD5C1-7300-48E4-84CD-89D7610C1257}" name="POSS" dataDxfId="23"/>
    <tableColumn id="27" xr3:uid="{9A1D8474-D593-4A82-824E-AF8258A00F87}" name="PIE" dataDxfId="22"/>
    <tableColumn id="28" xr3:uid="{D4114993-8F3C-4D53-8F74-FD6B2FAA220E}" name="GP_RANK" dataDxfId="21"/>
    <tableColumn id="29" xr3:uid="{CBDD3F37-D375-4E70-BA69-03CBCE303AAA}" name="W_RANK" dataDxfId="20"/>
    <tableColumn id="30" xr3:uid="{B5A8653C-72FB-4B90-B186-8524056D8926}" name="L_RANK" dataDxfId="19"/>
    <tableColumn id="31" xr3:uid="{91620E19-8A67-4AB1-B245-90E849C6124E}" name="W_PCT_RANK" dataDxfId="18"/>
    <tableColumn id="32" xr3:uid="{98760B30-78D3-4AED-9094-715F8733F642}" name="MIN_RANK" dataDxfId="17"/>
    <tableColumn id="33" xr3:uid="{FBB111FE-A592-4877-BE97-7466D85690CA}" name="OFF_RATING_RANK" dataDxfId="16"/>
    <tableColumn id="34" xr3:uid="{E1BC50F0-3507-4794-8D19-9EB8CC58C715}" name="DEF_RATING_RANK" dataDxfId="15"/>
    <tableColumn id="35" xr3:uid="{C1D1CDA0-426C-4082-91B5-5D7302CBA617}" name="NET_RATING_RANK" dataDxfId="14"/>
    <tableColumn id="36" xr3:uid="{F3F88B2E-2747-48CE-A7E7-B55AE9B0BE9C}" name="AST_PCT_RANK" dataDxfId="13"/>
    <tableColumn id="37" xr3:uid="{D3F3B81A-7B55-4414-B6EC-F41A925EDF54}" name="AST_TO_RANK" dataDxfId="12"/>
    <tableColumn id="38" xr3:uid="{2798FF75-06F7-4118-8DD9-040F65E96E18}" name="AST_RATIO_RANK" dataDxfId="11"/>
    <tableColumn id="39" xr3:uid="{DDC5D6E9-DEB9-4FCC-B9A1-DC2DC04406E4}" name="OREB_PCT_RANK" dataDxfId="10"/>
    <tableColumn id="40" xr3:uid="{EE4B7F0F-A4F4-4640-9ADD-F90FD3D6BFB9}" name="DREB_PCT_RANK" dataDxfId="9"/>
    <tableColumn id="41" xr3:uid="{72518F32-1F7B-4271-A492-2ABB167CC660}" name="REB_PCT_RANK" dataDxfId="8"/>
    <tableColumn id="42" xr3:uid="{EE203E09-E18E-4813-985D-D1F558D3F155}" name="TM_TOV_PCT_RANK" dataDxfId="7"/>
    <tableColumn id="43" xr3:uid="{DF59FC91-5F8D-463C-9C81-B5B5CFC32F3E}" name="EFG_PCT_RANK" dataDxfId="6"/>
    <tableColumn id="44" xr3:uid="{EE6F050F-6ABE-44CD-8F8D-0D6CE6ACFB32}" name="TS_PCT_RANK" dataDxfId="5"/>
    <tableColumn id="45" xr3:uid="{F8455E88-0508-4DD3-8B53-1D3F6432F8F2}" name="PACE_RANK" dataDxfId="4"/>
    <tableColumn id="46" xr3:uid="{7FD13DDF-1A17-46E7-AD59-752D16BF93BA}" name="PIE_RANK" dataDxfId="3"/>
    <tableColumn id="47" xr3:uid="{237CC25E-55C7-466E-A650-A945AC1A5A6F}" name="CFID" dataDxfId="2"/>
    <tableColumn id="48" xr3:uid="{773DA731-BF96-41E3-89C3-8A64ED7F6962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1410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1415</v>
      </c>
      <c r="D3" s="2">
        <v>14</v>
      </c>
      <c r="F3" s="1" t="s">
        <v>1411</v>
      </c>
      <c r="G3" s="2">
        <v>14</v>
      </c>
    </row>
    <row r="4" spans="1:7" x14ac:dyDescent="0.25">
      <c r="A4" s="23"/>
      <c r="B4" s="5" t="s">
        <v>6</v>
      </c>
      <c r="C4" s="11">
        <v>0.23200000000000001</v>
      </c>
      <c r="F4" s="11">
        <v>0.28599999999999998</v>
      </c>
    </row>
    <row r="5" spans="1:7" x14ac:dyDescent="0.25">
      <c r="A5" s="23"/>
      <c r="B5" s="5" t="s">
        <v>7</v>
      </c>
      <c r="C5" s="1" t="s">
        <v>1416</v>
      </c>
      <c r="F5" s="1" t="s">
        <v>1412</v>
      </c>
    </row>
    <row r="6" spans="1:7" x14ac:dyDescent="0.25">
      <c r="A6" s="23"/>
      <c r="B6" s="5" t="s">
        <v>2</v>
      </c>
      <c r="C6" s="1" t="s">
        <v>1417</v>
      </c>
      <c r="F6" s="1" t="s">
        <v>1413</v>
      </c>
    </row>
    <row r="7" spans="1:7" x14ac:dyDescent="0.25">
      <c r="A7" s="23"/>
      <c r="B7" s="5" t="s">
        <v>3</v>
      </c>
      <c r="C7" s="1" t="s">
        <v>1418</v>
      </c>
      <c r="F7" s="1" t="s">
        <v>1414</v>
      </c>
    </row>
    <row r="8" spans="1:7" x14ac:dyDescent="0.25">
      <c r="A8" s="23"/>
      <c r="B8" s="5" t="s">
        <v>0</v>
      </c>
      <c r="C8" s="1" t="s">
        <v>1419</v>
      </c>
      <c r="F8" s="1" t="s">
        <v>1411</v>
      </c>
    </row>
    <row r="9" spans="1:7" x14ac:dyDescent="0.25">
      <c r="A9" s="23"/>
      <c r="B9" s="5" t="s">
        <v>1</v>
      </c>
      <c r="C9" s="1" t="s">
        <v>1420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0.44400000000000001</v>
      </c>
      <c r="D11" s="3">
        <v>28</v>
      </c>
      <c r="F11" s="9">
        <v>0.433</v>
      </c>
      <c r="G11" s="3">
        <v>26</v>
      </c>
    </row>
    <row r="12" spans="1:7" x14ac:dyDescent="0.25">
      <c r="A12" s="23"/>
      <c r="B12" s="14" t="s">
        <v>36</v>
      </c>
      <c r="C12" s="8">
        <v>38.9</v>
      </c>
      <c r="D12" s="3">
        <v>26</v>
      </c>
      <c r="F12" s="8">
        <v>37.700000000000003</v>
      </c>
      <c r="G12" s="3">
        <v>26</v>
      </c>
    </row>
    <row r="13" spans="1:7" x14ac:dyDescent="0.25">
      <c r="A13" s="23"/>
      <c r="B13" s="14" t="s">
        <v>37</v>
      </c>
      <c r="C13" s="8">
        <v>87.6</v>
      </c>
      <c r="D13" s="3">
        <v>23</v>
      </c>
      <c r="F13" s="8">
        <v>87.1</v>
      </c>
      <c r="G13" s="3">
        <v>24</v>
      </c>
    </row>
    <row r="14" spans="1:7" x14ac:dyDescent="0.25">
      <c r="A14" s="23"/>
      <c r="B14" s="14" t="s">
        <v>27</v>
      </c>
      <c r="C14" s="9">
        <v>0.35499999999999998</v>
      </c>
      <c r="D14" s="3">
        <v>13</v>
      </c>
      <c r="F14" s="9">
        <v>0.32600000000000001</v>
      </c>
      <c r="G14" s="3">
        <v>26</v>
      </c>
    </row>
    <row r="15" spans="1:7" x14ac:dyDescent="0.25">
      <c r="A15" s="23"/>
      <c r="B15" s="14" t="s">
        <v>38</v>
      </c>
      <c r="C15" s="8">
        <v>10.3</v>
      </c>
      <c r="D15" s="3">
        <v>20</v>
      </c>
      <c r="F15" s="8">
        <v>10.4</v>
      </c>
      <c r="G15" s="3">
        <v>22</v>
      </c>
    </row>
    <row r="16" spans="1:7" x14ac:dyDescent="0.25">
      <c r="A16" s="23"/>
      <c r="B16" s="14" t="s">
        <v>39</v>
      </c>
      <c r="C16" s="8">
        <v>29.1</v>
      </c>
      <c r="D16" s="3">
        <v>24</v>
      </c>
      <c r="F16" s="8">
        <v>32</v>
      </c>
      <c r="G16" s="3">
        <v>16</v>
      </c>
    </row>
    <row r="17" spans="1:7" x14ac:dyDescent="0.25">
      <c r="A17" s="23"/>
      <c r="B17" s="14" t="s">
        <v>28</v>
      </c>
      <c r="C17" s="9">
        <v>0.79200000000000004</v>
      </c>
      <c r="D17" s="3">
        <v>7</v>
      </c>
      <c r="F17" s="9">
        <v>0.78300000000000003</v>
      </c>
      <c r="G17" s="3">
        <v>13</v>
      </c>
    </row>
    <row r="18" spans="1:7" x14ac:dyDescent="0.25">
      <c r="A18" s="23"/>
      <c r="B18" s="14" t="s">
        <v>41</v>
      </c>
      <c r="C18" s="8">
        <v>16.399999999999999</v>
      </c>
      <c r="D18" s="3">
        <v>22</v>
      </c>
      <c r="F18" s="8">
        <v>18.3</v>
      </c>
      <c r="G18" s="3">
        <v>17</v>
      </c>
    </row>
    <row r="19" spans="1:7" x14ac:dyDescent="0.25">
      <c r="A19" s="23"/>
      <c r="B19" s="14" t="s">
        <v>40</v>
      </c>
      <c r="C19" s="8">
        <v>20.7</v>
      </c>
      <c r="D19" s="3">
        <v>27</v>
      </c>
      <c r="F19" s="8">
        <v>23.4</v>
      </c>
      <c r="G19" s="3">
        <v>17</v>
      </c>
    </row>
    <row r="20" spans="1:7" x14ac:dyDescent="0.25">
      <c r="A20" s="23"/>
      <c r="B20" s="14" t="s">
        <v>29</v>
      </c>
      <c r="C20" s="8">
        <v>20.7</v>
      </c>
      <c r="D20" s="3">
        <v>29</v>
      </c>
      <c r="F20" s="8">
        <v>19.5</v>
      </c>
      <c r="G20" s="3">
        <v>29</v>
      </c>
    </row>
    <row r="21" spans="1:7" x14ac:dyDescent="0.25">
      <c r="A21" s="23"/>
      <c r="B21" s="14" t="s">
        <v>30</v>
      </c>
      <c r="C21" s="8">
        <v>13.5</v>
      </c>
      <c r="D21" s="3">
        <v>9</v>
      </c>
      <c r="F21" s="8">
        <v>15.2</v>
      </c>
      <c r="G21" s="3">
        <v>11</v>
      </c>
    </row>
    <row r="22" spans="1:7" x14ac:dyDescent="0.25">
      <c r="A22" s="23"/>
      <c r="B22" s="14" t="s">
        <v>32</v>
      </c>
      <c r="C22" s="8">
        <v>42.7</v>
      </c>
      <c r="D22" s="3">
        <v>26</v>
      </c>
      <c r="F22" s="8">
        <v>44.1</v>
      </c>
      <c r="G22" s="3">
        <v>22</v>
      </c>
    </row>
    <row r="23" spans="1:7" x14ac:dyDescent="0.25">
      <c r="A23" s="23"/>
      <c r="B23" s="14" t="s">
        <v>31</v>
      </c>
      <c r="C23" s="8">
        <v>10.7</v>
      </c>
      <c r="D23" s="3">
        <v>12</v>
      </c>
      <c r="F23" s="8">
        <v>10.4</v>
      </c>
      <c r="G23" s="3">
        <v>16</v>
      </c>
    </row>
    <row r="24" spans="1:7" x14ac:dyDescent="0.25">
      <c r="A24" s="23"/>
      <c r="B24" s="14" t="s">
        <v>33</v>
      </c>
      <c r="C24" s="8">
        <v>31.9</v>
      </c>
      <c r="D24" s="3">
        <v>28</v>
      </c>
      <c r="F24" s="8">
        <v>33.799999999999997</v>
      </c>
      <c r="G24" s="3">
        <v>23</v>
      </c>
    </row>
    <row r="25" spans="1:7" x14ac:dyDescent="0.25">
      <c r="A25" s="23"/>
      <c r="B25" s="14" t="s">
        <v>34</v>
      </c>
      <c r="C25" s="8">
        <v>6.5</v>
      </c>
      <c r="D25" s="3">
        <v>28</v>
      </c>
      <c r="F25" s="8">
        <v>8</v>
      </c>
      <c r="G25" s="3">
        <v>13</v>
      </c>
    </row>
    <row r="26" spans="1:7" x14ac:dyDescent="0.25">
      <c r="A26" s="23"/>
      <c r="B26" s="14" t="s">
        <v>35</v>
      </c>
      <c r="C26" s="8">
        <v>2.4</v>
      </c>
      <c r="D26" s="3">
        <v>30</v>
      </c>
      <c r="F26" s="8">
        <v>3.4</v>
      </c>
      <c r="G26" s="3">
        <v>30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0.495</v>
      </c>
      <c r="D28" s="3">
        <v>30</v>
      </c>
      <c r="F28" s="9">
        <v>0.47599999999999998</v>
      </c>
      <c r="G28" s="3">
        <v>25</v>
      </c>
    </row>
    <row r="29" spans="1:7" x14ac:dyDescent="0.25">
      <c r="A29" s="23"/>
      <c r="B29" s="18" t="s">
        <v>43</v>
      </c>
      <c r="C29" s="9">
        <v>0.38</v>
      </c>
      <c r="D29" s="3">
        <v>30</v>
      </c>
      <c r="F29" s="9">
        <v>0.35699999999999998</v>
      </c>
      <c r="G29" s="3">
        <v>15</v>
      </c>
    </row>
    <row r="30" spans="1:7" x14ac:dyDescent="0.25">
      <c r="A30" s="23"/>
      <c r="B30" s="18" t="s">
        <v>44</v>
      </c>
      <c r="C30" s="8">
        <v>12</v>
      </c>
      <c r="D30" s="3">
        <v>22</v>
      </c>
      <c r="F30" s="8">
        <v>11.4</v>
      </c>
      <c r="G30" s="3">
        <v>12</v>
      </c>
    </row>
    <row r="31" spans="1:7" x14ac:dyDescent="0.25">
      <c r="A31" s="23"/>
      <c r="B31" s="17" t="s">
        <v>45</v>
      </c>
      <c r="C31" s="8">
        <v>31.6</v>
      </c>
      <c r="D31" s="3">
        <v>11</v>
      </c>
      <c r="F31" s="8">
        <v>31.9</v>
      </c>
      <c r="G31" s="3">
        <v>8</v>
      </c>
    </row>
    <row r="32" spans="1:7" x14ac:dyDescent="0.25">
      <c r="A32" s="23"/>
      <c r="B32" s="17" t="s">
        <v>46</v>
      </c>
      <c r="C32" s="8">
        <v>12.5</v>
      </c>
      <c r="D32" s="3">
        <v>28</v>
      </c>
      <c r="F32" s="8">
        <v>14.9</v>
      </c>
      <c r="G32" s="3">
        <v>22</v>
      </c>
    </row>
    <row r="33" spans="1:7" x14ac:dyDescent="0.25">
      <c r="A33" s="23"/>
      <c r="B33" s="17" t="s">
        <v>47</v>
      </c>
      <c r="C33" s="8">
        <v>9.5</v>
      </c>
      <c r="D33" s="3">
        <v>6</v>
      </c>
      <c r="F33" s="8">
        <v>10.1</v>
      </c>
      <c r="G33" s="3">
        <v>14</v>
      </c>
    </row>
    <row r="35" spans="1:7" x14ac:dyDescent="0.25">
      <c r="A35" s="23" t="s">
        <v>60</v>
      </c>
      <c r="B35" s="4" t="s">
        <v>8</v>
      </c>
      <c r="C35" s="8">
        <v>106.8</v>
      </c>
      <c r="D35" s="3">
        <v>25</v>
      </c>
      <c r="F35" s="8">
        <v>103.8</v>
      </c>
      <c r="G35" s="3">
        <v>25</v>
      </c>
    </row>
    <row r="36" spans="1:7" x14ac:dyDescent="0.25">
      <c r="A36" s="23"/>
      <c r="B36" s="4" t="s">
        <v>9</v>
      </c>
      <c r="C36" s="8">
        <v>116.8</v>
      </c>
      <c r="D36" s="3">
        <v>30</v>
      </c>
      <c r="F36" s="8">
        <v>109.8</v>
      </c>
      <c r="G36" s="3">
        <v>19</v>
      </c>
    </row>
    <row r="37" spans="1:7" x14ac:dyDescent="0.25">
      <c r="A37" s="23"/>
      <c r="B37" s="4" t="s">
        <v>10</v>
      </c>
      <c r="C37" s="8">
        <v>-10</v>
      </c>
      <c r="D37" s="3">
        <v>30</v>
      </c>
      <c r="F37" s="8">
        <v>-5.9</v>
      </c>
      <c r="G37" s="3">
        <v>25</v>
      </c>
    </row>
    <row r="38" spans="1:7" x14ac:dyDescent="0.25">
      <c r="A38" s="23"/>
      <c r="B38" s="4" t="s">
        <v>11</v>
      </c>
      <c r="C38" s="13">
        <v>97.38</v>
      </c>
      <c r="D38" s="3">
        <v>29</v>
      </c>
      <c r="F38" s="13">
        <v>100.21</v>
      </c>
      <c r="G38" s="3">
        <v>22</v>
      </c>
    </row>
    <row r="39" spans="1:7" x14ac:dyDescent="0.25">
      <c r="A39" s="23"/>
      <c r="B39" s="4" t="s">
        <v>12</v>
      </c>
      <c r="C39" s="10">
        <v>0.503</v>
      </c>
      <c r="D39" s="3">
        <v>29</v>
      </c>
      <c r="F39" s="9">
        <v>0.49299999999999999</v>
      </c>
      <c r="G39" s="3">
        <v>26</v>
      </c>
    </row>
    <row r="40" spans="1:7" x14ac:dyDescent="0.25">
      <c r="A40" s="23"/>
      <c r="B40" s="4" t="s">
        <v>13</v>
      </c>
      <c r="C40" s="10">
        <v>0.53200000000000003</v>
      </c>
      <c r="D40" s="3">
        <v>29</v>
      </c>
      <c r="F40" s="9">
        <v>0.51700000000000002</v>
      </c>
      <c r="G40" s="3">
        <v>29</v>
      </c>
    </row>
    <row r="41" spans="1:7" x14ac:dyDescent="0.25">
      <c r="A41" s="23"/>
      <c r="B41" s="4" t="s">
        <v>14</v>
      </c>
      <c r="C41" s="10">
        <v>0.496</v>
      </c>
      <c r="D41" s="3">
        <v>21</v>
      </c>
      <c r="F41" s="9">
        <v>0.48699999999999999</v>
      </c>
      <c r="G41" s="3">
        <v>26</v>
      </c>
    </row>
    <row r="42" spans="1:7" x14ac:dyDescent="0.25">
      <c r="A42" s="23"/>
      <c r="B42" s="4" t="s">
        <v>15</v>
      </c>
      <c r="C42" s="10">
        <v>0.28199999999999997</v>
      </c>
      <c r="D42" s="3">
        <v>10</v>
      </c>
      <c r="F42" s="9">
        <v>0.27</v>
      </c>
      <c r="G42" s="3">
        <v>18</v>
      </c>
    </row>
    <row r="43" spans="1:7" x14ac:dyDescent="0.25">
      <c r="A43" s="23"/>
      <c r="B43" s="4" t="s">
        <v>16</v>
      </c>
      <c r="C43" s="10">
        <v>0.73199999999999998</v>
      </c>
      <c r="D43" s="3">
        <v>11</v>
      </c>
      <c r="F43" s="9">
        <v>0.71699999999999997</v>
      </c>
      <c r="G43" s="3">
        <v>23</v>
      </c>
    </row>
    <row r="44" spans="1:7" x14ac:dyDescent="0.25">
      <c r="A44" s="23"/>
      <c r="B44" s="4" t="s">
        <v>17</v>
      </c>
      <c r="C44" s="10">
        <v>0.13800000000000001</v>
      </c>
      <c r="D44" s="3">
        <v>13</v>
      </c>
      <c r="F44" s="9">
        <v>0.152</v>
      </c>
      <c r="G44" s="3">
        <v>16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70.8</v>
      </c>
      <c r="D46" s="3">
        <v>24</v>
      </c>
      <c r="F46" s="8">
        <v>67.599999999999994</v>
      </c>
      <c r="G46" s="3">
        <v>22</v>
      </c>
    </row>
    <row r="47" spans="1:7" x14ac:dyDescent="0.25">
      <c r="A47" s="23"/>
      <c r="B47" s="20" t="s">
        <v>49</v>
      </c>
      <c r="C47" s="8">
        <v>78.400000000000006</v>
      </c>
      <c r="D47" s="3">
        <v>30</v>
      </c>
      <c r="F47" s="8">
        <v>70.5</v>
      </c>
      <c r="G47" s="3">
        <v>17</v>
      </c>
    </row>
    <row r="48" spans="1:7" x14ac:dyDescent="0.25">
      <c r="A48" s="23"/>
      <c r="B48" s="20" t="s">
        <v>50</v>
      </c>
      <c r="C48" s="8">
        <v>-7.6</v>
      </c>
      <c r="D48" s="3">
        <v>30</v>
      </c>
      <c r="F48" s="8">
        <v>-2.9</v>
      </c>
      <c r="G48" s="3">
        <v>22</v>
      </c>
    </row>
    <row r="49" spans="1:7" x14ac:dyDescent="0.25">
      <c r="A49" s="23"/>
      <c r="B49" s="20" t="s">
        <v>51</v>
      </c>
      <c r="C49" s="8">
        <v>58.8</v>
      </c>
      <c r="D49" s="3">
        <v>9</v>
      </c>
      <c r="F49" s="8">
        <v>53.4</v>
      </c>
      <c r="G49" s="3">
        <v>16</v>
      </c>
    </row>
    <row r="50" spans="1:7" x14ac:dyDescent="0.25">
      <c r="A50" s="23"/>
      <c r="B50" s="20" t="s">
        <v>52</v>
      </c>
      <c r="C50" s="8">
        <v>63.1</v>
      </c>
      <c r="D50" s="3">
        <v>26</v>
      </c>
      <c r="F50" s="8">
        <v>57.8</v>
      </c>
      <c r="G50" s="3">
        <v>21</v>
      </c>
    </row>
    <row r="51" spans="1:7" x14ac:dyDescent="0.25">
      <c r="A51" s="23"/>
      <c r="B51" s="20" t="s">
        <v>53</v>
      </c>
      <c r="C51" s="8">
        <v>-4.3</v>
      </c>
      <c r="D51" s="3">
        <v>29</v>
      </c>
      <c r="F51" s="8">
        <v>-4.4000000000000004</v>
      </c>
      <c r="G51" s="3">
        <v>27</v>
      </c>
    </row>
    <row r="53" spans="1:7" x14ac:dyDescent="0.25">
      <c r="A53" s="23" t="s">
        <v>57</v>
      </c>
      <c r="B53" s="6" t="s">
        <v>18</v>
      </c>
      <c r="C53" s="7">
        <v>14.4</v>
      </c>
      <c r="D53" s="3">
        <v>29</v>
      </c>
      <c r="F53" s="7">
        <v>14.8</v>
      </c>
      <c r="G53" s="3">
        <v>28</v>
      </c>
    </row>
    <row r="54" spans="1:7" x14ac:dyDescent="0.25">
      <c r="A54" s="23"/>
      <c r="B54" s="6" t="s">
        <v>19</v>
      </c>
      <c r="C54" s="7">
        <v>16.8</v>
      </c>
      <c r="D54" s="3">
        <v>19</v>
      </c>
      <c r="F54" s="7">
        <v>17</v>
      </c>
      <c r="G54" s="3">
        <v>10</v>
      </c>
    </row>
    <row r="55" spans="1:7" x14ac:dyDescent="0.25">
      <c r="A55" s="23"/>
      <c r="B55" s="6" t="s">
        <v>20</v>
      </c>
      <c r="C55" s="7">
        <v>13.5</v>
      </c>
      <c r="D55" s="3">
        <v>11</v>
      </c>
      <c r="F55" s="7">
        <v>13.1</v>
      </c>
      <c r="G55" s="3">
        <v>14</v>
      </c>
    </row>
    <row r="56" spans="1:7" x14ac:dyDescent="0.25">
      <c r="A56" s="23"/>
      <c r="B56" s="6" t="s">
        <v>21</v>
      </c>
      <c r="C56" s="7">
        <v>12.7</v>
      </c>
      <c r="D56" s="3">
        <v>10</v>
      </c>
      <c r="F56" s="7">
        <v>14.6</v>
      </c>
      <c r="G56" s="3">
        <v>26</v>
      </c>
    </row>
    <row r="57" spans="1:7" x14ac:dyDescent="0.25">
      <c r="A57" s="23"/>
      <c r="B57" s="6" t="s">
        <v>22</v>
      </c>
      <c r="C57" s="7">
        <v>10.6</v>
      </c>
      <c r="D57" s="3">
        <v>10.6</v>
      </c>
      <c r="F57" s="7">
        <v>10.9</v>
      </c>
      <c r="G57" s="3">
        <v>10.9</v>
      </c>
    </row>
    <row r="58" spans="1:7" x14ac:dyDescent="0.25">
      <c r="A58" s="23"/>
      <c r="B58" s="6" t="s">
        <v>23</v>
      </c>
      <c r="C58" s="7">
        <v>14</v>
      </c>
      <c r="D58" s="3">
        <v>14</v>
      </c>
      <c r="F58" s="7">
        <v>13.8</v>
      </c>
      <c r="G58" s="3">
        <v>13.8</v>
      </c>
    </row>
    <row r="59" spans="1:7" x14ac:dyDescent="0.25">
      <c r="A59" s="23"/>
      <c r="B59" s="6" t="s">
        <v>24</v>
      </c>
      <c r="C59" s="7">
        <v>44.5</v>
      </c>
      <c r="D59" s="3">
        <v>25</v>
      </c>
      <c r="F59" s="7">
        <v>46.1</v>
      </c>
      <c r="G59" s="3">
        <v>19</v>
      </c>
    </row>
    <row r="60" spans="1:7" x14ac:dyDescent="0.25">
      <c r="A60" s="23"/>
      <c r="B60" s="6" t="s">
        <v>25</v>
      </c>
      <c r="C60" s="7">
        <v>50</v>
      </c>
      <c r="D60" s="3">
        <v>20</v>
      </c>
      <c r="F60" s="7">
        <v>50.4</v>
      </c>
      <c r="G60" s="3">
        <v>25</v>
      </c>
    </row>
    <row r="62" spans="1:7" x14ac:dyDescent="0.25">
      <c r="A62" s="23" t="s">
        <v>58</v>
      </c>
      <c r="B62" s="21" t="s">
        <v>54</v>
      </c>
      <c r="C62" s="22">
        <v>3</v>
      </c>
      <c r="D62" s="3">
        <v>29</v>
      </c>
      <c r="F62" s="22">
        <v>4</v>
      </c>
      <c r="G62" s="3">
        <v>11</v>
      </c>
    </row>
    <row r="63" spans="1:7" x14ac:dyDescent="0.25">
      <c r="A63" s="23"/>
      <c r="B63" s="21" t="s">
        <v>55</v>
      </c>
      <c r="C63" s="3">
        <v>13</v>
      </c>
      <c r="D63" s="3">
        <v>28</v>
      </c>
      <c r="F63" s="3">
        <v>1</v>
      </c>
      <c r="G63" s="3">
        <v>26</v>
      </c>
    </row>
    <row r="64" spans="1:7" x14ac:dyDescent="0.25">
      <c r="A64" s="23"/>
      <c r="B64" s="21" t="s">
        <v>56</v>
      </c>
      <c r="C64" s="3">
        <v>20</v>
      </c>
      <c r="D64" s="3">
        <v>13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0.39400000000000002</v>
      </c>
      <c r="D65" s="3">
        <v>27</v>
      </c>
      <c r="F65" s="9">
        <v>0.33300000000000002</v>
      </c>
      <c r="G65" s="3">
        <v>29</v>
      </c>
    </row>
    <row r="66" spans="1:7" x14ac:dyDescent="0.25">
      <c r="A66" s="23"/>
      <c r="B66" s="21" t="s">
        <v>42</v>
      </c>
      <c r="C66" s="9">
        <v>0.38600000000000001</v>
      </c>
      <c r="D66" s="3">
        <v>1</v>
      </c>
      <c r="F66" s="9">
        <v>0.39100000000000001</v>
      </c>
      <c r="G66" s="3">
        <v>10</v>
      </c>
    </row>
    <row r="67" spans="1:7" x14ac:dyDescent="0.25">
      <c r="A67" s="23"/>
      <c r="B67" s="21" t="s">
        <v>8</v>
      </c>
      <c r="C67" s="8">
        <v>100</v>
      </c>
      <c r="D67" s="3">
        <v>25</v>
      </c>
      <c r="F67" s="8">
        <v>63.6</v>
      </c>
      <c r="G67" s="3">
        <v>30</v>
      </c>
    </row>
    <row r="68" spans="1:7" x14ac:dyDescent="0.25">
      <c r="A68" s="23"/>
      <c r="B68" s="21" t="s">
        <v>9</v>
      </c>
      <c r="C68" s="8">
        <v>108.8</v>
      </c>
      <c r="D68" s="3">
        <v>17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-8.8000000000000007</v>
      </c>
      <c r="D69" s="3">
        <v>27</v>
      </c>
      <c r="F69" s="8">
        <v>-36.4</v>
      </c>
      <c r="G69" s="3">
        <v>28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>
      <selection activeCell="D18" sqref="D18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1610612739</v>
      </c>
      <c r="B2" s="1" t="s">
        <v>755</v>
      </c>
      <c r="C2" s="1" t="s">
        <v>145</v>
      </c>
      <c r="D2" s="1" t="s">
        <v>1345</v>
      </c>
      <c r="E2" s="1" t="s">
        <v>1334</v>
      </c>
      <c r="F2" s="1" t="s">
        <v>770</v>
      </c>
      <c r="G2" s="1" t="s">
        <v>299</v>
      </c>
      <c r="H2" s="1" t="s">
        <v>1346</v>
      </c>
      <c r="I2" s="1" t="s">
        <v>1347</v>
      </c>
      <c r="J2" s="1">
        <v>31</v>
      </c>
      <c r="K2" s="1" t="s">
        <v>1341</v>
      </c>
      <c r="L2" s="1" t="s">
        <v>1348</v>
      </c>
      <c r="M2" s="1">
        <v>201567</v>
      </c>
    </row>
    <row r="3" spans="1:13" x14ac:dyDescent="0.25">
      <c r="A3" s="1">
        <v>1610612739</v>
      </c>
      <c r="B3" s="1" t="s">
        <v>755</v>
      </c>
      <c r="C3" s="1" t="s">
        <v>145</v>
      </c>
      <c r="D3" s="1" t="s">
        <v>1349</v>
      </c>
      <c r="E3" s="1" t="s">
        <v>759</v>
      </c>
      <c r="F3" s="1" t="s">
        <v>760</v>
      </c>
      <c r="G3" s="1" t="s">
        <v>409</v>
      </c>
      <c r="H3" s="1" t="s">
        <v>1339</v>
      </c>
      <c r="I3" s="1" t="s">
        <v>1350</v>
      </c>
      <c r="J3" s="1">
        <v>20</v>
      </c>
      <c r="K3" s="1" t="s">
        <v>756</v>
      </c>
      <c r="L3" s="1" t="s">
        <v>1351</v>
      </c>
      <c r="M3" s="1">
        <v>1629012</v>
      </c>
    </row>
    <row r="4" spans="1:13" x14ac:dyDescent="0.25">
      <c r="A4" s="1">
        <v>1610612739</v>
      </c>
      <c r="B4" s="1" t="s">
        <v>755</v>
      </c>
      <c r="C4" s="1" t="s">
        <v>145</v>
      </c>
      <c r="D4" s="1" t="s">
        <v>1352</v>
      </c>
      <c r="E4" s="1" t="s">
        <v>1340</v>
      </c>
      <c r="F4" s="1" t="s">
        <v>757</v>
      </c>
      <c r="G4" s="1" t="s">
        <v>266</v>
      </c>
      <c r="H4" s="1" t="s">
        <v>1353</v>
      </c>
      <c r="I4" s="1" t="s">
        <v>1354</v>
      </c>
      <c r="J4" s="1">
        <v>19</v>
      </c>
      <c r="K4" s="1" t="s">
        <v>758</v>
      </c>
      <c r="L4" s="1" t="s">
        <v>1355</v>
      </c>
      <c r="M4" s="1">
        <v>1629645</v>
      </c>
    </row>
    <row r="5" spans="1:13" x14ac:dyDescent="0.25">
      <c r="A5" s="1">
        <v>1610612739</v>
      </c>
      <c r="B5" s="1" t="s">
        <v>755</v>
      </c>
      <c r="C5" s="1" t="s">
        <v>145</v>
      </c>
      <c r="D5" s="1" t="s">
        <v>1356</v>
      </c>
      <c r="E5" s="1" t="s">
        <v>763</v>
      </c>
      <c r="F5" s="1" t="s">
        <v>760</v>
      </c>
      <c r="G5" s="1" t="s">
        <v>266</v>
      </c>
      <c r="H5" s="1" t="s">
        <v>1357</v>
      </c>
      <c r="I5" s="1" t="s">
        <v>1358</v>
      </c>
      <c r="J5" s="1">
        <v>27</v>
      </c>
      <c r="K5" s="1" t="s">
        <v>764</v>
      </c>
      <c r="L5" s="1" t="s">
        <v>1359</v>
      </c>
      <c r="M5" s="1">
        <v>203903</v>
      </c>
    </row>
    <row r="6" spans="1:13" x14ac:dyDescent="0.25">
      <c r="A6" s="1">
        <v>1610612739</v>
      </c>
      <c r="B6" s="1" t="s">
        <v>755</v>
      </c>
      <c r="C6" s="1" t="s">
        <v>145</v>
      </c>
      <c r="D6" s="1" t="s">
        <v>1360</v>
      </c>
      <c r="E6" s="1" t="s">
        <v>761</v>
      </c>
      <c r="F6" s="1" t="s">
        <v>757</v>
      </c>
      <c r="G6" s="1" t="s">
        <v>766</v>
      </c>
      <c r="H6" s="1" t="s">
        <v>1361</v>
      </c>
      <c r="I6" s="1" t="s">
        <v>1362</v>
      </c>
      <c r="J6" s="1">
        <v>23</v>
      </c>
      <c r="K6" s="1" t="s">
        <v>758</v>
      </c>
      <c r="L6" s="1" t="s">
        <v>1363</v>
      </c>
      <c r="M6" s="1">
        <v>1629685</v>
      </c>
    </row>
    <row r="7" spans="1:13" x14ac:dyDescent="0.25">
      <c r="A7" s="1">
        <v>1610612739</v>
      </c>
      <c r="B7" s="1" t="s">
        <v>755</v>
      </c>
      <c r="C7" s="1" t="s">
        <v>145</v>
      </c>
      <c r="D7" s="1" t="s">
        <v>1364</v>
      </c>
      <c r="E7" s="1" t="s">
        <v>1336</v>
      </c>
      <c r="F7" s="1" t="s">
        <v>760</v>
      </c>
      <c r="G7" s="1" t="s">
        <v>409</v>
      </c>
      <c r="H7" s="1" t="s">
        <v>1365</v>
      </c>
      <c r="I7" s="1" t="s">
        <v>1366</v>
      </c>
      <c r="J7" s="1">
        <v>19</v>
      </c>
      <c r="K7" s="1" t="s">
        <v>758</v>
      </c>
      <c r="L7" s="1" t="s">
        <v>1367</v>
      </c>
      <c r="M7" s="1">
        <v>1629636</v>
      </c>
    </row>
    <row r="8" spans="1:13" x14ac:dyDescent="0.25">
      <c r="A8" s="1">
        <v>1610612739</v>
      </c>
      <c r="B8" s="1" t="s">
        <v>755</v>
      </c>
      <c r="C8" s="1" t="s">
        <v>145</v>
      </c>
      <c r="D8" s="1" t="s">
        <v>1368</v>
      </c>
      <c r="E8" s="1" t="s">
        <v>1369</v>
      </c>
      <c r="F8" s="1" t="s">
        <v>1343</v>
      </c>
      <c r="G8" s="1" t="s">
        <v>337</v>
      </c>
      <c r="H8" s="1" t="s">
        <v>1370</v>
      </c>
      <c r="I8" s="1" t="s">
        <v>1371</v>
      </c>
      <c r="J8" s="1">
        <v>28</v>
      </c>
      <c r="K8" s="1" t="s">
        <v>763</v>
      </c>
      <c r="L8" s="1" t="s">
        <v>1372</v>
      </c>
      <c r="M8" s="1">
        <v>202684</v>
      </c>
    </row>
    <row r="9" spans="1:13" x14ac:dyDescent="0.25">
      <c r="A9" s="1">
        <v>1610612739</v>
      </c>
      <c r="B9" s="1" t="s">
        <v>755</v>
      </c>
      <c r="C9" s="1" t="s">
        <v>145</v>
      </c>
      <c r="D9" s="1" t="s">
        <v>1373</v>
      </c>
      <c r="E9" s="1" t="s">
        <v>1374</v>
      </c>
      <c r="F9" s="1" t="s">
        <v>767</v>
      </c>
      <c r="G9" s="1" t="s">
        <v>331</v>
      </c>
      <c r="H9" s="1" t="s">
        <v>768</v>
      </c>
      <c r="I9" s="1" t="s">
        <v>1375</v>
      </c>
      <c r="J9" s="1">
        <v>24</v>
      </c>
      <c r="K9" s="1" t="s">
        <v>759</v>
      </c>
      <c r="L9" s="1" t="s">
        <v>769</v>
      </c>
      <c r="M9" s="1">
        <v>1626224</v>
      </c>
    </row>
    <row r="10" spans="1:13" x14ac:dyDescent="0.25">
      <c r="A10" s="1">
        <v>1610612739</v>
      </c>
      <c r="B10" s="1" t="s">
        <v>755</v>
      </c>
      <c r="C10" s="1" t="s">
        <v>145</v>
      </c>
      <c r="D10" s="1" t="s">
        <v>1376</v>
      </c>
      <c r="E10" s="1" t="s">
        <v>1377</v>
      </c>
      <c r="F10" s="1" t="s">
        <v>760</v>
      </c>
      <c r="G10" s="1" t="s">
        <v>256</v>
      </c>
      <c r="H10" s="1" t="s">
        <v>1335</v>
      </c>
      <c r="I10" s="1" t="s">
        <v>1378</v>
      </c>
      <c r="J10" s="1">
        <v>29</v>
      </c>
      <c r="K10" s="1" t="s">
        <v>765</v>
      </c>
      <c r="L10" s="1" t="s">
        <v>1379</v>
      </c>
      <c r="M10" s="1">
        <v>203521</v>
      </c>
    </row>
    <row r="11" spans="1:13" x14ac:dyDescent="0.25">
      <c r="A11" s="1">
        <v>1610612739</v>
      </c>
      <c r="B11" s="1" t="s">
        <v>755</v>
      </c>
      <c r="C11" s="1" t="s">
        <v>145</v>
      </c>
      <c r="D11" s="1" t="s">
        <v>1380</v>
      </c>
      <c r="E11" s="1" t="s">
        <v>1381</v>
      </c>
      <c r="F11" s="1" t="s">
        <v>760</v>
      </c>
      <c r="G11" s="1" t="s">
        <v>227</v>
      </c>
      <c r="H11" s="1" t="s">
        <v>1382</v>
      </c>
      <c r="I11" s="1" t="s">
        <v>1383</v>
      </c>
      <c r="J11" s="1">
        <v>27</v>
      </c>
      <c r="K11" s="1" t="s">
        <v>762</v>
      </c>
      <c r="L11" s="1" t="s">
        <v>1337</v>
      </c>
      <c r="M11" s="1">
        <v>202688</v>
      </c>
    </row>
    <row r="12" spans="1:13" x14ac:dyDescent="0.25">
      <c r="A12" s="1">
        <v>1610612739</v>
      </c>
      <c r="B12" s="1" t="s">
        <v>755</v>
      </c>
      <c r="C12" s="1" t="s">
        <v>145</v>
      </c>
      <c r="D12" s="1" t="s">
        <v>1384</v>
      </c>
      <c r="E12" s="1" t="s">
        <v>1385</v>
      </c>
      <c r="F12" s="1" t="s">
        <v>767</v>
      </c>
      <c r="G12" s="1" t="s">
        <v>299</v>
      </c>
      <c r="H12" s="1" t="s">
        <v>1342</v>
      </c>
      <c r="I12" s="1" t="s">
        <v>1386</v>
      </c>
      <c r="J12" s="1">
        <v>22</v>
      </c>
      <c r="K12" s="1" t="s">
        <v>758</v>
      </c>
      <c r="L12" s="1" t="s">
        <v>1387</v>
      </c>
      <c r="M12" s="1">
        <v>1629076</v>
      </c>
    </row>
    <row r="13" spans="1:13" x14ac:dyDescent="0.25">
      <c r="A13" s="1">
        <v>1610612739</v>
      </c>
      <c r="B13" s="1" t="s">
        <v>755</v>
      </c>
      <c r="C13" s="1" t="s">
        <v>145</v>
      </c>
      <c r="D13" s="1" t="s">
        <v>1388</v>
      </c>
      <c r="E13" s="1" t="s">
        <v>1344</v>
      </c>
      <c r="F13" s="1" t="s">
        <v>770</v>
      </c>
      <c r="G13" s="1" t="s">
        <v>331</v>
      </c>
      <c r="H13" s="1" t="s">
        <v>1389</v>
      </c>
      <c r="I13" s="1" t="s">
        <v>1390</v>
      </c>
      <c r="J13" s="1">
        <v>26</v>
      </c>
      <c r="K13" s="1" t="s">
        <v>1340</v>
      </c>
      <c r="L13" s="1" t="s">
        <v>1391</v>
      </c>
      <c r="M13" s="1">
        <v>1626204</v>
      </c>
    </row>
    <row r="14" spans="1:13" x14ac:dyDescent="0.25">
      <c r="A14" s="1">
        <v>1610612739</v>
      </c>
      <c r="B14" s="1" t="s">
        <v>755</v>
      </c>
      <c r="C14" s="1" t="s">
        <v>145</v>
      </c>
      <c r="D14" s="1" t="s">
        <v>1392</v>
      </c>
      <c r="E14" s="1" t="s">
        <v>1393</v>
      </c>
      <c r="F14" s="1" t="s">
        <v>767</v>
      </c>
      <c r="G14" s="1" t="s">
        <v>331</v>
      </c>
      <c r="H14" s="1" t="s">
        <v>1394</v>
      </c>
      <c r="I14" s="1" t="s">
        <v>1395</v>
      </c>
      <c r="J14" s="1">
        <v>27</v>
      </c>
      <c r="K14" s="1" t="s">
        <v>759</v>
      </c>
      <c r="L14" s="1" t="s">
        <v>1396</v>
      </c>
      <c r="M14" s="1">
        <v>1628035</v>
      </c>
    </row>
    <row r="15" spans="1:13" x14ac:dyDescent="0.25">
      <c r="A15" s="1">
        <v>1610612739</v>
      </c>
      <c r="B15" s="1" t="s">
        <v>755</v>
      </c>
      <c r="C15" s="1" t="s">
        <v>145</v>
      </c>
      <c r="D15" s="1" t="s">
        <v>1397</v>
      </c>
      <c r="E15" s="1" t="s">
        <v>1398</v>
      </c>
      <c r="F15" s="1" t="s">
        <v>770</v>
      </c>
      <c r="G15" s="1" t="s">
        <v>337</v>
      </c>
      <c r="H15" s="1" t="s">
        <v>1399</v>
      </c>
      <c r="I15" s="1" t="s">
        <v>1400</v>
      </c>
      <c r="J15" s="1">
        <v>28</v>
      </c>
      <c r="K15" s="1" t="s">
        <v>762</v>
      </c>
      <c r="L15" s="1" t="s">
        <v>1338</v>
      </c>
      <c r="M15" s="1">
        <v>203089</v>
      </c>
    </row>
    <row r="16" spans="1:13" x14ac:dyDescent="0.25">
      <c r="A16" s="1">
        <v>1610612739</v>
      </c>
      <c r="B16" s="1" t="s">
        <v>755</v>
      </c>
      <c r="C16" s="1" t="s">
        <v>145</v>
      </c>
      <c r="D16" s="1" t="s">
        <v>1401</v>
      </c>
      <c r="E16" s="1" t="s">
        <v>1402</v>
      </c>
      <c r="F16" s="1" t="s">
        <v>770</v>
      </c>
      <c r="G16" s="1" t="s">
        <v>337</v>
      </c>
      <c r="H16" s="1" t="s">
        <v>1403</v>
      </c>
      <c r="I16" s="1" t="s">
        <v>1404</v>
      </c>
      <c r="J16" s="1">
        <v>23</v>
      </c>
      <c r="K16" s="1" t="s">
        <v>758</v>
      </c>
      <c r="L16" s="1" t="s">
        <v>1405</v>
      </c>
      <c r="M16" s="1">
        <v>1629731</v>
      </c>
    </row>
    <row r="17" spans="1:13" x14ac:dyDescent="0.25">
      <c r="A17" s="1">
        <v>1610612739</v>
      </c>
      <c r="B17" s="1" t="s">
        <v>755</v>
      </c>
      <c r="C17" s="1" t="s">
        <v>145</v>
      </c>
      <c r="D17" s="1" t="s">
        <v>1406</v>
      </c>
      <c r="E17" s="1" t="s">
        <v>1407</v>
      </c>
      <c r="F17" s="1" t="s">
        <v>771</v>
      </c>
      <c r="G17" s="1" t="s">
        <v>410</v>
      </c>
      <c r="H17" s="1" t="s">
        <v>1408</v>
      </c>
      <c r="I17" s="1" t="s">
        <v>1409</v>
      </c>
      <c r="J17" s="1">
        <v>22</v>
      </c>
      <c r="K17" s="1" t="s">
        <v>759</v>
      </c>
      <c r="L17" s="1" t="s">
        <v>769</v>
      </c>
      <c r="M17" s="1">
        <v>1627790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388F-4015-44EA-8108-6166DCEE19C2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772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773</v>
      </c>
      <c r="H2" s="1">
        <v>1</v>
      </c>
      <c r="I2" s="1" t="s">
        <v>774</v>
      </c>
      <c r="J2" s="1" t="s">
        <v>152</v>
      </c>
      <c r="K2" s="1" t="s">
        <v>775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776</v>
      </c>
      <c r="R2" s="1" t="s">
        <v>777</v>
      </c>
      <c r="S2" s="1" t="s">
        <v>778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779</v>
      </c>
      <c r="Z2" s="1">
        <v>6</v>
      </c>
      <c r="AA2" s="1" t="s">
        <v>188</v>
      </c>
      <c r="AB2" s="1">
        <v>11</v>
      </c>
      <c r="AC2" s="1" t="s">
        <v>780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781</v>
      </c>
      <c r="AT2" s="1" t="s">
        <v>782</v>
      </c>
      <c r="AU2" s="1" t="s">
        <v>232</v>
      </c>
      <c r="AV2" s="1" t="s">
        <v>783</v>
      </c>
      <c r="AW2" s="1" t="s">
        <v>784</v>
      </c>
      <c r="AX2" s="1" t="s">
        <v>185</v>
      </c>
      <c r="AY2" s="1" t="s">
        <v>785</v>
      </c>
      <c r="AZ2" s="1" t="s">
        <v>786</v>
      </c>
      <c r="BA2" s="1" t="s">
        <v>787</v>
      </c>
      <c r="BB2" s="1" t="s">
        <v>788</v>
      </c>
      <c r="BC2" s="1" t="s">
        <v>789</v>
      </c>
      <c r="BD2" s="1" t="s">
        <v>790</v>
      </c>
      <c r="BE2" s="1">
        <v>117.7</v>
      </c>
      <c r="BF2" s="1">
        <v>111.2</v>
      </c>
      <c r="BG2" s="1">
        <v>6.5</v>
      </c>
      <c r="BH2" s="1" t="s">
        <v>791</v>
      </c>
      <c r="BI2" s="1" t="s">
        <v>266</v>
      </c>
      <c r="BJ2" s="1" t="s">
        <v>216</v>
      </c>
      <c r="BK2" s="1" t="s">
        <v>216</v>
      </c>
      <c r="BL2" s="1" t="s">
        <v>773</v>
      </c>
      <c r="BM2" s="1" t="s">
        <v>792</v>
      </c>
      <c r="BN2" s="1" t="s">
        <v>793</v>
      </c>
      <c r="BO2" s="1" t="s">
        <v>794</v>
      </c>
      <c r="BP2" s="1" t="s">
        <v>795</v>
      </c>
      <c r="BQ2" s="1" t="s">
        <v>796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797</v>
      </c>
      <c r="CC2" s="1" t="s">
        <v>798</v>
      </c>
    </row>
    <row r="3" spans="1:81" x14ac:dyDescent="0.25">
      <c r="A3" s="1" t="s">
        <v>145</v>
      </c>
      <c r="B3" s="1" t="s">
        <v>772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799</v>
      </c>
      <c r="H3" s="1">
        <v>1</v>
      </c>
      <c r="I3" s="1" t="s">
        <v>800</v>
      </c>
      <c r="J3" s="1" t="s">
        <v>181</v>
      </c>
      <c r="K3" s="1" t="s">
        <v>801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802</v>
      </c>
      <c r="R3" s="1" t="s">
        <v>803</v>
      </c>
      <c r="S3" s="1" t="s">
        <v>778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804</v>
      </c>
      <c r="Z3" s="1">
        <v>6</v>
      </c>
      <c r="AA3" s="1" t="s">
        <v>188</v>
      </c>
      <c r="AB3" s="1">
        <v>10</v>
      </c>
      <c r="AC3" s="1" t="s">
        <v>805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806</v>
      </c>
      <c r="AT3" s="1" t="s">
        <v>807</v>
      </c>
      <c r="AU3" s="1" t="s">
        <v>161</v>
      </c>
      <c r="AV3" s="1" t="s">
        <v>808</v>
      </c>
      <c r="AW3" s="1" t="s">
        <v>809</v>
      </c>
      <c r="AX3" s="1" t="s">
        <v>186</v>
      </c>
      <c r="AY3" s="1" t="s">
        <v>810</v>
      </c>
      <c r="AZ3" s="1" t="s">
        <v>811</v>
      </c>
      <c r="BA3" s="1" t="s">
        <v>812</v>
      </c>
      <c r="BB3" s="1" t="s">
        <v>813</v>
      </c>
      <c r="BC3" s="1" t="s">
        <v>814</v>
      </c>
      <c r="BD3" s="1" t="s">
        <v>815</v>
      </c>
      <c r="BE3" s="1">
        <v>118.1</v>
      </c>
      <c r="BF3" s="1">
        <v>109.3</v>
      </c>
      <c r="BG3" s="1">
        <v>8.9</v>
      </c>
      <c r="BH3" s="1" t="s">
        <v>799</v>
      </c>
      <c r="BI3" s="1" t="s">
        <v>816</v>
      </c>
      <c r="BJ3" s="1" t="s">
        <v>817</v>
      </c>
      <c r="BK3" s="1" t="s">
        <v>816</v>
      </c>
      <c r="BL3" s="1" t="s">
        <v>818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819</v>
      </c>
      <c r="BS3" s="1" t="s">
        <v>228</v>
      </c>
      <c r="BT3" s="1"/>
      <c r="BU3" s="1"/>
      <c r="BV3" s="1"/>
      <c r="BW3" s="1"/>
      <c r="BX3" s="1"/>
      <c r="BY3" s="1" t="s">
        <v>820</v>
      </c>
      <c r="BZ3" s="1" t="s">
        <v>291</v>
      </c>
      <c r="CA3" s="1" t="s">
        <v>253</v>
      </c>
      <c r="CB3" s="1" t="s">
        <v>821</v>
      </c>
      <c r="CC3" s="1" t="s">
        <v>822</v>
      </c>
    </row>
    <row r="4" spans="1:81" x14ac:dyDescent="0.25">
      <c r="A4" s="1" t="s">
        <v>145</v>
      </c>
      <c r="B4" s="1" t="s">
        <v>772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823</v>
      </c>
      <c r="H4" s="1">
        <v>2</v>
      </c>
      <c r="I4" s="1" t="s">
        <v>824</v>
      </c>
      <c r="J4" s="1" t="s">
        <v>203</v>
      </c>
      <c r="K4" s="1" t="s">
        <v>825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826</v>
      </c>
      <c r="R4" s="1" t="s">
        <v>827</v>
      </c>
      <c r="S4" s="1" t="s">
        <v>828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829</v>
      </c>
      <c r="Y4" s="1" t="s">
        <v>830</v>
      </c>
      <c r="Z4" s="1">
        <v>10</v>
      </c>
      <c r="AA4" s="1" t="s">
        <v>805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831</v>
      </c>
      <c r="AT4" s="1" t="s">
        <v>832</v>
      </c>
      <c r="AU4" s="1" t="s">
        <v>185</v>
      </c>
      <c r="AV4" s="1" t="s">
        <v>833</v>
      </c>
      <c r="AW4" s="1" t="s">
        <v>834</v>
      </c>
      <c r="AX4" s="1" t="s">
        <v>157</v>
      </c>
      <c r="AY4" s="1" t="s">
        <v>835</v>
      </c>
      <c r="AZ4" s="1" t="s">
        <v>836</v>
      </c>
      <c r="BA4" s="1" t="s">
        <v>837</v>
      </c>
      <c r="BB4" s="1" t="s">
        <v>838</v>
      </c>
      <c r="BC4" s="1" t="s">
        <v>839</v>
      </c>
      <c r="BD4" s="1" t="s">
        <v>840</v>
      </c>
      <c r="BE4" s="1">
        <v>114.4</v>
      </c>
      <c r="BF4" s="1">
        <v>108.4</v>
      </c>
      <c r="BG4" s="1">
        <v>6.1</v>
      </c>
      <c r="BH4" s="1" t="s">
        <v>823</v>
      </c>
      <c r="BI4" s="1" t="s">
        <v>841</v>
      </c>
      <c r="BJ4" s="1" t="s">
        <v>794</v>
      </c>
      <c r="BK4" s="1" t="s">
        <v>842</v>
      </c>
      <c r="BL4" s="1" t="s">
        <v>791</v>
      </c>
      <c r="BM4" s="1" t="s">
        <v>266</v>
      </c>
      <c r="BN4" s="1" t="s">
        <v>843</v>
      </c>
      <c r="BO4" s="1" t="s">
        <v>266</v>
      </c>
      <c r="BP4" s="1" t="s">
        <v>261</v>
      </c>
      <c r="BQ4" s="1" t="s">
        <v>173</v>
      </c>
      <c r="BR4" s="1" t="s">
        <v>844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845</v>
      </c>
      <c r="CC4" s="1" t="s">
        <v>846</v>
      </c>
    </row>
    <row r="5" spans="1:81" x14ac:dyDescent="0.25">
      <c r="A5" s="1" t="s">
        <v>145</v>
      </c>
      <c r="B5" s="1" t="s">
        <v>772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847</v>
      </c>
      <c r="H5" s="1">
        <v>2</v>
      </c>
      <c r="I5" s="1" t="s">
        <v>848</v>
      </c>
      <c r="J5" s="1" t="s">
        <v>219</v>
      </c>
      <c r="K5" s="1" t="s">
        <v>825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849</v>
      </c>
      <c r="R5" s="1" t="s">
        <v>850</v>
      </c>
      <c r="S5" s="1" t="s">
        <v>851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775</v>
      </c>
      <c r="Y5" s="1" t="s">
        <v>852</v>
      </c>
      <c r="Z5" s="1">
        <v>12</v>
      </c>
      <c r="AA5" s="1" t="s">
        <v>853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854</v>
      </c>
      <c r="AT5" s="1" t="s">
        <v>855</v>
      </c>
      <c r="AU5" s="1" t="s">
        <v>185</v>
      </c>
      <c r="AV5" s="1" t="s">
        <v>856</v>
      </c>
      <c r="AW5" s="1" t="s">
        <v>857</v>
      </c>
      <c r="AX5" s="1" t="s">
        <v>155</v>
      </c>
      <c r="AY5" s="1" t="s">
        <v>858</v>
      </c>
      <c r="AZ5" s="1" t="s">
        <v>859</v>
      </c>
      <c r="BA5" s="1" t="s">
        <v>860</v>
      </c>
      <c r="BB5" s="1" t="s">
        <v>861</v>
      </c>
      <c r="BC5" s="1" t="s">
        <v>862</v>
      </c>
      <c r="BD5" s="1" t="s">
        <v>863</v>
      </c>
      <c r="BE5" s="1">
        <v>110.7</v>
      </c>
      <c r="BF5" s="1">
        <v>106.7</v>
      </c>
      <c r="BG5" s="1">
        <v>4</v>
      </c>
      <c r="BH5" s="1" t="s">
        <v>818</v>
      </c>
      <c r="BI5" s="1" t="s">
        <v>296</v>
      </c>
      <c r="BJ5" s="1" t="s">
        <v>266</v>
      </c>
      <c r="BK5" s="1" t="s">
        <v>296</v>
      </c>
      <c r="BL5" s="1" t="s">
        <v>847</v>
      </c>
      <c r="BM5" s="1" t="s">
        <v>841</v>
      </c>
      <c r="BN5" s="1" t="s">
        <v>792</v>
      </c>
      <c r="BO5" s="1" t="s">
        <v>794</v>
      </c>
      <c r="BP5" s="1" t="s">
        <v>841</v>
      </c>
      <c r="BQ5" s="1" t="s">
        <v>796</v>
      </c>
      <c r="BR5" s="1" t="s">
        <v>844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844</v>
      </c>
      <c r="CA5" s="1" t="s">
        <v>864</v>
      </c>
      <c r="CB5" s="1" t="s">
        <v>865</v>
      </c>
      <c r="CC5" s="1" t="s">
        <v>866</v>
      </c>
    </row>
    <row r="6" spans="1:81" x14ac:dyDescent="0.25">
      <c r="A6" s="1" t="s">
        <v>145</v>
      </c>
      <c r="B6" s="1" t="s">
        <v>772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867</v>
      </c>
      <c r="H6" s="1">
        <v>3</v>
      </c>
      <c r="I6" s="1" t="s">
        <v>868</v>
      </c>
      <c r="J6" s="1" t="s">
        <v>203</v>
      </c>
      <c r="K6" s="1" t="s">
        <v>869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870</v>
      </c>
      <c r="R6" s="1" t="s">
        <v>871</v>
      </c>
      <c r="S6" s="1" t="s">
        <v>851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872</v>
      </c>
      <c r="Y6" s="1" t="s">
        <v>873</v>
      </c>
      <c r="Z6" s="1">
        <v>10</v>
      </c>
      <c r="AA6" s="1" t="s">
        <v>805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874</v>
      </c>
      <c r="AT6" s="1" t="s">
        <v>875</v>
      </c>
      <c r="AU6" s="1" t="s">
        <v>208</v>
      </c>
      <c r="AV6" s="1" t="s">
        <v>781</v>
      </c>
      <c r="AW6" s="1" t="s">
        <v>876</v>
      </c>
      <c r="AX6" s="1" t="s">
        <v>186</v>
      </c>
      <c r="AY6" s="1" t="s">
        <v>877</v>
      </c>
      <c r="AZ6" s="1" t="s">
        <v>878</v>
      </c>
      <c r="BA6" s="1" t="s">
        <v>879</v>
      </c>
      <c r="BB6" s="1" t="s">
        <v>862</v>
      </c>
      <c r="BC6" s="1" t="s">
        <v>797</v>
      </c>
      <c r="BD6" s="1" t="s">
        <v>880</v>
      </c>
      <c r="BE6" s="1">
        <v>115.2</v>
      </c>
      <c r="BF6" s="1">
        <v>112.5</v>
      </c>
      <c r="BG6" s="1">
        <v>2.7</v>
      </c>
      <c r="BH6" s="1" t="s">
        <v>867</v>
      </c>
      <c r="BI6" s="1" t="s">
        <v>881</v>
      </c>
      <c r="BJ6" s="1" t="s">
        <v>792</v>
      </c>
      <c r="BK6" s="1" t="s">
        <v>882</v>
      </c>
      <c r="BL6" s="1" t="s">
        <v>818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841</v>
      </c>
      <c r="CA6" s="1" t="s">
        <v>883</v>
      </c>
      <c r="CB6" s="1" t="s">
        <v>884</v>
      </c>
      <c r="CC6" s="1" t="s">
        <v>885</v>
      </c>
    </row>
    <row r="7" spans="1:81" x14ac:dyDescent="0.25">
      <c r="A7" s="1" t="s">
        <v>145</v>
      </c>
      <c r="B7" s="1" t="s">
        <v>772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886</v>
      </c>
      <c r="H7" s="1">
        <v>3</v>
      </c>
      <c r="I7" s="1" t="s">
        <v>868</v>
      </c>
      <c r="J7" s="1" t="s">
        <v>219</v>
      </c>
      <c r="K7" s="1" t="s">
        <v>887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888</v>
      </c>
      <c r="R7" s="1" t="s">
        <v>827</v>
      </c>
      <c r="S7" s="1" t="s">
        <v>889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890</v>
      </c>
      <c r="Z7" s="1">
        <v>8</v>
      </c>
      <c r="AA7" s="1" t="s">
        <v>891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891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892</v>
      </c>
      <c r="AT7" s="1" t="s">
        <v>893</v>
      </c>
      <c r="AU7" s="1" t="s">
        <v>260</v>
      </c>
      <c r="AV7" s="1" t="s">
        <v>894</v>
      </c>
      <c r="AW7" s="1" t="s">
        <v>895</v>
      </c>
      <c r="AX7" s="1" t="s">
        <v>161</v>
      </c>
      <c r="AY7" s="1" t="s">
        <v>896</v>
      </c>
      <c r="AZ7" s="1" t="s">
        <v>897</v>
      </c>
      <c r="BA7" s="1" t="s">
        <v>898</v>
      </c>
      <c r="BB7" s="1" t="s">
        <v>899</v>
      </c>
      <c r="BC7" s="1" t="s">
        <v>900</v>
      </c>
      <c r="BD7" s="1" t="s">
        <v>901</v>
      </c>
      <c r="BE7" s="1">
        <v>114.7</v>
      </c>
      <c r="BF7" s="1">
        <v>110.5</v>
      </c>
      <c r="BG7" s="1">
        <v>4.2</v>
      </c>
      <c r="BH7" s="1" t="s">
        <v>902</v>
      </c>
      <c r="BI7" s="1" t="s">
        <v>176</v>
      </c>
      <c r="BJ7" s="1" t="s">
        <v>216</v>
      </c>
      <c r="BK7" s="1" t="s">
        <v>296</v>
      </c>
      <c r="BL7" s="1" t="s">
        <v>886</v>
      </c>
      <c r="BM7" s="1" t="s">
        <v>410</v>
      </c>
      <c r="BN7" s="1" t="s">
        <v>792</v>
      </c>
      <c r="BO7" s="1" t="s">
        <v>882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903</v>
      </c>
      <c r="CC7" s="1" t="s">
        <v>904</v>
      </c>
    </row>
    <row r="8" spans="1:81" x14ac:dyDescent="0.25">
      <c r="A8" s="1" t="s">
        <v>145</v>
      </c>
      <c r="B8" s="1" t="s">
        <v>772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905</v>
      </c>
      <c r="H8" s="1">
        <v>4</v>
      </c>
      <c r="I8" s="1" t="s">
        <v>906</v>
      </c>
      <c r="J8" s="1" t="s">
        <v>231</v>
      </c>
      <c r="K8" s="1" t="s">
        <v>907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888</v>
      </c>
      <c r="R8" s="1" t="s">
        <v>871</v>
      </c>
      <c r="S8" s="1" t="s">
        <v>908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909</v>
      </c>
      <c r="Y8" s="1" t="s">
        <v>910</v>
      </c>
      <c r="Z8" s="1">
        <v>10</v>
      </c>
      <c r="AA8" s="1" t="s">
        <v>805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911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912</v>
      </c>
      <c r="AT8" s="1" t="s">
        <v>913</v>
      </c>
      <c r="AU8" s="1" t="s">
        <v>157</v>
      </c>
      <c r="AV8" s="1" t="s">
        <v>914</v>
      </c>
      <c r="AW8" s="1" t="s">
        <v>915</v>
      </c>
      <c r="AX8" s="1" t="s">
        <v>190</v>
      </c>
      <c r="AY8" s="1" t="s">
        <v>858</v>
      </c>
      <c r="AZ8" s="1" t="s">
        <v>916</v>
      </c>
      <c r="BA8" s="1" t="s">
        <v>837</v>
      </c>
      <c r="BB8" s="1" t="s">
        <v>917</v>
      </c>
      <c r="BC8" s="1" t="s">
        <v>918</v>
      </c>
      <c r="BD8" s="1" t="s">
        <v>919</v>
      </c>
      <c r="BE8" s="1">
        <v>113.9</v>
      </c>
      <c r="BF8" s="1">
        <v>109.1</v>
      </c>
      <c r="BG8" s="1">
        <v>4.8</v>
      </c>
      <c r="BH8" s="1" t="s">
        <v>920</v>
      </c>
      <c r="BI8" s="1" t="s">
        <v>216</v>
      </c>
      <c r="BJ8" s="1" t="s">
        <v>266</v>
      </c>
      <c r="BK8" s="1" t="s">
        <v>296</v>
      </c>
      <c r="BL8" s="1" t="s">
        <v>905</v>
      </c>
      <c r="BM8" s="1" t="s">
        <v>921</v>
      </c>
      <c r="BN8" s="1" t="s">
        <v>842</v>
      </c>
      <c r="BO8" s="1" t="s">
        <v>819</v>
      </c>
      <c r="BP8" s="1" t="s">
        <v>291</v>
      </c>
      <c r="BQ8" s="1" t="s">
        <v>864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922</v>
      </c>
      <c r="BZ8" s="1" t="s">
        <v>844</v>
      </c>
      <c r="CA8" s="1" t="s">
        <v>233</v>
      </c>
      <c r="CB8" s="1" t="s">
        <v>923</v>
      </c>
      <c r="CC8" s="1" t="s">
        <v>924</v>
      </c>
    </row>
    <row r="9" spans="1:81" x14ac:dyDescent="0.25">
      <c r="A9" s="1" t="s">
        <v>145</v>
      </c>
      <c r="B9" s="1" t="s">
        <v>772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773</v>
      </c>
      <c r="H9" s="1">
        <v>4</v>
      </c>
      <c r="I9" s="1" t="s">
        <v>868</v>
      </c>
      <c r="J9" s="1" t="s">
        <v>203</v>
      </c>
      <c r="K9" s="1" t="s">
        <v>907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925</v>
      </c>
      <c r="R9" s="1" t="s">
        <v>926</v>
      </c>
      <c r="S9" s="1" t="s">
        <v>889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927</v>
      </c>
      <c r="Z9" s="1">
        <v>10</v>
      </c>
      <c r="AA9" s="1" t="s">
        <v>805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928</v>
      </c>
      <c r="AT9" s="1" t="s">
        <v>929</v>
      </c>
      <c r="AU9" s="1" t="s">
        <v>260</v>
      </c>
      <c r="AV9" s="1" t="s">
        <v>930</v>
      </c>
      <c r="AW9" s="1" t="s">
        <v>857</v>
      </c>
      <c r="AX9" s="1" t="s">
        <v>164</v>
      </c>
      <c r="AY9" s="1" t="s">
        <v>931</v>
      </c>
      <c r="AZ9" s="1" t="s">
        <v>932</v>
      </c>
      <c r="BA9" s="1" t="s">
        <v>933</v>
      </c>
      <c r="BB9" s="1" t="s">
        <v>934</v>
      </c>
      <c r="BC9" s="1" t="s">
        <v>815</v>
      </c>
      <c r="BD9" s="1" t="s">
        <v>935</v>
      </c>
      <c r="BE9" s="1">
        <v>112.4</v>
      </c>
      <c r="BF9" s="1">
        <v>108</v>
      </c>
      <c r="BG9" s="1">
        <v>4.4000000000000004</v>
      </c>
      <c r="BH9" s="1" t="s">
        <v>773</v>
      </c>
      <c r="BI9" s="1" t="s">
        <v>819</v>
      </c>
      <c r="BJ9" s="1" t="s">
        <v>816</v>
      </c>
      <c r="BK9" s="1" t="s">
        <v>792</v>
      </c>
      <c r="BL9" s="1" t="s">
        <v>936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937</v>
      </c>
      <c r="CA9" s="1" t="s">
        <v>270</v>
      </c>
      <c r="CB9" s="1" t="s">
        <v>884</v>
      </c>
      <c r="CC9" s="1" t="s">
        <v>938</v>
      </c>
    </row>
    <row r="10" spans="1:81" x14ac:dyDescent="0.25">
      <c r="A10" s="1" t="s">
        <v>145</v>
      </c>
      <c r="B10" s="1" t="s">
        <v>772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939</v>
      </c>
      <c r="H10" s="1">
        <v>5</v>
      </c>
      <c r="I10" s="1" t="s">
        <v>868</v>
      </c>
      <c r="J10" s="1" t="s">
        <v>181</v>
      </c>
      <c r="K10" s="1" t="s">
        <v>940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941</v>
      </c>
      <c r="R10" s="1" t="s">
        <v>910</v>
      </c>
      <c r="S10" s="1" t="s">
        <v>942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943</v>
      </c>
      <c r="Z10" s="1">
        <v>5</v>
      </c>
      <c r="AA10" s="1" t="s">
        <v>160</v>
      </c>
      <c r="AB10" s="1">
        <v>-10</v>
      </c>
      <c r="AC10" s="1" t="s">
        <v>944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945</v>
      </c>
      <c r="AT10" s="1" t="s">
        <v>946</v>
      </c>
      <c r="AU10" s="1" t="s">
        <v>190</v>
      </c>
      <c r="AV10" s="1" t="s">
        <v>947</v>
      </c>
      <c r="AW10" s="1" t="s">
        <v>948</v>
      </c>
      <c r="AX10" s="1" t="s">
        <v>157</v>
      </c>
      <c r="AY10" s="1" t="s">
        <v>949</v>
      </c>
      <c r="AZ10" s="1" t="s">
        <v>950</v>
      </c>
      <c r="BA10" s="1" t="s">
        <v>951</v>
      </c>
      <c r="BB10" s="1" t="s">
        <v>952</v>
      </c>
      <c r="BC10" s="1" t="s">
        <v>953</v>
      </c>
      <c r="BD10" s="1" t="s">
        <v>954</v>
      </c>
      <c r="BE10" s="1">
        <v>108</v>
      </c>
      <c r="BF10" s="1">
        <v>104.7</v>
      </c>
      <c r="BG10" s="1">
        <v>3.3</v>
      </c>
      <c r="BH10" s="1" t="s">
        <v>939</v>
      </c>
      <c r="BI10" s="1" t="s">
        <v>955</v>
      </c>
      <c r="BJ10" s="1" t="s">
        <v>956</v>
      </c>
      <c r="BK10" s="1" t="s">
        <v>816</v>
      </c>
      <c r="BL10" s="1" t="s">
        <v>957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958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959</v>
      </c>
      <c r="CC10" s="1" t="s">
        <v>960</v>
      </c>
    </row>
    <row r="11" spans="1:81" x14ac:dyDescent="0.25">
      <c r="A11" s="1" t="s">
        <v>145</v>
      </c>
      <c r="B11" s="1" t="s">
        <v>772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961</v>
      </c>
      <c r="H11" s="1">
        <v>5</v>
      </c>
      <c r="I11" s="1" t="s">
        <v>868</v>
      </c>
      <c r="J11" s="1" t="s">
        <v>219</v>
      </c>
      <c r="K11" s="1" t="s">
        <v>869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962</v>
      </c>
      <c r="R11" s="1" t="s">
        <v>910</v>
      </c>
      <c r="S11" s="1" t="s">
        <v>889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963</v>
      </c>
      <c r="Z11" s="1">
        <v>8</v>
      </c>
      <c r="AA11" s="1" t="s">
        <v>891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891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964</v>
      </c>
      <c r="AT11" s="1" t="s">
        <v>965</v>
      </c>
      <c r="AU11" s="1" t="s">
        <v>185</v>
      </c>
      <c r="AV11" s="1" t="s">
        <v>966</v>
      </c>
      <c r="AW11" s="1" t="s">
        <v>967</v>
      </c>
      <c r="AX11" s="1" t="s">
        <v>157</v>
      </c>
      <c r="AY11" s="1" t="s">
        <v>968</v>
      </c>
      <c r="AZ11" s="1" t="s">
        <v>969</v>
      </c>
      <c r="BA11" s="1" t="s">
        <v>970</v>
      </c>
      <c r="BB11" s="1" t="s">
        <v>971</v>
      </c>
      <c r="BC11" s="1" t="s">
        <v>928</v>
      </c>
      <c r="BD11" s="1" t="s">
        <v>972</v>
      </c>
      <c r="BE11" s="1">
        <v>111.7</v>
      </c>
      <c r="BF11" s="1">
        <v>106.5</v>
      </c>
      <c r="BG11" s="1">
        <v>5.3</v>
      </c>
      <c r="BH11" s="1" t="s">
        <v>818</v>
      </c>
      <c r="BI11" s="1" t="s">
        <v>266</v>
      </c>
      <c r="BJ11" s="1" t="s">
        <v>296</v>
      </c>
      <c r="BK11" s="1" t="s">
        <v>296</v>
      </c>
      <c r="BL11" s="1" t="s">
        <v>961</v>
      </c>
      <c r="BM11" s="1" t="s">
        <v>881</v>
      </c>
      <c r="BN11" s="1" t="s">
        <v>792</v>
      </c>
      <c r="BO11" s="1" t="s">
        <v>794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973</v>
      </c>
      <c r="CA11" s="1" t="s">
        <v>326</v>
      </c>
      <c r="CB11" s="1" t="s">
        <v>974</v>
      </c>
      <c r="CC11" s="1" t="s">
        <v>975</v>
      </c>
    </row>
    <row r="12" spans="1:81" x14ac:dyDescent="0.25">
      <c r="A12" s="1" t="s">
        <v>145</v>
      </c>
      <c r="B12" s="1" t="s">
        <v>772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976</v>
      </c>
      <c r="H12" s="1">
        <v>6</v>
      </c>
      <c r="I12" s="1" t="s">
        <v>868</v>
      </c>
      <c r="J12" s="1" t="s">
        <v>219</v>
      </c>
      <c r="K12" s="1" t="s">
        <v>977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925</v>
      </c>
      <c r="R12" s="1" t="s">
        <v>778</v>
      </c>
      <c r="S12" s="1" t="s">
        <v>908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978</v>
      </c>
      <c r="Y12" s="1" t="s">
        <v>979</v>
      </c>
      <c r="Z12" s="1">
        <v>7</v>
      </c>
      <c r="AA12" s="1" t="s">
        <v>911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980</v>
      </c>
      <c r="AT12" s="1" t="s">
        <v>981</v>
      </c>
      <c r="AU12" s="1" t="s">
        <v>186</v>
      </c>
      <c r="AV12" s="1" t="s">
        <v>982</v>
      </c>
      <c r="AW12" s="1" t="s">
        <v>983</v>
      </c>
      <c r="AX12" s="1" t="s">
        <v>157</v>
      </c>
      <c r="AY12" s="1" t="s">
        <v>984</v>
      </c>
      <c r="AZ12" s="1" t="s">
        <v>985</v>
      </c>
      <c r="BA12" s="1" t="s">
        <v>986</v>
      </c>
      <c r="BB12" s="1" t="s">
        <v>987</v>
      </c>
      <c r="BC12" s="1" t="s">
        <v>910</v>
      </c>
      <c r="BD12" s="1" t="s">
        <v>988</v>
      </c>
      <c r="BE12" s="1">
        <v>114.5</v>
      </c>
      <c r="BF12" s="1">
        <v>111.1</v>
      </c>
      <c r="BG12" s="1">
        <v>3.4</v>
      </c>
      <c r="BH12" s="1" t="s">
        <v>920</v>
      </c>
      <c r="BI12" s="1" t="s">
        <v>266</v>
      </c>
      <c r="BJ12" s="1" t="s">
        <v>216</v>
      </c>
      <c r="BK12" s="1" t="s">
        <v>296</v>
      </c>
      <c r="BL12" s="1" t="s">
        <v>976</v>
      </c>
      <c r="BM12" s="1" t="s">
        <v>989</v>
      </c>
      <c r="BN12" s="1" t="s">
        <v>794</v>
      </c>
      <c r="BO12" s="1" t="s">
        <v>955</v>
      </c>
      <c r="BP12" s="1" t="s">
        <v>270</v>
      </c>
      <c r="BQ12" s="1" t="s">
        <v>286</v>
      </c>
      <c r="BR12" s="1" t="s">
        <v>410</v>
      </c>
      <c r="BS12" s="1" t="s">
        <v>990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844</v>
      </c>
      <c r="CB12" s="1" t="s">
        <v>991</v>
      </c>
      <c r="CC12" s="1" t="s">
        <v>992</v>
      </c>
    </row>
    <row r="13" spans="1:81" x14ac:dyDescent="0.25">
      <c r="A13" s="1" t="s">
        <v>145</v>
      </c>
      <c r="B13" s="1" t="s">
        <v>772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886</v>
      </c>
      <c r="H13" s="1">
        <v>6</v>
      </c>
      <c r="I13" s="1" t="s">
        <v>868</v>
      </c>
      <c r="J13" s="1" t="s">
        <v>203</v>
      </c>
      <c r="K13" s="1" t="s">
        <v>869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993</v>
      </c>
      <c r="R13" s="1" t="s">
        <v>994</v>
      </c>
      <c r="S13" s="1" t="s">
        <v>942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995</v>
      </c>
      <c r="Y13" s="1" t="s">
        <v>996</v>
      </c>
      <c r="Z13" s="1">
        <v>9</v>
      </c>
      <c r="AA13" s="1" t="s">
        <v>997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890</v>
      </c>
      <c r="AT13" s="1" t="s">
        <v>998</v>
      </c>
      <c r="AU13" s="1" t="s">
        <v>273</v>
      </c>
      <c r="AV13" s="1" t="s">
        <v>999</v>
      </c>
      <c r="AW13" s="1" t="s">
        <v>1000</v>
      </c>
      <c r="AX13" s="1" t="s">
        <v>224</v>
      </c>
      <c r="AY13" s="1" t="s">
        <v>1001</v>
      </c>
      <c r="AZ13" s="1" t="s">
        <v>1002</v>
      </c>
      <c r="BA13" s="1" t="s">
        <v>1003</v>
      </c>
      <c r="BB13" s="1" t="s">
        <v>1004</v>
      </c>
      <c r="BC13" s="1" t="s">
        <v>863</v>
      </c>
      <c r="BD13" s="1" t="s">
        <v>1005</v>
      </c>
      <c r="BE13" s="1">
        <v>112.2</v>
      </c>
      <c r="BF13" s="1">
        <v>112.3</v>
      </c>
      <c r="BG13" s="1">
        <v>-0.1</v>
      </c>
      <c r="BH13" s="1" t="s">
        <v>886</v>
      </c>
      <c r="BI13" s="1" t="s">
        <v>881</v>
      </c>
      <c r="BJ13" s="1" t="s">
        <v>794</v>
      </c>
      <c r="BK13" s="1" t="s">
        <v>882</v>
      </c>
      <c r="BL13" s="1" t="s">
        <v>1006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844</v>
      </c>
      <c r="CB13" s="1" t="s">
        <v>1007</v>
      </c>
      <c r="CC13" s="1" t="s">
        <v>1008</v>
      </c>
    </row>
    <row r="14" spans="1:81" x14ac:dyDescent="0.25">
      <c r="A14" s="1" t="s">
        <v>145</v>
      </c>
      <c r="B14" s="1" t="s">
        <v>772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961</v>
      </c>
      <c r="H14" s="1">
        <v>7</v>
      </c>
      <c r="I14" s="1" t="s">
        <v>1009</v>
      </c>
      <c r="J14" s="1" t="s">
        <v>244</v>
      </c>
      <c r="K14" s="1" t="s">
        <v>907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993</v>
      </c>
      <c r="R14" s="1" t="s">
        <v>1010</v>
      </c>
      <c r="S14" s="1" t="s">
        <v>1011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1012</v>
      </c>
      <c r="Z14" s="1">
        <v>9</v>
      </c>
      <c r="AA14" s="1" t="s">
        <v>997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997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777</v>
      </c>
      <c r="AT14" s="1" t="s">
        <v>1013</v>
      </c>
      <c r="AU14" s="1" t="s">
        <v>164</v>
      </c>
      <c r="AV14" s="1" t="s">
        <v>1014</v>
      </c>
      <c r="AW14" s="1" t="s">
        <v>1015</v>
      </c>
      <c r="AX14" s="1" t="s">
        <v>185</v>
      </c>
      <c r="AY14" s="1" t="s">
        <v>1016</v>
      </c>
      <c r="AZ14" s="1" t="s">
        <v>1017</v>
      </c>
      <c r="BA14" s="1" t="s">
        <v>1018</v>
      </c>
      <c r="BB14" s="1" t="s">
        <v>1014</v>
      </c>
      <c r="BC14" s="1" t="s">
        <v>926</v>
      </c>
      <c r="BD14" s="1" t="s">
        <v>927</v>
      </c>
      <c r="BE14" s="1">
        <v>107.3</v>
      </c>
      <c r="BF14" s="1">
        <v>106.6</v>
      </c>
      <c r="BG14" s="1">
        <v>0.7</v>
      </c>
      <c r="BH14" s="1" t="s">
        <v>961</v>
      </c>
      <c r="BI14" s="1" t="s">
        <v>882</v>
      </c>
      <c r="BJ14" s="1" t="s">
        <v>955</v>
      </c>
      <c r="BK14" s="1" t="s">
        <v>819</v>
      </c>
      <c r="BL14" s="1" t="s">
        <v>1019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989</v>
      </c>
      <c r="CA14" s="1" t="s">
        <v>1020</v>
      </c>
      <c r="CB14" s="1" t="s">
        <v>1021</v>
      </c>
      <c r="CC14" s="1" t="s">
        <v>846</v>
      </c>
    </row>
    <row r="15" spans="1:81" x14ac:dyDescent="0.25">
      <c r="A15" s="1" t="s">
        <v>145</v>
      </c>
      <c r="B15" s="1" t="s">
        <v>772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961</v>
      </c>
      <c r="H15" s="1">
        <v>7</v>
      </c>
      <c r="I15" s="1" t="s">
        <v>868</v>
      </c>
      <c r="J15" s="1" t="s">
        <v>231</v>
      </c>
      <c r="K15" s="1" t="s">
        <v>907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941</v>
      </c>
      <c r="R15" s="1" t="s">
        <v>827</v>
      </c>
      <c r="S15" s="1" t="s">
        <v>1022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1023</v>
      </c>
      <c r="Y15" s="1" t="s">
        <v>1010</v>
      </c>
      <c r="Z15" s="1">
        <v>11</v>
      </c>
      <c r="AA15" s="1" t="s">
        <v>780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1024</v>
      </c>
      <c r="AT15" s="1" t="s">
        <v>1025</v>
      </c>
      <c r="AU15" s="1" t="s">
        <v>163</v>
      </c>
      <c r="AV15" s="1" t="s">
        <v>1026</v>
      </c>
      <c r="AW15" s="1" t="s">
        <v>1025</v>
      </c>
      <c r="AX15" s="1" t="s">
        <v>164</v>
      </c>
      <c r="AY15" s="1" t="s">
        <v>1027</v>
      </c>
      <c r="AZ15" s="1" t="s">
        <v>1028</v>
      </c>
      <c r="BA15" s="1" t="s">
        <v>1012</v>
      </c>
      <c r="BB15" s="1" t="s">
        <v>781</v>
      </c>
      <c r="BC15" s="1" t="s">
        <v>1029</v>
      </c>
      <c r="BD15" s="1" t="s">
        <v>1030</v>
      </c>
      <c r="BE15" s="1">
        <v>111.7</v>
      </c>
      <c r="BF15" s="1">
        <v>110</v>
      </c>
      <c r="BG15" s="1">
        <v>1.7</v>
      </c>
      <c r="BH15" s="1" t="s">
        <v>1031</v>
      </c>
      <c r="BI15" s="1" t="s">
        <v>266</v>
      </c>
      <c r="BJ15" s="1" t="s">
        <v>296</v>
      </c>
      <c r="BK15" s="1" t="s">
        <v>276</v>
      </c>
      <c r="BL15" s="1" t="s">
        <v>961</v>
      </c>
      <c r="BM15" s="1" t="s">
        <v>794</v>
      </c>
      <c r="BN15" s="1" t="s">
        <v>794</v>
      </c>
      <c r="BO15" s="1" t="s">
        <v>819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956</v>
      </c>
      <c r="CB15" s="1" t="s">
        <v>1032</v>
      </c>
      <c r="CC15" s="1" t="s">
        <v>846</v>
      </c>
    </row>
    <row r="16" spans="1:81" x14ac:dyDescent="0.25">
      <c r="A16" s="1" t="s">
        <v>145</v>
      </c>
      <c r="B16" s="1" t="s">
        <v>772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1033</v>
      </c>
      <c r="H16" s="1">
        <v>8</v>
      </c>
      <c r="I16" s="1" t="s">
        <v>868</v>
      </c>
      <c r="J16" s="1" t="s">
        <v>181</v>
      </c>
      <c r="K16" s="1" t="s">
        <v>869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1034</v>
      </c>
      <c r="R16" s="1" t="s">
        <v>828</v>
      </c>
      <c r="S16" s="1" t="s">
        <v>1035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1036</v>
      </c>
      <c r="Z16" s="1">
        <v>11</v>
      </c>
      <c r="AA16" s="1" t="s">
        <v>780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1037</v>
      </c>
      <c r="AT16" s="1" t="s">
        <v>1038</v>
      </c>
      <c r="AU16" s="1" t="s">
        <v>186</v>
      </c>
      <c r="AV16" s="1" t="s">
        <v>890</v>
      </c>
      <c r="AW16" s="1" t="s">
        <v>1039</v>
      </c>
      <c r="AX16" s="1" t="s">
        <v>161</v>
      </c>
      <c r="AY16" s="1" t="s">
        <v>1040</v>
      </c>
      <c r="AZ16" s="1" t="s">
        <v>1041</v>
      </c>
      <c r="BA16" s="1" t="s">
        <v>1042</v>
      </c>
      <c r="BB16" s="1" t="s">
        <v>1043</v>
      </c>
      <c r="BC16" s="1" t="s">
        <v>1044</v>
      </c>
      <c r="BD16" s="1" t="s">
        <v>1045</v>
      </c>
      <c r="BE16" s="1">
        <v>107</v>
      </c>
      <c r="BF16" s="1">
        <v>107.3</v>
      </c>
      <c r="BG16" s="1">
        <v>-0.2</v>
      </c>
      <c r="BH16" s="1" t="s">
        <v>1033</v>
      </c>
      <c r="BI16" s="1" t="s">
        <v>794</v>
      </c>
      <c r="BJ16" s="1" t="s">
        <v>881</v>
      </c>
      <c r="BK16" s="1" t="s">
        <v>955</v>
      </c>
      <c r="BL16" s="1" t="s">
        <v>936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819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864</v>
      </c>
      <c r="CA16" s="1" t="s">
        <v>397</v>
      </c>
      <c r="CB16" s="1" t="s">
        <v>1046</v>
      </c>
      <c r="CC16" s="1" t="s">
        <v>1047</v>
      </c>
    </row>
    <row r="17" spans="1:81" x14ac:dyDescent="0.25">
      <c r="A17" s="1" t="s">
        <v>145</v>
      </c>
      <c r="B17" s="1" t="s">
        <v>772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976</v>
      </c>
      <c r="H17" s="1">
        <v>8</v>
      </c>
      <c r="I17" s="1" t="s">
        <v>868</v>
      </c>
      <c r="J17" s="1" t="s">
        <v>152</v>
      </c>
      <c r="K17" s="1" t="s">
        <v>940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941</v>
      </c>
      <c r="R17" s="1" t="s">
        <v>828</v>
      </c>
      <c r="S17" s="1" t="s">
        <v>908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994</v>
      </c>
      <c r="Z17" s="1">
        <v>9</v>
      </c>
      <c r="AA17" s="1" t="s">
        <v>997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1014</v>
      </c>
      <c r="AT17" s="1" t="s">
        <v>1048</v>
      </c>
      <c r="AU17" s="1" t="s">
        <v>260</v>
      </c>
      <c r="AV17" s="1" t="s">
        <v>1049</v>
      </c>
      <c r="AW17" s="1" t="s">
        <v>1050</v>
      </c>
      <c r="AX17" s="1" t="s">
        <v>190</v>
      </c>
      <c r="AY17" s="1" t="s">
        <v>1051</v>
      </c>
      <c r="AZ17" s="1" t="s">
        <v>1052</v>
      </c>
      <c r="BA17" s="1" t="s">
        <v>1053</v>
      </c>
      <c r="BB17" s="1" t="s">
        <v>1054</v>
      </c>
      <c r="BC17" s="1" t="s">
        <v>1055</v>
      </c>
      <c r="BD17" s="1" t="s">
        <v>1056</v>
      </c>
      <c r="BE17" s="1">
        <v>115.1</v>
      </c>
      <c r="BF17" s="1">
        <v>114.3</v>
      </c>
      <c r="BG17" s="1">
        <v>0.9</v>
      </c>
      <c r="BH17" s="1" t="s">
        <v>818</v>
      </c>
      <c r="BI17" s="1" t="s">
        <v>266</v>
      </c>
      <c r="BJ17" s="1" t="s">
        <v>296</v>
      </c>
      <c r="BK17" s="1" t="s">
        <v>296</v>
      </c>
      <c r="BL17" s="1" t="s">
        <v>976</v>
      </c>
      <c r="BM17" s="1" t="s">
        <v>1057</v>
      </c>
      <c r="BN17" s="1" t="s">
        <v>956</v>
      </c>
      <c r="BO17" s="1" t="s">
        <v>794</v>
      </c>
      <c r="BP17" s="1" t="s">
        <v>973</v>
      </c>
      <c r="BQ17" s="1" t="s">
        <v>286</v>
      </c>
      <c r="BR17" s="1" t="s">
        <v>1058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1059</v>
      </c>
      <c r="CC17" s="1" t="s">
        <v>1060</v>
      </c>
    </row>
    <row r="18" spans="1:81" x14ac:dyDescent="0.25">
      <c r="A18" s="1" t="s">
        <v>145</v>
      </c>
      <c r="B18" s="1" t="s">
        <v>772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886</v>
      </c>
      <c r="H18" s="1">
        <v>9</v>
      </c>
      <c r="I18" s="1" t="s">
        <v>1061</v>
      </c>
      <c r="J18" s="1" t="s">
        <v>244</v>
      </c>
      <c r="K18" s="1" t="s">
        <v>907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1062</v>
      </c>
      <c r="R18" s="1" t="s">
        <v>1010</v>
      </c>
      <c r="S18" s="1" t="s">
        <v>1063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887</v>
      </c>
      <c r="Y18" s="1" t="s">
        <v>889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1064</v>
      </c>
      <c r="AT18" s="1" t="s">
        <v>1065</v>
      </c>
      <c r="AU18" s="1" t="s">
        <v>190</v>
      </c>
      <c r="AV18" s="1" t="s">
        <v>803</v>
      </c>
      <c r="AW18" s="1" t="s">
        <v>1066</v>
      </c>
      <c r="AX18" s="1" t="s">
        <v>186</v>
      </c>
      <c r="AY18" s="1" t="s">
        <v>1067</v>
      </c>
      <c r="AZ18" s="1" t="s">
        <v>1068</v>
      </c>
      <c r="BA18" s="1" t="s">
        <v>981</v>
      </c>
      <c r="BB18" s="1" t="s">
        <v>1069</v>
      </c>
      <c r="BC18" s="1" t="s">
        <v>1070</v>
      </c>
      <c r="BD18" s="1" t="s">
        <v>1071</v>
      </c>
      <c r="BE18" s="1">
        <v>110.7</v>
      </c>
      <c r="BF18" s="1">
        <v>111.8</v>
      </c>
      <c r="BG18" s="1">
        <v>-1.1000000000000001</v>
      </c>
      <c r="BH18" s="1" t="s">
        <v>886</v>
      </c>
      <c r="BI18" s="1" t="s">
        <v>921</v>
      </c>
      <c r="BJ18" s="1" t="s">
        <v>882</v>
      </c>
      <c r="BK18" s="1" t="s">
        <v>819</v>
      </c>
      <c r="BL18" s="1" t="s">
        <v>1072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937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1073</v>
      </c>
      <c r="CC18" s="1" t="s">
        <v>992</v>
      </c>
    </row>
    <row r="19" spans="1:81" x14ac:dyDescent="0.25">
      <c r="A19" s="1" t="s">
        <v>145</v>
      </c>
      <c r="B19" s="1" t="s">
        <v>772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1074</v>
      </c>
      <c r="H19" s="1">
        <v>9</v>
      </c>
      <c r="I19" s="1" t="s">
        <v>1061</v>
      </c>
      <c r="J19" s="1" t="s">
        <v>152</v>
      </c>
      <c r="K19" s="1" t="s">
        <v>1075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1062</v>
      </c>
      <c r="R19" s="1" t="s">
        <v>1076</v>
      </c>
      <c r="S19" s="1" t="s">
        <v>1035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978</v>
      </c>
      <c r="Y19" s="1" t="s">
        <v>1077</v>
      </c>
      <c r="Z19" s="1">
        <v>7</v>
      </c>
      <c r="AA19" s="1" t="s">
        <v>911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1078</v>
      </c>
      <c r="AT19" s="1" t="s">
        <v>1079</v>
      </c>
      <c r="AU19" s="1" t="s">
        <v>260</v>
      </c>
      <c r="AV19" s="1" t="s">
        <v>1080</v>
      </c>
      <c r="AW19" s="1" t="s">
        <v>1081</v>
      </c>
      <c r="AX19" s="1" t="s">
        <v>339</v>
      </c>
      <c r="AY19" s="1" t="s">
        <v>1082</v>
      </c>
      <c r="AZ19" s="1" t="s">
        <v>1083</v>
      </c>
      <c r="BA19" s="1" t="s">
        <v>1084</v>
      </c>
      <c r="BB19" s="1" t="s">
        <v>1085</v>
      </c>
      <c r="BC19" s="1" t="s">
        <v>1056</v>
      </c>
      <c r="BD19" s="1" t="s">
        <v>1086</v>
      </c>
      <c r="BE19" s="1">
        <v>114.2</v>
      </c>
      <c r="BF19" s="1">
        <v>115.3</v>
      </c>
      <c r="BG19" s="1">
        <v>-1.1000000000000001</v>
      </c>
      <c r="BH19" s="1" t="s">
        <v>1031</v>
      </c>
      <c r="BI19" s="1" t="s">
        <v>398</v>
      </c>
      <c r="BJ19" s="1" t="s">
        <v>296</v>
      </c>
      <c r="BK19" s="1" t="s">
        <v>216</v>
      </c>
      <c r="BL19" s="1" t="s">
        <v>1074</v>
      </c>
      <c r="BM19" s="1" t="s">
        <v>1057</v>
      </c>
      <c r="BN19" s="1" t="s">
        <v>1087</v>
      </c>
      <c r="BO19" s="1" t="s">
        <v>794</v>
      </c>
      <c r="BP19" s="1" t="s">
        <v>937</v>
      </c>
      <c r="BQ19" s="1" t="s">
        <v>276</v>
      </c>
      <c r="BR19" s="1" t="s">
        <v>973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1020</v>
      </c>
      <c r="CA19" s="1" t="s">
        <v>844</v>
      </c>
      <c r="CB19" s="1" t="s">
        <v>1088</v>
      </c>
      <c r="CC19" s="1" t="s">
        <v>1089</v>
      </c>
    </row>
    <row r="20" spans="1:81" x14ac:dyDescent="0.25">
      <c r="A20" s="1" t="s">
        <v>145</v>
      </c>
      <c r="B20" s="1" t="s">
        <v>772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1090</v>
      </c>
      <c r="H20" s="1">
        <v>10</v>
      </c>
      <c r="I20" s="1" t="s">
        <v>1061</v>
      </c>
      <c r="J20" s="1" t="s">
        <v>152</v>
      </c>
      <c r="K20" s="1" t="s">
        <v>977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1091</v>
      </c>
      <c r="R20" s="1" t="s">
        <v>908</v>
      </c>
      <c r="S20" s="1" t="s">
        <v>1035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1022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1092</v>
      </c>
      <c r="AT20" s="1" t="s">
        <v>1093</v>
      </c>
      <c r="AU20" s="1" t="s">
        <v>157</v>
      </c>
      <c r="AV20" s="1" t="s">
        <v>1094</v>
      </c>
      <c r="AW20" s="1" t="s">
        <v>1095</v>
      </c>
      <c r="AX20" s="1" t="s">
        <v>157</v>
      </c>
      <c r="AY20" s="1" t="s">
        <v>1096</v>
      </c>
      <c r="AZ20" s="1" t="s">
        <v>1097</v>
      </c>
      <c r="BA20" s="1" t="s">
        <v>1098</v>
      </c>
      <c r="BB20" s="1" t="s">
        <v>1099</v>
      </c>
      <c r="BC20" s="1" t="s">
        <v>1100</v>
      </c>
      <c r="BD20" s="1" t="s">
        <v>1101</v>
      </c>
      <c r="BE20" s="1">
        <v>111.8</v>
      </c>
      <c r="BF20" s="1">
        <v>113.5</v>
      </c>
      <c r="BG20" s="1">
        <v>-1.7</v>
      </c>
      <c r="BH20" s="1" t="s">
        <v>1019</v>
      </c>
      <c r="BI20" s="1" t="s">
        <v>1102</v>
      </c>
      <c r="BJ20" s="1" t="s">
        <v>276</v>
      </c>
      <c r="BK20" s="1" t="s">
        <v>266</v>
      </c>
      <c r="BL20" s="1" t="s">
        <v>1090</v>
      </c>
      <c r="BM20" s="1" t="s">
        <v>1057</v>
      </c>
      <c r="BN20" s="1" t="s">
        <v>989</v>
      </c>
      <c r="BO20" s="1" t="s">
        <v>955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1103</v>
      </c>
      <c r="CC20" s="1" t="s">
        <v>1089</v>
      </c>
    </row>
    <row r="21" spans="1:81" x14ac:dyDescent="0.25">
      <c r="A21" s="1" t="s">
        <v>145</v>
      </c>
      <c r="B21" s="1" t="s">
        <v>772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1104</v>
      </c>
      <c r="H21" s="1">
        <v>10</v>
      </c>
      <c r="I21" s="1" t="s">
        <v>1061</v>
      </c>
      <c r="J21" s="1" t="s">
        <v>244</v>
      </c>
      <c r="K21" s="1" t="s">
        <v>1105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1062</v>
      </c>
      <c r="R21" s="1" t="s">
        <v>942</v>
      </c>
      <c r="S21" s="1" t="s">
        <v>851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1106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943</v>
      </c>
      <c r="AT21" s="1" t="s">
        <v>1107</v>
      </c>
      <c r="AU21" s="1" t="s">
        <v>234</v>
      </c>
      <c r="AV21" s="1" t="s">
        <v>1108</v>
      </c>
      <c r="AW21" s="1" t="s">
        <v>1109</v>
      </c>
      <c r="AX21" s="1" t="s">
        <v>260</v>
      </c>
      <c r="AY21" s="1" t="s">
        <v>1110</v>
      </c>
      <c r="AZ21" s="1" t="s">
        <v>1111</v>
      </c>
      <c r="BA21" s="1" t="s">
        <v>1112</v>
      </c>
      <c r="BB21" s="1" t="s">
        <v>1113</v>
      </c>
      <c r="BC21" s="1" t="s">
        <v>1114</v>
      </c>
      <c r="BD21" s="1" t="s">
        <v>1115</v>
      </c>
      <c r="BE21" s="1">
        <v>105.7</v>
      </c>
      <c r="BF21" s="1">
        <v>105.9</v>
      </c>
      <c r="BG21" s="1">
        <v>-0.2</v>
      </c>
      <c r="BH21" s="1" t="s">
        <v>1104</v>
      </c>
      <c r="BI21" s="1" t="s">
        <v>1057</v>
      </c>
      <c r="BJ21" s="1" t="s">
        <v>955</v>
      </c>
      <c r="BK21" s="1" t="s">
        <v>973</v>
      </c>
      <c r="BL21" s="1" t="s">
        <v>1116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1117</v>
      </c>
      <c r="BR21" s="1" t="s">
        <v>233</v>
      </c>
      <c r="BS21" s="1" t="s">
        <v>922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1046</v>
      </c>
      <c r="CC21" s="1" t="s">
        <v>1118</v>
      </c>
    </row>
    <row r="22" spans="1:81" x14ac:dyDescent="0.25">
      <c r="A22" s="1" t="s">
        <v>145</v>
      </c>
      <c r="B22" s="1" t="s">
        <v>772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1119</v>
      </c>
      <c r="H22" s="1">
        <v>11</v>
      </c>
      <c r="I22" s="1" t="s">
        <v>1061</v>
      </c>
      <c r="J22" s="1" t="s">
        <v>244</v>
      </c>
      <c r="K22" s="1" t="s">
        <v>1105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1120</v>
      </c>
      <c r="R22" s="1" t="s">
        <v>908</v>
      </c>
      <c r="S22" s="1" t="s">
        <v>1015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1121</v>
      </c>
      <c r="Z22" s="1">
        <v>-6</v>
      </c>
      <c r="AA22" s="1" t="s">
        <v>367</v>
      </c>
      <c r="AB22" s="1">
        <v>-8</v>
      </c>
      <c r="AC22" s="1" t="s">
        <v>1122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1123</v>
      </c>
      <c r="AT22" s="1" t="s">
        <v>1124</v>
      </c>
      <c r="AU22" s="1" t="s">
        <v>158</v>
      </c>
      <c r="AV22" s="1" t="s">
        <v>1125</v>
      </c>
      <c r="AW22" s="1" t="s">
        <v>1126</v>
      </c>
      <c r="AX22" s="1" t="s">
        <v>190</v>
      </c>
      <c r="AY22" s="1" t="s">
        <v>1127</v>
      </c>
      <c r="AZ22" s="1" t="s">
        <v>1128</v>
      </c>
      <c r="BA22" s="1" t="s">
        <v>1129</v>
      </c>
      <c r="BB22" s="1" t="s">
        <v>1130</v>
      </c>
      <c r="BC22" s="1" t="s">
        <v>1131</v>
      </c>
      <c r="BD22" s="1" t="s">
        <v>1104</v>
      </c>
      <c r="BE22" s="1">
        <v>114</v>
      </c>
      <c r="BF22" s="1">
        <v>116.9</v>
      </c>
      <c r="BG22" s="1">
        <v>-2.9</v>
      </c>
      <c r="BH22" s="1" t="s">
        <v>1119</v>
      </c>
      <c r="BI22" s="1" t="s">
        <v>1132</v>
      </c>
      <c r="BJ22" s="1" t="s">
        <v>1132</v>
      </c>
      <c r="BK22" s="1" t="s">
        <v>973</v>
      </c>
      <c r="BL22" s="1" t="s">
        <v>1006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1133</v>
      </c>
      <c r="BS22" s="1" t="s">
        <v>372</v>
      </c>
      <c r="BT22" s="1"/>
      <c r="BU22" s="1"/>
      <c r="BV22" s="1"/>
      <c r="BW22" s="1"/>
      <c r="BX22" s="1"/>
      <c r="BY22" s="1" t="s">
        <v>1134</v>
      </c>
      <c r="BZ22" s="1" t="s">
        <v>937</v>
      </c>
      <c r="CA22" s="1" t="s">
        <v>337</v>
      </c>
      <c r="CB22" s="1" t="s">
        <v>1135</v>
      </c>
      <c r="CC22" s="1" t="s">
        <v>1136</v>
      </c>
    </row>
    <row r="23" spans="1:81" x14ac:dyDescent="0.25">
      <c r="A23" s="1" t="s">
        <v>145</v>
      </c>
      <c r="B23" s="1" t="s">
        <v>772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1137</v>
      </c>
      <c r="H23" s="1">
        <v>11</v>
      </c>
      <c r="I23" s="1" t="s">
        <v>1061</v>
      </c>
      <c r="J23" s="1" t="s">
        <v>219</v>
      </c>
      <c r="K23" s="1" t="s">
        <v>1138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1139</v>
      </c>
      <c r="R23" s="1" t="s">
        <v>1010</v>
      </c>
      <c r="S23" s="1" t="s">
        <v>1140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942</v>
      </c>
      <c r="Z23" s="1">
        <v>6</v>
      </c>
      <c r="AA23" s="1" t="s">
        <v>188</v>
      </c>
      <c r="AB23" s="1">
        <v>-9</v>
      </c>
      <c r="AC23" s="1" t="s">
        <v>1141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1142</v>
      </c>
      <c r="AT23" s="1" t="s">
        <v>1143</v>
      </c>
      <c r="AU23" s="1" t="s">
        <v>226</v>
      </c>
      <c r="AV23" s="1" t="s">
        <v>1144</v>
      </c>
      <c r="AW23" s="1" t="s">
        <v>1145</v>
      </c>
      <c r="AX23" s="1" t="s">
        <v>260</v>
      </c>
      <c r="AY23" s="1" t="s">
        <v>1146</v>
      </c>
      <c r="AZ23" s="1" t="s">
        <v>1147</v>
      </c>
      <c r="BA23" s="1" t="s">
        <v>1148</v>
      </c>
      <c r="BB23" s="1" t="s">
        <v>1149</v>
      </c>
      <c r="BC23" s="1" t="s">
        <v>1150</v>
      </c>
      <c r="BD23" s="1" t="s">
        <v>1151</v>
      </c>
      <c r="BE23" s="1">
        <v>112.5</v>
      </c>
      <c r="BF23" s="1">
        <v>114</v>
      </c>
      <c r="BG23" s="1">
        <v>-1.5</v>
      </c>
      <c r="BH23" s="1" t="s">
        <v>936</v>
      </c>
      <c r="BI23" s="1" t="s">
        <v>323</v>
      </c>
      <c r="BJ23" s="1" t="s">
        <v>276</v>
      </c>
      <c r="BK23" s="1" t="s">
        <v>276</v>
      </c>
      <c r="BL23" s="1" t="s">
        <v>1137</v>
      </c>
      <c r="BM23" s="1" t="s">
        <v>386</v>
      </c>
      <c r="BN23" s="1" t="s">
        <v>955</v>
      </c>
      <c r="BO23" s="1" t="s">
        <v>921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1073</v>
      </c>
      <c r="CC23" s="1" t="s">
        <v>1089</v>
      </c>
    </row>
    <row r="24" spans="1:81" x14ac:dyDescent="0.25">
      <c r="A24" s="1" t="s">
        <v>145</v>
      </c>
      <c r="B24" s="1" t="s">
        <v>772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1152</v>
      </c>
      <c r="H24" s="1">
        <v>12</v>
      </c>
      <c r="I24" s="1" t="s">
        <v>1061</v>
      </c>
      <c r="J24" s="1" t="s">
        <v>231</v>
      </c>
      <c r="K24" s="1" t="s">
        <v>869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1153</v>
      </c>
      <c r="R24" s="1" t="s">
        <v>889</v>
      </c>
      <c r="S24" s="1" t="s">
        <v>1154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1155</v>
      </c>
      <c r="Z24" s="1">
        <v>5</v>
      </c>
      <c r="AA24" s="1" t="s">
        <v>160</v>
      </c>
      <c r="AB24" s="1">
        <v>-9</v>
      </c>
      <c r="AC24" s="1" t="s">
        <v>1141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1156</v>
      </c>
      <c r="AT24" s="1" t="s">
        <v>1157</v>
      </c>
      <c r="AU24" s="1" t="s">
        <v>262</v>
      </c>
      <c r="AV24" s="1" t="s">
        <v>1158</v>
      </c>
      <c r="AW24" s="1" t="s">
        <v>1159</v>
      </c>
      <c r="AX24" s="1" t="s">
        <v>153</v>
      </c>
      <c r="AY24" s="1" t="s">
        <v>933</v>
      </c>
      <c r="AZ24" s="1" t="s">
        <v>1160</v>
      </c>
      <c r="BA24" s="1" t="s">
        <v>1112</v>
      </c>
      <c r="BB24" s="1" t="s">
        <v>1161</v>
      </c>
      <c r="BC24" s="1" t="s">
        <v>1162</v>
      </c>
      <c r="BD24" s="1" t="s">
        <v>1163</v>
      </c>
      <c r="BE24" s="1">
        <v>103.5</v>
      </c>
      <c r="BF24" s="1">
        <v>106.1</v>
      </c>
      <c r="BG24" s="1">
        <v>-2.6</v>
      </c>
      <c r="BH24" s="1" t="s">
        <v>1164</v>
      </c>
      <c r="BI24" s="1" t="s">
        <v>398</v>
      </c>
      <c r="BJ24" s="1" t="s">
        <v>398</v>
      </c>
      <c r="BK24" s="1" t="s">
        <v>398</v>
      </c>
      <c r="BL24" s="1" t="s">
        <v>1152</v>
      </c>
      <c r="BM24" s="1" t="s">
        <v>955</v>
      </c>
      <c r="BN24" s="1" t="s">
        <v>1057</v>
      </c>
      <c r="BO24" s="1" t="s">
        <v>881</v>
      </c>
      <c r="BP24" s="1" t="s">
        <v>1165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844</v>
      </c>
      <c r="CA24" s="1" t="s">
        <v>349</v>
      </c>
      <c r="CB24" s="1" t="s">
        <v>1166</v>
      </c>
      <c r="CC24" s="1" t="s">
        <v>1167</v>
      </c>
    </row>
    <row r="25" spans="1:81" x14ac:dyDescent="0.25">
      <c r="A25" s="1" t="s">
        <v>145</v>
      </c>
      <c r="B25" s="1" t="s">
        <v>772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1168</v>
      </c>
      <c r="H25" s="1">
        <v>12</v>
      </c>
      <c r="I25" s="1" t="s">
        <v>1061</v>
      </c>
      <c r="J25" s="1" t="s">
        <v>244</v>
      </c>
      <c r="K25" s="1" t="s">
        <v>887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1169</v>
      </c>
      <c r="R25" s="1" t="s">
        <v>1011</v>
      </c>
      <c r="S25" s="1" t="s">
        <v>1154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1170</v>
      </c>
      <c r="Y25" s="1" t="s">
        <v>1171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1172</v>
      </c>
      <c r="AT25" s="1" t="s">
        <v>1065</v>
      </c>
      <c r="AU25" s="1" t="s">
        <v>327</v>
      </c>
      <c r="AV25" s="1" t="s">
        <v>880</v>
      </c>
      <c r="AW25" s="1" t="s">
        <v>1173</v>
      </c>
      <c r="AX25" s="1" t="s">
        <v>153</v>
      </c>
      <c r="AY25" s="1" t="s">
        <v>1174</v>
      </c>
      <c r="AZ25" s="1" t="s">
        <v>1175</v>
      </c>
      <c r="BA25" s="1" t="s">
        <v>1176</v>
      </c>
      <c r="BB25" s="1" t="s">
        <v>1005</v>
      </c>
      <c r="BC25" s="1" t="s">
        <v>1177</v>
      </c>
      <c r="BD25" s="1" t="s">
        <v>1178</v>
      </c>
      <c r="BE25" s="1">
        <v>113.3</v>
      </c>
      <c r="BF25" s="1">
        <v>119.4</v>
      </c>
      <c r="BG25" s="1">
        <v>-6</v>
      </c>
      <c r="BH25" s="1" t="s">
        <v>1168</v>
      </c>
      <c r="BI25" s="1" t="s">
        <v>1179</v>
      </c>
      <c r="BJ25" s="1" t="s">
        <v>1132</v>
      </c>
      <c r="BK25" s="1" t="s">
        <v>410</v>
      </c>
      <c r="BL25" s="1" t="s">
        <v>1006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1180</v>
      </c>
      <c r="BR25" s="1" t="s">
        <v>937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1181</v>
      </c>
      <c r="CC25" s="1" t="s">
        <v>960</v>
      </c>
    </row>
    <row r="26" spans="1:81" x14ac:dyDescent="0.25">
      <c r="A26" s="1" t="s">
        <v>145</v>
      </c>
      <c r="B26" s="1" t="s">
        <v>772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1104</v>
      </c>
      <c r="H26" s="1">
        <v>13</v>
      </c>
      <c r="I26" s="1" t="s">
        <v>1061</v>
      </c>
      <c r="J26" s="1" t="s">
        <v>231</v>
      </c>
      <c r="K26" s="1" t="s">
        <v>869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1153</v>
      </c>
      <c r="R26" s="1" t="s">
        <v>942</v>
      </c>
      <c r="S26" s="1" t="s">
        <v>1063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1182</v>
      </c>
      <c r="Z26" s="1">
        <v>-8</v>
      </c>
      <c r="AA26" s="1" t="s">
        <v>1122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1183</v>
      </c>
      <c r="AT26" s="1" t="s">
        <v>1184</v>
      </c>
      <c r="AU26" s="1" t="s">
        <v>190</v>
      </c>
      <c r="AV26" s="1" t="s">
        <v>1185</v>
      </c>
      <c r="AW26" s="1" t="s">
        <v>1186</v>
      </c>
      <c r="AX26" s="1" t="s">
        <v>186</v>
      </c>
      <c r="AY26" s="1" t="s">
        <v>1187</v>
      </c>
      <c r="AZ26" s="1" t="s">
        <v>1188</v>
      </c>
      <c r="BA26" s="1" t="s">
        <v>1189</v>
      </c>
      <c r="BB26" s="1" t="s">
        <v>1190</v>
      </c>
      <c r="BC26" s="1" t="s">
        <v>1191</v>
      </c>
      <c r="BD26" s="1" t="s">
        <v>1192</v>
      </c>
      <c r="BE26" s="1">
        <v>115.4</v>
      </c>
      <c r="BF26" s="1">
        <v>116.8</v>
      </c>
      <c r="BG26" s="1">
        <v>-1.3</v>
      </c>
      <c r="BH26" s="1" t="s">
        <v>1072</v>
      </c>
      <c r="BI26" s="1" t="s">
        <v>398</v>
      </c>
      <c r="BJ26" s="1" t="s">
        <v>276</v>
      </c>
      <c r="BK26" s="1" t="s">
        <v>393</v>
      </c>
      <c r="BL26" s="1" t="s">
        <v>1104</v>
      </c>
      <c r="BM26" s="1" t="s">
        <v>1057</v>
      </c>
      <c r="BN26" s="1" t="s">
        <v>921</v>
      </c>
      <c r="BO26" s="1" t="s">
        <v>881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973</v>
      </c>
      <c r="CA26" s="1" t="s">
        <v>337</v>
      </c>
      <c r="CB26" s="1" t="s">
        <v>1193</v>
      </c>
      <c r="CC26" s="1" t="s">
        <v>1194</v>
      </c>
    </row>
    <row r="27" spans="1:81" x14ac:dyDescent="0.25">
      <c r="A27" s="1" t="s">
        <v>145</v>
      </c>
      <c r="B27" s="1" t="s">
        <v>772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1168</v>
      </c>
      <c r="H27" s="1">
        <v>13</v>
      </c>
      <c r="I27" s="1" t="s">
        <v>1061</v>
      </c>
      <c r="J27" s="1" t="s">
        <v>181</v>
      </c>
      <c r="K27" s="1" t="s">
        <v>1195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1196</v>
      </c>
      <c r="R27" s="1" t="s">
        <v>1065</v>
      </c>
      <c r="S27" s="1" t="s">
        <v>1197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869</v>
      </c>
      <c r="Y27" s="1" t="s">
        <v>1198</v>
      </c>
      <c r="Z27" s="1">
        <v>-11</v>
      </c>
      <c r="AA27" s="1" t="s">
        <v>1199</v>
      </c>
      <c r="AB27" s="1">
        <v>-9</v>
      </c>
      <c r="AC27" s="1" t="s">
        <v>1141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1200</v>
      </c>
      <c r="AT27" s="1" t="s">
        <v>1201</v>
      </c>
      <c r="AU27" s="1" t="s">
        <v>158</v>
      </c>
      <c r="AV27" s="1" t="s">
        <v>1202</v>
      </c>
      <c r="AW27" s="1" t="s">
        <v>1203</v>
      </c>
      <c r="AX27" s="1" t="s">
        <v>164</v>
      </c>
      <c r="AY27" s="1" t="s">
        <v>1204</v>
      </c>
      <c r="AZ27" s="1" t="s">
        <v>1205</v>
      </c>
      <c r="BA27" s="1" t="s">
        <v>1206</v>
      </c>
      <c r="BB27" s="1" t="s">
        <v>1207</v>
      </c>
      <c r="BC27" s="1" t="s">
        <v>885</v>
      </c>
      <c r="BD27" s="1" t="s">
        <v>1208</v>
      </c>
      <c r="BE27" s="1">
        <v>104.9</v>
      </c>
      <c r="BF27" s="1">
        <v>113.4</v>
      </c>
      <c r="BG27" s="1">
        <v>-8.4</v>
      </c>
      <c r="BH27" s="1" t="s">
        <v>1168</v>
      </c>
      <c r="BI27" s="1" t="s">
        <v>1179</v>
      </c>
      <c r="BJ27" s="1" t="s">
        <v>402</v>
      </c>
      <c r="BK27" s="1" t="s">
        <v>955</v>
      </c>
      <c r="BL27" s="1" t="s">
        <v>1209</v>
      </c>
      <c r="BM27" s="1" t="s">
        <v>1102</v>
      </c>
      <c r="BN27" s="1" t="s">
        <v>393</v>
      </c>
      <c r="BO27" s="1" t="s">
        <v>398</v>
      </c>
      <c r="BP27" s="1" t="s">
        <v>1210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1211</v>
      </c>
      <c r="BZ27" s="1" t="s">
        <v>1212</v>
      </c>
      <c r="CA27" s="1" t="s">
        <v>363</v>
      </c>
      <c r="CB27" s="1" t="s">
        <v>1213</v>
      </c>
      <c r="CC27" s="1" t="s">
        <v>1136</v>
      </c>
    </row>
    <row r="28" spans="1:81" x14ac:dyDescent="0.25">
      <c r="A28" s="1" t="s">
        <v>145</v>
      </c>
      <c r="B28" s="1" t="s">
        <v>772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1214</v>
      </c>
      <c r="H28" s="1">
        <v>14</v>
      </c>
      <c r="I28" s="1" t="s">
        <v>1061</v>
      </c>
      <c r="J28" s="1" t="s">
        <v>181</v>
      </c>
      <c r="K28" s="1" t="s">
        <v>1075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1215</v>
      </c>
      <c r="R28" s="1" t="s">
        <v>1197</v>
      </c>
      <c r="S28" s="1" t="s">
        <v>1216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1217</v>
      </c>
      <c r="Z28" s="1">
        <v>-9</v>
      </c>
      <c r="AA28" s="1" t="s">
        <v>1141</v>
      </c>
      <c r="AB28" s="1">
        <v>-11</v>
      </c>
      <c r="AC28" s="1" t="s">
        <v>1199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1199</v>
      </c>
      <c r="AJ28" s="1">
        <v>-10</v>
      </c>
      <c r="AK28" s="1" t="s">
        <v>944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866</v>
      </c>
      <c r="AT28" s="1" t="s">
        <v>1218</v>
      </c>
      <c r="AU28" s="1" t="s">
        <v>304</v>
      </c>
      <c r="AV28" s="1" t="s">
        <v>1219</v>
      </c>
      <c r="AW28" s="1" t="s">
        <v>1220</v>
      </c>
      <c r="AX28" s="1" t="s">
        <v>208</v>
      </c>
      <c r="AY28" s="1" t="s">
        <v>1148</v>
      </c>
      <c r="AZ28" s="1" t="s">
        <v>1221</v>
      </c>
      <c r="BA28" s="1" t="s">
        <v>1222</v>
      </c>
      <c r="BB28" s="1" t="s">
        <v>1223</v>
      </c>
      <c r="BC28" s="1" t="s">
        <v>1106</v>
      </c>
      <c r="BD28" s="1" t="s">
        <v>1224</v>
      </c>
      <c r="BE28" s="1">
        <v>104.5</v>
      </c>
      <c r="BF28" s="1">
        <v>114.1</v>
      </c>
      <c r="BG28" s="1">
        <v>-9.6</v>
      </c>
      <c r="BH28" s="1" t="s">
        <v>1214</v>
      </c>
      <c r="BI28" s="1" t="s">
        <v>1132</v>
      </c>
      <c r="BJ28" s="1" t="s">
        <v>1087</v>
      </c>
      <c r="BK28" s="1" t="s">
        <v>1225</v>
      </c>
      <c r="BL28" s="1" t="s">
        <v>1226</v>
      </c>
      <c r="BM28" s="1" t="s">
        <v>1227</v>
      </c>
      <c r="BN28" s="1" t="s">
        <v>393</v>
      </c>
      <c r="BO28" s="1" t="s">
        <v>393</v>
      </c>
      <c r="BP28" s="1" t="s">
        <v>1212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1134</v>
      </c>
      <c r="BZ28" s="1" t="s">
        <v>407</v>
      </c>
      <c r="CA28" s="1" t="s">
        <v>1087</v>
      </c>
      <c r="CB28" s="1" t="s">
        <v>1228</v>
      </c>
      <c r="CC28" s="1" t="s">
        <v>1229</v>
      </c>
    </row>
    <row r="29" spans="1:81" x14ac:dyDescent="0.25">
      <c r="A29" s="1" t="s">
        <v>145</v>
      </c>
      <c r="B29" s="1" t="s">
        <v>772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1230</v>
      </c>
      <c r="H29" s="1">
        <v>14</v>
      </c>
      <c r="I29" s="1" t="s">
        <v>1061</v>
      </c>
      <c r="J29" s="1" t="s">
        <v>231</v>
      </c>
      <c r="K29" s="1" t="s">
        <v>1075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1153</v>
      </c>
      <c r="R29" s="1" t="s">
        <v>1076</v>
      </c>
      <c r="S29" s="1" t="s">
        <v>1065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1231</v>
      </c>
      <c r="Z29" s="1">
        <v>11</v>
      </c>
      <c r="AA29" s="1" t="s">
        <v>780</v>
      </c>
      <c r="AB29" s="1">
        <v>-9</v>
      </c>
      <c r="AC29" s="1" t="s">
        <v>1141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1232</v>
      </c>
      <c r="AT29" s="1" t="s">
        <v>1095</v>
      </c>
      <c r="AU29" s="1" t="s">
        <v>260</v>
      </c>
      <c r="AV29" s="1" t="s">
        <v>1069</v>
      </c>
      <c r="AW29" s="1" t="s">
        <v>1233</v>
      </c>
      <c r="AX29" s="1" t="s">
        <v>186</v>
      </c>
      <c r="AY29" s="1" t="s">
        <v>1234</v>
      </c>
      <c r="AZ29" s="1" t="s">
        <v>1235</v>
      </c>
      <c r="BA29" s="1" t="s">
        <v>1236</v>
      </c>
      <c r="BB29" s="1" t="s">
        <v>1237</v>
      </c>
      <c r="BC29" s="1" t="s">
        <v>1150</v>
      </c>
      <c r="BD29" s="1" t="s">
        <v>1238</v>
      </c>
      <c r="BE29" s="1">
        <v>108.9</v>
      </c>
      <c r="BF29" s="1">
        <v>110.1</v>
      </c>
      <c r="BG29" s="1">
        <v>-1.3</v>
      </c>
      <c r="BH29" s="1" t="s">
        <v>957</v>
      </c>
      <c r="BI29" s="1" t="s">
        <v>323</v>
      </c>
      <c r="BJ29" s="1" t="s">
        <v>266</v>
      </c>
      <c r="BK29" s="1" t="s">
        <v>276</v>
      </c>
      <c r="BL29" s="1" t="s">
        <v>1230</v>
      </c>
      <c r="BM29" s="1" t="s">
        <v>921</v>
      </c>
      <c r="BN29" s="1" t="s">
        <v>1132</v>
      </c>
      <c r="BO29" s="1" t="s">
        <v>1087</v>
      </c>
      <c r="BP29" s="1" t="s">
        <v>337</v>
      </c>
      <c r="BQ29" s="1" t="s">
        <v>323</v>
      </c>
      <c r="BR29" s="1" t="s">
        <v>1212</v>
      </c>
      <c r="BS29" s="1" t="s">
        <v>239</v>
      </c>
      <c r="BT29" s="1"/>
      <c r="BU29" s="1"/>
      <c r="BV29" s="1"/>
      <c r="BW29" s="1"/>
      <c r="BX29" s="1"/>
      <c r="BY29" s="1" t="s">
        <v>1211</v>
      </c>
      <c r="BZ29" s="1" t="s">
        <v>864</v>
      </c>
      <c r="CA29" s="1" t="s">
        <v>973</v>
      </c>
      <c r="CB29" s="1" t="s">
        <v>1239</v>
      </c>
      <c r="CC29" s="1" t="s">
        <v>1240</v>
      </c>
    </row>
    <row r="30" spans="1:81" x14ac:dyDescent="0.25">
      <c r="A30" s="1" t="s">
        <v>145</v>
      </c>
      <c r="B30" s="1" t="s">
        <v>772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1241</v>
      </c>
      <c r="H30" s="1">
        <v>15</v>
      </c>
      <c r="I30" s="1" t="s">
        <v>1061</v>
      </c>
      <c r="J30" s="1" t="s">
        <v>203</v>
      </c>
      <c r="K30" s="1" t="s">
        <v>1242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1243</v>
      </c>
      <c r="R30" s="1" t="s">
        <v>1065</v>
      </c>
      <c r="S30" s="1" t="s">
        <v>1244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1245</v>
      </c>
      <c r="Z30" s="1">
        <v>-18</v>
      </c>
      <c r="AA30" s="1" t="s">
        <v>1246</v>
      </c>
      <c r="AB30" s="1">
        <v>-9</v>
      </c>
      <c r="AC30" s="1" t="s">
        <v>1141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1247</v>
      </c>
      <c r="AT30" s="1" t="s">
        <v>1248</v>
      </c>
      <c r="AU30" s="1" t="s">
        <v>327</v>
      </c>
      <c r="AV30" s="1" t="s">
        <v>872</v>
      </c>
      <c r="AW30" s="1" t="s">
        <v>1249</v>
      </c>
      <c r="AX30" s="1" t="s">
        <v>327</v>
      </c>
      <c r="AY30" s="1" t="s">
        <v>1250</v>
      </c>
      <c r="AZ30" s="1" t="s">
        <v>1251</v>
      </c>
      <c r="BA30" s="1" t="s">
        <v>1252</v>
      </c>
      <c r="BB30" s="1" t="s">
        <v>1253</v>
      </c>
      <c r="BC30" s="1" t="s">
        <v>1254</v>
      </c>
      <c r="BD30" s="1" t="s">
        <v>1255</v>
      </c>
      <c r="BE30" s="1">
        <v>104.6</v>
      </c>
      <c r="BF30" s="1">
        <v>113.8</v>
      </c>
      <c r="BG30" s="1">
        <v>-9.1999999999999993</v>
      </c>
      <c r="BH30" s="1" t="s">
        <v>1241</v>
      </c>
      <c r="BI30" s="1" t="s">
        <v>1165</v>
      </c>
      <c r="BJ30" s="1" t="s">
        <v>1256</v>
      </c>
      <c r="BK30" s="1" t="s">
        <v>1132</v>
      </c>
      <c r="BL30" s="1" t="s">
        <v>1209</v>
      </c>
      <c r="BM30" s="1" t="s">
        <v>1227</v>
      </c>
      <c r="BN30" s="1" t="s">
        <v>393</v>
      </c>
      <c r="BO30" s="1" t="s">
        <v>323</v>
      </c>
      <c r="BP30" s="1" t="s">
        <v>1257</v>
      </c>
      <c r="BQ30" s="1" t="s">
        <v>1117</v>
      </c>
      <c r="BR30" s="1" t="s">
        <v>1258</v>
      </c>
      <c r="BS30" s="1" t="s">
        <v>239</v>
      </c>
      <c r="BT30" s="1"/>
      <c r="BU30" s="1"/>
      <c r="BV30" s="1"/>
      <c r="BW30" s="1"/>
      <c r="BX30" s="1"/>
      <c r="BY30" s="1" t="s">
        <v>1211</v>
      </c>
      <c r="BZ30" s="1" t="s">
        <v>349</v>
      </c>
      <c r="CA30" s="1" t="s">
        <v>1259</v>
      </c>
      <c r="CB30" s="1" t="s">
        <v>1260</v>
      </c>
      <c r="CC30" s="1" t="s">
        <v>1261</v>
      </c>
    </row>
    <row r="31" spans="1:81" x14ac:dyDescent="0.25">
      <c r="A31" s="1" t="s">
        <v>145</v>
      </c>
      <c r="B31" s="1" t="s">
        <v>772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1241</v>
      </c>
      <c r="H31" s="1">
        <v>15</v>
      </c>
      <c r="I31" s="1" t="s">
        <v>1061</v>
      </c>
      <c r="J31" s="1" t="s">
        <v>152</v>
      </c>
      <c r="K31" s="1" t="s">
        <v>1195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1215</v>
      </c>
      <c r="R31" s="1" t="s">
        <v>1154</v>
      </c>
      <c r="S31" s="1" t="s">
        <v>1262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1233</v>
      </c>
      <c r="Z31" s="1">
        <v>-6</v>
      </c>
      <c r="AA31" s="1" t="s">
        <v>367</v>
      </c>
      <c r="AB31" s="1">
        <v>-13</v>
      </c>
      <c r="AC31" s="1" t="s">
        <v>1263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1264</v>
      </c>
      <c r="AT31" s="1" t="s">
        <v>1265</v>
      </c>
      <c r="AU31" s="1" t="s">
        <v>327</v>
      </c>
      <c r="AV31" s="1" t="s">
        <v>1266</v>
      </c>
      <c r="AW31" s="1" t="s">
        <v>1267</v>
      </c>
      <c r="AX31" s="1" t="s">
        <v>157</v>
      </c>
      <c r="AY31" s="1" t="s">
        <v>1268</v>
      </c>
      <c r="AZ31" s="1" t="s">
        <v>1269</v>
      </c>
      <c r="BA31" s="1" t="s">
        <v>1270</v>
      </c>
      <c r="BB31" s="1" t="s">
        <v>1271</v>
      </c>
      <c r="BC31" s="1" t="s">
        <v>1272</v>
      </c>
      <c r="BD31" s="1" t="s">
        <v>1273</v>
      </c>
      <c r="BE31" s="1">
        <v>107.5</v>
      </c>
      <c r="BF31" s="1">
        <v>116.8</v>
      </c>
      <c r="BG31" s="1">
        <v>-9.3000000000000007</v>
      </c>
      <c r="BH31" s="1" t="s">
        <v>1274</v>
      </c>
      <c r="BI31" s="1" t="s">
        <v>398</v>
      </c>
      <c r="BJ31" s="1" t="s">
        <v>398</v>
      </c>
      <c r="BK31" s="1" t="s">
        <v>393</v>
      </c>
      <c r="BL31" s="1" t="s">
        <v>1241</v>
      </c>
      <c r="BM31" s="1" t="s">
        <v>1275</v>
      </c>
      <c r="BN31" s="1" t="s">
        <v>402</v>
      </c>
      <c r="BO31" s="1" t="s">
        <v>1132</v>
      </c>
      <c r="BP31" s="1" t="s">
        <v>1210</v>
      </c>
      <c r="BQ31" s="1" t="s">
        <v>1276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1134</v>
      </c>
      <c r="BZ31" s="1" t="s">
        <v>1212</v>
      </c>
      <c r="CA31" s="1" t="s">
        <v>386</v>
      </c>
      <c r="CB31" s="1" t="s">
        <v>1277</v>
      </c>
      <c r="CC31" s="1" t="s">
        <v>1278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1E81-DF95-4403-9A91-02DC8B28F8C9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1280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1281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1282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1283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1284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1290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1291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1292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1293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1292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1292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1295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1281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1296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1292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1282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2519-E77A-472A-A5C9-171B6543C0FB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A330-4E52-4038-B4E5-4250261A73EF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1109-164F-4AA3-91DA-9E9CE1E10449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84E94-0D34-4F91-8B2C-5A7F78AAE9E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E67F-6E79-4D09-AC91-C0CF75542F2B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1300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1301</v>
      </c>
      <c r="T4" s="1">
        <v>23.7</v>
      </c>
      <c r="U4" s="1" t="s">
        <v>1284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1302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1303</v>
      </c>
      <c r="T5" s="1">
        <v>26</v>
      </c>
      <c r="U5" s="1" t="s">
        <v>1284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1305</v>
      </c>
      <c r="T7" s="1">
        <v>25.7</v>
      </c>
      <c r="U7" s="1" t="s">
        <v>1306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1308</v>
      </c>
      <c r="T8" s="1">
        <v>24.5</v>
      </c>
      <c r="U8" s="1" t="s">
        <v>1309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1310</v>
      </c>
      <c r="T9" s="1">
        <v>24.6</v>
      </c>
      <c r="U9" s="1" t="s">
        <v>1284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1282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1311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1284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1312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1313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1315</v>
      </c>
      <c r="T14" s="1">
        <v>24.1</v>
      </c>
      <c r="U14" s="1" t="s">
        <v>1295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1316</v>
      </c>
      <c r="T15" s="1">
        <v>25</v>
      </c>
      <c r="U15" s="1" t="s">
        <v>1286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1317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1282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1311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1287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1303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1319</v>
      </c>
      <c r="T21" s="1">
        <v>25.6</v>
      </c>
      <c r="U21" s="1" t="s">
        <v>1295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1320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1315</v>
      </c>
      <c r="T22" s="1">
        <v>24.9</v>
      </c>
      <c r="U22" s="1" t="s">
        <v>1321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1322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1323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1324</v>
      </c>
      <c r="T26" s="1">
        <v>23.2</v>
      </c>
      <c r="U26" s="1" t="s">
        <v>1325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1327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1328</v>
      </c>
      <c r="T28" s="1">
        <v>24.7</v>
      </c>
      <c r="U28" s="1" t="s">
        <v>1280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1308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1330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1331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ED87-5496-49C8-9CFB-D6F94A0EAB87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1332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1281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1332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1311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1311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1281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1281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1302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1302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7B08-31B0-4EB9-86F5-6AE662F95C43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1332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1302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1333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1332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1281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1290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D3EB-61BD-4EBE-B2C6-4FAB6B532647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2019-11-22T14:00:50Z</dcterms:modified>
</cp:coreProperties>
</file>