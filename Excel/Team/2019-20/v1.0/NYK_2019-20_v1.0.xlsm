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0443811F-9A27-4547-AAB5-08037C666768}" xr6:coauthVersionLast="45" xr6:coauthVersionMax="45" xr10:uidLastSave="{00000000-0000-0000-0000-000000000000}"/>
  <bookViews>
    <workbookView xWindow="5486" yWindow="1157" windowWidth="16457" windowHeight="8520" activeTab="2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<sst xmlns="http://schemas.openxmlformats.org/spreadsheetml/2006/main" count="5940" uniqueCount="1415">
  <si>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</si>
  <si>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</si>
  <si>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</si>
  <si>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</si>
  <si>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</si>
  <si>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</si>
  <si>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</si>
  <si>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</si>
  <si>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</si>
  <si>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</si>
  <si>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</si>
  <si>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</si>
  <si>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</si>
  <si>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</si>
  <si>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</si>
  <si>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</si>
  <si>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</si>
  <si>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</si>
  <si>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</si>
  <si>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</si>
  <si>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</si>
  <si>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</si>
  <si>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</si>
  <si>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</si>
  <si>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</si>
  <si>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</si>
  <si>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</si>
  <si>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</si>
  <si>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</si>
  <si>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</si>
  <si>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</si>
  <si>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</si>
  <si>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</si>
  <si>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</si>
  <si>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</si>
  <si>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</si>
  <si>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</si>
  <si>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</si>
  <si>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</si>
  <si>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</si>
  <si>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</si>
  <si>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</si>
  <si>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</si>
  <si>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</si>
  <si>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</si>
  <si>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</si>
  <si>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</si>
  <si>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</si>
  <si>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</si>
  <si>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</si>
  <si>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</si>
  <si>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</si>
  <si>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</si>
  <si>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</si>
  <si>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</si>
  <si>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</si>
  <si>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</si>
  <si>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</si>
  <si>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</si>
  <si>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</si>
  <si>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</si>
  <si>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</si>
  <si>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</si>
  <si>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</si>
  <si>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</si>
  <si>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</si>
  <si>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</si>
  <si>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</si>
  <si>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</si>
  <si>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</si>
  <si>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</si>
  <si>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</si>
  <si>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</si>
  <si>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</si>
  <si>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</si>
  <si>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</si>
  <si>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</si>
  <si>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</si>
  <si>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</si>
  <si>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</si>
  <si>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</si>
  <si>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</si>
  <si>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</si>
  <si>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</si>
  <si>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</si>
  <si>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</si>
  <si>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</si>
  <si>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</si>
  <si>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</si>
  <si>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</si>
  <si>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</si>
  <si>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</si>
  <si>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</si>
  <si>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</si>
  <si>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</si>
  <si>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</si>
  <si>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</si>
  <si>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</si>
  <si>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</si>
  <si>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</si>
  <si>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</si>
  <si>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</si>
  <si>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</si>
  <si>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</si>
  <si>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</si>
  <si>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</si>
  <si>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</si>
  <si>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</si>
  <si>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</si>
  <si>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</si>
  <si>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</si>
  <si>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</si>
  <si>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</si>
  <si>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</si>
  <si>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</si>
  <si>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</si>
  <si>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</si>
  <si>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</si>
  <si>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</si>
  <si>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</si>
  <si>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</si>
  <si>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</si>
  <si>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</si>
  <si>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</si>
  <si>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</si>
  <si>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</si>
  <si>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</si>
  <si>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</si>
  <si>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</si>
  <si>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</si>
  <si>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</si>
  <si>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</si>
  <si>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</si>
  <si>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</si>
  <si>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</si>
  <si>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</si>
  <si>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</si>
  <si>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</si>
  <si>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</si>
  <si>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</si>
  <si>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</si>
  <si>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</si>
  <si>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</si>
  <si>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</si>
  <si>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</si>
  <si>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</si>
  <si>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</si>
  <si>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</si>
  <si>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</si>
  <si>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</si>
  <si>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</si>
  <si>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</si>
  <si>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</si>
  <si>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</si>
  <si>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</si>
  <si>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</si>
  <si>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</si>
  <si>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</si>
  <si>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</si>
  <si>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</si>
  <si>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</si>
  <si>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</si>
  <si>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</si>
  <si>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</si>
  <si>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</si>
  <si>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</si>
  <si>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</si>
  <si>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</si>
  <si>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</si>
  <si>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</si>
  <si>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</si>
  <si>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</si>
  <si>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</si>
  <si>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</si>
  <si>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</si>
  <si>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</si>
  <si>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</si>
  <si>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</si>
  <si>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</si>
  <si>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</si>
  <si>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</si>
  <si>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</si>
  <si>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</si>
  <si>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</si>
  <si>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</si>
  <si>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</si>
  <si>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</si>
  <si>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</si>
  <si>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</si>
  <si>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</si>
  <si>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</si>
  <si>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</si>
  <si>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</si>
  <si>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</si>
  <si>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</si>
  <si>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</si>
  <si>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</si>
  <si>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</si>
  <si>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</si>
  <si>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</si>
  <si>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</si>
  <si>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</si>
  <si>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</si>
  <si>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</si>
  <si>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</si>
  <si>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</si>
  <si>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</si>
  <si>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</si>
  <si>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</si>
  <si>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</si>
  <si>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</si>
  <si>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</si>
  <si>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</si>
  <si>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</si>
  <si>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</si>
  <si>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</si>
  <si>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</si>
  <si>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</si>
  <si>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</si>
  <si>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</si>
  <si>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</si>
  <si>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</si>
  <si>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</si>
  <si>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</si>
  <si>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</si>
  <si>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</si>
  <si>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</si>
  <si>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</si>
  <si>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</si>
  <si>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</si>
  <si>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</si>
  <si>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</si>
  <si>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</si>
  <si>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</si>
  <si>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</si>
  <si>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</si>
  <si>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</si>
  <si>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</si>
  <si>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</si>
  <si>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</si>
  <si>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</si>
  <si>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</si>
  <si>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</si>
  <si>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</si>
  <si>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</si>
  <si>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</si>
  <si>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</si>
  <si>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</si>
  <si>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</si>
  <si>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</si>
  <si>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</si>
  <si>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</si>
  <si>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</si>
  <si>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</si>
  <si>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</si>
  <si>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</si>
  <si>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</si>
  <si>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</si>
  <si>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</si>
  <si>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</si>
  <si>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</si>
  <si>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</si>
  <si>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</si>
  <si>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</si>
  <si>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</si>
  <si>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</si>
  <si>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</si>
  <si>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</si>
  <si>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</si>
  <si>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</si>
  <si>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</si>
  <si>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</si>
  <si>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</si>
  <si>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</si>
  <si>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</si>
  <si>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</si>
  <si>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</si>
  <si>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</si>
  <si>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</si>
  <si>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</si>
  <si>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</si>
  <si>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</si>
  <si>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</si>
  <si>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</si>
  <si>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</si>
  <si>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</si>
  <si>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</si>
  <si>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</si>
  <si>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</si>
  <si>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</si>
  <si>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</si>
  <si>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</si>
  <si>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</si>
  <si>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</si>
  <si>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</si>
  <si>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</si>
  <si>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</si>
  <si>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</si>
  <si>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</si>
  <si>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</si>
  <si>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</si>
  <si>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</si>
  <si>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</si>
  <si>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</si>
  <si>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</si>
  <si>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</si>
  <si>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</si>
  <si>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</si>
  <si>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</si>
  <si>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</si>
  <si>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</si>
  <si>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</si>
  <si>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</si>
  <si>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</si>
  <si>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</si>
  <si>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</si>
  <si>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</si>
  <si>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</si>
  <si>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</si>
  <si>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</si>
  <si>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</si>
  <si>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</si>
  <si>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</si>
  <si>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</si>
  <si>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</si>
  <si>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</si>
  <si>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</si>
  <si>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</si>
  <si>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</si>
  <si>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</si>
  <si>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</si>
  <si>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</si>
  <si>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</si>
  <si>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</si>
  <si>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</si>
  <si>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</si>
  <si>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</si>
  <si>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</si>
  <si>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</si>
  <si>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</si>
  <si>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</si>
  <si>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</si>
  <si>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</si>
  <si>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</si>
  <si>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</si>
  <si>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</si>
  <si>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</si>
  <si>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</si>
  <si>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</si>
  <si>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</si>
  <si>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</si>
  <si>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</si>
  <si>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</si>
  <si>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</si>
  <si>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</si>
  <si>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</si>
  <si>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</si>
  <si>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</si>
  <si>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</si>
  <si>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</si>
  <si>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</si>
  <si>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</si>
  <si>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</si>
  <si>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</si>
  <si>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</si>
  <si>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</si>
  <si>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</si>
  <si>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</si>
  <si>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</si>
  <si>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</si>
  <si>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</si>
  <si>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</si>
  <si>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</si>
  <si>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</si>
  <si>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</si>
  <si>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</si>
  <si>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</si>
  <si>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</si>
  <si>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</si>
  <si>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</si>
  <si>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</si>
  <si>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</si>
  <si>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</si>
  <si>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</si>
  <si>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</si>
  <si>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</si>
  <si>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</si>
  <si>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</si>
  <si>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</si>
  <si>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</si>
  <si>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</si>
  <si>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</si>
  <si>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</si>
  <si>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</si>
  <si>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</si>
  <si>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</si>
  <si>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</si>
  <si>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</si>
  <si>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</si>
  <si>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</si>
  <si>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</si>
  <si>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</si>
  <si>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</si>
  <si>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</si>
  <si>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</si>
  <si>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</si>
  <si>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</si>
  <si>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</si>
  <si>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</si>
  <si>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</si>
  <si>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</si>
  <si>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</si>
  <si>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</si>
  <si>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</si>
  <si>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</si>
  <si>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</si>
  <si>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</si>
  <si>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</si>
  <si>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</si>
  <si>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</si>
  <si>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</si>
  <si>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</si>
  <si>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</si>
  <si>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</si>
  <si>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</si>
  <si>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</si>
  <si>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</si>
  <si>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</si>
  <si>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</si>
  <si>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</si>
  <si>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</si>
  <si>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</si>
  <si>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</si>
  <si>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</si>
  <si>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</si>
  <si>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</si>
  <si>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</si>
  <si>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</si>
  <si>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</si>
  <si>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</si>
  <si>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</si>
  <si>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</si>
  <si>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</si>
  <si>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</si>
  <si>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</si>
  <si>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</si>
  <si>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</si>
  <si>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</si>
  <si>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</si>
  <si>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</si>
  <si>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</si>
  <si>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</si>
  <si>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</si>
  <si>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</si>
  <si>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</si>
  <si>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</si>
  <si>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</si>
  <si>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</si>
  <si>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</si>
  <si>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</si>
  <si>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</si>
  <si>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</si>
  <si>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</si>
  <si>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</si>
  <si>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</si>
  <si>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</si>
  <si>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</si>
  <si>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</si>
  <si>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</si>
  <si>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</si>
  <si>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</si>
  <si>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</si>
  <si>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</si>
  <si>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</si>
  <si>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</si>
  <si>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</si>
  <si>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</si>
  <si>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</si>
  <si>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</si>
  <si>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</si>
  <si>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</si>
  <si>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</si>
  <si>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</si>
  <si>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</si>
  <si>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</si>
  <si>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</si>
  <si>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</si>
  <si>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</si>
  <si>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</si>
  <si>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</si>
  <si>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</si>
  <si>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</si>
  <si>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</si>
  <si>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</si>
  <si>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</si>
  <si>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</si>
  <si>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</si>
  <si>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</si>
  <si>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</si>
  <si>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</si>
  <si>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</si>
  <si>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</si>
  <si>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</si>
  <si>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</si>
  <si>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</si>
  <si>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</si>
  <si>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</si>
  <si>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</si>
  <si>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</si>
  <si>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</si>
  <si>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</si>
  <si>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</si>
  <si>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</si>
  <si>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</si>
  <si>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</si>
  <si>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</si>
  <si>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</si>
  <si>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</si>
  <si>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</si>
  <si>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</si>
  <si>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</si>
  <si>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</si>
  <si>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</si>
  <si>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</si>
  <si>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</si>
  <si>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</si>
  <si>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</si>
  <si>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</si>
  <si>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</si>
  <si>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</si>
  <si>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</si>
  <si>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</si>
  <si>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</si>
  <si>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</si>
  <si>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</si>
  <si>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</si>
  <si>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</si>
  <si>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</si>
  <si>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</si>
  <si>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</si>
  <si>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</si>
  <si>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</si>
  <si>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</si>
  <si>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</si>
  <si>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</si>
  <si>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</si>
  <si>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</si>
  <si>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</si>
  <si>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</si>
  <si>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</si>
  <si>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</si>
  <si>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</si>
  <si>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</si>
  <si>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</si>
  <si>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</si>
  <si>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</si>
  <si>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</si>
  <si>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</si>
  <si>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</si>
  <si>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</si>
  <si>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</si>
  <si>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</si>
  <si>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</si>
  <si>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</si>
  <si>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</si>
  <si>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</si>
  <si>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</si>
  <si>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</si>
  <si>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</si>
  <si>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</si>
  <si>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</si>
  <si>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</si>
  <si>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</si>
  <si>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</si>
  <si>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</si>
  <si>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</si>
  <si>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</si>
  <si>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</si>
  <si>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</si>
  <si>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</si>
  <si>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</si>
  <si>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</si>
  <si>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</si>
  <si>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</si>
  <si>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</si>
  <si>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</si>
  <si>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</si>
  <si>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</si>
  <si>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</si>
  <si>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</si>
  <si>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</si>
  <si>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</si>
  <si>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</si>
  <si>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</si>
  <si>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</si>
  <si>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</si>
  <si>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</si>
  <si>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</si>
  <si>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</si>
  <si>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</si>
  <si>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</si>
  <si>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</si>
  <si>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</si>
  <si>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</si>
  <si>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</si>
  <si>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</si>
  <si>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</si>
  <si>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</si>
  <si>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</si>
  <si>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</si>
  <si>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</si>
  <si>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</si>
  <si>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</si>
  <si>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</si>
  <si>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</si>
  <si>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</si>
  <si>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</si>
  <si>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</si>
  <si>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</si>
  <si>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</si>
  <si>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</si>
  <si>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</si>
  <si>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</si>
  <si>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</si>
  <si>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</si>
  <si>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</si>
  <si>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</si>
  <si>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</si>
  <si>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</si>
  <si>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</si>
  <si>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</si>
  <si>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</si>
  <si>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</si>
  <si>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</si>
  <si>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</si>
  <si>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</si>
  <si>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</si>
  <si>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</si>
  <si>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</si>
  <si>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</si>
  <si>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</si>
  <si>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</si>
  <si>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</si>
  <si>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</si>
  <si>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</si>
  <si>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</si>
  <si>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</si>
  <si>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</si>
  <si>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</si>
  <si>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</si>
  <si>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</si>
  <si>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</si>
  <si>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</si>
  <si>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</si>
  <si>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</si>
  <si>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</si>
  <si>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</si>
  <si>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</si>
  <si>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</si>
  <si>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</si>
  <si>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</si>
  <si>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</si>
  <si>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</si>
  <si>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</si>
  <si>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</si>
  <si>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</si>
  <si>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</si>
  <si>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</si>
  <si>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</si>
  <si>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</si>
  <si>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</si>
  <si>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</si>
  <si>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</si>
  <si>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</si>
  <si>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</si>
  <si>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</si>
  <si>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</si>
  <si>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</si>
  <si>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</si>
  <si>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</si>
  <si>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</si>
  <si>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</si>
  <si>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</si>
  <si>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</si>
  <si>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</si>
  <si>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</si>
  <si>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</si>
  <si>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</si>
  <si>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</si>
  <si>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</si>
  <si>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</si>
  <si>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</si>
  <si>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</si>
  <si>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</si>
  <si>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</si>
  <si>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</si>
  <si>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</si>
  <si>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</si>
  <si>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</si>
  <si>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</si>
  <si>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</si>
  <si>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</si>
  <si>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</si>
  <si>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</si>
  <si>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</si>
  <si>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</si>
  <si>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</si>
  <si>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</si>
  <si>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</si>
  <si>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</si>
  <si>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</si>
  <si>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</si>
  <si>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</si>
  <si>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</si>
  <si>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</si>
  <si>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</si>
  <si>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</si>
  <si>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</si>
  <si>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</si>
  <si>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</si>
  <si>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</si>
  <si>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</si>
  <si>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</si>
  <si>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</si>
  <si>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</si>
  <si>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</si>
  <si>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</si>
  <si>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</si>
  <si>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</si>
  <si>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</si>
  <si>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</si>
  <si>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</si>
  <si>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</si>
  <si>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</si>
  <si>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</si>
  <si>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</si>
  <si>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</si>
  <si>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</si>
  <si>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</si>
  <si>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</si>
  <si>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</si>
  <si>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</si>
  <si>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</si>
  <si>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</si>
  <si>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</si>
  <si>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</si>
  <si>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</si>
  <si>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</si>
  <si>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</si>
  <si>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</si>
  <si>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</si>
  <si>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</si>
  <si>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</si>
  <si>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</si>
  <si>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</si>
  <si>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</si>
  <si>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</si>
  <si>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</t>
  </si>
  <si>
    <t>4</t>
  </si>
  <si>
    <t>5</t>
  </si>
  <si>
    <t>F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</si>
  <si>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</si>
  <si>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</si>
  <si>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</si>
  <si>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</si>
  <si>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</si>
  <si>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</si>
  <si>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</si>
  <si>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</si>
  <si>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</si>
  <si>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</si>
  <si>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</si>
  <si>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</si>
  <si>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</si>
  <si>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</si>
  <si>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</si>
  <si>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</si>
  <si>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</si>
  <si>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</si>
  <si>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</si>
  <si>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</si>
  <si>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</si>
  <si>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</si>
  <si>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</si>
  <si>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</si>
  <si>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</si>
  <si>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</si>
  <si>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</si>
  <si>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</si>
  <si>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</si>
  <si>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</si>
  <si>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</si>
  <si>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</si>
  <si>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</si>
  <si>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</si>
  <si>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</si>
  <si>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</si>
  <si>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</si>
  <si>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</si>
  <si>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</si>
  <si>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</si>
  <si>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</si>
  <si>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</si>
  <si>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</si>
  <si>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</si>
  <si>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</si>
  <si>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</si>
  <si>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</si>
  <si>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</si>
  <si>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</si>
  <si>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</si>
  <si>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</si>
  <si>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</si>
  <si>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</si>
  <si>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</si>
  <si>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</si>
  <si>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</si>
  <si>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</si>
  <si>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</si>
  <si>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</si>
  <si>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</si>
  <si>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</si>
  <si>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</si>
  <si>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</si>
  <si>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</si>
  <si>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</si>
  <si>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</si>
  <si>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</si>
  <si>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</si>
  <si>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</si>
  <si>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</si>
  <si>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</si>
  <si>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</si>
  <si>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</si>
  <si>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</si>
  <si>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</si>
  <si>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</si>
  <si>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</si>
  <si>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</si>
  <si>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</si>
  <si>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</si>
  <si>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</si>
  <si>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</si>
  <si>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</si>
  <si>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</si>
  <si>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</si>
  <si>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</si>
  <si>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</si>
  <si>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</si>
  <si>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</si>
  <si>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</si>
  <si>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</si>
  <si>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</si>
  <si>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</si>
  <si>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</si>
  <si>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</si>
  <si>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</si>
  <si>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</si>
  <si>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</si>
  <si>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</si>
  <si>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</si>
  <si>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</si>
  <si>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</si>
  <si>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</si>
  <si>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</si>
  <si>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</si>
  <si>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</si>
  <si>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</si>
  <si>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</si>
  <si>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</si>
  <si>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</si>
  <si>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</si>
  <si>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</si>
  <si>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</si>
  <si>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</si>
  <si>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</si>
  <si>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</si>
  <si>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</si>
  <si>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</si>
  <si>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</si>
  <si>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</si>
  <si>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</si>
  <si>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</si>
  <si>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</si>
  <si>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</si>
  <si>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</si>
  <si>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</si>
  <si>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</si>
  <si>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</si>
  <si>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</si>
  <si>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</si>
  <si>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</si>
  <si>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</si>
  <si>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</si>
  <si>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</si>
  <si>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</si>
  <si>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</si>
  <si>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</si>
  <si>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</si>
  <si>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</si>
  <si>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</si>
  <si>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</si>
  <si>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</si>
  <si>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</si>
  <si>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</si>
  <si>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</si>
  <si>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</si>
  <si>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</si>
  <si>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</si>
  <si>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</si>
  <si>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</si>
  <si>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</si>
  <si>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</si>
  <si>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</si>
  <si>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</si>
  <si>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</si>
  <si>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</si>
  <si>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</si>
  <si>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</si>
  <si>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</si>
  <si>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</si>
  <si>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</si>
  <si>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</si>
  <si>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</si>
  <si>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</si>
  <si>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</si>
  <si>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</si>
  <si>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</si>
  <si>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</si>
  <si>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</si>
  <si>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</si>
  <si>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</si>
  <si>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</si>
  <si>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</si>
  <si>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</si>
  <si>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</si>
  <si>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</si>
  <si>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</si>
  <si>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</si>
  <si>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</si>
  <si>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</si>
  <si>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</si>
  <si>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</si>
  <si>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</si>
  <si>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</si>
  <si>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</si>
  <si>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</si>
  <si>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</si>
  <si>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</si>
  <si>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</si>
  <si>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</si>
  <si>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</si>
  <si>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</si>
  <si>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</si>
  <si>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</si>
  <si>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</si>
  <si>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</si>
  <si>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</si>
  <si>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</si>
  <si>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</si>
  <si>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</si>
  <si>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</si>
  <si>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</si>
  <si>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</si>
  <si>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</si>
  <si>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</si>
  <si>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</si>
  <si>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</si>
  <si>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</si>
  <si>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</si>
  <si>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</si>
  <si>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</si>
  <si>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</si>
  <si>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</si>
  <si>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</si>
  <si>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</si>
  <si>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</si>
  <si>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</si>
  <si>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</si>
  <si>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</si>
  <si>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</si>
  <si>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</si>
  <si>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</si>
  <si>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</si>
  <si>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</si>
  <si>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</si>
  <si>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</si>
  <si>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</si>
  <si>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</si>
  <si>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</si>
  <si>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</si>
  <si>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</si>
  <si>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</si>
  <si>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</si>
  <si>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</si>
  <si>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</si>
  <si>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</si>
  <si>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</si>
  <si>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</si>
  <si>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</si>
  <si>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</si>
  <si>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</si>
  <si>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</si>
  <si>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</si>
  <si>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</si>
  <si>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</si>
  <si>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</si>
  <si>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</si>
  <si>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</si>
  <si>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</si>
  <si>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</si>
  <si>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</si>
  <si>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</si>
  <si>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</si>
  <si>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</si>
  <si>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</si>
  <si>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</si>
  <si>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</si>
  <si>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</si>
  <si>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</si>
  <si>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</si>
  <si>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</si>
  <si>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</si>
  <si>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</si>
  <si>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</si>
  <si>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</si>
  <si>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</si>
  <si>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</si>
  <si>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</si>
  <si>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</si>
  <si>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</si>
  <si>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</si>
  <si>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</si>
  <si>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</si>
  <si>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</si>
  <si>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</si>
  <si>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</si>
  <si>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</si>
  <si>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</si>
  <si>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</si>
  <si>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</si>
  <si>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</si>
  <si>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</si>
  <si>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</si>
  <si>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</si>
  <si>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</si>
  <si>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</si>
  <si>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</si>
  <si>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</si>
  <si>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</si>
  <si>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</si>
  <si>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</si>
  <si>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</si>
  <si>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</si>
  <si>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</si>
  <si>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</si>
  <si>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</si>
  <si>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</si>
  <si>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</si>
  <si>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</si>
  <si>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</si>
  <si>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</si>
  <si>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</si>
  <si>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</si>
  <si>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</si>
  <si>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</si>
  <si>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</si>
  <si>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</si>
  <si>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</si>
  <si>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</si>
  <si>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</si>
  <si>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</si>
  <si>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</si>
  <si>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</si>
  <si>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</si>
  <si>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</si>
  <si>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</si>
  <si>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</si>
  <si>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</si>
  <si>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</si>
  <si>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</si>
  <si>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</si>
  <si>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</si>
  <si>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</si>
  <si>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</si>
  <si>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</si>
  <si>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</si>
  <si>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</si>
  <si>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</si>
  <si>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</si>
  <si>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</si>
  <si>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</si>
  <si>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</si>
  <si>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</si>
  <si>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</si>
  <si>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</si>
  <si>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</si>
  <si>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</si>
  <si>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</si>
  <si>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</si>
  <si>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</si>
  <si>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</si>
  <si>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</si>
  <si>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</si>
  <si>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</si>
  <si>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</si>
  <si>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</si>
  <si>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</si>
  <si>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</si>
  <si>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</si>
  <si>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</si>
  <si>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</si>
  <si>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</si>
  <si>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</si>
  <si>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</si>
  <si>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</si>
  <si>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</si>
  <si>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</si>
  <si>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</si>
  <si>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</si>
  <si>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</si>
  <si>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</si>
  <si>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</si>
  <si>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</si>
  <si>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</si>
  <si>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</si>
  <si>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</si>
  <si>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</si>
  <si>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</si>
  <si>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</si>
  <si>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</si>
  <si>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</si>
  <si>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</si>
  <si>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</si>
  <si>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</si>
  <si>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</si>
  <si>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</si>
  <si>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</si>
  <si>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</si>
  <si>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</si>
  <si>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</si>
  <si>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</si>
  <si>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</si>
  <si>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</si>
  <si>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</si>
  <si>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</si>
  <si>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</si>
  <si>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</si>
  <si>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</si>
  <si>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</si>
  <si>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</si>
  <si>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</si>
  <si>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</si>
  <si>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</si>
  <si>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</si>
  <si>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</si>
  <si>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</si>
  <si>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</si>
  <si>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</si>
  <si>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</si>
  <si>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</si>
  <si>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</si>
  <si>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</si>
  <si>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</si>
  <si>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</si>
  <si>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</si>
  <si>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</si>
  <si>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</si>
  <si>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</si>
  <si>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</si>
  <si>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</si>
  <si>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</si>
  <si>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</si>
  <si>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</si>
  <si>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</si>
  <si>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</si>
  <si>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</si>
  <si>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</si>
  <si>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</si>
  <si>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</si>
  <si>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</si>
  <si>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</si>
  <si>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</si>
  <si>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</si>
  <si>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</si>
  <si>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</si>
  <si>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</si>
  <si>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</si>
  <si>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</si>
  <si>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</si>
  <si>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</si>
  <si>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</si>
  <si>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</si>
  <si>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</si>
  <si>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</si>
  <si>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</si>
  <si>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</si>
  <si>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</si>
  <si>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</si>
  <si>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</si>
  <si>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</si>
  <si>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</si>
  <si>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</si>
  <si>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</si>
  <si>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</si>
  <si>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</si>
  <si>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</si>
  <si>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</si>
  <si>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</si>
  <si>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</si>
  <si>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</si>
  <si>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</si>
  <si>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</si>
  <si>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</si>
  <si>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</si>
  <si>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</si>
  <si>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</si>
  <si>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</si>
  <si>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</si>
  <si>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</si>
  <si>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</si>
  <si>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</si>
  <si>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</si>
  <si>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</si>
  <si>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</si>
  <si>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</si>
  <si>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</si>
  <si>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</si>
  <si>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</si>
  <si>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</si>
  <si>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</si>
  <si>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</si>
  <si>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</si>
  <si>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</si>
  <si>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</si>
  <si>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</si>
  <si>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</si>
  <si>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</si>
  <si>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</si>
  <si>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</si>
  <si>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</si>
  <si>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</si>
  <si>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</si>
  <si>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</si>
  <si>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</si>
  <si>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</si>
  <si>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</si>
  <si>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</si>
  <si>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</si>
  <si>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</si>
  <si>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</si>
  <si>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</si>
  <si>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</si>
  <si>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</si>
  <si>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</si>
  <si>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</si>
  <si>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</si>
  <si>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</si>
  <si>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</si>
  <si>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</si>
  <si>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</si>
  <si>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</si>
  <si>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</si>
  <si>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</si>
  <si>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</si>
  <si>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</si>
  <si>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</si>
  <si>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</si>
  <si>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</si>
  <si>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</si>
  <si>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</si>
  <si>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</si>
  <si>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</si>
  <si>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</si>
  <si>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</si>
  <si>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</si>
  <si>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</si>
  <si>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</si>
  <si>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</si>
  <si>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</si>
  <si>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</si>
  <si>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</si>
  <si>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</si>
  <si>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</si>
  <si>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</si>
  <si>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</si>
  <si>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</si>
  <si>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</si>
  <si>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</si>
  <si>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</si>
  <si>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</si>
  <si>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</si>
  <si>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</si>
  <si>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</si>
  <si>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</si>
  <si>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</si>
  <si>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</si>
  <si>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</si>
  <si>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</si>
  <si>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</si>
  <si>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</si>
  <si>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</si>
  <si>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</si>
  <si>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</si>
  <si>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</si>
  <si>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</si>
  <si>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</si>
  <si>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</si>
  <si>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</si>
  <si>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</si>
  <si>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</si>
  <si>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</si>
  <si>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</si>
  <si>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</si>
  <si>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</si>
  <si>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</si>
  <si>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</si>
  <si>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</si>
  <si>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</si>
  <si>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</si>
  <si>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</si>
  <si>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</si>
  <si>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</si>
  <si>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13</t>
  </si>
  <si>
    <t>10</t>
  </si>
  <si>
    <t>2</t>
  </si>
  <si>
    <t>0</t>
  </si>
  <si>
    <t>6</t>
  </si>
  <si>
    <t>11</t>
  </si>
  <si>
    <t>6-6</t>
  </si>
  <si>
    <t>G-F</t>
  </si>
  <si>
    <t>195</t>
  </si>
  <si>
    <t>R</t>
  </si>
  <si>
    <t xml:space="preserve"> </t>
  </si>
  <si>
    <t>North Carolina</t>
  </si>
  <si>
    <t>218</t>
  </si>
  <si>
    <t>F-C</t>
  </si>
  <si>
    <t>240</t>
  </si>
  <si>
    <t>8</t>
  </si>
  <si>
    <t>215</t>
  </si>
  <si>
    <t>Duke</t>
  </si>
  <si>
    <t>220</t>
  </si>
  <si>
    <t>17</t>
  </si>
  <si>
    <t>9</t>
  </si>
  <si>
    <t>21</t>
  </si>
  <si>
    <t>205</t>
  </si>
  <si>
    <t>Michigan</t>
  </si>
  <si>
    <t>Kadeem Allen</t>
  </si>
  <si>
    <t>200</t>
  </si>
  <si>
    <t>JAN 15, 1993</t>
  </si>
  <si>
    <t>Arizona</t>
  </si>
  <si>
    <t>Bobby Portis</t>
  </si>
  <si>
    <t>250</t>
  </si>
  <si>
    <t>FEB 10, 1995</t>
  </si>
  <si>
    <t>Arkansas</t>
  </si>
  <si>
    <t>Wayne Ellington</t>
  </si>
  <si>
    <t>207</t>
  </si>
  <si>
    <t>NOV 29, 1987</t>
  </si>
  <si>
    <t>Dennis Smith Jr.</t>
  </si>
  <si>
    <t>NOV 25, 1997</t>
  </si>
  <si>
    <t>North Carolina State</t>
  </si>
  <si>
    <t>Elfrid Payton</t>
  </si>
  <si>
    <t>FEB 22, 1994</t>
  </si>
  <si>
    <t>Louisana-Lafayette</t>
  </si>
  <si>
    <t>RJ Barrett</t>
  </si>
  <si>
    <t>F-G</t>
  </si>
  <si>
    <t>214</t>
  </si>
  <si>
    <t>JUN 14, 2000</t>
  </si>
  <si>
    <t>Ivan Rabb</t>
  </si>
  <si>
    <t>FEB 04, 1997</t>
  </si>
  <si>
    <t>University of California, Berkeley</t>
  </si>
  <si>
    <t>Frank Ntilikina</t>
  </si>
  <si>
    <t>JUL 28, 1998</t>
  </si>
  <si>
    <t>Marcus Morris Sr.</t>
  </si>
  <si>
    <t>SEP 02, 1989</t>
  </si>
  <si>
    <t>Kansas</t>
  </si>
  <si>
    <t>Allonzo Trier</t>
  </si>
  <si>
    <t>14</t>
  </si>
  <si>
    <t>JAN 17, 1996</t>
  </si>
  <si>
    <t>Ignas Brazdeikis</t>
  </si>
  <si>
    <t>221</t>
  </si>
  <si>
    <t>JAN 08, 1999</t>
  </si>
  <si>
    <t>Kevin Knox II</t>
  </si>
  <si>
    <t>20</t>
  </si>
  <si>
    <t>AUG 11, 1999</t>
  </si>
  <si>
    <t>Kentucky</t>
  </si>
  <si>
    <t>Damyean Dotson</t>
  </si>
  <si>
    <t>210</t>
  </si>
  <si>
    <t>MAY 06, 1994</t>
  </si>
  <si>
    <t>Mitchell Robinson</t>
  </si>
  <si>
    <t>23</t>
  </si>
  <si>
    <t>C-F</t>
  </si>
  <si>
    <t>APR 01, 1998</t>
  </si>
  <si>
    <t>Western Kentucky</t>
  </si>
  <si>
    <t>Reggie Bullock</t>
  </si>
  <si>
    <t>25</t>
  </si>
  <si>
    <t>MAR 16, 1991</t>
  </si>
  <si>
    <t>Julius Randle</t>
  </si>
  <si>
    <t>30</t>
  </si>
  <si>
    <t>NOV 29, 1994</t>
  </si>
  <si>
    <t>Taj Gibson</t>
  </si>
  <si>
    <t>67</t>
  </si>
  <si>
    <t>232</t>
  </si>
  <si>
    <t>JUN 24, 1985</t>
  </si>
  <si>
    <t>USC</t>
  </si>
  <si>
    <t>Knicks</t>
    <phoneticPr fontId="1"/>
  </si>
  <si>
    <t>4-11</t>
    <phoneticPr fontId="1"/>
  </si>
  <si>
    <t xml:space="preserve">3-7  </t>
    <phoneticPr fontId="1"/>
  </si>
  <si>
    <t xml:space="preserve">3-4  </t>
    <phoneticPr fontId="1"/>
  </si>
  <si>
    <t xml:space="preserve">1-7  </t>
    <phoneticPr fontId="1"/>
  </si>
  <si>
    <t>17-65</t>
    <phoneticPr fontId="1"/>
  </si>
  <si>
    <t xml:space="preserve">9-32 </t>
    <phoneticPr fontId="1"/>
  </si>
  <si>
    <t xml:space="preserve">8-33 </t>
    <phoneticPr fontId="1"/>
  </si>
  <si>
    <t>11-47</t>
    <phoneticPr fontId="1"/>
  </si>
  <si>
    <t>6-18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</si>
</sst>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F04CDB-3F40-4893-AD31-1F30FF92286B}" name="TableRoster" displayName="TableRoster" ref="A1:M18" totalsRowShown="0" headerRowDxfId="1074">
  <autoFilter ref="A1:M18" xr:uid="{566F3050-2E4C-421C-B388-1161F9C159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C0B2AC5B-C81A-4555-9B20-EDFE7E4BB5A4}" name="TeamID" dataDxfId="1087"/>
    <tableColumn id="2" xr3:uid="{5BDBD6AE-A6C3-4438-ADDD-6D39763A4F99}" name="SEASON" dataDxfId="1086"/>
    <tableColumn id="3" xr3:uid="{D9DB9F66-6FF8-402D-B8CC-3A5481C3ACEF}" name="LeagueID" dataDxfId="1085"/>
    <tableColumn id="4" xr3:uid="{FEE08C80-BD7E-4704-AF21-E12EA99A6439}" name="PLAYER" dataDxfId="1084"/>
    <tableColumn id="5" xr3:uid="{D4E78866-0B3E-4871-BDE4-DD39EAEB8DD9}" name="NUM" dataDxfId="1083"/>
    <tableColumn id="6" xr3:uid="{2799C7FC-43A8-4F34-842B-38EDB589BE74}" name="POSITION" dataDxfId="1082"/>
    <tableColumn id="7" xr3:uid="{BC9378DF-D9A7-4E51-B958-546057ECB214}" name="HEIGHT" dataDxfId="1081"/>
    <tableColumn id="8" xr3:uid="{1C8314B8-3716-4ECC-AE4E-A4B88B8C8B38}" name="WEIGHT" dataDxfId="1080"/>
    <tableColumn id="9" xr3:uid="{39191D28-5244-4B82-B806-D18E4DDDD2D8}" name="BIRTH_DATE" dataDxfId="1079"/>
    <tableColumn id="10" xr3:uid="{0127E186-0AA3-4FFD-B153-91579981AB79}" name="AGE" dataDxfId="1078"/>
    <tableColumn id="11" xr3:uid="{65AC9639-3D46-4779-9B2C-2C425A3E05AF}" name="EXP" dataDxfId="1077"/>
    <tableColumn id="12" xr3:uid="{6CFC216B-205A-4129-B4A8-F0AA915A7C98}" name="SCHOOL" dataDxfId="1076"/>
    <tableColumn id="13" xr3:uid="{815CD311-CF51-437F-B62D-B2B6466AF11E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40B65B-146A-484A-AFDC-A7262B4767C3}" name="TableStandingsN" displayName="TableStandingsN" ref="A1:CC31" totalsRowShown="0" headerRowDxfId="992">
  <autoFilter ref="A1:CC31" xr:uid="{B17E53E8-11A3-4637-8FAA-04BD3C0021B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5ED54D84-4BF2-485D-A673-B1B78E16E9A7}" name="LeagueID" dataDxfId="1073"/>
    <tableColumn id="2" xr3:uid="{DDE78BE3-E7DC-450A-B515-E6D4811EFF43}" name="SeasonID" dataDxfId="1072"/>
    <tableColumn id="3" xr3:uid="{53325841-8810-44A4-9030-1620CB054D10}" name="TeamID" dataDxfId="1071"/>
    <tableColumn id="4" xr3:uid="{FD60AD30-184B-4298-A4A1-044FCE793530}" name="TeamCity" dataDxfId="1070"/>
    <tableColumn id="5" xr3:uid="{7A945405-8E6C-4626-89B5-8FB089368EF4}" name="TeamName" dataDxfId="1069"/>
    <tableColumn id="6" xr3:uid="{0F24388C-0E90-4C58-B797-30B0AAC50F7C}" name="Conference" dataDxfId="1068"/>
    <tableColumn id="7" xr3:uid="{05610D45-62C8-497A-8343-CAF2CF72BE59}" name="ConferenceRecord" dataDxfId="1067"/>
    <tableColumn id="8" xr3:uid="{AC2FC5C1-A36A-4649-B773-266CFF40B79C}" name="PlayoffRank" dataDxfId="1066"/>
    <tableColumn id="9" xr3:uid="{5D677264-C543-4410-BC08-084646A6B02B}" name="ClinchIndicator" dataDxfId="1065"/>
    <tableColumn id="10" xr3:uid="{A426E002-B6E3-46C8-A083-0E52E4EB0023}" name="Division" dataDxfId="1064"/>
    <tableColumn id="11" xr3:uid="{1E8CDD04-5894-4C52-B9B4-09939F9811F9}" name="DivisionRecord" dataDxfId="1063"/>
    <tableColumn id="12" xr3:uid="{74197B5B-AC81-4153-8DE1-144290D3493E}" name="DivisionRank" dataDxfId="1062"/>
    <tableColumn id="13" xr3:uid="{39F78CCD-89D7-47C0-AC9B-BAE0F6B4F2D7}" name="WINS" dataDxfId="1061"/>
    <tableColumn id="14" xr3:uid="{7F7AB94B-213D-42D8-B59A-C708113B7FE1}" name="LOSSES" dataDxfId="1060"/>
    <tableColumn id="15" xr3:uid="{8747405E-C6F2-40B0-8A1B-8318D0B013E9}" name="WinPCT" dataDxfId="1059"/>
    <tableColumn id="16" xr3:uid="{0A565BCA-D754-48C5-ACF0-9CC047A40D4B}" name="LeagueRank" dataDxfId="1058"/>
    <tableColumn id="17" xr3:uid="{362DC3EB-F90D-4B9C-9315-498794E205F7}" name="Record" dataDxfId="1057"/>
    <tableColumn id="18" xr3:uid="{68C0F4C2-8C68-4000-BB8E-C8E3D11991EA}" name="HOME" dataDxfId="1056"/>
    <tableColumn id="19" xr3:uid="{F3D367D8-4663-4A37-A6F4-B6D622F197BE}" name="ROAD" dataDxfId="1055"/>
    <tableColumn id="20" xr3:uid="{A300A2E5-F4FC-4369-901E-7879D3B1678C}" name="L10" dataDxfId="1054"/>
    <tableColumn id="21" xr3:uid="{F5B679A7-A64A-416D-9F0E-AB6244588E9F}" name="Last10Home" dataDxfId="1053"/>
    <tableColumn id="22" xr3:uid="{23651D71-0439-4CF1-A779-27BB82F780F9}" name="Last10Road" dataDxfId="1052"/>
    <tableColumn id="23" xr3:uid="{87023EB3-02BA-414C-9050-B75F3F66935B}" name="OT" dataDxfId="1051"/>
    <tableColumn id="24" xr3:uid="{14AF171B-0A90-4E62-AA0F-AC2407FC9A74}" name="ThreePTSOrLess" dataDxfId="1050"/>
    <tableColumn id="25" xr3:uid="{488EC605-4B8F-4D73-81CC-9F8610684798}" name="TenPTSOrMore" dataDxfId="1049"/>
    <tableColumn id="26" xr3:uid="{606B1345-BAA5-4973-A84E-F0C95F880B26}" name="LongHomeStreak" dataDxfId="1048"/>
    <tableColumn id="27" xr3:uid="{82127BB2-EF2A-475A-BE12-AE0AB8FFA30B}" name="strLongHomeStreak" dataDxfId="1047"/>
    <tableColumn id="28" xr3:uid="{760042AE-AD74-4550-A2F6-34865F2F43D3}" name="LongRoadStreak" dataDxfId="1046"/>
    <tableColumn id="29" xr3:uid="{932AF010-069F-418E-9C04-19EBD5D78FD5}" name="strLongRoadStreak" dataDxfId="1045"/>
    <tableColumn id="30" xr3:uid="{8B34D122-075D-4308-9ABE-5F2B797FE609}" name="LongWinStreak" dataDxfId="1044"/>
    <tableColumn id="31" xr3:uid="{8793B7F1-97AB-4530-AE5E-53CBC156676F}" name="LongLossStreak" dataDxfId="1043"/>
    <tableColumn id="32" xr3:uid="{92A8AE1D-7BDF-4626-9160-A41F7B54AC1A}" name="CurrentHomeStreak" dataDxfId="1042"/>
    <tableColumn id="33" xr3:uid="{FEC469C0-04F8-4E2F-AB07-FA4B5EB19717}" name="strCurrentHomeStreak" dataDxfId="1041"/>
    <tableColumn id="34" xr3:uid="{83025A69-6E08-4EE0-96D6-C112E742CF77}" name="CurrentRoadStreak" dataDxfId="1040"/>
    <tableColumn id="35" xr3:uid="{049AA013-4D67-4E2E-9828-1781003FCC1E}" name="strCurrentRoadStreak" dataDxfId="1039"/>
    <tableColumn id="36" xr3:uid="{6E1A629B-C8A3-4D80-A533-5ED7F913B150}" name="CurrentStreak" dataDxfId="1038"/>
    <tableColumn id="37" xr3:uid="{E11C0DFB-7F8E-4A9A-85A2-45FBBEC4BB9A}" name="strCurrentStreak" dataDxfId="1037"/>
    <tableColumn id="38" xr3:uid="{AC4961AC-C6E6-4DA2-9B6F-CCA0F61E72C8}" name="ConferenceGamesBack" dataDxfId="1036"/>
    <tableColumn id="39" xr3:uid="{1671FA6D-8BBB-40D5-B934-BA80CDD8A4B2}" name="DivisionGamesBack" dataDxfId="1035"/>
    <tableColumn id="40" xr3:uid="{068100AE-B53C-43EE-BC5A-35DFC686FDDA}" name="ClinchedConferenceTitle" dataDxfId="1034"/>
    <tableColumn id="41" xr3:uid="{745C5EEF-D75D-42BE-8CDD-2E80C46CFE89}" name="ClinchedDivisionTitle" dataDxfId="1033"/>
    <tableColumn id="42" xr3:uid="{7DBEBC12-F5CE-47B5-8B4B-4D214FF709A4}" name="ClinchedPlayoffBirth" dataDxfId="1032"/>
    <tableColumn id="43" xr3:uid="{7A3D7182-3A46-424F-84AA-39FFB6C02984}" name="EliminatedConference" dataDxfId="1031"/>
    <tableColumn id="44" xr3:uid="{5203C582-572A-49CF-838A-360CBFC8AD55}" name="EliminatedDivision" dataDxfId="1030"/>
    <tableColumn id="45" xr3:uid="{A57632BC-74B7-4DE3-B0E4-27611DCEE3C0}" name="AheadAtHalf" dataDxfId="1029"/>
    <tableColumn id="46" xr3:uid="{CC24AA59-C031-4C36-A206-169AE7938972}" name="BehindAtHalf" dataDxfId="1028"/>
    <tableColumn id="47" xr3:uid="{B8E555E8-4C84-418D-824D-758A34F10AA5}" name="TiedAtHalf" dataDxfId="1027"/>
    <tableColumn id="48" xr3:uid="{4E819DC4-9CE6-4350-92FD-1F88937788B7}" name="AheadAtThird" dataDxfId="1026"/>
    <tableColumn id="49" xr3:uid="{23E5494A-09A3-46F6-B7D4-CBD6E8106F15}" name="BehindAtThird" dataDxfId="1025"/>
    <tableColumn id="50" xr3:uid="{0A37528D-48A9-42B4-83F9-E14040E44B9E}" name="TiedAtThird" dataDxfId="1024"/>
    <tableColumn id="51" xr3:uid="{EE198ED8-733B-4192-B845-2D671B03A8D6}" name="Score100PTS" dataDxfId="1023"/>
    <tableColumn id="52" xr3:uid="{A0DDEFA0-6F0F-4EC2-80ED-94F0424C9556}" name="OppScore100PTS" dataDxfId="1022"/>
    <tableColumn id="53" xr3:uid="{02DB5634-79D9-40CF-A320-F42ADBDB7028}" name="OppOver500" dataDxfId="1021"/>
    <tableColumn id="54" xr3:uid="{82A91611-7C52-4B43-B13C-A3EB66DDFE9E}" name="LeadInFGPCT" dataDxfId="1020"/>
    <tableColumn id="55" xr3:uid="{7AC2B4D6-1EDE-4A21-A99B-622404AC5DD0}" name="LeadInReb" dataDxfId="1019"/>
    <tableColumn id="56" xr3:uid="{42FA68B7-BB85-4EB1-A1A5-CDC10B38CEC6}" name="FewerTurnovers" dataDxfId="1018"/>
    <tableColumn id="57" xr3:uid="{AA9282C1-AE48-4754-8294-702060C74236}" name="PointsPG" dataDxfId="1017"/>
    <tableColumn id="58" xr3:uid="{1170FB52-C337-44CC-9878-5B0006B4DC32}" name="OppPointsPG" dataDxfId="1016"/>
    <tableColumn id="59" xr3:uid="{F93C18C8-7E73-46CF-AF47-069B96565743}" name="DiffPointsPG" dataDxfId="1015"/>
    <tableColumn id="60" xr3:uid="{F061ADE6-82ED-4637-94AB-FF3DAB370E06}" name="vsEast" dataDxfId="1014"/>
    <tableColumn id="61" xr3:uid="{7B514D93-FF97-4ECD-ADEA-048CD4F996FF}" name="vsAtlantic" dataDxfId="1013"/>
    <tableColumn id="62" xr3:uid="{7D9D90DA-6E0A-4F90-BE61-CD71F299B87B}" name="vsCentral" dataDxfId="1012"/>
    <tableColumn id="63" xr3:uid="{F0E6121E-A460-4A14-AEA8-9C1915073AEA}" name="vsSoutheast" dataDxfId="1011"/>
    <tableColumn id="64" xr3:uid="{473FA679-22A5-4862-B1E8-DE660352B427}" name="vsWest" dataDxfId="1010"/>
    <tableColumn id="65" xr3:uid="{42FB8843-246B-4498-A1B6-ADA12A4E39BE}" name="vsNorthwest" dataDxfId="1009"/>
    <tableColumn id="66" xr3:uid="{9ABD1712-1028-4A6A-A50D-B9ED00807A53}" name="vsPacific" dataDxfId="1008"/>
    <tableColumn id="67" xr3:uid="{9AFF6E2E-02F2-4B4A-B57E-FBE7155F0389}" name="vsSouthwest" dataDxfId="1007"/>
    <tableColumn id="68" xr3:uid="{71D6CCE7-E73C-44FE-968A-A5BD7A5CA087}" name="Jan" dataDxfId="1006"/>
    <tableColumn id="69" xr3:uid="{E4D57F7C-65E7-447B-9849-53BCC5C2AA01}" name="Feb" dataDxfId="1005"/>
    <tableColumn id="70" xr3:uid="{BDE68899-D1BB-40F3-889D-56BC141DEBDA}" name="Mar" dataDxfId="1004"/>
    <tableColumn id="71" xr3:uid="{24A60693-E408-49E4-BDC0-5090E0EEE89B}" name="Apr" dataDxfId="1003"/>
    <tableColumn id="72" xr3:uid="{ECCA9F1D-D18D-4F3F-8131-09D5CA388904}" name="May" dataDxfId="1002"/>
    <tableColumn id="73" xr3:uid="{D1B63440-A64C-4462-A99F-20C22131A818}" name="Jun" dataDxfId="1001"/>
    <tableColumn id="74" xr3:uid="{E859836A-35E4-4316-AB33-7BCD4341B284}" name="Jul" dataDxfId="1000"/>
    <tableColumn id="75" xr3:uid="{CEFAEB65-3E16-4E9B-9FC2-51CD3F664F7D}" name="Aug" dataDxfId="999"/>
    <tableColumn id="76" xr3:uid="{6CD7078E-74E9-4998-96B0-80D79636BE1C}" name="Sep" dataDxfId="998"/>
    <tableColumn id="77" xr3:uid="{88200A20-10C5-4711-98DF-67EAF15B0A9E}" name="Oct" dataDxfId="997"/>
    <tableColumn id="78" xr3:uid="{148B5611-B1BF-411E-9045-1B51ACD28351}" name="Nov" dataDxfId="996"/>
    <tableColumn id="79" xr3:uid="{3C19FABE-7449-4090-AB25-FA3C1283D7C7}" name="Dec" dataDxfId="995"/>
    <tableColumn id="80" xr3:uid="{33DFC260-886E-40AA-9A32-7E6945FCA6EB}" name="PreAS" dataDxfId="994"/>
    <tableColumn id="81" xr3:uid="{BF621571-DB99-40D7-B4D6-89EEE6C514BA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9D57529-35A5-444B-855D-D31D52331E82}" name="TableBaseN" displayName="TableBaseN" ref="A1:BD31" totalsRowShown="0" headerRowDxfId="853">
  <autoFilter ref="A1:BD31" xr:uid="{45E33DE3-84FF-4005-B2F2-965DBED487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2D30241E-63DB-43B8-8B8E-9730B6A394CE}" name="TEAM_ID" dataDxfId="909"/>
    <tableColumn id="2" xr3:uid="{AC9DE408-0F80-4DBA-AFD7-634E912484BA}" name="TEAM_NAME" dataDxfId="908"/>
    <tableColumn id="3" xr3:uid="{585F5347-6199-4D12-B374-955EC4FA0B89}" name="GP" dataDxfId="907"/>
    <tableColumn id="4" xr3:uid="{A9085117-097F-4C83-B2C4-820C7DE87381}" name="W" dataDxfId="906"/>
    <tableColumn id="5" xr3:uid="{A8DA0D8A-B63D-47D6-916F-6343F6F0E217}" name="L" dataDxfId="905"/>
    <tableColumn id="6" xr3:uid="{EB627A23-B36D-4B01-AE86-8FFEE4ECBE4A}" name="W_PCT" dataDxfId="904"/>
    <tableColumn id="7" xr3:uid="{53EF7FD3-B87E-45D8-B5DF-48FACA88E50A}" name="MIN" dataDxfId="903"/>
    <tableColumn id="8" xr3:uid="{E3B9D2EB-BAB3-4874-A849-ECDFE8A7A35D}" name="FGM" dataDxfId="902"/>
    <tableColumn id="9" xr3:uid="{1E453406-74DB-4292-BB43-13BD8E1286AD}" name="FGA" dataDxfId="901"/>
    <tableColumn id="10" xr3:uid="{C4F34C7F-EE3E-4439-BFE0-2522AC6E2B75}" name="FG_PCT" dataDxfId="900"/>
    <tableColumn id="11" xr3:uid="{AF5FD6B5-CD1E-43B1-8543-EE9771AFE9B2}" name="FG3M" dataDxfId="899"/>
    <tableColumn id="12" xr3:uid="{8C3017AE-00E0-4957-AF4D-D618AA3DD9E6}" name="FG3A" dataDxfId="898"/>
    <tableColumn id="13" xr3:uid="{5AF8F16D-ED45-415C-84FA-6CDAB3BFE4CE}" name="FG3_PCT" dataDxfId="897"/>
    <tableColumn id="14" xr3:uid="{3E67E961-E261-47CD-9F83-A8C72A743386}" name="FTM" dataDxfId="896"/>
    <tableColumn id="15" xr3:uid="{4390D658-9535-4AD9-805F-DB33DFFD4A7E}" name="FTA" dataDxfId="895"/>
    <tableColumn id="16" xr3:uid="{B7ADC584-F06E-437C-8B92-22EAD357A78B}" name="FT_PCT" dataDxfId="894"/>
    <tableColumn id="17" xr3:uid="{58504306-C4A9-4CDC-A03E-B36D9945F5E0}" name="OREB" dataDxfId="893"/>
    <tableColumn id="18" xr3:uid="{FEB37A70-532B-4B70-AECB-3A2DAC6E5BFF}" name="DREB" dataDxfId="892"/>
    <tableColumn id="19" xr3:uid="{89409CD9-B6C3-40CF-BA68-94FBF2FC7511}" name="REB" dataDxfId="891"/>
    <tableColumn id="20" xr3:uid="{CF904949-E0AB-44D0-8534-C18243E65A69}" name="AST" dataDxfId="890"/>
    <tableColumn id="21" xr3:uid="{4ED1552A-1C4C-4289-9A01-28166C460592}" name="TOV" dataDxfId="889"/>
    <tableColumn id="22" xr3:uid="{6ED85E05-89DB-4E64-A751-D1533CD6ACEB}" name="STL" dataDxfId="888"/>
    <tableColumn id="23" xr3:uid="{5B1EEA81-8C04-481D-B201-60B2163036F6}" name="BLK" dataDxfId="887"/>
    <tableColumn id="24" xr3:uid="{48DD09A5-1A42-4C94-807A-B18C1F5CC432}" name="BLKA" dataDxfId="886"/>
    <tableColumn id="25" xr3:uid="{41CCF31B-D6D2-42B6-8AE1-717E195669EC}" name="PF" dataDxfId="885"/>
    <tableColumn id="26" xr3:uid="{13963D84-4293-4436-8FB4-455394DF12B0}" name="PFD" dataDxfId="884"/>
    <tableColumn id="27" xr3:uid="{2199A7B9-0326-4DA9-B5EA-C1E26DCE8C06}" name="PTS" dataDxfId="883"/>
    <tableColumn id="28" xr3:uid="{3C64253C-EA44-4E6A-B621-8CD569398683}" name="PLUS_MINUS" dataDxfId="882"/>
    <tableColumn id="29" xr3:uid="{AC550C27-C23F-4AB6-85C0-E194E31A6570}" name="GP_RANK" dataDxfId="881"/>
    <tableColumn id="30" xr3:uid="{1CDAF517-7660-4297-879E-CC7677E66EC3}" name="W_RANK" dataDxfId="880"/>
    <tableColumn id="31" xr3:uid="{9F26D864-2298-4383-9CB4-70863639FBA1}" name="L_RANK" dataDxfId="879"/>
    <tableColumn id="32" xr3:uid="{74D97F33-5780-4823-9389-3A519247413F}" name="W_PCT_RANK" dataDxfId="878"/>
    <tableColumn id="33" xr3:uid="{C8DD339D-5C0B-4FE9-9C2C-6FAF3BCDB3C8}" name="MIN_RANK" dataDxfId="877"/>
    <tableColumn id="34" xr3:uid="{64414023-F48C-44AD-94FA-B5B7C7C0DAAC}" name="FGM_RANK" dataDxfId="876"/>
    <tableColumn id="35" xr3:uid="{9FF2247A-084E-42E6-AA9B-CC981FE8FAE0}" name="FGA_RANK" dataDxfId="875"/>
    <tableColumn id="36" xr3:uid="{9BF9E512-7E66-436E-9FF0-0CC6175358E1}" name="FG_PCT_RANK" dataDxfId="874"/>
    <tableColumn id="37" xr3:uid="{279FEBBC-1AEF-4BC1-B312-F24C261BAB05}" name="FG3M_RANK" dataDxfId="873"/>
    <tableColumn id="38" xr3:uid="{8BBC2978-FF4E-4405-86CC-52D80371985D}" name="FG3A_RANK" dataDxfId="872"/>
    <tableColumn id="39" xr3:uid="{C22A3D72-5AA7-45B9-8081-4CB62F78E73C}" name="FG3_PCT_RANK" dataDxfId="871"/>
    <tableColumn id="40" xr3:uid="{66C70496-C9A9-4C13-8864-C7D8A6F76976}" name="FTM_RANK" dataDxfId="870"/>
    <tableColumn id="41" xr3:uid="{3813BECD-AFA4-4CA4-AC87-FA00F7C05CD3}" name="FTA_RANK" dataDxfId="869"/>
    <tableColumn id="42" xr3:uid="{6C53FC2B-D252-4B1A-A3AD-28F12AF4CEEF}" name="FT_PCT_RANK" dataDxfId="868"/>
    <tableColumn id="43" xr3:uid="{7BAEC0FE-695F-4590-BFC2-73D1AD835F7E}" name="OREB_RANK" dataDxfId="867"/>
    <tableColumn id="44" xr3:uid="{2C1B270A-B0DC-4E05-9EAF-2A1CD6D4DA7D}" name="DREB_RANK" dataDxfId="866"/>
    <tableColumn id="45" xr3:uid="{E0B64274-4BDD-4967-8B5F-FCB554D7B013}" name="REB_RANK" dataDxfId="865"/>
    <tableColumn id="46" xr3:uid="{49F0F909-F8A1-4428-9024-FE655FB446B1}" name="AST_RANK" dataDxfId="864"/>
    <tableColumn id="47" xr3:uid="{006B7607-CBCF-4452-9DDB-10A99362E85B}" name="TOV_RANK" dataDxfId="863"/>
    <tableColumn id="48" xr3:uid="{6E4C6D18-2F76-4C31-9A1E-881F8D487716}" name="STL_RANK" dataDxfId="862"/>
    <tableColumn id="49" xr3:uid="{1860F5D4-08AF-49EC-A1F9-6F098065C36D}" name="BLK_RANK" dataDxfId="861"/>
    <tableColumn id="50" xr3:uid="{6E48E3ED-D448-4A5E-9880-231ADC25BFB2}" name="BLKA_RANK" dataDxfId="860"/>
    <tableColumn id="51" xr3:uid="{5E4EA8BC-E446-4848-BB1B-D19A3DE43823}" name="PF_RANK" dataDxfId="859"/>
    <tableColumn id="52" xr3:uid="{7016805D-8259-4C96-9525-C872DBC6E627}" name="PFD_RANK" dataDxfId="858"/>
    <tableColumn id="53" xr3:uid="{3EF8C389-C6BE-479B-B6DB-1CB9D97D4992}" name="PTS_RANK" dataDxfId="857"/>
    <tableColumn id="54" xr3:uid="{EE11937B-877E-4B74-A37E-27D907BDA4C7}" name="PLUS_MINUS_RANK" dataDxfId="856"/>
    <tableColumn id="55" xr3:uid="{D99DE267-FC7B-46F8-A144-7BBD9C6FD672}" name="CFID" dataDxfId="855"/>
    <tableColumn id="56" xr3:uid="{D276C2A2-4596-4F09-9B63-2074A1FBEF35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887CE10-1E42-42FF-B47F-E16C8D1AE683}" name="TableAdvancedN" displayName="TableAdvancedN" ref="A1:AV31" totalsRowShown="0" headerRowDxfId="747">
  <autoFilter ref="A1:AV31" xr:uid="{6B51D0B4-D53D-483D-B73F-1AA0089DBC0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71F6A65-265D-41D2-BC4B-3E8F7730C2EC}" name="TEAM_ID" dataDxfId="795"/>
    <tableColumn id="2" xr3:uid="{BCFD1F06-D9FF-4B8C-9815-F01D37C0EA72}" name="TEAM_NAME" dataDxfId="794"/>
    <tableColumn id="3" xr3:uid="{F8443EF7-BFB1-43AA-B502-25C3A3C2142B}" name="GP" dataDxfId="793"/>
    <tableColumn id="4" xr3:uid="{4A739C7B-0A15-4930-A713-9EA837B80458}" name="W" dataDxfId="792"/>
    <tableColumn id="5" xr3:uid="{3C6A45BF-6A4F-49BF-8ACE-730B2EDDB30D}" name="L" dataDxfId="791"/>
    <tableColumn id="6" xr3:uid="{B4F21A19-D5EC-41C8-ACFD-734AFF8D8B56}" name="W_PCT" dataDxfId="790"/>
    <tableColumn id="7" xr3:uid="{27BBB089-A994-4D5C-BD61-1492CB967044}" name="MIN" dataDxfId="789"/>
    <tableColumn id="8" xr3:uid="{0181CE54-644E-4A60-9DFE-479C808DCF63}" name="E_OFF_RATING" dataDxfId="788"/>
    <tableColumn id="9" xr3:uid="{68C0D81C-A812-4A0F-A485-30FB08389E61}" name="OFF_RATING" dataDxfId="787"/>
    <tableColumn id="10" xr3:uid="{F95E4668-59C8-4F63-8AC1-D58E85CBEDD9}" name="E_DEF_RATING" dataDxfId="786"/>
    <tableColumn id="11" xr3:uid="{894C1B57-D9B1-40BA-98AA-B59DA159ED4C}" name="DEF_RATING" dataDxfId="785"/>
    <tableColumn id="12" xr3:uid="{83BFB03A-12B5-4778-B706-4CD890C4A594}" name="E_NET_RATING" dataDxfId="784"/>
    <tableColumn id="13" xr3:uid="{841F7EF9-4D73-4ED5-9F2C-4FB9D13C3E7C}" name="NET_RATING" dataDxfId="783"/>
    <tableColumn id="14" xr3:uid="{93023AB1-8113-42AA-87B5-2EA3AB3E872F}" name="AST_PCT" dataDxfId="782"/>
    <tableColumn id="15" xr3:uid="{D9B86904-C51D-4172-9222-CB9BCE5F4D68}" name="AST_TO" dataDxfId="781"/>
    <tableColumn id="16" xr3:uid="{0D53CEF6-9B77-4DCB-848B-D907D0F7096F}" name="AST_RATIO" dataDxfId="780"/>
    <tableColumn id="17" xr3:uid="{3B028BA6-8E09-4F49-AE91-9F166D39F1C5}" name="OREB_PCT" dataDxfId="779"/>
    <tableColumn id="18" xr3:uid="{41F0D3F7-E441-41DF-A029-A1F7726BD82F}" name="DREB_PCT" dataDxfId="778"/>
    <tableColumn id="19" xr3:uid="{DDC90AFC-E440-47C9-82F0-6142AD8EF982}" name="REB_PCT" dataDxfId="777"/>
    <tableColumn id="20" xr3:uid="{896D5561-22CE-48B2-9B57-A292442A0B75}" name="TM_TOV_PCT" dataDxfId="776"/>
    <tableColumn id="21" xr3:uid="{ED0065CF-CE7A-4430-B37D-29BC8F94D4AB}" name="EFG_PCT" dataDxfId="775"/>
    <tableColumn id="22" xr3:uid="{65939ED5-1B95-4347-9325-12433B2E967A}" name="TS_PCT" dataDxfId="774"/>
    <tableColumn id="23" xr3:uid="{AC8D860F-8AAA-4605-AA94-7CC6CC497CB2}" name="E_PACE" dataDxfId="773"/>
    <tableColumn id="24" xr3:uid="{FA51365E-B7E7-4682-A6EA-F4F81ADB6B01}" name="PACE" dataDxfId="772"/>
    <tableColumn id="25" xr3:uid="{816D9B35-8365-49E3-89EB-BF6F3E1C92ED}" name="PACE_PER40" dataDxfId="771"/>
    <tableColumn id="26" xr3:uid="{0BF7D2B2-8A73-408A-B701-8D77C94C7587}" name="POSS" dataDxfId="770"/>
    <tableColumn id="27" xr3:uid="{AF4C812C-3FCB-42F5-BC48-02CFD6E9F20E}" name="PIE" dataDxfId="769"/>
    <tableColumn id="28" xr3:uid="{D2D1114E-993C-471A-9A2F-269C5EDEE310}" name="GP_RANK" dataDxfId="768"/>
    <tableColumn id="29" xr3:uid="{2328DC1D-DB8B-420B-BD88-CC6EFDC1820C}" name="W_RANK" dataDxfId="767"/>
    <tableColumn id="30" xr3:uid="{703E5782-E6D2-4408-B3AC-3DE953E1FABD}" name="L_RANK" dataDxfId="766"/>
    <tableColumn id="31" xr3:uid="{3AF7D299-3049-451E-9D8B-67EDBC8299E5}" name="W_PCT_RANK" dataDxfId="765"/>
    <tableColumn id="32" xr3:uid="{3D49245D-5409-467F-857C-E8635165D5CE}" name="MIN_RANK" dataDxfId="764"/>
    <tableColumn id="33" xr3:uid="{5EC5BA05-CF4D-4793-A72A-F21B1DC26995}" name="OFF_RATING_RANK" dataDxfId="763"/>
    <tableColumn id="34" xr3:uid="{5FA31921-752F-4270-A4A3-AA1FE9FBD750}" name="DEF_RATING_RANK" dataDxfId="762"/>
    <tableColumn id="35" xr3:uid="{A8E7B494-A4E5-45FF-A9E7-A7821513BD12}" name="NET_RATING_RANK" dataDxfId="761"/>
    <tableColumn id="36" xr3:uid="{AD1BF9F1-7970-46B1-A242-3A9AFE91F078}" name="AST_PCT_RANK" dataDxfId="760"/>
    <tableColumn id="37" xr3:uid="{6BFFF092-CAFA-4065-BCFE-DB974F63A4F4}" name="AST_TO_RANK" dataDxfId="759"/>
    <tableColumn id="38" xr3:uid="{C574F4D3-E5EA-4F2E-9BFD-C48345FD6473}" name="AST_RATIO_RANK" dataDxfId="758"/>
    <tableColumn id="39" xr3:uid="{500F84A3-70FB-4047-BA26-D25EB19ADE7E}" name="OREB_PCT_RANK" dataDxfId="757"/>
    <tableColumn id="40" xr3:uid="{7AA9536B-5D91-4603-9ED1-9B876B091CAE}" name="DREB_PCT_RANK" dataDxfId="756"/>
    <tableColumn id="41" xr3:uid="{3B430782-6F69-4A3C-AB33-76D5F04FD1D3}" name="REB_PCT_RANK" dataDxfId="755"/>
    <tableColumn id="42" xr3:uid="{062F1E0A-A98D-4C7D-91C5-5B9EAAFADAD5}" name="TM_TOV_PCT_RANK" dataDxfId="754"/>
    <tableColumn id="43" xr3:uid="{70B3E006-C1FE-4AA1-ADF4-D854584C393F}" name="EFG_PCT_RANK" dataDxfId="753"/>
    <tableColumn id="44" xr3:uid="{EC21CE05-CE6D-4EA2-8201-9C1DDD8B0224}" name="TS_PCT_RANK" dataDxfId="752"/>
    <tableColumn id="45" xr3:uid="{06CB0BC7-D5E5-4A18-9511-48B300251B8C}" name="PACE_RANK" dataDxfId="751"/>
    <tableColumn id="46" xr3:uid="{9F20F383-4F2D-4338-94C1-E221EA8A601B}" name="PIE_RANK" dataDxfId="750"/>
    <tableColumn id="47" xr3:uid="{B9F01092-4C49-4F82-80D1-1FBAEF56F866}" name="CFID" dataDxfId="749"/>
    <tableColumn id="48" xr3:uid="{B40015E8-2F20-43EC-9E9B-C4CBCD55E7D8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2090B07-71FD-4296-A062-665CCD235427}" name="TableAdvancedNStarters" displayName="TableAdvancedNStarters" ref="A1:AV31" totalsRowShown="0" headerRowDxfId="649">
  <autoFilter ref="A1:AV31" xr:uid="{3E745491-A303-4E66-8864-8EFFF6AE741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5DE6A57-B938-411F-8398-D795E07774BF}" name="TEAM_ID" dataDxfId="697"/>
    <tableColumn id="2" xr3:uid="{2BE1D1AD-A176-4A87-9C6F-492FE8CA40E4}" name="TEAM_NAME" dataDxfId="696"/>
    <tableColumn id="3" xr3:uid="{D6BB66AD-A375-4840-9DD1-DCD4F73909F3}" name="GP" dataDxfId="695"/>
    <tableColumn id="4" xr3:uid="{070449AA-0BED-4848-B467-7C22D9B71976}" name="W" dataDxfId="694"/>
    <tableColumn id="5" xr3:uid="{604F547F-26FB-40F7-BDC0-B044D2F85C2F}" name="L" dataDxfId="693"/>
    <tableColumn id="6" xr3:uid="{5E8C3725-CC05-4D82-97A9-71A2FC94D564}" name="W_PCT" dataDxfId="692"/>
    <tableColumn id="7" xr3:uid="{39D0D448-9B72-49C7-9BC2-E3B7321A57B8}" name="MIN" dataDxfId="691"/>
    <tableColumn id="8" xr3:uid="{501ED91B-BECC-4EC3-A53B-1FB39C86CA42}" name="E_OFF_RATING" dataDxfId="690"/>
    <tableColumn id="9" xr3:uid="{FE10A41E-FA24-45F5-A81B-CD7F9EE39602}" name="OFF_RATING" dataDxfId="689"/>
    <tableColumn id="10" xr3:uid="{BC1A270F-6967-49F1-BF63-596B671EA507}" name="E_DEF_RATING" dataDxfId="688"/>
    <tableColumn id="11" xr3:uid="{265D66F4-CAD0-4047-80AD-D4006FFB7A0E}" name="DEF_RATING" dataDxfId="687"/>
    <tableColumn id="12" xr3:uid="{E72CF621-E028-4B3D-9429-4136879C2FE9}" name="E_NET_RATING" dataDxfId="686"/>
    <tableColumn id="13" xr3:uid="{47403720-8820-4A7E-AC47-2ADCFD82647F}" name="NET_RATING" dataDxfId="685"/>
    <tableColumn id="14" xr3:uid="{EA643ED2-DFC4-49B0-8BF1-B6F1305F7C2E}" name="AST_PCT" dataDxfId="684"/>
    <tableColumn id="15" xr3:uid="{D2AE5279-92D3-40F1-A8EF-930D1BC6BFD9}" name="AST_TO" dataDxfId="683"/>
    <tableColumn id="16" xr3:uid="{E03E80B4-67F0-439C-AAA3-A5A32E666322}" name="AST_RATIO" dataDxfId="682"/>
    <tableColumn id="17" xr3:uid="{03FE49EC-6CB0-4FDA-BF3C-E1A9EA5B23D8}" name="OREB_PCT" dataDxfId="681"/>
    <tableColumn id="18" xr3:uid="{DB48AFD5-3EA5-43CA-9247-D242F5DB40B4}" name="DREB_PCT" dataDxfId="680"/>
    <tableColumn id="19" xr3:uid="{A8F71273-5F0B-406B-A3D9-36C6B4205824}" name="REB_PCT" dataDxfId="679"/>
    <tableColumn id="20" xr3:uid="{A16CE2FB-1A37-4582-8076-7D6D872B7164}" name="TM_TOV_PCT" dataDxfId="678"/>
    <tableColumn id="21" xr3:uid="{9CD3B951-E3E1-4B4B-AD13-B8A00A41B53A}" name="EFG_PCT" dataDxfId="677"/>
    <tableColumn id="22" xr3:uid="{78E88652-7F81-432F-97CD-AF4B24075FE6}" name="TS_PCT" dataDxfId="676"/>
    <tableColumn id="23" xr3:uid="{E0C1CED8-DE92-4C10-87D8-F439B4FA244E}" name="E_PACE" dataDxfId="675"/>
    <tableColumn id="24" xr3:uid="{093780E8-478C-41F0-86A8-98712405A1BE}" name="PACE" dataDxfId="674"/>
    <tableColumn id="25" xr3:uid="{FE1E1EB1-7C46-4531-8835-E46ED0590233}" name="PACE_PER40" dataDxfId="673"/>
    <tableColumn id="26" xr3:uid="{BEC12835-6463-4180-97DE-0295435B5FDC}" name="POSS" dataDxfId="672"/>
    <tableColumn id="27" xr3:uid="{F7A1C246-FA53-46C6-850A-67DF40E026E3}" name="PIE" dataDxfId="671"/>
    <tableColumn id="28" xr3:uid="{40C12569-D35C-4A27-851F-8866E48CF2C1}" name="GP_RANK" dataDxfId="670"/>
    <tableColumn id="29" xr3:uid="{CE655521-E91E-4FAB-8257-E3FEC1149FA0}" name="W_RANK" dataDxfId="669"/>
    <tableColumn id="30" xr3:uid="{CE77B10F-E523-486E-B710-0368C4CED927}" name="L_RANK" dataDxfId="668"/>
    <tableColumn id="31" xr3:uid="{2994BAC6-3AAB-4EF5-A818-6B92A8853012}" name="W_PCT_RANK" dataDxfId="667"/>
    <tableColumn id="32" xr3:uid="{8D46A803-2EC4-452C-85B2-BE471B0B8C27}" name="MIN_RANK" dataDxfId="666"/>
    <tableColumn id="33" xr3:uid="{BFA7679C-AC7A-47F5-A4D3-37D652F8CE7C}" name="OFF_RATING_RANK" dataDxfId="665"/>
    <tableColumn id="34" xr3:uid="{31DC3E61-ACA5-47C0-80B4-4C54379BBB64}" name="DEF_RATING_RANK" dataDxfId="664"/>
    <tableColumn id="35" xr3:uid="{6EA2F62B-EF3F-43C9-9619-E728F6413CC2}" name="NET_RATING_RANK" dataDxfId="663"/>
    <tableColumn id="36" xr3:uid="{DA2AA700-A927-4E10-B41B-5763994BFCA0}" name="AST_PCT_RANK" dataDxfId="662"/>
    <tableColumn id="37" xr3:uid="{1AB09F50-CA99-40B6-8A59-16ACF17413DD}" name="AST_TO_RANK" dataDxfId="661"/>
    <tableColumn id="38" xr3:uid="{CE351A12-901E-409D-8DB4-CE4E39DE0624}" name="AST_RATIO_RANK" dataDxfId="660"/>
    <tableColumn id="39" xr3:uid="{3334EA72-1DC6-4BBF-ABE4-8BC59EA62F72}" name="OREB_PCT_RANK" dataDxfId="659"/>
    <tableColumn id="40" xr3:uid="{703942CC-D08F-461D-9302-FBA531C214F7}" name="DREB_PCT_RANK" dataDxfId="658"/>
    <tableColumn id="41" xr3:uid="{14DB7911-EDBF-42A3-8C19-9876C200F9FC}" name="REB_PCT_RANK" dataDxfId="657"/>
    <tableColumn id="42" xr3:uid="{FEB57D8B-DB2E-44AF-82F7-97BE2CDF27E3}" name="TM_TOV_PCT_RANK" dataDxfId="656"/>
    <tableColumn id="43" xr3:uid="{70AED08B-6751-4580-B0A2-919DB66E5824}" name="EFG_PCT_RANK" dataDxfId="655"/>
    <tableColumn id="44" xr3:uid="{160E1CC1-F3B8-4A25-BB55-DCBA937E14EF}" name="TS_PCT_RANK" dataDxfId="654"/>
    <tableColumn id="45" xr3:uid="{6DEBAE07-D58E-42FB-B311-C89816E1A75B}" name="PACE_RANK" dataDxfId="653"/>
    <tableColumn id="46" xr3:uid="{215CF7CC-8421-4AB2-87A3-6C4EC2CEBEBC}" name="PIE_RANK" dataDxfId="652"/>
    <tableColumn id="47" xr3:uid="{36384A48-E274-4DFC-AA98-ECD555F8891E}" name="CFID" dataDxfId="651"/>
    <tableColumn id="48" xr3:uid="{46084C31-1197-4938-AD6A-095C72333D99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00A9CCF-1513-42D9-8ADD-942D4489A0D4}" name="TableAdvancedNBench" displayName="TableAdvancedNBench" ref="A1:AV31" totalsRowShown="0" headerRowDxfId="551">
  <autoFilter ref="A1:AV31" xr:uid="{637E55B5-F566-4489-B99F-1D78A61F284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483A41F-9851-45F2-BB8D-3B993BC3A38D}" name="TEAM_ID" dataDxfId="599"/>
    <tableColumn id="2" xr3:uid="{60DC5EBF-BCD1-4EE0-8FA2-B7AB6D7D2336}" name="TEAM_NAME" dataDxfId="598"/>
    <tableColumn id="3" xr3:uid="{0EBBE2D7-D1E4-465B-9017-7AB4084DA72D}" name="GP" dataDxfId="597"/>
    <tableColumn id="4" xr3:uid="{D4728EBF-0B77-4220-BA53-9C3E7C16B53A}" name="W" dataDxfId="596"/>
    <tableColumn id="5" xr3:uid="{0E7CB875-D4C2-427D-9596-86E560D09179}" name="L" dataDxfId="595"/>
    <tableColumn id="6" xr3:uid="{9889C6EE-A235-4E01-BBA9-2FF3A6F743FB}" name="W_PCT" dataDxfId="594"/>
    <tableColumn id="7" xr3:uid="{4334E162-C12D-4870-B8D3-DBDDDD91A615}" name="MIN" dataDxfId="593"/>
    <tableColumn id="8" xr3:uid="{47AE798C-9101-4C64-9B9E-778F7A6E2F58}" name="E_OFF_RATING" dataDxfId="592"/>
    <tableColumn id="9" xr3:uid="{81C5AF2A-67A8-4D2C-84C1-954DDDD44652}" name="OFF_RATING" dataDxfId="591"/>
    <tableColumn id="10" xr3:uid="{1DA2C391-C144-417C-BA71-2AB6E2F7D56B}" name="E_DEF_RATING" dataDxfId="590"/>
    <tableColumn id="11" xr3:uid="{0DC510EA-79E9-4ACB-A4EA-D0B582831957}" name="DEF_RATING" dataDxfId="589"/>
    <tableColumn id="12" xr3:uid="{8527F18D-38E8-431F-A1AB-12258522ECE4}" name="E_NET_RATING" dataDxfId="588"/>
    <tableColumn id="13" xr3:uid="{DF0E6BA6-FC9F-4942-B4A6-0F69AE093BCC}" name="NET_RATING" dataDxfId="587"/>
    <tableColumn id="14" xr3:uid="{269A5AC9-E4D8-4AA5-BA54-843C626CF8FD}" name="AST_PCT" dataDxfId="586"/>
    <tableColumn id="15" xr3:uid="{467F6D32-38F0-4D69-8E2F-3A0B045DB19D}" name="AST_TO" dataDxfId="585"/>
    <tableColumn id="16" xr3:uid="{5BF82CD7-0A5C-4A58-8BB6-2C0F964BDD74}" name="AST_RATIO" dataDxfId="584"/>
    <tableColumn id="17" xr3:uid="{9712F1B3-C700-42B2-9261-327969136F5F}" name="OREB_PCT" dataDxfId="583"/>
    <tableColumn id="18" xr3:uid="{2F301F60-EA79-4617-9041-C0E2AA242A70}" name="DREB_PCT" dataDxfId="582"/>
    <tableColumn id="19" xr3:uid="{52A0B4ED-2662-4FFF-B990-9A3C1262DB83}" name="REB_PCT" dataDxfId="581"/>
    <tableColumn id="20" xr3:uid="{3D87C738-6E3E-4604-8266-030D2C706F20}" name="TM_TOV_PCT" dataDxfId="580"/>
    <tableColumn id="21" xr3:uid="{562A3882-0760-4C4A-BD1D-3FED223D274D}" name="EFG_PCT" dataDxfId="579"/>
    <tableColumn id="22" xr3:uid="{9545092B-D1CD-4B85-AF3A-BF7BF28E0017}" name="TS_PCT" dataDxfId="578"/>
    <tableColumn id="23" xr3:uid="{717B22CF-25B0-4A94-A30A-D52C0324769B}" name="E_PACE" dataDxfId="577"/>
    <tableColumn id="24" xr3:uid="{02F4CF9D-6DBF-44D0-92BE-C915D1EB5F15}" name="PACE" dataDxfId="576"/>
    <tableColumn id="25" xr3:uid="{28FBEC6C-F02B-43AE-84F1-F67B77A0D87B}" name="PACE_PER40" dataDxfId="575"/>
    <tableColumn id="26" xr3:uid="{E2753796-CF81-42CB-A050-E648A25BE76C}" name="POSS" dataDxfId="574"/>
    <tableColumn id="27" xr3:uid="{5F1CBE43-E7DB-4A21-A857-0CFC348CBFE7}" name="PIE" dataDxfId="573"/>
    <tableColumn id="28" xr3:uid="{247C0042-C067-445B-B06A-4FAE40D1048C}" name="GP_RANK" dataDxfId="572"/>
    <tableColumn id="29" xr3:uid="{563B5EBA-301C-4AA5-8979-80D0335C0408}" name="W_RANK" dataDxfId="571"/>
    <tableColumn id="30" xr3:uid="{597E9ABE-7C5B-4D34-8CFF-3F5E9561C17A}" name="L_RANK" dataDxfId="570"/>
    <tableColumn id="31" xr3:uid="{13DE65EB-1DD5-4A31-BC8C-BAEAEAC516E4}" name="W_PCT_RANK" dataDxfId="569"/>
    <tableColumn id="32" xr3:uid="{246175F1-566E-4D95-9087-36C6E330BDFA}" name="MIN_RANK" dataDxfId="568"/>
    <tableColumn id="33" xr3:uid="{A4215602-C5E5-4A3C-AB21-CC33CE8838A5}" name="OFF_RATING_RANK" dataDxfId="567"/>
    <tableColumn id="34" xr3:uid="{446EAB89-96A4-4863-BCDC-B532352E2B9B}" name="DEF_RATING_RANK" dataDxfId="566"/>
    <tableColumn id="35" xr3:uid="{26AB29C9-5C40-4EA6-B533-8FF319D4A9EC}" name="NET_RATING_RANK" dataDxfId="565"/>
    <tableColumn id="36" xr3:uid="{388179CC-7803-46EA-BF68-C914812664A0}" name="AST_PCT_RANK" dataDxfId="564"/>
    <tableColumn id="37" xr3:uid="{3198CC57-5F84-4832-8B69-3580F2B23620}" name="AST_TO_RANK" dataDxfId="563"/>
    <tableColumn id="38" xr3:uid="{C516C3CD-778D-4CD1-B5B5-A8E3AB3B862B}" name="AST_RATIO_RANK" dataDxfId="562"/>
    <tableColumn id="39" xr3:uid="{E6A3360D-6F23-4C6E-9848-8B2898BE5CEC}" name="OREB_PCT_RANK" dataDxfId="561"/>
    <tableColumn id="40" xr3:uid="{39697047-B189-485E-B402-3B3C8B7F03B6}" name="DREB_PCT_RANK" dataDxfId="560"/>
    <tableColumn id="41" xr3:uid="{3641C856-2360-43E4-94AC-19C646538597}" name="REB_PCT_RANK" dataDxfId="559"/>
    <tableColumn id="42" xr3:uid="{458D89A0-2098-4BF9-9B4A-DED758C7B666}" name="TM_TOV_PCT_RANK" dataDxfId="558"/>
    <tableColumn id="43" xr3:uid="{9FD93EA2-0BBD-4A3C-9759-4274FB218EF8}" name="EFG_PCT_RANK" dataDxfId="557"/>
    <tableColumn id="44" xr3:uid="{DC27008A-7FA5-4731-BFAE-517B4BCD53E2}" name="TS_PCT_RANK" dataDxfId="556"/>
    <tableColumn id="45" xr3:uid="{4323CCEB-3B9C-46CF-88FA-146BFC30FB93}" name="PACE_RANK" dataDxfId="555"/>
    <tableColumn id="46" xr3:uid="{892BCEB1-66E5-4671-B9A9-3757A9C3DBEA}" name="PIE_RANK" dataDxfId="554"/>
    <tableColumn id="47" xr3:uid="{5CEF97FB-FB7D-4AAA-B2A8-FCAECF825F36}" name="CFID" dataDxfId="553"/>
    <tableColumn id="48" xr3:uid="{91A9B5EA-919D-4FDD-BE23-8E16B22DCD10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310CBC-0293-49AA-9549-29B8B30083CD}" name="TableMiscN" displayName="TableMiscN" ref="A1:AD31" totalsRowShown="0" headerRowDxfId="471">
  <autoFilter ref="A1:AD31" xr:uid="{EF579AF1-A938-4CF7-9971-56821E6A11F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CCCDB0D6-5A39-4CBC-96E6-DFC24B40DAF1}" name="TEAM_ID" dataDxfId="501"/>
    <tableColumn id="2" xr3:uid="{4D7710F2-2E01-4903-A511-3615B885D487}" name="TEAM_NAME" dataDxfId="500"/>
    <tableColumn id="3" xr3:uid="{B4CAD825-4D20-473B-A568-F02FB2FBA47C}" name="GP" dataDxfId="499"/>
    <tableColumn id="4" xr3:uid="{17331DC4-619C-4422-BD09-3CB33AE77617}" name="W" dataDxfId="498"/>
    <tableColumn id="5" xr3:uid="{D7987344-A1E8-4962-A04D-29DB63131FD0}" name="L" dataDxfId="497"/>
    <tableColumn id="6" xr3:uid="{2D3A1176-C0C3-48EC-A9A2-D294E75157C3}" name="W_PCT" dataDxfId="496"/>
    <tableColumn id="7" xr3:uid="{F91B5855-8717-40C9-B00B-391D2CAA0001}" name="MIN" dataDxfId="495"/>
    <tableColumn id="8" xr3:uid="{DE5A8025-4530-40C1-9A8F-61F54D22009A}" name="PTS_OFF_TOV" dataDxfId="494"/>
    <tableColumn id="9" xr3:uid="{C304266D-437B-4A97-A856-F01E7EC967CD}" name="PTS_2ND_CHANCE" dataDxfId="493"/>
    <tableColumn id="10" xr3:uid="{071092C3-E297-441E-88D4-8DD1F30D5E3E}" name="PTS_FB" dataDxfId="492"/>
    <tableColumn id="11" xr3:uid="{49DD3F48-D1E6-4DA3-9D3E-BD24B33E04CB}" name="PTS_PAINT" dataDxfId="491"/>
    <tableColumn id="12" xr3:uid="{911097E8-E432-422A-8AEB-014FD9548C7E}" name="OPP_PTS_OFF_TOV" dataDxfId="490"/>
    <tableColumn id="13" xr3:uid="{CC830D5F-C00E-4B68-8092-9158105AB973}" name="OPP_PTS_2ND_CHANCE" dataDxfId="489"/>
    <tableColumn id="14" xr3:uid="{B330B1CF-FF90-4406-A0D2-7DF85B3E1E9A}" name="OPP_PTS_FB" dataDxfId="488"/>
    <tableColumn id="15" xr3:uid="{09D7F0FE-3459-4D1A-8168-20D67F98E9C6}" name="OPP_PTS_PAINT" dataDxfId="487"/>
    <tableColumn id="16" xr3:uid="{A02B11E0-02BD-4483-BE2A-7C923E44B39D}" name="GP_RANK" dataDxfId="486"/>
    <tableColumn id="17" xr3:uid="{E7CBA8DB-8006-4E4E-BA05-01E5406C6F92}" name="W_RANK" dataDxfId="485"/>
    <tableColumn id="18" xr3:uid="{0D493D1D-610E-4229-BD0F-1C51BD9FDA2E}" name="L_RANK" dataDxfId="484"/>
    <tableColumn id="19" xr3:uid="{282C0D80-FD05-4CA6-81C7-1677F786A3D9}" name="W_PCT_RANK" dataDxfId="483"/>
    <tableColumn id="20" xr3:uid="{0D791143-0594-4D28-8B3F-F36A8269A1E7}" name="MIN_RANK" dataDxfId="482"/>
    <tableColumn id="21" xr3:uid="{9916C7E7-590B-4352-ADFC-B9B88A97DA7D}" name="PTS_OFF_TOV_RANK" dataDxfId="481"/>
    <tableColumn id="22" xr3:uid="{93EAF6FA-A12A-43B7-B889-32AD4636C80C}" name="PTS_2ND_CHANCE_RANK" dataDxfId="480"/>
    <tableColumn id="23" xr3:uid="{CAB971C6-D78A-4F34-B7C4-C2FC63C60999}" name="PTS_FB_RANK" dataDxfId="479"/>
    <tableColumn id="24" xr3:uid="{1CA93B7C-10BD-4A1D-896B-16AEE9FB8289}" name="PTS_PAINT_RANK" dataDxfId="478"/>
    <tableColumn id="25" xr3:uid="{4BDEB818-D266-49A1-B725-FB0F97E60FA9}" name="OPP_PTS_OFF_TOV_RANK" dataDxfId="477"/>
    <tableColumn id="26" xr3:uid="{FA934F05-D74A-4736-A0DA-F48A2E8FD134}" name="OPP_PTS_2ND_CHANCE_RANK" dataDxfId="476"/>
    <tableColumn id="27" xr3:uid="{AAB926C9-878B-4829-B86A-502AC142CEEA}" name="OPP_PTS_FB_RANK" dataDxfId="475"/>
    <tableColumn id="28" xr3:uid="{3DC45995-D52D-4BB8-AA42-05E09303FF49}" name="OPP_PTS_PAINT_RANK" dataDxfId="474"/>
    <tableColumn id="29" xr3:uid="{4B4EB14E-3157-4E2F-A4A7-3099750C443A}" name="CFID" dataDxfId="473"/>
    <tableColumn id="30" xr3:uid="{C91C5DD7-B058-4029-B27F-254686FAC03F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C6F1100-F882-44F3-8817-74B9A0C1ACD3}" name="TableOppBaseN" displayName="TableOppBaseN" ref="A1:BD31" totalsRowShown="0" headerRowDxfId="383">
  <autoFilter ref="A1:BD31" xr:uid="{AFA1404B-6460-44C8-AA70-3E85A944BA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A1381D01-D363-4EED-AA7B-55EE3FD1390D}" name="TEAM_ID" dataDxfId="439"/>
    <tableColumn id="2" xr3:uid="{BA5671CE-2950-4355-B13B-2EE814008BD5}" name="TEAM_NAME" dataDxfId="438"/>
    <tableColumn id="3" xr3:uid="{0E68E93D-141E-445F-A8CA-EF1513CCB3DC}" name="GP" dataDxfId="437"/>
    <tableColumn id="4" xr3:uid="{D437BE30-34BF-45CD-8C5E-0389D217F7CA}" name="W" dataDxfId="436"/>
    <tableColumn id="5" xr3:uid="{24FB499A-7B10-4ACC-9644-5320844735BD}" name="L" dataDxfId="435"/>
    <tableColumn id="6" xr3:uid="{580560BC-EB37-4069-93AE-48B18D35F0A7}" name="W_PCT" dataDxfId="434"/>
    <tableColumn id="7" xr3:uid="{7FB322ED-7378-4E1E-9C7A-CDA6DDB74684}" name="MIN" dataDxfId="433"/>
    <tableColumn id="8" xr3:uid="{CADA5C38-DFF3-45D6-8316-220ED2D4DA0A}" name="OPP_FGM" dataDxfId="432"/>
    <tableColumn id="9" xr3:uid="{AC004284-3572-42EA-9F04-904880C7355A}" name="OPP_FGA" dataDxfId="431"/>
    <tableColumn id="10" xr3:uid="{72B5A992-3EDA-43FE-902E-C1DDB11DAAFA}" name="OPP_FG_PCT" dataDxfId="430"/>
    <tableColumn id="11" xr3:uid="{8651380A-DDE4-43B2-888A-5163230F87C1}" name="OPP_FG3M" dataDxfId="429"/>
    <tableColumn id="12" xr3:uid="{F663C937-866A-4424-B697-077490947107}" name="OPP_FG3A" dataDxfId="428"/>
    <tableColumn id="13" xr3:uid="{F89350E9-B3CC-40C2-89A2-20E41CB90F4A}" name="OPP_FG3_PCT" dataDxfId="427"/>
    <tableColumn id="14" xr3:uid="{8D95A530-DEE6-4A19-BC6C-AC15AD47CFF5}" name="OPP_FTM" dataDxfId="426"/>
    <tableColumn id="15" xr3:uid="{6C20503D-1D18-4949-848A-B4817FAB56E0}" name="OPP_FTA" dataDxfId="425"/>
    <tableColumn id="16" xr3:uid="{F55EFE0D-14EF-43FA-9287-D4FA9EBFDC0B}" name="OPP_FT_PCT" dataDxfId="424"/>
    <tableColumn id="17" xr3:uid="{8817A18B-B400-465F-9B9C-57283D471218}" name="OPP_OREB" dataDxfId="423"/>
    <tableColumn id="18" xr3:uid="{66AC5750-18FC-4890-8472-4EF88637C0DB}" name="OPP_DREB" dataDxfId="422"/>
    <tableColumn id="19" xr3:uid="{641DE304-2617-4D1C-915F-341246ECCE7E}" name="OPP_REB" dataDxfId="421"/>
    <tableColumn id="20" xr3:uid="{461DA0FD-D0F7-47DE-A7F7-DE8E315BE916}" name="OPP_AST" dataDxfId="420"/>
    <tableColumn id="21" xr3:uid="{E325B897-324D-4E87-9E08-5EDBACEE02D1}" name="OPP_TOV" dataDxfId="419"/>
    <tableColumn id="22" xr3:uid="{69AF6E03-3E2E-43F3-9B2C-73202F69E94F}" name="OPP_STL" dataDxfId="418"/>
    <tableColumn id="23" xr3:uid="{56740B52-7C15-4DF0-B45D-B2FC62E2AB4E}" name="OPP_BLK" dataDxfId="417"/>
    <tableColumn id="24" xr3:uid="{2A2347B2-ED89-4CDD-A181-8BAFCD560AAE}" name="OPP_BLKA" dataDxfId="416"/>
    <tableColumn id="25" xr3:uid="{896A031D-F7AB-4EFF-A8C0-59E50BFAE3DF}" name="OPP_PF" dataDxfId="415"/>
    <tableColumn id="26" xr3:uid="{89722DC0-C620-4564-AB7F-278517F87D09}" name="OPP_PFD" dataDxfId="414"/>
    <tableColumn id="27" xr3:uid="{9E72C993-7DAD-4272-B1AC-4E9EC57B7F52}" name="OPP_PTS" dataDxfId="413"/>
    <tableColumn id="28" xr3:uid="{CFB91EB4-B10B-4A08-9513-733D13E16550}" name="PLUS_MINUS" dataDxfId="412"/>
    <tableColumn id="29" xr3:uid="{0FBAE607-A7B4-4D31-94FD-65D20C8E68A0}" name="GP_RANK" dataDxfId="411"/>
    <tableColumn id="30" xr3:uid="{6ED4D932-FF83-4FFD-B688-DB5ED425F837}" name="W_RANK" dataDxfId="410"/>
    <tableColumn id="31" xr3:uid="{293623B1-A03B-4A6A-88DF-A56215A08CBE}" name="L_RANK" dataDxfId="409"/>
    <tableColumn id="32" xr3:uid="{293F1A3E-7DF6-401F-821A-D6DD3548E5E5}" name="W_PCT_RANK" dataDxfId="408"/>
    <tableColumn id="33" xr3:uid="{4C550103-4866-4651-9227-923E2C9806A4}" name="MIN_RANK" dataDxfId="407"/>
    <tableColumn id="34" xr3:uid="{5098742E-3747-4C95-A485-08C70BAADE8F}" name="OPP_FGM_RANK" dataDxfId="406"/>
    <tableColumn id="35" xr3:uid="{02A6E551-159C-48DD-9FC5-39F5753A5A8D}" name="OPP_FGA_RANK" dataDxfId="405"/>
    <tableColumn id="36" xr3:uid="{ABEFE135-83A9-438C-9AE9-19AFEB1E06CE}" name="OPP_FG_PCT_RANK" dataDxfId="404"/>
    <tableColumn id="37" xr3:uid="{9F5A823D-1F07-4602-8549-7A1E853410E8}" name="OPP_FG3M_RANK" dataDxfId="403"/>
    <tableColumn id="38" xr3:uid="{5DED6267-4F8D-4CAC-9C51-19CE1D37606E}" name="OPP_FG3A_RANK" dataDxfId="402"/>
    <tableColumn id="39" xr3:uid="{1FC16C41-580B-448A-BA21-4B7BB14A5104}" name="OPP_FG3_PCT_RANK" dataDxfId="401"/>
    <tableColumn id="40" xr3:uid="{47D04C45-AFFC-49A5-9FE0-3CEDDEF59C57}" name="OPP_FTM_RANK" dataDxfId="400"/>
    <tableColumn id="41" xr3:uid="{C81F48FA-397B-48CF-8D9A-9BD7916980AE}" name="OPP_FTA_RANK" dataDxfId="399"/>
    <tableColumn id="42" xr3:uid="{8CDA69EE-4832-4672-8277-6F1EA4D36458}" name="OPP_FT_PCT_RANK" dataDxfId="398"/>
    <tableColumn id="43" xr3:uid="{7D957ACB-6753-46D2-BB80-A86F18117260}" name="OPP_OREB_RANK" dataDxfId="397"/>
    <tableColumn id="44" xr3:uid="{458F069C-3566-4100-A46A-DD51AB659A23}" name="OPP_DREB_RANK" dataDxfId="396"/>
    <tableColumn id="45" xr3:uid="{8E552822-E169-436B-831D-0B632DDC0D01}" name="OPP_REB_RANK" dataDxfId="395"/>
    <tableColumn id="46" xr3:uid="{00537926-B4F1-4E7D-8249-8B9F9E94EB86}" name="OPP_AST_RANK" dataDxfId="394"/>
    <tableColumn id="47" xr3:uid="{5AD81D2C-2628-47C4-8F97-CE07EB3C921C}" name="OPP_TOV_RANK" dataDxfId="393"/>
    <tableColumn id="48" xr3:uid="{EBFD315E-3665-4C72-A0EE-AB02217C705F}" name="OPP_STL_RANK" dataDxfId="392"/>
    <tableColumn id="49" xr3:uid="{2015502E-E8BF-45EA-B8AC-C5D4747F8F6A}" name="OPP_BLK_RANK" dataDxfId="391"/>
    <tableColumn id="50" xr3:uid="{40A64805-AD4A-4C6F-8619-EE2F29A4CEB2}" name="OPP_BLKA_RANK" dataDxfId="390"/>
    <tableColumn id="51" xr3:uid="{FCB1B194-B3AB-4B8E-B202-ED7BE3BF8F32}" name="OPP_PF_RANK" dataDxfId="389"/>
    <tableColumn id="52" xr3:uid="{8D2DAAC8-1076-43AC-8233-3CCE27D3E094}" name="OPP_PFD_RANK" dataDxfId="388"/>
    <tableColumn id="53" xr3:uid="{051F7025-5668-46EA-A692-D9B90DC8EE46}" name="OPP_PTS_RANK" dataDxfId="387"/>
    <tableColumn id="54" xr3:uid="{C572620B-8AB7-4D95-9D3F-F8850D87BF1A}" name="PLUS_MINUS_RANK" dataDxfId="386"/>
    <tableColumn id="55" xr3:uid="{BFC57FE5-BC95-42ED-A2C0-4B5E832A4270}" name="CFID" dataDxfId="385"/>
    <tableColumn id="56" xr3:uid="{2D8058D3-6D20-4AE0-BD6B-0899127FAD87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BF52E1A-CDDE-4D23-AE69-12388A7260BA}" name="TableClutchBaseN" displayName="TableClutchBaseN" ref="A1:BD31" totalsRowShown="0" headerRowDxfId="269">
  <autoFilter ref="A1:BD31" xr:uid="{D4E977B3-6B70-4D6F-8551-DE4227DD799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310CE9D-B33E-4471-A175-378D5B59CE02}" name="TEAM_ID" dataDxfId="325"/>
    <tableColumn id="2" xr3:uid="{9947911A-9453-47AB-9A68-E60791B59E41}" name="TEAM_NAME" dataDxfId="324"/>
    <tableColumn id="3" xr3:uid="{1D41415C-9266-4DEA-940E-151C847D8CF5}" name="GP" dataDxfId="323"/>
    <tableColumn id="4" xr3:uid="{87F07BA7-B4D5-4BB7-B21D-71BC5B43F04E}" name="W" dataDxfId="322"/>
    <tableColumn id="5" xr3:uid="{39AF3DC4-6C5C-4D72-BED0-24112BE8BDCA}" name="L" dataDxfId="321"/>
    <tableColumn id="6" xr3:uid="{A09E7786-8EA9-4724-A060-C86AAD22D0DC}" name="W_PCT" dataDxfId="320"/>
    <tableColumn id="7" xr3:uid="{2874FB20-9FF8-4614-BD6B-CB2FB6B9BF46}" name="MIN" dataDxfId="319"/>
    <tableColumn id="8" xr3:uid="{B11CA2BF-3982-4379-8E06-7E8A674CB93B}" name="FGM" dataDxfId="318"/>
    <tableColumn id="9" xr3:uid="{8F5475DD-43D0-4BD7-8F69-382CCAE5F6DB}" name="FGA" dataDxfId="317"/>
    <tableColumn id="10" xr3:uid="{10BB4DB4-C2C0-4496-8A73-BDB68A318629}" name="FG_PCT" dataDxfId="316"/>
    <tableColumn id="11" xr3:uid="{C4928FEC-39D9-4CD5-AB8D-1F9EE8DE6B15}" name="FG3M" dataDxfId="315"/>
    <tableColumn id="12" xr3:uid="{A21451E3-97C3-4C1C-AD3A-689F4018F7F0}" name="FG3A" dataDxfId="314"/>
    <tableColumn id="13" xr3:uid="{DDEEAEA5-2BB8-4DE6-8F86-35EDAC3B3405}" name="FG3_PCT" dataDxfId="313"/>
    <tableColumn id="14" xr3:uid="{B3917953-1804-4389-9FDC-A54D3EB98C71}" name="FTM" dataDxfId="312"/>
    <tableColumn id="15" xr3:uid="{8A89A839-3ECF-4B53-BD43-C1BCD943CFAD}" name="FTA" dataDxfId="311"/>
    <tableColumn id="16" xr3:uid="{D10BA0FF-7EE8-4DBB-8C3B-8B047BCE0DB2}" name="FT_PCT" dataDxfId="310"/>
    <tableColumn id="17" xr3:uid="{FEF6AC2A-BB83-4A7A-90DC-043AF4E4E601}" name="OREB" dataDxfId="309"/>
    <tableColumn id="18" xr3:uid="{EC058BCE-E57D-4AB7-BEFF-78743B77683D}" name="DREB" dataDxfId="308"/>
    <tableColumn id="19" xr3:uid="{942E9CE4-D89D-44ED-AE06-789C0C0DA5A1}" name="REB" dataDxfId="307"/>
    <tableColumn id="20" xr3:uid="{7ACC149D-D76A-423C-AD66-A8A70A8F7EF8}" name="AST" dataDxfId="306"/>
    <tableColumn id="21" xr3:uid="{97A623A9-713D-46D8-A0D5-2CFDA7953758}" name="TOV" dataDxfId="305"/>
    <tableColumn id="22" xr3:uid="{424B4552-C73C-4A85-AB71-B23269C49639}" name="STL" dataDxfId="304"/>
    <tableColumn id="23" xr3:uid="{E37BCCD5-8712-482C-BBCB-FA4CB80857D3}" name="BLK" dataDxfId="303"/>
    <tableColumn id="24" xr3:uid="{6F21FCC5-A537-44A0-8841-908EA726BEE2}" name="BLKA" dataDxfId="302"/>
    <tableColumn id="25" xr3:uid="{AB97EEAB-F28F-4F8E-B139-116FA602C343}" name="PF" dataDxfId="301"/>
    <tableColumn id="26" xr3:uid="{9320D87A-07F3-490D-82D2-F0563E99D0AF}" name="PFD" dataDxfId="300"/>
    <tableColumn id="27" xr3:uid="{FBC6FA37-41E3-4163-9523-4C29DB877DAE}" name="PTS" dataDxfId="299"/>
    <tableColumn id="28" xr3:uid="{7FF949E8-7C6C-496F-AD99-94B7D8C2B9F2}" name="PLUS_MINUS" dataDxfId="298"/>
    <tableColumn id="29" xr3:uid="{9AC706DE-60B7-4FFA-8897-19DA63C6F44C}" name="GP_RANK" dataDxfId="297"/>
    <tableColumn id="30" xr3:uid="{CA132ED7-F347-4894-A4F0-803B835AD632}" name="W_RANK" dataDxfId="296"/>
    <tableColumn id="31" xr3:uid="{A5D76130-3933-4404-B26F-3AEBF3D0522C}" name="L_RANK" dataDxfId="295"/>
    <tableColumn id="32" xr3:uid="{E00406B0-AC8B-47BC-990F-08E7F8660B5A}" name="W_PCT_RANK" dataDxfId="294"/>
    <tableColumn id="33" xr3:uid="{03130FD2-F8B8-458D-9972-1D3033DF90DA}" name="MIN_RANK" dataDxfId="293"/>
    <tableColumn id="34" xr3:uid="{B0F509E4-5579-4DEB-90FC-A96B27BFEF6A}" name="FGM_RANK" dataDxfId="292"/>
    <tableColumn id="35" xr3:uid="{E7D8D0D4-E22E-4D8F-8964-B0DEBBD5E7FF}" name="FGA_RANK" dataDxfId="291"/>
    <tableColumn id="36" xr3:uid="{B44EAE2C-DAD6-4089-9F21-9C05040E84C7}" name="FG_PCT_RANK" dataDxfId="290"/>
    <tableColumn id="37" xr3:uid="{AB036B84-B9D4-49D8-8D33-E9E74545AD48}" name="FG3M_RANK" dataDxfId="289"/>
    <tableColumn id="38" xr3:uid="{0F6583D0-A6CF-44DB-8573-261055EC5118}" name="FG3A_RANK" dataDxfId="288"/>
    <tableColumn id="39" xr3:uid="{222CD295-D35D-42CA-90E7-2FC81C84D1C5}" name="FG3_PCT_RANK" dataDxfId="287"/>
    <tableColumn id="40" xr3:uid="{30E0E8DB-45F7-449E-B0F0-3B4111ACEA91}" name="FTM_RANK" dataDxfId="286"/>
    <tableColumn id="41" xr3:uid="{94253E94-C45B-4774-9122-BA8B3C7699CB}" name="FTA_RANK" dataDxfId="285"/>
    <tableColumn id="42" xr3:uid="{F17F40E0-B7B2-4A11-AF24-E355F32E1AFF}" name="FT_PCT_RANK" dataDxfId="284"/>
    <tableColumn id="43" xr3:uid="{FCB46ABD-9892-45EA-AF24-025FB610C07C}" name="OREB_RANK" dataDxfId="283"/>
    <tableColumn id="44" xr3:uid="{982D8009-15FF-4686-A2D7-95E15348A778}" name="DREB_RANK" dataDxfId="282"/>
    <tableColumn id="45" xr3:uid="{471B6AD4-B730-447F-97B0-F143D71570E8}" name="REB_RANK" dataDxfId="281"/>
    <tableColumn id="46" xr3:uid="{5A67A480-71D6-4E69-AC08-B2446C5AA3C2}" name="AST_RANK" dataDxfId="280"/>
    <tableColumn id="47" xr3:uid="{51BDB6DC-B05B-4443-BC27-ED6C8B36EFDA}" name="TOV_RANK" dataDxfId="279"/>
    <tableColumn id="48" xr3:uid="{9E17EDB6-B581-4748-95E9-11BB706B1FFB}" name="STL_RANK" dataDxfId="278"/>
    <tableColumn id="49" xr3:uid="{AAC25773-4232-4529-88E8-E614C5099886}" name="BLK_RANK" dataDxfId="277"/>
    <tableColumn id="50" xr3:uid="{B947C943-DFF2-4D85-B53A-3842543F7608}" name="BLKA_RANK" dataDxfId="276"/>
    <tableColumn id="51" xr3:uid="{70347D12-21C3-4CF1-9596-B24722D3BA3C}" name="PF_RANK" dataDxfId="275"/>
    <tableColumn id="52" xr3:uid="{5080F554-8D03-418C-A11B-1D4ECE55BD0A}" name="PFD_RANK" dataDxfId="274"/>
    <tableColumn id="53" xr3:uid="{DC886606-28E7-4C3E-AD52-32CE520D6EBC}" name="PTS_RANK" dataDxfId="273"/>
    <tableColumn id="54" xr3:uid="{27721E97-37E1-419C-A9CC-42BDFEA31462}" name="PLUS_MINUS_RANK" dataDxfId="272"/>
    <tableColumn id="55" xr3:uid="{D111947C-39BE-4DA9-84FB-9F6F3FDC1829}" name="CFID" dataDxfId="271"/>
    <tableColumn id="56" xr3:uid="{C1A51A00-4355-4284-8B66-9071D94D4A8C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D4D0383-61BF-4400-A3CE-6F4961FCF752}" name="TableClutchOpponentN" displayName="TableClutchOpponentN" ref="A1:BD31" totalsRowShown="0" headerRowDxfId="155">
  <autoFilter ref="A1:BD31" xr:uid="{0CDFB92A-606C-4B71-B76B-5B803BFB902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C2DA57F0-9CCA-4805-83A7-B30296D62C66}" name="TEAM_ID" dataDxfId="211"/>
    <tableColumn id="2" xr3:uid="{91739D52-332F-44BA-AB91-6B8E5EECE4A4}" name="TEAM_NAME" dataDxfId="210"/>
    <tableColumn id="3" xr3:uid="{AC287CDF-6052-497C-93B4-511EAA32712B}" name="GP" dataDxfId="209"/>
    <tableColumn id="4" xr3:uid="{E1612F8A-6BF4-47F9-A38A-11FF33218835}" name="W" dataDxfId="208"/>
    <tableColumn id="5" xr3:uid="{0977DF01-721D-4157-9BAA-19F77093E282}" name="L" dataDxfId="207"/>
    <tableColumn id="6" xr3:uid="{51E91A78-6595-4681-BEAF-631DFFDA1D81}" name="W_PCT" dataDxfId="206"/>
    <tableColumn id="7" xr3:uid="{51C17AE0-AF81-41B9-B410-49C370860E38}" name="MIN" dataDxfId="205"/>
    <tableColumn id="8" xr3:uid="{4918CCAF-C162-4499-90F8-175BFB4EE73A}" name="OPP_FGM" dataDxfId="204"/>
    <tableColumn id="9" xr3:uid="{F9B593E0-E8A0-4EC5-A546-5B43BB6841E8}" name="OPP_FGA" dataDxfId="203"/>
    <tableColumn id="10" xr3:uid="{F1004CF8-5F90-4D3F-AD0E-36790FC0F501}" name="OPP_FG_PCT" dataDxfId="202"/>
    <tableColumn id="11" xr3:uid="{B976C355-06B8-4251-BC75-BF7F54F96D1C}" name="OPP_FG3M" dataDxfId="201"/>
    <tableColumn id="12" xr3:uid="{FF4C1A93-8E20-401D-B1B6-46337AAEFEA2}" name="OPP_FG3A" dataDxfId="200"/>
    <tableColumn id="13" xr3:uid="{3449B2A2-843A-4E58-B895-58BD55D1B6E8}" name="OPP_FG3_PCT" dataDxfId="199"/>
    <tableColumn id="14" xr3:uid="{84CBD096-1F98-4A5F-90D8-3631E47387F9}" name="OPP_FTM" dataDxfId="198"/>
    <tableColumn id="15" xr3:uid="{E6B91F97-FF55-48C1-85E9-E42C7B3EC41F}" name="OPP_FTA" dataDxfId="197"/>
    <tableColumn id="16" xr3:uid="{55DB2DE4-3E3B-4794-9206-ED44FAFCBC3F}" name="OPP_FT_PCT" dataDxfId="196"/>
    <tableColumn id="17" xr3:uid="{5186F047-72C6-4751-9392-DB775B722584}" name="OPP_OREB" dataDxfId="195"/>
    <tableColumn id="18" xr3:uid="{8DED74B2-993F-47E8-9685-DD9BD6D5941A}" name="OPP_DREB" dataDxfId="194"/>
    <tableColumn id="19" xr3:uid="{A7D3C750-939C-494A-8AAF-81FA7F1336C0}" name="OPP_REB" dataDxfId="193"/>
    <tableColumn id="20" xr3:uid="{C788F6F6-530B-46F7-A60A-32E5234159B4}" name="OPP_AST" dataDxfId="192"/>
    <tableColumn id="21" xr3:uid="{7971714E-BF67-453D-B720-C11B6A14502E}" name="OPP_TOV" dataDxfId="191"/>
    <tableColumn id="22" xr3:uid="{DA6EE0E2-2734-4949-B058-F340C3D2CE2A}" name="OPP_STL" dataDxfId="190"/>
    <tableColumn id="23" xr3:uid="{451D01D9-5C1C-4FCD-B3C5-F901F76E3769}" name="OPP_BLK" dataDxfId="189"/>
    <tableColumn id="24" xr3:uid="{CE6F3602-4744-43EB-B724-8C347CAAD44D}" name="OPP_BLKA" dataDxfId="188"/>
    <tableColumn id="25" xr3:uid="{A4AF2F16-8D70-413B-9B03-4260C402457D}" name="OPP_PF" dataDxfId="187"/>
    <tableColumn id="26" xr3:uid="{42FAF48A-46FD-460C-834A-8842FDC66972}" name="OPP_PFD" dataDxfId="186"/>
    <tableColumn id="27" xr3:uid="{17AAF09E-26FE-4490-9D19-3368A8DDAC62}" name="OPP_PTS" dataDxfId="185"/>
    <tableColumn id="28" xr3:uid="{69CE6508-0C63-4236-821C-DCC6E701E074}" name="PLUS_MINUS" dataDxfId="184"/>
    <tableColumn id="29" xr3:uid="{7BA206C4-B0AE-4F04-9FB8-2563526F3D96}" name="GP_RANK" dataDxfId="183"/>
    <tableColumn id="30" xr3:uid="{EF999410-C7E6-4B2A-AA86-E126D81159F8}" name="W_RANK" dataDxfId="182"/>
    <tableColumn id="31" xr3:uid="{F2517236-2AE3-46E4-AB36-31DF25C38B9C}" name="L_RANK" dataDxfId="181"/>
    <tableColumn id="32" xr3:uid="{9ED06A67-F5B4-4802-9D01-7045E1E97EAC}" name="W_PCT_RANK" dataDxfId="180"/>
    <tableColumn id="33" xr3:uid="{5F5817D8-391B-4919-8524-5FBA850B3B3B}" name="MIN_RANK" dataDxfId="179"/>
    <tableColumn id="34" xr3:uid="{4DD4AAFC-6362-4CD7-857C-256F129EC90B}" name="OPP_FGM_RANK" dataDxfId="178"/>
    <tableColumn id="35" xr3:uid="{3956F77B-ABE9-497B-A5A2-75E354561583}" name="OPP_FGA_RANK" dataDxfId="177"/>
    <tableColumn id="36" xr3:uid="{26F25728-4E0B-4701-B780-89E0260FEA68}" name="OPP_FG_PCT_RANK" dataDxfId="176"/>
    <tableColumn id="37" xr3:uid="{111E8BA1-5C41-4AE4-9B1B-5A5AD7464C55}" name="OPP_FG3M_RANK" dataDxfId="175"/>
    <tableColumn id="38" xr3:uid="{23D2C5CF-CE70-4BCE-8BE7-EBB6EAF09A61}" name="OPP_FG3A_RANK" dataDxfId="174"/>
    <tableColumn id="39" xr3:uid="{91E2D3E5-07D5-4F4A-AEF1-C3AFF751DC5A}" name="OPP_FG3_PCT_RANK" dataDxfId="173"/>
    <tableColumn id="40" xr3:uid="{63F72204-6143-4F6D-8260-479DBF019DD3}" name="OPP_FTM_RANK" dataDxfId="172"/>
    <tableColumn id="41" xr3:uid="{10522C09-E9DA-4EDC-9638-AE441D94E49A}" name="OPP_FTA_RANK" dataDxfId="171"/>
    <tableColumn id="42" xr3:uid="{7CBCCF89-572D-41B0-AF3C-13340849E3A3}" name="OPP_FT_PCT_RANK" dataDxfId="170"/>
    <tableColumn id="43" xr3:uid="{9C00069E-DC77-415F-9C50-81B02D2E078A}" name="OPP_OREB_RANK" dataDxfId="169"/>
    <tableColumn id="44" xr3:uid="{70E595A2-3AE8-4271-9803-41BF5D9793E0}" name="OPP_DREB_RANK" dataDxfId="168"/>
    <tableColumn id="45" xr3:uid="{50BF74C9-1017-4526-AAED-0052EC0E4339}" name="OPP_REB_RANK" dataDxfId="167"/>
    <tableColumn id="46" xr3:uid="{49B53F13-4C47-443E-9386-C60995E2D640}" name="OPP_AST_RANK" dataDxfId="166"/>
    <tableColumn id="47" xr3:uid="{54F06F56-B856-42F3-A06B-6F3BEAECB97B}" name="OPP_TOV_RANK" dataDxfId="165"/>
    <tableColumn id="48" xr3:uid="{A04876B4-BF7B-4F93-BAEB-328069400C4D}" name="OPP_STL_RANK" dataDxfId="164"/>
    <tableColumn id="49" xr3:uid="{91FFB864-521E-47A7-A8A5-02F50947C9AF}" name="OPP_BLK_RANK" dataDxfId="163"/>
    <tableColumn id="50" xr3:uid="{1E458F0C-4A66-4BDF-8B66-0ABE704D5988}" name="OPP_BLKA_RANK" dataDxfId="162"/>
    <tableColumn id="51" xr3:uid="{9A5D1766-725E-48CA-9838-C7FBC5314FE7}" name="OPP_PF_RANK" dataDxfId="161"/>
    <tableColumn id="52" xr3:uid="{BFAE381C-DB24-47E3-8348-E6C1245BFAE4}" name="OPP_PFD_RANK" dataDxfId="160"/>
    <tableColumn id="53" xr3:uid="{0D43FB6E-5D9F-4503-91B9-C6973F27108E}" name="OPP_PTS_RANK" dataDxfId="159"/>
    <tableColumn id="54" xr3:uid="{5828642A-C967-4E63-9E4D-2F57F6DF166F}" name="PLUS_MINUS_RANK" dataDxfId="158"/>
    <tableColumn id="55" xr3:uid="{0F326228-EAD4-4CAE-A9B9-D9EAC68B427B}" name="CFID" dataDxfId="157"/>
    <tableColumn id="56" xr3:uid="{397FE60A-3CF8-4863-9DB1-42B4B59E8AE4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8A775ED-D82A-410A-821A-E60215033928}" name="TableClutchAdvancedN" displayName="TableClutchAdvancedN" ref="A1:AV31" totalsRowShown="0" headerRowDxfId="49">
  <autoFilter ref="A1:AV31" xr:uid="{1F4A981E-6382-4CF1-BC94-8DBEA469B8D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D9B57F77-F565-44DA-B2E4-218A6BB1EAA9}" name="TEAM_ID" dataDxfId="97"/>
    <tableColumn id="2" xr3:uid="{61ECAC5C-8539-44BB-B102-FC8016A6455B}" name="TEAM_NAME" dataDxfId="96"/>
    <tableColumn id="3" xr3:uid="{2D1A4371-CE06-48BD-8391-42AE181D22B8}" name="GP" dataDxfId="95"/>
    <tableColumn id="4" xr3:uid="{EC911C29-4005-46F3-8954-EFF71760B3B7}" name="W" dataDxfId="94"/>
    <tableColumn id="5" xr3:uid="{663050E4-6A18-4F23-AFBA-196359883E97}" name="L" dataDxfId="93"/>
    <tableColumn id="6" xr3:uid="{F9318198-85FB-49AA-AAE0-466C55F5682B}" name="W_PCT" dataDxfId="92"/>
    <tableColumn id="7" xr3:uid="{16D35D31-DFEF-41B7-96C5-0C60A5731EE1}" name="MIN" dataDxfId="91"/>
    <tableColumn id="8" xr3:uid="{CA6D3280-1742-486C-96CA-B5BDCE892182}" name="E_OFF_RATING" dataDxfId="90"/>
    <tableColumn id="9" xr3:uid="{02A9AB96-14D1-4BDD-AD9C-73F55D55E9B1}" name="OFF_RATING" dataDxfId="89"/>
    <tableColumn id="10" xr3:uid="{06E762C7-B031-451D-9DDE-48B1A3D43376}" name="E_DEF_RATING" dataDxfId="88"/>
    <tableColumn id="11" xr3:uid="{48DC72FB-3156-494B-9E5F-C951C8E6FA83}" name="DEF_RATING" dataDxfId="87"/>
    <tableColumn id="12" xr3:uid="{F675D069-D936-41E2-812F-B14825C78F15}" name="E_NET_RATING" dataDxfId="86"/>
    <tableColumn id="13" xr3:uid="{DF40F351-E726-43C0-9F01-9CD3985C67A2}" name="NET_RATING" dataDxfId="85"/>
    <tableColumn id="14" xr3:uid="{57FB88E1-BD32-4C6E-958D-B0803E73C8C4}" name="AST_PCT" dataDxfId="84"/>
    <tableColumn id="15" xr3:uid="{02C67D30-A68E-45CA-9ADB-D5CA0D2EEFCF}" name="AST_TO" dataDxfId="83"/>
    <tableColumn id="16" xr3:uid="{F8E39C2B-B5F1-46E6-B01B-D7A6A0142765}" name="AST_RATIO" dataDxfId="82"/>
    <tableColumn id="17" xr3:uid="{30A31823-29B5-48A8-A9FC-ED9F6E5B728A}" name="OREB_PCT" dataDxfId="81"/>
    <tableColumn id="18" xr3:uid="{CF83E504-8B5E-4D5A-8569-E2F018C0C75D}" name="DREB_PCT" dataDxfId="80"/>
    <tableColumn id="19" xr3:uid="{367CC2F9-3B75-478B-B973-48AC1E063920}" name="REB_PCT" dataDxfId="79"/>
    <tableColumn id="20" xr3:uid="{3B542567-E1D6-4AC6-A718-4D91876C0187}" name="TM_TOV_PCT" dataDxfId="78"/>
    <tableColumn id="21" xr3:uid="{E7615B98-CB10-429D-9D27-52EF346A8FAB}" name="EFG_PCT" dataDxfId="77"/>
    <tableColumn id="22" xr3:uid="{A51B716C-7E6E-46C6-86F2-AC40651F1C5F}" name="TS_PCT" dataDxfId="76"/>
    <tableColumn id="23" xr3:uid="{BE3E4722-C734-476E-B96F-B446268564B7}" name="E_PACE" dataDxfId="75"/>
    <tableColumn id="24" xr3:uid="{B9B4E471-F735-41B8-80D3-58D0CFE03D90}" name="PACE" dataDxfId="74"/>
    <tableColumn id="25" xr3:uid="{F53203A6-FDAA-4BD1-9DCE-5182B81E35E8}" name="PACE_PER40" dataDxfId="73"/>
    <tableColumn id="26" xr3:uid="{2A0F3477-F892-423E-9F5B-1DAE60B79F3A}" name="POSS" dataDxfId="72"/>
    <tableColumn id="27" xr3:uid="{8F5ABF18-C45E-4C07-AC37-ADF5D06BE301}" name="PIE" dataDxfId="71"/>
    <tableColumn id="28" xr3:uid="{BC38DA7D-6D6C-45C9-856D-FED9C80390C4}" name="GP_RANK" dataDxfId="70"/>
    <tableColumn id="29" xr3:uid="{54728017-3A18-4E3D-A58E-E55A44C8AA7A}" name="W_RANK" dataDxfId="69"/>
    <tableColumn id="30" xr3:uid="{69197CAA-EB52-44C1-9D51-15A14AD69301}" name="L_RANK" dataDxfId="68"/>
    <tableColumn id="31" xr3:uid="{293D6662-BE63-4E08-914C-81ABDA979179}" name="W_PCT_RANK" dataDxfId="67"/>
    <tableColumn id="32" xr3:uid="{0DF7E89A-B4CC-4BDD-A1C6-C21FEFE694EC}" name="MIN_RANK" dataDxfId="66"/>
    <tableColumn id="33" xr3:uid="{1ECE899F-EAEA-4A28-99EF-2E80A3178462}" name="OFF_RATING_RANK" dataDxfId="65"/>
    <tableColumn id="34" xr3:uid="{381A097C-1DBA-405C-9857-1F20293C98A5}" name="DEF_RATING_RANK" dataDxfId="64"/>
    <tableColumn id="35" xr3:uid="{642C5F14-B2C9-4F53-BBA3-C5BA75A3BD9C}" name="NET_RATING_RANK" dataDxfId="63"/>
    <tableColumn id="36" xr3:uid="{C6226B2A-4C6F-44D5-A86A-314946601611}" name="AST_PCT_RANK" dataDxfId="62"/>
    <tableColumn id="37" xr3:uid="{ECA62E94-4805-4243-B111-31F85CCE53FF}" name="AST_TO_RANK" dataDxfId="61"/>
    <tableColumn id="38" xr3:uid="{8E6B9708-4870-4B50-BCD2-9B3AB6D652A8}" name="AST_RATIO_RANK" dataDxfId="60"/>
    <tableColumn id="39" xr3:uid="{4957E193-4519-4F38-B567-4F2AFE1B7555}" name="OREB_PCT_RANK" dataDxfId="59"/>
    <tableColumn id="40" xr3:uid="{D535FF2B-7372-4547-80CF-16C5482D5B4D}" name="DREB_PCT_RANK" dataDxfId="58"/>
    <tableColumn id="41" xr3:uid="{5A1C8C7F-AC69-4D0F-AF7E-9553DE453C1E}" name="REB_PCT_RANK" dataDxfId="57"/>
    <tableColumn id="42" xr3:uid="{0DE36EEB-E7A3-4643-8746-81E3C893380D}" name="TM_TOV_PCT_RANK" dataDxfId="56"/>
    <tableColumn id="43" xr3:uid="{A7BE08BB-B071-4C99-BB8B-5586DE01E5AF}" name="EFG_PCT_RANK" dataDxfId="55"/>
    <tableColumn id="44" xr3:uid="{155B9047-B597-472E-B9A3-0AC2079C1310}" name="TS_PCT_RANK" dataDxfId="54"/>
    <tableColumn id="45" xr3:uid="{3380AEF8-8716-4145-B4C9-F4560258B364}" name="PACE_RANK" dataDxfId="53"/>
    <tableColumn id="46" xr3:uid="{EF8407A3-0F71-4B10-B055-47E36E49F0C7}" name="PIE_RANK" dataDxfId="52"/>
    <tableColumn id="47" xr3:uid="{C9093D8B-2293-4CF2-91B6-50A37DAD7629}" name="CFID" dataDxfId="51"/>
    <tableColumn id="48" xr3:uid="{29295674-5CD6-441C-8058-F914D437476F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627F0E-318B-4BC7-9746-36D31331D1E5}" name="TableStandingsN1" displayName="TableStandingsN1" ref="A1:CC31" totalsRowShown="0" headerRowDxfId="910">
  <autoFilter ref="A1:CC31" xr:uid="{6BC91FE2-03F0-4BB7-87B2-099545E9095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BEF7E6E2-3FD3-400F-861A-109A308F7BFE}" name="LeagueID" dataDxfId="991"/>
    <tableColumn id="2" xr3:uid="{0208DF8C-5935-4C07-A489-09424D62DD60}" name="SeasonID" dataDxfId="990"/>
    <tableColumn id="3" xr3:uid="{ACDE12B3-6889-4799-9903-32A80C9B2921}" name="TeamID" dataDxfId="989"/>
    <tableColumn id="4" xr3:uid="{51ABAF4F-CAD2-40F2-8455-43887F1B7AFD}" name="TeamCity" dataDxfId="988"/>
    <tableColumn id="5" xr3:uid="{BE4EE040-1157-429C-8345-0D7A90F28606}" name="TeamName" dataDxfId="987"/>
    <tableColumn id="6" xr3:uid="{21176B8A-A2F0-4EDA-8884-65CBEBF2C3DE}" name="Conference" dataDxfId="986"/>
    <tableColumn id="7" xr3:uid="{FF99026D-D557-477C-B2DF-AEDE077AF460}" name="ConferenceRecord" dataDxfId="985"/>
    <tableColumn id="8" xr3:uid="{C995D3F6-FBB3-4497-AED9-9EEC38ED2F59}" name="PlayoffRank" dataDxfId="984"/>
    <tableColumn id="9" xr3:uid="{5A657669-461B-44D6-9EEE-66C8C292C21E}" name="ClinchIndicator" dataDxfId="983"/>
    <tableColumn id="10" xr3:uid="{FA7BD866-4E86-4435-AB5E-68CC8C15C54F}" name="Division" dataDxfId="982"/>
    <tableColumn id="11" xr3:uid="{0A03407A-02F0-4DD6-8E44-1260A50840DA}" name="DivisionRecord" dataDxfId="981"/>
    <tableColumn id="12" xr3:uid="{1242D29B-02C1-4707-B833-FEF8E285BE21}" name="DivisionRank" dataDxfId="980"/>
    <tableColumn id="13" xr3:uid="{000E3341-971F-459F-9468-BDAF77834AEC}" name="WINS" dataDxfId="979"/>
    <tableColumn id="14" xr3:uid="{547EDF4C-28F2-4429-AFC2-A05770B14BB4}" name="LOSSES" dataDxfId="978"/>
    <tableColumn id="15" xr3:uid="{7EB3E523-B6FA-47F1-907C-B0102693BE2B}" name="WinPCT" dataDxfId="977"/>
    <tableColumn id="16" xr3:uid="{2ACA22E8-8883-411F-AF49-793C27D48797}" name="LeagueRank" dataDxfId="976"/>
    <tableColumn id="17" xr3:uid="{7B94040B-62AA-4CDD-A7FB-54F842A3E8BA}" name="Record" dataDxfId="975"/>
    <tableColumn id="18" xr3:uid="{01841164-96F9-4268-8AE8-9710D509D885}" name="HOME" dataDxfId="974"/>
    <tableColumn id="19" xr3:uid="{47C208FC-3BAB-444F-9D6B-E9173C511EDD}" name="ROAD" dataDxfId="973"/>
    <tableColumn id="20" xr3:uid="{659BA667-A050-4418-9C26-3A3FE08F2DDE}" name="L10" dataDxfId="972"/>
    <tableColumn id="21" xr3:uid="{1C76952B-1165-4CB2-9B2A-49C6C63D873C}" name="Last10Home" dataDxfId="971"/>
    <tableColumn id="22" xr3:uid="{317B53F7-DE5B-4DAD-8FD5-01C603CEF053}" name="Last10Road" dataDxfId="970"/>
    <tableColumn id="23" xr3:uid="{E203CFC1-5A0C-44D1-85D5-D7760E2F6B93}" name="OT" dataDxfId="969"/>
    <tableColumn id="24" xr3:uid="{BC9B4CD6-C801-4EF2-AF44-5125B1D56B61}" name="ThreePTSOrLess" dataDxfId="968"/>
    <tableColumn id="25" xr3:uid="{EE46C696-38BE-47AE-B25E-30D39E22BA33}" name="TenPTSOrMore" dataDxfId="967"/>
    <tableColumn id="26" xr3:uid="{C523BE7F-2966-4293-9964-673963909174}" name="LongHomeStreak" dataDxfId="966"/>
    <tableColumn id="27" xr3:uid="{41B032B6-2598-4435-B2AD-04E4E5D28558}" name="strLongHomeStreak" dataDxfId="965"/>
    <tableColumn id="28" xr3:uid="{387152DF-0F04-473C-959F-D8AE61F06C6E}" name="LongRoadStreak" dataDxfId="964"/>
    <tableColumn id="29" xr3:uid="{EC012D42-799A-4041-8025-D2B04CD5D49C}" name="strLongRoadStreak" dataDxfId="963"/>
    <tableColumn id="30" xr3:uid="{2B3C2DD9-B976-4889-ABEA-1E29331C1D82}" name="LongWinStreak" dataDxfId="962"/>
    <tableColumn id="31" xr3:uid="{FFC4D0D6-3F28-4E7F-AE8B-7B455427983A}" name="LongLossStreak" dataDxfId="961"/>
    <tableColumn id="32" xr3:uid="{D25B61CC-F7C5-40A3-BD18-988181F836AF}" name="CurrentHomeStreak" dataDxfId="960"/>
    <tableColumn id="33" xr3:uid="{4FC6EE52-0392-40B2-88B3-27A58BDA4C05}" name="strCurrentHomeStreak" dataDxfId="959"/>
    <tableColumn id="34" xr3:uid="{01FCA809-DBF7-4619-A2D2-FC73DF056FC5}" name="CurrentRoadStreak" dataDxfId="958"/>
    <tableColumn id="35" xr3:uid="{C9C5B898-D757-43B0-92B0-8AC0A14DCBCF}" name="strCurrentRoadStreak" dataDxfId="957"/>
    <tableColumn id="36" xr3:uid="{7F3712A4-D138-4500-89FD-1EF65A36A5FD}" name="CurrentStreak" dataDxfId="956"/>
    <tableColumn id="37" xr3:uid="{B3DEB09B-CBAE-4CBA-90F9-D7AAE10573C6}" name="strCurrentStreak" dataDxfId="955"/>
    <tableColumn id="38" xr3:uid="{0E50D765-0E42-4A37-92D7-C676513F31FF}" name="ConferenceGamesBack" dataDxfId="954"/>
    <tableColumn id="39" xr3:uid="{6260D9DF-3E44-4116-836D-B6E922718EC8}" name="DivisionGamesBack" dataDxfId="953"/>
    <tableColumn id="40" xr3:uid="{2B3B9E30-822F-4D8E-B9E1-65F1F2F4640D}" name="ClinchedConferenceTitle" dataDxfId="952"/>
    <tableColumn id="41" xr3:uid="{090E5B61-416F-4D62-AEBB-0992110BE81C}" name="ClinchedDivisionTitle" dataDxfId="951"/>
    <tableColumn id="42" xr3:uid="{DF80BC79-DEAC-4445-8ADA-5BA860C630B1}" name="ClinchedPlayoffBirth" dataDxfId="950"/>
    <tableColumn id="43" xr3:uid="{F152B11F-6EE9-413E-A3DE-D14A67A3E709}" name="EliminatedConference" dataDxfId="949"/>
    <tableColumn id="44" xr3:uid="{ABDA1FC6-145F-450E-A22D-C36CBD1F5D48}" name="EliminatedDivision" dataDxfId="948"/>
    <tableColumn id="45" xr3:uid="{90771540-C5C0-46E6-81F0-689DB15BCA23}" name="AheadAtHalf" dataDxfId="947"/>
    <tableColumn id="46" xr3:uid="{88D9242D-0032-4FDC-8423-945D7359B0CE}" name="BehindAtHalf" dataDxfId="946"/>
    <tableColumn id="47" xr3:uid="{DB8A0BC0-95D5-426F-8958-AD0469AD233B}" name="TiedAtHalf" dataDxfId="945"/>
    <tableColumn id="48" xr3:uid="{245C426A-E887-4337-92FC-2B7287B2FEE8}" name="AheadAtThird" dataDxfId="944"/>
    <tableColumn id="49" xr3:uid="{C6D0D78D-3B90-4AEC-8412-6C02273C13AB}" name="BehindAtThird" dataDxfId="943"/>
    <tableColumn id="50" xr3:uid="{67C90DC0-7A85-40EC-84C6-7DB85385F0BF}" name="TiedAtThird" dataDxfId="942"/>
    <tableColumn id="51" xr3:uid="{DED295FB-976B-4F46-8A23-04BA7B821107}" name="Score100PTS" dataDxfId="941"/>
    <tableColumn id="52" xr3:uid="{461543E1-953A-41C4-B4EF-16742F3D0B01}" name="OppScore100PTS" dataDxfId="940"/>
    <tableColumn id="53" xr3:uid="{9C34096C-22A9-46FD-9F48-FFF8AF6AE1E1}" name="OppOver500" dataDxfId="939"/>
    <tableColumn id="54" xr3:uid="{5590FE81-11EE-4DBB-A521-FF2BF61BA80B}" name="LeadInFGPCT" dataDxfId="938"/>
    <tableColumn id="55" xr3:uid="{0C7EA844-1B83-4526-B859-3E6813C6C41B}" name="LeadInReb" dataDxfId="937"/>
    <tableColumn id="56" xr3:uid="{DB4DA4CB-25DD-4016-AD50-8BE19AE81C65}" name="FewerTurnovers" dataDxfId="936"/>
    <tableColumn id="57" xr3:uid="{7F09ADE0-64E2-4A2E-993B-0F90C0290FD3}" name="PointsPG" dataDxfId="935"/>
    <tableColumn id="58" xr3:uid="{F774423C-BA5B-49EC-8B65-5162F369E7D6}" name="OppPointsPG" dataDxfId="934"/>
    <tableColumn id="59" xr3:uid="{BDB32FD8-FB2C-4E68-90C2-62C3EDCE0182}" name="DiffPointsPG" dataDxfId="933"/>
    <tableColumn id="60" xr3:uid="{F1479973-7F78-4BE9-BA80-85341E0A42D5}" name="vsEast" dataDxfId="932"/>
    <tableColumn id="61" xr3:uid="{85A12FC2-5D1F-441A-9041-810244ECB416}" name="vsAtlantic" dataDxfId="931"/>
    <tableColumn id="62" xr3:uid="{B64FDB72-85B0-45FC-B8B7-E9A64C792CC3}" name="vsCentral" dataDxfId="930"/>
    <tableColumn id="63" xr3:uid="{4ABAE0DC-82F6-45B2-8DA7-A6AE53AD1A71}" name="vsSoutheast" dataDxfId="929"/>
    <tableColumn id="64" xr3:uid="{C2031319-C418-4E39-9AE9-8B46840AEBF7}" name="vsWest" dataDxfId="928"/>
    <tableColumn id="65" xr3:uid="{8467AFCB-F13D-4961-8C17-FB779F00CD11}" name="vsNorthwest" dataDxfId="927"/>
    <tableColumn id="66" xr3:uid="{3366C52C-C077-4E6D-A96F-94052F95E770}" name="vsPacific" dataDxfId="926"/>
    <tableColumn id="67" xr3:uid="{D9CA04B4-4E2D-490D-85F4-16B219B077D4}" name="vsSouthwest" dataDxfId="925"/>
    <tableColumn id="68" xr3:uid="{25F7AFC8-220A-48F7-A206-B705E25DA0D6}" name="Jan" dataDxfId="924"/>
    <tableColumn id="69" xr3:uid="{FA14D7FC-54BB-40A9-B36A-ECF7DE8F76C3}" name="Feb" dataDxfId="923"/>
    <tableColumn id="70" xr3:uid="{E3F60125-F59B-4189-9F10-6136E83FD1B0}" name="Mar" dataDxfId="922"/>
    <tableColumn id="71" xr3:uid="{2EA63861-01B8-42F0-BC6A-A608FC251D15}" name="Apr" dataDxfId="921"/>
    <tableColumn id="72" xr3:uid="{7668067E-2EA2-4F6A-81EE-34DDE37FA650}" name="May" dataDxfId="920"/>
    <tableColumn id="73" xr3:uid="{09874E1C-307F-4C10-9C36-DC67009CF651}" name="Jun" dataDxfId="919"/>
    <tableColumn id="74" xr3:uid="{82E0C79B-7C29-441A-A6C7-7BC83DB1BBD7}" name="Jul" dataDxfId="918"/>
    <tableColumn id="75" xr3:uid="{B6317635-ACF4-438A-9CCA-BB6B57BD8468}" name="Aug" dataDxfId="917"/>
    <tableColumn id="76" xr3:uid="{6687AF13-87F1-41E4-9CB8-9C7745271DB3}" name="Sep" dataDxfId="916"/>
    <tableColumn id="77" xr3:uid="{CAAB8B71-BF2C-4B7D-86DE-2CEAC1D1E86A}" name="Oct" dataDxfId="915"/>
    <tableColumn id="78" xr3:uid="{D22B1EA9-8AFA-46CD-AD7D-87D6DFF19DCB}" name="Nov" dataDxfId="914"/>
    <tableColumn id="79" xr3:uid="{18D439E8-5C1A-4A5F-9CD9-259154EBF843}" name="Dec" dataDxfId="913"/>
    <tableColumn id="80" xr3:uid="{16339713-807A-4E57-BA49-253A5588D7BD}" name="PreAS" dataDxfId="912"/>
    <tableColumn id="81" xr3:uid="{407DBCB9-BA19-4101-A40A-385272BB681A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1CC884B-E4E5-47D3-BBB0-77F889AAE644}" name="TableBaseN1" displayName="TableBaseN1" ref="A1:BD31" totalsRowShown="0" headerRowDxfId="796">
  <autoFilter ref="A1:BD31" xr:uid="{876DDF69-173A-4E6F-9213-E5FF8CC115F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60D3BF8C-57F5-4911-B2D4-B8C1636DFB1E}" name="TEAM_ID" dataDxfId="852"/>
    <tableColumn id="2" xr3:uid="{20A7F0FD-2643-4416-94B4-82D7C4F202BD}" name="TEAM_NAME" dataDxfId="851"/>
    <tableColumn id="3" xr3:uid="{6733C994-48DD-4674-B059-36594836D5DD}" name="GP" dataDxfId="850"/>
    <tableColumn id="4" xr3:uid="{669576FC-D742-4273-9226-B4AB40662E35}" name="W" dataDxfId="849"/>
    <tableColumn id="5" xr3:uid="{CA630267-4F0E-40BC-969E-E6CDF8C6A255}" name="L" dataDxfId="848"/>
    <tableColumn id="6" xr3:uid="{9619A15B-C96F-425E-9EA3-C30FFB861F36}" name="W_PCT" dataDxfId="847"/>
    <tableColumn id="7" xr3:uid="{732C9661-E3C7-4821-9EC9-9F79D1462514}" name="MIN" dataDxfId="846"/>
    <tableColumn id="8" xr3:uid="{EDE5C1EE-46A9-473C-BB78-8D6056D45917}" name="FGM" dataDxfId="845"/>
    <tableColumn id="9" xr3:uid="{0254DD53-D074-4E3A-AE9A-44299F422820}" name="FGA" dataDxfId="844"/>
    <tableColumn id="10" xr3:uid="{1F34F51A-D465-4630-9FCB-70C300340E47}" name="FG_PCT" dataDxfId="843"/>
    <tableColumn id="11" xr3:uid="{6B46BCD3-770B-4BD0-9876-F184A2163510}" name="FG3M" dataDxfId="842"/>
    <tableColumn id="12" xr3:uid="{EA545380-C0CC-4430-841E-DF01B1B9226F}" name="FG3A" dataDxfId="841"/>
    <tableColumn id="13" xr3:uid="{9D2FA25E-A0F9-408D-B6C1-CFC609C38B0C}" name="FG3_PCT" dataDxfId="840"/>
    <tableColumn id="14" xr3:uid="{D216C1DA-6442-4617-A659-EF27FB44C00E}" name="FTM" dataDxfId="839"/>
    <tableColumn id="15" xr3:uid="{F58E8126-5A52-42EA-A388-B62415A1D6CE}" name="FTA" dataDxfId="838"/>
    <tableColumn id="16" xr3:uid="{1090A778-9FF4-44CA-8D1C-011D9ABB1635}" name="FT_PCT" dataDxfId="837"/>
    <tableColumn id="17" xr3:uid="{A5EA41D2-15C9-4687-9FAA-D1C11BD61F97}" name="OREB" dataDxfId="836"/>
    <tableColumn id="18" xr3:uid="{26CC509C-7393-4C60-AA6F-BBA0DC892653}" name="DREB" dataDxfId="835"/>
    <tableColumn id="19" xr3:uid="{F6F3BE62-4220-4063-9AA3-81A15715205E}" name="REB" dataDxfId="834"/>
    <tableColumn id="20" xr3:uid="{A8450B03-C681-42C5-82A1-D4C5984BCDDC}" name="AST" dataDxfId="833"/>
    <tableColumn id="21" xr3:uid="{ED499CA9-F65E-4C5E-B97D-2C198966E6DE}" name="TOV" dataDxfId="832"/>
    <tableColumn id="22" xr3:uid="{97584210-E7A6-457C-A69C-27FFE0426C42}" name="STL" dataDxfId="831"/>
    <tableColumn id="23" xr3:uid="{69AC8C21-B7A5-4FB0-A25B-FDE9A44AEE47}" name="BLK" dataDxfId="830"/>
    <tableColumn id="24" xr3:uid="{96D0EC21-0A4B-4E6E-8007-300844A6FEF1}" name="BLKA" dataDxfId="829"/>
    <tableColumn id="25" xr3:uid="{1BC50A5E-0EB2-48A4-A2D5-F27C2550EEC8}" name="PF" dataDxfId="828"/>
    <tableColumn id="26" xr3:uid="{FC2671FC-953E-45E8-BC2F-82CCE4086ECB}" name="PFD" dataDxfId="827"/>
    <tableColumn id="27" xr3:uid="{D589CE48-CAF0-4D63-A637-97978F89AE28}" name="PTS" dataDxfId="826"/>
    <tableColumn id="28" xr3:uid="{E036F196-9724-442B-9F44-0B4298344CEC}" name="PLUS_MINUS" dataDxfId="825"/>
    <tableColumn id="29" xr3:uid="{0E506724-9B10-43A0-915B-2E0B5BC634AB}" name="GP_RANK" dataDxfId="824"/>
    <tableColumn id="30" xr3:uid="{FC2A5461-D1FB-488B-BE22-A855CF566DD4}" name="W_RANK" dataDxfId="823"/>
    <tableColumn id="31" xr3:uid="{2466349F-DD54-4F71-991A-7F4CD65EA397}" name="L_RANK" dataDxfId="822"/>
    <tableColumn id="32" xr3:uid="{9320C7EE-3BE2-42BC-9C60-5647B113AC11}" name="W_PCT_RANK" dataDxfId="821"/>
    <tableColumn id="33" xr3:uid="{8EC3C6E6-D0C9-4990-84EF-BCB11A35CF0E}" name="MIN_RANK" dataDxfId="820"/>
    <tableColumn id="34" xr3:uid="{99FADDD8-45FD-4570-BAFC-270C1FDBB20C}" name="FGM_RANK" dataDxfId="819"/>
    <tableColumn id="35" xr3:uid="{70EA0F02-0EC5-43E0-9D4B-B69BFCD8C669}" name="FGA_RANK" dataDxfId="818"/>
    <tableColumn id="36" xr3:uid="{B61EBB1B-E666-4A65-81FC-AF705BD6CD7E}" name="FG_PCT_RANK" dataDxfId="817"/>
    <tableColumn id="37" xr3:uid="{595C04BC-EB5A-43A9-B794-8550E22FCF87}" name="FG3M_RANK" dataDxfId="816"/>
    <tableColumn id="38" xr3:uid="{CC1C6B29-D8EC-4F54-94C0-36EF2D189694}" name="FG3A_RANK" dataDxfId="815"/>
    <tableColumn id="39" xr3:uid="{D3D780E0-B3EB-4133-AE68-0DF4F7BB49EF}" name="FG3_PCT_RANK" dataDxfId="814"/>
    <tableColumn id="40" xr3:uid="{06DAA6CD-84F3-462F-BF42-7F58303C38ED}" name="FTM_RANK" dataDxfId="813"/>
    <tableColumn id="41" xr3:uid="{C320DD07-1A51-4D9A-BA3E-A041229332D7}" name="FTA_RANK" dataDxfId="812"/>
    <tableColumn id="42" xr3:uid="{10698731-4676-4A06-AED1-41B45546F979}" name="FT_PCT_RANK" dataDxfId="811"/>
    <tableColumn id="43" xr3:uid="{48DC433F-010C-4A67-9D07-49F8F393F3D8}" name="OREB_RANK" dataDxfId="810"/>
    <tableColumn id="44" xr3:uid="{45C2CC53-E4C0-4055-B1ED-DFCF56A2EFFC}" name="DREB_RANK" dataDxfId="809"/>
    <tableColumn id="45" xr3:uid="{9ECA6DFE-7DE1-4B9D-8FA1-19F958EC01C9}" name="REB_RANK" dataDxfId="808"/>
    <tableColumn id="46" xr3:uid="{BC60CD94-6FD9-4A68-8E37-849F37B70C31}" name="AST_RANK" dataDxfId="807"/>
    <tableColumn id="47" xr3:uid="{EFE23523-3C71-4E89-8CBE-4E5C97F22D61}" name="TOV_RANK" dataDxfId="806"/>
    <tableColumn id="48" xr3:uid="{CEB454AA-E80A-4A1A-B238-62B6061E22FD}" name="STL_RANK" dataDxfId="805"/>
    <tableColumn id="49" xr3:uid="{BBD51E3C-742F-419F-944B-9885FF965CB3}" name="BLK_RANK" dataDxfId="804"/>
    <tableColumn id="50" xr3:uid="{5E7BF218-9C79-4532-A558-2FAAD4AECEFF}" name="BLKA_RANK" dataDxfId="803"/>
    <tableColumn id="51" xr3:uid="{A33860BA-6352-41A8-B311-6E08A7442A49}" name="PF_RANK" dataDxfId="802"/>
    <tableColumn id="52" xr3:uid="{29DE7768-C7CC-4D49-8B72-361FF72842BF}" name="PFD_RANK" dataDxfId="801"/>
    <tableColumn id="53" xr3:uid="{616F09B6-E64F-4185-814B-CA2ED94140FA}" name="PTS_RANK" dataDxfId="800"/>
    <tableColumn id="54" xr3:uid="{41BB9BC5-EB5B-456C-9D80-F84D4BB346C6}" name="PLUS_MINUS_RANK" dataDxfId="799"/>
    <tableColumn id="55" xr3:uid="{241D9EA7-E76D-44CD-923A-71D99C89BAAD}" name="CFID" dataDxfId="798"/>
    <tableColumn id="56" xr3:uid="{BC1901F1-54BA-4A03-A963-12D66CB6D902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02398FF-1EC0-47AD-A248-B9664ACB8604}" name="TableAdvancedN1" displayName="TableAdvancedN1" ref="A1:AV31" totalsRowShown="0" headerRowDxfId="698">
  <autoFilter ref="A1:AV31" xr:uid="{EC7DA3F6-EFB8-467E-AAC9-C3EE7C48B7D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19165EF-8B48-4791-8DFB-96ACF83B3A2F}" name="TEAM_ID" dataDxfId="746"/>
    <tableColumn id="2" xr3:uid="{D7A19F2D-E524-43CE-B5A3-B8D9E31C24F4}" name="TEAM_NAME" dataDxfId="745"/>
    <tableColumn id="3" xr3:uid="{75356CB6-2478-44FB-A95E-4F2894AF28E4}" name="GP" dataDxfId="744"/>
    <tableColumn id="4" xr3:uid="{D4A59BE6-99C2-4384-A0CA-D471D1B29EFD}" name="W" dataDxfId="743"/>
    <tableColumn id="5" xr3:uid="{1F85F529-342C-4632-8EDC-324B51BE382D}" name="L" dataDxfId="742"/>
    <tableColumn id="6" xr3:uid="{D497787F-0DAF-49E7-9795-B3DC3E6EF075}" name="W_PCT" dataDxfId="741"/>
    <tableColumn id="7" xr3:uid="{3A276D0A-2704-444E-8BA6-ABC2DC7A8231}" name="MIN" dataDxfId="740"/>
    <tableColumn id="8" xr3:uid="{47810D2A-58F0-4BF0-9C99-4DD21342DCF6}" name="E_OFF_RATING" dataDxfId="739"/>
    <tableColumn id="9" xr3:uid="{C943EE28-E201-44D1-A7E3-126CC49FE7F2}" name="OFF_RATING" dataDxfId="738"/>
    <tableColumn id="10" xr3:uid="{C1D8B702-EAC7-4E26-B18C-89D84537BAAC}" name="E_DEF_RATING" dataDxfId="737"/>
    <tableColumn id="11" xr3:uid="{ED275D84-4D36-4B64-8478-D3BB79F1BEBC}" name="DEF_RATING" dataDxfId="736"/>
    <tableColumn id="12" xr3:uid="{0788FF72-D569-4300-9917-71602BF9C441}" name="E_NET_RATING" dataDxfId="735"/>
    <tableColumn id="13" xr3:uid="{7FDDA457-F8C7-435C-868E-485DED382FF4}" name="NET_RATING" dataDxfId="734"/>
    <tableColumn id="14" xr3:uid="{B2EF06A9-35EB-4F09-A185-ACB2ECD1F824}" name="AST_PCT" dataDxfId="733"/>
    <tableColumn id="15" xr3:uid="{FBB9CEFE-ADA0-4398-BF1E-AC2C055A8D69}" name="AST_TO" dataDxfId="732"/>
    <tableColumn id="16" xr3:uid="{A62F98A1-D8DE-42A0-BA57-09B893EBC5E2}" name="AST_RATIO" dataDxfId="731"/>
    <tableColumn id="17" xr3:uid="{54ED673F-F81A-4329-B31E-D33FA92A7EDC}" name="OREB_PCT" dataDxfId="730"/>
    <tableColumn id="18" xr3:uid="{6BF5C44E-A19C-419B-B648-5CBE18F13999}" name="DREB_PCT" dataDxfId="729"/>
    <tableColumn id="19" xr3:uid="{3AFE02A0-14DC-4553-B95D-09ACA2E91427}" name="REB_PCT" dataDxfId="728"/>
    <tableColumn id="20" xr3:uid="{E31A13D9-8759-43EE-972B-E25C926A126B}" name="TM_TOV_PCT" dataDxfId="727"/>
    <tableColumn id="21" xr3:uid="{655FEF51-A784-4CAD-910D-6600BE8A7F24}" name="EFG_PCT" dataDxfId="726"/>
    <tableColumn id="22" xr3:uid="{04463DE1-F6E9-4218-BC0E-E6FBD61C9D3A}" name="TS_PCT" dataDxfId="725"/>
    <tableColumn id="23" xr3:uid="{D899BD51-D9D7-458E-972B-F6655BC4ED92}" name="E_PACE" dataDxfId="724"/>
    <tableColumn id="24" xr3:uid="{37CA7F25-5529-4A1E-9C24-06EA8CB1C1E4}" name="PACE" dataDxfId="723"/>
    <tableColumn id="25" xr3:uid="{62EFBD58-D643-4864-ABA0-335C77C234D8}" name="PACE_PER40" dataDxfId="722"/>
    <tableColumn id="26" xr3:uid="{85ED9136-8303-4C68-A3DF-8807EAB9AD94}" name="POSS" dataDxfId="721"/>
    <tableColumn id="27" xr3:uid="{A389B5D6-A52B-49ED-AF4F-5239F4015D53}" name="PIE" dataDxfId="720"/>
    <tableColumn id="28" xr3:uid="{ACC7E8AD-25B8-43F1-8C5B-AE8F457856E3}" name="GP_RANK" dataDxfId="719"/>
    <tableColumn id="29" xr3:uid="{771F352A-BABD-4401-B2BB-8DA8AEAF6A73}" name="W_RANK" dataDxfId="718"/>
    <tableColumn id="30" xr3:uid="{BCE7C7C3-EF99-4F98-9520-0597955D8B73}" name="L_RANK" dataDxfId="717"/>
    <tableColumn id="31" xr3:uid="{A8B1CA99-E974-462B-AE2B-3D746BF32439}" name="W_PCT_RANK" dataDxfId="716"/>
    <tableColumn id="32" xr3:uid="{083E81C8-07A7-486A-9E4E-71F3C2EA40A7}" name="MIN_RANK" dataDxfId="715"/>
    <tableColumn id="33" xr3:uid="{BE1F9CC9-E8DC-47BF-8C6F-08A1E24DD2EE}" name="OFF_RATING_RANK" dataDxfId="714"/>
    <tableColumn id="34" xr3:uid="{1BBEA434-073E-4BC3-A0CE-EB60799A3146}" name="DEF_RATING_RANK" dataDxfId="713"/>
    <tableColumn id="35" xr3:uid="{6AAA9296-1C9B-4A80-B0AB-B157DD0BB20A}" name="NET_RATING_RANK" dataDxfId="712"/>
    <tableColumn id="36" xr3:uid="{76039BB0-1706-4069-A0E9-D80232639886}" name="AST_PCT_RANK" dataDxfId="711"/>
    <tableColumn id="37" xr3:uid="{7175D1B1-F6A3-4770-B8FC-C92E8B76F47A}" name="AST_TO_RANK" dataDxfId="710"/>
    <tableColumn id="38" xr3:uid="{3D6D7C81-5C1B-46CD-A19F-50EBDA2640C9}" name="AST_RATIO_RANK" dataDxfId="709"/>
    <tableColumn id="39" xr3:uid="{C853DD1F-4869-4C2F-9D9E-E6EDC68E4711}" name="OREB_PCT_RANK" dataDxfId="708"/>
    <tableColumn id="40" xr3:uid="{17025E28-D097-47B7-9E3A-37235DD540AE}" name="DREB_PCT_RANK" dataDxfId="707"/>
    <tableColumn id="41" xr3:uid="{5D3C575B-9D3A-44E3-AF20-221194D225A2}" name="REB_PCT_RANK" dataDxfId="706"/>
    <tableColumn id="42" xr3:uid="{8CA8D9C9-E22D-4F65-8DE5-0EBF50303387}" name="TM_TOV_PCT_RANK" dataDxfId="705"/>
    <tableColumn id="43" xr3:uid="{0A5B79AC-D76D-4263-AE25-382DD7DED263}" name="EFG_PCT_RANK" dataDxfId="704"/>
    <tableColumn id="44" xr3:uid="{4E8610F7-9A9F-4FB7-9120-40BDAC751F71}" name="TS_PCT_RANK" dataDxfId="703"/>
    <tableColumn id="45" xr3:uid="{56E6C8D9-C12F-430A-9FCA-C2BCA480B248}" name="PACE_RANK" dataDxfId="702"/>
    <tableColumn id="46" xr3:uid="{17EA040D-F093-4DCB-A327-43CD0CB427C8}" name="PIE_RANK" dataDxfId="701"/>
    <tableColumn id="47" xr3:uid="{8ADBD427-B6CB-4043-9FB6-96EC86957A80}" name="CFID" dataDxfId="700"/>
    <tableColumn id="48" xr3:uid="{EA35201E-7F0A-4BCF-8E3B-F9BBD5E229E3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648787B-96F4-4BD4-9FD9-130AACA2647F}" name="TableAdvancedN1Starters" displayName="TableAdvancedN1Starters" ref="A1:AV31" totalsRowShown="0" headerRowDxfId="600">
  <autoFilter ref="A1:AV31" xr:uid="{2768B088-F07E-43E5-A86A-0083B56C328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7C59D49-674E-4727-B613-1087951754AC}" name="TEAM_ID" dataDxfId="648"/>
    <tableColumn id="2" xr3:uid="{16D1F692-A9F1-4D3B-AD10-DF6438C943EE}" name="TEAM_NAME" dataDxfId="647"/>
    <tableColumn id="3" xr3:uid="{E8B0765F-31F5-4CA5-99FB-8599776BEA6C}" name="GP" dataDxfId="646"/>
    <tableColumn id="4" xr3:uid="{496CA83A-C81E-4C17-A800-B8C6A3513F51}" name="W" dataDxfId="645"/>
    <tableColumn id="5" xr3:uid="{15119590-38F9-4B26-A9D3-C42A07A51F0C}" name="L" dataDxfId="644"/>
    <tableColumn id="6" xr3:uid="{DC821907-1603-40D3-9670-F1DE5B4372C2}" name="W_PCT" dataDxfId="643"/>
    <tableColumn id="7" xr3:uid="{51279357-608D-411C-B4DC-1F9D15A198E1}" name="MIN" dataDxfId="642"/>
    <tableColumn id="8" xr3:uid="{DD2CC23A-6B58-47C9-8E54-17E57A8C7960}" name="E_OFF_RATING" dataDxfId="641"/>
    <tableColumn id="9" xr3:uid="{C11BF1CA-FFBD-40D3-84BB-A00CF62F8222}" name="OFF_RATING" dataDxfId="640"/>
    <tableColumn id="10" xr3:uid="{B2CDB774-1822-4016-A9C3-18089B2B1E4A}" name="E_DEF_RATING" dataDxfId="639"/>
    <tableColumn id="11" xr3:uid="{CB8E6AC7-EF80-4424-AAD3-B415A2B98465}" name="DEF_RATING" dataDxfId="638"/>
    <tableColumn id="12" xr3:uid="{DFCB79A9-178E-486D-9EC6-2A84E3077CD6}" name="E_NET_RATING" dataDxfId="637"/>
    <tableColumn id="13" xr3:uid="{5538636A-CF43-4070-B274-B0F61E36BF2E}" name="NET_RATING" dataDxfId="636"/>
    <tableColumn id="14" xr3:uid="{677BE385-0B57-4376-8947-6123B4EECEA9}" name="AST_PCT" dataDxfId="635"/>
    <tableColumn id="15" xr3:uid="{4DDED825-70A9-4194-B858-54EC7A788252}" name="AST_TO" dataDxfId="634"/>
    <tableColumn id="16" xr3:uid="{C1E0813D-0E5D-48FC-B41C-28067E4F1340}" name="AST_RATIO" dataDxfId="633"/>
    <tableColumn id="17" xr3:uid="{3FC4D553-6865-4ED6-9CE4-200781C3EA82}" name="OREB_PCT" dataDxfId="632"/>
    <tableColumn id="18" xr3:uid="{507C665B-2846-499F-8CE3-FE20C3F0780A}" name="DREB_PCT" dataDxfId="631"/>
    <tableColumn id="19" xr3:uid="{A089F396-BBF3-4AD0-A399-8751287DF332}" name="REB_PCT" dataDxfId="630"/>
    <tableColumn id="20" xr3:uid="{E865B579-E699-4C9A-B83D-1F69B922FA70}" name="TM_TOV_PCT" dataDxfId="629"/>
    <tableColumn id="21" xr3:uid="{15B6E2F7-565D-43AA-89BC-C377D2E62B70}" name="EFG_PCT" dataDxfId="628"/>
    <tableColumn id="22" xr3:uid="{00318904-DC79-4200-81AF-ABBF56F7A6CE}" name="TS_PCT" dataDxfId="627"/>
    <tableColumn id="23" xr3:uid="{E8F60FAE-A0EC-4C84-9C8C-3BBD768CA090}" name="E_PACE" dataDxfId="626"/>
    <tableColumn id="24" xr3:uid="{837F7538-33E6-47BB-91AC-E56FC3E00C48}" name="PACE" dataDxfId="625"/>
    <tableColumn id="25" xr3:uid="{9D74780F-D843-4A3B-A3A7-B6667B55746D}" name="PACE_PER40" dataDxfId="624"/>
    <tableColumn id="26" xr3:uid="{B94CB3BA-D892-4C71-BB4E-19077C31C3F2}" name="POSS" dataDxfId="623"/>
    <tableColumn id="27" xr3:uid="{86B98BBF-9CBC-4C28-8F5F-A473214D519B}" name="PIE" dataDxfId="622"/>
    <tableColumn id="28" xr3:uid="{8638DC8B-C96C-46D1-BE85-66B06058D0CC}" name="GP_RANK" dataDxfId="621"/>
    <tableColumn id="29" xr3:uid="{6315B073-C03A-4967-B0F2-C9574FAC3876}" name="W_RANK" dataDxfId="620"/>
    <tableColumn id="30" xr3:uid="{9A4CE83F-8EA4-4DA0-B55C-9EE17954EAA0}" name="L_RANK" dataDxfId="619"/>
    <tableColumn id="31" xr3:uid="{059DA5B4-1568-4C6D-99B0-83F0ECCFD15B}" name="W_PCT_RANK" dataDxfId="618"/>
    <tableColumn id="32" xr3:uid="{98E68C3E-22F1-4EF1-BA3B-03C4300E18E2}" name="MIN_RANK" dataDxfId="617"/>
    <tableColumn id="33" xr3:uid="{FA9B864E-29C3-44D9-A12C-4BF8505889F6}" name="OFF_RATING_RANK" dataDxfId="616"/>
    <tableColumn id="34" xr3:uid="{5B1D2217-4EED-4ABA-9592-B39D7F5913FB}" name="DEF_RATING_RANK" dataDxfId="615"/>
    <tableColumn id="35" xr3:uid="{0EB5FFDE-9824-4A71-BF6F-8C1DBB2D539B}" name="NET_RATING_RANK" dataDxfId="614"/>
    <tableColumn id="36" xr3:uid="{1C6FCB6F-5764-4D9C-82C5-4859B1656114}" name="AST_PCT_RANK" dataDxfId="613"/>
    <tableColumn id="37" xr3:uid="{0B836B35-0462-40FD-95EB-C099732AE4FB}" name="AST_TO_RANK" dataDxfId="612"/>
    <tableColumn id="38" xr3:uid="{C5141A9E-6272-4AE4-86B2-687DFC1694C9}" name="AST_RATIO_RANK" dataDxfId="611"/>
    <tableColumn id="39" xr3:uid="{4ACCB689-2466-4245-A046-AEE27D4DE794}" name="OREB_PCT_RANK" dataDxfId="610"/>
    <tableColumn id="40" xr3:uid="{91092264-0071-420A-8586-FE6BC4CA667D}" name="DREB_PCT_RANK" dataDxfId="609"/>
    <tableColumn id="41" xr3:uid="{DAD3FFAA-309B-4860-B173-4A1AE58951C7}" name="REB_PCT_RANK" dataDxfId="608"/>
    <tableColumn id="42" xr3:uid="{4090D23A-1535-42AC-815A-203850E9A31A}" name="TM_TOV_PCT_RANK" dataDxfId="607"/>
    <tableColumn id="43" xr3:uid="{BEE76D85-2C70-4C96-A919-BCB58FA28EE8}" name="EFG_PCT_RANK" dataDxfId="606"/>
    <tableColumn id="44" xr3:uid="{02AEB3C0-9F63-4CDB-995A-9AF4ACA007AA}" name="TS_PCT_RANK" dataDxfId="605"/>
    <tableColumn id="45" xr3:uid="{DF0F8F43-DCD5-4B32-9889-369C3CC6E8E2}" name="PACE_RANK" dataDxfId="604"/>
    <tableColumn id="46" xr3:uid="{1B32BF23-F3DF-4F9A-A9CC-60835808C121}" name="PIE_RANK" dataDxfId="603"/>
    <tableColumn id="47" xr3:uid="{BAAF1FD5-1880-4EEC-804C-6F7DB7099AEC}" name="CFID" dataDxfId="602"/>
    <tableColumn id="48" xr3:uid="{8F65765A-5564-4AA7-B718-BE1D3EB52B4A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DBDA321-0933-46FB-B8A8-5B753E276760}" name="TableAdvancedN1Bench" displayName="TableAdvancedN1Bench" ref="A1:AV31" totalsRowShown="0" headerRowDxfId="502">
  <autoFilter ref="A1:AV31" xr:uid="{90082715-2C4E-4630-9248-700748AA6A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38D567E3-5B46-4A11-93BF-936F019A91A2}" name="TEAM_ID" dataDxfId="550"/>
    <tableColumn id="2" xr3:uid="{5729CE65-B251-4C47-B939-38DECC732936}" name="TEAM_NAME" dataDxfId="549"/>
    <tableColumn id="3" xr3:uid="{CB254048-BF53-42C2-A238-EAC20FF1F22E}" name="GP" dataDxfId="548"/>
    <tableColumn id="4" xr3:uid="{4DF573D3-C40F-469B-958A-E4153360174C}" name="W" dataDxfId="547"/>
    <tableColumn id="5" xr3:uid="{6D060E44-EB33-4546-8177-33BC582A0471}" name="L" dataDxfId="546"/>
    <tableColumn id="6" xr3:uid="{538A1B42-B4FA-45D8-B6E4-A20089583727}" name="W_PCT" dataDxfId="545"/>
    <tableColumn id="7" xr3:uid="{A6FF0C15-6597-4483-8230-3F8C69DC72A9}" name="MIN" dataDxfId="544"/>
    <tableColumn id="8" xr3:uid="{E2D78880-AA56-4C39-8A05-6C739E1CC223}" name="E_OFF_RATING" dataDxfId="543"/>
    <tableColumn id="9" xr3:uid="{D8561994-37B4-4313-8297-2DA6A7FC8305}" name="OFF_RATING" dataDxfId="542"/>
    <tableColumn id="10" xr3:uid="{2A669FA3-98CD-4BD4-959D-A1D2894AF9B5}" name="E_DEF_RATING" dataDxfId="541"/>
    <tableColumn id="11" xr3:uid="{2C3A8F4F-6033-4265-8203-CFE5549D0D7B}" name="DEF_RATING" dataDxfId="540"/>
    <tableColumn id="12" xr3:uid="{BEB973A1-2510-4D1B-8324-79A299BC67D9}" name="E_NET_RATING" dataDxfId="539"/>
    <tableColumn id="13" xr3:uid="{C40AF224-2EFD-4037-A8B0-CBF4BEDBB8E2}" name="NET_RATING" dataDxfId="538"/>
    <tableColumn id="14" xr3:uid="{402FD70B-D0B6-47AD-88BA-51EB788C2A2C}" name="AST_PCT" dataDxfId="537"/>
    <tableColumn id="15" xr3:uid="{C1020750-5CA1-4F8B-998F-047C2921CA8F}" name="AST_TO" dataDxfId="536"/>
    <tableColumn id="16" xr3:uid="{7F8EAFE6-C472-44A0-A568-EB4B8C538D8D}" name="AST_RATIO" dataDxfId="535"/>
    <tableColumn id="17" xr3:uid="{CFA2BF81-F069-42F0-AF46-1F78C5B4067D}" name="OREB_PCT" dataDxfId="534"/>
    <tableColumn id="18" xr3:uid="{D248419F-5123-463D-9E15-DD0B6DD4B375}" name="DREB_PCT" dataDxfId="533"/>
    <tableColumn id="19" xr3:uid="{ED6E89D7-C6CC-4398-82FF-489575685F90}" name="REB_PCT" dataDxfId="532"/>
    <tableColumn id="20" xr3:uid="{5305C487-D64B-445B-ABCF-BA1B3F810A92}" name="TM_TOV_PCT" dataDxfId="531"/>
    <tableColumn id="21" xr3:uid="{DAEE17A4-5F9D-4471-B9B0-09338913C9D9}" name="EFG_PCT" dataDxfId="530"/>
    <tableColumn id="22" xr3:uid="{0A11F927-CE50-4B53-B138-41109C6F8ED1}" name="TS_PCT" dataDxfId="529"/>
    <tableColumn id="23" xr3:uid="{D1AD2197-FA30-4459-9FB9-41382086D7DF}" name="E_PACE" dataDxfId="528"/>
    <tableColumn id="24" xr3:uid="{D5741278-2C7D-4091-AB8E-E231B7901F89}" name="PACE" dataDxfId="527"/>
    <tableColumn id="25" xr3:uid="{83EAD495-2BBC-446A-9724-99294A3E03F8}" name="PACE_PER40" dataDxfId="526"/>
    <tableColumn id="26" xr3:uid="{B7D4110D-32B6-4BDC-8516-391A6A3F4623}" name="POSS" dataDxfId="525"/>
    <tableColumn id="27" xr3:uid="{0B04EACE-B72D-4A3E-98B2-E97D23BAC267}" name="PIE" dataDxfId="524"/>
    <tableColumn id="28" xr3:uid="{FC74174D-9154-4B35-85DA-B30E76C370EC}" name="GP_RANK" dataDxfId="523"/>
    <tableColumn id="29" xr3:uid="{3EFCB662-B194-41BB-A517-6F8DD4FE6948}" name="W_RANK" dataDxfId="522"/>
    <tableColumn id="30" xr3:uid="{1B8B18FE-3DE2-4E4A-A800-D86F85E8980A}" name="L_RANK" dataDxfId="521"/>
    <tableColumn id="31" xr3:uid="{8B1140CC-60E7-4711-AA3E-97CAF3381228}" name="W_PCT_RANK" dataDxfId="520"/>
    <tableColumn id="32" xr3:uid="{518FE7B7-212C-4EDE-92CB-66D9D4F0C81E}" name="MIN_RANK" dataDxfId="519"/>
    <tableColumn id="33" xr3:uid="{00193550-179B-43A0-BB6A-EA348F2C9450}" name="OFF_RATING_RANK" dataDxfId="518"/>
    <tableColumn id="34" xr3:uid="{2253ABE1-28C9-48CF-BB02-F41A2985F184}" name="DEF_RATING_RANK" dataDxfId="517"/>
    <tableColumn id="35" xr3:uid="{F3962342-2D25-43C2-AEAF-8A90C88E2787}" name="NET_RATING_RANK" dataDxfId="516"/>
    <tableColumn id="36" xr3:uid="{B536307F-4491-4148-842E-EF69BEDAE96A}" name="AST_PCT_RANK" dataDxfId="515"/>
    <tableColumn id="37" xr3:uid="{F2B3A642-1405-452F-8128-27D79084B972}" name="AST_TO_RANK" dataDxfId="514"/>
    <tableColumn id="38" xr3:uid="{D2BD74C8-6E57-4AC4-A796-B127E3F3E603}" name="AST_RATIO_RANK" dataDxfId="513"/>
    <tableColumn id="39" xr3:uid="{3210B378-82E4-4721-9D03-FC2A86CB74FD}" name="OREB_PCT_RANK" dataDxfId="512"/>
    <tableColumn id="40" xr3:uid="{7D17331E-5A43-49F9-9B30-D4EE50DE6746}" name="DREB_PCT_RANK" dataDxfId="511"/>
    <tableColumn id="41" xr3:uid="{D69A3546-77CD-448F-B4A1-876848AF0B5A}" name="REB_PCT_RANK" dataDxfId="510"/>
    <tableColumn id="42" xr3:uid="{4059E4D2-D45B-4C91-981B-8F360E3FC2E1}" name="TM_TOV_PCT_RANK" dataDxfId="509"/>
    <tableColumn id="43" xr3:uid="{F88AA2AF-493E-4A00-BC27-3A22FE260D99}" name="EFG_PCT_RANK" dataDxfId="508"/>
    <tableColumn id="44" xr3:uid="{1D400D41-67E2-4406-A70C-93DEFF6BDC31}" name="TS_PCT_RANK" dataDxfId="507"/>
    <tableColumn id="45" xr3:uid="{FE754CBB-5BE2-4EA6-89BA-94D3CC7785F5}" name="PACE_RANK" dataDxfId="506"/>
    <tableColumn id="46" xr3:uid="{F49AB7FF-554E-4C23-A66F-1ECED3352E23}" name="PIE_RANK" dataDxfId="505"/>
    <tableColumn id="47" xr3:uid="{EC98E5B5-92B6-4193-8600-003F94631081}" name="CFID" dataDxfId="504"/>
    <tableColumn id="48" xr3:uid="{7C1A2092-8574-4E01-8B37-E6EEF25333A9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B1FAC17-F391-45B3-B0A0-3B525CDADD38}" name="TableMiscN1" displayName="TableMiscN1" ref="A1:AD31" totalsRowShown="0" headerRowDxfId="440">
  <autoFilter ref="A1:AD31" xr:uid="{3F163A27-FE14-43DC-84DA-F1AE5CF0AFE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85DFC5B3-2FD9-473B-9566-B0A24160A421}" name="TEAM_ID" dataDxfId="470"/>
    <tableColumn id="2" xr3:uid="{B449AD50-85E0-4917-B473-8F76E6CE728D}" name="TEAM_NAME" dataDxfId="469"/>
    <tableColumn id="3" xr3:uid="{FB035FA2-FA75-4ABE-B9D8-4C974D1DB889}" name="GP" dataDxfId="468"/>
    <tableColumn id="4" xr3:uid="{474F82AB-3547-42AF-AD16-D1D2B9381380}" name="W" dataDxfId="467"/>
    <tableColumn id="5" xr3:uid="{7C1416F7-97AC-457E-9D89-F0C7FE77ADB7}" name="L" dataDxfId="466"/>
    <tableColumn id="6" xr3:uid="{881B6F5D-D37A-4A8C-AFDE-8FDF22475AF9}" name="W_PCT" dataDxfId="465"/>
    <tableColumn id="7" xr3:uid="{71F133C9-1E64-4ADD-9324-BB8053B235D7}" name="MIN" dataDxfId="464"/>
    <tableColumn id="8" xr3:uid="{D1AD350D-DBEF-4460-8EB6-717F77743777}" name="PTS_OFF_TOV" dataDxfId="463"/>
    <tableColumn id="9" xr3:uid="{7599E343-5DA0-4B94-80D8-AD3F39C7C510}" name="PTS_2ND_CHANCE" dataDxfId="462"/>
    <tableColumn id="10" xr3:uid="{3B0C8F17-824E-4115-BE1B-91260306D4F5}" name="PTS_FB" dataDxfId="461"/>
    <tableColumn id="11" xr3:uid="{70B2204D-6916-4606-9638-5C1FCB486345}" name="PTS_PAINT" dataDxfId="460"/>
    <tableColumn id="12" xr3:uid="{BEF3BE9B-EA20-4B77-944F-E6FBFC5924CB}" name="OPP_PTS_OFF_TOV" dataDxfId="459"/>
    <tableColumn id="13" xr3:uid="{0A365956-1C36-4123-B74E-26C6D275200E}" name="OPP_PTS_2ND_CHANCE" dataDxfId="458"/>
    <tableColumn id="14" xr3:uid="{961BC30B-4262-45B4-9A7F-E7F112D96B30}" name="OPP_PTS_FB" dataDxfId="457"/>
    <tableColumn id="15" xr3:uid="{0E8D5FEF-E634-4002-966F-14ECA72DD96B}" name="OPP_PTS_PAINT" dataDxfId="456"/>
    <tableColumn id="16" xr3:uid="{063EF750-86C9-427E-B99D-BC328A407518}" name="GP_RANK" dataDxfId="455"/>
    <tableColumn id="17" xr3:uid="{EFC632B2-D960-49FF-9E3B-61E1F3101896}" name="W_RANK" dataDxfId="454"/>
    <tableColumn id="18" xr3:uid="{756FDA38-93CE-4F66-B420-A7B647783275}" name="L_RANK" dataDxfId="453"/>
    <tableColumn id="19" xr3:uid="{98893CFD-AD2A-49D8-8F85-A6C7971D01F0}" name="W_PCT_RANK" dataDxfId="452"/>
    <tableColumn id="20" xr3:uid="{DE252438-1132-48DA-A973-89A7289332D5}" name="MIN_RANK" dataDxfId="451"/>
    <tableColumn id="21" xr3:uid="{48347200-4325-4FD4-B2B7-F1F9B13EC522}" name="PTS_OFF_TOV_RANK" dataDxfId="450"/>
    <tableColumn id="22" xr3:uid="{C1A0D19B-FD26-4943-802F-80397778AA1F}" name="PTS_2ND_CHANCE_RANK" dataDxfId="449"/>
    <tableColumn id="23" xr3:uid="{07D8F9B7-0B13-4262-8FDC-1492959EAC09}" name="PTS_FB_RANK" dataDxfId="448"/>
    <tableColumn id="24" xr3:uid="{3AAB005E-150C-4F0C-AE36-CBCADACC9787}" name="PTS_PAINT_RANK" dataDxfId="447"/>
    <tableColumn id="25" xr3:uid="{02EB8814-013A-465A-991A-ACCC5E4CA963}" name="OPP_PTS_OFF_TOV_RANK" dataDxfId="446"/>
    <tableColumn id="26" xr3:uid="{B9485F67-EE65-44D9-90E1-08B7C68645ED}" name="OPP_PTS_2ND_CHANCE_RANK" dataDxfId="445"/>
    <tableColumn id="27" xr3:uid="{A8EBD1F1-B77C-42D3-9377-0BA5EEB9E3E0}" name="OPP_PTS_FB_RANK" dataDxfId="444"/>
    <tableColumn id="28" xr3:uid="{37AB333C-FCDE-4063-AF19-9950D3797EFF}" name="OPP_PTS_PAINT_RANK" dataDxfId="443"/>
    <tableColumn id="29" xr3:uid="{4E22FB8A-88F1-457A-83A6-791060EBF3DF}" name="CFID" dataDxfId="442"/>
    <tableColumn id="30" xr3:uid="{CDCDF88D-5892-49A4-BCDD-8F93BF5C4817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D8F10CD-230F-4E1B-B7B1-54EC5C8F9741}" name="TableOppBaseN1" displayName="TableOppBaseN1" ref="A1:BD31" totalsRowShown="0" headerRowDxfId="326">
  <autoFilter ref="A1:BD31" xr:uid="{A5BA9D76-68C8-4B5B-B766-D598A48807D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FB9147EF-0973-425C-9ABF-C46C83BECC35}" name="TEAM_ID" dataDxfId="382"/>
    <tableColumn id="2" xr3:uid="{DCD2FDAC-9F95-467D-B663-1F54BCEDA256}" name="TEAM_NAME" dataDxfId="381"/>
    <tableColumn id="3" xr3:uid="{A8EE940D-D964-4872-B8C3-896BD629B7F8}" name="GP" dataDxfId="380"/>
    <tableColumn id="4" xr3:uid="{8BE65764-2839-4F73-B5FE-8827E48CF95E}" name="W" dataDxfId="379"/>
    <tableColumn id="5" xr3:uid="{07C19609-8BCF-4994-8558-CE8832533BEB}" name="L" dataDxfId="378"/>
    <tableColumn id="6" xr3:uid="{C74A5AF3-CC82-40B6-B377-2A8CEE8DE722}" name="W_PCT" dataDxfId="377"/>
    <tableColumn id="7" xr3:uid="{1C3D3D11-9565-412E-8B74-3BB3C1C74798}" name="MIN" dataDxfId="376"/>
    <tableColumn id="8" xr3:uid="{039F2411-CD81-4976-9E2F-30F405C39914}" name="OPP_FGM" dataDxfId="375"/>
    <tableColumn id="9" xr3:uid="{22BFC462-7364-477B-9A84-7F9637FF2434}" name="OPP_FGA" dataDxfId="374"/>
    <tableColumn id="10" xr3:uid="{B8CE0E31-9317-4862-9239-771C45E01FCC}" name="OPP_FG_PCT" dataDxfId="373"/>
    <tableColumn id="11" xr3:uid="{7E3C0DCA-C171-44A9-A79F-1DCE9A02F43C}" name="OPP_FG3M" dataDxfId="372"/>
    <tableColumn id="12" xr3:uid="{AD29ABEC-D859-4372-9812-D165C78AE9B3}" name="OPP_FG3A" dataDxfId="371"/>
    <tableColumn id="13" xr3:uid="{A5C5557C-F5C6-470F-8698-19F4A217A044}" name="OPP_FG3_PCT" dataDxfId="370"/>
    <tableColumn id="14" xr3:uid="{F0193DC4-F1DF-47E2-A090-A0D98F75C1B4}" name="OPP_FTM" dataDxfId="369"/>
    <tableColumn id="15" xr3:uid="{F25DE603-7292-431C-A805-C90B9D7C7497}" name="OPP_FTA" dataDxfId="368"/>
    <tableColumn id="16" xr3:uid="{C608A9F1-C97A-457A-8062-760EFBB9CAEF}" name="OPP_FT_PCT" dataDxfId="367"/>
    <tableColumn id="17" xr3:uid="{48E6637A-0617-40A5-943C-1ED8D28925C3}" name="OPP_OREB" dataDxfId="366"/>
    <tableColumn id="18" xr3:uid="{D6B053AC-D645-4133-9EA9-45E2A881BE89}" name="OPP_DREB" dataDxfId="365"/>
    <tableColumn id="19" xr3:uid="{853069E3-9490-4ECC-BDFB-EC6CE205282C}" name="OPP_REB" dataDxfId="364"/>
    <tableColumn id="20" xr3:uid="{CEFA276C-7AE4-41C6-B4D4-5D61DF9A6E01}" name="OPP_AST" dataDxfId="363"/>
    <tableColumn id="21" xr3:uid="{6DF72D42-5382-4A01-8D38-E54FD53ACA66}" name="OPP_TOV" dataDxfId="362"/>
    <tableColumn id="22" xr3:uid="{B3661EBD-4962-41C7-8187-C8A23170EBF2}" name="OPP_STL" dataDxfId="361"/>
    <tableColumn id="23" xr3:uid="{A389244B-28FF-4F1F-9E01-E28DBD790241}" name="OPP_BLK" dataDxfId="360"/>
    <tableColumn id="24" xr3:uid="{BCA30E1F-4A7C-42B3-B110-66A01FFA8103}" name="OPP_BLKA" dataDxfId="359"/>
    <tableColumn id="25" xr3:uid="{F4905B12-06CB-438F-BE9F-27818E0DCC6B}" name="OPP_PF" dataDxfId="358"/>
    <tableColumn id="26" xr3:uid="{18DE7F01-2C5A-433F-9C40-FA09B54DE004}" name="OPP_PFD" dataDxfId="357"/>
    <tableColumn id="27" xr3:uid="{CAF7397C-05FA-484D-8D82-BF37A25A9F77}" name="OPP_PTS" dataDxfId="356"/>
    <tableColumn id="28" xr3:uid="{EAC1485E-88E8-4F80-988C-80BF9E57A6CE}" name="PLUS_MINUS" dataDxfId="355"/>
    <tableColumn id="29" xr3:uid="{02933F86-749B-4050-B2DC-D37A9968F427}" name="GP_RANK" dataDxfId="354"/>
    <tableColumn id="30" xr3:uid="{6DF84406-CC5A-45C7-9B2E-F0183D63DCA4}" name="W_RANK" dataDxfId="353"/>
    <tableColumn id="31" xr3:uid="{90711298-B02C-4A8E-813F-CA1D0267DEA8}" name="L_RANK" dataDxfId="352"/>
    <tableColumn id="32" xr3:uid="{6FD8E543-5456-43E9-B905-FAF490E9F759}" name="W_PCT_RANK" dataDxfId="351"/>
    <tableColumn id="33" xr3:uid="{973F203C-D808-429E-B96E-73699BF80116}" name="MIN_RANK" dataDxfId="350"/>
    <tableColumn id="34" xr3:uid="{0BCFFF6D-2AAF-46FD-85B6-4967DE17E0A6}" name="OPP_FGM_RANK" dataDxfId="349"/>
    <tableColumn id="35" xr3:uid="{7AE3B49F-7F77-42AE-A0D1-4E3BDA245623}" name="OPP_FGA_RANK" dataDxfId="348"/>
    <tableColumn id="36" xr3:uid="{CCDD392B-4B45-49A8-B781-F6AB1AE4978E}" name="OPP_FG_PCT_RANK" dataDxfId="347"/>
    <tableColumn id="37" xr3:uid="{241AB6C8-F5F8-4CF5-AD4D-1F70D86ED9C1}" name="OPP_FG3M_RANK" dataDxfId="346"/>
    <tableColumn id="38" xr3:uid="{559DA635-A5E9-449C-A1FE-2807E7919B5A}" name="OPP_FG3A_RANK" dataDxfId="345"/>
    <tableColumn id="39" xr3:uid="{BFAD48D6-410B-4FAB-9D11-81C2128C8CC3}" name="OPP_FG3_PCT_RANK" dataDxfId="344"/>
    <tableColumn id="40" xr3:uid="{339FE191-BCB5-44EA-83E2-9062A22B9FDA}" name="OPP_FTM_RANK" dataDxfId="343"/>
    <tableColumn id="41" xr3:uid="{D3AB94C2-B8C5-4619-A702-2C1DCB838430}" name="OPP_FTA_RANK" dataDxfId="342"/>
    <tableColumn id="42" xr3:uid="{FCA5A11E-F69C-4BFD-9503-DD5C37109C42}" name="OPP_FT_PCT_RANK" dataDxfId="341"/>
    <tableColumn id="43" xr3:uid="{D5EFAD0B-6239-40EE-8E72-4791823CF025}" name="OPP_OREB_RANK" dataDxfId="340"/>
    <tableColumn id="44" xr3:uid="{25D485A7-5407-4644-9B63-D67A6A89E496}" name="OPP_DREB_RANK" dataDxfId="339"/>
    <tableColumn id="45" xr3:uid="{FA70E6A2-DCB6-45DA-A556-52BC921937FE}" name="OPP_REB_RANK" dataDxfId="338"/>
    <tableColumn id="46" xr3:uid="{5E0BC16B-ED4A-42F3-963A-8D25F34E3F29}" name="OPP_AST_RANK" dataDxfId="337"/>
    <tableColumn id="47" xr3:uid="{7771228C-0D9F-465F-A8A6-E822FC7D3262}" name="OPP_TOV_RANK" dataDxfId="336"/>
    <tableColumn id="48" xr3:uid="{A4B90062-E7BF-4A46-BB08-B92072DD812A}" name="OPP_STL_RANK" dataDxfId="335"/>
    <tableColumn id="49" xr3:uid="{F823AE8C-DADC-4EDC-9F3A-FF75F860DE19}" name="OPP_BLK_RANK" dataDxfId="334"/>
    <tableColumn id="50" xr3:uid="{43C1F68C-4745-4E70-A016-4755C86B4E14}" name="OPP_BLKA_RANK" dataDxfId="333"/>
    <tableColumn id="51" xr3:uid="{C219876A-BADA-4188-9D28-E241D153FF7F}" name="OPP_PF_RANK" dataDxfId="332"/>
    <tableColumn id="52" xr3:uid="{A83654D7-4DBD-4C9C-B7ED-04BAF68DFEC8}" name="OPP_PFD_RANK" dataDxfId="331"/>
    <tableColumn id="53" xr3:uid="{8662FFBB-1901-477A-895B-2934179099C4}" name="OPP_PTS_RANK" dataDxfId="330"/>
    <tableColumn id="54" xr3:uid="{9466B3CB-639B-4F53-9829-9A55E6287C4A}" name="PLUS_MINUS_RANK" dataDxfId="329"/>
    <tableColumn id="55" xr3:uid="{59B2FC75-CCFD-400B-9422-95F9BF37A254}" name="CFID" dataDxfId="328"/>
    <tableColumn id="56" xr3:uid="{DD37F297-B39F-42FE-85DF-A6D88E2F5D76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7872228-9AE5-406B-9EE5-0B3BC06E2AE6}" name="TableClutchBaseN1" displayName="TableClutchBaseN1" ref="A1:BD31" totalsRowShown="0" headerRowDxfId="212">
  <autoFilter ref="A1:BD31" xr:uid="{761E7FB0-9709-4DE8-AAD3-39389347EA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33E7E92-43EF-4DCD-A8E5-0328B524D41F}" name="TEAM_ID" dataDxfId="268"/>
    <tableColumn id="2" xr3:uid="{3D850262-4337-48E2-8FA4-48698E0A93B3}" name="TEAM_NAME" dataDxfId="267"/>
    <tableColumn id="3" xr3:uid="{A3855C7C-51A7-4747-BCE8-FFD2DDD27CAE}" name="GP" dataDxfId="266"/>
    <tableColumn id="4" xr3:uid="{5D6215C9-6735-4C3C-BD69-2E7EAB5B7474}" name="W" dataDxfId="265"/>
    <tableColumn id="5" xr3:uid="{25B837E1-15A1-466C-8BF1-8E569C60789B}" name="L" dataDxfId="264"/>
    <tableColumn id="6" xr3:uid="{CC3A05A3-EED3-45FD-AE6D-F625EDD4C1F1}" name="W_PCT" dataDxfId="263"/>
    <tableColumn id="7" xr3:uid="{504095B3-B5F8-4188-8416-9D2516F40198}" name="MIN" dataDxfId="262"/>
    <tableColumn id="8" xr3:uid="{39F2EF67-6799-4D36-A5CA-9E0E373D81FC}" name="FGM" dataDxfId="261"/>
    <tableColumn id="9" xr3:uid="{E85B9807-1F0A-4611-9BCB-B6AA47FA1976}" name="FGA" dataDxfId="260"/>
    <tableColumn id="10" xr3:uid="{1DED7260-5B5D-47C3-A43A-73F649581392}" name="FG_PCT" dataDxfId="259"/>
    <tableColumn id="11" xr3:uid="{566806BF-C158-48A2-A03A-D8ABE4DC5893}" name="FG3M" dataDxfId="258"/>
    <tableColumn id="12" xr3:uid="{6455C128-58EE-4761-84F7-B60DC97C3D2A}" name="FG3A" dataDxfId="257"/>
    <tableColumn id="13" xr3:uid="{2C2E8C75-2A78-410F-A63E-1B76869B09F7}" name="FG3_PCT" dataDxfId="256"/>
    <tableColumn id="14" xr3:uid="{94594EAD-0030-4655-A06D-0D112A3AF20F}" name="FTM" dataDxfId="255"/>
    <tableColumn id="15" xr3:uid="{28107F5A-4D39-49FC-844C-8DD80C971269}" name="FTA" dataDxfId="254"/>
    <tableColumn id="16" xr3:uid="{57CE50CD-FFC9-446C-9DDD-59202BF3F1CF}" name="FT_PCT" dataDxfId="253"/>
    <tableColumn id="17" xr3:uid="{464F95AC-6DF4-416A-A001-2CCFD9364DFA}" name="OREB" dataDxfId="252"/>
    <tableColumn id="18" xr3:uid="{B282828A-4FA4-4D75-A142-F6B75DBE38A1}" name="DREB" dataDxfId="251"/>
    <tableColumn id="19" xr3:uid="{59DD2104-4D95-40AC-A9B7-E18CEBF455CB}" name="REB" dataDxfId="250"/>
    <tableColumn id="20" xr3:uid="{9B399EB4-EC83-4D78-8377-523A4B4152DF}" name="AST" dataDxfId="249"/>
    <tableColumn id="21" xr3:uid="{ADE18F42-B493-4892-9DAB-FDDE18C5ACAC}" name="TOV" dataDxfId="248"/>
    <tableColumn id="22" xr3:uid="{CDAF25A9-73C9-4A54-960F-41FE7F129DCE}" name="STL" dataDxfId="247"/>
    <tableColumn id="23" xr3:uid="{3FCE49AF-2725-4A11-A088-233737146C3A}" name="BLK" dataDxfId="246"/>
    <tableColumn id="24" xr3:uid="{D44CE3B5-5532-4EA0-B308-F4894741682E}" name="BLKA" dataDxfId="245"/>
    <tableColumn id="25" xr3:uid="{0E703D29-50FB-4B7F-9C8C-7B390328D592}" name="PF" dataDxfId="244"/>
    <tableColumn id="26" xr3:uid="{48B507C6-898A-49B5-813A-C09D1B35061E}" name="PFD" dataDxfId="243"/>
    <tableColumn id="27" xr3:uid="{3C6E5530-4AAD-41B6-994C-52EB1D35D0D6}" name="PTS" dataDxfId="242"/>
    <tableColumn id="28" xr3:uid="{7FF7F887-6991-4B6F-9265-8FD0FE28C782}" name="PLUS_MINUS" dataDxfId="241"/>
    <tableColumn id="29" xr3:uid="{BC237A1C-22D4-4794-B1B5-2F8802ECB638}" name="GP_RANK" dataDxfId="240"/>
    <tableColumn id="30" xr3:uid="{CB7A1BB7-246F-44FD-B974-49DBC115E3C5}" name="W_RANK" dataDxfId="239"/>
    <tableColumn id="31" xr3:uid="{2F709752-E541-47F5-B0E8-0DD6F5B0850E}" name="L_RANK" dataDxfId="238"/>
    <tableColumn id="32" xr3:uid="{6DF5071B-BD3D-40E9-8F0E-5793477BA238}" name="W_PCT_RANK" dataDxfId="237"/>
    <tableColumn id="33" xr3:uid="{3BB36D15-9180-4642-AA18-5C5F4FBCD0EE}" name="MIN_RANK" dataDxfId="236"/>
    <tableColumn id="34" xr3:uid="{1418C204-651C-48DE-9C6F-056C99E31F5A}" name="FGM_RANK" dataDxfId="235"/>
    <tableColumn id="35" xr3:uid="{FB8ED704-A990-4459-8B88-A5368AC044A1}" name="FGA_RANK" dataDxfId="234"/>
    <tableColumn id="36" xr3:uid="{0D8DE704-663B-4094-978E-227DF4B8271A}" name="FG_PCT_RANK" dataDxfId="233"/>
    <tableColumn id="37" xr3:uid="{82CA9229-6021-4624-AB3D-D5D9818C745D}" name="FG3M_RANK" dataDxfId="232"/>
    <tableColumn id="38" xr3:uid="{A01BD6E6-0EC5-4FBE-900D-6C83D8FF06CE}" name="FG3A_RANK" dataDxfId="231"/>
    <tableColumn id="39" xr3:uid="{0CE7C043-318E-4E08-9F79-099CB7065C6E}" name="FG3_PCT_RANK" dataDxfId="230"/>
    <tableColumn id="40" xr3:uid="{59FBE589-72A4-4A17-BED4-282A913FD50F}" name="FTM_RANK" dataDxfId="229"/>
    <tableColumn id="41" xr3:uid="{BFEB8B65-19F3-4322-B047-80FBA2FFFAAC}" name="FTA_RANK" dataDxfId="228"/>
    <tableColumn id="42" xr3:uid="{5B91692C-E10D-4B51-9B03-E3CD88048518}" name="FT_PCT_RANK" dataDxfId="227"/>
    <tableColumn id="43" xr3:uid="{936C2A26-7405-439E-814B-E10FB6B5FD20}" name="OREB_RANK" dataDxfId="226"/>
    <tableColumn id="44" xr3:uid="{8A3875CC-E963-47A1-B4CD-0B7050BBCAD4}" name="DREB_RANK" dataDxfId="225"/>
    <tableColumn id="45" xr3:uid="{6B849DC5-BC5A-438C-80A1-6EA94C739DAA}" name="REB_RANK" dataDxfId="224"/>
    <tableColumn id="46" xr3:uid="{F6370531-B533-4818-B4AB-5A3B9F4EF60E}" name="AST_RANK" dataDxfId="223"/>
    <tableColumn id="47" xr3:uid="{CF1E1D26-D7D2-4BDE-B9EE-E2776BDDC913}" name="TOV_RANK" dataDxfId="222"/>
    <tableColumn id="48" xr3:uid="{BA738696-EA09-4B77-B9D9-F0D53301C731}" name="STL_RANK" dataDxfId="221"/>
    <tableColumn id="49" xr3:uid="{112C3135-4A5C-41DF-907F-BEE5351DC5A5}" name="BLK_RANK" dataDxfId="220"/>
    <tableColumn id="50" xr3:uid="{F30D2F8E-7967-49B3-A825-5AEA552AA981}" name="BLKA_RANK" dataDxfId="219"/>
    <tableColumn id="51" xr3:uid="{795B26A2-F456-481C-A9C4-F1FBEFD3E087}" name="PF_RANK" dataDxfId="218"/>
    <tableColumn id="52" xr3:uid="{C4932CF4-6BCE-4A66-8206-5910467A285F}" name="PFD_RANK" dataDxfId="217"/>
    <tableColumn id="53" xr3:uid="{8DE0E792-854E-4370-A7CF-D8418806D913}" name="PTS_RANK" dataDxfId="216"/>
    <tableColumn id="54" xr3:uid="{0C5650A9-1E52-4ED9-9FCE-6A09BCE6700A}" name="PLUS_MINUS_RANK" dataDxfId="215"/>
    <tableColumn id="55" xr3:uid="{9027FE2B-5DB4-4E6A-A941-F94C9CF2CB3A}" name="CFID" dataDxfId="214"/>
    <tableColumn id="56" xr3:uid="{1B74EFAA-3BCF-46E1-AC4B-8D5103E79603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11919C5-C74E-4D36-B099-6B633E86ECA9}" name="TableClutchOpponentN1" displayName="TableClutchOpponentN1" ref="A1:BD31" totalsRowShown="0" headerRowDxfId="98">
  <autoFilter ref="A1:BD31" xr:uid="{9DD46944-900B-4A3E-A1D6-D536699D7C2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170CDB3-7C54-43C0-B6AA-CEEFE4F9FA1A}" name="TEAM_ID" dataDxfId="154"/>
    <tableColumn id="2" xr3:uid="{D96D1764-EA58-497A-AC9E-830A70F6872A}" name="TEAM_NAME" dataDxfId="153"/>
    <tableColumn id="3" xr3:uid="{14270E41-4C93-4F95-99E6-6147D00EE364}" name="GP" dataDxfId="152"/>
    <tableColumn id="4" xr3:uid="{1954E98E-EC7C-4291-8CFF-A1F92352F1E1}" name="W" dataDxfId="151"/>
    <tableColumn id="5" xr3:uid="{3B1C77BD-2CD2-4534-8AC6-B59B931F03B4}" name="L" dataDxfId="150"/>
    <tableColumn id="6" xr3:uid="{90BACCF5-4A41-4ACE-BDBB-B486FD13B2CB}" name="W_PCT" dataDxfId="149"/>
    <tableColumn id="7" xr3:uid="{1B279156-A9AA-4DDB-A4B2-6326EF349B57}" name="MIN" dataDxfId="148"/>
    <tableColumn id="8" xr3:uid="{051807C1-24C8-44EB-AE69-BD0F4560DD06}" name="OPP_FGM" dataDxfId="147"/>
    <tableColumn id="9" xr3:uid="{3D48E9E7-4E13-49A3-8370-B5DE22C1ABDE}" name="OPP_FGA" dataDxfId="146"/>
    <tableColumn id="10" xr3:uid="{38A21130-E888-4F47-8E72-84174EB09EA4}" name="OPP_FG_PCT" dataDxfId="145"/>
    <tableColumn id="11" xr3:uid="{945F2765-BA6C-4048-8A78-50DC0AD7E0D8}" name="OPP_FG3M" dataDxfId="144"/>
    <tableColumn id="12" xr3:uid="{628BA408-2AD7-4937-B4EC-7364552557C2}" name="OPP_FG3A" dataDxfId="143"/>
    <tableColumn id="13" xr3:uid="{2CE2B4C0-1FCA-427A-A35C-15B2EA46D824}" name="OPP_FG3_PCT" dataDxfId="142"/>
    <tableColumn id="14" xr3:uid="{97F82188-0CF0-4CF1-BD08-57783FB1B7AC}" name="OPP_FTM" dataDxfId="141"/>
    <tableColumn id="15" xr3:uid="{0894A1F0-ED3C-4DDC-A638-25C1E9CEDC7B}" name="OPP_FTA" dataDxfId="140"/>
    <tableColumn id="16" xr3:uid="{EBB29432-189F-4B12-B049-128AA9416C0F}" name="OPP_FT_PCT" dataDxfId="139"/>
    <tableColumn id="17" xr3:uid="{7160FF46-639A-45E2-A675-D2DFB172D3D9}" name="OPP_OREB" dataDxfId="138"/>
    <tableColumn id="18" xr3:uid="{78F65049-37FC-4BE0-A873-EA310B60A892}" name="OPP_DREB" dataDxfId="137"/>
    <tableColumn id="19" xr3:uid="{61210FBD-BC84-404F-A1B5-4A7B2D26E676}" name="OPP_REB" dataDxfId="136"/>
    <tableColumn id="20" xr3:uid="{3275F173-AC27-49D4-BFFB-5D9E1CCF3370}" name="OPP_AST" dataDxfId="135"/>
    <tableColumn id="21" xr3:uid="{E7D75F90-4B56-4B11-B373-EB9EF5C79AF5}" name="OPP_TOV" dataDxfId="134"/>
    <tableColumn id="22" xr3:uid="{CA857A0F-6CCB-4A55-9102-1CD0492D5D99}" name="OPP_STL" dataDxfId="133"/>
    <tableColumn id="23" xr3:uid="{A3B440DB-47ED-41C9-9A87-D67C1C47C95A}" name="OPP_BLK" dataDxfId="132"/>
    <tableColumn id="24" xr3:uid="{5E12448F-8DD0-4413-90FD-B6C644740F45}" name="OPP_BLKA" dataDxfId="131"/>
    <tableColumn id="25" xr3:uid="{8B163E2F-9103-4FCE-A69E-8A0A6BFFC32E}" name="OPP_PF" dataDxfId="130"/>
    <tableColumn id="26" xr3:uid="{566BB293-0BCC-4D10-B2BE-052181D22B6B}" name="OPP_PFD" dataDxfId="129"/>
    <tableColumn id="27" xr3:uid="{E6733CA5-D7C9-42B5-AB8C-508B87B5E779}" name="OPP_PTS" dataDxfId="128"/>
    <tableColumn id="28" xr3:uid="{6645A1A3-45AD-4C80-901E-5AD5DB0F6A22}" name="PLUS_MINUS" dataDxfId="127"/>
    <tableColumn id="29" xr3:uid="{E725A154-3C56-4FA6-BA5A-66CDB82066D0}" name="GP_RANK" dataDxfId="126"/>
    <tableColumn id="30" xr3:uid="{4562C946-C0C4-479E-9FF5-58C7BE727DBF}" name="W_RANK" dataDxfId="125"/>
    <tableColumn id="31" xr3:uid="{411E7FDD-E13D-45C8-92D7-92F03F973436}" name="L_RANK" dataDxfId="124"/>
    <tableColumn id="32" xr3:uid="{85C24AEB-C0E2-4D8E-93C8-D6128D496C0F}" name="W_PCT_RANK" dataDxfId="123"/>
    <tableColumn id="33" xr3:uid="{7CB3BF0C-A239-4575-BDBE-8FC643BC3639}" name="MIN_RANK" dataDxfId="122"/>
    <tableColumn id="34" xr3:uid="{1246075F-6F87-4082-8425-C63FCEF5EEEB}" name="OPP_FGM_RANK" dataDxfId="121"/>
    <tableColumn id="35" xr3:uid="{55A6C652-F3FC-4C4D-8E51-2908C85F0FD4}" name="OPP_FGA_RANK" dataDxfId="120"/>
    <tableColumn id="36" xr3:uid="{68AAC537-B552-4C4C-B36B-41F7FBF1AF5C}" name="OPP_FG_PCT_RANK" dataDxfId="119"/>
    <tableColumn id="37" xr3:uid="{15C55E6B-C434-49C9-8BDB-1A199E179967}" name="OPP_FG3M_RANK" dataDxfId="118"/>
    <tableColumn id="38" xr3:uid="{3EB45D14-5740-43A5-810D-9281A640F703}" name="OPP_FG3A_RANK" dataDxfId="117"/>
    <tableColumn id="39" xr3:uid="{D7CEDCED-6CC2-4607-B121-DC06E29A5279}" name="OPP_FG3_PCT_RANK" dataDxfId="116"/>
    <tableColumn id="40" xr3:uid="{D8105BEE-F594-49B7-ADCF-1170F3AE6353}" name="OPP_FTM_RANK" dataDxfId="115"/>
    <tableColumn id="41" xr3:uid="{D8443D67-270E-4037-891C-145ABB98213C}" name="OPP_FTA_RANK" dataDxfId="114"/>
    <tableColumn id="42" xr3:uid="{10419EA5-7E67-4030-A361-6CA72B4652B1}" name="OPP_FT_PCT_RANK" dataDxfId="113"/>
    <tableColumn id="43" xr3:uid="{631081C2-21CE-4F18-BAA4-7C364E0BE7E4}" name="OPP_OREB_RANK" dataDxfId="112"/>
    <tableColumn id="44" xr3:uid="{DEC581CF-9A6B-4B62-A798-6CFA12392E8B}" name="OPP_DREB_RANK" dataDxfId="111"/>
    <tableColumn id="45" xr3:uid="{58409C87-149F-4974-A6DE-0702CCB71496}" name="OPP_REB_RANK" dataDxfId="110"/>
    <tableColumn id="46" xr3:uid="{6212C144-D56A-40B2-BEA8-DB97DF15EE17}" name="OPP_AST_RANK" dataDxfId="109"/>
    <tableColumn id="47" xr3:uid="{C72DA2B6-04AD-4D70-BEA9-0F3ABC9CBAD2}" name="OPP_TOV_RANK" dataDxfId="108"/>
    <tableColumn id="48" xr3:uid="{CC171E66-A765-4917-B2D7-95E65B0999B1}" name="OPP_STL_RANK" dataDxfId="107"/>
    <tableColumn id="49" xr3:uid="{534D805E-DDCD-4E46-9E40-A6896BDE2E6A}" name="OPP_BLK_RANK" dataDxfId="106"/>
    <tableColumn id="50" xr3:uid="{1259DCE9-EDEE-4B1C-A206-21FBC11B4890}" name="OPP_BLKA_RANK" dataDxfId="105"/>
    <tableColumn id="51" xr3:uid="{E70243AB-A4BF-4D06-8EA8-3E2424CB3357}" name="OPP_PF_RANK" dataDxfId="104"/>
    <tableColumn id="52" xr3:uid="{9A15F4E4-4F2F-461D-B60D-B4651F9B3589}" name="OPP_PFD_RANK" dataDxfId="103"/>
    <tableColumn id="53" xr3:uid="{EFE61FC4-FAEB-4459-A163-FAFA674FADAA}" name="OPP_PTS_RANK" dataDxfId="102"/>
    <tableColumn id="54" xr3:uid="{C34288AA-3CCC-40F6-954C-089817C7847F}" name="PLUS_MINUS_RANK" dataDxfId="101"/>
    <tableColumn id="55" xr3:uid="{F5EE1C8B-FD1F-4DFD-B406-E285DCD6EC4A}" name="CFID" dataDxfId="100"/>
    <tableColumn id="56" xr3:uid="{B07D5831-C879-4998-9099-8ADE19D0D4BC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4916A08-F559-45A4-ABB0-153E8AB21409}" name="TableClutchAdvancedN1" displayName="TableClutchAdvancedN1" ref="A1:AV31" totalsRowShown="0" headerRowDxfId="0">
  <autoFilter ref="A1:AV31" xr:uid="{359BEF39-A8FB-4E2D-80F5-2EE2C7C6F55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A5DDA0FD-89FF-49BF-9E85-F1D70BCA18FB}" name="TEAM_ID" dataDxfId="48"/>
    <tableColumn id="2" xr3:uid="{C3FF9428-A06C-47D5-B871-48B1977935A7}" name="TEAM_NAME" dataDxfId="47"/>
    <tableColumn id="3" xr3:uid="{7E610A5E-53DE-4A8B-ABEA-4ED79FCA2DFC}" name="GP" dataDxfId="46"/>
    <tableColumn id="4" xr3:uid="{C6E4402E-0179-428D-9C8B-61ADFE26526A}" name="W" dataDxfId="45"/>
    <tableColumn id="5" xr3:uid="{8D867B8C-C916-400E-8B00-D78A36EA2997}" name="L" dataDxfId="44"/>
    <tableColumn id="6" xr3:uid="{51AE5D94-CC9B-4C2A-AE93-4305CFF75252}" name="W_PCT" dataDxfId="43"/>
    <tableColumn id="7" xr3:uid="{99F9B217-7005-4E96-953F-C3BB932A4DAC}" name="MIN" dataDxfId="42"/>
    <tableColumn id="8" xr3:uid="{5AABF96F-53AF-4A44-A5DD-2E8541CA49EA}" name="E_OFF_RATING" dataDxfId="41"/>
    <tableColumn id="9" xr3:uid="{A044C7DE-C89B-4B06-866F-2625A265F06D}" name="OFF_RATING" dataDxfId="40"/>
    <tableColumn id="10" xr3:uid="{A286D44C-D6E4-4B64-ABA2-27C9054F0729}" name="E_DEF_RATING" dataDxfId="39"/>
    <tableColumn id="11" xr3:uid="{FA021CF9-A944-4DD5-B193-B900C02A06DE}" name="DEF_RATING" dataDxfId="38"/>
    <tableColumn id="12" xr3:uid="{95845FBB-E084-45FA-B713-F03ADFFB553A}" name="E_NET_RATING" dataDxfId="37"/>
    <tableColumn id="13" xr3:uid="{F88F7BDA-2B0F-4EA7-A365-7BDEAA8A7E93}" name="NET_RATING" dataDxfId="36"/>
    <tableColumn id="14" xr3:uid="{BC75CD2D-527E-429F-84E9-94512D777206}" name="AST_PCT" dataDxfId="35"/>
    <tableColumn id="15" xr3:uid="{3128528A-C5BF-4C63-8600-F8423C3D63FD}" name="AST_TO" dataDxfId="34"/>
    <tableColumn id="16" xr3:uid="{DC8731DB-FEBE-48CD-91D9-983B53E353D3}" name="AST_RATIO" dataDxfId="33"/>
    <tableColumn id="17" xr3:uid="{39AB4934-2673-4F9B-BF22-BFDA031987CD}" name="OREB_PCT" dataDxfId="32"/>
    <tableColumn id="18" xr3:uid="{CD574DCB-5094-4F91-B725-B304F9E010ED}" name="DREB_PCT" dataDxfId="31"/>
    <tableColumn id="19" xr3:uid="{BF54544E-73C8-4475-8661-755247F1F6A5}" name="REB_PCT" dataDxfId="30"/>
    <tableColumn id="20" xr3:uid="{A94074BB-BED4-485D-B0B1-235D0647C31E}" name="TM_TOV_PCT" dataDxfId="29"/>
    <tableColumn id="21" xr3:uid="{CCC44E4A-4238-4949-A539-F527B3F7D2C5}" name="EFG_PCT" dataDxfId="28"/>
    <tableColumn id="22" xr3:uid="{BD353241-3ECE-4981-8814-CD0526F68364}" name="TS_PCT" dataDxfId="27"/>
    <tableColumn id="23" xr3:uid="{105EE9F3-CF57-40BA-A386-5A0CF05230D4}" name="E_PACE" dataDxfId="26"/>
    <tableColumn id="24" xr3:uid="{1AA547B1-4091-4FDF-9002-58CDEC7BD78B}" name="PACE" dataDxfId="25"/>
    <tableColumn id="25" xr3:uid="{3B7A1DD2-4B36-48DB-9A72-EF905158A77D}" name="PACE_PER40" dataDxfId="24"/>
    <tableColumn id="26" xr3:uid="{7072046C-F80E-4C79-83D2-A923855F09B1}" name="POSS" dataDxfId="23"/>
    <tableColumn id="27" xr3:uid="{1D9C49B3-0457-40FF-80E0-528A8D368395}" name="PIE" dataDxfId="22"/>
    <tableColumn id="28" xr3:uid="{3FB7785B-CF14-43DB-A14A-FE40A0E5DCFE}" name="GP_RANK" dataDxfId="21"/>
    <tableColumn id="29" xr3:uid="{BBA1BD93-11A3-4283-8252-5D0614886CCC}" name="W_RANK" dataDxfId="20"/>
    <tableColumn id="30" xr3:uid="{132A8BB7-98A9-4AE9-8EDF-2EAA976E485A}" name="L_RANK" dataDxfId="19"/>
    <tableColumn id="31" xr3:uid="{D2B46767-3415-4CB9-A2A9-3F9252A7F6D3}" name="W_PCT_RANK" dataDxfId="18"/>
    <tableColumn id="32" xr3:uid="{17181C64-8F45-49D9-A1F0-7E3C9B1D94BC}" name="MIN_RANK" dataDxfId="17"/>
    <tableColumn id="33" xr3:uid="{153739DE-C4BB-47A7-8115-345A5A5B8EEE}" name="OFF_RATING_RANK" dataDxfId="16"/>
    <tableColumn id="34" xr3:uid="{23AF2DCF-B1C2-401D-A217-352736D3D711}" name="DEF_RATING_RANK" dataDxfId="15"/>
    <tableColumn id="35" xr3:uid="{C574C86A-892E-42D0-AC54-9F3282F95646}" name="NET_RATING_RANK" dataDxfId="14"/>
    <tableColumn id="36" xr3:uid="{12D3C824-98E9-4F99-81EC-776E88DE00EB}" name="AST_PCT_RANK" dataDxfId="13"/>
    <tableColumn id="37" xr3:uid="{E0ACB115-2D63-4647-AC43-893BD289D884}" name="AST_TO_RANK" dataDxfId="12"/>
    <tableColumn id="38" xr3:uid="{C57FAF65-43B8-4CDD-8513-274F7892CC03}" name="AST_RATIO_RANK" dataDxfId="11"/>
    <tableColumn id="39" xr3:uid="{80A53EED-D331-4A6A-A6B0-096C13E1C635}" name="OREB_PCT_RANK" dataDxfId="10"/>
    <tableColumn id="40" xr3:uid="{C16FBB60-B3B0-4216-BB3B-AC0CFF99A57E}" name="DREB_PCT_RANK" dataDxfId="9"/>
    <tableColumn id="41" xr3:uid="{F8CAE49F-90FD-4E67-99E4-820711D37A90}" name="REB_PCT_RANK" dataDxfId="8"/>
    <tableColumn id="42" xr3:uid="{BB79D7F0-B391-4733-8247-6F25C04B5241}" name="TM_TOV_PCT_RANK" dataDxfId="7"/>
    <tableColumn id="43" xr3:uid="{B0A867B6-75C6-4D45-AD0B-092C08CCEF61}" name="EFG_PCT_RANK" dataDxfId="6"/>
    <tableColumn id="44" xr3:uid="{80851739-9584-4110-9335-21AAECD614B1}" name="TS_PCT_RANK" dataDxfId="5"/>
    <tableColumn id="45" xr3:uid="{92E37260-7CE5-4D44-A32E-50E1B82955F5}" name="PACE_RANK" dataDxfId="4"/>
    <tableColumn id="46" xr3:uid="{50356AB0-0D16-4602-A4DB-A34797250510}" name="PIE_RANK" dataDxfId="3"/>
    <tableColumn id="47" xr3:uid="{170E0E43-3F3B-4817-AEBE-37F3FE0839BE}" name="CFID" dataDxfId="2"/>
    <tableColumn id="48" xr3:uid="{9F3D435F-9B0B-4091-8596-4633F96EE80D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workbookViewId="0">
      <selection activeCell="I63" sqref="I63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1405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1410</v>
      </c>
      <c r="D3" s="2">
        <v>15</v>
      </c>
      <c r="F3" s="1" t="s">
        <v>1406</v>
      </c>
      <c r="G3" s="2">
        <v>15</v>
      </c>
    </row>
    <row r="4" spans="1:7" x14ac:dyDescent="0.25">
      <c r="A4" s="23"/>
      <c r="B4" s="5" t="s">
        <v>6</v>
      </c>
      <c r="C4" s="11">
        <v>0.20699999999999999</v>
      </c>
      <c r="F4" s="11">
        <v>0.26700000000000002</v>
      </c>
    </row>
    <row r="5" spans="1:7" x14ac:dyDescent="0.25">
      <c r="A5" s="23"/>
      <c r="B5" s="5" t="s">
        <v>7</v>
      </c>
      <c r="C5" s="1" t="s">
        <v>1407</v>
      </c>
      <c r="F5" s="1" t="s">
        <v>1407</v>
      </c>
    </row>
    <row r="6" spans="1:7" x14ac:dyDescent="0.25">
      <c r="A6" s="23"/>
      <c r="B6" s="5" t="s">
        <v>2</v>
      </c>
      <c r="C6" s="1" t="s">
        <v>1411</v>
      </c>
      <c r="F6" s="1" t="s">
        <v>1408</v>
      </c>
    </row>
    <row r="7" spans="1:7" x14ac:dyDescent="0.25">
      <c r="A7" s="23"/>
      <c r="B7" s="5" t="s">
        <v>3</v>
      </c>
      <c r="C7" s="1" t="s">
        <v>1412</v>
      </c>
      <c r="F7" s="1" t="s">
        <v>1409</v>
      </c>
    </row>
    <row r="8" spans="1:7" x14ac:dyDescent="0.25">
      <c r="A8" s="23"/>
      <c r="B8" s="5" t="s">
        <v>0</v>
      </c>
      <c r="C8" s="1" t="s">
        <v>1413</v>
      </c>
      <c r="F8" s="1" t="s">
        <v>1406</v>
      </c>
    </row>
    <row r="9" spans="1:7" x14ac:dyDescent="0.25">
      <c r="A9" s="23"/>
      <c r="B9" s="5" t="s">
        <v>1</v>
      </c>
      <c r="C9" s="1" t="s">
        <v>1414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0.433</v>
      </c>
      <c r="D11" s="3">
        <v>30</v>
      </c>
      <c r="F11" s="9">
        <v>0.42699999999999999</v>
      </c>
      <c r="G11" s="3">
        <v>28</v>
      </c>
    </row>
    <row r="12" spans="1:7" x14ac:dyDescent="0.25">
      <c r="A12" s="23"/>
      <c r="B12" s="14" t="s">
        <v>36</v>
      </c>
      <c r="C12" s="8">
        <v>38.200000000000003</v>
      </c>
      <c r="D12" s="3">
        <v>29</v>
      </c>
      <c r="F12" s="8">
        <v>37.299999999999997</v>
      </c>
      <c r="G12" s="3">
        <v>29</v>
      </c>
    </row>
    <row r="13" spans="1:7" x14ac:dyDescent="0.25">
      <c r="A13" s="23"/>
      <c r="B13" s="14" t="s">
        <v>37</v>
      </c>
      <c r="C13" s="8">
        <v>88.3</v>
      </c>
      <c r="D13" s="3">
        <v>18</v>
      </c>
      <c r="F13" s="8">
        <v>87.2</v>
      </c>
      <c r="G13" s="3">
        <v>23</v>
      </c>
    </row>
    <row r="14" spans="1:7" x14ac:dyDescent="0.25">
      <c r="A14" s="23"/>
      <c r="B14" s="14" t="s">
        <v>27</v>
      </c>
      <c r="C14" s="9">
        <v>0.34</v>
      </c>
      <c r="D14" s="3">
        <v>28</v>
      </c>
      <c r="F14" s="9">
        <v>0.36699999999999999</v>
      </c>
      <c r="G14" s="3">
        <v>10</v>
      </c>
    </row>
    <row r="15" spans="1:7" x14ac:dyDescent="0.25">
      <c r="A15" s="23"/>
      <c r="B15" s="14" t="s">
        <v>38</v>
      </c>
      <c r="C15" s="8">
        <v>10</v>
      </c>
      <c r="D15" s="3">
        <v>24</v>
      </c>
      <c r="F15" s="8">
        <v>10.4</v>
      </c>
      <c r="G15" s="3">
        <v>24</v>
      </c>
    </row>
    <row r="16" spans="1:7" x14ac:dyDescent="0.25">
      <c r="A16" s="23"/>
      <c r="B16" s="14" t="s">
        <v>39</v>
      </c>
      <c r="C16" s="8">
        <v>29.5</v>
      </c>
      <c r="D16" s="3">
        <v>22</v>
      </c>
      <c r="F16" s="8">
        <v>28.3</v>
      </c>
      <c r="G16" s="3">
        <v>28</v>
      </c>
    </row>
    <row r="17" spans="1:7" x14ac:dyDescent="0.25">
      <c r="A17" s="23"/>
      <c r="B17" s="14" t="s">
        <v>28</v>
      </c>
      <c r="C17" s="9">
        <v>0.75900000000000001</v>
      </c>
      <c r="D17" s="3">
        <v>19</v>
      </c>
      <c r="F17" s="9">
        <v>0.67800000000000005</v>
      </c>
      <c r="G17" s="3">
        <v>30</v>
      </c>
    </row>
    <row r="18" spans="1:7" x14ac:dyDescent="0.25">
      <c r="A18" s="23"/>
      <c r="B18" s="14" t="s">
        <v>41</v>
      </c>
      <c r="C18" s="8">
        <v>18.100000000000001</v>
      </c>
      <c r="D18" s="3">
        <v>11</v>
      </c>
      <c r="F18" s="8">
        <v>17</v>
      </c>
      <c r="G18" s="3">
        <v>21</v>
      </c>
    </row>
    <row r="19" spans="1:7" x14ac:dyDescent="0.25">
      <c r="A19" s="23"/>
      <c r="B19" s="14" t="s">
        <v>40</v>
      </c>
      <c r="C19" s="8">
        <v>23.9</v>
      </c>
      <c r="D19" s="3">
        <v>10</v>
      </c>
      <c r="F19" s="8">
        <v>25.1</v>
      </c>
      <c r="G19" s="3">
        <v>12</v>
      </c>
    </row>
    <row r="20" spans="1:7" x14ac:dyDescent="0.25">
      <c r="A20" s="23"/>
      <c r="B20" s="14" t="s">
        <v>29</v>
      </c>
      <c r="C20" s="8">
        <v>20.100000000000001</v>
      </c>
      <c r="D20" s="3">
        <v>30</v>
      </c>
      <c r="F20" s="8">
        <v>19.899999999999999</v>
      </c>
      <c r="G20" s="3">
        <v>27</v>
      </c>
    </row>
    <row r="21" spans="1:7" x14ac:dyDescent="0.25">
      <c r="A21" s="23"/>
      <c r="B21" s="14" t="s">
        <v>30</v>
      </c>
      <c r="C21" s="8">
        <v>14</v>
      </c>
      <c r="D21" s="3">
        <v>17</v>
      </c>
      <c r="F21" s="8">
        <v>15.3</v>
      </c>
      <c r="G21" s="3">
        <v>12</v>
      </c>
    </row>
    <row r="22" spans="1:7" x14ac:dyDescent="0.25">
      <c r="A22" s="23"/>
      <c r="B22" s="14" t="s">
        <v>32</v>
      </c>
      <c r="C22" s="8">
        <v>44.7</v>
      </c>
      <c r="D22" s="3">
        <v>20</v>
      </c>
      <c r="F22" s="8">
        <v>46.3</v>
      </c>
      <c r="G22" s="3">
        <v>14</v>
      </c>
    </row>
    <row r="23" spans="1:7" x14ac:dyDescent="0.25">
      <c r="A23" s="23"/>
      <c r="B23" s="14" t="s">
        <v>31</v>
      </c>
      <c r="C23" s="8">
        <v>10.5</v>
      </c>
      <c r="D23" s="3">
        <v>13</v>
      </c>
      <c r="F23" s="8">
        <v>12.9</v>
      </c>
      <c r="G23" s="3">
        <v>1</v>
      </c>
    </row>
    <row r="24" spans="1:7" x14ac:dyDescent="0.25">
      <c r="A24" s="23"/>
      <c r="B24" s="14" t="s">
        <v>33</v>
      </c>
      <c r="C24" s="8">
        <v>34.299999999999997</v>
      </c>
      <c r="D24" s="3">
        <v>20</v>
      </c>
      <c r="F24" s="8">
        <v>33.5</v>
      </c>
      <c r="G24" s="3">
        <v>25</v>
      </c>
    </row>
    <row r="25" spans="1:7" x14ac:dyDescent="0.25">
      <c r="A25" s="23"/>
      <c r="B25" s="14" t="s">
        <v>34</v>
      </c>
      <c r="C25" s="8">
        <v>6.8</v>
      </c>
      <c r="D25" s="3">
        <v>24</v>
      </c>
      <c r="F25" s="8">
        <v>8.3000000000000007</v>
      </c>
      <c r="G25" s="3">
        <v>10</v>
      </c>
    </row>
    <row r="26" spans="1:7" x14ac:dyDescent="0.25">
      <c r="A26" s="23"/>
      <c r="B26" s="14" t="s">
        <v>35</v>
      </c>
      <c r="C26" s="8">
        <v>5.0999999999999996</v>
      </c>
      <c r="D26" s="3">
        <v>13</v>
      </c>
      <c r="F26" s="8">
        <v>4.5999999999999996</v>
      </c>
      <c r="G26" s="3">
        <v>22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0.46700000000000003</v>
      </c>
      <c r="D28" s="3">
        <v>22</v>
      </c>
      <c r="F28" s="9">
        <v>0.45700000000000002</v>
      </c>
      <c r="G28" s="3">
        <v>17</v>
      </c>
    </row>
    <row r="29" spans="1:7" x14ac:dyDescent="0.25">
      <c r="A29" s="23"/>
      <c r="B29" s="18" t="s">
        <v>43</v>
      </c>
      <c r="C29" s="9">
        <v>0.36299999999999999</v>
      </c>
      <c r="D29" s="3">
        <v>24</v>
      </c>
      <c r="F29" s="9">
        <v>0.36299999999999999</v>
      </c>
      <c r="G29" s="3">
        <v>22</v>
      </c>
    </row>
    <row r="30" spans="1:7" x14ac:dyDescent="0.25">
      <c r="A30" s="23"/>
      <c r="B30" s="18" t="s">
        <v>44</v>
      </c>
      <c r="C30" s="8">
        <v>11.8</v>
      </c>
      <c r="D30" s="3">
        <v>19</v>
      </c>
      <c r="F30" s="8">
        <v>12.7</v>
      </c>
      <c r="G30" s="3">
        <v>26</v>
      </c>
    </row>
    <row r="31" spans="1:7" x14ac:dyDescent="0.25">
      <c r="A31" s="23"/>
      <c r="B31" s="17" t="s">
        <v>45</v>
      </c>
      <c r="C31" s="8">
        <v>32.6</v>
      </c>
      <c r="D31" s="3">
        <v>17</v>
      </c>
      <c r="F31" s="8">
        <v>35.1</v>
      </c>
      <c r="G31" s="3">
        <v>24</v>
      </c>
    </row>
    <row r="32" spans="1:7" x14ac:dyDescent="0.25">
      <c r="A32" s="23"/>
      <c r="B32" s="17" t="s">
        <v>46</v>
      </c>
      <c r="C32" s="8">
        <v>13.2</v>
      </c>
      <c r="D32" s="3">
        <v>23</v>
      </c>
      <c r="F32" s="8">
        <v>14.9</v>
      </c>
      <c r="G32" s="3">
        <v>23</v>
      </c>
    </row>
    <row r="33" spans="1:7" x14ac:dyDescent="0.25">
      <c r="A33" s="23"/>
      <c r="B33" s="17" t="s">
        <v>47</v>
      </c>
      <c r="C33" s="8">
        <v>10.7</v>
      </c>
      <c r="D33" s="3">
        <v>20</v>
      </c>
      <c r="F33" s="8">
        <v>9.6999999999999993</v>
      </c>
      <c r="G33" s="3">
        <v>12</v>
      </c>
    </row>
    <row r="35" spans="1:7" x14ac:dyDescent="0.25">
      <c r="A35" s="23" t="s">
        <v>60</v>
      </c>
      <c r="B35" s="4" t="s">
        <v>8</v>
      </c>
      <c r="C35" s="8">
        <v>104</v>
      </c>
      <c r="D35" s="3">
        <v>30</v>
      </c>
      <c r="F35" s="8">
        <v>103.2</v>
      </c>
      <c r="G35" s="3">
        <v>29</v>
      </c>
    </row>
    <row r="36" spans="1:7" x14ac:dyDescent="0.25">
      <c r="A36" s="23"/>
      <c r="B36" s="4" t="s">
        <v>9</v>
      </c>
      <c r="C36" s="8">
        <v>112.9</v>
      </c>
      <c r="D36" s="3">
        <v>26</v>
      </c>
      <c r="F36" s="8">
        <v>110.3</v>
      </c>
      <c r="G36" s="3">
        <v>21</v>
      </c>
    </row>
    <row r="37" spans="1:7" x14ac:dyDescent="0.25">
      <c r="A37" s="23"/>
      <c r="B37" s="4" t="s">
        <v>10</v>
      </c>
      <c r="C37" s="8">
        <v>-8.9</v>
      </c>
      <c r="D37" s="3">
        <v>28</v>
      </c>
      <c r="F37" s="8">
        <v>-7</v>
      </c>
      <c r="G37" s="3">
        <v>26</v>
      </c>
    </row>
    <row r="38" spans="1:7" x14ac:dyDescent="0.25">
      <c r="A38" s="23"/>
      <c r="B38" s="4" t="s">
        <v>11</v>
      </c>
      <c r="C38" s="13">
        <v>100.16</v>
      </c>
      <c r="D38" s="3">
        <v>17</v>
      </c>
      <c r="F38" s="13">
        <v>98.73</v>
      </c>
      <c r="G38" s="3">
        <v>28</v>
      </c>
    </row>
    <row r="39" spans="1:7" x14ac:dyDescent="0.25">
      <c r="A39" s="23"/>
      <c r="B39" s="4" t="s">
        <v>12</v>
      </c>
      <c r="C39" s="10">
        <v>0.49</v>
      </c>
      <c r="D39" s="3">
        <v>30</v>
      </c>
      <c r="F39" s="9">
        <v>0.48699999999999999</v>
      </c>
      <c r="G39" s="3">
        <v>28</v>
      </c>
    </row>
    <row r="40" spans="1:7" x14ac:dyDescent="0.25">
      <c r="A40" s="23"/>
      <c r="B40" s="4" t="s">
        <v>13</v>
      </c>
      <c r="C40" s="10">
        <v>0.52500000000000002</v>
      </c>
      <c r="D40" s="3">
        <v>30</v>
      </c>
      <c r="F40" s="9">
        <v>0.53500000000000003</v>
      </c>
      <c r="G40" s="3">
        <v>27</v>
      </c>
    </row>
    <row r="41" spans="1:7" x14ac:dyDescent="0.25">
      <c r="A41" s="23"/>
      <c r="B41" s="4" t="s">
        <v>14</v>
      </c>
      <c r="C41" s="10">
        <v>0.48599999999999999</v>
      </c>
      <c r="D41" s="3">
        <v>25</v>
      </c>
      <c r="F41" s="9">
        <v>0.51500000000000001</v>
      </c>
      <c r="G41" s="3">
        <v>6</v>
      </c>
    </row>
    <row r="42" spans="1:7" x14ac:dyDescent="0.25">
      <c r="A42" s="23"/>
      <c r="B42" s="4" t="s">
        <v>15</v>
      </c>
      <c r="C42" s="10">
        <v>0.26400000000000001</v>
      </c>
      <c r="D42" s="3">
        <v>20</v>
      </c>
      <c r="F42" s="9">
        <v>0.308</v>
      </c>
      <c r="G42" s="3">
        <v>1</v>
      </c>
    </row>
    <row r="43" spans="1:7" x14ac:dyDescent="0.25">
      <c r="A43" s="23"/>
      <c r="B43" s="4" t="s">
        <v>16</v>
      </c>
      <c r="C43" s="10">
        <v>0.71699999999999997</v>
      </c>
      <c r="D43" s="3">
        <v>25</v>
      </c>
      <c r="F43" s="9">
        <v>0.745</v>
      </c>
      <c r="G43" s="3">
        <v>7</v>
      </c>
    </row>
    <row r="44" spans="1:7" x14ac:dyDescent="0.25">
      <c r="A44" s="23"/>
      <c r="B44" s="4" t="s">
        <v>17</v>
      </c>
      <c r="C44" s="10">
        <v>0.14000000000000001</v>
      </c>
      <c r="D44" s="3">
        <v>17</v>
      </c>
      <c r="F44" s="9">
        <v>0.155</v>
      </c>
      <c r="G44" s="3">
        <v>19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67.8</v>
      </c>
      <c r="D46" s="3">
        <v>28</v>
      </c>
      <c r="F46" s="8">
        <v>67.599999999999994</v>
      </c>
      <c r="G46" s="3">
        <v>21</v>
      </c>
    </row>
    <row r="47" spans="1:7" x14ac:dyDescent="0.25">
      <c r="A47" s="23"/>
      <c r="B47" s="20" t="s">
        <v>49</v>
      </c>
      <c r="C47" s="8">
        <v>75</v>
      </c>
      <c r="D47" s="3">
        <v>22</v>
      </c>
      <c r="F47" s="8">
        <v>72.099999999999994</v>
      </c>
      <c r="G47" s="3">
        <v>20</v>
      </c>
    </row>
    <row r="48" spans="1:7" x14ac:dyDescent="0.25">
      <c r="A48" s="23"/>
      <c r="B48" s="20" t="s">
        <v>50</v>
      </c>
      <c r="C48" s="8">
        <v>-7.2</v>
      </c>
      <c r="D48" s="3">
        <v>29</v>
      </c>
      <c r="F48" s="8">
        <v>-4.5999999999999996</v>
      </c>
      <c r="G48" s="3">
        <v>26</v>
      </c>
    </row>
    <row r="49" spans="1:7" x14ac:dyDescent="0.25">
      <c r="A49" s="23"/>
      <c r="B49" s="20" t="s">
        <v>51</v>
      </c>
      <c r="C49" s="8">
        <v>59.7</v>
      </c>
      <c r="D49" s="3">
        <v>8</v>
      </c>
      <c r="F49" s="8">
        <v>51.9</v>
      </c>
      <c r="G49" s="3">
        <v>20</v>
      </c>
    </row>
    <row r="50" spans="1:7" x14ac:dyDescent="0.25">
      <c r="A50" s="23"/>
      <c r="B50" s="20" t="s">
        <v>52</v>
      </c>
      <c r="C50" s="8">
        <v>63.2</v>
      </c>
      <c r="D50" s="3">
        <v>28</v>
      </c>
      <c r="F50" s="8">
        <v>55.3</v>
      </c>
      <c r="G50" s="3">
        <v>13</v>
      </c>
    </row>
    <row r="51" spans="1:7" x14ac:dyDescent="0.25">
      <c r="A51" s="23"/>
      <c r="B51" s="20" t="s">
        <v>53</v>
      </c>
      <c r="C51" s="8">
        <v>-3.5</v>
      </c>
      <c r="D51" s="3">
        <v>27</v>
      </c>
      <c r="F51" s="8">
        <v>-3.4</v>
      </c>
      <c r="G51" s="3">
        <v>23</v>
      </c>
    </row>
    <row r="53" spans="1:7" x14ac:dyDescent="0.25">
      <c r="A53" s="23" t="s">
        <v>57</v>
      </c>
      <c r="B53" s="6" t="s">
        <v>18</v>
      </c>
      <c r="C53" s="7">
        <v>14.7</v>
      </c>
      <c r="D53" s="3">
        <v>27</v>
      </c>
      <c r="F53" s="7">
        <v>18.5</v>
      </c>
      <c r="G53" s="3">
        <v>12</v>
      </c>
    </row>
    <row r="54" spans="1:7" x14ac:dyDescent="0.25">
      <c r="A54" s="23"/>
      <c r="B54" s="6" t="s">
        <v>19</v>
      </c>
      <c r="C54" s="7">
        <v>16.399999999999999</v>
      </c>
      <c r="D54" s="3">
        <v>16</v>
      </c>
      <c r="F54" s="7">
        <v>17.100000000000001</v>
      </c>
      <c r="G54" s="3">
        <v>12</v>
      </c>
    </row>
    <row r="55" spans="1:7" x14ac:dyDescent="0.25">
      <c r="A55" s="23"/>
      <c r="B55" s="6" t="s">
        <v>20</v>
      </c>
      <c r="C55" s="7">
        <v>13.3</v>
      </c>
      <c r="D55" s="3">
        <v>12</v>
      </c>
      <c r="F55" s="7">
        <v>17.2</v>
      </c>
      <c r="G55" s="3">
        <v>1</v>
      </c>
    </row>
    <row r="56" spans="1:7" x14ac:dyDescent="0.25">
      <c r="A56" s="23"/>
      <c r="B56" s="6" t="s">
        <v>21</v>
      </c>
      <c r="C56" s="7">
        <v>14.1</v>
      </c>
      <c r="D56" s="3">
        <v>24</v>
      </c>
      <c r="F56" s="7">
        <v>11.8</v>
      </c>
      <c r="G56" s="3">
        <v>8</v>
      </c>
    </row>
    <row r="57" spans="1:7" x14ac:dyDescent="0.25">
      <c r="A57" s="23"/>
      <c r="B57" s="6" t="s">
        <v>22</v>
      </c>
      <c r="C57" s="7">
        <v>11.1</v>
      </c>
      <c r="D57" s="3">
        <v>11.1</v>
      </c>
      <c r="F57" s="7">
        <v>10.5</v>
      </c>
      <c r="G57" s="3">
        <v>10.5</v>
      </c>
    </row>
    <row r="58" spans="1:7" x14ac:dyDescent="0.25">
      <c r="A58" s="23"/>
      <c r="B58" s="6" t="s">
        <v>23</v>
      </c>
      <c r="C58" s="7">
        <v>11.7</v>
      </c>
      <c r="D58" s="3">
        <v>11.7</v>
      </c>
      <c r="F58" s="7">
        <v>14.1</v>
      </c>
      <c r="G58" s="3">
        <v>14.1</v>
      </c>
    </row>
    <row r="59" spans="1:7" x14ac:dyDescent="0.25">
      <c r="A59" s="23"/>
      <c r="B59" s="6" t="s">
        <v>24</v>
      </c>
      <c r="C59" s="7">
        <v>44</v>
      </c>
      <c r="D59" s="3">
        <v>26</v>
      </c>
      <c r="F59" s="7">
        <v>40.4</v>
      </c>
      <c r="G59" s="3">
        <v>29</v>
      </c>
    </row>
    <row r="60" spans="1:7" x14ac:dyDescent="0.25">
      <c r="A60" s="23"/>
      <c r="B60" s="6" t="s">
        <v>25</v>
      </c>
      <c r="C60" s="7">
        <v>50.6</v>
      </c>
      <c r="D60" s="3">
        <v>22</v>
      </c>
      <c r="F60" s="7">
        <v>43.1</v>
      </c>
      <c r="G60" s="3">
        <v>5</v>
      </c>
    </row>
    <row r="62" spans="1:7" x14ac:dyDescent="0.25">
      <c r="A62" s="23" t="s">
        <v>58</v>
      </c>
      <c r="B62" s="21" t="s">
        <v>54</v>
      </c>
      <c r="C62" s="22">
        <v>3.8</v>
      </c>
      <c r="D62" s="3">
        <v>12</v>
      </c>
      <c r="F62" s="22">
        <v>4.2</v>
      </c>
      <c r="G62" s="3">
        <v>8</v>
      </c>
    </row>
    <row r="63" spans="1:7" x14ac:dyDescent="0.25">
      <c r="A63" s="23"/>
      <c r="B63" s="21" t="s">
        <v>55</v>
      </c>
      <c r="C63" s="3">
        <v>11</v>
      </c>
      <c r="D63" s="3">
        <v>30</v>
      </c>
      <c r="F63" s="3">
        <v>3</v>
      </c>
      <c r="G63" s="3">
        <v>19</v>
      </c>
    </row>
    <row r="64" spans="1:7" x14ac:dyDescent="0.25">
      <c r="A64" s="23"/>
      <c r="B64" s="21" t="s">
        <v>56</v>
      </c>
      <c r="C64" s="3">
        <v>23</v>
      </c>
      <c r="D64" s="3">
        <v>20</v>
      </c>
      <c r="F64" s="3">
        <v>5</v>
      </c>
      <c r="G64" s="3">
        <v>20</v>
      </c>
    </row>
    <row r="65" spans="1:7" x14ac:dyDescent="0.25">
      <c r="A65" s="23"/>
      <c r="B65" s="21" t="s">
        <v>26</v>
      </c>
      <c r="C65" s="9">
        <v>0.40100000000000002</v>
      </c>
      <c r="D65" s="3">
        <v>23</v>
      </c>
      <c r="F65" s="9">
        <v>0.442</v>
      </c>
      <c r="G65" s="3">
        <v>9</v>
      </c>
    </row>
    <row r="66" spans="1:7" x14ac:dyDescent="0.25">
      <c r="A66" s="23"/>
      <c r="B66" s="21" t="s">
        <v>42</v>
      </c>
      <c r="C66" s="9">
        <v>0.40600000000000003</v>
      </c>
      <c r="D66" s="3">
        <v>8</v>
      </c>
      <c r="F66" s="9">
        <v>0.49099999999999999</v>
      </c>
      <c r="G66" s="3">
        <v>26</v>
      </c>
    </row>
    <row r="67" spans="1:7" x14ac:dyDescent="0.25">
      <c r="A67" s="23"/>
      <c r="B67" s="21" t="s">
        <v>8</v>
      </c>
      <c r="C67" s="8">
        <v>102.9</v>
      </c>
      <c r="D67" s="3">
        <v>22</v>
      </c>
      <c r="F67" s="8">
        <v>108.2</v>
      </c>
      <c r="G67" s="3">
        <v>13</v>
      </c>
    </row>
    <row r="68" spans="1:7" x14ac:dyDescent="0.25">
      <c r="A68" s="23"/>
      <c r="B68" s="21" t="s">
        <v>9</v>
      </c>
      <c r="C68" s="8">
        <v>108.1</v>
      </c>
      <c r="D68" s="3">
        <v>12</v>
      </c>
      <c r="F68" s="8">
        <v>116.7</v>
      </c>
      <c r="G68" s="3">
        <v>23</v>
      </c>
    </row>
    <row r="69" spans="1:7" x14ac:dyDescent="0.25">
      <c r="A69" s="23"/>
      <c r="B69" s="21" t="s">
        <v>10</v>
      </c>
      <c r="C69" s="8">
        <v>-5.2</v>
      </c>
      <c r="D69" s="3">
        <v>23</v>
      </c>
      <c r="F69" s="8">
        <v>-8.4</v>
      </c>
      <c r="G69" s="3">
        <v>20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9"/>
  <sheetViews>
    <sheetView tabSelected="1" workbookViewId="0">
      <selection activeCell="D16" sqref="D16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1610612752</v>
      </c>
      <c r="B2" s="1" t="s">
        <v>755</v>
      </c>
      <c r="C2" s="1" t="s">
        <v>145</v>
      </c>
      <c r="D2" s="1" t="s">
        <v>1347</v>
      </c>
      <c r="E2" s="1" t="s">
        <v>1326</v>
      </c>
      <c r="F2" s="1" t="s">
        <v>757</v>
      </c>
      <c r="G2" s="1" t="s">
        <v>409</v>
      </c>
      <c r="H2" s="1" t="s">
        <v>1348</v>
      </c>
      <c r="I2" s="1" t="s">
        <v>1349</v>
      </c>
      <c r="J2" s="1">
        <v>26</v>
      </c>
      <c r="K2" s="1" t="s">
        <v>1325</v>
      </c>
      <c r="L2" s="1" t="s">
        <v>1350</v>
      </c>
      <c r="M2" s="1">
        <v>1628443</v>
      </c>
    </row>
    <row r="3" spans="1:13" x14ac:dyDescent="0.25">
      <c r="A3" s="1">
        <v>1610612752</v>
      </c>
      <c r="B3" s="1" t="s">
        <v>755</v>
      </c>
      <c r="C3" s="1" t="s">
        <v>145</v>
      </c>
      <c r="D3" s="1" t="s">
        <v>1351</v>
      </c>
      <c r="E3" s="1" t="s">
        <v>756</v>
      </c>
      <c r="F3" s="1" t="s">
        <v>760</v>
      </c>
      <c r="G3" s="1" t="s">
        <v>410</v>
      </c>
      <c r="H3" s="1" t="s">
        <v>1352</v>
      </c>
      <c r="I3" s="1" t="s">
        <v>1353</v>
      </c>
      <c r="J3" s="1">
        <v>24</v>
      </c>
      <c r="K3" s="1" t="s">
        <v>758</v>
      </c>
      <c r="L3" s="1" t="s">
        <v>1354</v>
      </c>
      <c r="M3" s="1">
        <v>1626171</v>
      </c>
    </row>
    <row r="4" spans="1:13" x14ac:dyDescent="0.25">
      <c r="A4" s="1">
        <v>1610612752</v>
      </c>
      <c r="B4" s="1" t="s">
        <v>755</v>
      </c>
      <c r="C4" s="1" t="s">
        <v>145</v>
      </c>
      <c r="D4" s="1" t="s">
        <v>1355</v>
      </c>
      <c r="E4" s="1" t="s">
        <v>1325</v>
      </c>
      <c r="F4" s="1" t="s">
        <v>757</v>
      </c>
      <c r="G4" s="1" t="s">
        <v>266</v>
      </c>
      <c r="H4" s="1" t="s">
        <v>1356</v>
      </c>
      <c r="I4" s="1" t="s">
        <v>1357</v>
      </c>
      <c r="J4" s="1">
        <v>31</v>
      </c>
      <c r="K4" s="1" t="s">
        <v>1324</v>
      </c>
      <c r="L4" s="1" t="s">
        <v>1334</v>
      </c>
      <c r="M4" s="1">
        <v>201961</v>
      </c>
    </row>
    <row r="5" spans="1:13" x14ac:dyDescent="0.25">
      <c r="A5" s="1">
        <v>1610612752</v>
      </c>
      <c r="B5" s="1" t="s">
        <v>755</v>
      </c>
      <c r="C5" s="1" t="s">
        <v>145</v>
      </c>
      <c r="D5" s="1" t="s">
        <v>1358</v>
      </c>
      <c r="E5" s="1" t="s">
        <v>759</v>
      </c>
      <c r="F5" s="1" t="s">
        <v>757</v>
      </c>
      <c r="G5" s="1" t="s">
        <v>227</v>
      </c>
      <c r="H5" s="1" t="s">
        <v>1345</v>
      </c>
      <c r="I5" s="1" t="s">
        <v>1359</v>
      </c>
      <c r="J5" s="1">
        <v>21</v>
      </c>
      <c r="K5" s="1" t="s">
        <v>1325</v>
      </c>
      <c r="L5" s="1" t="s">
        <v>1360</v>
      </c>
      <c r="M5" s="1">
        <v>1628372</v>
      </c>
    </row>
    <row r="6" spans="1:13" x14ac:dyDescent="0.25">
      <c r="A6" s="1">
        <v>1610612752</v>
      </c>
      <c r="B6" s="1" t="s">
        <v>755</v>
      </c>
      <c r="C6" s="1" t="s">
        <v>145</v>
      </c>
      <c r="D6" s="1" t="s">
        <v>1361</v>
      </c>
      <c r="E6" s="1" t="s">
        <v>1327</v>
      </c>
      <c r="F6" s="1" t="s">
        <v>757</v>
      </c>
      <c r="G6" s="1" t="s">
        <v>256</v>
      </c>
      <c r="H6" s="1" t="s">
        <v>1331</v>
      </c>
      <c r="I6" s="1" t="s">
        <v>1362</v>
      </c>
      <c r="J6" s="1">
        <v>25</v>
      </c>
      <c r="K6" s="1" t="s">
        <v>759</v>
      </c>
      <c r="L6" s="1" t="s">
        <v>1363</v>
      </c>
      <c r="M6" s="1">
        <v>203901</v>
      </c>
    </row>
    <row r="7" spans="1:13" x14ac:dyDescent="0.25">
      <c r="A7" s="1">
        <v>1610612752</v>
      </c>
      <c r="B7" s="1" t="s">
        <v>755</v>
      </c>
      <c r="C7" s="1" t="s">
        <v>145</v>
      </c>
      <c r="D7" s="1" t="s">
        <v>1364</v>
      </c>
      <c r="E7" s="1" t="s">
        <v>1343</v>
      </c>
      <c r="F7" s="1" t="s">
        <v>1365</v>
      </c>
      <c r="G7" s="1" t="s">
        <v>1329</v>
      </c>
      <c r="H7" s="1" t="s">
        <v>1366</v>
      </c>
      <c r="I7" s="1" t="s">
        <v>1367</v>
      </c>
      <c r="J7" s="1">
        <v>19</v>
      </c>
      <c r="K7" s="1" t="s">
        <v>1332</v>
      </c>
      <c r="L7" s="1" t="s">
        <v>1340</v>
      </c>
      <c r="M7" s="1">
        <v>1629628</v>
      </c>
    </row>
    <row r="8" spans="1:13" x14ac:dyDescent="0.25">
      <c r="A8" s="1">
        <v>1610612752</v>
      </c>
      <c r="B8" s="1" t="s">
        <v>755</v>
      </c>
      <c r="C8" s="1" t="s">
        <v>145</v>
      </c>
      <c r="D8" s="1" t="s">
        <v>1368</v>
      </c>
      <c r="E8" s="1" t="s">
        <v>1324</v>
      </c>
      <c r="F8" s="1" t="s">
        <v>1336</v>
      </c>
      <c r="G8" s="1" t="s">
        <v>410</v>
      </c>
      <c r="H8" s="1" t="s">
        <v>1341</v>
      </c>
      <c r="I8" s="1" t="s">
        <v>1369</v>
      </c>
      <c r="J8" s="1">
        <v>22</v>
      </c>
      <c r="K8" s="1" t="s">
        <v>1325</v>
      </c>
      <c r="L8" s="1" t="s">
        <v>1370</v>
      </c>
      <c r="M8" s="1">
        <v>1628397</v>
      </c>
    </row>
    <row r="9" spans="1:13" x14ac:dyDescent="0.25">
      <c r="A9" s="1">
        <v>1610612752</v>
      </c>
      <c r="B9" s="1" t="s">
        <v>755</v>
      </c>
      <c r="C9" s="1" t="s">
        <v>145</v>
      </c>
      <c r="D9" s="1" t="s">
        <v>1371</v>
      </c>
      <c r="E9" s="1" t="s">
        <v>1328</v>
      </c>
      <c r="F9" s="1" t="s">
        <v>757</v>
      </c>
      <c r="G9" s="1" t="s">
        <v>266</v>
      </c>
      <c r="H9" s="1" t="s">
        <v>1348</v>
      </c>
      <c r="I9" s="1" t="s">
        <v>1372</v>
      </c>
      <c r="J9" s="1">
        <v>21</v>
      </c>
      <c r="K9" s="1" t="s">
        <v>1325</v>
      </c>
      <c r="L9" s="1" t="s">
        <v>1333</v>
      </c>
      <c r="M9" s="1">
        <v>1628373</v>
      </c>
    </row>
    <row r="10" spans="1:13" x14ac:dyDescent="0.25">
      <c r="A10" s="1">
        <v>1610612752</v>
      </c>
      <c r="B10" s="1" t="s">
        <v>755</v>
      </c>
      <c r="C10" s="1" t="s">
        <v>145</v>
      </c>
      <c r="D10" s="1" t="s">
        <v>1373</v>
      </c>
      <c r="E10" s="1" t="s">
        <v>1323</v>
      </c>
      <c r="F10" s="1" t="s">
        <v>760</v>
      </c>
      <c r="G10" s="1" t="s">
        <v>299</v>
      </c>
      <c r="H10" s="1" t="s">
        <v>1335</v>
      </c>
      <c r="I10" s="1" t="s">
        <v>1374</v>
      </c>
      <c r="J10" s="1">
        <v>30</v>
      </c>
      <c r="K10" s="1" t="s">
        <v>1338</v>
      </c>
      <c r="L10" s="1" t="s">
        <v>1375</v>
      </c>
      <c r="M10" s="1">
        <v>202694</v>
      </c>
    </row>
    <row r="11" spans="1:13" x14ac:dyDescent="0.25">
      <c r="A11" s="1">
        <v>1610612752</v>
      </c>
      <c r="B11" s="1" t="s">
        <v>755</v>
      </c>
      <c r="C11" s="1" t="s">
        <v>145</v>
      </c>
      <c r="D11" s="1" t="s">
        <v>1376</v>
      </c>
      <c r="E11" s="1" t="s">
        <v>1377</v>
      </c>
      <c r="F11" s="1" t="s">
        <v>757</v>
      </c>
      <c r="G11" s="1" t="s">
        <v>266</v>
      </c>
      <c r="H11" s="1" t="s">
        <v>1348</v>
      </c>
      <c r="I11" s="1" t="s">
        <v>1378</v>
      </c>
      <c r="J11" s="1">
        <v>23</v>
      </c>
      <c r="K11" s="1" t="s">
        <v>756</v>
      </c>
      <c r="L11" s="1" t="s">
        <v>1350</v>
      </c>
      <c r="M11" s="1">
        <v>1629019</v>
      </c>
    </row>
    <row r="12" spans="1:13" x14ac:dyDescent="0.25">
      <c r="A12" s="1">
        <v>1610612752</v>
      </c>
      <c r="B12" s="1" t="s">
        <v>755</v>
      </c>
      <c r="C12" s="1" t="s">
        <v>145</v>
      </c>
      <c r="D12" s="1" t="s">
        <v>1379</v>
      </c>
      <c r="E12" s="1" t="s">
        <v>1342</v>
      </c>
      <c r="F12" s="1" t="s">
        <v>760</v>
      </c>
      <c r="G12" s="1" t="s">
        <v>1329</v>
      </c>
      <c r="H12" s="1" t="s">
        <v>1380</v>
      </c>
      <c r="I12" s="1" t="s">
        <v>1381</v>
      </c>
      <c r="J12" s="1">
        <v>20</v>
      </c>
      <c r="K12" s="1" t="s">
        <v>1332</v>
      </c>
      <c r="L12" s="1" t="s">
        <v>1346</v>
      </c>
      <c r="M12" s="1">
        <v>1629649</v>
      </c>
    </row>
    <row r="13" spans="1:13" x14ac:dyDescent="0.25">
      <c r="A13" s="1">
        <v>1610612752</v>
      </c>
      <c r="B13" s="1" t="s">
        <v>755</v>
      </c>
      <c r="C13" s="1" t="s">
        <v>145</v>
      </c>
      <c r="D13" s="1" t="s">
        <v>1382</v>
      </c>
      <c r="E13" s="1" t="s">
        <v>1383</v>
      </c>
      <c r="F13" s="1" t="s">
        <v>760</v>
      </c>
      <c r="G13" s="1" t="s">
        <v>331</v>
      </c>
      <c r="H13" s="1" t="s">
        <v>1339</v>
      </c>
      <c r="I13" s="1" t="s">
        <v>1384</v>
      </c>
      <c r="J13" s="1">
        <v>20</v>
      </c>
      <c r="K13" s="1" t="s">
        <v>756</v>
      </c>
      <c r="L13" s="1" t="s">
        <v>1385</v>
      </c>
      <c r="M13" s="1">
        <v>1628995</v>
      </c>
    </row>
    <row r="14" spans="1:13" x14ac:dyDescent="0.25">
      <c r="A14" s="1">
        <v>1610612752</v>
      </c>
      <c r="B14" s="1" t="s">
        <v>755</v>
      </c>
      <c r="C14" s="1" t="s">
        <v>145</v>
      </c>
      <c r="D14" s="1" t="s">
        <v>1386</v>
      </c>
      <c r="E14" s="1" t="s">
        <v>1344</v>
      </c>
      <c r="F14" s="1" t="s">
        <v>757</v>
      </c>
      <c r="G14" s="1" t="s">
        <v>286</v>
      </c>
      <c r="H14" s="1" t="s">
        <v>1387</v>
      </c>
      <c r="I14" s="1" t="s">
        <v>1388</v>
      </c>
      <c r="J14" s="1">
        <v>25</v>
      </c>
      <c r="K14" s="1" t="s">
        <v>1325</v>
      </c>
      <c r="L14" s="1" t="s">
        <v>229</v>
      </c>
      <c r="M14" s="1">
        <v>1628422</v>
      </c>
    </row>
    <row r="15" spans="1:13" x14ac:dyDescent="0.25">
      <c r="A15" s="1">
        <v>1610612752</v>
      </c>
      <c r="B15" s="1" t="s">
        <v>755</v>
      </c>
      <c r="C15" s="1" t="s">
        <v>145</v>
      </c>
      <c r="D15" s="1" t="s">
        <v>1389</v>
      </c>
      <c r="E15" s="1" t="s">
        <v>1390</v>
      </c>
      <c r="F15" s="1" t="s">
        <v>1391</v>
      </c>
      <c r="G15" s="1" t="s">
        <v>761</v>
      </c>
      <c r="H15" s="1" t="s">
        <v>1337</v>
      </c>
      <c r="I15" s="1" t="s">
        <v>1392</v>
      </c>
      <c r="J15" s="1">
        <v>21</v>
      </c>
      <c r="K15" s="1" t="s">
        <v>756</v>
      </c>
      <c r="L15" s="1" t="s">
        <v>1393</v>
      </c>
      <c r="M15" s="1">
        <v>1629011</v>
      </c>
    </row>
    <row r="16" spans="1:13" x14ac:dyDescent="0.25">
      <c r="A16" s="1">
        <v>1610612752</v>
      </c>
      <c r="B16" s="1" t="s">
        <v>755</v>
      </c>
      <c r="C16" s="1" t="s">
        <v>145</v>
      </c>
      <c r="D16" s="1" t="s">
        <v>1394</v>
      </c>
      <c r="E16" s="1" t="s">
        <v>1395</v>
      </c>
      <c r="F16" s="1" t="s">
        <v>1330</v>
      </c>
      <c r="G16" s="1" t="s">
        <v>1329</v>
      </c>
      <c r="H16" s="1" t="s">
        <v>1345</v>
      </c>
      <c r="I16" s="1" t="s">
        <v>1396</v>
      </c>
      <c r="J16" s="1">
        <v>28</v>
      </c>
      <c r="K16" s="1" t="s">
        <v>1327</v>
      </c>
      <c r="L16" s="1" t="s">
        <v>1334</v>
      </c>
      <c r="M16" s="1">
        <v>203493</v>
      </c>
    </row>
    <row r="17" spans="1:13" x14ac:dyDescent="0.25">
      <c r="A17" s="1">
        <v>1610612752</v>
      </c>
      <c r="B17" s="1" t="s">
        <v>755</v>
      </c>
      <c r="C17" s="1" t="s">
        <v>145</v>
      </c>
      <c r="D17" s="1" t="s">
        <v>1397</v>
      </c>
      <c r="E17" s="1" t="s">
        <v>1398</v>
      </c>
      <c r="F17" s="1" t="s">
        <v>1336</v>
      </c>
      <c r="G17" s="1" t="s">
        <v>299</v>
      </c>
      <c r="H17" s="1" t="s">
        <v>1352</v>
      </c>
      <c r="I17" s="1" t="s">
        <v>1399</v>
      </c>
      <c r="J17" s="1">
        <v>24</v>
      </c>
      <c r="K17" s="1" t="s">
        <v>759</v>
      </c>
      <c r="L17" s="1" t="s">
        <v>1385</v>
      </c>
      <c r="M17" s="1">
        <v>203944</v>
      </c>
    </row>
    <row r="18" spans="1:13" x14ac:dyDescent="0.25">
      <c r="A18" s="1">
        <v>1610612752</v>
      </c>
      <c r="B18" s="1" t="s">
        <v>755</v>
      </c>
      <c r="C18" s="1" t="s">
        <v>145</v>
      </c>
      <c r="D18" s="1" t="s">
        <v>1400</v>
      </c>
      <c r="E18" s="1" t="s">
        <v>1401</v>
      </c>
      <c r="F18" s="1" t="s">
        <v>760</v>
      </c>
      <c r="G18" s="1" t="s">
        <v>337</v>
      </c>
      <c r="H18" s="1" t="s">
        <v>1402</v>
      </c>
      <c r="I18" s="1" t="s">
        <v>1403</v>
      </c>
      <c r="J18" s="1">
        <v>34</v>
      </c>
      <c r="K18" s="1" t="s">
        <v>1324</v>
      </c>
      <c r="L18" s="1" t="s">
        <v>1404</v>
      </c>
      <c r="M18" s="1">
        <v>201959</v>
      </c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1610612749</v>
      </c>
      <c r="D2" s="1" t="s">
        <v>177</v>
      </c>
      <c r="E2" s="1" t="s">
        <v>178</v>
      </c>
      <c r="F2" s="1" t="s">
        <v>179</v>
      </c>
      <c r="G2" s="1" t="s">
        <v>180</v>
      </c>
      <c r="H2" s="1">
        <v>1</v>
      </c>
      <c r="I2" s="1" t="s">
        <v>151</v>
      </c>
      <c r="J2" s="1" t="s">
        <v>181</v>
      </c>
      <c r="K2" s="1" t="s">
        <v>182</v>
      </c>
      <c r="L2" s="1">
        <v>1</v>
      </c>
      <c r="M2" s="1">
        <v>12</v>
      </c>
      <c r="N2" s="1">
        <v>3</v>
      </c>
      <c r="O2" s="1">
        <v>0.8</v>
      </c>
      <c r="P2" s="1">
        <v>0</v>
      </c>
      <c r="Q2" s="1" t="s">
        <v>183</v>
      </c>
      <c r="R2" s="1" t="s">
        <v>155</v>
      </c>
      <c r="S2" s="1" t="s">
        <v>184</v>
      </c>
      <c r="T2" s="1" t="s">
        <v>156</v>
      </c>
      <c r="U2" s="1" t="s">
        <v>155</v>
      </c>
      <c r="V2" s="1" t="s">
        <v>184</v>
      </c>
      <c r="W2" s="1" t="s">
        <v>185</v>
      </c>
      <c r="X2" s="1" t="s">
        <v>186</v>
      </c>
      <c r="Y2" s="1" t="s">
        <v>187</v>
      </c>
      <c r="Z2" s="1">
        <v>4</v>
      </c>
      <c r="AA2" s="1" t="s">
        <v>159</v>
      </c>
      <c r="AB2" s="1">
        <v>4</v>
      </c>
      <c r="AC2" s="1" t="s">
        <v>159</v>
      </c>
      <c r="AD2" s="1">
        <v>6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6</v>
      </c>
      <c r="AK2" s="1" t="s">
        <v>188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184</v>
      </c>
      <c r="AT2" s="1" t="s">
        <v>155</v>
      </c>
      <c r="AU2" s="1" t="s">
        <v>161</v>
      </c>
      <c r="AV2" s="1" t="s">
        <v>189</v>
      </c>
      <c r="AW2" s="1" t="s">
        <v>190</v>
      </c>
      <c r="AX2" s="1" t="s">
        <v>161</v>
      </c>
      <c r="AY2" s="1" t="s">
        <v>191</v>
      </c>
      <c r="AZ2" s="1" t="s">
        <v>192</v>
      </c>
      <c r="BA2" s="1" t="s">
        <v>193</v>
      </c>
      <c r="BB2" s="1" t="s">
        <v>189</v>
      </c>
      <c r="BC2" s="1" t="s">
        <v>167</v>
      </c>
      <c r="BD2" s="1" t="s">
        <v>155</v>
      </c>
      <c r="BE2" s="1">
        <v>120.8</v>
      </c>
      <c r="BF2" s="1">
        <v>111.5</v>
      </c>
      <c r="BG2" s="1">
        <v>9.3000000000000007</v>
      </c>
      <c r="BH2" s="1" t="s">
        <v>194</v>
      </c>
      <c r="BI2" s="1" t="s">
        <v>195</v>
      </c>
      <c r="BJ2" s="1" t="s">
        <v>196</v>
      </c>
      <c r="BK2" s="1" t="s">
        <v>197</v>
      </c>
      <c r="BL2" s="1" t="s">
        <v>198</v>
      </c>
      <c r="BM2" s="1" t="s">
        <v>175</v>
      </c>
      <c r="BN2" s="1" t="s">
        <v>171</v>
      </c>
      <c r="BO2" s="1" t="s">
        <v>171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199</v>
      </c>
      <c r="BZ2" s="1" t="s">
        <v>200</v>
      </c>
      <c r="CA2" s="1"/>
      <c r="CB2" s="1" t="s">
        <v>183</v>
      </c>
      <c r="CC2" s="1"/>
    </row>
    <row r="3" spans="1:81" x14ac:dyDescent="0.25">
      <c r="A3" s="1" t="s">
        <v>145</v>
      </c>
      <c r="B3" s="1" t="s">
        <v>146</v>
      </c>
      <c r="C3" s="1">
        <v>1610612747</v>
      </c>
      <c r="D3" s="1" t="s">
        <v>147</v>
      </c>
      <c r="E3" s="1" t="s">
        <v>148</v>
      </c>
      <c r="F3" s="1" t="s">
        <v>149</v>
      </c>
      <c r="G3" s="1" t="s">
        <v>150</v>
      </c>
      <c r="H3" s="1">
        <v>1</v>
      </c>
      <c r="I3" s="1" t="s">
        <v>151</v>
      </c>
      <c r="J3" s="1" t="s">
        <v>152</v>
      </c>
      <c r="K3" s="1" t="s">
        <v>153</v>
      </c>
      <c r="L3" s="1">
        <v>1</v>
      </c>
      <c r="M3" s="1">
        <v>12</v>
      </c>
      <c r="N3" s="1">
        <v>2</v>
      </c>
      <c r="O3" s="1">
        <v>0.85699999999999998</v>
      </c>
      <c r="P3" s="1">
        <v>0</v>
      </c>
      <c r="Q3" s="1" t="s">
        <v>154</v>
      </c>
      <c r="R3" s="1" t="s">
        <v>150</v>
      </c>
      <c r="S3" s="1" t="s">
        <v>155</v>
      </c>
      <c r="T3" s="1" t="s">
        <v>156</v>
      </c>
      <c r="U3" s="1" t="s">
        <v>150</v>
      </c>
      <c r="V3" s="1" t="s">
        <v>155</v>
      </c>
      <c r="W3" s="1" t="s">
        <v>157</v>
      </c>
      <c r="X3" s="1" t="s">
        <v>157</v>
      </c>
      <c r="Y3" s="1" t="s">
        <v>158</v>
      </c>
      <c r="Z3" s="1">
        <v>4</v>
      </c>
      <c r="AA3" s="1" t="s">
        <v>159</v>
      </c>
      <c r="AB3" s="1">
        <v>4</v>
      </c>
      <c r="AC3" s="1" t="s">
        <v>159</v>
      </c>
      <c r="AD3" s="1">
        <v>7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5</v>
      </c>
      <c r="AK3" s="1" t="s">
        <v>160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156</v>
      </c>
      <c r="AT3" s="1" t="s">
        <v>153</v>
      </c>
      <c r="AU3" s="1" t="s">
        <v>161</v>
      </c>
      <c r="AV3" s="1" t="s">
        <v>162</v>
      </c>
      <c r="AW3" s="1" t="s">
        <v>163</v>
      </c>
      <c r="AX3" s="1" t="s">
        <v>164</v>
      </c>
      <c r="AY3" s="1" t="s">
        <v>165</v>
      </c>
      <c r="AZ3" s="1" t="s">
        <v>166</v>
      </c>
      <c r="BA3" s="1" t="s">
        <v>166</v>
      </c>
      <c r="BB3" s="1" t="s">
        <v>167</v>
      </c>
      <c r="BC3" s="1" t="s">
        <v>156</v>
      </c>
      <c r="BD3" s="1" t="s">
        <v>168</v>
      </c>
      <c r="BE3" s="1">
        <v>110.9</v>
      </c>
      <c r="BF3" s="1">
        <v>101.1</v>
      </c>
      <c r="BG3" s="1">
        <v>9.8000000000000007</v>
      </c>
      <c r="BH3" s="1" t="s">
        <v>169</v>
      </c>
      <c r="BI3" s="1" t="s">
        <v>170</v>
      </c>
      <c r="BJ3" s="1" t="s">
        <v>171</v>
      </c>
      <c r="BK3" s="1" t="s">
        <v>172</v>
      </c>
      <c r="BL3" s="1" t="s">
        <v>173</v>
      </c>
      <c r="BM3" s="1" t="s">
        <v>174</v>
      </c>
      <c r="BN3" s="1" t="s">
        <v>175</v>
      </c>
      <c r="BO3" s="1" t="s">
        <v>172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175</v>
      </c>
      <c r="BZ3" s="1" t="s">
        <v>176</v>
      </c>
      <c r="CA3" s="1"/>
      <c r="CB3" s="1" t="s">
        <v>154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1610612748</v>
      </c>
      <c r="D6" s="1" t="s">
        <v>241</v>
      </c>
      <c r="E6" s="1" t="s">
        <v>242</v>
      </c>
      <c r="F6" s="1" t="s">
        <v>179</v>
      </c>
      <c r="G6" s="1" t="s">
        <v>243</v>
      </c>
      <c r="H6" s="1">
        <v>3</v>
      </c>
      <c r="I6" s="1" t="s">
        <v>151</v>
      </c>
      <c r="J6" s="1" t="s">
        <v>244</v>
      </c>
      <c r="K6" s="1" t="s">
        <v>163</v>
      </c>
      <c r="L6" s="1">
        <v>1</v>
      </c>
      <c r="M6" s="1">
        <v>10</v>
      </c>
      <c r="N6" s="1">
        <v>3</v>
      </c>
      <c r="O6" s="1">
        <v>0.76900000000000002</v>
      </c>
      <c r="P6" s="1">
        <v>0</v>
      </c>
      <c r="Q6" s="1" t="s">
        <v>220</v>
      </c>
      <c r="R6" s="1" t="s">
        <v>243</v>
      </c>
      <c r="S6" s="1" t="s">
        <v>245</v>
      </c>
      <c r="T6" s="1" t="s">
        <v>184</v>
      </c>
      <c r="U6" s="1" t="s">
        <v>243</v>
      </c>
      <c r="V6" s="1" t="s">
        <v>245</v>
      </c>
      <c r="W6" s="1" t="s">
        <v>157</v>
      </c>
      <c r="X6" s="1" t="s">
        <v>161</v>
      </c>
      <c r="Y6" s="1" t="s">
        <v>180</v>
      </c>
      <c r="Z6" s="1">
        <v>6</v>
      </c>
      <c r="AA6" s="1" t="s">
        <v>188</v>
      </c>
      <c r="AB6" s="1">
        <v>1</v>
      </c>
      <c r="AC6" s="1" t="s">
        <v>246</v>
      </c>
      <c r="AD6" s="1">
        <v>4</v>
      </c>
      <c r="AE6" s="1">
        <v>1</v>
      </c>
      <c r="AF6" s="1">
        <v>6</v>
      </c>
      <c r="AG6" s="1" t="s">
        <v>188</v>
      </c>
      <c r="AH6" s="1">
        <v>1</v>
      </c>
      <c r="AI6" s="1" t="s">
        <v>246</v>
      </c>
      <c r="AJ6" s="1">
        <v>4</v>
      </c>
      <c r="AK6" s="1" t="s">
        <v>159</v>
      </c>
      <c r="AL6" s="1">
        <v>1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224</v>
      </c>
      <c r="AU6" s="1" t="s">
        <v>161</v>
      </c>
      <c r="AV6" s="1" t="s">
        <v>150</v>
      </c>
      <c r="AW6" s="1" t="s">
        <v>224</v>
      </c>
      <c r="AX6" s="1" t="s">
        <v>161</v>
      </c>
      <c r="AY6" s="1" t="s">
        <v>210</v>
      </c>
      <c r="AZ6" s="1" t="s">
        <v>166</v>
      </c>
      <c r="BA6" s="1" t="s">
        <v>206</v>
      </c>
      <c r="BB6" s="1" t="s">
        <v>210</v>
      </c>
      <c r="BC6" s="1" t="s">
        <v>247</v>
      </c>
      <c r="BD6" s="1" t="s">
        <v>208</v>
      </c>
      <c r="BE6" s="1">
        <v>112.2</v>
      </c>
      <c r="BF6" s="1">
        <v>103.7</v>
      </c>
      <c r="BG6" s="1">
        <v>8.5</v>
      </c>
      <c r="BH6" s="1" t="s">
        <v>248</v>
      </c>
      <c r="BI6" s="1" t="s">
        <v>215</v>
      </c>
      <c r="BJ6" s="1" t="s">
        <v>196</v>
      </c>
      <c r="BK6" s="1" t="s">
        <v>174</v>
      </c>
      <c r="BL6" s="1" t="s">
        <v>249</v>
      </c>
      <c r="BM6" s="1" t="s">
        <v>250</v>
      </c>
      <c r="BN6" s="1" t="s">
        <v>195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169</v>
      </c>
      <c r="BZ6" s="1" t="s">
        <v>227</v>
      </c>
      <c r="CA6" s="1"/>
      <c r="CB6" s="1" t="s">
        <v>220</v>
      </c>
      <c r="CC6" s="1"/>
    </row>
    <row r="7" spans="1:81" x14ac:dyDescent="0.25">
      <c r="A7" s="1" t="s">
        <v>145</v>
      </c>
      <c r="B7" s="1" t="s">
        <v>146</v>
      </c>
      <c r="C7" s="1">
        <v>1610612745</v>
      </c>
      <c r="D7" s="1" t="s">
        <v>229</v>
      </c>
      <c r="E7" s="1" t="s">
        <v>230</v>
      </c>
      <c r="F7" s="1" t="s">
        <v>149</v>
      </c>
      <c r="G7" s="1" t="s">
        <v>150</v>
      </c>
      <c r="H7" s="1">
        <v>3</v>
      </c>
      <c r="I7" s="1" t="s">
        <v>151</v>
      </c>
      <c r="J7" s="1" t="s">
        <v>231</v>
      </c>
      <c r="K7" s="1" t="s">
        <v>232</v>
      </c>
      <c r="L7" s="1">
        <v>1</v>
      </c>
      <c r="M7" s="1">
        <v>11</v>
      </c>
      <c r="N7" s="1">
        <v>4</v>
      </c>
      <c r="O7" s="1">
        <v>0.73299999999999998</v>
      </c>
      <c r="P7" s="1">
        <v>0</v>
      </c>
      <c r="Q7" s="1" t="s">
        <v>233</v>
      </c>
      <c r="R7" s="1" t="s">
        <v>187</v>
      </c>
      <c r="S7" s="1" t="s">
        <v>234</v>
      </c>
      <c r="T7" s="1" t="s">
        <v>184</v>
      </c>
      <c r="U7" s="1" t="s">
        <v>187</v>
      </c>
      <c r="V7" s="1" t="s">
        <v>234</v>
      </c>
      <c r="W7" s="1" t="s">
        <v>161</v>
      </c>
      <c r="X7" s="1" t="s">
        <v>163</v>
      </c>
      <c r="Y7" s="1" t="s">
        <v>235</v>
      </c>
      <c r="Z7" s="1">
        <v>6</v>
      </c>
      <c r="AA7" s="1" t="s">
        <v>188</v>
      </c>
      <c r="AB7" s="1">
        <v>4</v>
      </c>
      <c r="AC7" s="1" t="s">
        <v>159</v>
      </c>
      <c r="AD7" s="1">
        <v>8</v>
      </c>
      <c r="AE7" s="1">
        <v>2</v>
      </c>
      <c r="AF7" s="1">
        <v>6</v>
      </c>
      <c r="AG7" s="1" t="s">
        <v>188</v>
      </c>
      <c r="AH7" s="1">
        <v>-1</v>
      </c>
      <c r="AI7" s="1" t="s">
        <v>207</v>
      </c>
      <c r="AJ7" s="1">
        <v>-1</v>
      </c>
      <c r="AK7" s="1" t="s">
        <v>207</v>
      </c>
      <c r="AL7" s="1">
        <v>1.5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236</v>
      </c>
      <c r="AU7" s="1" t="s">
        <v>157</v>
      </c>
      <c r="AV7" s="1" t="s">
        <v>156</v>
      </c>
      <c r="AW7" s="1" t="s">
        <v>236</v>
      </c>
      <c r="AX7" s="1" t="s">
        <v>161</v>
      </c>
      <c r="AY7" s="1" t="s">
        <v>237</v>
      </c>
      <c r="AZ7" s="1" t="s">
        <v>238</v>
      </c>
      <c r="BA7" s="1" t="s">
        <v>226</v>
      </c>
      <c r="BB7" s="1" t="s">
        <v>205</v>
      </c>
      <c r="BC7" s="1" t="s">
        <v>187</v>
      </c>
      <c r="BD7" s="1" t="s">
        <v>187</v>
      </c>
      <c r="BE7" s="1">
        <v>117.9</v>
      </c>
      <c r="BF7" s="1">
        <v>113.1</v>
      </c>
      <c r="BG7" s="1">
        <v>4.7</v>
      </c>
      <c r="BH7" s="1" t="s">
        <v>239</v>
      </c>
      <c r="BI7" s="1" t="s">
        <v>170</v>
      </c>
      <c r="BJ7" s="1" t="s">
        <v>197</v>
      </c>
      <c r="BK7" s="1" t="s">
        <v>195</v>
      </c>
      <c r="BL7" s="1" t="s">
        <v>173</v>
      </c>
      <c r="BM7" s="1" t="s">
        <v>175</v>
      </c>
      <c r="BN7" s="1" t="s">
        <v>174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175</v>
      </c>
      <c r="BZ7" s="1" t="s">
        <v>240</v>
      </c>
      <c r="CA7" s="1"/>
      <c r="CB7" s="1" t="s">
        <v>233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1610612763</v>
      </c>
      <c r="D22" s="1" t="s">
        <v>361</v>
      </c>
      <c r="E22" s="1" t="s">
        <v>362</v>
      </c>
      <c r="F22" s="1" t="s">
        <v>149</v>
      </c>
      <c r="G22" s="1" t="s">
        <v>333</v>
      </c>
      <c r="H22" s="1">
        <v>11</v>
      </c>
      <c r="I22" s="1" t="s">
        <v>151</v>
      </c>
      <c r="J22" s="1" t="s">
        <v>231</v>
      </c>
      <c r="K22" s="1" t="s">
        <v>190</v>
      </c>
      <c r="L22" s="1">
        <v>4</v>
      </c>
      <c r="M22" s="1">
        <v>5</v>
      </c>
      <c r="N22" s="1">
        <v>9</v>
      </c>
      <c r="O22" s="1">
        <v>0.35699999999999998</v>
      </c>
      <c r="P22" s="1">
        <v>0</v>
      </c>
      <c r="Q22" s="1" t="s">
        <v>363</v>
      </c>
      <c r="R22" s="1" t="s">
        <v>333</v>
      </c>
      <c r="S22" s="1" t="s">
        <v>236</v>
      </c>
      <c r="T22" s="1" t="s">
        <v>310</v>
      </c>
      <c r="U22" s="1" t="s">
        <v>333</v>
      </c>
      <c r="V22" s="1" t="s">
        <v>236</v>
      </c>
      <c r="W22" s="1" t="s">
        <v>157</v>
      </c>
      <c r="X22" s="1" t="s">
        <v>232</v>
      </c>
      <c r="Y22" s="1" t="s">
        <v>328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3</v>
      </c>
      <c r="AE22" s="1">
        <v>3</v>
      </c>
      <c r="AF22" s="1">
        <v>-2</v>
      </c>
      <c r="AG22" s="1" t="s">
        <v>279</v>
      </c>
      <c r="AH22" s="1">
        <v>2</v>
      </c>
      <c r="AI22" s="1" t="s">
        <v>222</v>
      </c>
      <c r="AJ22" s="1">
        <v>-2</v>
      </c>
      <c r="AK22" s="1" t="s">
        <v>279</v>
      </c>
      <c r="AL22" s="1">
        <v>7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245</v>
      </c>
      <c r="AT22" s="1" t="s">
        <v>328</v>
      </c>
      <c r="AU22" s="1" t="s">
        <v>161</v>
      </c>
      <c r="AV22" s="1" t="s">
        <v>224</v>
      </c>
      <c r="AW22" s="1" t="s">
        <v>341</v>
      </c>
      <c r="AX22" s="1" t="s">
        <v>161</v>
      </c>
      <c r="AY22" s="1" t="s">
        <v>340</v>
      </c>
      <c r="AZ22" s="1" t="s">
        <v>342</v>
      </c>
      <c r="BA22" s="1" t="s">
        <v>310</v>
      </c>
      <c r="BB22" s="1" t="s">
        <v>158</v>
      </c>
      <c r="BC22" s="1" t="s">
        <v>245</v>
      </c>
      <c r="BD22" s="1" t="s">
        <v>208</v>
      </c>
      <c r="BE22" s="1">
        <v>109</v>
      </c>
      <c r="BF22" s="1">
        <v>118.4</v>
      </c>
      <c r="BG22" s="1">
        <v>-9.4</v>
      </c>
      <c r="BH22" s="1" t="s">
        <v>275</v>
      </c>
      <c r="BI22" s="1" t="s">
        <v>171</v>
      </c>
      <c r="BJ22" s="1" t="s">
        <v>170</v>
      </c>
      <c r="BK22" s="1" t="s">
        <v>267</v>
      </c>
      <c r="BL22" s="1" t="s">
        <v>364</v>
      </c>
      <c r="BM22" s="1" t="s">
        <v>197</v>
      </c>
      <c r="BN22" s="1" t="s">
        <v>356</v>
      </c>
      <c r="BO22" s="1" t="s">
        <v>267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323</v>
      </c>
      <c r="CA22" s="1"/>
      <c r="CB22" s="1" t="s">
        <v>363</v>
      </c>
      <c r="CC22" s="1"/>
    </row>
    <row r="23" spans="1:81" x14ac:dyDescent="0.25">
      <c r="A23" s="1" t="s">
        <v>145</v>
      </c>
      <c r="B23" s="1" t="s">
        <v>146</v>
      </c>
      <c r="C23" s="1">
        <v>1610612764</v>
      </c>
      <c r="D23" s="1" t="s">
        <v>357</v>
      </c>
      <c r="E23" s="1" t="s">
        <v>358</v>
      </c>
      <c r="F23" s="1" t="s">
        <v>179</v>
      </c>
      <c r="G23" s="1" t="s">
        <v>262</v>
      </c>
      <c r="H23" s="1">
        <v>11</v>
      </c>
      <c r="I23" s="1" t="s">
        <v>151</v>
      </c>
      <c r="J23" s="1" t="s">
        <v>244</v>
      </c>
      <c r="K23" s="1" t="s">
        <v>185</v>
      </c>
      <c r="L23" s="1">
        <v>4</v>
      </c>
      <c r="M23" s="1">
        <v>4</v>
      </c>
      <c r="N23" s="1">
        <v>8</v>
      </c>
      <c r="O23" s="1">
        <v>0.33300000000000002</v>
      </c>
      <c r="P23" s="1">
        <v>0</v>
      </c>
      <c r="Q23" s="1" t="s">
        <v>351</v>
      </c>
      <c r="R23" s="1" t="s">
        <v>236</v>
      </c>
      <c r="S23" s="1" t="s">
        <v>300</v>
      </c>
      <c r="T23" s="1" t="s">
        <v>341</v>
      </c>
      <c r="U23" s="1" t="s">
        <v>236</v>
      </c>
      <c r="V23" s="1" t="s">
        <v>300</v>
      </c>
      <c r="W23" s="1" t="s">
        <v>161</v>
      </c>
      <c r="X23" s="1" t="s">
        <v>164</v>
      </c>
      <c r="Y23" s="1" t="s">
        <v>226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1</v>
      </c>
      <c r="AE23" s="1">
        <v>3</v>
      </c>
      <c r="AF23" s="1">
        <v>1</v>
      </c>
      <c r="AG23" s="1" t="s">
        <v>246</v>
      </c>
      <c r="AH23" s="1">
        <v>-1</v>
      </c>
      <c r="AI23" s="1" t="s">
        <v>207</v>
      </c>
      <c r="AJ23" s="1">
        <v>1</v>
      </c>
      <c r="AK23" s="1" t="s">
        <v>246</v>
      </c>
      <c r="AL23" s="1">
        <v>6.5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153</v>
      </c>
      <c r="AT23" s="1" t="s">
        <v>328</v>
      </c>
      <c r="AU23" s="1" t="s">
        <v>185</v>
      </c>
      <c r="AV23" s="1" t="s">
        <v>155</v>
      </c>
      <c r="AW23" s="1" t="s">
        <v>359</v>
      </c>
      <c r="AX23" s="1" t="s">
        <v>161</v>
      </c>
      <c r="AY23" s="1" t="s">
        <v>360</v>
      </c>
      <c r="AZ23" s="1" t="s">
        <v>320</v>
      </c>
      <c r="BA23" s="1" t="s">
        <v>304</v>
      </c>
      <c r="BB23" s="1" t="s">
        <v>254</v>
      </c>
      <c r="BC23" s="1" t="s">
        <v>186</v>
      </c>
      <c r="BD23" s="1" t="s">
        <v>264</v>
      </c>
      <c r="BE23" s="1">
        <v>119.7</v>
      </c>
      <c r="BF23" s="1">
        <v>121.1</v>
      </c>
      <c r="BG23" s="1">
        <v>-1.4</v>
      </c>
      <c r="BH23" s="1" t="s">
        <v>344</v>
      </c>
      <c r="BI23" s="1" t="s">
        <v>170</v>
      </c>
      <c r="BJ23" s="1" t="s">
        <v>267</v>
      </c>
      <c r="BK23" s="1" t="s">
        <v>170</v>
      </c>
      <c r="BL23" s="1" t="s">
        <v>295</v>
      </c>
      <c r="BM23" s="1" t="s">
        <v>197</v>
      </c>
      <c r="BN23" s="1" t="s">
        <v>215</v>
      </c>
      <c r="BO23" s="1" t="s">
        <v>282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305</v>
      </c>
      <c r="CA23" s="1"/>
      <c r="CB23" s="1" t="s">
        <v>351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1610612765</v>
      </c>
      <c r="D26" s="1" t="s">
        <v>380</v>
      </c>
      <c r="E26" s="1" t="s">
        <v>381</v>
      </c>
      <c r="F26" s="1" t="s">
        <v>179</v>
      </c>
      <c r="G26" s="1" t="s">
        <v>382</v>
      </c>
      <c r="H26" s="1">
        <v>13</v>
      </c>
      <c r="I26" s="1" t="s">
        <v>151</v>
      </c>
      <c r="J26" s="1" t="s">
        <v>181</v>
      </c>
      <c r="K26" s="1" t="s">
        <v>236</v>
      </c>
      <c r="L26" s="1">
        <v>5</v>
      </c>
      <c r="M26" s="1">
        <v>4</v>
      </c>
      <c r="N26" s="1">
        <v>10</v>
      </c>
      <c r="O26" s="1">
        <v>0.28599999999999998</v>
      </c>
      <c r="P26" s="1">
        <v>0</v>
      </c>
      <c r="Q26" s="1" t="s">
        <v>371</v>
      </c>
      <c r="R26" s="1" t="s">
        <v>226</v>
      </c>
      <c r="S26" s="1" t="s">
        <v>332</v>
      </c>
      <c r="T26" s="1" t="s">
        <v>320</v>
      </c>
      <c r="U26" s="1" t="s">
        <v>226</v>
      </c>
      <c r="V26" s="1" t="s">
        <v>332</v>
      </c>
      <c r="W26" s="1" t="s">
        <v>161</v>
      </c>
      <c r="X26" s="1" t="s">
        <v>186</v>
      </c>
      <c r="Y26" s="1" t="s">
        <v>262</v>
      </c>
      <c r="Z26" s="1">
        <v>3</v>
      </c>
      <c r="AA26" s="1" t="s">
        <v>223</v>
      </c>
      <c r="AB26" s="1">
        <v>-7</v>
      </c>
      <c r="AC26" s="1" t="s">
        <v>377</v>
      </c>
      <c r="AD26" s="1">
        <v>1</v>
      </c>
      <c r="AE26" s="1">
        <v>5</v>
      </c>
      <c r="AF26" s="1">
        <v>-1</v>
      </c>
      <c r="AG26" s="1" t="s">
        <v>207</v>
      </c>
      <c r="AH26" s="1">
        <v>-7</v>
      </c>
      <c r="AI26" s="1" t="s">
        <v>377</v>
      </c>
      <c r="AJ26" s="1">
        <v>-5</v>
      </c>
      <c r="AK26" s="1" t="s">
        <v>272</v>
      </c>
      <c r="AL26" s="1">
        <v>7.5</v>
      </c>
      <c r="AM26" s="1">
        <v>7.5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161</v>
      </c>
      <c r="AV26" s="1" t="s">
        <v>232</v>
      </c>
      <c r="AW26" s="1" t="s">
        <v>368</v>
      </c>
      <c r="AX26" s="1" t="s">
        <v>164</v>
      </c>
      <c r="AY26" s="1" t="s">
        <v>360</v>
      </c>
      <c r="AZ26" s="1" t="s">
        <v>350</v>
      </c>
      <c r="BA26" s="1" t="s">
        <v>328</v>
      </c>
      <c r="BB26" s="1" t="s">
        <v>226</v>
      </c>
      <c r="BC26" s="1" t="s">
        <v>264</v>
      </c>
      <c r="BD26" s="1" t="s">
        <v>190</v>
      </c>
      <c r="BE26" s="1">
        <v>107.3</v>
      </c>
      <c r="BF26" s="1">
        <v>112</v>
      </c>
      <c r="BG26" s="1">
        <v>-4.7</v>
      </c>
      <c r="BH26" s="1" t="s">
        <v>383</v>
      </c>
      <c r="BI26" s="1" t="s">
        <v>199</v>
      </c>
      <c r="BJ26" s="1" t="s">
        <v>275</v>
      </c>
      <c r="BK26" s="1" t="s">
        <v>372</v>
      </c>
      <c r="BL26" s="1" t="s">
        <v>170</v>
      </c>
      <c r="BM26" s="1" t="s">
        <v>170</v>
      </c>
      <c r="BN26" s="1" t="s">
        <v>215</v>
      </c>
      <c r="BO26" s="1" t="s">
        <v>215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275</v>
      </c>
      <c r="BZ26" s="1" t="s">
        <v>373</v>
      </c>
      <c r="CA26" s="1"/>
      <c r="CB26" s="1" t="s">
        <v>371</v>
      </c>
      <c r="CC26" s="1"/>
    </row>
    <row r="27" spans="1:81" x14ac:dyDescent="0.25">
      <c r="A27" s="1" t="s">
        <v>145</v>
      </c>
      <c r="B27" s="1" t="s">
        <v>146</v>
      </c>
      <c r="C27" s="1">
        <v>1610612759</v>
      </c>
      <c r="D27" s="1" t="s">
        <v>374</v>
      </c>
      <c r="E27" s="1" t="s">
        <v>375</v>
      </c>
      <c r="F27" s="1" t="s">
        <v>149</v>
      </c>
      <c r="G27" s="1" t="s">
        <v>333</v>
      </c>
      <c r="H27" s="1">
        <v>13</v>
      </c>
      <c r="I27" s="1" t="s">
        <v>151</v>
      </c>
      <c r="J27" s="1" t="s">
        <v>231</v>
      </c>
      <c r="K27" s="1" t="s">
        <v>164</v>
      </c>
      <c r="L27" s="1">
        <v>5</v>
      </c>
      <c r="M27" s="1">
        <v>5</v>
      </c>
      <c r="N27" s="1">
        <v>10</v>
      </c>
      <c r="O27" s="1">
        <v>0.33300000000000002</v>
      </c>
      <c r="P27" s="1">
        <v>0</v>
      </c>
      <c r="Q27" s="1" t="s">
        <v>349</v>
      </c>
      <c r="R27" s="1" t="s">
        <v>254</v>
      </c>
      <c r="S27" s="1" t="s">
        <v>328</v>
      </c>
      <c r="T27" s="1" t="s">
        <v>376</v>
      </c>
      <c r="U27" s="1" t="s">
        <v>254</v>
      </c>
      <c r="V27" s="1" t="s">
        <v>328</v>
      </c>
      <c r="W27" s="1" t="s">
        <v>161</v>
      </c>
      <c r="X27" s="1" t="s">
        <v>260</v>
      </c>
      <c r="Y27" s="1" t="s">
        <v>190</v>
      </c>
      <c r="Z27" s="1">
        <v>3</v>
      </c>
      <c r="AA27" s="1" t="s">
        <v>223</v>
      </c>
      <c r="AB27" s="1">
        <v>-5</v>
      </c>
      <c r="AC27" s="1" t="s">
        <v>272</v>
      </c>
      <c r="AD27" s="1">
        <v>3</v>
      </c>
      <c r="AE27" s="1">
        <v>7</v>
      </c>
      <c r="AF27" s="1">
        <v>-3</v>
      </c>
      <c r="AG27" s="1" t="s">
        <v>301</v>
      </c>
      <c r="AH27" s="1">
        <v>-5</v>
      </c>
      <c r="AI27" s="1" t="s">
        <v>272</v>
      </c>
      <c r="AJ27" s="1">
        <v>-7</v>
      </c>
      <c r="AK27" s="1" t="s">
        <v>377</v>
      </c>
      <c r="AL27" s="1">
        <v>7.5</v>
      </c>
      <c r="AM27" s="1">
        <v>6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157</v>
      </c>
      <c r="AV27" s="1" t="s">
        <v>245</v>
      </c>
      <c r="AW27" s="1" t="s">
        <v>332</v>
      </c>
      <c r="AX27" s="1" t="s">
        <v>161</v>
      </c>
      <c r="AY27" s="1" t="s">
        <v>303</v>
      </c>
      <c r="AZ27" s="1" t="s">
        <v>378</v>
      </c>
      <c r="BA27" s="1" t="s">
        <v>309</v>
      </c>
      <c r="BB27" s="1" t="s">
        <v>245</v>
      </c>
      <c r="BC27" s="1" t="s">
        <v>265</v>
      </c>
      <c r="BD27" s="1" t="s">
        <v>262</v>
      </c>
      <c r="BE27" s="1">
        <v>113.5</v>
      </c>
      <c r="BF27" s="1">
        <v>116.2</v>
      </c>
      <c r="BG27" s="1">
        <v>-2.7</v>
      </c>
      <c r="BH27" s="1" t="s">
        <v>274</v>
      </c>
      <c r="BI27" s="1" t="s">
        <v>195</v>
      </c>
      <c r="BJ27" s="1" t="s">
        <v>215</v>
      </c>
      <c r="BK27" s="1" t="s">
        <v>282</v>
      </c>
      <c r="BL27" s="1" t="s">
        <v>364</v>
      </c>
      <c r="BM27" s="1" t="s">
        <v>199</v>
      </c>
      <c r="BN27" s="1" t="s">
        <v>267</v>
      </c>
      <c r="BO27" s="1" t="s">
        <v>250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175</v>
      </c>
      <c r="BZ27" s="1" t="s">
        <v>379</v>
      </c>
      <c r="CA27" s="1"/>
      <c r="CB27" s="1" t="s">
        <v>349</v>
      </c>
      <c r="CC27" s="1"/>
    </row>
    <row r="28" spans="1:81" x14ac:dyDescent="0.25">
      <c r="A28" s="1" t="s">
        <v>145</v>
      </c>
      <c r="B28" s="1" t="s">
        <v>146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382</v>
      </c>
      <c r="H28" s="1">
        <v>14</v>
      </c>
      <c r="I28" s="1" t="s">
        <v>151</v>
      </c>
      <c r="J28" s="1" t="s">
        <v>181</v>
      </c>
      <c r="K28" s="1" t="s">
        <v>224</v>
      </c>
      <c r="L28" s="1">
        <v>4</v>
      </c>
      <c r="M28" s="1">
        <v>4</v>
      </c>
      <c r="N28" s="1">
        <v>10</v>
      </c>
      <c r="O28" s="1">
        <v>0.28599999999999998</v>
      </c>
      <c r="P28" s="1">
        <v>0</v>
      </c>
      <c r="Q28" s="1" t="s">
        <v>371</v>
      </c>
      <c r="R28" s="1" t="s">
        <v>292</v>
      </c>
      <c r="S28" s="1" t="s">
        <v>311</v>
      </c>
      <c r="T28" s="1" t="s">
        <v>320</v>
      </c>
      <c r="U28" s="1" t="s">
        <v>292</v>
      </c>
      <c r="V28" s="1" t="s">
        <v>311</v>
      </c>
      <c r="W28" s="1" t="s">
        <v>161</v>
      </c>
      <c r="X28" s="1" t="s">
        <v>185</v>
      </c>
      <c r="Y28" s="1" t="s">
        <v>333</v>
      </c>
      <c r="Z28" s="1">
        <v>-4</v>
      </c>
      <c r="AA28" s="1" t="s">
        <v>263</v>
      </c>
      <c r="AB28" s="1">
        <v>-3</v>
      </c>
      <c r="AC28" s="1" t="s">
        <v>301</v>
      </c>
      <c r="AD28" s="1">
        <v>2</v>
      </c>
      <c r="AE28" s="1">
        <v>5</v>
      </c>
      <c r="AF28" s="1">
        <v>-4</v>
      </c>
      <c r="AG28" s="1" t="s">
        <v>263</v>
      </c>
      <c r="AH28" s="1">
        <v>-3</v>
      </c>
      <c r="AI28" s="1" t="s">
        <v>301</v>
      </c>
      <c r="AJ28" s="1">
        <v>-5</v>
      </c>
      <c r="AK28" s="1" t="s">
        <v>272</v>
      </c>
      <c r="AL28" s="1">
        <v>7.5</v>
      </c>
      <c r="AM28" s="1">
        <v>7.5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232</v>
      </c>
      <c r="AT28" s="1" t="s">
        <v>391</v>
      </c>
      <c r="AU28" s="1" t="s">
        <v>161</v>
      </c>
      <c r="AV28" s="1" t="s">
        <v>232</v>
      </c>
      <c r="AW28" s="1" t="s">
        <v>391</v>
      </c>
      <c r="AX28" s="1" t="s">
        <v>161</v>
      </c>
      <c r="AY28" s="1" t="s">
        <v>271</v>
      </c>
      <c r="AZ28" s="1" t="s">
        <v>320</v>
      </c>
      <c r="BA28" s="1" t="s">
        <v>392</v>
      </c>
      <c r="BB28" s="1" t="s">
        <v>153</v>
      </c>
      <c r="BC28" s="1" t="s">
        <v>153</v>
      </c>
      <c r="BD28" s="1" t="s">
        <v>292</v>
      </c>
      <c r="BE28" s="1">
        <v>104.1</v>
      </c>
      <c r="BF28" s="1">
        <v>109.9</v>
      </c>
      <c r="BG28" s="1">
        <v>-5.8</v>
      </c>
      <c r="BH28" s="1" t="s">
        <v>383</v>
      </c>
      <c r="BI28" s="1" t="s">
        <v>344</v>
      </c>
      <c r="BJ28" s="1" t="s">
        <v>199</v>
      </c>
      <c r="BK28" s="1" t="s">
        <v>282</v>
      </c>
      <c r="BL28" s="1" t="s">
        <v>170</v>
      </c>
      <c r="BM28" s="1" t="s">
        <v>215</v>
      </c>
      <c r="BN28" s="1" t="s">
        <v>215</v>
      </c>
      <c r="BO28" s="1" t="s">
        <v>170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199</v>
      </c>
      <c r="BZ28" s="1" t="s">
        <v>393</v>
      </c>
      <c r="CA28" s="1"/>
      <c r="CB28" s="1" t="s">
        <v>371</v>
      </c>
      <c r="CC28" s="1"/>
    </row>
    <row r="29" spans="1:81" x14ac:dyDescent="0.25">
      <c r="A29" s="1" t="s">
        <v>145</v>
      </c>
      <c r="B29" s="1" t="s">
        <v>146</v>
      </c>
      <c r="C29" s="1">
        <v>1610612757</v>
      </c>
      <c r="D29" s="1" t="s">
        <v>384</v>
      </c>
      <c r="E29" s="1" t="s">
        <v>385</v>
      </c>
      <c r="F29" s="1" t="s">
        <v>149</v>
      </c>
      <c r="G29" s="1" t="s">
        <v>312</v>
      </c>
      <c r="H29" s="1">
        <v>14</v>
      </c>
      <c r="I29" s="1" t="s">
        <v>151</v>
      </c>
      <c r="J29" s="1" t="s">
        <v>219</v>
      </c>
      <c r="K29" s="1" t="s">
        <v>186</v>
      </c>
      <c r="L29" s="1">
        <v>5</v>
      </c>
      <c r="M29" s="1">
        <v>5</v>
      </c>
      <c r="N29" s="1">
        <v>11</v>
      </c>
      <c r="O29" s="1">
        <v>0.313</v>
      </c>
      <c r="P29" s="1">
        <v>0</v>
      </c>
      <c r="Q29" s="1" t="s">
        <v>386</v>
      </c>
      <c r="R29" s="1" t="s">
        <v>262</v>
      </c>
      <c r="S29" s="1" t="s">
        <v>312</v>
      </c>
      <c r="T29" s="1" t="s">
        <v>320</v>
      </c>
      <c r="U29" s="1" t="s">
        <v>262</v>
      </c>
      <c r="V29" s="1" t="s">
        <v>341</v>
      </c>
      <c r="W29" s="1" t="s">
        <v>157</v>
      </c>
      <c r="X29" s="1" t="s">
        <v>224</v>
      </c>
      <c r="Y29" s="1" t="s">
        <v>224</v>
      </c>
      <c r="Z29" s="1">
        <v>-3</v>
      </c>
      <c r="AA29" s="1" t="s">
        <v>301</v>
      </c>
      <c r="AB29" s="1">
        <v>-3</v>
      </c>
      <c r="AC29" s="1" t="s">
        <v>301</v>
      </c>
      <c r="AD29" s="1">
        <v>2</v>
      </c>
      <c r="AE29" s="1">
        <v>4</v>
      </c>
      <c r="AF29" s="1">
        <v>-1</v>
      </c>
      <c r="AG29" s="1" t="s">
        <v>207</v>
      </c>
      <c r="AH29" s="1">
        <v>-3</v>
      </c>
      <c r="AI29" s="1" t="s">
        <v>301</v>
      </c>
      <c r="AJ29" s="1">
        <v>-3</v>
      </c>
      <c r="AK29" s="1" t="s">
        <v>301</v>
      </c>
      <c r="AL29" s="1">
        <v>8</v>
      </c>
      <c r="AM29" s="1">
        <v>6.5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309</v>
      </c>
      <c r="AT29" s="1" t="s">
        <v>328</v>
      </c>
      <c r="AU29" s="1" t="s">
        <v>157</v>
      </c>
      <c r="AV29" s="1" t="s">
        <v>339</v>
      </c>
      <c r="AW29" s="1" t="s">
        <v>320</v>
      </c>
      <c r="AX29" s="1" t="s">
        <v>163</v>
      </c>
      <c r="AY29" s="1" t="s">
        <v>378</v>
      </c>
      <c r="AZ29" s="1" t="s">
        <v>387</v>
      </c>
      <c r="BA29" s="1" t="s">
        <v>332</v>
      </c>
      <c r="BB29" s="1" t="s">
        <v>235</v>
      </c>
      <c r="BC29" s="1" t="s">
        <v>153</v>
      </c>
      <c r="BD29" s="1" t="s">
        <v>304</v>
      </c>
      <c r="BE29" s="1">
        <v>113</v>
      </c>
      <c r="BF29" s="1">
        <v>116.7</v>
      </c>
      <c r="BG29" s="1">
        <v>-3.7</v>
      </c>
      <c r="BH29" s="1" t="s">
        <v>344</v>
      </c>
      <c r="BI29" s="1" t="s">
        <v>356</v>
      </c>
      <c r="BJ29" s="1" t="s">
        <v>170</v>
      </c>
      <c r="BK29" s="1" t="s">
        <v>171</v>
      </c>
      <c r="BL29" s="1" t="s">
        <v>388</v>
      </c>
      <c r="BM29" s="1" t="s">
        <v>195</v>
      </c>
      <c r="BN29" s="1" t="s">
        <v>282</v>
      </c>
      <c r="BO29" s="1" t="s">
        <v>275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228</v>
      </c>
      <c r="BZ29" s="1" t="s">
        <v>379</v>
      </c>
      <c r="CA29" s="1"/>
      <c r="CB29" s="1" t="s">
        <v>386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762</v>
      </c>
      <c r="C2" s="1">
        <v>1610612744</v>
      </c>
      <c r="D2" s="1" t="s">
        <v>399</v>
      </c>
      <c r="E2" s="1" t="s">
        <v>400</v>
      </c>
      <c r="F2" s="1" t="s">
        <v>149</v>
      </c>
      <c r="G2" s="1" t="s">
        <v>763</v>
      </c>
      <c r="H2" s="1">
        <v>1</v>
      </c>
      <c r="I2" s="1" t="s">
        <v>764</v>
      </c>
      <c r="J2" s="1" t="s">
        <v>152</v>
      </c>
      <c r="K2" s="1" t="s">
        <v>765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766</v>
      </c>
      <c r="R2" s="1" t="s">
        <v>767</v>
      </c>
      <c r="S2" s="1" t="s">
        <v>768</v>
      </c>
      <c r="T2" s="1" t="s">
        <v>184</v>
      </c>
      <c r="U2" s="1" t="s">
        <v>193</v>
      </c>
      <c r="V2" s="1" t="s">
        <v>193</v>
      </c>
      <c r="W2" s="1" t="s">
        <v>319</v>
      </c>
      <c r="X2" s="1" t="s">
        <v>314</v>
      </c>
      <c r="Y2" s="1" t="s">
        <v>769</v>
      </c>
      <c r="Z2" s="1">
        <v>6</v>
      </c>
      <c r="AA2" s="1" t="s">
        <v>188</v>
      </c>
      <c r="AB2" s="1">
        <v>11</v>
      </c>
      <c r="AC2" s="1" t="s">
        <v>770</v>
      </c>
      <c r="AD2" s="1">
        <v>11</v>
      </c>
      <c r="AE2" s="1">
        <v>4</v>
      </c>
      <c r="AF2" s="1">
        <v>5</v>
      </c>
      <c r="AG2" s="1" t="s">
        <v>160</v>
      </c>
      <c r="AH2" s="1">
        <v>-1</v>
      </c>
      <c r="AI2" s="1" t="s">
        <v>207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771</v>
      </c>
      <c r="AT2" s="1" t="s">
        <v>772</v>
      </c>
      <c r="AU2" s="1" t="s">
        <v>232</v>
      </c>
      <c r="AV2" s="1" t="s">
        <v>773</v>
      </c>
      <c r="AW2" s="1" t="s">
        <v>774</v>
      </c>
      <c r="AX2" s="1" t="s">
        <v>185</v>
      </c>
      <c r="AY2" s="1" t="s">
        <v>775</v>
      </c>
      <c r="AZ2" s="1" t="s">
        <v>776</v>
      </c>
      <c r="BA2" s="1" t="s">
        <v>777</v>
      </c>
      <c r="BB2" s="1" t="s">
        <v>778</v>
      </c>
      <c r="BC2" s="1" t="s">
        <v>779</v>
      </c>
      <c r="BD2" s="1" t="s">
        <v>780</v>
      </c>
      <c r="BE2" s="1">
        <v>117.7</v>
      </c>
      <c r="BF2" s="1">
        <v>111.2</v>
      </c>
      <c r="BG2" s="1">
        <v>6.5</v>
      </c>
      <c r="BH2" s="1" t="s">
        <v>781</v>
      </c>
      <c r="BI2" s="1" t="s">
        <v>266</v>
      </c>
      <c r="BJ2" s="1" t="s">
        <v>216</v>
      </c>
      <c r="BK2" s="1" t="s">
        <v>216</v>
      </c>
      <c r="BL2" s="1" t="s">
        <v>763</v>
      </c>
      <c r="BM2" s="1" t="s">
        <v>782</v>
      </c>
      <c r="BN2" s="1" t="s">
        <v>783</v>
      </c>
      <c r="BO2" s="1" t="s">
        <v>784</v>
      </c>
      <c r="BP2" s="1" t="s">
        <v>785</v>
      </c>
      <c r="BQ2" s="1" t="s">
        <v>786</v>
      </c>
      <c r="BR2" s="1" t="s">
        <v>270</v>
      </c>
      <c r="BS2" s="1" t="s">
        <v>198</v>
      </c>
      <c r="BT2" s="1"/>
      <c r="BU2" s="1"/>
      <c r="BV2" s="1"/>
      <c r="BW2" s="1"/>
      <c r="BX2" s="1"/>
      <c r="BY2" s="1" t="s">
        <v>173</v>
      </c>
      <c r="BZ2" s="1" t="s">
        <v>326</v>
      </c>
      <c r="CA2" s="1" t="s">
        <v>261</v>
      </c>
      <c r="CB2" s="1" t="s">
        <v>787</v>
      </c>
      <c r="CC2" s="1" t="s">
        <v>788</v>
      </c>
    </row>
    <row r="3" spans="1:81" x14ac:dyDescent="0.25">
      <c r="A3" s="1" t="s">
        <v>145</v>
      </c>
      <c r="B3" s="1" t="s">
        <v>762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789</v>
      </c>
      <c r="H3" s="1">
        <v>1</v>
      </c>
      <c r="I3" s="1" t="s">
        <v>790</v>
      </c>
      <c r="J3" s="1" t="s">
        <v>181</v>
      </c>
      <c r="K3" s="1" t="s">
        <v>791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792</v>
      </c>
      <c r="R3" s="1" t="s">
        <v>793</v>
      </c>
      <c r="S3" s="1" t="s">
        <v>768</v>
      </c>
      <c r="T3" s="1" t="s">
        <v>193</v>
      </c>
      <c r="U3" s="1" t="s">
        <v>193</v>
      </c>
      <c r="V3" s="1" t="s">
        <v>265</v>
      </c>
      <c r="W3" s="1" t="s">
        <v>339</v>
      </c>
      <c r="X3" s="1" t="s">
        <v>340</v>
      </c>
      <c r="Y3" s="1" t="s">
        <v>794</v>
      </c>
      <c r="Z3" s="1">
        <v>6</v>
      </c>
      <c r="AA3" s="1" t="s">
        <v>188</v>
      </c>
      <c r="AB3" s="1">
        <v>10</v>
      </c>
      <c r="AC3" s="1" t="s">
        <v>795</v>
      </c>
      <c r="AD3" s="1">
        <v>7</v>
      </c>
      <c r="AE3" s="1">
        <v>2</v>
      </c>
      <c r="AF3" s="1">
        <v>-1</v>
      </c>
      <c r="AG3" s="1" t="s">
        <v>207</v>
      </c>
      <c r="AH3" s="1">
        <v>2</v>
      </c>
      <c r="AI3" s="1" t="s">
        <v>222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796</v>
      </c>
      <c r="AT3" s="1" t="s">
        <v>797</v>
      </c>
      <c r="AU3" s="1" t="s">
        <v>161</v>
      </c>
      <c r="AV3" s="1" t="s">
        <v>798</v>
      </c>
      <c r="AW3" s="1" t="s">
        <v>799</v>
      </c>
      <c r="AX3" s="1" t="s">
        <v>186</v>
      </c>
      <c r="AY3" s="1" t="s">
        <v>800</v>
      </c>
      <c r="AZ3" s="1" t="s">
        <v>801</v>
      </c>
      <c r="BA3" s="1" t="s">
        <v>802</v>
      </c>
      <c r="BB3" s="1" t="s">
        <v>803</v>
      </c>
      <c r="BC3" s="1" t="s">
        <v>804</v>
      </c>
      <c r="BD3" s="1" t="s">
        <v>805</v>
      </c>
      <c r="BE3" s="1">
        <v>118.1</v>
      </c>
      <c r="BF3" s="1">
        <v>109.3</v>
      </c>
      <c r="BG3" s="1">
        <v>8.9</v>
      </c>
      <c r="BH3" s="1" t="s">
        <v>789</v>
      </c>
      <c r="BI3" s="1" t="s">
        <v>806</v>
      </c>
      <c r="BJ3" s="1" t="s">
        <v>807</v>
      </c>
      <c r="BK3" s="1" t="s">
        <v>806</v>
      </c>
      <c r="BL3" s="1" t="s">
        <v>808</v>
      </c>
      <c r="BM3" s="1" t="s">
        <v>266</v>
      </c>
      <c r="BN3" s="1" t="s">
        <v>266</v>
      </c>
      <c r="BO3" s="1" t="s">
        <v>216</v>
      </c>
      <c r="BP3" s="1" t="s">
        <v>183</v>
      </c>
      <c r="BQ3" s="1" t="s">
        <v>200</v>
      </c>
      <c r="BR3" s="1" t="s">
        <v>809</v>
      </c>
      <c r="BS3" s="1" t="s">
        <v>228</v>
      </c>
      <c r="BT3" s="1"/>
      <c r="BU3" s="1"/>
      <c r="BV3" s="1"/>
      <c r="BW3" s="1"/>
      <c r="BX3" s="1"/>
      <c r="BY3" s="1" t="s">
        <v>761</v>
      </c>
      <c r="BZ3" s="1" t="s">
        <v>291</v>
      </c>
      <c r="CA3" s="1" t="s">
        <v>253</v>
      </c>
      <c r="CB3" s="1" t="s">
        <v>810</v>
      </c>
      <c r="CC3" s="1" t="s">
        <v>811</v>
      </c>
    </row>
    <row r="4" spans="1:81" x14ac:dyDescent="0.25">
      <c r="A4" s="1" t="s">
        <v>145</v>
      </c>
      <c r="B4" s="1" t="s">
        <v>762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812</v>
      </c>
      <c r="H4" s="1">
        <v>2</v>
      </c>
      <c r="I4" s="1" t="s">
        <v>813</v>
      </c>
      <c r="J4" s="1" t="s">
        <v>203</v>
      </c>
      <c r="K4" s="1" t="s">
        <v>814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815</v>
      </c>
      <c r="R4" s="1" t="s">
        <v>816</v>
      </c>
      <c r="S4" s="1" t="s">
        <v>817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818</v>
      </c>
      <c r="Y4" s="1" t="s">
        <v>819</v>
      </c>
      <c r="Z4" s="1">
        <v>10</v>
      </c>
      <c r="AA4" s="1" t="s">
        <v>795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820</v>
      </c>
      <c r="AT4" s="1" t="s">
        <v>821</v>
      </c>
      <c r="AU4" s="1" t="s">
        <v>185</v>
      </c>
      <c r="AV4" s="1" t="s">
        <v>822</v>
      </c>
      <c r="AW4" s="1" t="s">
        <v>823</v>
      </c>
      <c r="AX4" s="1" t="s">
        <v>157</v>
      </c>
      <c r="AY4" s="1" t="s">
        <v>824</v>
      </c>
      <c r="AZ4" s="1" t="s">
        <v>825</v>
      </c>
      <c r="BA4" s="1" t="s">
        <v>826</v>
      </c>
      <c r="BB4" s="1" t="s">
        <v>827</v>
      </c>
      <c r="BC4" s="1" t="s">
        <v>828</v>
      </c>
      <c r="BD4" s="1" t="s">
        <v>829</v>
      </c>
      <c r="BE4" s="1">
        <v>114.4</v>
      </c>
      <c r="BF4" s="1">
        <v>108.4</v>
      </c>
      <c r="BG4" s="1">
        <v>6.1</v>
      </c>
      <c r="BH4" s="1" t="s">
        <v>812</v>
      </c>
      <c r="BI4" s="1" t="s">
        <v>830</v>
      </c>
      <c r="BJ4" s="1" t="s">
        <v>784</v>
      </c>
      <c r="BK4" s="1" t="s">
        <v>831</v>
      </c>
      <c r="BL4" s="1" t="s">
        <v>781</v>
      </c>
      <c r="BM4" s="1" t="s">
        <v>266</v>
      </c>
      <c r="BN4" s="1" t="s">
        <v>832</v>
      </c>
      <c r="BO4" s="1" t="s">
        <v>266</v>
      </c>
      <c r="BP4" s="1" t="s">
        <v>261</v>
      </c>
      <c r="BQ4" s="1" t="s">
        <v>173</v>
      </c>
      <c r="BR4" s="1" t="s">
        <v>833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834</v>
      </c>
      <c r="CC4" s="1" t="s">
        <v>835</v>
      </c>
    </row>
    <row r="5" spans="1:81" x14ac:dyDescent="0.25">
      <c r="A5" s="1" t="s">
        <v>145</v>
      </c>
      <c r="B5" s="1" t="s">
        <v>762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836</v>
      </c>
      <c r="H5" s="1">
        <v>2</v>
      </c>
      <c r="I5" s="1" t="s">
        <v>837</v>
      </c>
      <c r="J5" s="1" t="s">
        <v>219</v>
      </c>
      <c r="K5" s="1" t="s">
        <v>814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838</v>
      </c>
      <c r="R5" s="1" t="s">
        <v>839</v>
      </c>
      <c r="S5" s="1" t="s">
        <v>840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765</v>
      </c>
      <c r="Y5" s="1" t="s">
        <v>841</v>
      </c>
      <c r="Z5" s="1">
        <v>12</v>
      </c>
      <c r="AA5" s="1" t="s">
        <v>842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843</v>
      </c>
      <c r="AT5" s="1" t="s">
        <v>844</v>
      </c>
      <c r="AU5" s="1" t="s">
        <v>185</v>
      </c>
      <c r="AV5" s="1" t="s">
        <v>845</v>
      </c>
      <c r="AW5" s="1" t="s">
        <v>846</v>
      </c>
      <c r="AX5" s="1" t="s">
        <v>155</v>
      </c>
      <c r="AY5" s="1" t="s">
        <v>847</v>
      </c>
      <c r="AZ5" s="1" t="s">
        <v>848</v>
      </c>
      <c r="BA5" s="1" t="s">
        <v>849</v>
      </c>
      <c r="BB5" s="1" t="s">
        <v>850</v>
      </c>
      <c r="BC5" s="1" t="s">
        <v>851</v>
      </c>
      <c r="BD5" s="1" t="s">
        <v>852</v>
      </c>
      <c r="BE5" s="1">
        <v>110.7</v>
      </c>
      <c r="BF5" s="1">
        <v>106.7</v>
      </c>
      <c r="BG5" s="1">
        <v>4</v>
      </c>
      <c r="BH5" s="1" t="s">
        <v>808</v>
      </c>
      <c r="BI5" s="1" t="s">
        <v>296</v>
      </c>
      <c r="BJ5" s="1" t="s">
        <v>266</v>
      </c>
      <c r="BK5" s="1" t="s">
        <v>296</v>
      </c>
      <c r="BL5" s="1" t="s">
        <v>836</v>
      </c>
      <c r="BM5" s="1" t="s">
        <v>830</v>
      </c>
      <c r="BN5" s="1" t="s">
        <v>782</v>
      </c>
      <c r="BO5" s="1" t="s">
        <v>784</v>
      </c>
      <c r="BP5" s="1" t="s">
        <v>830</v>
      </c>
      <c r="BQ5" s="1" t="s">
        <v>786</v>
      </c>
      <c r="BR5" s="1" t="s">
        <v>833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833</v>
      </c>
      <c r="CA5" s="1" t="s">
        <v>853</v>
      </c>
      <c r="CB5" s="1" t="s">
        <v>854</v>
      </c>
      <c r="CC5" s="1" t="s">
        <v>855</v>
      </c>
    </row>
    <row r="6" spans="1:81" x14ac:dyDescent="0.25">
      <c r="A6" s="1" t="s">
        <v>145</v>
      </c>
      <c r="B6" s="1" t="s">
        <v>762</v>
      </c>
      <c r="C6" s="1">
        <v>1610612755</v>
      </c>
      <c r="D6" s="1" t="s">
        <v>268</v>
      </c>
      <c r="E6" s="1" t="s">
        <v>269</v>
      </c>
      <c r="F6" s="1" t="s">
        <v>179</v>
      </c>
      <c r="G6" s="1" t="s">
        <v>856</v>
      </c>
      <c r="H6" s="1">
        <v>3</v>
      </c>
      <c r="I6" s="1" t="s">
        <v>857</v>
      </c>
      <c r="J6" s="1" t="s">
        <v>203</v>
      </c>
      <c r="K6" s="1" t="s">
        <v>858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859</v>
      </c>
      <c r="R6" s="1" t="s">
        <v>860</v>
      </c>
      <c r="S6" s="1" t="s">
        <v>840</v>
      </c>
      <c r="T6" s="1" t="s">
        <v>310</v>
      </c>
      <c r="U6" s="1" t="s">
        <v>193</v>
      </c>
      <c r="V6" s="1" t="s">
        <v>310</v>
      </c>
      <c r="W6" s="1" t="s">
        <v>236</v>
      </c>
      <c r="X6" s="1" t="s">
        <v>861</v>
      </c>
      <c r="Y6" s="1" t="s">
        <v>862</v>
      </c>
      <c r="Z6" s="1">
        <v>10</v>
      </c>
      <c r="AA6" s="1" t="s">
        <v>795</v>
      </c>
      <c r="AB6" s="1">
        <v>-5</v>
      </c>
      <c r="AC6" s="1" t="s">
        <v>272</v>
      </c>
      <c r="AD6" s="1">
        <v>6</v>
      </c>
      <c r="AE6" s="1">
        <v>3</v>
      </c>
      <c r="AF6" s="1">
        <v>1</v>
      </c>
      <c r="AG6" s="1" t="s">
        <v>246</v>
      </c>
      <c r="AH6" s="1">
        <v>-1</v>
      </c>
      <c r="AI6" s="1" t="s">
        <v>207</v>
      </c>
      <c r="AJ6" s="1">
        <v>1</v>
      </c>
      <c r="AK6" s="1" t="s">
        <v>246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863</v>
      </c>
      <c r="AT6" s="1" t="s">
        <v>864</v>
      </c>
      <c r="AU6" s="1" t="s">
        <v>208</v>
      </c>
      <c r="AV6" s="1" t="s">
        <v>771</v>
      </c>
      <c r="AW6" s="1" t="s">
        <v>865</v>
      </c>
      <c r="AX6" s="1" t="s">
        <v>186</v>
      </c>
      <c r="AY6" s="1" t="s">
        <v>866</v>
      </c>
      <c r="AZ6" s="1" t="s">
        <v>867</v>
      </c>
      <c r="BA6" s="1" t="s">
        <v>868</v>
      </c>
      <c r="BB6" s="1" t="s">
        <v>851</v>
      </c>
      <c r="BC6" s="1" t="s">
        <v>787</v>
      </c>
      <c r="BD6" s="1" t="s">
        <v>869</v>
      </c>
      <c r="BE6" s="1">
        <v>115.2</v>
      </c>
      <c r="BF6" s="1">
        <v>112.5</v>
      </c>
      <c r="BG6" s="1">
        <v>2.7</v>
      </c>
      <c r="BH6" s="1" t="s">
        <v>856</v>
      </c>
      <c r="BI6" s="1" t="s">
        <v>870</v>
      </c>
      <c r="BJ6" s="1" t="s">
        <v>782</v>
      </c>
      <c r="BK6" s="1" t="s">
        <v>871</v>
      </c>
      <c r="BL6" s="1" t="s">
        <v>808</v>
      </c>
      <c r="BM6" s="1" t="s">
        <v>266</v>
      </c>
      <c r="BN6" s="1" t="s">
        <v>216</v>
      </c>
      <c r="BO6" s="1" t="s">
        <v>266</v>
      </c>
      <c r="BP6" s="1" t="s">
        <v>233</v>
      </c>
      <c r="BQ6" s="1" t="s">
        <v>266</v>
      </c>
      <c r="BR6" s="1" t="s">
        <v>270</v>
      </c>
      <c r="BS6" s="1" t="s">
        <v>274</v>
      </c>
      <c r="BT6" s="1"/>
      <c r="BU6" s="1"/>
      <c r="BV6" s="1"/>
      <c r="BW6" s="1"/>
      <c r="BX6" s="1"/>
      <c r="BY6" s="1" t="s">
        <v>343</v>
      </c>
      <c r="BZ6" s="1" t="s">
        <v>830</v>
      </c>
      <c r="CA6" s="1" t="s">
        <v>872</v>
      </c>
      <c r="CB6" s="1" t="s">
        <v>873</v>
      </c>
      <c r="CC6" s="1" t="s">
        <v>874</v>
      </c>
    </row>
    <row r="7" spans="1:81" x14ac:dyDescent="0.25">
      <c r="A7" s="1" t="s">
        <v>145</v>
      </c>
      <c r="B7" s="1" t="s">
        <v>762</v>
      </c>
      <c r="C7" s="1">
        <v>1610612757</v>
      </c>
      <c r="D7" s="1" t="s">
        <v>384</v>
      </c>
      <c r="E7" s="1" t="s">
        <v>385</v>
      </c>
      <c r="F7" s="1" t="s">
        <v>149</v>
      </c>
      <c r="G7" s="1" t="s">
        <v>875</v>
      </c>
      <c r="H7" s="1">
        <v>3</v>
      </c>
      <c r="I7" s="1" t="s">
        <v>857</v>
      </c>
      <c r="J7" s="1" t="s">
        <v>219</v>
      </c>
      <c r="K7" s="1" t="s">
        <v>876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877</v>
      </c>
      <c r="R7" s="1" t="s">
        <v>816</v>
      </c>
      <c r="S7" s="1" t="s">
        <v>878</v>
      </c>
      <c r="T7" s="1" t="s">
        <v>184</v>
      </c>
      <c r="U7" s="1" t="s">
        <v>156</v>
      </c>
      <c r="V7" s="1" t="s">
        <v>259</v>
      </c>
      <c r="W7" s="1" t="s">
        <v>235</v>
      </c>
      <c r="X7" s="1" t="s">
        <v>310</v>
      </c>
      <c r="Y7" s="1" t="s">
        <v>879</v>
      </c>
      <c r="Z7" s="1">
        <v>8</v>
      </c>
      <c r="AA7" s="1" t="s">
        <v>880</v>
      </c>
      <c r="AB7" s="1">
        <v>-6</v>
      </c>
      <c r="AC7" s="1" t="s">
        <v>367</v>
      </c>
      <c r="AD7" s="1">
        <v>6</v>
      </c>
      <c r="AE7" s="1">
        <v>3</v>
      </c>
      <c r="AF7" s="1">
        <v>8</v>
      </c>
      <c r="AG7" s="1" t="s">
        <v>880</v>
      </c>
      <c r="AH7" s="1">
        <v>1</v>
      </c>
      <c r="AI7" s="1" t="s">
        <v>246</v>
      </c>
      <c r="AJ7" s="1">
        <v>3</v>
      </c>
      <c r="AK7" s="1" t="s">
        <v>223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881</v>
      </c>
      <c r="AT7" s="1" t="s">
        <v>882</v>
      </c>
      <c r="AU7" s="1" t="s">
        <v>260</v>
      </c>
      <c r="AV7" s="1" t="s">
        <v>883</v>
      </c>
      <c r="AW7" s="1" t="s">
        <v>884</v>
      </c>
      <c r="AX7" s="1" t="s">
        <v>161</v>
      </c>
      <c r="AY7" s="1" t="s">
        <v>885</v>
      </c>
      <c r="AZ7" s="1" t="s">
        <v>886</v>
      </c>
      <c r="BA7" s="1" t="s">
        <v>887</v>
      </c>
      <c r="BB7" s="1" t="s">
        <v>888</v>
      </c>
      <c r="BC7" s="1" t="s">
        <v>889</v>
      </c>
      <c r="BD7" s="1" t="s">
        <v>890</v>
      </c>
      <c r="BE7" s="1">
        <v>114.7</v>
      </c>
      <c r="BF7" s="1">
        <v>110.5</v>
      </c>
      <c r="BG7" s="1">
        <v>4.2</v>
      </c>
      <c r="BH7" s="1" t="s">
        <v>891</v>
      </c>
      <c r="BI7" s="1" t="s">
        <v>176</v>
      </c>
      <c r="BJ7" s="1" t="s">
        <v>216</v>
      </c>
      <c r="BK7" s="1" t="s">
        <v>296</v>
      </c>
      <c r="BL7" s="1" t="s">
        <v>875</v>
      </c>
      <c r="BM7" s="1" t="s">
        <v>410</v>
      </c>
      <c r="BN7" s="1" t="s">
        <v>782</v>
      </c>
      <c r="BO7" s="1" t="s">
        <v>871</v>
      </c>
      <c r="BP7" s="1" t="s">
        <v>233</v>
      </c>
      <c r="BQ7" s="1" t="s">
        <v>256</v>
      </c>
      <c r="BR7" s="1" t="s">
        <v>261</v>
      </c>
      <c r="BS7" s="1" t="s">
        <v>198</v>
      </c>
      <c r="BT7" s="1"/>
      <c r="BU7" s="1"/>
      <c r="BV7" s="1"/>
      <c r="BW7" s="1"/>
      <c r="BX7" s="1"/>
      <c r="BY7" s="1" t="s">
        <v>255</v>
      </c>
      <c r="BZ7" s="1" t="s">
        <v>308</v>
      </c>
      <c r="CA7" s="1" t="s">
        <v>308</v>
      </c>
      <c r="CB7" s="1" t="s">
        <v>892</v>
      </c>
      <c r="CC7" s="1" t="s">
        <v>893</v>
      </c>
    </row>
    <row r="8" spans="1:81" x14ac:dyDescent="0.25">
      <c r="A8" s="1" t="s">
        <v>145</v>
      </c>
      <c r="B8" s="1" t="s">
        <v>762</v>
      </c>
      <c r="C8" s="1">
        <v>1610612745</v>
      </c>
      <c r="D8" s="1" t="s">
        <v>229</v>
      </c>
      <c r="E8" s="1" t="s">
        <v>230</v>
      </c>
      <c r="F8" s="1" t="s">
        <v>149</v>
      </c>
      <c r="G8" s="1" t="s">
        <v>894</v>
      </c>
      <c r="H8" s="1">
        <v>4</v>
      </c>
      <c r="I8" s="1" t="s">
        <v>895</v>
      </c>
      <c r="J8" s="1" t="s">
        <v>231</v>
      </c>
      <c r="K8" s="1" t="s">
        <v>896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877</v>
      </c>
      <c r="R8" s="1" t="s">
        <v>860</v>
      </c>
      <c r="S8" s="1" t="s">
        <v>897</v>
      </c>
      <c r="T8" s="1" t="s">
        <v>184</v>
      </c>
      <c r="U8" s="1" t="s">
        <v>156</v>
      </c>
      <c r="V8" s="1" t="s">
        <v>193</v>
      </c>
      <c r="W8" s="1" t="s">
        <v>292</v>
      </c>
      <c r="X8" s="1" t="s">
        <v>898</v>
      </c>
      <c r="Y8" s="1" t="s">
        <v>899</v>
      </c>
      <c r="Z8" s="1">
        <v>10</v>
      </c>
      <c r="AA8" s="1" t="s">
        <v>795</v>
      </c>
      <c r="AB8" s="1">
        <v>6</v>
      </c>
      <c r="AC8" s="1" t="s">
        <v>188</v>
      </c>
      <c r="AD8" s="1">
        <v>9</v>
      </c>
      <c r="AE8" s="1">
        <v>4</v>
      </c>
      <c r="AF8" s="1">
        <v>7</v>
      </c>
      <c r="AG8" s="1" t="s">
        <v>900</v>
      </c>
      <c r="AH8" s="1">
        <v>-1</v>
      </c>
      <c r="AI8" s="1" t="s">
        <v>207</v>
      </c>
      <c r="AJ8" s="1">
        <v>-1</v>
      </c>
      <c r="AK8" s="1" t="s">
        <v>207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901</v>
      </c>
      <c r="AT8" s="1" t="s">
        <v>902</v>
      </c>
      <c r="AU8" s="1" t="s">
        <v>157</v>
      </c>
      <c r="AV8" s="1" t="s">
        <v>903</v>
      </c>
      <c r="AW8" s="1" t="s">
        <v>904</v>
      </c>
      <c r="AX8" s="1" t="s">
        <v>190</v>
      </c>
      <c r="AY8" s="1" t="s">
        <v>847</v>
      </c>
      <c r="AZ8" s="1" t="s">
        <v>905</v>
      </c>
      <c r="BA8" s="1" t="s">
        <v>826</v>
      </c>
      <c r="BB8" s="1" t="s">
        <v>906</v>
      </c>
      <c r="BC8" s="1" t="s">
        <v>907</v>
      </c>
      <c r="BD8" s="1" t="s">
        <v>908</v>
      </c>
      <c r="BE8" s="1">
        <v>113.9</v>
      </c>
      <c r="BF8" s="1">
        <v>109.1</v>
      </c>
      <c r="BG8" s="1">
        <v>4.8</v>
      </c>
      <c r="BH8" s="1" t="s">
        <v>909</v>
      </c>
      <c r="BI8" s="1" t="s">
        <v>216</v>
      </c>
      <c r="BJ8" s="1" t="s">
        <v>266</v>
      </c>
      <c r="BK8" s="1" t="s">
        <v>296</v>
      </c>
      <c r="BL8" s="1" t="s">
        <v>894</v>
      </c>
      <c r="BM8" s="1" t="s">
        <v>910</v>
      </c>
      <c r="BN8" s="1" t="s">
        <v>831</v>
      </c>
      <c r="BO8" s="1" t="s">
        <v>809</v>
      </c>
      <c r="BP8" s="1" t="s">
        <v>291</v>
      </c>
      <c r="BQ8" s="1" t="s">
        <v>853</v>
      </c>
      <c r="BR8" s="1" t="s">
        <v>183</v>
      </c>
      <c r="BS8" s="1" t="s">
        <v>169</v>
      </c>
      <c r="BT8" s="1"/>
      <c r="BU8" s="1"/>
      <c r="BV8" s="1"/>
      <c r="BW8" s="1"/>
      <c r="BX8" s="1"/>
      <c r="BY8" s="1" t="s">
        <v>911</v>
      </c>
      <c r="BZ8" s="1" t="s">
        <v>833</v>
      </c>
      <c r="CA8" s="1" t="s">
        <v>233</v>
      </c>
      <c r="CB8" s="1" t="s">
        <v>912</v>
      </c>
      <c r="CC8" s="1" t="s">
        <v>913</v>
      </c>
    </row>
    <row r="9" spans="1:81" x14ac:dyDescent="0.25">
      <c r="A9" s="1" t="s">
        <v>145</v>
      </c>
      <c r="B9" s="1" t="s">
        <v>762</v>
      </c>
      <c r="C9" s="1">
        <v>1610612738</v>
      </c>
      <c r="D9" s="1" t="s">
        <v>201</v>
      </c>
      <c r="E9" s="1" t="s">
        <v>202</v>
      </c>
      <c r="F9" s="1" t="s">
        <v>179</v>
      </c>
      <c r="G9" s="1" t="s">
        <v>763</v>
      </c>
      <c r="H9" s="1">
        <v>4</v>
      </c>
      <c r="I9" s="1" t="s">
        <v>857</v>
      </c>
      <c r="J9" s="1" t="s">
        <v>203</v>
      </c>
      <c r="K9" s="1" t="s">
        <v>896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914</v>
      </c>
      <c r="R9" s="1" t="s">
        <v>915</v>
      </c>
      <c r="S9" s="1" t="s">
        <v>878</v>
      </c>
      <c r="T9" s="1" t="s">
        <v>259</v>
      </c>
      <c r="U9" s="1" t="s">
        <v>265</v>
      </c>
      <c r="V9" s="1" t="s">
        <v>259</v>
      </c>
      <c r="W9" s="1" t="s">
        <v>182</v>
      </c>
      <c r="X9" s="1" t="s">
        <v>340</v>
      </c>
      <c r="Y9" s="1" t="s">
        <v>916</v>
      </c>
      <c r="Z9" s="1">
        <v>10</v>
      </c>
      <c r="AA9" s="1" t="s">
        <v>795</v>
      </c>
      <c r="AB9" s="1">
        <v>4</v>
      </c>
      <c r="AC9" s="1" t="s">
        <v>159</v>
      </c>
      <c r="AD9" s="1">
        <v>8</v>
      </c>
      <c r="AE9" s="1">
        <v>4</v>
      </c>
      <c r="AF9" s="1">
        <v>-1</v>
      </c>
      <c r="AG9" s="1" t="s">
        <v>207</v>
      </c>
      <c r="AH9" s="1">
        <v>3</v>
      </c>
      <c r="AI9" s="1" t="s">
        <v>223</v>
      </c>
      <c r="AJ9" s="1">
        <v>1</v>
      </c>
      <c r="AK9" s="1" t="s">
        <v>246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917</v>
      </c>
      <c r="AT9" s="1" t="s">
        <v>918</v>
      </c>
      <c r="AU9" s="1" t="s">
        <v>260</v>
      </c>
      <c r="AV9" s="1" t="s">
        <v>919</v>
      </c>
      <c r="AW9" s="1" t="s">
        <v>846</v>
      </c>
      <c r="AX9" s="1" t="s">
        <v>164</v>
      </c>
      <c r="AY9" s="1" t="s">
        <v>920</v>
      </c>
      <c r="AZ9" s="1" t="s">
        <v>921</v>
      </c>
      <c r="BA9" s="1" t="s">
        <v>922</v>
      </c>
      <c r="BB9" s="1" t="s">
        <v>923</v>
      </c>
      <c r="BC9" s="1" t="s">
        <v>805</v>
      </c>
      <c r="BD9" s="1" t="s">
        <v>924</v>
      </c>
      <c r="BE9" s="1">
        <v>112.4</v>
      </c>
      <c r="BF9" s="1">
        <v>108</v>
      </c>
      <c r="BG9" s="1">
        <v>4.4000000000000004</v>
      </c>
      <c r="BH9" s="1" t="s">
        <v>763</v>
      </c>
      <c r="BI9" s="1" t="s">
        <v>809</v>
      </c>
      <c r="BJ9" s="1" t="s">
        <v>806</v>
      </c>
      <c r="BK9" s="1" t="s">
        <v>782</v>
      </c>
      <c r="BL9" s="1" t="s">
        <v>925</v>
      </c>
      <c r="BM9" s="1" t="s">
        <v>323</v>
      </c>
      <c r="BN9" s="1" t="s">
        <v>276</v>
      </c>
      <c r="BO9" s="1" t="s">
        <v>276</v>
      </c>
      <c r="BP9" s="1" t="s">
        <v>233</v>
      </c>
      <c r="BQ9" s="1" t="s">
        <v>316</v>
      </c>
      <c r="BR9" s="1" t="s">
        <v>308</v>
      </c>
      <c r="BS9" s="1" t="s">
        <v>169</v>
      </c>
      <c r="BT9" s="1"/>
      <c r="BU9" s="1"/>
      <c r="BV9" s="1"/>
      <c r="BW9" s="1"/>
      <c r="BX9" s="1"/>
      <c r="BY9" s="1" t="s">
        <v>255</v>
      </c>
      <c r="BZ9" s="1" t="s">
        <v>926</v>
      </c>
      <c r="CA9" s="1" t="s">
        <v>270</v>
      </c>
      <c r="CB9" s="1" t="s">
        <v>873</v>
      </c>
      <c r="CC9" s="1" t="s">
        <v>927</v>
      </c>
    </row>
    <row r="10" spans="1:81" x14ac:dyDescent="0.25">
      <c r="A10" s="1" t="s">
        <v>145</v>
      </c>
      <c r="B10" s="1" t="s">
        <v>762</v>
      </c>
      <c r="C10" s="1">
        <v>1610612754</v>
      </c>
      <c r="D10" s="1" t="s">
        <v>288</v>
      </c>
      <c r="E10" s="1" t="s">
        <v>289</v>
      </c>
      <c r="F10" s="1" t="s">
        <v>179</v>
      </c>
      <c r="G10" s="1" t="s">
        <v>928</v>
      </c>
      <c r="H10" s="1">
        <v>5</v>
      </c>
      <c r="I10" s="1" t="s">
        <v>857</v>
      </c>
      <c r="J10" s="1" t="s">
        <v>181</v>
      </c>
      <c r="K10" s="1" t="s">
        <v>929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930</v>
      </c>
      <c r="R10" s="1" t="s">
        <v>899</v>
      </c>
      <c r="S10" s="1" t="s">
        <v>931</v>
      </c>
      <c r="T10" s="1" t="s">
        <v>310</v>
      </c>
      <c r="U10" s="1" t="s">
        <v>259</v>
      </c>
      <c r="V10" s="1" t="s">
        <v>320</v>
      </c>
      <c r="W10" s="1" t="s">
        <v>157</v>
      </c>
      <c r="X10" s="1" t="s">
        <v>302</v>
      </c>
      <c r="Y10" s="1" t="s">
        <v>932</v>
      </c>
      <c r="Z10" s="1">
        <v>5</v>
      </c>
      <c r="AA10" s="1" t="s">
        <v>160</v>
      </c>
      <c r="AB10" s="1">
        <v>-10</v>
      </c>
      <c r="AC10" s="1" t="s">
        <v>933</v>
      </c>
      <c r="AD10" s="1">
        <v>7</v>
      </c>
      <c r="AE10" s="1">
        <v>4</v>
      </c>
      <c r="AF10" s="1">
        <v>-2</v>
      </c>
      <c r="AG10" s="1" t="s">
        <v>279</v>
      </c>
      <c r="AH10" s="1">
        <v>2</v>
      </c>
      <c r="AI10" s="1" t="s">
        <v>222</v>
      </c>
      <c r="AJ10" s="1">
        <v>1</v>
      </c>
      <c r="AK10" s="1" t="s">
        <v>246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934</v>
      </c>
      <c r="AT10" s="1" t="s">
        <v>935</v>
      </c>
      <c r="AU10" s="1" t="s">
        <v>190</v>
      </c>
      <c r="AV10" s="1" t="s">
        <v>936</v>
      </c>
      <c r="AW10" s="1" t="s">
        <v>937</v>
      </c>
      <c r="AX10" s="1" t="s">
        <v>157</v>
      </c>
      <c r="AY10" s="1" t="s">
        <v>938</v>
      </c>
      <c r="AZ10" s="1" t="s">
        <v>939</v>
      </c>
      <c r="BA10" s="1" t="s">
        <v>940</v>
      </c>
      <c r="BB10" s="1" t="s">
        <v>941</v>
      </c>
      <c r="BC10" s="1" t="s">
        <v>942</v>
      </c>
      <c r="BD10" s="1" t="s">
        <v>943</v>
      </c>
      <c r="BE10" s="1">
        <v>108</v>
      </c>
      <c r="BF10" s="1">
        <v>104.7</v>
      </c>
      <c r="BG10" s="1">
        <v>3.3</v>
      </c>
      <c r="BH10" s="1" t="s">
        <v>928</v>
      </c>
      <c r="BI10" s="1" t="s">
        <v>944</v>
      </c>
      <c r="BJ10" s="1" t="s">
        <v>945</v>
      </c>
      <c r="BK10" s="1" t="s">
        <v>806</v>
      </c>
      <c r="BL10" s="1" t="s">
        <v>946</v>
      </c>
      <c r="BM10" s="1" t="s">
        <v>276</v>
      </c>
      <c r="BN10" s="1" t="s">
        <v>276</v>
      </c>
      <c r="BO10" s="1" t="s">
        <v>276</v>
      </c>
      <c r="BP10" s="1" t="s">
        <v>326</v>
      </c>
      <c r="BQ10" s="1" t="s">
        <v>947</v>
      </c>
      <c r="BR10" s="1" t="s">
        <v>371</v>
      </c>
      <c r="BS10" s="1" t="s">
        <v>228</v>
      </c>
      <c r="BT10" s="1"/>
      <c r="BU10" s="1"/>
      <c r="BV10" s="1"/>
      <c r="BW10" s="1"/>
      <c r="BX10" s="1"/>
      <c r="BY10" s="1" t="s">
        <v>315</v>
      </c>
      <c r="BZ10" s="1" t="s">
        <v>291</v>
      </c>
      <c r="CA10" s="1" t="s">
        <v>183</v>
      </c>
      <c r="CB10" s="1" t="s">
        <v>948</v>
      </c>
      <c r="CC10" s="1" t="s">
        <v>949</v>
      </c>
    </row>
    <row r="11" spans="1:81" x14ac:dyDescent="0.25">
      <c r="A11" s="1" t="s">
        <v>145</v>
      </c>
      <c r="B11" s="1" t="s">
        <v>762</v>
      </c>
      <c r="C11" s="1">
        <v>1610612762</v>
      </c>
      <c r="D11" s="1" t="s">
        <v>283</v>
      </c>
      <c r="E11" s="1" t="s">
        <v>284</v>
      </c>
      <c r="F11" s="1" t="s">
        <v>149</v>
      </c>
      <c r="G11" s="1" t="s">
        <v>950</v>
      </c>
      <c r="H11" s="1">
        <v>5</v>
      </c>
      <c r="I11" s="1" t="s">
        <v>857</v>
      </c>
      <c r="J11" s="1" t="s">
        <v>219</v>
      </c>
      <c r="K11" s="1" t="s">
        <v>858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951</v>
      </c>
      <c r="R11" s="1" t="s">
        <v>899</v>
      </c>
      <c r="S11" s="1" t="s">
        <v>878</v>
      </c>
      <c r="T11" s="1" t="s">
        <v>184</v>
      </c>
      <c r="U11" s="1" t="s">
        <v>184</v>
      </c>
      <c r="V11" s="1" t="s">
        <v>259</v>
      </c>
      <c r="W11" s="1" t="s">
        <v>164</v>
      </c>
      <c r="X11" s="1" t="s">
        <v>359</v>
      </c>
      <c r="Y11" s="1" t="s">
        <v>952</v>
      </c>
      <c r="Z11" s="1">
        <v>8</v>
      </c>
      <c r="AA11" s="1" t="s">
        <v>880</v>
      </c>
      <c r="AB11" s="1">
        <v>-5</v>
      </c>
      <c r="AC11" s="1" t="s">
        <v>272</v>
      </c>
      <c r="AD11" s="1">
        <v>7</v>
      </c>
      <c r="AE11" s="1">
        <v>4</v>
      </c>
      <c r="AF11" s="1">
        <v>8</v>
      </c>
      <c r="AG11" s="1" t="s">
        <v>880</v>
      </c>
      <c r="AH11" s="1">
        <v>-2</v>
      </c>
      <c r="AI11" s="1" t="s">
        <v>279</v>
      </c>
      <c r="AJ11" s="1">
        <v>-1</v>
      </c>
      <c r="AK11" s="1" t="s">
        <v>207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953</v>
      </c>
      <c r="AT11" s="1" t="s">
        <v>954</v>
      </c>
      <c r="AU11" s="1" t="s">
        <v>185</v>
      </c>
      <c r="AV11" s="1" t="s">
        <v>955</v>
      </c>
      <c r="AW11" s="1" t="s">
        <v>956</v>
      </c>
      <c r="AX11" s="1" t="s">
        <v>157</v>
      </c>
      <c r="AY11" s="1" t="s">
        <v>957</v>
      </c>
      <c r="AZ11" s="1" t="s">
        <v>958</v>
      </c>
      <c r="BA11" s="1" t="s">
        <v>959</v>
      </c>
      <c r="BB11" s="1" t="s">
        <v>960</v>
      </c>
      <c r="BC11" s="1" t="s">
        <v>917</v>
      </c>
      <c r="BD11" s="1" t="s">
        <v>961</v>
      </c>
      <c r="BE11" s="1">
        <v>111.7</v>
      </c>
      <c r="BF11" s="1">
        <v>106.5</v>
      </c>
      <c r="BG11" s="1">
        <v>5.3</v>
      </c>
      <c r="BH11" s="1" t="s">
        <v>808</v>
      </c>
      <c r="BI11" s="1" t="s">
        <v>266</v>
      </c>
      <c r="BJ11" s="1" t="s">
        <v>296</v>
      </c>
      <c r="BK11" s="1" t="s">
        <v>296</v>
      </c>
      <c r="BL11" s="1" t="s">
        <v>950</v>
      </c>
      <c r="BM11" s="1" t="s">
        <v>870</v>
      </c>
      <c r="BN11" s="1" t="s">
        <v>782</v>
      </c>
      <c r="BO11" s="1" t="s">
        <v>784</v>
      </c>
      <c r="BP11" s="1" t="s">
        <v>233</v>
      </c>
      <c r="BQ11" s="1" t="s">
        <v>256</v>
      </c>
      <c r="BR11" s="1" t="s">
        <v>233</v>
      </c>
      <c r="BS11" s="1" t="s">
        <v>214</v>
      </c>
      <c r="BT11" s="1"/>
      <c r="BU11" s="1"/>
      <c r="BV11" s="1"/>
      <c r="BW11" s="1"/>
      <c r="BX11" s="1"/>
      <c r="BY11" s="1" t="s">
        <v>249</v>
      </c>
      <c r="BZ11" s="1" t="s">
        <v>962</v>
      </c>
      <c r="CA11" s="1" t="s">
        <v>326</v>
      </c>
      <c r="CB11" s="1" t="s">
        <v>963</v>
      </c>
      <c r="CC11" s="1" t="s">
        <v>964</v>
      </c>
    </row>
    <row r="12" spans="1:81" x14ac:dyDescent="0.25">
      <c r="A12" s="1" t="s">
        <v>145</v>
      </c>
      <c r="B12" s="1" t="s">
        <v>762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965</v>
      </c>
      <c r="H12" s="1">
        <v>6</v>
      </c>
      <c r="I12" s="1" t="s">
        <v>857</v>
      </c>
      <c r="J12" s="1" t="s">
        <v>219</v>
      </c>
      <c r="K12" s="1" t="s">
        <v>966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914</v>
      </c>
      <c r="R12" s="1" t="s">
        <v>768</v>
      </c>
      <c r="S12" s="1" t="s">
        <v>897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967</v>
      </c>
      <c r="Y12" s="1" t="s">
        <v>968</v>
      </c>
      <c r="Z12" s="1">
        <v>7</v>
      </c>
      <c r="AA12" s="1" t="s">
        <v>900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969</v>
      </c>
      <c r="AT12" s="1" t="s">
        <v>970</v>
      </c>
      <c r="AU12" s="1" t="s">
        <v>186</v>
      </c>
      <c r="AV12" s="1" t="s">
        <v>971</v>
      </c>
      <c r="AW12" s="1" t="s">
        <v>972</v>
      </c>
      <c r="AX12" s="1" t="s">
        <v>157</v>
      </c>
      <c r="AY12" s="1" t="s">
        <v>973</v>
      </c>
      <c r="AZ12" s="1" t="s">
        <v>974</v>
      </c>
      <c r="BA12" s="1" t="s">
        <v>975</v>
      </c>
      <c r="BB12" s="1" t="s">
        <v>976</v>
      </c>
      <c r="BC12" s="1" t="s">
        <v>899</v>
      </c>
      <c r="BD12" s="1" t="s">
        <v>977</v>
      </c>
      <c r="BE12" s="1">
        <v>114.5</v>
      </c>
      <c r="BF12" s="1">
        <v>111.1</v>
      </c>
      <c r="BG12" s="1">
        <v>3.4</v>
      </c>
      <c r="BH12" s="1" t="s">
        <v>909</v>
      </c>
      <c r="BI12" s="1" t="s">
        <v>266</v>
      </c>
      <c r="BJ12" s="1" t="s">
        <v>216</v>
      </c>
      <c r="BK12" s="1" t="s">
        <v>296</v>
      </c>
      <c r="BL12" s="1" t="s">
        <v>965</v>
      </c>
      <c r="BM12" s="1" t="s">
        <v>978</v>
      </c>
      <c r="BN12" s="1" t="s">
        <v>784</v>
      </c>
      <c r="BO12" s="1" t="s">
        <v>944</v>
      </c>
      <c r="BP12" s="1" t="s">
        <v>270</v>
      </c>
      <c r="BQ12" s="1" t="s">
        <v>286</v>
      </c>
      <c r="BR12" s="1" t="s">
        <v>410</v>
      </c>
      <c r="BS12" s="1" t="s">
        <v>979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833</v>
      </c>
      <c r="CB12" s="1" t="s">
        <v>980</v>
      </c>
      <c r="CC12" s="1" t="s">
        <v>981</v>
      </c>
    </row>
    <row r="13" spans="1:81" x14ac:dyDescent="0.25">
      <c r="A13" s="1" t="s">
        <v>145</v>
      </c>
      <c r="B13" s="1" t="s">
        <v>762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875</v>
      </c>
      <c r="H13" s="1">
        <v>6</v>
      </c>
      <c r="I13" s="1" t="s">
        <v>857</v>
      </c>
      <c r="J13" s="1" t="s">
        <v>203</v>
      </c>
      <c r="K13" s="1" t="s">
        <v>858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982</v>
      </c>
      <c r="R13" s="1" t="s">
        <v>983</v>
      </c>
      <c r="S13" s="1" t="s">
        <v>931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984</v>
      </c>
      <c r="Y13" s="1" t="s">
        <v>985</v>
      </c>
      <c r="Z13" s="1">
        <v>9</v>
      </c>
      <c r="AA13" s="1" t="s">
        <v>986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879</v>
      </c>
      <c r="AT13" s="1" t="s">
        <v>987</v>
      </c>
      <c r="AU13" s="1" t="s">
        <v>273</v>
      </c>
      <c r="AV13" s="1" t="s">
        <v>988</v>
      </c>
      <c r="AW13" s="1" t="s">
        <v>989</v>
      </c>
      <c r="AX13" s="1" t="s">
        <v>224</v>
      </c>
      <c r="AY13" s="1" t="s">
        <v>990</v>
      </c>
      <c r="AZ13" s="1" t="s">
        <v>991</v>
      </c>
      <c r="BA13" s="1" t="s">
        <v>992</v>
      </c>
      <c r="BB13" s="1" t="s">
        <v>993</v>
      </c>
      <c r="BC13" s="1" t="s">
        <v>852</v>
      </c>
      <c r="BD13" s="1" t="s">
        <v>994</v>
      </c>
      <c r="BE13" s="1">
        <v>112.2</v>
      </c>
      <c r="BF13" s="1">
        <v>112.3</v>
      </c>
      <c r="BG13" s="1">
        <v>-0.1</v>
      </c>
      <c r="BH13" s="1" t="s">
        <v>875</v>
      </c>
      <c r="BI13" s="1" t="s">
        <v>870</v>
      </c>
      <c r="BJ13" s="1" t="s">
        <v>784</v>
      </c>
      <c r="BK13" s="1" t="s">
        <v>871</v>
      </c>
      <c r="BL13" s="1" t="s">
        <v>995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833</v>
      </c>
      <c r="CB13" s="1" t="s">
        <v>996</v>
      </c>
      <c r="CC13" s="1" t="s">
        <v>997</v>
      </c>
    </row>
    <row r="14" spans="1:81" x14ac:dyDescent="0.25">
      <c r="A14" s="1" t="s">
        <v>145</v>
      </c>
      <c r="B14" s="1" t="s">
        <v>762</v>
      </c>
      <c r="C14" s="1">
        <v>1610612753</v>
      </c>
      <c r="D14" s="1" t="s">
        <v>317</v>
      </c>
      <c r="E14" s="1" t="s">
        <v>318</v>
      </c>
      <c r="F14" s="1" t="s">
        <v>179</v>
      </c>
      <c r="G14" s="1" t="s">
        <v>950</v>
      </c>
      <c r="H14" s="1">
        <v>7</v>
      </c>
      <c r="I14" s="1" t="s">
        <v>998</v>
      </c>
      <c r="J14" s="1" t="s">
        <v>244</v>
      </c>
      <c r="K14" s="1" t="s">
        <v>896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982</v>
      </c>
      <c r="R14" s="1" t="s">
        <v>999</v>
      </c>
      <c r="S14" s="1" t="s">
        <v>1000</v>
      </c>
      <c r="T14" s="1" t="s">
        <v>184</v>
      </c>
      <c r="U14" s="1" t="s">
        <v>156</v>
      </c>
      <c r="V14" s="1" t="s">
        <v>310</v>
      </c>
      <c r="W14" s="1" t="s">
        <v>339</v>
      </c>
      <c r="X14" s="1" t="s">
        <v>340</v>
      </c>
      <c r="Y14" s="1" t="s">
        <v>1001</v>
      </c>
      <c r="Z14" s="1">
        <v>9</v>
      </c>
      <c r="AA14" s="1" t="s">
        <v>986</v>
      </c>
      <c r="AB14" s="1">
        <v>-5</v>
      </c>
      <c r="AC14" s="1" t="s">
        <v>272</v>
      </c>
      <c r="AD14" s="1">
        <v>6</v>
      </c>
      <c r="AE14" s="1">
        <v>4</v>
      </c>
      <c r="AF14" s="1">
        <v>9</v>
      </c>
      <c r="AG14" s="1" t="s">
        <v>986</v>
      </c>
      <c r="AH14" s="1">
        <v>2</v>
      </c>
      <c r="AI14" s="1" t="s">
        <v>222</v>
      </c>
      <c r="AJ14" s="1">
        <v>4</v>
      </c>
      <c r="AK14" s="1" t="s">
        <v>159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767</v>
      </c>
      <c r="AT14" s="1" t="s">
        <v>1002</v>
      </c>
      <c r="AU14" s="1" t="s">
        <v>164</v>
      </c>
      <c r="AV14" s="1" t="s">
        <v>1003</v>
      </c>
      <c r="AW14" s="1" t="s">
        <v>1004</v>
      </c>
      <c r="AX14" s="1" t="s">
        <v>185</v>
      </c>
      <c r="AY14" s="1" t="s">
        <v>1005</v>
      </c>
      <c r="AZ14" s="1" t="s">
        <v>1006</v>
      </c>
      <c r="BA14" s="1" t="s">
        <v>1007</v>
      </c>
      <c r="BB14" s="1" t="s">
        <v>1003</v>
      </c>
      <c r="BC14" s="1" t="s">
        <v>915</v>
      </c>
      <c r="BD14" s="1" t="s">
        <v>916</v>
      </c>
      <c r="BE14" s="1">
        <v>107.3</v>
      </c>
      <c r="BF14" s="1">
        <v>106.6</v>
      </c>
      <c r="BG14" s="1">
        <v>0.7</v>
      </c>
      <c r="BH14" s="1" t="s">
        <v>950</v>
      </c>
      <c r="BI14" s="1" t="s">
        <v>871</v>
      </c>
      <c r="BJ14" s="1" t="s">
        <v>944</v>
      </c>
      <c r="BK14" s="1" t="s">
        <v>809</v>
      </c>
      <c r="BL14" s="1" t="s">
        <v>1008</v>
      </c>
      <c r="BM14" s="1" t="s">
        <v>393</v>
      </c>
      <c r="BN14" s="1" t="s">
        <v>323</v>
      </c>
      <c r="BO14" s="1" t="s">
        <v>266</v>
      </c>
      <c r="BP14" s="1" t="s">
        <v>386</v>
      </c>
      <c r="BQ14" s="1" t="s">
        <v>240</v>
      </c>
      <c r="BR14" s="1" t="s">
        <v>270</v>
      </c>
      <c r="BS14" s="1" t="s">
        <v>169</v>
      </c>
      <c r="BT14" s="1"/>
      <c r="BU14" s="1"/>
      <c r="BV14" s="1"/>
      <c r="BW14" s="1"/>
      <c r="BX14" s="1"/>
      <c r="BY14" s="1" t="s">
        <v>345</v>
      </c>
      <c r="BZ14" s="1" t="s">
        <v>978</v>
      </c>
      <c r="CA14" s="1" t="s">
        <v>1009</v>
      </c>
      <c r="CB14" s="1" t="s">
        <v>1010</v>
      </c>
      <c r="CC14" s="1" t="s">
        <v>835</v>
      </c>
    </row>
    <row r="15" spans="1:81" x14ac:dyDescent="0.25">
      <c r="A15" s="1" t="s">
        <v>145</v>
      </c>
      <c r="B15" s="1" t="s">
        <v>762</v>
      </c>
      <c r="C15" s="1">
        <v>1610612759</v>
      </c>
      <c r="D15" s="1" t="s">
        <v>374</v>
      </c>
      <c r="E15" s="1" t="s">
        <v>375</v>
      </c>
      <c r="F15" s="1" t="s">
        <v>149</v>
      </c>
      <c r="G15" s="1" t="s">
        <v>950</v>
      </c>
      <c r="H15" s="1">
        <v>7</v>
      </c>
      <c r="I15" s="1" t="s">
        <v>857</v>
      </c>
      <c r="J15" s="1" t="s">
        <v>231</v>
      </c>
      <c r="K15" s="1" t="s">
        <v>896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930</v>
      </c>
      <c r="R15" s="1" t="s">
        <v>816</v>
      </c>
      <c r="S15" s="1" t="s">
        <v>1011</v>
      </c>
      <c r="T15" s="1" t="s">
        <v>259</v>
      </c>
      <c r="U15" s="1" t="s">
        <v>184</v>
      </c>
      <c r="V15" s="1" t="s">
        <v>265</v>
      </c>
      <c r="W15" s="1" t="s">
        <v>153</v>
      </c>
      <c r="X15" s="1" t="s">
        <v>1012</v>
      </c>
      <c r="Y15" s="1" t="s">
        <v>999</v>
      </c>
      <c r="Z15" s="1">
        <v>11</v>
      </c>
      <c r="AA15" s="1" t="s">
        <v>770</v>
      </c>
      <c r="AB15" s="1">
        <v>-5</v>
      </c>
      <c r="AC15" s="1" t="s">
        <v>272</v>
      </c>
      <c r="AD15" s="1">
        <v>9</v>
      </c>
      <c r="AE15" s="1">
        <v>4</v>
      </c>
      <c r="AF15" s="1">
        <v>2</v>
      </c>
      <c r="AG15" s="1" t="s">
        <v>222</v>
      </c>
      <c r="AH15" s="1">
        <v>2</v>
      </c>
      <c r="AI15" s="1" t="s">
        <v>222</v>
      </c>
      <c r="AJ15" s="1">
        <v>3</v>
      </c>
      <c r="AK15" s="1" t="s">
        <v>223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1013</v>
      </c>
      <c r="AT15" s="1" t="s">
        <v>1014</v>
      </c>
      <c r="AU15" s="1" t="s">
        <v>163</v>
      </c>
      <c r="AV15" s="1" t="s">
        <v>1015</v>
      </c>
      <c r="AW15" s="1" t="s">
        <v>1014</v>
      </c>
      <c r="AX15" s="1" t="s">
        <v>164</v>
      </c>
      <c r="AY15" s="1" t="s">
        <v>1016</v>
      </c>
      <c r="AZ15" s="1" t="s">
        <v>1017</v>
      </c>
      <c r="BA15" s="1" t="s">
        <v>1001</v>
      </c>
      <c r="BB15" s="1" t="s">
        <v>771</v>
      </c>
      <c r="BC15" s="1" t="s">
        <v>1018</v>
      </c>
      <c r="BD15" s="1" t="s">
        <v>1019</v>
      </c>
      <c r="BE15" s="1">
        <v>111.7</v>
      </c>
      <c r="BF15" s="1">
        <v>110</v>
      </c>
      <c r="BG15" s="1">
        <v>1.7</v>
      </c>
      <c r="BH15" s="1" t="s">
        <v>1020</v>
      </c>
      <c r="BI15" s="1" t="s">
        <v>266</v>
      </c>
      <c r="BJ15" s="1" t="s">
        <v>296</v>
      </c>
      <c r="BK15" s="1" t="s">
        <v>276</v>
      </c>
      <c r="BL15" s="1" t="s">
        <v>950</v>
      </c>
      <c r="BM15" s="1" t="s">
        <v>784</v>
      </c>
      <c r="BN15" s="1" t="s">
        <v>784</v>
      </c>
      <c r="BO15" s="1" t="s">
        <v>809</v>
      </c>
      <c r="BP15" s="1" t="s">
        <v>261</v>
      </c>
      <c r="BQ15" s="1" t="s">
        <v>398</v>
      </c>
      <c r="BR15" s="1" t="s">
        <v>253</v>
      </c>
      <c r="BS15" s="1" t="s">
        <v>169</v>
      </c>
      <c r="BT15" s="1"/>
      <c r="BU15" s="1"/>
      <c r="BV15" s="1"/>
      <c r="BW15" s="1"/>
      <c r="BX15" s="1"/>
      <c r="BY15" s="1" t="s">
        <v>255</v>
      </c>
      <c r="BZ15" s="1" t="s">
        <v>349</v>
      </c>
      <c r="CA15" s="1" t="s">
        <v>945</v>
      </c>
      <c r="CB15" s="1" t="s">
        <v>1021</v>
      </c>
      <c r="CC15" s="1" t="s">
        <v>835</v>
      </c>
    </row>
    <row r="16" spans="1:81" x14ac:dyDescent="0.25">
      <c r="A16" s="1" t="s">
        <v>145</v>
      </c>
      <c r="B16" s="1" t="s">
        <v>762</v>
      </c>
      <c r="C16" s="1">
        <v>1610612765</v>
      </c>
      <c r="D16" s="1" t="s">
        <v>380</v>
      </c>
      <c r="E16" s="1" t="s">
        <v>381</v>
      </c>
      <c r="F16" s="1" t="s">
        <v>179</v>
      </c>
      <c r="G16" s="1" t="s">
        <v>1022</v>
      </c>
      <c r="H16" s="1">
        <v>8</v>
      </c>
      <c r="I16" s="1" t="s">
        <v>857</v>
      </c>
      <c r="J16" s="1" t="s">
        <v>181</v>
      </c>
      <c r="K16" s="1" t="s">
        <v>858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1023</v>
      </c>
      <c r="R16" s="1" t="s">
        <v>817</v>
      </c>
      <c r="S16" s="1" t="s">
        <v>1024</v>
      </c>
      <c r="T16" s="1" t="s">
        <v>310</v>
      </c>
      <c r="U16" s="1" t="s">
        <v>184</v>
      </c>
      <c r="V16" s="1" t="s">
        <v>320</v>
      </c>
      <c r="W16" s="1" t="s">
        <v>221</v>
      </c>
      <c r="X16" s="1" t="s">
        <v>355</v>
      </c>
      <c r="Y16" s="1" t="s">
        <v>1025</v>
      </c>
      <c r="Z16" s="1">
        <v>11</v>
      </c>
      <c r="AA16" s="1" t="s">
        <v>770</v>
      </c>
      <c r="AB16" s="1">
        <v>-5</v>
      </c>
      <c r="AC16" s="1" t="s">
        <v>272</v>
      </c>
      <c r="AD16" s="1">
        <v>5</v>
      </c>
      <c r="AE16" s="1">
        <v>6</v>
      </c>
      <c r="AF16" s="1">
        <v>1</v>
      </c>
      <c r="AG16" s="1" t="s">
        <v>246</v>
      </c>
      <c r="AH16" s="1">
        <v>1</v>
      </c>
      <c r="AI16" s="1" t="s">
        <v>246</v>
      </c>
      <c r="AJ16" s="1">
        <v>2</v>
      </c>
      <c r="AK16" s="1" t="s">
        <v>222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1026</v>
      </c>
      <c r="AT16" s="1" t="s">
        <v>1027</v>
      </c>
      <c r="AU16" s="1" t="s">
        <v>186</v>
      </c>
      <c r="AV16" s="1" t="s">
        <v>879</v>
      </c>
      <c r="AW16" s="1" t="s">
        <v>1028</v>
      </c>
      <c r="AX16" s="1" t="s">
        <v>161</v>
      </c>
      <c r="AY16" s="1" t="s">
        <v>1029</v>
      </c>
      <c r="AZ16" s="1" t="s">
        <v>1030</v>
      </c>
      <c r="BA16" s="1" t="s">
        <v>1031</v>
      </c>
      <c r="BB16" s="1" t="s">
        <v>1032</v>
      </c>
      <c r="BC16" s="1" t="s">
        <v>1033</v>
      </c>
      <c r="BD16" s="1" t="s">
        <v>1034</v>
      </c>
      <c r="BE16" s="1">
        <v>107</v>
      </c>
      <c r="BF16" s="1">
        <v>107.3</v>
      </c>
      <c r="BG16" s="1">
        <v>-0.2</v>
      </c>
      <c r="BH16" s="1" t="s">
        <v>1022</v>
      </c>
      <c r="BI16" s="1" t="s">
        <v>784</v>
      </c>
      <c r="BJ16" s="1" t="s">
        <v>870</v>
      </c>
      <c r="BK16" s="1" t="s">
        <v>944</v>
      </c>
      <c r="BL16" s="1" t="s">
        <v>925</v>
      </c>
      <c r="BM16" s="1" t="s">
        <v>323</v>
      </c>
      <c r="BN16" s="1" t="s">
        <v>276</v>
      </c>
      <c r="BO16" s="1" t="s">
        <v>276</v>
      </c>
      <c r="BP16" s="1" t="s">
        <v>410</v>
      </c>
      <c r="BQ16" s="1" t="s">
        <v>296</v>
      </c>
      <c r="BR16" s="1" t="s">
        <v>809</v>
      </c>
      <c r="BS16" s="1" t="s">
        <v>274</v>
      </c>
      <c r="BT16" s="1"/>
      <c r="BU16" s="1"/>
      <c r="BV16" s="1"/>
      <c r="BW16" s="1"/>
      <c r="BX16" s="1"/>
      <c r="BY16" s="1" t="s">
        <v>249</v>
      </c>
      <c r="BZ16" s="1" t="s">
        <v>853</v>
      </c>
      <c r="CA16" s="1" t="s">
        <v>397</v>
      </c>
      <c r="CB16" s="1" t="s">
        <v>1035</v>
      </c>
      <c r="CC16" s="1" t="s">
        <v>1036</v>
      </c>
    </row>
    <row r="17" spans="1:81" x14ac:dyDescent="0.25">
      <c r="A17" s="1" t="s">
        <v>145</v>
      </c>
      <c r="B17" s="1" t="s">
        <v>762</v>
      </c>
      <c r="C17" s="1">
        <v>1610612746</v>
      </c>
      <c r="D17" s="1" t="s">
        <v>257</v>
      </c>
      <c r="E17" s="1" t="s">
        <v>258</v>
      </c>
      <c r="F17" s="1" t="s">
        <v>149</v>
      </c>
      <c r="G17" s="1" t="s">
        <v>965</v>
      </c>
      <c r="H17" s="1">
        <v>8</v>
      </c>
      <c r="I17" s="1" t="s">
        <v>857</v>
      </c>
      <c r="J17" s="1" t="s">
        <v>152</v>
      </c>
      <c r="K17" s="1" t="s">
        <v>929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930</v>
      </c>
      <c r="R17" s="1" t="s">
        <v>817</v>
      </c>
      <c r="S17" s="1" t="s">
        <v>897</v>
      </c>
      <c r="T17" s="1" t="s">
        <v>259</v>
      </c>
      <c r="U17" s="1" t="s">
        <v>193</v>
      </c>
      <c r="V17" s="1" t="s">
        <v>259</v>
      </c>
      <c r="W17" s="1" t="s">
        <v>158</v>
      </c>
      <c r="X17" s="1" t="s">
        <v>166</v>
      </c>
      <c r="Y17" s="1" t="s">
        <v>983</v>
      </c>
      <c r="Z17" s="1">
        <v>9</v>
      </c>
      <c r="AA17" s="1" t="s">
        <v>986</v>
      </c>
      <c r="AB17" s="1">
        <v>5</v>
      </c>
      <c r="AC17" s="1" t="s">
        <v>160</v>
      </c>
      <c r="AD17" s="1">
        <v>6</v>
      </c>
      <c r="AE17" s="1">
        <v>5</v>
      </c>
      <c r="AF17" s="1">
        <v>1</v>
      </c>
      <c r="AG17" s="1" t="s">
        <v>246</v>
      </c>
      <c r="AH17" s="1">
        <v>-2</v>
      </c>
      <c r="AI17" s="1" t="s">
        <v>279</v>
      </c>
      <c r="AJ17" s="1">
        <v>1</v>
      </c>
      <c r="AK17" s="1" t="s">
        <v>246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1003</v>
      </c>
      <c r="AT17" s="1" t="s">
        <v>1037</v>
      </c>
      <c r="AU17" s="1" t="s">
        <v>260</v>
      </c>
      <c r="AV17" s="1" t="s">
        <v>1038</v>
      </c>
      <c r="AW17" s="1" t="s">
        <v>1039</v>
      </c>
      <c r="AX17" s="1" t="s">
        <v>190</v>
      </c>
      <c r="AY17" s="1" t="s">
        <v>1040</v>
      </c>
      <c r="AZ17" s="1" t="s">
        <v>1041</v>
      </c>
      <c r="BA17" s="1" t="s">
        <v>1042</v>
      </c>
      <c r="BB17" s="1" t="s">
        <v>1043</v>
      </c>
      <c r="BC17" s="1" t="s">
        <v>1044</v>
      </c>
      <c r="BD17" s="1" t="s">
        <v>1045</v>
      </c>
      <c r="BE17" s="1">
        <v>115.1</v>
      </c>
      <c r="BF17" s="1">
        <v>114.3</v>
      </c>
      <c r="BG17" s="1">
        <v>0.9</v>
      </c>
      <c r="BH17" s="1" t="s">
        <v>808</v>
      </c>
      <c r="BI17" s="1" t="s">
        <v>266</v>
      </c>
      <c r="BJ17" s="1" t="s">
        <v>296</v>
      </c>
      <c r="BK17" s="1" t="s">
        <v>296</v>
      </c>
      <c r="BL17" s="1" t="s">
        <v>965</v>
      </c>
      <c r="BM17" s="1" t="s">
        <v>1046</v>
      </c>
      <c r="BN17" s="1" t="s">
        <v>945</v>
      </c>
      <c r="BO17" s="1" t="s">
        <v>784</v>
      </c>
      <c r="BP17" s="1" t="s">
        <v>962</v>
      </c>
      <c r="BQ17" s="1" t="s">
        <v>286</v>
      </c>
      <c r="BR17" s="1" t="s">
        <v>1047</v>
      </c>
      <c r="BS17" s="1" t="s">
        <v>282</v>
      </c>
      <c r="BT17" s="1"/>
      <c r="BU17" s="1"/>
      <c r="BV17" s="1"/>
      <c r="BW17" s="1"/>
      <c r="BX17" s="1"/>
      <c r="BY17" s="1" t="s">
        <v>249</v>
      </c>
      <c r="BZ17" s="1" t="s">
        <v>204</v>
      </c>
      <c r="CA17" s="1" t="s">
        <v>337</v>
      </c>
      <c r="CB17" s="1" t="s">
        <v>1048</v>
      </c>
      <c r="CC17" s="1" t="s">
        <v>1049</v>
      </c>
    </row>
    <row r="18" spans="1:81" x14ac:dyDescent="0.25">
      <c r="A18" s="1" t="s">
        <v>145</v>
      </c>
      <c r="B18" s="1" t="s">
        <v>762</v>
      </c>
      <c r="C18" s="1">
        <v>1610612766</v>
      </c>
      <c r="D18" s="1" t="s">
        <v>335</v>
      </c>
      <c r="E18" s="1" t="s">
        <v>336</v>
      </c>
      <c r="F18" s="1" t="s">
        <v>179</v>
      </c>
      <c r="G18" s="1" t="s">
        <v>875</v>
      </c>
      <c r="H18" s="1">
        <v>9</v>
      </c>
      <c r="I18" s="1" t="s">
        <v>1050</v>
      </c>
      <c r="J18" s="1" t="s">
        <v>244</v>
      </c>
      <c r="K18" s="1" t="s">
        <v>896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1051</v>
      </c>
      <c r="R18" s="1" t="s">
        <v>999</v>
      </c>
      <c r="S18" s="1" t="s">
        <v>1052</v>
      </c>
      <c r="T18" s="1" t="s">
        <v>259</v>
      </c>
      <c r="U18" s="1" t="s">
        <v>265</v>
      </c>
      <c r="V18" s="1" t="s">
        <v>265</v>
      </c>
      <c r="W18" s="1" t="s">
        <v>262</v>
      </c>
      <c r="X18" s="1" t="s">
        <v>876</v>
      </c>
      <c r="Y18" s="1" t="s">
        <v>878</v>
      </c>
      <c r="Z18" s="1">
        <v>5</v>
      </c>
      <c r="AA18" s="1" t="s">
        <v>160</v>
      </c>
      <c r="AB18" s="1">
        <v>-4</v>
      </c>
      <c r="AC18" s="1" t="s">
        <v>263</v>
      </c>
      <c r="AD18" s="1">
        <v>4</v>
      </c>
      <c r="AE18" s="1">
        <v>3</v>
      </c>
      <c r="AF18" s="1">
        <v>-1</v>
      </c>
      <c r="AG18" s="1" t="s">
        <v>207</v>
      </c>
      <c r="AH18" s="1">
        <v>3</v>
      </c>
      <c r="AI18" s="1" t="s">
        <v>223</v>
      </c>
      <c r="AJ18" s="1">
        <v>-1</v>
      </c>
      <c r="AK18" s="1" t="s">
        <v>207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1053</v>
      </c>
      <c r="AT18" s="1" t="s">
        <v>1054</v>
      </c>
      <c r="AU18" s="1" t="s">
        <v>190</v>
      </c>
      <c r="AV18" s="1" t="s">
        <v>793</v>
      </c>
      <c r="AW18" s="1" t="s">
        <v>1055</v>
      </c>
      <c r="AX18" s="1" t="s">
        <v>186</v>
      </c>
      <c r="AY18" s="1" t="s">
        <v>1056</v>
      </c>
      <c r="AZ18" s="1" t="s">
        <v>1057</v>
      </c>
      <c r="BA18" s="1" t="s">
        <v>970</v>
      </c>
      <c r="BB18" s="1" t="s">
        <v>1058</v>
      </c>
      <c r="BC18" s="1" t="s">
        <v>1059</v>
      </c>
      <c r="BD18" s="1" t="s">
        <v>1060</v>
      </c>
      <c r="BE18" s="1">
        <v>110.7</v>
      </c>
      <c r="BF18" s="1">
        <v>111.8</v>
      </c>
      <c r="BG18" s="1">
        <v>-1.1000000000000001</v>
      </c>
      <c r="BH18" s="1" t="s">
        <v>875</v>
      </c>
      <c r="BI18" s="1" t="s">
        <v>910</v>
      </c>
      <c r="BJ18" s="1" t="s">
        <v>871</v>
      </c>
      <c r="BK18" s="1" t="s">
        <v>809</v>
      </c>
      <c r="BL18" s="1" t="s">
        <v>1061</v>
      </c>
      <c r="BM18" s="1" t="s">
        <v>393</v>
      </c>
      <c r="BN18" s="1" t="s">
        <v>398</v>
      </c>
      <c r="BO18" s="1" t="s">
        <v>276</v>
      </c>
      <c r="BP18" s="1" t="s">
        <v>299</v>
      </c>
      <c r="BQ18" s="1" t="s">
        <v>388</v>
      </c>
      <c r="BR18" s="1" t="s">
        <v>926</v>
      </c>
      <c r="BS18" s="1" t="s">
        <v>214</v>
      </c>
      <c r="BT18" s="1"/>
      <c r="BU18" s="1"/>
      <c r="BV18" s="1"/>
      <c r="BW18" s="1"/>
      <c r="BX18" s="1"/>
      <c r="BY18" s="1" t="s">
        <v>343</v>
      </c>
      <c r="BZ18" s="1" t="s">
        <v>326</v>
      </c>
      <c r="CA18" s="1" t="s">
        <v>326</v>
      </c>
      <c r="CB18" s="1" t="s">
        <v>1062</v>
      </c>
      <c r="CC18" s="1" t="s">
        <v>981</v>
      </c>
    </row>
    <row r="19" spans="1:81" x14ac:dyDescent="0.25">
      <c r="A19" s="1" t="s">
        <v>145</v>
      </c>
      <c r="B19" s="1" t="s">
        <v>762</v>
      </c>
      <c r="C19" s="1">
        <v>1610612758</v>
      </c>
      <c r="D19" s="1" t="s">
        <v>329</v>
      </c>
      <c r="E19" s="1" t="s">
        <v>330</v>
      </c>
      <c r="F19" s="1" t="s">
        <v>149</v>
      </c>
      <c r="G19" s="1" t="s">
        <v>1063</v>
      </c>
      <c r="H19" s="1">
        <v>9</v>
      </c>
      <c r="I19" s="1" t="s">
        <v>1050</v>
      </c>
      <c r="J19" s="1" t="s">
        <v>152</v>
      </c>
      <c r="K19" s="1" t="s">
        <v>1064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1051</v>
      </c>
      <c r="R19" s="1" t="s">
        <v>1065</v>
      </c>
      <c r="S19" s="1" t="s">
        <v>1024</v>
      </c>
      <c r="T19" s="1" t="s">
        <v>341</v>
      </c>
      <c r="U19" s="1" t="s">
        <v>265</v>
      </c>
      <c r="V19" s="1" t="s">
        <v>320</v>
      </c>
      <c r="W19" s="1" t="s">
        <v>164</v>
      </c>
      <c r="X19" s="1" t="s">
        <v>967</v>
      </c>
      <c r="Y19" s="1" t="s">
        <v>1066</v>
      </c>
      <c r="Z19" s="1">
        <v>7</v>
      </c>
      <c r="AA19" s="1" t="s">
        <v>900</v>
      </c>
      <c r="AB19" s="1">
        <v>-5</v>
      </c>
      <c r="AC19" s="1" t="s">
        <v>272</v>
      </c>
      <c r="AD19" s="1">
        <v>5</v>
      </c>
      <c r="AE19" s="1">
        <v>4</v>
      </c>
      <c r="AF19" s="1">
        <v>-1</v>
      </c>
      <c r="AG19" s="1" t="s">
        <v>207</v>
      </c>
      <c r="AH19" s="1">
        <v>-2</v>
      </c>
      <c r="AI19" s="1" t="s">
        <v>279</v>
      </c>
      <c r="AJ19" s="1">
        <v>-3</v>
      </c>
      <c r="AK19" s="1" t="s">
        <v>301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1067</v>
      </c>
      <c r="AT19" s="1" t="s">
        <v>1068</v>
      </c>
      <c r="AU19" s="1" t="s">
        <v>260</v>
      </c>
      <c r="AV19" s="1" t="s">
        <v>1069</v>
      </c>
      <c r="AW19" s="1" t="s">
        <v>1070</v>
      </c>
      <c r="AX19" s="1" t="s">
        <v>339</v>
      </c>
      <c r="AY19" s="1" t="s">
        <v>1071</v>
      </c>
      <c r="AZ19" s="1" t="s">
        <v>1072</v>
      </c>
      <c r="BA19" s="1" t="s">
        <v>1073</v>
      </c>
      <c r="BB19" s="1" t="s">
        <v>1074</v>
      </c>
      <c r="BC19" s="1" t="s">
        <v>1045</v>
      </c>
      <c r="BD19" s="1" t="s">
        <v>1075</v>
      </c>
      <c r="BE19" s="1">
        <v>114.2</v>
      </c>
      <c r="BF19" s="1">
        <v>115.3</v>
      </c>
      <c r="BG19" s="1">
        <v>-1.1000000000000001</v>
      </c>
      <c r="BH19" s="1" t="s">
        <v>1020</v>
      </c>
      <c r="BI19" s="1" t="s">
        <v>398</v>
      </c>
      <c r="BJ19" s="1" t="s">
        <v>296</v>
      </c>
      <c r="BK19" s="1" t="s">
        <v>216</v>
      </c>
      <c r="BL19" s="1" t="s">
        <v>1063</v>
      </c>
      <c r="BM19" s="1" t="s">
        <v>1046</v>
      </c>
      <c r="BN19" s="1" t="s">
        <v>1076</v>
      </c>
      <c r="BO19" s="1" t="s">
        <v>784</v>
      </c>
      <c r="BP19" s="1" t="s">
        <v>926</v>
      </c>
      <c r="BQ19" s="1" t="s">
        <v>276</v>
      </c>
      <c r="BR19" s="1" t="s">
        <v>962</v>
      </c>
      <c r="BS19" s="1" t="s">
        <v>344</v>
      </c>
      <c r="BT19" s="1"/>
      <c r="BU19" s="1"/>
      <c r="BV19" s="1"/>
      <c r="BW19" s="1"/>
      <c r="BX19" s="1"/>
      <c r="BY19" s="1" t="s">
        <v>315</v>
      </c>
      <c r="BZ19" s="1" t="s">
        <v>1009</v>
      </c>
      <c r="CA19" s="1" t="s">
        <v>833</v>
      </c>
      <c r="CB19" s="1" t="s">
        <v>1077</v>
      </c>
      <c r="CC19" s="1" t="s">
        <v>1078</v>
      </c>
    </row>
    <row r="20" spans="1:81" x14ac:dyDescent="0.25">
      <c r="A20" s="1" t="s">
        <v>145</v>
      </c>
      <c r="B20" s="1" t="s">
        <v>762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1079</v>
      </c>
      <c r="H20" s="1">
        <v>10</v>
      </c>
      <c r="I20" s="1" t="s">
        <v>1050</v>
      </c>
      <c r="J20" s="1" t="s">
        <v>152</v>
      </c>
      <c r="K20" s="1" t="s">
        <v>966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1080</v>
      </c>
      <c r="R20" s="1" t="s">
        <v>897</v>
      </c>
      <c r="S20" s="1" t="s">
        <v>1024</v>
      </c>
      <c r="T20" s="1" t="s">
        <v>259</v>
      </c>
      <c r="U20" s="1" t="s">
        <v>310</v>
      </c>
      <c r="V20" s="1" t="s">
        <v>341</v>
      </c>
      <c r="W20" s="1" t="s">
        <v>224</v>
      </c>
      <c r="X20" s="1" t="s">
        <v>273</v>
      </c>
      <c r="Y20" s="1" t="s">
        <v>1011</v>
      </c>
      <c r="Z20" s="1">
        <v>6</v>
      </c>
      <c r="AA20" s="1" t="s">
        <v>188</v>
      </c>
      <c r="AB20" s="1">
        <v>-5</v>
      </c>
      <c r="AC20" s="1" t="s">
        <v>272</v>
      </c>
      <c r="AD20" s="1">
        <v>4</v>
      </c>
      <c r="AE20" s="1">
        <v>5</v>
      </c>
      <c r="AF20" s="1">
        <v>-1</v>
      </c>
      <c r="AG20" s="1" t="s">
        <v>207</v>
      </c>
      <c r="AH20" s="1">
        <v>1</v>
      </c>
      <c r="AI20" s="1" t="s">
        <v>246</v>
      </c>
      <c r="AJ20" s="1">
        <v>-1</v>
      </c>
      <c r="AK20" s="1" t="s">
        <v>207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1081</v>
      </c>
      <c r="AT20" s="1" t="s">
        <v>1082</v>
      </c>
      <c r="AU20" s="1" t="s">
        <v>157</v>
      </c>
      <c r="AV20" s="1" t="s">
        <v>1083</v>
      </c>
      <c r="AW20" s="1" t="s">
        <v>1084</v>
      </c>
      <c r="AX20" s="1" t="s">
        <v>157</v>
      </c>
      <c r="AY20" s="1" t="s">
        <v>1085</v>
      </c>
      <c r="AZ20" s="1" t="s">
        <v>1086</v>
      </c>
      <c r="BA20" s="1" t="s">
        <v>1087</v>
      </c>
      <c r="BB20" s="1" t="s">
        <v>1088</v>
      </c>
      <c r="BC20" s="1" t="s">
        <v>1089</v>
      </c>
      <c r="BD20" s="1" t="s">
        <v>1090</v>
      </c>
      <c r="BE20" s="1">
        <v>111.8</v>
      </c>
      <c r="BF20" s="1">
        <v>113.5</v>
      </c>
      <c r="BG20" s="1">
        <v>-1.7</v>
      </c>
      <c r="BH20" s="1" t="s">
        <v>1008</v>
      </c>
      <c r="BI20" s="1" t="s">
        <v>1091</v>
      </c>
      <c r="BJ20" s="1" t="s">
        <v>276</v>
      </c>
      <c r="BK20" s="1" t="s">
        <v>266</v>
      </c>
      <c r="BL20" s="1" t="s">
        <v>1079</v>
      </c>
      <c r="BM20" s="1" t="s">
        <v>1046</v>
      </c>
      <c r="BN20" s="1" t="s">
        <v>978</v>
      </c>
      <c r="BO20" s="1" t="s">
        <v>944</v>
      </c>
      <c r="BP20" s="1" t="s">
        <v>337</v>
      </c>
      <c r="BQ20" s="1" t="s">
        <v>364</v>
      </c>
      <c r="BR20" s="1" t="s">
        <v>386</v>
      </c>
      <c r="BS20" s="1" t="s">
        <v>275</v>
      </c>
      <c r="BT20" s="1"/>
      <c r="BU20" s="1"/>
      <c r="BV20" s="1"/>
      <c r="BW20" s="1"/>
      <c r="BX20" s="1"/>
      <c r="BY20" s="1" t="s">
        <v>305</v>
      </c>
      <c r="BZ20" s="1" t="s">
        <v>253</v>
      </c>
      <c r="CA20" s="1" t="s">
        <v>308</v>
      </c>
      <c r="CB20" s="1" t="s">
        <v>1092</v>
      </c>
      <c r="CC20" s="1" t="s">
        <v>1078</v>
      </c>
    </row>
    <row r="21" spans="1:81" x14ac:dyDescent="0.25">
      <c r="A21" s="1" t="s">
        <v>145</v>
      </c>
      <c r="B21" s="1" t="s">
        <v>762</v>
      </c>
      <c r="C21" s="1">
        <v>1610612748</v>
      </c>
      <c r="D21" s="1" t="s">
        <v>241</v>
      </c>
      <c r="E21" s="1" t="s">
        <v>242</v>
      </c>
      <c r="F21" s="1" t="s">
        <v>179</v>
      </c>
      <c r="G21" s="1" t="s">
        <v>1093</v>
      </c>
      <c r="H21" s="1">
        <v>10</v>
      </c>
      <c r="I21" s="1" t="s">
        <v>1050</v>
      </c>
      <c r="J21" s="1" t="s">
        <v>244</v>
      </c>
      <c r="K21" s="1" t="s">
        <v>1094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1051</v>
      </c>
      <c r="R21" s="1" t="s">
        <v>931</v>
      </c>
      <c r="S21" s="1" t="s">
        <v>840</v>
      </c>
      <c r="T21" s="1" t="s">
        <v>310</v>
      </c>
      <c r="U21" s="1" t="s">
        <v>259</v>
      </c>
      <c r="V21" s="1" t="s">
        <v>265</v>
      </c>
      <c r="W21" s="1" t="s">
        <v>186</v>
      </c>
      <c r="X21" s="1" t="s">
        <v>355</v>
      </c>
      <c r="Y21" s="1" t="s">
        <v>1095</v>
      </c>
      <c r="Z21" s="1">
        <v>-6</v>
      </c>
      <c r="AA21" s="1" t="s">
        <v>367</v>
      </c>
      <c r="AB21" s="1">
        <v>4</v>
      </c>
      <c r="AC21" s="1" t="s">
        <v>159</v>
      </c>
      <c r="AD21" s="1">
        <v>5</v>
      </c>
      <c r="AE21" s="1">
        <v>4</v>
      </c>
      <c r="AF21" s="1">
        <v>1</v>
      </c>
      <c r="AG21" s="1" t="s">
        <v>246</v>
      </c>
      <c r="AH21" s="1">
        <v>-4</v>
      </c>
      <c r="AI21" s="1" t="s">
        <v>263</v>
      </c>
      <c r="AJ21" s="1">
        <v>-1</v>
      </c>
      <c r="AK21" s="1" t="s">
        <v>207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932</v>
      </c>
      <c r="AT21" s="1" t="s">
        <v>1096</v>
      </c>
      <c r="AU21" s="1" t="s">
        <v>234</v>
      </c>
      <c r="AV21" s="1" t="s">
        <v>1097</v>
      </c>
      <c r="AW21" s="1" t="s">
        <v>1098</v>
      </c>
      <c r="AX21" s="1" t="s">
        <v>260</v>
      </c>
      <c r="AY21" s="1" t="s">
        <v>1099</v>
      </c>
      <c r="AZ21" s="1" t="s">
        <v>1100</v>
      </c>
      <c r="BA21" s="1" t="s">
        <v>1101</v>
      </c>
      <c r="BB21" s="1" t="s">
        <v>1102</v>
      </c>
      <c r="BC21" s="1" t="s">
        <v>1103</v>
      </c>
      <c r="BD21" s="1" t="s">
        <v>1104</v>
      </c>
      <c r="BE21" s="1">
        <v>105.7</v>
      </c>
      <c r="BF21" s="1">
        <v>105.9</v>
      </c>
      <c r="BG21" s="1">
        <v>-0.2</v>
      </c>
      <c r="BH21" s="1" t="s">
        <v>1093</v>
      </c>
      <c r="BI21" s="1" t="s">
        <v>1046</v>
      </c>
      <c r="BJ21" s="1" t="s">
        <v>944</v>
      </c>
      <c r="BK21" s="1" t="s">
        <v>962</v>
      </c>
      <c r="BL21" s="1" t="s">
        <v>1105</v>
      </c>
      <c r="BM21" s="1" t="s">
        <v>323</v>
      </c>
      <c r="BN21" s="1" t="s">
        <v>398</v>
      </c>
      <c r="BO21" s="1" t="s">
        <v>176</v>
      </c>
      <c r="BP21" s="1" t="s">
        <v>326</v>
      </c>
      <c r="BQ21" s="1" t="s">
        <v>1106</v>
      </c>
      <c r="BR21" s="1" t="s">
        <v>233</v>
      </c>
      <c r="BS21" s="1" t="s">
        <v>911</v>
      </c>
      <c r="BT21" s="1"/>
      <c r="BU21" s="1"/>
      <c r="BV21" s="1"/>
      <c r="BW21" s="1"/>
      <c r="BX21" s="1"/>
      <c r="BY21" s="1" t="s">
        <v>295</v>
      </c>
      <c r="BZ21" s="1" t="s">
        <v>363</v>
      </c>
      <c r="CA21" s="1" t="s">
        <v>270</v>
      </c>
      <c r="CB21" s="1" t="s">
        <v>1035</v>
      </c>
      <c r="CC21" s="1" t="s">
        <v>1107</v>
      </c>
    </row>
    <row r="22" spans="1:81" x14ac:dyDescent="0.25">
      <c r="A22" s="1" t="s">
        <v>145</v>
      </c>
      <c r="B22" s="1" t="s">
        <v>762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1108</v>
      </c>
      <c r="H22" s="1">
        <v>11</v>
      </c>
      <c r="I22" s="1" t="s">
        <v>1050</v>
      </c>
      <c r="J22" s="1" t="s">
        <v>244</v>
      </c>
      <c r="K22" s="1" t="s">
        <v>1094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1109</v>
      </c>
      <c r="R22" s="1" t="s">
        <v>897</v>
      </c>
      <c r="S22" s="1" t="s">
        <v>1004</v>
      </c>
      <c r="T22" s="1" t="s">
        <v>320</v>
      </c>
      <c r="U22" s="1" t="s">
        <v>341</v>
      </c>
      <c r="V22" s="1" t="s">
        <v>341</v>
      </c>
      <c r="W22" s="1" t="s">
        <v>264</v>
      </c>
      <c r="X22" s="1" t="s">
        <v>340</v>
      </c>
      <c r="Y22" s="1" t="s">
        <v>1110</v>
      </c>
      <c r="Z22" s="1">
        <v>-6</v>
      </c>
      <c r="AA22" s="1" t="s">
        <v>367</v>
      </c>
      <c r="AB22" s="1">
        <v>-8</v>
      </c>
      <c r="AC22" s="1" t="s">
        <v>1111</v>
      </c>
      <c r="AD22" s="1">
        <v>3</v>
      </c>
      <c r="AE22" s="1">
        <v>5</v>
      </c>
      <c r="AF22" s="1">
        <v>-6</v>
      </c>
      <c r="AG22" s="1" t="s">
        <v>367</v>
      </c>
      <c r="AH22" s="1">
        <v>-1</v>
      </c>
      <c r="AI22" s="1" t="s">
        <v>207</v>
      </c>
      <c r="AJ22" s="1">
        <v>-4</v>
      </c>
      <c r="AK22" s="1" t="s">
        <v>263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1112</v>
      </c>
      <c r="AT22" s="1" t="s">
        <v>1113</v>
      </c>
      <c r="AU22" s="1" t="s">
        <v>158</v>
      </c>
      <c r="AV22" s="1" t="s">
        <v>1114</v>
      </c>
      <c r="AW22" s="1" t="s">
        <v>1115</v>
      </c>
      <c r="AX22" s="1" t="s">
        <v>190</v>
      </c>
      <c r="AY22" s="1" t="s">
        <v>1116</v>
      </c>
      <c r="AZ22" s="1" t="s">
        <v>1117</v>
      </c>
      <c r="BA22" s="1" t="s">
        <v>1118</v>
      </c>
      <c r="BB22" s="1" t="s">
        <v>1119</v>
      </c>
      <c r="BC22" s="1" t="s">
        <v>1120</v>
      </c>
      <c r="BD22" s="1" t="s">
        <v>1093</v>
      </c>
      <c r="BE22" s="1">
        <v>114</v>
      </c>
      <c r="BF22" s="1">
        <v>116.9</v>
      </c>
      <c r="BG22" s="1">
        <v>-2.9</v>
      </c>
      <c r="BH22" s="1" t="s">
        <v>1108</v>
      </c>
      <c r="BI22" s="1" t="s">
        <v>1121</v>
      </c>
      <c r="BJ22" s="1" t="s">
        <v>1121</v>
      </c>
      <c r="BK22" s="1" t="s">
        <v>962</v>
      </c>
      <c r="BL22" s="1" t="s">
        <v>995</v>
      </c>
      <c r="BM22" s="1" t="s">
        <v>323</v>
      </c>
      <c r="BN22" s="1" t="s">
        <v>276</v>
      </c>
      <c r="BO22" s="1" t="s">
        <v>323</v>
      </c>
      <c r="BP22" s="1" t="s">
        <v>291</v>
      </c>
      <c r="BQ22" s="1" t="s">
        <v>398</v>
      </c>
      <c r="BR22" s="1" t="s">
        <v>1122</v>
      </c>
      <c r="BS22" s="1" t="s">
        <v>372</v>
      </c>
      <c r="BT22" s="1"/>
      <c r="BU22" s="1"/>
      <c r="BV22" s="1"/>
      <c r="BW22" s="1"/>
      <c r="BX22" s="1"/>
      <c r="BY22" s="1" t="s">
        <v>1123</v>
      </c>
      <c r="BZ22" s="1" t="s">
        <v>926</v>
      </c>
      <c r="CA22" s="1" t="s">
        <v>337</v>
      </c>
      <c r="CB22" s="1" t="s">
        <v>1124</v>
      </c>
      <c r="CC22" s="1" t="s">
        <v>1125</v>
      </c>
    </row>
    <row r="23" spans="1:81" x14ac:dyDescent="0.25">
      <c r="A23" s="1" t="s">
        <v>145</v>
      </c>
      <c r="B23" s="1" t="s">
        <v>762</v>
      </c>
      <c r="C23" s="1">
        <v>1610612750</v>
      </c>
      <c r="D23" s="1" t="s">
        <v>306</v>
      </c>
      <c r="E23" s="1" t="s">
        <v>307</v>
      </c>
      <c r="F23" s="1" t="s">
        <v>149</v>
      </c>
      <c r="G23" s="1" t="s">
        <v>1126</v>
      </c>
      <c r="H23" s="1">
        <v>11</v>
      </c>
      <c r="I23" s="1" t="s">
        <v>1050</v>
      </c>
      <c r="J23" s="1" t="s">
        <v>219</v>
      </c>
      <c r="K23" s="1" t="s">
        <v>1127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1128</v>
      </c>
      <c r="R23" s="1" t="s">
        <v>999</v>
      </c>
      <c r="S23" s="1" t="s">
        <v>1129</v>
      </c>
      <c r="T23" s="1" t="s">
        <v>310</v>
      </c>
      <c r="U23" s="1" t="s">
        <v>310</v>
      </c>
      <c r="V23" s="1" t="s">
        <v>320</v>
      </c>
      <c r="W23" s="1" t="s">
        <v>226</v>
      </c>
      <c r="X23" s="1" t="s">
        <v>281</v>
      </c>
      <c r="Y23" s="1" t="s">
        <v>931</v>
      </c>
      <c r="Z23" s="1">
        <v>6</v>
      </c>
      <c r="AA23" s="1" t="s">
        <v>188</v>
      </c>
      <c r="AB23" s="1">
        <v>-9</v>
      </c>
      <c r="AC23" s="1" t="s">
        <v>1130</v>
      </c>
      <c r="AD23" s="1">
        <v>4</v>
      </c>
      <c r="AE23" s="1">
        <v>5</v>
      </c>
      <c r="AF23" s="1">
        <v>-2</v>
      </c>
      <c r="AG23" s="1" t="s">
        <v>279</v>
      </c>
      <c r="AH23" s="1">
        <v>-1</v>
      </c>
      <c r="AI23" s="1" t="s">
        <v>207</v>
      </c>
      <c r="AJ23" s="1">
        <v>-3</v>
      </c>
      <c r="AK23" s="1" t="s">
        <v>301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1131</v>
      </c>
      <c r="AT23" s="1" t="s">
        <v>1132</v>
      </c>
      <c r="AU23" s="1" t="s">
        <v>226</v>
      </c>
      <c r="AV23" s="1" t="s">
        <v>1133</v>
      </c>
      <c r="AW23" s="1" t="s">
        <v>1134</v>
      </c>
      <c r="AX23" s="1" t="s">
        <v>260</v>
      </c>
      <c r="AY23" s="1" t="s">
        <v>1135</v>
      </c>
      <c r="AZ23" s="1" t="s">
        <v>1136</v>
      </c>
      <c r="BA23" s="1" t="s">
        <v>1137</v>
      </c>
      <c r="BB23" s="1" t="s">
        <v>1138</v>
      </c>
      <c r="BC23" s="1" t="s">
        <v>1139</v>
      </c>
      <c r="BD23" s="1" t="s">
        <v>1140</v>
      </c>
      <c r="BE23" s="1">
        <v>112.5</v>
      </c>
      <c r="BF23" s="1">
        <v>114</v>
      </c>
      <c r="BG23" s="1">
        <v>-1.5</v>
      </c>
      <c r="BH23" s="1" t="s">
        <v>925</v>
      </c>
      <c r="BI23" s="1" t="s">
        <v>323</v>
      </c>
      <c r="BJ23" s="1" t="s">
        <v>276</v>
      </c>
      <c r="BK23" s="1" t="s">
        <v>276</v>
      </c>
      <c r="BL23" s="1" t="s">
        <v>1126</v>
      </c>
      <c r="BM23" s="1" t="s">
        <v>386</v>
      </c>
      <c r="BN23" s="1" t="s">
        <v>944</v>
      </c>
      <c r="BO23" s="1" t="s">
        <v>910</v>
      </c>
      <c r="BP23" s="1" t="s">
        <v>291</v>
      </c>
      <c r="BQ23" s="1" t="s">
        <v>388</v>
      </c>
      <c r="BR23" s="1" t="s">
        <v>363</v>
      </c>
      <c r="BS23" s="1" t="s">
        <v>274</v>
      </c>
      <c r="BT23" s="1"/>
      <c r="BU23" s="1"/>
      <c r="BV23" s="1"/>
      <c r="BW23" s="1"/>
      <c r="BX23" s="1"/>
      <c r="BY23" s="1" t="s">
        <v>343</v>
      </c>
      <c r="BZ23" s="1" t="s">
        <v>326</v>
      </c>
      <c r="CA23" s="1" t="s">
        <v>337</v>
      </c>
      <c r="CB23" s="1" t="s">
        <v>1062</v>
      </c>
      <c r="CC23" s="1" t="s">
        <v>1078</v>
      </c>
    </row>
    <row r="24" spans="1:81" x14ac:dyDescent="0.25">
      <c r="A24" s="1" t="s">
        <v>145</v>
      </c>
      <c r="B24" s="1" t="s">
        <v>762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1141</v>
      </c>
      <c r="H24" s="1">
        <v>12</v>
      </c>
      <c r="I24" s="1" t="s">
        <v>1050</v>
      </c>
      <c r="J24" s="1" t="s">
        <v>231</v>
      </c>
      <c r="K24" s="1" t="s">
        <v>858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1142</v>
      </c>
      <c r="R24" s="1" t="s">
        <v>878</v>
      </c>
      <c r="S24" s="1" t="s">
        <v>1143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1144</v>
      </c>
      <c r="Z24" s="1">
        <v>5</v>
      </c>
      <c r="AA24" s="1" t="s">
        <v>160</v>
      </c>
      <c r="AB24" s="1">
        <v>-9</v>
      </c>
      <c r="AC24" s="1" t="s">
        <v>1130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1145</v>
      </c>
      <c r="AT24" s="1" t="s">
        <v>1146</v>
      </c>
      <c r="AU24" s="1" t="s">
        <v>262</v>
      </c>
      <c r="AV24" s="1" t="s">
        <v>1147</v>
      </c>
      <c r="AW24" s="1" t="s">
        <v>1148</v>
      </c>
      <c r="AX24" s="1" t="s">
        <v>153</v>
      </c>
      <c r="AY24" s="1" t="s">
        <v>922</v>
      </c>
      <c r="AZ24" s="1" t="s">
        <v>1149</v>
      </c>
      <c r="BA24" s="1" t="s">
        <v>1101</v>
      </c>
      <c r="BB24" s="1" t="s">
        <v>1150</v>
      </c>
      <c r="BC24" s="1" t="s">
        <v>1151</v>
      </c>
      <c r="BD24" s="1" t="s">
        <v>1152</v>
      </c>
      <c r="BE24" s="1">
        <v>103.5</v>
      </c>
      <c r="BF24" s="1">
        <v>106.1</v>
      </c>
      <c r="BG24" s="1">
        <v>-2.6</v>
      </c>
      <c r="BH24" s="1" t="s">
        <v>1153</v>
      </c>
      <c r="BI24" s="1" t="s">
        <v>398</v>
      </c>
      <c r="BJ24" s="1" t="s">
        <v>398</v>
      </c>
      <c r="BK24" s="1" t="s">
        <v>398</v>
      </c>
      <c r="BL24" s="1" t="s">
        <v>1141</v>
      </c>
      <c r="BM24" s="1" t="s">
        <v>944</v>
      </c>
      <c r="BN24" s="1" t="s">
        <v>1046</v>
      </c>
      <c r="BO24" s="1" t="s">
        <v>870</v>
      </c>
      <c r="BP24" s="1" t="s">
        <v>1154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833</v>
      </c>
      <c r="CA24" s="1" t="s">
        <v>349</v>
      </c>
      <c r="CB24" s="1" t="s">
        <v>1155</v>
      </c>
      <c r="CC24" s="1" t="s">
        <v>1156</v>
      </c>
    </row>
    <row r="25" spans="1:81" x14ac:dyDescent="0.25">
      <c r="A25" s="1" t="s">
        <v>145</v>
      </c>
      <c r="B25" s="1" t="s">
        <v>762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1157</v>
      </c>
      <c r="H25" s="1">
        <v>12</v>
      </c>
      <c r="I25" s="1" t="s">
        <v>1050</v>
      </c>
      <c r="J25" s="1" t="s">
        <v>244</v>
      </c>
      <c r="K25" s="1" t="s">
        <v>876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1158</v>
      </c>
      <c r="R25" s="1" t="s">
        <v>1000</v>
      </c>
      <c r="S25" s="1" t="s">
        <v>1143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1159</v>
      </c>
      <c r="Y25" s="1" t="s">
        <v>1160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1161</v>
      </c>
      <c r="AT25" s="1" t="s">
        <v>1054</v>
      </c>
      <c r="AU25" s="1" t="s">
        <v>327</v>
      </c>
      <c r="AV25" s="1" t="s">
        <v>869</v>
      </c>
      <c r="AW25" s="1" t="s">
        <v>1162</v>
      </c>
      <c r="AX25" s="1" t="s">
        <v>153</v>
      </c>
      <c r="AY25" s="1" t="s">
        <v>1163</v>
      </c>
      <c r="AZ25" s="1" t="s">
        <v>1164</v>
      </c>
      <c r="BA25" s="1" t="s">
        <v>1165</v>
      </c>
      <c r="BB25" s="1" t="s">
        <v>994</v>
      </c>
      <c r="BC25" s="1" t="s">
        <v>1166</v>
      </c>
      <c r="BD25" s="1" t="s">
        <v>1167</v>
      </c>
      <c r="BE25" s="1">
        <v>113.3</v>
      </c>
      <c r="BF25" s="1">
        <v>119.4</v>
      </c>
      <c r="BG25" s="1">
        <v>-6</v>
      </c>
      <c r="BH25" s="1" t="s">
        <v>1157</v>
      </c>
      <c r="BI25" s="1" t="s">
        <v>1168</v>
      </c>
      <c r="BJ25" s="1" t="s">
        <v>1121</v>
      </c>
      <c r="BK25" s="1" t="s">
        <v>410</v>
      </c>
      <c r="BL25" s="1" t="s">
        <v>995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1169</v>
      </c>
      <c r="BR25" s="1" t="s">
        <v>926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1170</v>
      </c>
      <c r="CC25" s="1" t="s">
        <v>949</v>
      </c>
    </row>
    <row r="26" spans="1:81" x14ac:dyDescent="0.25">
      <c r="A26" s="1" t="s">
        <v>145</v>
      </c>
      <c r="B26" s="1" t="s">
        <v>762</v>
      </c>
      <c r="C26" s="1">
        <v>1610612740</v>
      </c>
      <c r="D26" s="1" t="s">
        <v>352</v>
      </c>
      <c r="E26" s="1" t="s">
        <v>353</v>
      </c>
      <c r="F26" s="1" t="s">
        <v>149</v>
      </c>
      <c r="G26" s="1" t="s">
        <v>1093</v>
      </c>
      <c r="H26" s="1">
        <v>13</v>
      </c>
      <c r="I26" s="1" t="s">
        <v>1050</v>
      </c>
      <c r="J26" s="1" t="s">
        <v>231</v>
      </c>
      <c r="K26" s="1" t="s">
        <v>858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1142</v>
      </c>
      <c r="R26" s="1" t="s">
        <v>931</v>
      </c>
      <c r="S26" s="1" t="s">
        <v>1052</v>
      </c>
      <c r="T26" s="1" t="s">
        <v>341</v>
      </c>
      <c r="U26" s="1" t="s">
        <v>376</v>
      </c>
      <c r="V26" s="1" t="s">
        <v>265</v>
      </c>
      <c r="W26" s="1" t="s">
        <v>190</v>
      </c>
      <c r="X26" s="1" t="s">
        <v>310</v>
      </c>
      <c r="Y26" s="1" t="s">
        <v>1171</v>
      </c>
      <c r="Z26" s="1">
        <v>-8</v>
      </c>
      <c r="AA26" s="1" t="s">
        <v>1111</v>
      </c>
      <c r="AB26" s="1">
        <v>-6</v>
      </c>
      <c r="AC26" s="1" t="s">
        <v>367</v>
      </c>
      <c r="AD26" s="1">
        <v>4</v>
      </c>
      <c r="AE26" s="1">
        <v>6</v>
      </c>
      <c r="AF26" s="1">
        <v>-3</v>
      </c>
      <c r="AG26" s="1" t="s">
        <v>301</v>
      </c>
      <c r="AH26" s="1">
        <v>1</v>
      </c>
      <c r="AI26" s="1" t="s">
        <v>246</v>
      </c>
      <c r="AJ26" s="1">
        <v>-1</v>
      </c>
      <c r="AK26" s="1" t="s">
        <v>207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1172</v>
      </c>
      <c r="AT26" s="1" t="s">
        <v>1173</v>
      </c>
      <c r="AU26" s="1" t="s">
        <v>190</v>
      </c>
      <c r="AV26" s="1" t="s">
        <v>1174</v>
      </c>
      <c r="AW26" s="1" t="s">
        <v>1175</v>
      </c>
      <c r="AX26" s="1" t="s">
        <v>186</v>
      </c>
      <c r="AY26" s="1" t="s">
        <v>1176</v>
      </c>
      <c r="AZ26" s="1" t="s">
        <v>1177</v>
      </c>
      <c r="BA26" s="1" t="s">
        <v>1178</v>
      </c>
      <c r="BB26" s="1" t="s">
        <v>1179</v>
      </c>
      <c r="BC26" s="1" t="s">
        <v>1180</v>
      </c>
      <c r="BD26" s="1" t="s">
        <v>1181</v>
      </c>
      <c r="BE26" s="1">
        <v>115.4</v>
      </c>
      <c r="BF26" s="1">
        <v>116.8</v>
      </c>
      <c r="BG26" s="1">
        <v>-1.3</v>
      </c>
      <c r="BH26" s="1" t="s">
        <v>1061</v>
      </c>
      <c r="BI26" s="1" t="s">
        <v>398</v>
      </c>
      <c r="BJ26" s="1" t="s">
        <v>276</v>
      </c>
      <c r="BK26" s="1" t="s">
        <v>393</v>
      </c>
      <c r="BL26" s="1" t="s">
        <v>1093</v>
      </c>
      <c r="BM26" s="1" t="s">
        <v>1046</v>
      </c>
      <c r="BN26" s="1" t="s">
        <v>910</v>
      </c>
      <c r="BO26" s="1" t="s">
        <v>870</v>
      </c>
      <c r="BP26" s="1" t="s">
        <v>299</v>
      </c>
      <c r="BQ26" s="1" t="s">
        <v>388</v>
      </c>
      <c r="BR26" s="1" t="s">
        <v>349</v>
      </c>
      <c r="BS26" s="1" t="s">
        <v>282</v>
      </c>
      <c r="BT26" s="1"/>
      <c r="BU26" s="1"/>
      <c r="BV26" s="1"/>
      <c r="BW26" s="1"/>
      <c r="BX26" s="1"/>
      <c r="BY26" s="1" t="s">
        <v>249</v>
      </c>
      <c r="BZ26" s="1" t="s">
        <v>962</v>
      </c>
      <c r="CA26" s="1" t="s">
        <v>337</v>
      </c>
      <c r="CB26" s="1" t="s">
        <v>1182</v>
      </c>
      <c r="CC26" s="1" t="s">
        <v>1183</v>
      </c>
    </row>
    <row r="27" spans="1:81" x14ac:dyDescent="0.25">
      <c r="A27" s="1" t="s">
        <v>145</v>
      </c>
      <c r="B27" s="1" t="s">
        <v>762</v>
      </c>
      <c r="C27" s="1">
        <v>1610612741</v>
      </c>
      <c r="D27" s="1" t="s">
        <v>346</v>
      </c>
      <c r="E27" s="1" t="s">
        <v>347</v>
      </c>
      <c r="F27" s="1" t="s">
        <v>179</v>
      </c>
      <c r="G27" s="1" t="s">
        <v>1157</v>
      </c>
      <c r="H27" s="1">
        <v>13</v>
      </c>
      <c r="I27" s="1" t="s">
        <v>1050</v>
      </c>
      <c r="J27" s="1" t="s">
        <v>181</v>
      </c>
      <c r="K27" s="1" t="s">
        <v>1184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1185</v>
      </c>
      <c r="R27" s="1" t="s">
        <v>1054</v>
      </c>
      <c r="S27" s="1" t="s">
        <v>1186</v>
      </c>
      <c r="T27" s="1" t="s">
        <v>320</v>
      </c>
      <c r="U27" s="1" t="s">
        <v>320</v>
      </c>
      <c r="V27" s="1" t="s">
        <v>341</v>
      </c>
      <c r="W27" s="1" t="s">
        <v>208</v>
      </c>
      <c r="X27" s="1" t="s">
        <v>858</v>
      </c>
      <c r="Y27" s="1" t="s">
        <v>1187</v>
      </c>
      <c r="Z27" s="1">
        <v>-11</v>
      </c>
      <c r="AA27" s="1" t="s">
        <v>1188</v>
      </c>
      <c r="AB27" s="1">
        <v>-9</v>
      </c>
      <c r="AC27" s="1" t="s">
        <v>1130</v>
      </c>
      <c r="AD27" s="1">
        <v>3</v>
      </c>
      <c r="AE27" s="1">
        <v>10</v>
      </c>
      <c r="AF27" s="1">
        <v>-5</v>
      </c>
      <c r="AG27" s="1" t="s">
        <v>272</v>
      </c>
      <c r="AH27" s="1">
        <v>-1</v>
      </c>
      <c r="AI27" s="1" t="s">
        <v>207</v>
      </c>
      <c r="AJ27" s="1">
        <v>-3</v>
      </c>
      <c r="AK27" s="1" t="s">
        <v>301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1189</v>
      </c>
      <c r="AT27" s="1" t="s">
        <v>1190</v>
      </c>
      <c r="AU27" s="1" t="s">
        <v>158</v>
      </c>
      <c r="AV27" s="1" t="s">
        <v>1191</v>
      </c>
      <c r="AW27" s="1" t="s">
        <v>1192</v>
      </c>
      <c r="AX27" s="1" t="s">
        <v>164</v>
      </c>
      <c r="AY27" s="1" t="s">
        <v>1193</v>
      </c>
      <c r="AZ27" s="1" t="s">
        <v>1194</v>
      </c>
      <c r="BA27" s="1" t="s">
        <v>1195</v>
      </c>
      <c r="BB27" s="1" t="s">
        <v>1196</v>
      </c>
      <c r="BC27" s="1" t="s">
        <v>874</v>
      </c>
      <c r="BD27" s="1" t="s">
        <v>1197</v>
      </c>
      <c r="BE27" s="1">
        <v>104.9</v>
      </c>
      <c r="BF27" s="1">
        <v>113.4</v>
      </c>
      <c r="BG27" s="1">
        <v>-8.4</v>
      </c>
      <c r="BH27" s="1" t="s">
        <v>1157</v>
      </c>
      <c r="BI27" s="1" t="s">
        <v>1168</v>
      </c>
      <c r="BJ27" s="1" t="s">
        <v>402</v>
      </c>
      <c r="BK27" s="1" t="s">
        <v>944</v>
      </c>
      <c r="BL27" s="1" t="s">
        <v>1198</v>
      </c>
      <c r="BM27" s="1" t="s">
        <v>1091</v>
      </c>
      <c r="BN27" s="1" t="s">
        <v>393</v>
      </c>
      <c r="BO27" s="1" t="s">
        <v>398</v>
      </c>
      <c r="BP27" s="1" t="s">
        <v>1199</v>
      </c>
      <c r="BQ27" s="1" t="s">
        <v>276</v>
      </c>
      <c r="BR27" s="1" t="s">
        <v>397</v>
      </c>
      <c r="BS27" s="1" t="s">
        <v>344</v>
      </c>
      <c r="BT27" s="1"/>
      <c r="BU27" s="1"/>
      <c r="BV27" s="1"/>
      <c r="BW27" s="1"/>
      <c r="BX27" s="1"/>
      <c r="BY27" s="1" t="s">
        <v>1200</v>
      </c>
      <c r="BZ27" s="1" t="s">
        <v>1201</v>
      </c>
      <c r="CA27" s="1" t="s">
        <v>363</v>
      </c>
      <c r="CB27" s="1" t="s">
        <v>1202</v>
      </c>
      <c r="CC27" s="1" t="s">
        <v>1125</v>
      </c>
    </row>
    <row r="28" spans="1:81" x14ac:dyDescent="0.25">
      <c r="A28" s="1" t="s">
        <v>145</v>
      </c>
      <c r="B28" s="1" t="s">
        <v>762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1203</v>
      </c>
      <c r="H28" s="1">
        <v>14</v>
      </c>
      <c r="I28" s="1" t="s">
        <v>1050</v>
      </c>
      <c r="J28" s="1" t="s">
        <v>181</v>
      </c>
      <c r="K28" s="1" t="s">
        <v>1064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1204</v>
      </c>
      <c r="R28" s="1" t="s">
        <v>1186</v>
      </c>
      <c r="S28" s="1" t="s">
        <v>1205</v>
      </c>
      <c r="T28" s="1" t="s">
        <v>404</v>
      </c>
      <c r="U28" s="1" t="s">
        <v>310</v>
      </c>
      <c r="V28" s="1" t="s">
        <v>404</v>
      </c>
      <c r="W28" s="1" t="s">
        <v>185</v>
      </c>
      <c r="X28" s="1" t="s">
        <v>273</v>
      </c>
      <c r="Y28" s="1" t="s">
        <v>1206</v>
      </c>
      <c r="Z28" s="1">
        <v>-9</v>
      </c>
      <c r="AA28" s="1" t="s">
        <v>1130</v>
      </c>
      <c r="AB28" s="1">
        <v>-11</v>
      </c>
      <c r="AC28" s="1" t="s">
        <v>1188</v>
      </c>
      <c r="AD28" s="1">
        <v>2</v>
      </c>
      <c r="AE28" s="1">
        <v>12</v>
      </c>
      <c r="AF28" s="1">
        <v>-4</v>
      </c>
      <c r="AG28" s="1" t="s">
        <v>263</v>
      </c>
      <c r="AH28" s="1">
        <v>-11</v>
      </c>
      <c r="AI28" s="1" t="s">
        <v>1188</v>
      </c>
      <c r="AJ28" s="1">
        <v>-10</v>
      </c>
      <c r="AK28" s="1" t="s">
        <v>933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855</v>
      </c>
      <c r="AT28" s="1" t="s">
        <v>1207</v>
      </c>
      <c r="AU28" s="1" t="s">
        <v>304</v>
      </c>
      <c r="AV28" s="1" t="s">
        <v>1208</v>
      </c>
      <c r="AW28" s="1" t="s">
        <v>1209</v>
      </c>
      <c r="AX28" s="1" t="s">
        <v>208</v>
      </c>
      <c r="AY28" s="1" t="s">
        <v>1137</v>
      </c>
      <c r="AZ28" s="1" t="s">
        <v>1210</v>
      </c>
      <c r="BA28" s="1" t="s">
        <v>1211</v>
      </c>
      <c r="BB28" s="1" t="s">
        <v>1212</v>
      </c>
      <c r="BC28" s="1" t="s">
        <v>1095</v>
      </c>
      <c r="BD28" s="1" t="s">
        <v>1213</v>
      </c>
      <c r="BE28" s="1">
        <v>104.5</v>
      </c>
      <c r="BF28" s="1">
        <v>114.1</v>
      </c>
      <c r="BG28" s="1">
        <v>-9.6</v>
      </c>
      <c r="BH28" s="1" t="s">
        <v>1203</v>
      </c>
      <c r="BI28" s="1" t="s">
        <v>1121</v>
      </c>
      <c r="BJ28" s="1" t="s">
        <v>1076</v>
      </c>
      <c r="BK28" s="1" t="s">
        <v>1214</v>
      </c>
      <c r="BL28" s="1" t="s">
        <v>1215</v>
      </c>
      <c r="BM28" s="1" t="s">
        <v>1216</v>
      </c>
      <c r="BN28" s="1" t="s">
        <v>393</v>
      </c>
      <c r="BO28" s="1" t="s">
        <v>393</v>
      </c>
      <c r="BP28" s="1" t="s">
        <v>1201</v>
      </c>
      <c r="BQ28" s="1" t="s">
        <v>323</v>
      </c>
      <c r="BR28" s="1" t="s">
        <v>397</v>
      </c>
      <c r="BS28" s="1" t="s">
        <v>334</v>
      </c>
      <c r="BT28" s="1"/>
      <c r="BU28" s="1"/>
      <c r="BV28" s="1"/>
      <c r="BW28" s="1"/>
      <c r="BX28" s="1"/>
      <c r="BY28" s="1" t="s">
        <v>1123</v>
      </c>
      <c r="BZ28" s="1" t="s">
        <v>407</v>
      </c>
      <c r="CA28" s="1" t="s">
        <v>1076</v>
      </c>
      <c r="CB28" s="1" t="s">
        <v>1217</v>
      </c>
      <c r="CC28" s="1" t="s">
        <v>1218</v>
      </c>
    </row>
    <row r="29" spans="1:81" x14ac:dyDescent="0.25">
      <c r="A29" s="1" t="s">
        <v>145</v>
      </c>
      <c r="B29" s="1" t="s">
        <v>762</v>
      </c>
      <c r="C29" s="1">
        <v>1610612742</v>
      </c>
      <c r="D29" s="1" t="s">
        <v>277</v>
      </c>
      <c r="E29" s="1" t="s">
        <v>278</v>
      </c>
      <c r="F29" s="1" t="s">
        <v>149</v>
      </c>
      <c r="G29" s="1" t="s">
        <v>1219</v>
      </c>
      <c r="H29" s="1">
        <v>14</v>
      </c>
      <c r="I29" s="1" t="s">
        <v>1050</v>
      </c>
      <c r="J29" s="1" t="s">
        <v>231</v>
      </c>
      <c r="K29" s="1" t="s">
        <v>1064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1142</v>
      </c>
      <c r="R29" s="1" t="s">
        <v>1065</v>
      </c>
      <c r="S29" s="1" t="s">
        <v>1054</v>
      </c>
      <c r="T29" s="1" t="s">
        <v>265</v>
      </c>
      <c r="U29" s="1" t="s">
        <v>341</v>
      </c>
      <c r="V29" s="1" t="s">
        <v>341</v>
      </c>
      <c r="W29" s="1" t="s">
        <v>339</v>
      </c>
      <c r="X29" s="1" t="s">
        <v>314</v>
      </c>
      <c r="Y29" s="1" t="s">
        <v>1220</v>
      </c>
      <c r="Z29" s="1">
        <v>11</v>
      </c>
      <c r="AA29" s="1" t="s">
        <v>770</v>
      </c>
      <c r="AB29" s="1">
        <v>-9</v>
      </c>
      <c r="AC29" s="1" t="s">
        <v>1130</v>
      </c>
      <c r="AD29" s="1">
        <v>4</v>
      </c>
      <c r="AE29" s="1">
        <v>7</v>
      </c>
      <c r="AF29" s="1">
        <v>1</v>
      </c>
      <c r="AG29" s="1" t="s">
        <v>246</v>
      </c>
      <c r="AH29" s="1">
        <v>-1</v>
      </c>
      <c r="AI29" s="1" t="s">
        <v>207</v>
      </c>
      <c r="AJ29" s="1">
        <v>-1</v>
      </c>
      <c r="AK29" s="1" t="s">
        <v>207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1221</v>
      </c>
      <c r="AT29" s="1" t="s">
        <v>1084</v>
      </c>
      <c r="AU29" s="1" t="s">
        <v>260</v>
      </c>
      <c r="AV29" s="1" t="s">
        <v>1058</v>
      </c>
      <c r="AW29" s="1" t="s">
        <v>1222</v>
      </c>
      <c r="AX29" s="1" t="s">
        <v>186</v>
      </c>
      <c r="AY29" s="1" t="s">
        <v>1223</v>
      </c>
      <c r="AZ29" s="1" t="s">
        <v>1224</v>
      </c>
      <c r="BA29" s="1" t="s">
        <v>1225</v>
      </c>
      <c r="BB29" s="1" t="s">
        <v>1226</v>
      </c>
      <c r="BC29" s="1" t="s">
        <v>1139</v>
      </c>
      <c r="BD29" s="1" t="s">
        <v>1227</v>
      </c>
      <c r="BE29" s="1">
        <v>108.9</v>
      </c>
      <c r="BF29" s="1">
        <v>110.1</v>
      </c>
      <c r="BG29" s="1">
        <v>-1.3</v>
      </c>
      <c r="BH29" s="1" t="s">
        <v>946</v>
      </c>
      <c r="BI29" s="1" t="s">
        <v>323</v>
      </c>
      <c r="BJ29" s="1" t="s">
        <v>266</v>
      </c>
      <c r="BK29" s="1" t="s">
        <v>276</v>
      </c>
      <c r="BL29" s="1" t="s">
        <v>1219</v>
      </c>
      <c r="BM29" s="1" t="s">
        <v>910</v>
      </c>
      <c r="BN29" s="1" t="s">
        <v>1121</v>
      </c>
      <c r="BO29" s="1" t="s">
        <v>1076</v>
      </c>
      <c r="BP29" s="1" t="s">
        <v>337</v>
      </c>
      <c r="BQ29" s="1" t="s">
        <v>323</v>
      </c>
      <c r="BR29" s="1" t="s">
        <v>1201</v>
      </c>
      <c r="BS29" s="1" t="s">
        <v>239</v>
      </c>
      <c r="BT29" s="1"/>
      <c r="BU29" s="1"/>
      <c r="BV29" s="1"/>
      <c r="BW29" s="1"/>
      <c r="BX29" s="1"/>
      <c r="BY29" s="1" t="s">
        <v>1200</v>
      </c>
      <c r="BZ29" s="1" t="s">
        <v>853</v>
      </c>
      <c r="CA29" s="1" t="s">
        <v>962</v>
      </c>
      <c r="CB29" s="1" t="s">
        <v>1228</v>
      </c>
      <c r="CC29" s="1" t="s">
        <v>1229</v>
      </c>
    </row>
    <row r="30" spans="1:81" x14ac:dyDescent="0.25">
      <c r="A30" s="1" t="s">
        <v>145</v>
      </c>
      <c r="B30" s="1" t="s">
        <v>762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1230</v>
      </c>
      <c r="H30" s="1">
        <v>15</v>
      </c>
      <c r="I30" s="1" t="s">
        <v>1050</v>
      </c>
      <c r="J30" s="1" t="s">
        <v>203</v>
      </c>
      <c r="K30" s="1" t="s">
        <v>1231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1232</v>
      </c>
      <c r="R30" s="1" t="s">
        <v>1054</v>
      </c>
      <c r="S30" s="1" t="s">
        <v>1233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1234</v>
      </c>
      <c r="Z30" s="1">
        <v>-18</v>
      </c>
      <c r="AA30" s="1" t="s">
        <v>1235</v>
      </c>
      <c r="AB30" s="1">
        <v>-9</v>
      </c>
      <c r="AC30" s="1" t="s">
        <v>1130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1236</v>
      </c>
      <c r="AT30" s="1" t="s">
        <v>1237</v>
      </c>
      <c r="AU30" s="1" t="s">
        <v>327</v>
      </c>
      <c r="AV30" s="1" t="s">
        <v>861</v>
      </c>
      <c r="AW30" s="1" t="s">
        <v>1238</v>
      </c>
      <c r="AX30" s="1" t="s">
        <v>327</v>
      </c>
      <c r="AY30" s="1" t="s">
        <v>1239</v>
      </c>
      <c r="AZ30" s="1" t="s">
        <v>1240</v>
      </c>
      <c r="BA30" s="1" t="s">
        <v>1241</v>
      </c>
      <c r="BB30" s="1" t="s">
        <v>1242</v>
      </c>
      <c r="BC30" s="1" t="s">
        <v>1243</v>
      </c>
      <c r="BD30" s="1" t="s">
        <v>1244</v>
      </c>
      <c r="BE30" s="1">
        <v>104.6</v>
      </c>
      <c r="BF30" s="1">
        <v>113.8</v>
      </c>
      <c r="BG30" s="1">
        <v>-9.1999999999999993</v>
      </c>
      <c r="BH30" s="1" t="s">
        <v>1230</v>
      </c>
      <c r="BI30" s="1" t="s">
        <v>1154</v>
      </c>
      <c r="BJ30" s="1" t="s">
        <v>1245</v>
      </c>
      <c r="BK30" s="1" t="s">
        <v>1121</v>
      </c>
      <c r="BL30" s="1" t="s">
        <v>1198</v>
      </c>
      <c r="BM30" s="1" t="s">
        <v>1216</v>
      </c>
      <c r="BN30" s="1" t="s">
        <v>393</v>
      </c>
      <c r="BO30" s="1" t="s">
        <v>323</v>
      </c>
      <c r="BP30" s="1" t="s">
        <v>1246</v>
      </c>
      <c r="BQ30" s="1" t="s">
        <v>1106</v>
      </c>
      <c r="BR30" s="1" t="s">
        <v>1247</v>
      </c>
      <c r="BS30" s="1" t="s">
        <v>239</v>
      </c>
      <c r="BT30" s="1"/>
      <c r="BU30" s="1"/>
      <c r="BV30" s="1"/>
      <c r="BW30" s="1"/>
      <c r="BX30" s="1"/>
      <c r="BY30" s="1" t="s">
        <v>1200</v>
      </c>
      <c r="BZ30" s="1" t="s">
        <v>349</v>
      </c>
      <c r="CA30" s="1" t="s">
        <v>1248</v>
      </c>
      <c r="CB30" s="1" t="s">
        <v>1249</v>
      </c>
      <c r="CC30" s="1" t="s">
        <v>1250</v>
      </c>
    </row>
    <row r="31" spans="1:81" x14ac:dyDescent="0.25">
      <c r="A31" s="1" t="s">
        <v>145</v>
      </c>
      <c r="B31" s="1" t="s">
        <v>762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1230</v>
      </c>
      <c r="H31" s="1">
        <v>15</v>
      </c>
      <c r="I31" s="1" t="s">
        <v>1050</v>
      </c>
      <c r="J31" s="1" t="s">
        <v>152</v>
      </c>
      <c r="K31" s="1" t="s">
        <v>1184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1204</v>
      </c>
      <c r="R31" s="1" t="s">
        <v>1143</v>
      </c>
      <c r="S31" s="1" t="s">
        <v>1251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1222</v>
      </c>
      <c r="Z31" s="1">
        <v>-6</v>
      </c>
      <c r="AA31" s="1" t="s">
        <v>367</v>
      </c>
      <c r="AB31" s="1">
        <v>-13</v>
      </c>
      <c r="AC31" s="1" t="s">
        <v>1252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1253</v>
      </c>
      <c r="AT31" s="1" t="s">
        <v>1254</v>
      </c>
      <c r="AU31" s="1" t="s">
        <v>327</v>
      </c>
      <c r="AV31" s="1" t="s">
        <v>1255</v>
      </c>
      <c r="AW31" s="1" t="s">
        <v>1256</v>
      </c>
      <c r="AX31" s="1" t="s">
        <v>157</v>
      </c>
      <c r="AY31" s="1" t="s">
        <v>1257</v>
      </c>
      <c r="AZ31" s="1" t="s">
        <v>1258</v>
      </c>
      <c r="BA31" s="1" t="s">
        <v>1259</v>
      </c>
      <c r="BB31" s="1" t="s">
        <v>1260</v>
      </c>
      <c r="BC31" s="1" t="s">
        <v>1261</v>
      </c>
      <c r="BD31" s="1" t="s">
        <v>1262</v>
      </c>
      <c r="BE31" s="1">
        <v>107.5</v>
      </c>
      <c r="BF31" s="1">
        <v>116.8</v>
      </c>
      <c r="BG31" s="1">
        <v>-9.3000000000000007</v>
      </c>
      <c r="BH31" s="1" t="s">
        <v>1263</v>
      </c>
      <c r="BI31" s="1" t="s">
        <v>398</v>
      </c>
      <c r="BJ31" s="1" t="s">
        <v>398</v>
      </c>
      <c r="BK31" s="1" t="s">
        <v>393</v>
      </c>
      <c r="BL31" s="1" t="s">
        <v>1230</v>
      </c>
      <c r="BM31" s="1" t="s">
        <v>1264</v>
      </c>
      <c r="BN31" s="1" t="s">
        <v>402</v>
      </c>
      <c r="BO31" s="1" t="s">
        <v>1121</v>
      </c>
      <c r="BP31" s="1" t="s">
        <v>1199</v>
      </c>
      <c r="BQ31" s="1" t="s">
        <v>1265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1123</v>
      </c>
      <c r="BZ31" s="1" t="s">
        <v>1201</v>
      </c>
      <c r="CA31" s="1" t="s">
        <v>386</v>
      </c>
      <c r="CB31" s="1" t="s">
        <v>1266</v>
      </c>
      <c r="CC31" s="1" t="s">
        <v>1267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1268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1269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1270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1271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1272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1273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1274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1275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1276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1277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1278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1279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1280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1281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1278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1282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1281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1283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1281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1284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1277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1276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1270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1285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1281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1286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1287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1271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1288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1289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1290</v>
      </c>
      <c r="T4" s="1">
        <v>23.7</v>
      </c>
      <c r="U4" s="1" t="s">
        <v>1273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1291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1292</v>
      </c>
      <c r="T5" s="1">
        <v>26</v>
      </c>
      <c r="U5" s="1" t="s">
        <v>1273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1293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1294</v>
      </c>
      <c r="T7" s="1">
        <v>25.7</v>
      </c>
      <c r="U7" s="1" t="s">
        <v>1295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1296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1297</v>
      </c>
      <c r="T8" s="1">
        <v>24.5</v>
      </c>
      <c r="U8" s="1" t="s">
        <v>1298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1299</v>
      </c>
      <c r="T9" s="1">
        <v>24.6</v>
      </c>
      <c r="U9" s="1" t="s">
        <v>1273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1271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1300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1273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1301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1302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1303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1304</v>
      </c>
      <c r="T14" s="1">
        <v>24.1</v>
      </c>
      <c r="U14" s="1" t="s">
        <v>1284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1305</v>
      </c>
      <c r="T15" s="1">
        <v>25</v>
      </c>
      <c r="U15" s="1" t="s">
        <v>1275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1306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1271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1300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1276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1307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1292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1308</v>
      </c>
      <c r="T21" s="1">
        <v>25.6</v>
      </c>
      <c r="U21" s="1" t="s">
        <v>1284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1309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1304</v>
      </c>
      <c r="T22" s="1">
        <v>24.9</v>
      </c>
      <c r="U22" s="1" t="s">
        <v>1310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1298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1311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1312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1313</v>
      </c>
      <c r="T26" s="1">
        <v>23.2</v>
      </c>
      <c r="U26" s="1" t="s">
        <v>1314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1315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1316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1317</v>
      </c>
      <c r="T28" s="1">
        <v>24.7</v>
      </c>
      <c r="U28" s="1" t="s">
        <v>1269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1297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1318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1319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1320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1321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1268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1270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1321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1300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1300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1270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1270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1291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1291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1321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1291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1322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1321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1278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1278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1268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1268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1270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1279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2019-11-22T13:30:57Z</dcterms:modified>
</cp:coreProperties>
</file>