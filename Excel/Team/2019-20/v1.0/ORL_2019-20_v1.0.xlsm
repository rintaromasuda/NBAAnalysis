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745981F3-FC19-44AA-BAB0-0BE0DB531DAE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<sst xmlns="http://schemas.openxmlformats.org/spreadsheetml/2006/main" count="5930" uniqueCount="1413">
  <si>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</si>
  <si>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</si>
  <si>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</si>
  <si>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</si>
  <si>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</si>
  <si>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</si>
  <si>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</si>
  <si>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</si>
  <si>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</si>
  <si>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</si>
  <si>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</si>
  <si>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</si>
  <si>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</si>
  <si>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</si>
  <si>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</si>
  <si>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</si>
  <si>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</si>
  <si>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</si>
  <si>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</si>
  <si>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</si>
  <si>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</si>
  <si>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</si>
  <si>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</si>
  <si>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</si>
  <si>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</si>
  <si>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</si>
  <si>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</si>
  <si>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</si>
  <si>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</si>
  <si>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</si>
  <si>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</si>
  <si>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</si>
  <si>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</si>
  <si>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</si>
  <si>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</si>
  <si>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</si>
  <si>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</si>
  <si>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</si>
  <si>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</si>
  <si>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</si>
  <si>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</si>
  <si>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</si>
  <si>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</si>
  <si>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</si>
  <si>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</si>
  <si>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</si>
  <si>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</si>
  <si>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</si>
  <si>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</si>
  <si>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</si>
  <si>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</si>
  <si>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</si>
  <si>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</si>
  <si>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</si>
  <si>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</si>
  <si>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</si>
  <si>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</si>
  <si>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</si>
  <si>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</si>
  <si>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</si>
  <si>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</si>
  <si>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</si>
  <si>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</si>
  <si>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</si>
  <si>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</si>
  <si>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</si>
  <si>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</si>
  <si>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</si>
  <si>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</si>
  <si>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</si>
  <si>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</si>
  <si>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</si>
  <si>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</si>
  <si>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</si>
  <si>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</si>
  <si>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</si>
  <si>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</si>
  <si>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</si>
  <si>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</si>
  <si>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</si>
  <si>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</si>
  <si>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</si>
  <si>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</si>
  <si>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</si>
  <si>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</si>
  <si>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</si>
  <si>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</si>
  <si>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</si>
  <si>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</si>
  <si>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</si>
  <si>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</si>
  <si>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</si>
  <si>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</si>
  <si>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</si>
  <si>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</si>
  <si>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</si>
  <si>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</si>
  <si>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</si>
  <si>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</si>
  <si>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</si>
  <si>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</si>
  <si>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</si>
  <si>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</si>
  <si>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</si>
  <si>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</si>
  <si>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</si>
  <si>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</si>
  <si>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</si>
  <si>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</si>
  <si>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</si>
  <si>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</si>
  <si>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</si>
  <si>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</si>
  <si>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</si>
  <si>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</si>
  <si>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</si>
  <si>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</si>
  <si>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</si>
  <si>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</si>
  <si>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</si>
  <si>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</si>
  <si>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</si>
  <si>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</si>
  <si>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</si>
  <si>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</si>
  <si>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</si>
  <si>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</si>
  <si>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</si>
  <si>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</si>
  <si>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</si>
  <si>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</si>
  <si>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</si>
  <si>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</si>
  <si>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</si>
  <si>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</si>
  <si>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</si>
  <si>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</si>
  <si>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</si>
  <si>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</si>
  <si>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</si>
  <si>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</si>
  <si>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</si>
  <si>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</si>
  <si>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</si>
  <si>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</si>
  <si>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</si>
  <si>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</si>
  <si>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</si>
  <si>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</si>
  <si>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</si>
  <si>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</si>
  <si>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</si>
  <si>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</si>
  <si>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</si>
  <si>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</si>
  <si>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</si>
  <si>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</si>
  <si>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</si>
  <si>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</si>
  <si>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</si>
  <si>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</si>
  <si>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</si>
  <si>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</si>
  <si>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</si>
  <si>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</si>
  <si>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</si>
  <si>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</si>
  <si>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</si>
  <si>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</si>
  <si>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</si>
  <si>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</si>
  <si>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</si>
  <si>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</si>
  <si>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</si>
  <si>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</si>
  <si>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</si>
  <si>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</si>
  <si>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</si>
  <si>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</si>
  <si>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</si>
  <si>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</si>
  <si>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</si>
  <si>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</si>
  <si>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</si>
  <si>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</si>
  <si>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</si>
  <si>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</si>
  <si>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</si>
  <si>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</si>
  <si>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</si>
  <si>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</si>
  <si>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</si>
  <si>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</si>
  <si>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</si>
  <si>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</si>
  <si>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</si>
  <si>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</si>
  <si>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</si>
  <si>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</si>
  <si>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</si>
  <si>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</si>
  <si>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</si>
  <si>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</si>
  <si>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</si>
  <si>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</si>
  <si>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</si>
  <si>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</si>
  <si>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</si>
  <si>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</si>
  <si>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</si>
  <si>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</si>
  <si>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</si>
  <si>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</si>
  <si>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</si>
  <si>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</si>
  <si>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</si>
  <si>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</si>
  <si>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</si>
  <si>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</si>
  <si>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</si>
  <si>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</si>
  <si>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</si>
  <si>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</si>
  <si>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</si>
  <si>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</si>
  <si>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</si>
  <si>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</si>
  <si>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</si>
  <si>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</si>
  <si>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</si>
  <si>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</si>
  <si>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</si>
  <si>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</si>
  <si>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</si>
  <si>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</si>
  <si>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</si>
  <si>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</si>
  <si>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</si>
  <si>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</si>
  <si>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</si>
  <si>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</si>
  <si>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</si>
  <si>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</si>
  <si>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</si>
  <si>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</si>
  <si>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</si>
  <si>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</si>
  <si>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</si>
  <si>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</si>
  <si>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</si>
  <si>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</si>
  <si>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</si>
  <si>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</si>
  <si>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</si>
  <si>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</si>
  <si>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</si>
  <si>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</si>
  <si>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</si>
  <si>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</si>
  <si>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</si>
  <si>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</si>
  <si>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</si>
  <si>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</si>
  <si>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</si>
  <si>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</si>
  <si>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</si>
  <si>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</si>
  <si>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</si>
  <si>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</si>
  <si>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</si>
  <si>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</si>
  <si>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</si>
  <si>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</si>
  <si>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</si>
  <si>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</si>
  <si>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</si>
  <si>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</si>
  <si>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</si>
  <si>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</si>
  <si>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</si>
  <si>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</si>
  <si>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</si>
  <si>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</si>
  <si>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</si>
  <si>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</si>
  <si>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</si>
  <si>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</si>
  <si>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</si>
  <si>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</si>
  <si>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</si>
  <si>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</si>
  <si>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</si>
  <si>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</si>
  <si>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</si>
  <si>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</si>
  <si>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</si>
  <si>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</si>
  <si>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</si>
  <si>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</si>
  <si>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</si>
  <si>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</si>
  <si>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</si>
  <si>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</si>
  <si>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</si>
  <si>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</si>
  <si>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</si>
  <si>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</si>
  <si>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</si>
  <si>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</si>
  <si>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</si>
  <si>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</si>
  <si>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</si>
  <si>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</si>
  <si>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</si>
  <si>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</si>
  <si>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</si>
  <si>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</si>
  <si>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</si>
  <si>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</si>
  <si>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</si>
  <si>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</si>
  <si>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</si>
  <si>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</si>
  <si>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</si>
  <si>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</si>
  <si>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</si>
  <si>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</si>
  <si>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</si>
  <si>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</si>
  <si>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</si>
  <si>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</si>
  <si>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</si>
  <si>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</si>
  <si>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</si>
  <si>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</si>
  <si>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</si>
  <si>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</si>
  <si>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</si>
  <si>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</si>
  <si>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</si>
  <si>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</si>
  <si>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</si>
  <si>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</si>
  <si>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</si>
  <si>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</si>
  <si>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</si>
  <si>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</si>
  <si>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</si>
  <si>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</si>
  <si>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</si>
  <si>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</si>
  <si>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</si>
  <si>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</si>
  <si>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</si>
  <si>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</si>
  <si>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</si>
  <si>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</si>
  <si>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</si>
  <si>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</si>
  <si>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</si>
  <si>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</si>
  <si>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</si>
  <si>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</si>
  <si>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</si>
  <si>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</si>
  <si>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</si>
  <si>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</si>
  <si>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</si>
  <si>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</si>
  <si>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</si>
  <si>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</si>
  <si>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</si>
  <si>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</si>
  <si>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</si>
  <si>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</si>
  <si>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</si>
  <si>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</si>
  <si>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</si>
  <si>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</si>
  <si>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</si>
  <si>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</si>
  <si>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</si>
  <si>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</si>
  <si>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</si>
  <si>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</si>
  <si>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</si>
  <si>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</si>
  <si>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</si>
  <si>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</si>
  <si>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</si>
  <si>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</si>
  <si>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</si>
  <si>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</si>
  <si>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</si>
  <si>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</si>
  <si>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</si>
  <si>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</si>
  <si>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</si>
  <si>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</si>
  <si>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</si>
  <si>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</si>
  <si>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</si>
  <si>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</si>
  <si>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</si>
  <si>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</si>
  <si>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</si>
  <si>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</si>
  <si>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</si>
  <si>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</si>
  <si>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</si>
  <si>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</si>
  <si>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</si>
  <si>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</si>
  <si>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</si>
  <si>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</si>
  <si>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</si>
  <si>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</si>
  <si>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</si>
  <si>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</si>
  <si>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</si>
  <si>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</si>
  <si>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</si>
  <si>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</si>
  <si>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</si>
  <si>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</si>
  <si>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</si>
  <si>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</si>
  <si>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</si>
  <si>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</si>
  <si>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</si>
  <si>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</si>
  <si>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</si>
  <si>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</si>
  <si>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</si>
  <si>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</si>
  <si>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</si>
  <si>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</si>
  <si>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</si>
  <si>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</si>
  <si>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</si>
  <si>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</si>
  <si>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</si>
  <si>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</si>
  <si>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</si>
  <si>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</si>
  <si>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</si>
  <si>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</si>
  <si>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</si>
  <si>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</si>
  <si>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</si>
  <si>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</si>
  <si>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</si>
  <si>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</si>
  <si>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</si>
  <si>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</si>
  <si>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</si>
  <si>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</si>
  <si>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</si>
  <si>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</si>
  <si>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</si>
  <si>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</si>
  <si>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</si>
  <si>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</si>
  <si>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</si>
  <si>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</si>
  <si>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</si>
  <si>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</si>
  <si>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</si>
  <si>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</si>
  <si>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</si>
  <si>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</si>
  <si>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</si>
  <si>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</si>
  <si>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</si>
  <si>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</si>
  <si>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</si>
  <si>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</si>
  <si>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</si>
  <si>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</si>
  <si>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</si>
  <si>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</si>
  <si>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</si>
  <si>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</si>
  <si>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</si>
  <si>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</si>
  <si>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</si>
  <si>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</si>
  <si>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</si>
  <si>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</si>
  <si>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</si>
  <si>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</si>
  <si>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</si>
  <si>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</si>
  <si>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</si>
  <si>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</si>
  <si>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</si>
  <si>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</si>
  <si>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</si>
  <si>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</si>
  <si>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</si>
  <si>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</si>
  <si>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</si>
  <si>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</si>
  <si>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</si>
  <si>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</si>
  <si>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</si>
  <si>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</si>
  <si>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</si>
  <si>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</si>
  <si>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</si>
  <si>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</si>
  <si>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</si>
  <si>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</si>
  <si>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</si>
  <si>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</si>
  <si>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</si>
  <si>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</si>
  <si>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</si>
  <si>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</si>
  <si>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</si>
  <si>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</si>
  <si>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</si>
  <si>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</si>
  <si>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</si>
  <si>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</si>
  <si>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</si>
  <si>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</si>
  <si>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</si>
  <si>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</si>
  <si>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</si>
  <si>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</si>
  <si>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</si>
  <si>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</si>
  <si>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</si>
  <si>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</si>
  <si>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</si>
  <si>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</si>
  <si>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</si>
  <si>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</si>
  <si>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</si>
  <si>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</si>
  <si>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</si>
  <si>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</si>
  <si>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</si>
  <si>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</si>
  <si>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</si>
  <si>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</si>
  <si>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</si>
  <si>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</si>
  <si>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</si>
  <si>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</si>
  <si>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</si>
  <si>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</si>
  <si>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</si>
  <si>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</si>
  <si>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</si>
  <si>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</si>
  <si>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</si>
  <si>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</si>
  <si>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</si>
  <si>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</si>
  <si>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</si>
  <si>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</si>
  <si>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</si>
  <si>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</si>
  <si>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</si>
  <si>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</si>
  <si>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</si>
  <si>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</si>
  <si>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</si>
  <si>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</si>
  <si>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</si>
  <si>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</si>
  <si>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</si>
  <si>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</si>
  <si>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</si>
  <si>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</si>
  <si>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</si>
  <si>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</si>
  <si>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</si>
  <si>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</si>
  <si>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</si>
  <si>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</si>
  <si>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</si>
  <si>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</si>
  <si>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</si>
  <si>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</si>
  <si>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</si>
  <si>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</si>
  <si>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</si>
  <si>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</si>
  <si>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</si>
  <si>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</si>
  <si>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</si>
  <si>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</si>
  <si>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</si>
  <si>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</si>
  <si>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</si>
  <si>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</si>
  <si>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</si>
  <si>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</si>
  <si>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</si>
  <si>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</si>
  <si>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</si>
  <si>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</si>
  <si>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</si>
  <si>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</si>
  <si>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</si>
  <si>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</si>
  <si>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</si>
  <si>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</si>
  <si>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</si>
  <si>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</si>
  <si>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</si>
  <si>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</si>
  <si>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</si>
  <si>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</si>
  <si>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</si>
  <si>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</si>
  <si>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</si>
  <si>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</si>
  <si>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</si>
  <si>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</si>
  <si>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</si>
  <si>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</si>
  <si>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</si>
  <si>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</si>
  <si>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</si>
  <si>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</si>
  <si>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</si>
  <si>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</si>
  <si>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</si>
  <si>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</si>
  <si>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</si>
  <si>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</si>
  <si>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</si>
  <si>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</si>
  <si>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</si>
  <si>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</si>
  <si>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</si>
  <si>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</si>
  <si>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</si>
  <si>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</si>
  <si>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</si>
  <si>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</si>
  <si>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</si>
  <si>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</si>
  <si>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</si>
  <si>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</si>
  <si>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</si>
  <si>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</si>
  <si>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</si>
  <si>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</si>
  <si>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</si>
  <si>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</si>
  <si>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</si>
  <si>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</si>
  <si>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</si>
  <si>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</si>
  <si>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</si>
  <si>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</si>
  <si>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</si>
  <si>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</si>
  <si>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</si>
  <si>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</si>
  <si>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</si>
  <si>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</si>
  <si>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</si>
  <si>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</si>
  <si>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</si>
  <si>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</si>
  <si>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</si>
  <si>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</si>
  <si>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</si>
  <si>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</si>
  <si>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</si>
  <si>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</si>
  <si>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</si>
  <si>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</si>
  <si>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</si>
  <si>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</si>
  <si>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</si>
  <si>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</si>
  <si>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</si>
  <si>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</si>
  <si>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</si>
  <si>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</si>
  <si>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</si>
  <si>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</si>
  <si>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</si>
  <si>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</si>
  <si>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</si>
  <si>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</si>
  <si>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</si>
  <si>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</si>
  <si>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</si>
  <si>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</si>
  <si>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</si>
  <si>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</si>
  <si>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</si>
  <si>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</si>
  <si>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</si>
  <si>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</si>
  <si>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</si>
  <si>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</si>
  <si>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</si>
  <si>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</si>
  <si>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</si>
  <si>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</si>
  <si>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</si>
  <si>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</si>
  <si>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</si>
  <si>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</si>
  <si>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</si>
  <si>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</si>
  <si>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</si>
  <si>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</si>
  <si>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</si>
  <si>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</si>
  <si>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</si>
  <si>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</si>
  <si>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</si>
  <si>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</si>
  <si>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</si>
  <si>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</si>
  <si>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</si>
  <si>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</si>
  <si>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</si>
  <si>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</si>
  <si>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</si>
  <si>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</si>
  <si>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</si>
  <si>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</si>
  <si>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</si>
  <si>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</si>
  <si>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</si>
  <si>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</si>
  <si>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</si>
  <si>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</si>
  <si>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</si>
  <si>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</si>
  <si>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</si>
  <si>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</si>
  <si>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</si>
  <si>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</si>
  <si>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</si>
  <si>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</si>
  <si>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</si>
  <si>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</si>
  <si>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</si>
  <si>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</si>
  <si>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</si>
  <si>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</si>
  <si>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</si>
  <si>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</si>
  <si>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</si>
  <si>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</si>
  <si>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</si>
  <si>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</si>
  <si>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</si>
  <si>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</si>
  <si>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</si>
  <si>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</si>
  <si>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</si>
  <si>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</si>
  <si>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</si>
  <si>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</si>
  <si>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</si>
  <si>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</si>
  <si>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</si>
  <si>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</si>
  <si>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</si>
  <si>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</si>
  <si>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</si>
  <si>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</si>
  <si>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</si>
  <si>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</si>
  <si>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</si>
  <si>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</si>
  <si>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</si>
  <si>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</si>
  <si>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</si>
  <si>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</si>
  <si>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</si>
  <si>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</si>
  <si>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</si>
  <si>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</si>
  <si>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</si>
  <si>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</si>
  <si>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</si>
  <si>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</si>
  <si>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</si>
  <si>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</si>
  <si>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</si>
  <si>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</si>
  <si>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</si>
  <si>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</si>
  <si>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</si>
  <si>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</si>
  <si>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</si>
  <si>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</si>
  <si>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</si>
  <si>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</si>
  <si>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</si>
  <si>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</si>
  <si>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</si>
  <si>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</si>
  <si>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</si>
  <si>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</si>
  <si>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</si>
  <si>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</si>
  <si>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</si>
  <si>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</si>
  <si>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</si>
  <si>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</si>
  <si>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</si>
  <si>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</si>
  <si>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</si>
  <si>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</si>
  <si>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</si>
  <si>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</si>
  <si>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</si>
  <si>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</si>
  <si>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</si>
  <si>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</si>
  <si>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</si>
  <si>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</si>
  <si>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</si>
  <si>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</si>
  <si>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</si>
  <si>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</si>
  <si>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</si>
  <si>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</si>
  <si>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</si>
  <si>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</si>
  <si>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</si>
  <si>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</si>
  <si>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</si>
  <si>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</si>
  <si>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</si>
  <si>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</si>
  <si>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</si>
  <si>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</si>
  <si>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</si>
  <si>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</si>
  <si>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</si>
  <si>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</si>
  <si>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</si>
  <si>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</si>
  <si>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</si>
  <si>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</si>
  <si>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</si>
  <si>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</si>
  <si>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</si>
  <si>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</si>
  <si>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</si>
  <si>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</si>
  <si>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</si>
  <si>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</si>
  <si>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</si>
  <si>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</si>
  <si>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</si>
  <si>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</si>
  <si>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</si>
  <si>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</si>
  <si>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</si>
  <si>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</si>
  <si>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</si>
  <si>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</si>
  <si>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</si>
  <si>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</si>
  <si>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</si>
  <si>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</si>
  <si>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</si>
  <si>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</si>
  <si>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</si>
  <si>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</si>
  <si>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</si>
  <si>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</si>
  <si>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</si>
  <si>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</si>
  <si>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</si>
  <si>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</si>
  <si>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</si>
  <si>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</si>
  <si>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</si>
  <si>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</si>
  <si>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</si>
  <si>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</si>
  <si>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</si>
  <si>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</si>
  <si>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</si>
  <si>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</si>
  <si>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</si>
  <si>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</si>
  <si>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</si>
  <si>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</si>
  <si>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</si>
  <si>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</si>
  <si>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</si>
  <si>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</si>
  <si>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</si>
  <si>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</si>
  <si>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</si>
  <si>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</si>
  <si>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</si>
  <si>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</si>
  <si>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</si>
  <si>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</si>
  <si>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</si>
  <si>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</si>
  <si>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</si>
  <si>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</si>
  <si>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</si>
  <si>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</si>
  <si>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</si>
  <si>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</si>
  <si>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</si>
  <si>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</si>
  <si>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</si>
  <si>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</si>
  <si>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</si>
  <si>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</si>
  <si>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</si>
  <si>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</si>
  <si>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</si>
  <si>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</si>
  <si>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</si>
  <si>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</si>
  <si>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</si>
  <si>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</si>
  <si>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</si>
  <si>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</si>
  <si>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</si>
  <si>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</si>
  <si>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</si>
  <si>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</si>
  <si>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</si>
  <si>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</si>
  <si>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</si>
  <si>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</si>
  <si>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</si>
  <si>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</si>
  <si>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</si>
  <si>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</si>
  <si>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</si>
  <si>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</si>
  <si>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</si>
  <si>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</si>
  <si>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</si>
  <si>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</si>
  <si>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</si>
  <si>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</si>
  <si>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</si>
  <si>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</si>
  <si>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</si>
  <si>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</si>
  <si>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</si>
  <si>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</si>
  <si>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</si>
  <si>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</si>
  <si>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</si>
  <si>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</si>
  <si>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</si>
  <si>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</si>
  <si>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</si>
  <si>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</si>
  <si>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</si>
  <si>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</si>
  <si>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</si>
  <si>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</si>
  <si>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</si>
  <si>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</si>
  <si>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</si>
  <si>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</si>
  <si>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</si>
  <si>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</si>
  <si>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</si>
  <si>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</si>
  <si>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</si>
  <si>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</si>
  <si>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</si>
  <si>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</si>
  <si>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</si>
  <si>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</si>
  <si>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</si>
  <si>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</si>
  <si>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</si>
  <si>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</si>
  <si>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</si>
  <si>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</si>
  <si>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</si>
  <si>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</si>
  <si>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</si>
  <si>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</si>
  <si>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</si>
  <si>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</si>
  <si>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</si>
  <si>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</si>
  <si>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</si>
  <si>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</si>
  <si>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</si>
  <si>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</si>
  <si>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</si>
  <si>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</si>
  <si>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</si>
  <si>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</si>
  <si>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</si>
  <si>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</si>
  <si>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</si>
  <si>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</si>
  <si>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</si>
  <si>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</si>
  <si>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</si>
  <si>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</si>
  <si>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</si>
  <si>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</si>
  <si>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</si>
  <si>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</si>
  <si>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</si>
  <si>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</si>
  <si>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</si>
  <si>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</si>
  <si>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</si>
  <si>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</si>
  <si>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</si>
  <si>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</si>
  <si>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</si>
  <si>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</si>
  <si>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</si>
  <si>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</si>
  <si>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</si>
  <si>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</si>
  <si>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</si>
  <si>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</si>
  <si>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</si>
  <si>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</si>
  <si>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</si>
  <si>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</si>
  <si>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</si>
  <si>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</si>
  <si>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</si>
  <si>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</si>
  <si>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</si>
  <si>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</si>
  <si>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</si>
  <si>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</si>
  <si>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</si>
  <si>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</si>
  <si>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</si>
  <si>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</si>
  <si>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</si>
  <si>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</si>
  <si>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</si>
  <si>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</si>
  <si>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</si>
  <si>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</si>
  <si>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</si>
  <si>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</si>
  <si>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</si>
  <si>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</si>
  <si>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</si>
  <si>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</si>
  <si>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</si>
  <si>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</si>
  <si>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</si>
  <si>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</si>
  <si>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</si>
  <si>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</si>
  <si>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</si>
  <si>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</si>
  <si>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</si>
  <si>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</si>
  <si>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</si>
  <si>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</si>
  <si>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</si>
  <si>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</si>
  <si>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</si>
  <si>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</si>
  <si>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</si>
  <si>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</si>
  <si>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</si>
  <si>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</si>
  <si>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</si>
  <si>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</si>
  <si>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</si>
  <si>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</si>
  <si>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</si>
  <si>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</si>
  <si>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</si>
  <si>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</si>
  <si>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</si>
  <si>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</si>
  <si>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</si>
  <si>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</si>
  <si>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</si>
  <si>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</si>
  <si>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</si>
  <si>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</si>
  <si>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</si>
  <si>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</si>
  <si>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</si>
  <si>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</si>
  <si>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</si>
  <si>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</si>
  <si>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</si>
  <si>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</si>
  <si>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</si>
  <si>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</si>
  <si>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</si>
  <si>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</si>
  <si>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</si>
  <si>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</si>
  <si>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</si>
  <si>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</si>
  <si>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</si>
  <si>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</si>
  <si>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</si>
  <si>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</si>
  <si>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</si>
  <si>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</si>
  <si>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</si>
  <si>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</si>
  <si>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</si>
  <si>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</si>
  <si>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</si>
  <si>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</si>
  <si>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</si>
  <si>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</si>
  <si>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</si>
  <si>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</si>
  <si>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</si>
  <si>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</si>
  <si>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</si>
  <si>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</si>
  <si>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</si>
  <si>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</si>
  <si>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</si>
  <si>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</si>
  <si>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</si>
  <si>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</si>
  <si>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</si>
  <si>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</si>
  <si>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</si>
  <si>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</si>
  <si>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</si>
  <si>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</si>
  <si>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</si>
  <si>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</si>
  <si>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</si>
  <si>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</si>
  <si>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</si>
  <si>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</si>
  <si>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</si>
  <si>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</si>
  <si>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</si>
  <si>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</si>
  <si>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</si>
  <si>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</si>
  <si>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</si>
  <si>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</si>
  <si>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</si>
  <si>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</si>
  <si>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</si>
  <si>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</si>
  <si>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</si>
  <si>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</si>
  <si>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</si>
  <si>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</si>
  <si>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</si>
  <si>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</si>
  <si>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</si>
  <si>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</si>
  <si>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</si>
  <si>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</si>
  <si>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</si>
  <si>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</si>
  <si>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</si>
  <si>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</si>
  <si>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</si>
  <si>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</si>
  <si>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</si>
  <si>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</si>
  <si>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</si>
  <si>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</si>
  <si>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</si>
  <si>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</si>
  <si>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</si>
  <si>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</si>
  <si>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</si>
  <si>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</si>
  <si>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</si>
  <si>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</si>
  <si>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</si>
  <si>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</si>
  <si>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</si>
  <si>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</si>
  <si>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</si>
  <si>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</si>
  <si>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</si>
  <si>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</si>
  <si>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</si>
  <si>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</si>
  <si>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</si>
  <si>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</si>
  <si>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</si>
  <si>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</si>
  <si>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</si>
  <si>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</si>
  <si>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</si>
  <si>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</si>
  <si>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</si>
  <si>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</si>
  <si>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</si>
  <si>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</si>
  <si>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</si>
  <si>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</si>
  <si>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</si>
  <si>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</si>
  <si>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</si>
  <si>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</si>
  <si>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</si>
  <si>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</si>
  <si>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</si>
  <si>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</si>
  <si>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</si>
  <si>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</si>
  <si>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</si>
  <si>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</si>
  <si>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</si>
  <si>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</si>
  <si>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</si>
  <si>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</si>
  <si>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</si>
  <si>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</si>
  <si>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</si>
  <si>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</si>
  <si>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</si>
  <si>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</si>
  <si>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</si>
  <si>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</si>
  <si>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</si>
  <si>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</si>
  <si>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</si>
  <si>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</si>
  <si>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</si>
  <si>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</si>
  <si>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</si>
  <si>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</si>
  <si>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</si>
  <si>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</si>
  <si>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</si>
  <si>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</si>
  <si>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</si>
  <si>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</si>
  <si>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</si>
  <si>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</si>
  <si>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</si>
  <si>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</si>
  <si>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</si>
  <si>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</si>
  <si>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</si>
  <si>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</si>
  <si>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</si>
  <si>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</si>
  <si>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</si>
  <si>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</si>
  <si>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</si>
  <si>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</si>
  <si>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</si>
  <si>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</si>
  <si>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</si>
  <si>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</si>
  <si>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</si>
  <si>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</si>
  <si>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</si>
  <si>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</si>
  <si>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</si>
  <si>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</si>
  <si>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</si>
  <si>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</si>
  <si>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</si>
  <si>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</si>
  <si>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</si>
  <si>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</si>
  <si>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</si>
  <si>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</si>
  <si>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</si>
  <si>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</si>
  <si>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</si>
  <si>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</si>
  <si>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</si>
  <si>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</si>
  <si>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</si>
  <si>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</si>
  <si>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</si>
  <si>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</si>
  <si>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</si>
  <si>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</si>
  <si>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</si>
  <si>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</si>
  <si>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</si>
  <si>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</si>
  <si>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</si>
  <si>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</si>
  <si>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</si>
  <si>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</si>
  <si>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</si>
  <si>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</si>
  <si>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</si>
  <si>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</si>
  <si>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</si>
  <si>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</si>
  <si>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</si>
  <si>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</si>
  <si>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</si>
  <si>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</si>
  <si>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</si>
  <si>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</si>
  <si>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</si>
  <si>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</si>
  <si>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</si>
  <si>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</si>
  <si>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13</t>
  </si>
  <si>
    <t>10</t>
  </si>
  <si>
    <t>2</t>
  </si>
  <si>
    <t>6</t>
  </si>
  <si>
    <t>11</t>
  </si>
  <si>
    <t>6-6</t>
  </si>
  <si>
    <t>G-F</t>
  </si>
  <si>
    <t>195</t>
  </si>
  <si>
    <t xml:space="preserve"> </t>
  </si>
  <si>
    <t>8</t>
  </si>
  <si>
    <t>215</t>
  </si>
  <si>
    <t>Duke</t>
  </si>
  <si>
    <t>220</t>
  </si>
  <si>
    <t>9</t>
  </si>
  <si>
    <t>205</t>
  </si>
  <si>
    <t>200</t>
  </si>
  <si>
    <t>Arizona</t>
  </si>
  <si>
    <t>14</t>
  </si>
  <si>
    <t>20</t>
  </si>
  <si>
    <t>25</t>
  </si>
  <si>
    <t>USC</t>
  </si>
  <si>
    <t>Aaron Gordon</t>
  </si>
  <si>
    <t>235</t>
  </si>
  <si>
    <t>SEP 16, 1995</t>
  </si>
  <si>
    <t>Jonathan Isaac</t>
  </si>
  <si>
    <t>6-11</t>
  </si>
  <si>
    <t>230</t>
  </si>
  <si>
    <t>OCT 03, 1997</t>
  </si>
  <si>
    <t>Florida State</t>
  </si>
  <si>
    <t>Al-Farouq Aminu</t>
  </si>
  <si>
    <t>SEP 21, 1990</t>
  </si>
  <si>
    <t>Wake Forest</t>
  </si>
  <si>
    <t>Josh Magette</t>
  </si>
  <si>
    <t>160</t>
  </si>
  <si>
    <t>NOV 28, 1989</t>
  </si>
  <si>
    <t>Alabama Huntsville</t>
  </si>
  <si>
    <t>Mo Bamba</t>
  </si>
  <si>
    <t>C</t>
  </si>
  <si>
    <t>231</t>
  </si>
  <si>
    <t>MAY 12, 1998</t>
  </si>
  <si>
    <t>University of Texas at Austin</t>
  </si>
  <si>
    <t>Michael Carter-Williams</t>
  </si>
  <si>
    <t>7</t>
  </si>
  <si>
    <t>190</t>
  </si>
  <si>
    <t>OCT 10, 1991</t>
  </si>
  <si>
    <t>Syracuse</t>
  </si>
  <si>
    <t>Terrence Ross</t>
  </si>
  <si>
    <t>206</t>
  </si>
  <si>
    <t>FEB 05, 1991</t>
  </si>
  <si>
    <t>Nikola Vucevic</t>
  </si>
  <si>
    <t>260</t>
  </si>
  <si>
    <t>OCT 24, 1990</t>
  </si>
  <si>
    <t>Evan Fournier</t>
  </si>
  <si>
    <t>OCT 29, 1992</t>
  </si>
  <si>
    <t>Amile Jefferson</t>
  </si>
  <si>
    <t>222</t>
  </si>
  <si>
    <t>MAY 07, 1993</t>
  </si>
  <si>
    <t>BJ Johnson</t>
  </si>
  <si>
    <t>DEC 21, 1995</t>
  </si>
  <si>
    <t>La Salle</t>
  </si>
  <si>
    <t>D.J. Augustin</t>
  </si>
  <si>
    <t>183</t>
  </si>
  <si>
    <t>NOV 10, 1987</t>
  </si>
  <si>
    <t>Texas</t>
  </si>
  <si>
    <t>Markelle Fultz</t>
  </si>
  <si>
    <t>209</t>
  </si>
  <si>
    <t>MAY 29, 1998</t>
  </si>
  <si>
    <t>Khem Birch</t>
  </si>
  <si>
    <t>24</t>
  </si>
  <si>
    <t>233</t>
  </si>
  <si>
    <t>SEP 28, 1992</t>
  </si>
  <si>
    <t>UNLV</t>
  </si>
  <si>
    <t>Wes Iwundu</t>
  </si>
  <si>
    <t>DEC 20, 1994</t>
  </si>
  <si>
    <t>Kansas State</t>
  </si>
  <si>
    <t>Melvin Frazier Jr.</t>
  </si>
  <si>
    <t>35</t>
  </si>
  <si>
    <t>AUG 30, 1996</t>
  </si>
  <si>
    <t>Tulane</t>
  </si>
  <si>
    <t>Magic</t>
    <phoneticPr fontId="1"/>
  </si>
  <si>
    <t>6-8</t>
    <phoneticPr fontId="1"/>
  </si>
  <si>
    <t xml:space="preserve">4-6  </t>
    <phoneticPr fontId="1"/>
  </si>
  <si>
    <t xml:space="preserve">6-3  </t>
    <phoneticPr fontId="1"/>
  </si>
  <si>
    <t xml:space="preserve">0-5  </t>
    <phoneticPr fontId="1"/>
  </si>
  <si>
    <t>42-40</t>
    <phoneticPr fontId="1"/>
  </si>
  <si>
    <t xml:space="preserve">8-2  </t>
    <phoneticPr fontId="1"/>
  </si>
  <si>
    <t>25-16</t>
    <phoneticPr fontId="1"/>
  </si>
  <si>
    <t>17-24</t>
    <phoneticPr fontId="1"/>
  </si>
  <si>
    <t>27-32</t>
    <phoneticPr fontId="1"/>
  </si>
  <si>
    <t>15-8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</si>
</sst>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3232FF-7A1F-4BD6-9EB1-74F5D3D58197}" name="TableRoster" displayName="TableRoster" ref="A1:M17" totalsRowShown="0" headerRowDxfId="1074">
  <autoFilter ref="A1:M17" xr:uid="{8097D274-C1F4-40E7-ADA0-8CDD80F82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84D9DC7-455D-4FDB-9FEA-6CECA408B7EC}" name="TeamID" dataDxfId="1087"/>
    <tableColumn id="2" xr3:uid="{69861BB1-6EDC-4CE5-BD08-EF770C273243}" name="SEASON" dataDxfId="1086"/>
    <tableColumn id="3" xr3:uid="{F3D3ABA1-87C7-4160-ACDE-F8C6D27B42EA}" name="LeagueID" dataDxfId="1085"/>
    <tableColumn id="4" xr3:uid="{720C31A7-2A7A-40FA-AEB0-B5E3F436FCF9}" name="PLAYER" dataDxfId="1084"/>
    <tableColumn id="5" xr3:uid="{3A98FF09-86E2-480B-82F5-EAF0CF7DCD6C}" name="NUM" dataDxfId="1083"/>
    <tableColumn id="6" xr3:uid="{C7BC5B5A-6856-420F-A9FE-FEEA15DB3F26}" name="POSITION" dataDxfId="1082"/>
    <tableColumn id="7" xr3:uid="{71611E2B-0A5D-4E05-8988-25BE7EDAC650}" name="HEIGHT" dataDxfId="1081"/>
    <tableColumn id="8" xr3:uid="{6775EA8C-302E-40E7-8960-50A6554AD191}" name="WEIGHT" dataDxfId="1080"/>
    <tableColumn id="9" xr3:uid="{42CE16F4-330E-4731-A555-0EACC61BBD96}" name="BIRTH_DATE" dataDxfId="1079"/>
    <tableColumn id="10" xr3:uid="{295463E1-8F59-4FE5-8E2E-6FF59D3C5716}" name="AGE" dataDxfId="1078"/>
    <tableColumn id="11" xr3:uid="{487AFFBA-6D60-4B7A-BA9A-1FE5A1269CDC}" name="EXP" dataDxfId="1077"/>
    <tableColumn id="12" xr3:uid="{3E3D3BB0-6AA6-4A36-ACB0-4FD9D241C6C0}" name="SCHOOL" dataDxfId="1076"/>
    <tableColumn id="13" xr3:uid="{EC6CBB13-D9B2-419E-8989-5B3160CB4098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4C8F36-1FA5-4DA6-9882-924BB8B99856}" name="TableStandingsN" displayName="TableStandingsN" ref="A1:CC31" totalsRowShown="0" headerRowDxfId="992">
  <autoFilter ref="A1:CC31" xr:uid="{9096AE79-8E32-4FB6-A4BA-3239D009F9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87FE1A27-9F14-4AAB-B560-C47D88110F27}" name="LeagueID" dataDxfId="1073"/>
    <tableColumn id="2" xr3:uid="{FA692799-180F-4B63-B5B4-24008B3593A5}" name="SeasonID" dataDxfId="1072"/>
    <tableColumn id="3" xr3:uid="{0821236F-721D-4493-B1BF-49C4192254CF}" name="TeamID" dataDxfId="1071"/>
    <tableColumn id="4" xr3:uid="{9A2149C1-D992-4B68-BB00-054C33820DAE}" name="TeamCity" dataDxfId="1070"/>
    <tableColumn id="5" xr3:uid="{8487C2CF-583A-4DF6-8CCA-A37CDD46985E}" name="TeamName" dataDxfId="1069"/>
    <tableColumn id="6" xr3:uid="{520C4900-356F-44A9-9586-92BDDF1B5D23}" name="Conference" dataDxfId="1068"/>
    <tableColumn id="7" xr3:uid="{A5719A44-831D-45C0-8A1B-30EAC9B743E6}" name="ConferenceRecord" dataDxfId="1067"/>
    <tableColumn id="8" xr3:uid="{8A7F2DEB-7A16-4C69-A87A-42BEC8B07649}" name="PlayoffRank" dataDxfId="1066"/>
    <tableColumn id="9" xr3:uid="{35A871D1-4FD8-4FA7-847F-18066BC375D5}" name="ClinchIndicator" dataDxfId="1065"/>
    <tableColumn id="10" xr3:uid="{07EB4478-71F1-4BE7-914B-3F0FC49DD4C1}" name="Division" dataDxfId="1064"/>
    <tableColumn id="11" xr3:uid="{467145A4-AC0C-4E49-A6DD-F9830DBFAAC1}" name="DivisionRecord" dataDxfId="1063"/>
    <tableColumn id="12" xr3:uid="{E02D6D37-130F-445E-BFCE-1CE492388D08}" name="DivisionRank" dataDxfId="1062"/>
    <tableColumn id="13" xr3:uid="{C2D095CE-60E5-47E0-98DB-7BBF80E6DEB4}" name="WINS" dataDxfId="1061"/>
    <tableColumn id="14" xr3:uid="{14F72F95-66FC-45A4-BD1D-BDB8719A7495}" name="LOSSES" dataDxfId="1060"/>
    <tableColumn id="15" xr3:uid="{18DCA7D1-1C8C-4365-901F-940164C11819}" name="WinPCT" dataDxfId="1059"/>
    <tableColumn id="16" xr3:uid="{7CD5B088-8273-4A49-9776-660ACB4ED53B}" name="LeagueRank" dataDxfId="1058"/>
    <tableColumn id="17" xr3:uid="{82217C80-4519-43CA-A52A-9B1A9CCDFEEE}" name="Record" dataDxfId="1057"/>
    <tableColumn id="18" xr3:uid="{B04E0A04-C12F-42C5-A35F-994638C9EF81}" name="HOME" dataDxfId="1056"/>
    <tableColumn id="19" xr3:uid="{83E6E028-D4FA-4261-9684-9DC7483CF489}" name="ROAD" dataDxfId="1055"/>
    <tableColumn id="20" xr3:uid="{4907932F-2E61-41BD-88F4-B50CA69FCAA0}" name="L10" dataDxfId="1054"/>
    <tableColumn id="21" xr3:uid="{74B3B0E0-416A-4F1C-8907-AE047227AD48}" name="Last10Home" dataDxfId="1053"/>
    <tableColumn id="22" xr3:uid="{FD2D3912-65F0-4BBB-9EF1-7EF4F0FE1EB3}" name="Last10Road" dataDxfId="1052"/>
    <tableColumn id="23" xr3:uid="{6C1CE3DA-9EF7-48A9-A878-72066E671550}" name="OT" dataDxfId="1051"/>
    <tableColumn id="24" xr3:uid="{3D0EE33A-1D86-4672-A070-F2D82386BD21}" name="ThreePTSOrLess" dataDxfId="1050"/>
    <tableColumn id="25" xr3:uid="{97771D14-8846-4AFF-BE31-38467DB20EAB}" name="TenPTSOrMore" dataDxfId="1049"/>
    <tableColumn id="26" xr3:uid="{53D76866-3320-422A-9D91-09633AA82C87}" name="LongHomeStreak" dataDxfId="1048"/>
    <tableColumn id="27" xr3:uid="{5156C454-99C8-46A6-9AD4-EA0C9749E400}" name="strLongHomeStreak" dataDxfId="1047"/>
    <tableColumn id="28" xr3:uid="{780BE88D-112C-45FE-A594-00984F28BCFC}" name="LongRoadStreak" dataDxfId="1046"/>
    <tableColumn id="29" xr3:uid="{8C65F18B-2956-4762-8456-617918D73915}" name="strLongRoadStreak" dataDxfId="1045"/>
    <tableColumn id="30" xr3:uid="{302510F7-664F-44CC-84DE-A19A4EABD3EB}" name="LongWinStreak" dataDxfId="1044"/>
    <tableColumn id="31" xr3:uid="{F0413213-6055-4BAB-AE26-4ACC5D5E21B8}" name="LongLossStreak" dataDxfId="1043"/>
    <tableColumn id="32" xr3:uid="{041E6CF7-7145-4712-8C9A-B98CEA399968}" name="CurrentHomeStreak" dataDxfId="1042"/>
    <tableColumn id="33" xr3:uid="{4F082339-DA2D-4F50-8658-F1DE6E5AF8FE}" name="strCurrentHomeStreak" dataDxfId="1041"/>
    <tableColumn id="34" xr3:uid="{A58A7263-A000-47AD-B765-2D8422EADBE6}" name="CurrentRoadStreak" dataDxfId="1040"/>
    <tableColumn id="35" xr3:uid="{A80E2405-51F0-4698-AE1F-B5A95604AA0E}" name="strCurrentRoadStreak" dataDxfId="1039"/>
    <tableColumn id="36" xr3:uid="{54396BA2-181B-4E1F-890D-D0037948A5DD}" name="CurrentStreak" dataDxfId="1038"/>
    <tableColumn id="37" xr3:uid="{FFDF68E7-54C0-4BCC-9983-F75D5869CC1A}" name="strCurrentStreak" dataDxfId="1037"/>
    <tableColumn id="38" xr3:uid="{6EFCAC0E-D74A-4D47-94EA-B3AAC084F92E}" name="ConferenceGamesBack" dataDxfId="1036"/>
    <tableColumn id="39" xr3:uid="{3741D519-1961-42D9-B6A6-628323F565AD}" name="DivisionGamesBack" dataDxfId="1035"/>
    <tableColumn id="40" xr3:uid="{8DCD675A-6519-4392-9C27-728D4143335B}" name="ClinchedConferenceTitle" dataDxfId="1034"/>
    <tableColumn id="41" xr3:uid="{26EA43CA-844F-46D8-B941-02CEA3C25F08}" name="ClinchedDivisionTitle" dataDxfId="1033"/>
    <tableColumn id="42" xr3:uid="{D53558D2-0CF0-4D58-8EDB-3E7A993CD823}" name="ClinchedPlayoffBirth" dataDxfId="1032"/>
    <tableColumn id="43" xr3:uid="{0855B5FA-3D5A-4373-8314-23078739B320}" name="EliminatedConference" dataDxfId="1031"/>
    <tableColumn id="44" xr3:uid="{DB93FAD0-F9EE-46F0-AD55-AE902CE37866}" name="EliminatedDivision" dataDxfId="1030"/>
    <tableColumn id="45" xr3:uid="{EC3670F5-A690-429A-9CC8-E58733A2B756}" name="AheadAtHalf" dataDxfId="1029"/>
    <tableColumn id="46" xr3:uid="{A4DA07D9-8A91-4FB4-B055-EFD373CCE9B2}" name="BehindAtHalf" dataDxfId="1028"/>
    <tableColumn id="47" xr3:uid="{90825055-FC83-4CDC-A2F0-7CE70E361F09}" name="TiedAtHalf" dataDxfId="1027"/>
    <tableColumn id="48" xr3:uid="{D02B0E50-BB8B-4CAC-BAA7-6B434C66C0A7}" name="AheadAtThird" dataDxfId="1026"/>
    <tableColumn id="49" xr3:uid="{745717F4-A38A-4701-B56B-23873C18BC7B}" name="BehindAtThird" dataDxfId="1025"/>
    <tableColumn id="50" xr3:uid="{FE3D11B6-44F4-455F-BF64-6DE5E4B12720}" name="TiedAtThird" dataDxfId="1024"/>
    <tableColumn id="51" xr3:uid="{63CD249C-CAF3-4981-82A4-C1EAEAC0A12B}" name="Score100PTS" dataDxfId="1023"/>
    <tableColumn id="52" xr3:uid="{E8932AC1-78D9-4685-9DBC-685A3C1AB2E8}" name="OppScore100PTS" dataDxfId="1022"/>
    <tableColumn id="53" xr3:uid="{54718522-24F3-4636-A798-3BB6784F4B35}" name="OppOver500" dataDxfId="1021"/>
    <tableColumn id="54" xr3:uid="{1A5F3FD5-521E-4486-911C-1C1D70E0BC19}" name="LeadInFGPCT" dataDxfId="1020"/>
    <tableColumn id="55" xr3:uid="{E427E0E5-32BE-4206-8224-BDCD89B2EF81}" name="LeadInReb" dataDxfId="1019"/>
    <tableColumn id="56" xr3:uid="{44DF6639-9656-438D-85CF-E4F16DB108F3}" name="FewerTurnovers" dataDxfId="1018"/>
    <tableColumn id="57" xr3:uid="{8CCDD321-6768-4740-AEEE-09EEF70AC293}" name="PointsPG" dataDxfId="1017"/>
    <tableColumn id="58" xr3:uid="{E49AE219-F3E5-43D2-8F60-B035AEC425FA}" name="OppPointsPG" dataDxfId="1016"/>
    <tableColumn id="59" xr3:uid="{89A6D0D8-000D-4D0D-8351-A4F5C96484D8}" name="DiffPointsPG" dataDxfId="1015"/>
    <tableColumn id="60" xr3:uid="{CC759E96-6006-4F3A-B697-D8D5332663B8}" name="vsEast" dataDxfId="1014"/>
    <tableColumn id="61" xr3:uid="{5E6986CE-84D4-4C1C-86BF-B333B3FF6C4F}" name="vsAtlantic" dataDxfId="1013"/>
    <tableColumn id="62" xr3:uid="{0551B5C2-59EC-4488-8366-1E0BCFE7256A}" name="vsCentral" dataDxfId="1012"/>
    <tableColumn id="63" xr3:uid="{28C79680-CF4F-4150-9555-CC8B5630E247}" name="vsSoutheast" dataDxfId="1011"/>
    <tableColumn id="64" xr3:uid="{F020C2EC-D022-4456-B531-8AA5FEA51F4F}" name="vsWest" dataDxfId="1010"/>
    <tableColumn id="65" xr3:uid="{609E86E4-38E4-41BE-B374-33EBCA57E3A8}" name="vsNorthwest" dataDxfId="1009"/>
    <tableColumn id="66" xr3:uid="{197B29BB-F570-4B5D-9382-CD7169996917}" name="vsPacific" dataDxfId="1008"/>
    <tableColumn id="67" xr3:uid="{A6E2E0A5-F77F-4411-B69A-E36578D59DA2}" name="vsSouthwest" dataDxfId="1007"/>
    <tableColumn id="68" xr3:uid="{C559D309-1DC1-4278-A8D5-E79C20112F69}" name="Jan" dataDxfId="1006"/>
    <tableColumn id="69" xr3:uid="{2540CC54-FDD9-4498-A679-F33EFE3A685D}" name="Feb" dataDxfId="1005"/>
    <tableColumn id="70" xr3:uid="{40794DE8-FBDE-46F1-914C-84F019D5A312}" name="Mar" dataDxfId="1004"/>
    <tableColumn id="71" xr3:uid="{93FA0E00-F2F7-4F85-B523-AD3611EAD0E1}" name="Apr" dataDxfId="1003"/>
    <tableColumn id="72" xr3:uid="{9AD6B685-1015-4978-8A3D-15E62E9596DD}" name="May" dataDxfId="1002"/>
    <tableColumn id="73" xr3:uid="{38C82DC2-0291-4FCE-BBF2-F5ED69374E80}" name="Jun" dataDxfId="1001"/>
    <tableColumn id="74" xr3:uid="{EEF9DB72-B44A-4F9D-B03A-1022D75516ED}" name="Jul" dataDxfId="1000"/>
    <tableColumn id="75" xr3:uid="{DA8EF6B4-9EAC-4987-B6E6-8884C64B07CF}" name="Aug" dataDxfId="999"/>
    <tableColumn id="76" xr3:uid="{46416256-9C62-45C8-9369-E414E55BAB7B}" name="Sep" dataDxfId="998"/>
    <tableColumn id="77" xr3:uid="{62107FEC-F5C6-4224-BFD7-925E6F3CE1B6}" name="Oct" dataDxfId="997"/>
    <tableColumn id="78" xr3:uid="{9BC4D15D-22E0-4F8E-887F-090DA2BDF74A}" name="Nov" dataDxfId="996"/>
    <tableColumn id="79" xr3:uid="{E52014C3-D611-4685-9625-A498ADF5A335}" name="Dec" dataDxfId="995"/>
    <tableColumn id="80" xr3:uid="{D67B8AC6-8B35-46BE-A415-C1299ABEEB89}" name="PreAS" dataDxfId="994"/>
    <tableColumn id="81" xr3:uid="{9AFF157E-D9DD-446B-9210-A79DF1B7922F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1D7C1F6-DE27-4C90-96A4-176F9E3CF3FF}" name="TableBaseN" displayName="TableBaseN" ref="A1:BD31" totalsRowShown="0" headerRowDxfId="853">
  <autoFilter ref="A1:BD31" xr:uid="{CD1FB49B-6E7A-4C84-AB68-A3D0865866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5AC80E9-5573-46C8-9517-07022FB5A4AB}" name="TEAM_ID" dataDxfId="909"/>
    <tableColumn id="2" xr3:uid="{B61D3549-3126-4F1E-8875-4FA791F0B241}" name="TEAM_NAME" dataDxfId="908"/>
    <tableColumn id="3" xr3:uid="{A321FEFF-A3EA-48BA-886E-06DAA5CE4175}" name="GP" dataDxfId="907"/>
    <tableColumn id="4" xr3:uid="{7907B26F-7F2E-4F46-83F0-17FC74B66037}" name="W" dataDxfId="906"/>
    <tableColumn id="5" xr3:uid="{57258AB4-26B7-401C-9D51-45F64472426D}" name="L" dataDxfId="905"/>
    <tableColumn id="6" xr3:uid="{D45AA93E-9F35-47D6-94F3-5E9EAE14B2D6}" name="W_PCT" dataDxfId="904"/>
    <tableColumn id="7" xr3:uid="{E3701EB9-413B-4ED5-888C-7B084E2AE752}" name="MIN" dataDxfId="903"/>
    <tableColumn id="8" xr3:uid="{C58D3D16-1CD8-405E-8192-A42D7707BAC2}" name="FGM" dataDxfId="902"/>
    <tableColumn id="9" xr3:uid="{E37688C7-BAE4-4810-8139-D637D43FEA0F}" name="FGA" dataDxfId="901"/>
    <tableColumn id="10" xr3:uid="{0CF674A1-33F9-42D5-AA8A-051F699F66D2}" name="FG_PCT" dataDxfId="900"/>
    <tableColumn id="11" xr3:uid="{D367A3C5-9EF3-4C82-AF42-9670DBD21393}" name="FG3M" dataDxfId="899"/>
    <tableColumn id="12" xr3:uid="{F07BBEF6-EC21-4366-B268-A04FFE0384E3}" name="FG3A" dataDxfId="898"/>
    <tableColumn id="13" xr3:uid="{C7DFC271-416F-4652-869B-2853C18B29DA}" name="FG3_PCT" dataDxfId="897"/>
    <tableColumn id="14" xr3:uid="{5230EA68-6A49-4155-B7C3-D76A51F065EE}" name="FTM" dataDxfId="896"/>
    <tableColumn id="15" xr3:uid="{9839D074-92CF-4427-B12F-64C5666F6DB2}" name="FTA" dataDxfId="895"/>
    <tableColumn id="16" xr3:uid="{0C6F8F97-E985-4B86-8CB3-30C5520D53FE}" name="FT_PCT" dataDxfId="894"/>
    <tableColumn id="17" xr3:uid="{FC1AC49B-913F-4D5E-9A42-ABE0FC5D556C}" name="OREB" dataDxfId="893"/>
    <tableColumn id="18" xr3:uid="{29B4554E-C5AA-4511-9C3A-B466396E80F1}" name="DREB" dataDxfId="892"/>
    <tableColumn id="19" xr3:uid="{F5F1F006-AEFB-4F78-9404-1F2C3ECD6056}" name="REB" dataDxfId="891"/>
    <tableColumn id="20" xr3:uid="{8DE88FC4-5C30-4053-AFEC-C0585F6FE27C}" name="AST" dataDxfId="890"/>
    <tableColumn id="21" xr3:uid="{BF8FFDCF-159A-4D75-BBEC-45D873D7BD31}" name="TOV" dataDxfId="889"/>
    <tableColumn id="22" xr3:uid="{8A4BCBF1-88AA-410B-8095-882DE762A36B}" name="STL" dataDxfId="888"/>
    <tableColumn id="23" xr3:uid="{09A7E01D-59B3-41CD-877E-A07B904A31F7}" name="BLK" dataDxfId="887"/>
    <tableColumn id="24" xr3:uid="{23261B5A-ED8C-448B-926D-6E4B8BE585F3}" name="BLKA" dataDxfId="886"/>
    <tableColumn id="25" xr3:uid="{20C28ADE-F082-4190-85F5-845A34A61DA8}" name="PF" dataDxfId="885"/>
    <tableColumn id="26" xr3:uid="{0F18CF7D-7B59-48C4-9134-E2255681B419}" name="PFD" dataDxfId="884"/>
    <tableColumn id="27" xr3:uid="{29D4B1A7-CE0B-4184-9D78-511EBD62D8EC}" name="PTS" dataDxfId="883"/>
    <tableColumn id="28" xr3:uid="{5972AA33-4847-4259-B768-C530B5836A9E}" name="PLUS_MINUS" dataDxfId="882"/>
    <tableColumn id="29" xr3:uid="{ED183415-C3A5-441B-B44C-F65DFFE7E8CC}" name="GP_RANK" dataDxfId="881"/>
    <tableColumn id="30" xr3:uid="{0A53A315-729E-44FC-BD5C-9EBBD977BDD8}" name="W_RANK" dataDxfId="880"/>
    <tableColumn id="31" xr3:uid="{2E633E8B-421F-46C3-890F-0744A6F3F746}" name="L_RANK" dataDxfId="879"/>
    <tableColumn id="32" xr3:uid="{38995C77-C261-4ECB-BF99-68CC4BF45B38}" name="W_PCT_RANK" dataDxfId="878"/>
    <tableColumn id="33" xr3:uid="{A61BFAF2-E8DB-4AC0-A4CB-DB0A4EC0D62C}" name="MIN_RANK" dataDxfId="877"/>
    <tableColumn id="34" xr3:uid="{33B0BA15-9B36-4F6C-96FF-BF68AC74208C}" name="FGM_RANK" dataDxfId="876"/>
    <tableColumn id="35" xr3:uid="{9A755C0A-A845-49DD-8499-6DF8353EBE0C}" name="FGA_RANK" dataDxfId="875"/>
    <tableColumn id="36" xr3:uid="{91473981-BB06-46E4-AF82-48A403DFC5E7}" name="FG_PCT_RANK" dataDxfId="874"/>
    <tableColumn id="37" xr3:uid="{7110FECF-7353-4E00-A27F-479C6E8B4A6C}" name="FG3M_RANK" dataDxfId="873"/>
    <tableColumn id="38" xr3:uid="{C1085F50-0ECE-4A7E-9ECA-A60AA535651C}" name="FG3A_RANK" dataDxfId="872"/>
    <tableColumn id="39" xr3:uid="{58C84B95-BBFB-49DE-82E7-D1AE666A96CF}" name="FG3_PCT_RANK" dataDxfId="871"/>
    <tableColumn id="40" xr3:uid="{5B36AD32-D515-42CE-A55B-A0E2C5017E36}" name="FTM_RANK" dataDxfId="870"/>
    <tableColumn id="41" xr3:uid="{E0184D99-C976-4259-ACC0-3FD1E1E4D290}" name="FTA_RANK" dataDxfId="869"/>
    <tableColumn id="42" xr3:uid="{9DB6FE92-5463-417A-AABE-C26081784CCD}" name="FT_PCT_RANK" dataDxfId="868"/>
    <tableColumn id="43" xr3:uid="{D756B4B8-C67A-43F0-BAB2-1A194AABCA9A}" name="OREB_RANK" dataDxfId="867"/>
    <tableColumn id="44" xr3:uid="{351C6A25-6538-4E3B-90D9-6EB9AFF5047C}" name="DREB_RANK" dataDxfId="866"/>
    <tableColumn id="45" xr3:uid="{3EAA4219-210F-4DA6-83A1-4CD5B583C1DB}" name="REB_RANK" dataDxfId="865"/>
    <tableColumn id="46" xr3:uid="{03C188D2-A0CF-47CA-9572-A6940198EC1C}" name="AST_RANK" dataDxfId="864"/>
    <tableColumn id="47" xr3:uid="{84A27C34-4CAE-484C-A72E-A52CE4DB8D42}" name="TOV_RANK" dataDxfId="863"/>
    <tableColumn id="48" xr3:uid="{8E08742E-27B8-4040-A360-E3175AB9CF6F}" name="STL_RANK" dataDxfId="862"/>
    <tableColumn id="49" xr3:uid="{1DB2E136-2D5E-404B-8F0E-CD2BE49C3AED}" name="BLK_RANK" dataDxfId="861"/>
    <tableColumn id="50" xr3:uid="{9D9526D4-AFC7-4A40-8124-D2781F4B0155}" name="BLKA_RANK" dataDxfId="860"/>
    <tableColumn id="51" xr3:uid="{0EE9EC70-4217-4B94-9AD3-CCD0C3EA55D5}" name="PF_RANK" dataDxfId="859"/>
    <tableColumn id="52" xr3:uid="{1E1FC048-F217-4322-AC0C-7AA2976C223E}" name="PFD_RANK" dataDxfId="858"/>
    <tableColumn id="53" xr3:uid="{B57F7B33-436C-4D52-BD7A-B665E851017C}" name="PTS_RANK" dataDxfId="857"/>
    <tableColumn id="54" xr3:uid="{6BE7FA17-9775-4F85-AB2F-C070B4513771}" name="PLUS_MINUS_RANK" dataDxfId="856"/>
    <tableColumn id="55" xr3:uid="{C0EFF3BE-85E9-4583-A9CE-75B6DF6ED80E}" name="CFID" dataDxfId="855"/>
    <tableColumn id="56" xr3:uid="{623DDAF0-3DA5-46B4-8626-6842CAE653D3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5FA5BA-E8D3-47FA-9EB4-0BA1DD6066A6}" name="TableAdvancedN" displayName="TableAdvancedN" ref="A1:AV31" totalsRowShown="0" headerRowDxfId="747">
  <autoFilter ref="A1:AV31" xr:uid="{F8E48A3F-7250-42BD-9FD4-DA53E52F60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484D5F8-2273-4953-A9FE-7318973BEE92}" name="TEAM_ID" dataDxfId="795"/>
    <tableColumn id="2" xr3:uid="{DCCCD68C-7E9F-4CF7-9879-28809F8FCDC8}" name="TEAM_NAME" dataDxfId="794"/>
    <tableColumn id="3" xr3:uid="{1E330763-268F-4CDE-A863-4038DBDEF3C6}" name="GP" dataDxfId="793"/>
    <tableColumn id="4" xr3:uid="{6AD59C48-A6A9-49EF-86D8-D0E742A1EEEA}" name="W" dataDxfId="792"/>
    <tableColumn id="5" xr3:uid="{2A0FFB6C-D30C-4D98-B255-8E5203C72251}" name="L" dataDxfId="791"/>
    <tableColumn id="6" xr3:uid="{CD014B12-E561-42D0-9B8B-58A0F57548A5}" name="W_PCT" dataDxfId="790"/>
    <tableColumn id="7" xr3:uid="{8BF1D6EA-2159-4E0A-95FA-4229FA749DF5}" name="MIN" dataDxfId="789"/>
    <tableColumn id="8" xr3:uid="{93714392-4860-4277-A1B2-24B93940A9BC}" name="E_OFF_RATING" dataDxfId="788"/>
    <tableColumn id="9" xr3:uid="{A1C1D981-D19E-4582-9338-5DB9C7D6D2B2}" name="OFF_RATING" dataDxfId="787"/>
    <tableColumn id="10" xr3:uid="{4D6A0456-3621-42C9-8C6D-8552F939F1C0}" name="E_DEF_RATING" dataDxfId="786"/>
    <tableColumn id="11" xr3:uid="{DBC8861E-636C-4B9A-BBA7-52BC4565F273}" name="DEF_RATING" dataDxfId="785"/>
    <tableColumn id="12" xr3:uid="{937E4587-538A-46CF-BBDD-0974A6369D98}" name="E_NET_RATING" dataDxfId="784"/>
    <tableColumn id="13" xr3:uid="{F0ACF45E-8B31-4286-A28A-6993E883068E}" name="NET_RATING" dataDxfId="783"/>
    <tableColumn id="14" xr3:uid="{547DFDEB-ED3B-4422-BF23-6288B4E00770}" name="AST_PCT" dataDxfId="782"/>
    <tableColumn id="15" xr3:uid="{19ED8361-9DE3-4142-8678-311FC40A16DE}" name="AST_TO" dataDxfId="781"/>
    <tableColumn id="16" xr3:uid="{20937658-53CF-4722-957A-CB75ABF238B6}" name="AST_RATIO" dataDxfId="780"/>
    <tableColumn id="17" xr3:uid="{79DAEFBB-63AF-4ECF-8D69-C0B10435326E}" name="OREB_PCT" dataDxfId="779"/>
    <tableColumn id="18" xr3:uid="{C8B805CF-39E8-4615-8A9E-AB1DDCE3F563}" name="DREB_PCT" dataDxfId="778"/>
    <tableColumn id="19" xr3:uid="{D8671128-8AB4-457F-89EF-26403D8823BD}" name="REB_PCT" dataDxfId="777"/>
    <tableColumn id="20" xr3:uid="{1400D166-F85D-4B2F-AA57-5C3BE995F695}" name="TM_TOV_PCT" dataDxfId="776"/>
    <tableColumn id="21" xr3:uid="{762C61F6-E614-4362-9257-6FA7EF987B32}" name="EFG_PCT" dataDxfId="775"/>
    <tableColumn id="22" xr3:uid="{B5DFCCE1-93FA-459E-800B-2C33DA011DC5}" name="TS_PCT" dataDxfId="774"/>
    <tableColumn id="23" xr3:uid="{E916A270-585C-461F-B3CD-32489E3E1E30}" name="E_PACE" dataDxfId="773"/>
    <tableColumn id="24" xr3:uid="{26FEA99E-59AB-4A74-A3D7-3B9A3EA1303D}" name="PACE" dataDxfId="772"/>
    <tableColumn id="25" xr3:uid="{941A4C46-D040-469B-A437-10C382E10973}" name="PACE_PER40" dataDxfId="771"/>
    <tableColumn id="26" xr3:uid="{9AF878DD-2369-4532-A652-E4CFA756DFF2}" name="POSS" dataDxfId="770"/>
    <tableColumn id="27" xr3:uid="{4DEF9A76-9569-4BDC-B9F9-2944E38C3C0C}" name="PIE" dataDxfId="769"/>
    <tableColumn id="28" xr3:uid="{1904B35F-C34A-4F7F-8D35-64E4C5BF1B0B}" name="GP_RANK" dataDxfId="768"/>
    <tableColumn id="29" xr3:uid="{BA4AE771-BEBC-47E9-AABA-FE5EC4C4A8AD}" name="W_RANK" dataDxfId="767"/>
    <tableColumn id="30" xr3:uid="{154E47B4-123B-4EA5-BDEF-7AB2AD55A4F0}" name="L_RANK" dataDxfId="766"/>
    <tableColumn id="31" xr3:uid="{16BA07D9-EB39-4017-A86A-C232BE8323A0}" name="W_PCT_RANK" dataDxfId="765"/>
    <tableColumn id="32" xr3:uid="{CADBA42B-B8F5-4EC4-B30A-142DBAD84472}" name="MIN_RANK" dataDxfId="764"/>
    <tableColumn id="33" xr3:uid="{BD89FC0E-D1E2-43C4-A52E-7A39E07F0662}" name="OFF_RATING_RANK" dataDxfId="763"/>
    <tableColumn id="34" xr3:uid="{F9F7B693-5D52-4D43-A673-D232AD6F15EE}" name="DEF_RATING_RANK" dataDxfId="762"/>
    <tableColumn id="35" xr3:uid="{5091D036-597B-4A68-8A38-DBFA2ECD045A}" name="NET_RATING_RANK" dataDxfId="761"/>
    <tableColumn id="36" xr3:uid="{D0DDD0ED-62C1-4504-8671-6C59F2C9C92E}" name="AST_PCT_RANK" dataDxfId="760"/>
    <tableColumn id="37" xr3:uid="{D9228859-89E4-44AD-AE75-AA7D2C71144A}" name="AST_TO_RANK" dataDxfId="759"/>
    <tableColumn id="38" xr3:uid="{7C63D81A-F598-45D4-B4A7-52DCC203FC41}" name="AST_RATIO_RANK" dataDxfId="758"/>
    <tableColumn id="39" xr3:uid="{BF7D7A3F-49FA-488E-BD2B-AFED7BF11848}" name="OREB_PCT_RANK" dataDxfId="757"/>
    <tableColumn id="40" xr3:uid="{9AD27B95-C744-4313-96DA-99FF33EF1956}" name="DREB_PCT_RANK" dataDxfId="756"/>
    <tableColumn id="41" xr3:uid="{38F0A895-6F40-4323-92B0-1C52D6994F81}" name="REB_PCT_RANK" dataDxfId="755"/>
    <tableColumn id="42" xr3:uid="{75A8FF47-76AD-4DB4-9FEA-859697F6239E}" name="TM_TOV_PCT_RANK" dataDxfId="754"/>
    <tableColumn id="43" xr3:uid="{201BCC58-CC76-4D75-BFCB-957E6B6BB394}" name="EFG_PCT_RANK" dataDxfId="753"/>
    <tableColumn id="44" xr3:uid="{E974F0D3-B6F0-4440-935C-BC139E499A66}" name="TS_PCT_RANK" dataDxfId="752"/>
    <tableColumn id="45" xr3:uid="{20389505-B050-4028-B027-E6E686106972}" name="PACE_RANK" dataDxfId="751"/>
    <tableColumn id="46" xr3:uid="{6AB879DF-6656-4BF5-83F7-91FBCC9D030F}" name="PIE_RANK" dataDxfId="750"/>
    <tableColumn id="47" xr3:uid="{BF03D79F-8BBA-49EB-AC52-BF5A130AC033}" name="CFID" dataDxfId="749"/>
    <tableColumn id="48" xr3:uid="{470289AC-1B4C-43D2-9B6F-8CB67019142D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103068-DF7C-4114-9ADE-387D05065619}" name="TableAdvancedNStarters" displayName="TableAdvancedNStarters" ref="A1:AV31" totalsRowShown="0" headerRowDxfId="649">
  <autoFilter ref="A1:AV31" xr:uid="{63B0147E-5559-4ABF-8590-ACE1790A24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D6683A3-2E75-42C9-BE3C-D16ECD29AD42}" name="TEAM_ID" dataDxfId="697"/>
    <tableColumn id="2" xr3:uid="{6617677D-225A-4187-88BA-0C2F813F99E9}" name="TEAM_NAME" dataDxfId="696"/>
    <tableColumn id="3" xr3:uid="{943C5FBC-2F87-432B-8ABC-F94BB3438019}" name="GP" dataDxfId="695"/>
    <tableColumn id="4" xr3:uid="{58BC448B-130F-496F-B3AF-4EB6DFB2D122}" name="W" dataDxfId="694"/>
    <tableColumn id="5" xr3:uid="{7D8215A0-A6B4-4EC0-AD4E-1DF119F491E2}" name="L" dataDxfId="693"/>
    <tableColumn id="6" xr3:uid="{51C212EF-3B5A-4E32-A881-2006FA1C6C98}" name="W_PCT" dataDxfId="692"/>
    <tableColumn id="7" xr3:uid="{82B6DDC2-55D5-421F-9A79-70FDBA91157B}" name="MIN" dataDxfId="691"/>
    <tableColumn id="8" xr3:uid="{7B5EFD7E-39C5-491B-9087-4A640C0CE848}" name="E_OFF_RATING" dataDxfId="690"/>
    <tableColumn id="9" xr3:uid="{16813ABA-9728-4362-88CE-2D6923699556}" name="OFF_RATING" dataDxfId="689"/>
    <tableColumn id="10" xr3:uid="{FB7FA6D1-3493-408B-BDED-967096B99AA1}" name="E_DEF_RATING" dataDxfId="688"/>
    <tableColumn id="11" xr3:uid="{3F6A8E97-5288-47AC-B910-D4FFC76E0B41}" name="DEF_RATING" dataDxfId="687"/>
    <tableColumn id="12" xr3:uid="{F02AD274-3DB3-47E4-A194-9B30636F0DA8}" name="E_NET_RATING" dataDxfId="686"/>
    <tableColumn id="13" xr3:uid="{45470AE5-1B86-4119-BDE7-A6DBC702203D}" name="NET_RATING" dataDxfId="685"/>
    <tableColumn id="14" xr3:uid="{6AEDDF68-F674-4ACD-BD05-D7FEBCD22BB2}" name="AST_PCT" dataDxfId="684"/>
    <tableColumn id="15" xr3:uid="{EC6E1031-3015-4CA4-B9A7-C9AACD8F8C14}" name="AST_TO" dataDxfId="683"/>
    <tableColumn id="16" xr3:uid="{FA5A3A02-1EB2-4D5F-BA06-BCBFB9C68F4B}" name="AST_RATIO" dataDxfId="682"/>
    <tableColumn id="17" xr3:uid="{642F984E-CAA3-40A7-9C00-C016301475D7}" name="OREB_PCT" dataDxfId="681"/>
    <tableColumn id="18" xr3:uid="{219F4A30-44E7-45E4-B5A5-71E93C9038E7}" name="DREB_PCT" dataDxfId="680"/>
    <tableColumn id="19" xr3:uid="{3AC5A764-E7F7-4FE9-926F-1842B8B5DC94}" name="REB_PCT" dataDxfId="679"/>
    <tableColumn id="20" xr3:uid="{21FF2615-BB4A-4C2C-9A0F-020BF1BA2DC9}" name="TM_TOV_PCT" dataDxfId="678"/>
    <tableColumn id="21" xr3:uid="{3B8A3855-7EAB-4615-B695-0BFC65FB711A}" name="EFG_PCT" dataDxfId="677"/>
    <tableColumn id="22" xr3:uid="{1612B3E8-A71B-4869-973A-C090DC9A2A92}" name="TS_PCT" dataDxfId="676"/>
    <tableColumn id="23" xr3:uid="{5EBB8939-6331-4356-A511-875BA37B58A3}" name="E_PACE" dataDxfId="675"/>
    <tableColumn id="24" xr3:uid="{0E77BF20-BB54-4D10-9141-CCB062B3FA81}" name="PACE" dataDxfId="674"/>
    <tableColumn id="25" xr3:uid="{0BF8AD05-F2F6-4084-991C-377E5D5D9201}" name="PACE_PER40" dataDxfId="673"/>
    <tableColumn id="26" xr3:uid="{C01762C2-AF8E-43A3-8068-A550A52A969F}" name="POSS" dataDxfId="672"/>
    <tableColumn id="27" xr3:uid="{31A61100-09DA-4017-843C-CC7B4E56B8AE}" name="PIE" dataDxfId="671"/>
    <tableColumn id="28" xr3:uid="{46BCBA45-ACEE-4E26-86FC-38462B5B1772}" name="GP_RANK" dataDxfId="670"/>
    <tableColumn id="29" xr3:uid="{32FDC90B-F2E9-4C96-A99C-DEF234290A46}" name="W_RANK" dataDxfId="669"/>
    <tableColumn id="30" xr3:uid="{6DC85CA4-5AF6-4B1B-B713-D48C8D90BE1F}" name="L_RANK" dataDxfId="668"/>
    <tableColumn id="31" xr3:uid="{3E3F7F68-E567-4D76-ADCE-BEDB75538457}" name="W_PCT_RANK" dataDxfId="667"/>
    <tableColumn id="32" xr3:uid="{AC20F7E3-C419-430E-8474-ECF00E7A4333}" name="MIN_RANK" dataDxfId="666"/>
    <tableColumn id="33" xr3:uid="{41508797-1E60-41FE-ACF5-3813A923F145}" name="OFF_RATING_RANK" dataDxfId="665"/>
    <tableColumn id="34" xr3:uid="{EBDCCE0C-AF25-4CD9-BE22-6F2A69848D6B}" name="DEF_RATING_RANK" dataDxfId="664"/>
    <tableColumn id="35" xr3:uid="{1779B327-B28D-4DDF-82FF-EC284FC58CC6}" name="NET_RATING_RANK" dataDxfId="663"/>
    <tableColumn id="36" xr3:uid="{1B86EB05-2159-4CD1-8C3B-3F56BA18B1E2}" name="AST_PCT_RANK" dataDxfId="662"/>
    <tableColumn id="37" xr3:uid="{A95CD095-1FC8-4197-A10F-B054C077C991}" name="AST_TO_RANK" dataDxfId="661"/>
    <tableColumn id="38" xr3:uid="{E2D47C09-AED1-4A5C-B92B-9F27B5133732}" name="AST_RATIO_RANK" dataDxfId="660"/>
    <tableColumn id="39" xr3:uid="{944E9401-B939-414A-88A5-EDAC289A98A2}" name="OREB_PCT_RANK" dataDxfId="659"/>
    <tableColumn id="40" xr3:uid="{4A144FB1-84A0-4F9B-BFFF-EFF8833AA509}" name="DREB_PCT_RANK" dataDxfId="658"/>
    <tableColumn id="41" xr3:uid="{74653FDE-8182-4316-872A-D95E68788DFB}" name="REB_PCT_RANK" dataDxfId="657"/>
    <tableColumn id="42" xr3:uid="{CB04EF0F-C7E5-4FF6-9602-BDD108D1EE9F}" name="TM_TOV_PCT_RANK" dataDxfId="656"/>
    <tableColumn id="43" xr3:uid="{BED2279A-4440-4B10-8804-0A1716CA7CE0}" name="EFG_PCT_RANK" dataDxfId="655"/>
    <tableColumn id="44" xr3:uid="{A41A840B-5239-4827-B748-F458055CD6C7}" name="TS_PCT_RANK" dataDxfId="654"/>
    <tableColumn id="45" xr3:uid="{5720D425-0E1E-43CB-8E57-3645AD62FDF0}" name="PACE_RANK" dataDxfId="653"/>
    <tableColumn id="46" xr3:uid="{5F05EE45-7D03-426C-9325-4AE1D72B257D}" name="PIE_RANK" dataDxfId="652"/>
    <tableColumn id="47" xr3:uid="{F1292193-03CE-4655-9C81-EB85C61DF3D7}" name="CFID" dataDxfId="651"/>
    <tableColumn id="48" xr3:uid="{E18B4860-BA06-4D4A-854F-2303174DB99C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AA2483D-FACD-41DD-A967-F9499DFB8067}" name="TableAdvancedNBench" displayName="TableAdvancedNBench" ref="A1:AV31" totalsRowShown="0" headerRowDxfId="551">
  <autoFilter ref="A1:AV31" xr:uid="{C3B9850E-99F4-482D-90A0-9C02906B7E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D22459B-DC8C-4406-9367-07A8DC3FB6E9}" name="TEAM_ID" dataDxfId="599"/>
    <tableColumn id="2" xr3:uid="{4D69F021-1C1E-443E-B791-A984283F98B5}" name="TEAM_NAME" dataDxfId="598"/>
    <tableColumn id="3" xr3:uid="{39F67453-BB73-41CF-A9C4-4833794D9BF5}" name="GP" dataDxfId="597"/>
    <tableColumn id="4" xr3:uid="{B7F15490-BE6B-4DC8-9614-4501CE60618C}" name="W" dataDxfId="596"/>
    <tableColumn id="5" xr3:uid="{A6995C2E-75CF-4270-94FF-982741BF38B1}" name="L" dataDxfId="595"/>
    <tableColumn id="6" xr3:uid="{955C2F10-AE6E-4B40-9B26-CB448BECCBD7}" name="W_PCT" dataDxfId="594"/>
    <tableColumn id="7" xr3:uid="{373CA7F3-832D-493B-A2FB-FAA20AE8CE16}" name="MIN" dataDxfId="593"/>
    <tableColumn id="8" xr3:uid="{94073C9B-A5C6-438C-9770-2FF354293D6B}" name="E_OFF_RATING" dataDxfId="592"/>
    <tableColumn id="9" xr3:uid="{5903951F-639F-4DAD-AC82-8182294CFFC3}" name="OFF_RATING" dataDxfId="591"/>
    <tableColumn id="10" xr3:uid="{47B6BCFC-BC6B-4A0F-8EEB-4D7433177D0E}" name="E_DEF_RATING" dataDxfId="590"/>
    <tableColumn id="11" xr3:uid="{6AE65819-C715-4102-90A6-17C5F68CC5E5}" name="DEF_RATING" dataDxfId="589"/>
    <tableColumn id="12" xr3:uid="{A5D9D8BC-4FAA-433C-8DA6-E1CA4AEE984C}" name="E_NET_RATING" dataDxfId="588"/>
    <tableColumn id="13" xr3:uid="{756F5947-DC58-4D31-88FA-96647AB9CC0A}" name="NET_RATING" dataDxfId="587"/>
    <tableColumn id="14" xr3:uid="{0635ED39-83F3-4712-8FC1-339A3E37E2B7}" name="AST_PCT" dataDxfId="586"/>
    <tableColumn id="15" xr3:uid="{83E4F626-5C26-41B7-AE5A-EA3C5523C621}" name="AST_TO" dataDxfId="585"/>
    <tableColumn id="16" xr3:uid="{F1A12AA9-D69D-462B-A3E9-250F9596096E}" name="AST_RATIO" dataDxfId="584"/>
    <tableColumn id="17" xr3:uid="{B4CEDCEC-8713-4004-BBB1-3C5B54401F36}" name="OREB_PCT" dataDxfId="583"/>
    <tableColumn id="18" xr3:uid="{18D4CE03-7905-4698-A2C6-214EAAB317C0}" name="DREB_PCT" dataDxfId="582"/>
    <tableColumn id="19" xr3:uid="{9DE3B3AA-CBF3-48CD-A9EC-79E399B6F959}" name="REB_PCT" dataDxfId="581"/>
    <tableColumn id="20" xr3:uid="{738C4A23-6262-4D89-8FC7-601A0830FDB2}" name="TM_TOV_PCT" dataDxfId="580"/>
    <tableColumn id="21" xr3:uid="{492BA7C3-D100-4008-8561-235B112A2A8A}" name="EFG_PCT" dataDxfId="579"/>
    <tableColumn id="22" xr3:uid="{A58F641E-B3E7-4C6B-935E-43E455224A23}" name="TS_PCT" dataDxfId="578"/>
    <tableColumn id="23" xr3:uid="{60E57F5C-8677-4C13-BA89-DB9B9004A902}" name="E_PACE" dataDxfId="577"/>
    <tableColumn id="24" xr3:uid="{1616D638-A95A-4877-84ED-DCC29FC48A53}" name="PACE" dataDxfId="576"/>
    <tableColumn id="25" xr3:uid="{8A91E29D-6068-4702-98F5-F131132C3E74}" name="PACE_PER40" dataDxfId="575"/>
    <tableColumn id="26" xr3:uid="{58FF24DC-62C5-4859-B767-CD6FE98ABC3A}" name="POSS" dataDxfId="574"/>
    <tableColumn id="27" xr3:uid="{4BADFD12-08BB-45C4-8D8E-903A596FE701}" name="PIE" dataDxfId="573"/>
    <tableColumn id="28" xr3:uid="{BE1894D2-F93A-424C-93F8-8093EA625F32}" name="GP_RANK" dataDxfId="572"/>
    <tableColumn id="29" xr3:uid="{AD66730D-0DC8-4AAD-85E2-6C3F0BB0CE0E}" name="W_RANK" dataDxfId="571"/>
    <tableColumn id="30" xr3:uid="{B9EDCDF6-42B8-4D19-9CDC-D6D2545411BD}" name="L_RANK" dataDxfId="570"/>
    <tableColumn id="31" xr3:uid="{EB6B728C-EB86-4D8B-8BE1-7E9BBD5EF919}" name="W_PCT_RANK" dataDxfId="569"/>
    <tableColumn id="32" xr3:uid="{ACAB60C4-E0B8-4DE2-8190-06157B5DD828}" name="MIN_RANK" dataDxfId="568"/>
    <tableColumn id="33" xr3:uid="{9D54B79B-FBFC-40BD-BC0E-9E7964164E5E}" name="OFF_RATING_RANK" dataDxfId="567"/>
    <tableColumn id="34" xr3:uid="{5DD09A97-F71D-4BD2-A4E2-D00F497D6AE3}" name="DEF_RATING_RANK" dataDxfId="566"/>
    <tableColumn id="35" xr3:uid="{CF37F3D9-CABF-44FE-9202-227459641608}" name="NET_RATING_RANK" dataDxfId="565"/>
    <tableColumn id="36" xr3:uid="{84554C6B-15AA-454E-8FCE-D241796E0536}" name="AST_PCT_RANK" dataDxfId="564"/>
    <tableColumn id="37" xr3:uid="{F4353424-A8D1-4B9E-84EB-5DBA8A57A9AE}" name="AST_TO_RANK" dataDxfId="563"/>
    <tableColumn id="38" xr3:uid="{BB1CE117-1974-432C-9C68-1650E7884A78}" name="AST_RATIO_RANK" dataDxfId="562"/>
    <tableColumn id="39" xr3:uid="{5BE1AF0B-42E3-4D77-8F38-02F3A74A9A93}" name="OREB_PCT_RANK" dataDxfId="561"/>
    <tableColumn id="40" xr3:uid="{8695675D-9731-43EA-9E19-1388A0A02D77}" name="DREB_PCT_RANK" dataDxfId="560"/>
    <tableColumn id="41" xr3:uid="{6F89EC27-8A2B-431A-B5E4-14033A5B9F7F}" name="REB_PCT_RANK" dataDxfId="559"/>
    <tableColumn id="42" xr3:uid="{1E38FAE5-AD65-4F97-A5B8-0867689E39E5}" name="TM_TOV_PCT_RANK" dataDxfId="558"/>
    <tableColumn id="43" xr3:uid="{F37F079C-A7D1-42DF-97FC-F7762E7DABC8}" name="EFG_PCT_RANK" dataDxfId="557"/>
    <tableColumn id="44" xr3:uid="{44D3C611-8089-41AF-9420-BF01AF20FA9C}" name="TS_PCT_RANK" dataDxfId="556"/>
    <tableColumn id="45" xr3:uid="{D0B397AF-6A58-4E3A-A9C4-5DC6B86E978D}" name="PACE_RANK" dataDxfId="555"/>
    <tableColumn id="46" xr3:uid="{E66D373C-9A09-40F2-A156-F2D17F277A06}" name="PIE_RANK" dataDxfId="554"/>
    <tableColumn id="47" xr3:uid="{29D04E78-C931-4CFA-8ED3-EA4294C06912}" name="CFID" dataDxfId="553"/>
    <tableColumn id="48" xr3:uid="{D3CFF5E4-3C3F-4FD3-98BF-9BEC54456906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A740460-595A-41E4-BA83-530C2A34C1CE}" name="TableMiscN" displayName="TableMiscN" ref="A1:AD31" totalsRowShown="0" headerRowDxfId="471">
  <autoFilter ref="A1:AD31" xr:uid="{C46744D2-70AB-460C-AA89-831581A1EEF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07D252A-B4B8-45FE-BFED-E8263E27E537}" name="TEAM_ID" dataDxfId="501"/>
    <tableColumn id="2" xr3:uid="{C77708AE-94E2-441C-A73F-628D22132211}" name="TEAM_NAME" dataDxfId="500"/>
    <tableColumn id="3" xr3:uid="{6734714B-20BF-4583-86EA-B4ADE04684C3}" name="GP" dataDxfId="499"/>
    <tableColumn id="4" xr3:uid="{874EAB19-C580-41C1-B743-282223A211CF}" name="W" dataDxfId="498"/>
    <tableColumn id="5" xr3:uid="{24E7B073-3C55-46BA-92EA-9ADC100CBF5C}" name="L" dataDxfId="497"/>
    <tableColumn id="6" xr3:uid="{F6902F54-D00A-469C-8608-8169110395F2}" name="W_PCT" dataDxfId="496"/>
    <tableColumn id="7" xr3:uid="{68F038CF-8095-4E52-89EE-46912CF8A082}" name="MIN" dataDxfId="495"/>
    <tableColumn id="8" xr3:uid="{597FE99D-FF82-4708-9A62-C01B65FC8C1B}" name="PTS_OFF_TOV" dataDxfId="494"/>
    <tableColumn id="9" xr3:uid="{EF778565-0400-4815-9EA0-60451231261E}" name="PTS_2ND_CHANCE" dataDxfId="493"/>
    <tableColumn id="10" xr3:uid="{5225EA87-DC46-4B29-A39D-AC2B8096015E}" name="PTS_FB" dataDxfId="492"/>
    <tableColumn id="11" xr3:uid="{A2318ECD-79DC-436E-976D-7884893B93F9}" name="PTS_PAINT" dataDxfId="491"/>
    <tableColumn id="12" xr3:uid="{E978B3E6-627B-422F-9245-A47497B54A00}" name="OPP_PTS_OFF_TOV" dataDxfId="490"/>
    <tableColumn id="13" xr3:uid="{754C207D-91D8-49FF-8B26-AD24A048BF55}" name="OPP_PTS_2ND_CHANCE" dataDxfId="489"/>
    <tableColumn id="14" xr3:uid="{407CDD79-6ED8-40DD-8C75-FAE118376C7F}" name="OPP_PTS_FB" dataDxfId="488"/>
    <tableColumn id="15" xr3:uid="{71D13026-6632-4062-834D-67A06888DE75}" name="OPP_PTS_PAINT" dataDxfId="487"/>
    <tableColumn id="16" xr3:uid="{6C1FAB24-FA2E-4E95-8837-D646A803957D}" name="GP_RANK" dataDxfId="486"/>
    <tableColumn id="17" xr3:uid="{42CEDC1F-296A-44C2-8303-248A1EBF7F34}" name="W_RANK" dataDxfId="485"/>
    <tableColumn id="18" xr3:uid="{A0F5E054-A6AE-441A-A424-B9DCD668FCD6}" name="L_RANK" dataDxfId="484"/>
    <tableColumn id="19" xr3:uid="{DB556578-92D8-4395-AD9A-A5AC60BDAAD7}" name="W_PCT_RANK" dataDxfId="483"/>
    <tableColumn id="20" xr3:uid="{0163F43D-765E-459B-9346-8F34FE236398}" name="MIN_RANK" dataDxfId="482"/>
    <tableColumn id="21" xr3:uid="{161E1E25-629B-441F-8AB4-FE488F86BFB7}" name="PTS_OFF_TOV_RANK" dataDxfId="481"/>
    <tableColumn id="22" xr3:uid="{2985B87E-C34D-4FB9-97C3-69937F233A76}" name="PTS_2ND_CHANCE_RANK" dataDxfId="480"/>
    <tableColumn id="23" xr3:uid="{17DC4387-41D6-44EF-887F-BAC2A52E2570}" name="PTS_FB_RANK" dataDxfId="479"/>
    <tableColumn id="24" xr3:uid="{5BC28D87-3CAC-4A15-93A5-0165A06147D4}" name="PTS_PAINT_RANK" dataDxfId="478"/>
    <tableColumn id="25" xr3:uid="{4741E7D7-C680-45F9-BFFC-183642827FDA}" name="OPP_PTS_OFF_TOV_RANK" dataDxfId="477"/>
    <tableColumn id="26" xr3:uid="{A185B673-5276-4E20-8698-24D0EF5A8CDA}" name="OPP_PTS_2ND_CHANCE_RANK" dataDxfId="476"/>
    <tableColumn id="27" xr3:uid="{D1F30C02-D073-4E6B-9FB9-CB1D5892FCDD}" name="OPP_PTS_FB_RANK" dataDxfId="475"/>
    <tableColumn id="28" xr3:uid="{FFA511BC-B78D-433B-ADC0-C8286E0BF123}" name="OPP_PTS_PAINT_RANK" dataDxfId="474"/>
    <tableColumn id="29" xr3:uid="{A672EED2-3FB6-437B-837E-8E35C0A3537B}" name="CFID" dataDxfId="473"/>
    <tableColumn id="30" xr3:uid="{7450C413-DE76-404C-8041-83AB5B0F849C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FE2C99F-0247-4D39-8BF6-C4A397D75AB1}" name="TableOppBaseN" displayName="TableOppBaseN" ref="A1:BD31" totalsRowShown="0" headerRowDxfId="383">
  <autoFilter ref="A1:BD31" xr:uid="{41539C6D-4EA0-40CE-B091-AB1A099B89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945A471-90A2-4589-ACEE-D75CD4CCDEE8}" name="TEAM_ID" dataDxfId="439"/>
    <tableColumn id="2" xr3:uid="{7AFDDAA9-DCD5-42A4-BEC7-6D1880A19F16}" name="TEAM_NAME" dataDxfId="438"/>
    <tableColumn id="3" xr3:uid="{E6070951-A560-4EEF-B47F-2E867B9B0762}" name="GP" dataDxfId="437"/>
    <tableColumn id="4" xr3:uid="{56E4AB09-FE4C-4CE4-9809-A2CE19E23E63}" name="W" dataDxfId="436"/>
    <tableColumn id="5" xr3:uid="{30A78AB3-C895-4314-A9B6-59BCAD536D8F}" name="L" dataDxfId="435"/>
    <tableColumn id="6" xr3:uid="{4D6F4A47-C96B-4843-A8A8-EFC9B0EDCAE5}" name="W_PCT" dataDxfId="434"/>
    <tableColumn id="7" xr3:uid="{A0BD87AC-362E-4AAD-A9F7-53D0890BA513}" name="MIN" dataDxfId="433"/>
    <tableColumn id="8" xr3:uid="{968D0D38-EB1A-4190-854E-B6A238182174}" name="OPP_FGM" dataDxfId="432"/>
    <tableColumn id="9" xr3:uid="{373D61E5-C022-4641-BA9F-6BD424A4AA0B}" name="OPP_FGA" dataDxfId="431"/>
    <tableColumn id="10" xr3:uid="{95BE60B0-9F05-4085-87D0-27D3C434D71A}" name="OPP_FG_PCT" dataDxfId="430"/>
    <tableColumn id="11" xr3:uid="{432A6549-1E5C-48D0-A9E1-E46F2AC491BF}" name="OPP_FG3M" dataDxfId="429"/>
    <tableColumn id="12" xr3:uid="{C18F2606-6547-402A-BDF8-DE7EBC1AFAF7}" name="OPP_FG3A" dataDxfId="428"/>
    <tableColumn id="13" xr3:uid="{88260252-BC3B-49B3-AAD2-AD7FCBB9BEFA}" name="OPP_FG3_PCT" dataDxfId="427"/>
    <tableColumn id="14" xr3:uid="{9EF283C5-D4C7-4D61-AC0D-EF70297D5EB0}" name="OPP_FTM" dataDxfId="426"/>
    <tableColumn id="15" xr3:uid="{A5D9E99E-4E74-4511-B9D9-1C65B6E583F1}" name="OPP_FTA" dataDxfId="425"/>
    <tableColumn id="16" xr3:uid="{09260559-6D1A-4FD7-8066-A9E2EB8602F6}" name="OPP_FT_PCT" dataDxfId="424"/>
    <tableColumn id="17" xr3:uid="{B9282582-AB42-4D96-A3FF-E47D4DDD0CE3}" name="OPP_OREB" dataDxfId="423"/>
    <tableColumn id="18" xr3:uid="{9156ACDB-6EF7-4E30-8E9F-790B5C3F50D9}" name="OPP_DREB" dataDxfId="422"/>
    <tableColumn id="19" xr3:uid="{7DC7FEBF-5F24-4603-A95C-BE7A6F07148F}" name="OPP_REB" dataDxfId="421"/>
    <tableColumn id="20" xr3:uid="{16C8C0E1-EA21-4E4F-9FE2-2E8A6BD1DA87}" name="OPP_AST" dataDxfId="420"/>
    <tableColumn id="21" xr3:uid="{CE2C9E7A-E292-4D1F-9EB4-4BCD9EA2414A}" name="OPP_TOV" dataDxfId="419"/>
    <tableColumn id="22" xr3:uid="{8CFB2C04-B54B-421D-9A10-A4B2FBCE7C88}" name="OPP_STL" dataDxfId="418"/>
    <tableColumn id="23" xr3:uid="{656ADBEF-B495-493F-B37F-475955F63C17}" name="OPP_BLK" dataDxfId="417"/>
    <tableColumn id="24" xr3:uid="{85917058-FDEE-46B1-A757-0A2DD2F98DDC}" name="OPP_BLKA" dataDxfId="416"/>
    <tableColumn id="25" xr3:uid="{12DE7357-DE07-4FB4-AD41-DAC13902DB82}" name="OPP_PF" dataDxfId="415"/>
    <tableColumn id="26" xr3:uid="{38EE06E3-BE84-4D2A-BAC2-C7D5B5D41762}" name="OPP_PFD" dataDxfId="414"/>
    <tableColumn id="27" xr3:uid="{C87674F4-CE76-4157-B280-9ECDD5572683}" name="OPP_PTS" dataDxfId="413"/>
    <tableColumn id="28" xr3:uid="{BDC50AED-F22C-4CC5-895B-F2645F2BDAA3}" name="PLUS_MINUS" dataDxfId="412"/>
    <tableColumn id="29" xr3:uid="{9B3CB7C3-A6A8-4FAE-800B-E443E71134BE}" name="GP_RANK" dataDxfId="411"/>
    <tableColumn id="30" xr3:uid="{2ABAF94C-EEA3-48C6-8273-36BBB7D7AC14}" name="W_RANK" dataDxfId="410"/>
    <tableColumn id="31" xr3:uid="{FA3F262F-7558-4E9B-AE8B-D0E4065D9D45}" name="L_RANK" dataDxfId="409"/>
    <tableColumn id="32" xr3:uid="{0EC7E680-C6FA-4E33-8CD9-47EC807619E7}" name="W_PCT_RANK" dataDxfId="408"/>
    <tableColumn id="33" xr3:uid="{24D321DB-7877-4FB6-87A0-4CF9BABEDA4E}" name="MIN_RANK" dataDxfId="407"/>
    <tableColumn id="34" xr3:uid="{8977962D-C82D-4169-93DD-42DDC9992C34}" name="OPP_FGM_RANK" dataDxfId="406"/>
    <tableColumn id="35" xr3:uid="{4102EB9C-385E-4E11-A68D-ACE178613A29}" name="OPP_FGA_RANK" dataDxfId="405"/>
    <tableColumn id="36" xr3:uid="{D5E298FD-5192-4DFC-901B-7484998B3386}" name="OPP_FG_PCT_RANK" dataDxfId="404"/>
    <tableColumn id="37" xr3:uid="{8BA8285A-8B65-4EFC-A6EB-10E3ACF4C8EC}" name="OPP_FG3M_RANK" dataDxfId="403"/>
    <tableColumn id="38" xr3:uid="{BA58E4D5-41A5-47A9-8D4B-84458BD62DB8}" name="OPP_FG3A_RANK" dataDxfId="402"/>
    <tableColumn id="39" xr3:uid="{ABA0E473-2E17-477D-9340-BC1F4211021A}" name="OPP_FG3_PCT_RANK" dataDxfId="401"/>
    <tableColumn id="40" xr3:uid="{B60065BA-7F7D-438F-A4C7-174CB8AB3C94}" name="OPP_FTM_RANK" dataDxfId="400"/>
    <tableColumn id="41" xr3:uid="{6313C3F8-EC2F-45E5-92ED-08EDC5EF448A}" name="OPP_FTA_RANK" dataDxfId="399"/>
    <tableColumn id="42" xr3:uid="{9FD2E4BD-0B69-4EDC-A432-8A0BA5767A14}" name="OPP_FT_PCT_RANK" dataDxfId="398"/>
    <tableColumn id="43" xr3:uid="{41703CF4-1347-4609-AE78-8D1776D05500}" name="OPP_OREB_RANK" dataDxfId="397"/>
    <tableColumn id="44" xr3:uid="{486BA3FE-CC54-462A-9E81-747425327DD2}" name="OPP_DREB_RANK" dataDxfId="396"/>
    <tableColumn id="45" xr3:uid="{2A3255D8-2D91-4D2A-9FAE-388C836FC07F}" name="OPP_REB_RANK" dataDxfId="395"/>
    <tableColumn id="46" xr3:uid="{EACA24A1-50A4-4A57-9CDF-142E1581BA1C}" name="OPP_AST_RANK" dataDxfId="394"/>
    <tableColumn id="47" xr3:uid="{5DB8F4A3-CAC4-4375-B28D-7DF873CE5A7C}" name="OPP_TOV_RANK" dataDxfId="393"/>
    <tableColumn id="48" xr3:uid="{E96B8D0F-3DCF-4633-A23D-F1EC8955E115}" name="OPP_STL_RANK" dataDxfId="392"/>
    <tableColumn id="49" xr3:uid="{A6A5CC87-5462-4C8D-B993-F0EE94FAC06F}" name="OPP_BLK_RANK" dataDxfId="391"/>
    <tableColumn id="50" xr3:uid="{8F1946A2-7D95-4257-9894-EF639A092836}" name="OPP_BLKA_RANK" dataDxfId="390"/>
    <tableColumn id="51" xr3:uid="{DC0B9F8E-0930-40B2-B1D6-C52BE9DAFD81}" name="OPP_PF_RANK" dataDxfId="389"/>
    <tableColumn id="52" xr3:uid="{4089D06A-DA61-4EFF-A758-310464B7A477}" name="OPP_PFD_RANK" dataDxfId="388"/>
    <tableColumn id="53" xr3:uid="{81039F7B-4972-41D0-975A-9CAE1F728F9B}" name="OPP_PTS_RANK" dataDxfId="387"/>
    <tableColumn id="54" xr3:uid="{C79DC5E6-30A9-4BBA-AF04-23BC19B07BCE}" name="PLUS_MINUS_RANK" dataDxfId="386"/>
    <tableColumn id="55" xr3:uid="{09842B06-E6F1-4132-9145-88C29D330B11}" name="CFID" dataDxfId="385"/>
    <tableColumn id="56" xr3:uid="{6C3C25AE-9714-41AB-8746-A1F527FE597F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CE5C686-9709-4DD0-A1F4-BF83FD3C20BA}" name="TableClutchBaseN" displayName="TableClutchBaseN" ref="A1:BD31" totalsRowShown="0" headerRowDxfId="269">
  <autoFilter ref="A1:BD31" xr:uid="{5C8D73D1-ABB5-41F4-9588-9B129D5693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C3B8C48-1A16-49DB-9DFA-6627A559621A}" name="TEAM_ID" dataDxfId="325"/>
    <tableColumn id="2" xr3:uid="{67BCBDC3-280A-484F-B1BE-5BBDFA1521E9}" name="TEAM_NAME" dataDxfId="324"/>
    <tableColumn id="3" xr3:uid="{0C035CD3-91E3-49C0-AC52-C428D47834B0}" name="GP" dataDxfId="323"/>
    <tableColumn id="4" xr3:uid="{27F030CD-2D7A-4696-82E5-BBC74EF7E78F}" name="W" dataDxfId="322"/>
    <tableColumn id="5" xr3:uid="{5F50B95C-0FBE-4448-8B8F-1F5AD3E606BB}" name="L" dataDxfId="321"/>
    <tableColumn id="6" xr3:uid="{DE54C318-B8E8-4AE5-88E3-EA8DB81483DA}" name="W_PCT" dataDxfId="320"/>
    <tableColumn id="7" xr3:uid="{648659C9-3928-4764-A46E-947A94B3DB5D}" name="MIN" dataDxfId="319"/>
    <tableColumn id="8" xr3:uid="{16048CC1-4FCC-444B-ACC0-E9C5A2D1666E}" name="FGM" dataDxfId="318"/>
    <tableColumn id="9" xr3:uid="{27F54D3F-8724-4E7F-80B8-F91F26732922}" name="FGA" dataDxfId="317"/>
    <tableColumn id="10" xr3:uid="{F27DAD97-F604-42B3-8F47-69CABBB2004E}" name="FG_PCT" dataDxfId="316"/>
    <tableColumn id="11" xr3:uid="{882BBC7A-9567-4E32-B044-350A9E612035}" name="FG3M" dataDxfId="315"/>
    <tableColumn id="12" xr3:uid="{A135DC80-1059-4493-9594-85B34483C548}" name="FG3A" dataDxfId="314"/>
    <tableColumn id="13" xr3:uid="{7182475B-9635-4741-960C-F9595527724D}" name="FG3_PCT" dataDxfId="313"/>
    <tableColumn id="14" xr3:uid="{9801B0BD-526A-47E0-A421-81D0D2AAFAD0}" name="FTM" dataDxfId="312"/>
    <tableColumn id="15" xr3:uid="{FE9F4274-03DD-4AF6-BA6D-DF5BFC7E95C0}" name="FTA" dataDxfId="311"/>
    <tableColumn id="16" xr3:uid="{53D043A2-E450-4BFF-9B92-3D46DE57FB21}" name="FT_PCT" dataDxfId="310"/>
    <tableColumn id="17" xr3:uid="{AD132DA1-8C3F-4B67-ABBD-B9E45CF34362}" name="OREB" dataDxfId="309"/>
    <tableColumn id="18" xr3:uid="{9F681491-2827-4603-8217-23A87FDA0937}" name="DREB" dataDxfId="308"/>
    <tableColumn id="19" xr3:uid="{4FA9F400-BA3B-44BB-8D06-8112565EEFD8}" name="REB" dataDxfId="307"/>
    <tableColumn id="20" xr3:uid="{37D924E7-98A6-44EE-9BD7-55739FF044CA}" name="AST" dataDxfId="306"/>
    <tableColumn id="21" xr3:uid="{DEEC57EB-9D76-46E5-A659-A1C46E27070C}" name="TOV" dataDxfId="305"/>
    <tableColumn id="22" xr3:uid="{81AB2D6F-7ED9-4663-AC76-3CB5A0EB19F3}" name="STL" dataDxfId="304"/>
    <tableColumn id="23" xr3:uid="{E886E636-3349-4501-B6C1-D9A9FC05E2CF}" name="BLK" dataDxfId="303"/>
    <tableColumn id="24" xr3:uid="{D72F0907-CD42-40AC-B294-7DCD9FCB161B}" name="BLKA" dataDxfId="302"/>
    <tableColumn id="25" xr3:uid="{39F73075-16E5-46FA-8978-3B93C04D27C1}" name="PF" dataDxfId="301"/>
    <tableColumn id="26" xr3:uid="{FBFA0F3E-F43A-4BF5-9027-A198845FC7E5}" name="PFD" dataDxfId="300"/>
    <tableColumn id="27" xr3:uid="{54D80DF4-AA16-4979-B850-AF1C9A7EAB58}" name="PTS" dataDxfId="299"/>
    <tableColumn id="28" xr3:uid="{5C7281E2-22C3-4C81-854E-1A274EFAD77E}" name="PLUS_MINUS" dataDxfId="298"/>
    <tableColumn id="29" xr3:uid="{1D965233-350E-4179-A739-2E626712E4FD}" name="GP_RANK" dataDxfId="297"/>
    <tableColumn id="30" xr3:uid="{D66D0B67-6C61-4539-89AA-2C5D1B443EDB}" name="W_RANK" dataDxfId="296"/>
    <tableColumn id="31" xr3:uid="{913CE8AD-DECE-40E1-AF62-DE6B7F55EA26}" name="L_RANK" dataDxfId="295"/>
    <tableColumn id="32" xr3:uid="{CBE7757A-295A-482C-BA26-4451A1E9DB4A}" name="W_PCT_RANK" dataDxfId="294"/>
    <tableColumn id="33" xr3:uid="{0443B479-E150-4459-8957-B4BB84185D64}" name="MIN_RANK" dataDxfId="293"/>
    <tableColumn id="34" xr3:uid="{98BA34A8-AF68-46B6-95C7-5DB62FE1EBA9}" name="FGM_RANK" dataDxfId="292"/>
    <tableColumn id="35" xr3:uid="{64505416-78D5-484F-A205-1F71A19B33D1}" name="FGA_RANK" dataDxfId="291"/>
    <tableColumn id="36" xr3:uid="{8D0DECD9-3734-4CF2-A4C0-EDEF4FBF7758}" name="FG_PCT_RANK" dataDxfId="290"/>
    <tableColumn id="37" xr3:uid="{326F8986-EBD5-4B3B-A3E3-6D79FCC8C900}" name="FG3M_RANK" dataDxfId="289"/>
    <tableColumn id="38" xr3:uid="{47E7A257-2C6C-4070-9F8F-26765B9A0772}" name="FG3A_RANK" dataDxfId="288"/>
    <tableColumn id="39" xr3:uid="{48703D8F-4CC9-41C1-9EC3-24F7D87D2C03}" name="FG3_PCT_RANK" dataDxfId="287"/>
    <tableColumn id="40" xr3:uid="{5D1DDA3C-2A7B-41A2-8726-FB2AF8A07DA8}" name="FTM_RANK" dataDxfId="286"/>
    <tableColumn id="41" xr3:uid="{2CD6F25A-996F-4674-BD39-174823E1F6C6}" name="FTA_RANK" dataDxfId="285"/>
    <tableColumn id="42" xr3:uid="{68F40EB6-E4B7-4532-9684-2DD39FB30093}" name="FT_PCT_RANK" dataDxfId="284"/>
    <tableColumn id="43" xr3:uid="{07CA8D60-5428-4F12-A775-E021992ED4E5}" name="OREB_RANK" dataDxfId="283"/>
    <tableColumn id="44" xr3:uid="{0E7371D4-76C6-4A5B-A906-4800F4D57CFE}" name="DREB_RANK" dataDxfId="282"/>
    <tableColumn id="45" xr3:uid="{B4F50DF1-4ECC-456B-8865-CAD642991C8D}" name="REB_RANK" dataDxfId="281"/>
    <tableColumn id="46" xr3:uid="{92EEE432-651E-44D2-BA8B-F6CB47DC32B2}" name="AST_RANK" dataDxfId="280"/>
    <tableColumn id="47" xr3:uid="{1C1A19A0-27E1-479F-9345-36856B1CA215}" name="TOV_RANK" dataDxfId="279"/>
    <tableColumn id="48" xr3:uid="{A178654D-C71B-4C29-9458-2F5F34AFB0F2}" name="STL_RANK" dataDxfId="278"/>
    <tableColumn id="49" xr3:uid="{81CD6F8A-9A4F-48B0-A2C1-A57D96A66A02}" name="BLK_RANK" dataDxfId="277"/>
    <tableColumn id="50" xr3:uid="{69E17D4D-8083-4A32-AC52-FF1CCA263505}" name="BLKA_RANK" dataDxfId="276"/>
    <tableColumn id="51" xr3:uid="{5827C557-2A80-441E-99AC-1C2D28C18B26}" name="PF_RANK" dataDxfId="275"/>
    <tableColumn id="52" xr3:uid="{1DC3E7EF-88D1-4701-A8FA-80332D8B4A7B}" name="PFD_RANK" dataDxfId="274"/>
    <tableColumn id="53" xr3:uid="{0853893C-1584-4DE7-9BFA-7AF3E6105018}" name="PTS_RANK" dataDxfId="273"/>
    <tableColumn id="54" xr3:uid="{83DEC585-9DFD-4E18-ADDB-9201CB5550A0}" name="PLUS_MINUS_RANK" dataDxfId="272"/>
    <tableColumn id="55" xr3:uid="{5F3883B3-A359-4010-854D-E69253F64E26}" name="CFID" dataDxfId="271"/>
    <tableColumn id="56" xr3:uid="{48AE68AC-2E5F-4EF0-BA8A-088B71C9E493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059CA6A-DD1D-4E2F-90B7-F6D7973F3E15}" name="TableClutchOpponentN" displayName="TableClutchOpponentN" ref="A1:BD31" totalsRowShown="0" headerRowDxfId="155">
  <autoFilter ref="A1:BD31" xr:uid="{B7F9E593-EA04-40EC-8C48-E577D7EB7A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ADA4F18-BC48-4CF7-ADEE-2ECAB7D0A3A5}" name="TEAM_ID" dataDxfId="211"/>
    <tableColumn id="2" xr3:uid="{BDFE004A-C833-42F8-8031-C2ADABBF4450}" name="TEAM_NAME" dataDxfId="210"/>
    <tableColumn id="3" xr3:uid="{2ECF5F4F-D693-4C38-BEDB-9A13CD064D09}" name="GP" dataDxfId="209"/>
    <tableColumn id="4" xr3:uid="{FB9C2129-EE9A-49D9-AB21-76D46419AE19}" name="W" dataDxfId="208"/>
    <tableColumn id="5" xr3:uid="{12798F70-40E0-4819-8B45-4529AB3E200B}" name="L" dataDxfId="207"/>
    <tableColumn id="6" xr3:uid="{28D63C7E-CC24-4E28-A788-6687BBF3376B}" name="W_PCT" dataDxfId="206"/>
    <tableColumn id="7" xr3:uid="{54D4EF04-4519-42AC-9766-7CADAB3FE5F4}" name="MIN" dataDxfId="205"/>
    <tableColumn id="8" xr3:uid="{EC559164-E27F-4A6F-BDBB-710ED6E09FCA}" name="OPP_FGM" dataDxfId="204"/>
    <tableColumn id="9" xr3:uid="{0E0D2FA8-6160-46D9-AAFC-401BF0105580}" name="OPP_FGA" dataDxfId="203"/>
    <tableColumn id="10" xr3:uid="{B063BCF7-3E8B-475D-B773-B6B69EF1B620}" name="OPP_FG_PCT" dataDxfId="202"/>
    <tableColumn id="11" xr3:uid="{79C582D3-E98D-4A9B-9D9F-B9E5DB2F682B}" name="OPP_FG3M" dataDxfId="201"/>
    <tableColumn id="12" xr3:uid="{F2DF73F0-E141-4D28-B78E-7EFC322C954D}" name="OPP_FG3A" dataDxfId="200"/>
    <tableColumn id="13" xr3:uid="{BFFD716C-3DB9-4261-AA34-7C2902703E82}" name="OPP_FG3_PCT" dataDxfId="199"/>
    <tableColumn id="14" xr3:uid="{17D3EFD0-7D31-41FA-8FF0-A2817B287699}" name="OPP_FTM" dataDxfId="198"/>
    <tableColumn id="15" xr3:uid="{C3566F2F-1857-4EC3-A47E-1D750EEDB474}" name="OPP_FTA" dataDxfId="197"/>
    <tableColumn id="16" xr3:uid="{F328B6F1-A202-47FA-BC98-E8A170E44241}" name="OPP_FT_PCT" dataDxfId="196"/>
    <tableColumn id="17" xr3:uid="{00424418-F56F-4376-9C10-6E671B25CAD5}" name="OPP_OREB" dataDxfId="195"/>
    <tableColumn id="18" xr3:uid="{5213793C-F7DD-45B1-9140-44193B09576D}" name="OPP_DREB" dataDxfId="194"/>
    <tableColumn id="19" xr3:uid="{65C0AA3A-AC91-4F8B-9610-C658D4D341C9}" name="OPP_REB" dataDxfId="193"/>
    <tableColumn id="20" xr3:uid="{D88F99D0-DFE9-49D9-8436-7DFD006D8BEB}" name="OPP_AST" dataDxfId="192"/>
    <tableColumn id="21" xr3:uid="{64F3FA8D-2EDC-4D95-AB45-91D988D46C47}" name="OPP_TOV" dataDxfId="191"/>
    <tableColumn id="22" xr3:uid="{B0FEF28C-D9AE-45B9-9AD1-E50CA4835E66}" name="OPP_STL" dataDxfId="190"/>
    <tableColumn id="23" xr3:uid="{1962CB69-C23A-467D-91FF-D3232F74508E}" name="OPP_BLK" dataDxfId="189"/>
    <tableColumn id="24" xr3:uid="{6B4FCAA8-9EAC-4816-BEAA-B11145E163C2}" name="OPP_BLKA" dataDxfId="188"/>
    <tableColumn id="25" xr3:uid="{066C9F66-4A12-41D5-AFEC-E2A02DB2532D}" name="OPP_PF" dataDxfId="187"/>
    <tableColumn id="26" xr3:uid="{BEC6EC8B-BC39-4A62-B8E3-B2E407A518AB}" name="OPP_PFD" dataDxfId="186"/>
    <tableColumn id="27" xr3:uid="{A9855929-949C-4C4C-91B5-64F0204980A1}" name="OPP_PTS" dataDxfId="185"/>
    <tableColumn id="28" xr3:uid="{3760B678-91E8-46FF-AC82-2819D915E893}" name="PLUS_MINUS" dataDxfId="184"/>
    <tableColumn id="29" xr3:uid="{F576EA2B-A1EB-4513-B2BB-7F1B257702C5}" name="GP_RANK" dataDxfId="183"/>
    <tableColumn id="30" xr3:uid="{01C324B6-5835-4A6E-A1C6-BDA92235177D}" name="W_RANK" dataDxfId="182"/>
    <tableColumn id="31" xr3:uid="{6902A59B-56BB-4F2E-8DE6-9DB06EB19B69}" name="L_RANK" dataDxfId="181"/>
    <tableColumn id="32" xr3:uid="{4053A634-C53E-4BA5-B1F2-4B2C2EE2F3D9}" name="W_PCT_RANK" dataDxfId="180"/>
    <tableColumn id="33" xr3:uid="{972F4390-4113-4E12-9718-4FCC8013671B}" name="MIN_RANK" dataDxfId="179"/>
    <tableColumn id="34" xr3:uid="{2295A216-1463-4150-9767-1A834EAE2ADB}" name="OPP_FGM_RANK" dataDxfId="178"/>
    <tableColumn id="35" xr3:uid="{FBB015CB-D278-46A4-8B97-0F9CD91767A1}" name="OPP_FGA_RANK" dataDxfId="177"/>
    <tableColumn id="36" xr3:uid="{AA201674-6415-40FA-9615-41198149E0EC}" name="OPP_FG_PCT_RANK" dataDxfId="176"/>
    <tableColumn id="37" xr3:uid="{D11AC3DC-C877-4A56-83C5-0A555C536CF9}" name="OPP_FG3M_RANK" dataDxfId="175"/>
    <tableColumn id="38" xr3:uid="{57A9F7BB-D684-4E17-9F4E-2D9DDAE559B5}" name="OPP_FG3A_RANK" dataDxfId="174"/>
    <tableColumn id="39" xr3:uid="{78416301-1E06-4401-B204-1BDA414FDE37}" name="OPP_FG3_PCT_RANK" dataDxfId="173"/>
    <tableColumn id="40" xr3:uid="{AD77EED3-922C-433C-B60C-D69E2E2CEB15}" name="OPP_FTM_RANK" dataDxfId="172"/>
    <tableColumn id="41" xr3:uid="{AF4DC384-A068-4C81-8BBB-1211789BC1A5}" name="OPP_FTA_RANK" dataDxfId="171"/>
    <tableColumn id="42" xr3:uid="{44412669-4123-4DC5-B1F6-A63BED187E91}" name="OPP_FT_PCT_RANK" dataDxfId="170"/>
    <tableColumn id="43" xr3:uid="{BFF5576C-705C-45BC-8366-881668E49FB9}" name="OPP_OREB_RANK" dataDxfId="169"/>
    <tableColumn id="44" xr3:uid="{6FF904D6-7B38-4B81-9372-B612E2D3B54B}" name="OPP_DREB_RANK" dataDxfId="168"/>
    <tableColumn id="45" xr3:uid="{BFC80C03-0B71-478B-B1CA-FC73AB0E590B}" name="OPP_REB_RANK" dataDxfId="167"/>
    <tableColumn id="46" xr3:uid="{5D3DBDCA-DF15-4E1B-B5EB-77974EE77358}" name="OPP_AST_RANK" dataDxfId="166"/>
    <tableColumn id="47" xr3:uid="{A41F33F2-9977-4A43-8FF5-57BC640B92F9}" name="OPP_TOV_RANK" dataDxfId="165"/>
    <tableColumn id="48" xr3:uid="{98158995-9218-4F70-97D9-405B4564674C}" name="OPP_STL_RANK" dataDxfId="164"/>
    <tableColumn id="49" xr3:uid="{D6ECDBD0-AADC-4634-8EEA-137B84FE88E0}" name="OPP_BLK_RANK" dataDxfId="163"/>
    <tableColumn id="50" xr3:uid="{2E506704-9AD3-41F6-9BE4-6448105EF6D2}" name="OPP_BLKA_RANK" dataDxfId="162"/>
    <tableColumn id="51" xr3:uid="{025FCA3E-5A62-42AD-9D72-B23559B210A4}" name="OPP_PF_RANK" dataDxfId="161"/>
    <tableColumn id="52" xr3:uid="{0DD93BBF-EFA5-439D-865B-C380D47432BC}" name="OPP_PFD_RANK" dataDxfId="160"/>
    <tableColumn id="53" xr3:uid="{ADD0A7B3-5EE7-4870-BF12-B7829E949ED7}" name="OPP_PTS_RANK" dataDxfId="159"/>
    <tableColumn id="54" xr3:uid="{ACA3F68D-A259-4E89-B499-A2E1725B20A9}" name="PLUS_MINUS_RANK" dataDxfId="158"/>
    <tableColumn id="55" xr3:uid="{E29BF8BB-53AF-4D40-834F-818F1C06906F}" name="CFID" dataDxfId="157"/>
    <tableColumn id="56" xr3:uid="{F4CA57AF-EE57-46C4-A9DF-64FCCADF928A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E2F2E28-D062-4F42-A50D-572AA502CFDD}" name="TableClutchAdvancedN" displayName="TableClutchAdvancedN" ref="A1:AV31" totalsRowShown="0" headerRowDxfId="49">
  <autoFilter ref="A1:AV31" xr:uid="{BA671C03-696F-4ADB-AFB0-7F8562B523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D77F591-15DA-4291-B315-5841BF33B5D9}" name="TEAM_ID" dataDxfId="97"/>
    <tableColumn id="2" xr3:uid="{5BA032D8-E709-4E1A-96B6-9AD1EFA30ED6}" name="TEAM_NAME" dataDxfId="96"/>
    <tableColumn id="3" xr3:uid="{BA1A56B9-7C22-463F-964D-D8350EE7E6DA}" name="GP" dataDxfId="95"/>
    <tableColumn id="4" xr3:uid="{F01129B8-25F7-41AC-9E34-F0E26A7C260B}" name="W" dataDxfId="94"/>
    <tableColumn id="5" xr3:uid="{2F90ABD7-DC5A-4D09-810F-B1EA7785B0A6}" name="L" dataDxfId="93"/>
    <tableColumn id="6" xr3:uid="{A55D2F40-E4E2-460E-96B7-D929BAB9ACE4}" name="W_PCT" dataDxfId="92"/>
    <tableColumn id="7" xr3:uid="{086A4F41-C141-4573-9A9C-3BC353AD26DC}" name="MIN" dataDxfId="91"/>
    <tableColumn id="8" xr3:uid="{6B49367D-CC82-49B4-A7C2-FAB13209FC0D}" name="E_OFF_RATING" dataDxfId="90"/>
    <tableColumn id="9" xr3:uid="{DC56075A-2B34-449B-90EC-55FDCE9F3E28}" name="OFF_RATING" dataDxfId="89"/>
    <tableColumn id="10" xr3:uid="{BEBDC6B9-D6F9-4EEA-A42A-7DA415888531}" name="E_DEF_RATING" dataDxfId="88"/>
    <tableColumn id="11" xr3:uid="{94B69DCA-7681-4557-A69C-8B1FF107030B}" name="DEF_RATING" dataDxfId="87"/>
    <tableColumn id="12" xr3:uid="{5AD94182-17F1-4147-A6F4-6A29C8516EA0}" name="E_NET_RATING" dataDxfId="86"/>
    <tableColumn id="13" xr3:uid="{1426EF4A-9641-4245-BB96-CC60C5231A4C}" name="NET_RATING" dataDxfId="85"/>
    <tableColumn id="14" xr3:uid="{DD333C0B-2EBA-4EF1-8923-4214704CD6A5}" name="AST_PCT" dataDxfId="84"/>
    <tableColumn id="15" xr3:uid="{A5EA9487-F7AE-4275-B061-21527A5D0550}" name="AST_TO" dataDxfId="83"/>
    <tableColumn id="16" xr3:uid="{338FC871-4751-4644-B5B2-0A8E6F89A1EF}" name="AST_RATIO" dataDxfId="82"/>
    <tableColumn id="17" xr3:uid="{93BC0516-98CB-4063-B74E-BB2565599D69}" name="OREB_PCT" dataDxfId="81"/>
    <tableColumn id="18" xr3:uid="{955A207D-E825-4043-B3F8-5E03A7054271}" name="DREB_PCT" dataDxfId="80"/>
    <tableColumn id="19" xr3:uid="{8DF7EF25-9D89-4144-AD72-07D450FCA24E}" name="REB_PCT" dataDxfId="79"/>
    <tableColumn id="20" xr3:uid="{167F46DE-0E1A-47C1-A91C-E525492FB624}" name="TM_TOV_PCT" dataDxfId="78"/>
    <tableColumn id="21" xr3:uid="{8C8F7D79-17AC-43F0-80A2-ECA139750367}" name="EFG_PCT" dataDxfId="77"/>
    <tableColumn id="22" xr3:uid="{5465C530-825D-4A7D-BFEA-2EE458A11FA2}" name="TS_PCT" dataDxfId="76"/>
    <tableColumn id="23" xr3:uid="{75D5D85C-D805-423F-A4AC-DEADA53FB633}" name="E_PACE" dataDxfId="75"/>
    <tableColumn id="24" xr3:uid="{B9F52B44-498E-4BF7-B18B-9082CFBBEF5E}" name="PACE" dataDxfId="74"/>
    <tableColumn id="25" xr3:uid="{5F5A5BE5-92B2-4777-B9C5-B794C5C2AEA8}" name="PACE_PER40" dataDxfId="73"/>
    <tableColumn id="26" xr3:uid="{F4640B9F-B2CA-4DB3-9220-5B62E842596D}" name="POSS" dataDxfId="72"/>
    <tableColumn id="27" xr3:uid="{A9384CFD-E0FF-4634-BD7A-7B3A1196560F}" name="PIE" dataDxfId="71"/>
    <tableColumn id="28" xr3:uid="{86D3FA69-EECD-414C-ADE6-9FE09AA75D23}" name="GP_RANK" dataDxfId="70"/>
    <tableColumn id="29" xr3:uid="{E868BDD6-0DA7-4A5A-BD04-FB9AAB5D3FD6}" name="W_RANK" dataDxfId="69"/>
    <tableColumn id="30" xr3:uid="{855E5B8B-56B1-4560-A4C3-47F378B33E75}" name="L_RANK" dataDxfId="68"/>
    <tableColumn id="31" xr3:uid="{272E8812-4F71-441C-911A-CF8FFB45EECA}" name="W_PCT_RANK" dataDxfId="67"/>
    <tableColumn id="32" xr3:uid="{00468B08-C269-45C0-A03C-609CD2450CFE}" name="MIN_RANK" dataDxfId="66"/>
    <tableColumn id="33" xr3:uid="{9CBD3B10-2BDB-47EB-9449-466F89406CF0}" name="OFF_RATING_RANK" dataDxfId="65"/>
    <tableColumn id="34" xr3:uid="{4840167F-B9C0-4687-92FD-B7FFC1DB2264}" name="DEF_RATING_RANK" dataDxfId="64"/>
    <tableColumn id="35" xr3:uid="{19D0AE3B-C670-4778-9687-57879680C6CD}" name="NET_RATING_RANK" dataDxfId="63"/>
    <tableColumn id="36" xr3:uid="{0679B0A5-43D5-47D6-B68B-96BF363A0230}" name="AST_PCT_RANK" dataDxfId="62"/>
    <tableColumn id="37" xr3:uid="{28ED8E76-5F00-492F-B514-4FEE5DAFC1D2}" name="AST_TO_RANK" dataDxfId="61"/>
    <tableColumn id="38" xr3:uid="{EE276161-AB9C-4781-9AA8-B43419075A45}" name="AST_RATIO_RANK" dataDxfId="60"/>
    <tableColumn id="39" xr3:uid="{F6F8667E-6F8C-4E93-A527-9CC0E8795734}" name="OREB_PCT_RANK" dataDxfId="59"/>
    <tableColumn id="40" xr3:uid="{B5C15F9C-B0D3-4BF3-B6B5-68E4E29DF0B0}" name="DREB_PCT_RANK" dataDxfId="58"/>
    <tableColumn id="41" xr3:uid="{B846E7D2-EDD6-4A17-9F15-16752CFDCD87}" name="REB_PCT_RANK" dataDxfId="57"/>
    <tableColumn id="42" xr3:uid="{63511157-3B36-486B-8773-D5BC5B86798D}" name="TM_TOV_PCT_RANK" dataDxfId="56"/>
    <tableColumn id="43" xr3:uid="{10838D00-4E19-426B-9F46-1BDB03F690F5}" name="EFG_PCT_RANK" dataDxfId="55"/>
    <tableColumn id="44" xr3:uid="{CA3F8596-D02C-4044-A6DB-EC77385D84F0}" name="TS_PCT_RANK" dataDxfId="54"/>
    <tableColumn id="45" xr3:uid="{F40FAC2B-A0A7-471C-9096-F20F0EB4DEED}" name="PACE_RANK" dataDxfId="53"/>
    <tableColumn id="46" xr3:uid="{7DF4C5A2-5EEF-4BE2-B7FF-ED845D30B669}" name="PIE_RANK" dataDxfId="52"/>
    <tableColumn id="47" xr3:uid="{204174C1-C95D-460A-81F7-0A01B166A732}" name="CFID" dataDxfId="51"/>
    <tableColumn id="48" xr3:uid="{D58B93D8-8A0F-4E55-8F72-73ED31DAD3BF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D5E76F-523E-47CE-B03E-975FCD954802}" name="TableStandingsN1" displayName="TableStandingsN1" ref="A1:CC31" totalsRowShown="0" headerRowDxfId="910">
  <autoFilter ref="A1:CC31" xr:uid="{A110BE8C-F169-4357-840A-73383B73E9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7CDAEA6-3FBA-4DAA-A62B-E15B90044188}" name="LeagueID" dataDxfId="991"/>
    <tableColumn id="2" xr3:uid="{7F5D6C59-DA8F-4326-A774-375409762D91}" name="SeasonID" dataDxfId="990"/>
    <tableColumn id="3" xr3:uid="{E898BA20-20C2-43E6-A312-5E3ECEC31EE0}" name="TeamID" dataDxfId="989"/>
    <tableColumn id="4" xr3:uid="{6E1EBBFB-BCB6-418B-AF87-48A5AECA2093}" name="TeamCity" dataDxfId="988"/>
    <tableColumn id="5" xr3:uid="{9515A20D-6BD3-4954-9719-7B6AC358DBAD}" name="TeamName" dataDxfId="987"/>
    <tableColumn id="6" xr3:uid="{1110387B-42A3-4A24-BAC3-76BAF80F8D38}" name="Conference" dataDxfId="986"/>
    <tableColumn id="7" xr3:uid="{3356B1A7-4C0E-4AA9-AA6D-0B324D3DCB3C}" name="ConferenceRecord" dataDxfId="985"/>
    <tableColumn id="8" xr3:uid="{5737FC8E-71DC-4ACC-868A-F9247B68E46E}" name="PlayoffRank" dataDxfId="984"/>
    <tableColumn id="9" xr3:uid="{A0475DDA-00D1-46DF-A69C-5ACF9D86D4A6}" name="ClinchIndicator" dataDxfId="983"/>
    <tableColumn id="10" xr3:uid="{D7671E0F-84CD-4E40-8BF9-9DCD42186426}" name="Division" dataDxfId="982"/>
    <tableColumn id="11" xr3:uid="{05DDD310-3BB2-4ACE-B7B2-F83660B53755}" name="DivisionRecord" dataDxfId="981"/>
    <tableColumn id="12" xr3:uid="{D16FAA33-448B-4A83-99F8-0F0A56963C73}" name="DivisionRank" dataDxfId="980"/>
    <tableColumn id="13" xr3:uid="{5B5DE1BC-B7A6-4588-994D-E2E33C4D3B11}" name="WINS" dataDxfId="979"/>
    <tableColumn id="14" xr3:uid="{3296EE7A-8E02-49F7-8107-A994B3ADF6CE}" name="LOSSES" dataDxfId="978"/>
    <tableColumn id="15" xr3:uid="{85E92966-D8F4-4998-A10C-F66FC26A4FDA}" name="WinPCT" dataDxfId="977"/>
    <tableColumn id="16" xr3:uid="{AD11D7D4-75C2-42E2-AE72-096305DFD20E}" name="LeagueRank" dataDxfId="976"/>
    <tableColumn id="17" xr3:uid="{3DB93D15-56A8-46DE-8EF4-47A6FBD375FB}" name="Record" dataDxfId="975"/>
    <tableColumn id="18" xr3:uid="{03062A4A-8047-4663-9115-86A5A27713D8}" name="HOME" dataDxfId="974"/>
    <tableColumn id="19" xr3:uid="{FE1F22F0-2675-4C8A-9F1D-5D792B5B4C8E}" name="ROAD" dataDxfId="973"/>
    <tableColumn id="20" xr3:uid="{8E72FDA1-8C0C-46D9-987C-3D0B6910CF3C}" name="L10" dataDxfId="972"/>
    <tableColumn id="21" xr3:uid="{4068B578-FC3D-4A55-AE86-083F188CA334}" name="Last10Home" dataDxfId="971"/>
    <tableColumn id="22" xr3:uid="{32083306-3B8A-43A1-B5FD-2222185E1E58}" name="Last10Road" dataDxfId="970"/>
    <tableColumn id="23" xr3:uid="{18A16323-D838-4FF7-8362-F34DD0C09ABE}" name="OT" dataDxfId="969"/>
    <tableColumn id="24" xr3:uid="{326C4B28-9B6F-480B-8099-13AF9D7D3F14}" name="ThreePTSOrLess" dataDxfId="968"/>
    <tableColumn id="25" xr3:uid="{CDA0D7AB-68EA-4262-BA9D-243E9C3AC43F}" name="TenPTSOrMore" dataDxfId="967"/>
    <tableColumn id="26" xr3:uid="{268435C5-262A-44BB-812B-C2D011F594E8}" name="LongHomeStreak" dataDxfId="966"/>
    <tableColumn id="27" xr3:uid="{9614E1D0-3FF3-4EA9-AEA2-0C55D9E4D4CD}" name="strLongHomeStreak" dataDxfId="965"/>
    <tableColumn id="28" xr3:uid="{4B82D69E-11AE-4320-8912-FE32B66F77E3}" name="LongRoadStreak" dataDxfId="964"/>
    <tableColumn id="29" xr3:uid="{5B44DB82-FB37-458C-82B5-5C3E4BCB77A6}" name="strLongRoadStreak" dataDxfId="963"/>
    <tableColumn id="30" xr3:uid="{E153CB57-8BE2-426D-84CB-E1119BFDE063}" name="LongWinStreak" dataDxfId="962"/>
    <tableColumn id="31" xr3:uid="{56003017-6431-44D7-977B-791C57F06FDE}" name="LongLossStreak" dataDxfId="961"/>
    <tableColumn id="32" xr3:uid="{FF28F93C-2524-4791-9AB9-C394BF225181}" name="CurrentHomeStreak" dataDxfId="960"/>
    <tableColumn id="33" xr3:uid="{2B8AA34C-B9BF-4D0B-AF30-EFD717579AA9}" name="strCurrentHomeStreak" dataDxfId="959"/>
    <tableColumn id="34" xr3:uid="{E837177C-0673-492E-946A-7F364DE41EA9}" name="CurrentRoadStreak" dataDxfId="958"/>
    <tableColumn id="35" xr3:uid="{5CCBC04C-1337-40B1-87BF-1EA95AD2F15A}" name="strCurrentRoadStreak" dataDxfId="957"/>
    <tableColumn id="36" xr3:uid="{7C407AE2-65B2-4748-9CA8-F8DCE5B6E1A4}" name="CurrentStreak" dataDxfId="956"/>
    <tableColumn id="37" xr3:uid="{B3E47173-44E8-4B60-8E98-42E2F67AF036}" name="strCurrentStreak" dataDxfId="955"/>
    <tableColumn id="38" xr3:uid="{1DE76D11-5218-47A3-9466-38D13B60CFF4}" name="ConferenceGamesBack" dataDxfId="954"/>
    <tableColumn id="39" xr3:uid="{B79F1766-A1D4-4E49-B0C5-37912FBB2982}" name="DivisionGamesBack" dataDxfId="953"/>
    <tableColumn id="40" xr3:uid="{5A3454C0-D6F6-47F7-A0DC-BB21E89B4E4C}" name="ClinchedConferenceTitle" dataDxfId="952"/>
    <tableColumn id="41" xr3:uid="{0C0A3E63-9D85-4322-A78B-8E1E366461A6}" name="ClinchedDivisionTitle" dataDxfId="951"/>
    <tableColumn id="42" xr3:uid="{DD9F11BC-619C-4F5A-8141-73EDB1053286}" name="ClinchedPlayoffBirth" dataDxfId="950"/>
    <tableColumn id="43" xr3:uid="{1376EA1A-B879-4DD7-A59E-4CDE30C82A17}" name="EliminatedConference" dataDxfId="949"/>
    <tableColumn id="44" xr3:uid="{2E791DE5-2321-4B8E-BA3A-AD516BF014CC}" name="EliminatedDivision" dataDxfId="948"/>
    <tableColumn id="45" xr3:uid="{3C6C6F54-9FEB-4502-9FAC-8CDD9E50C7AF}" name="AheadAtHalf" dataDxfId="947"/>
    <tableColumn id="46" xr3:uid="{3924C407-A9E7-491E-8E1C-C33D1B987B64}" name="BehindAtHalf" dataDxfId="946"/>
    <tableColumn id="47" xr3:uid="{3017D4D6-437D-4623-97FD-5F0B8BE1193A}" name="TiedAtHalf" dataDxfId="945"/>
    <tableColumn id="48" xr3:uid="{263AE0C8-D117-4232-88B4-227EF2048F3D}" name="AheadAtThird" dataDxfId="944"/>
    <tableColumn id="49" xr3:uid="{73D7EEA0-084F-40B8-8106-21B9288BD9E3}" name="BehindAtThird" dataDxfId="943"/>
    <tableColumn id="50" xr3:uid="{1D2287D1-BE8C-4B5E-946C-9F3CE9822E94}" name="TiedAtThird" dataDxfId="942"/>
    <tableColumn id="51" xr3:uid="{0942ED00-F518-425A-AC93-903AA392C39E}" name="Score100PTS" dataDxfId="941"/>
    <tableColumn id="52" xr3:uid="{BBA25CCF-388D-49F4-9D84-E1229D24CF9F}" name="OppScore100PTS" dataDxfId="940"/>
    <tableColumn id="53" xr3:uid="{6BCF15A0-B6A3-404A-8DF3-5BB1835B8236}" name="OppOver500" dataDxfId="939"/>
    <tableColumn id="54" xr3:uid="{F6E09537-158D-4464-89DB-8A269E17245D}" name="LeadInFGPCT" dataDxfId="938"/>
    <tableColumn id="55" xr3:uid="{1846B6B4-F161-4DA9-A914-0F236853D717}" name="LeadInReb" dataDxfId="937"/>
    <tableColumn id="56" xr3:uid="{7FC20ADB-9C1A-4B3E-9F2E-89CAF507C7CA}" name="FewerTurnovers" dataDxfId="936"/>
    <tableColumn id="57" xr3:uid="{6AA04AE5-38A5-4EFE-B481-FE122DC52A63}" name="PointsPG" dataDxfId="935"/>
    <tableColumn id="58" xr3:uid="{C8E78E00-0C2D-4B3E-9F37-9CF9967D9EBA}" name="OppPointsPG" dataDxfId="934"/>
    <tableColumn id="59" xr3:uid="{21C72FDF-9D27-4CCF-A4F9-AE29927E89D2}" name="DiffPointsPG" dataDxfId="933"/>
    <tableColumn id="60" xr3:uid="{3EFBFFCF-82A4-4DE6-93A6-FCBFFF3B6FD1}" name="vsEast" dataDxfId="932"/>
    <tableColumn id="61" xr3:uid="{064B9DB8-5EDF-47A8-B043-3FC9CD3A349D}" name="vsAtlantic" dataDxfId="931"/>
    <tableColumn id="62" xr3:uid="{CA3BF730-4009-4D16-824A-07D40C3C19A8}" name="vsCentral" dataDxfId="930"/>
    <tableColumn id="63" xr3:uid="{DC6619D9-8436-46F1-9863-18E6ECDDEC75}" name="vsSoutheast" dataDxfId="929"/>
    <tableColumn id="64" xr3:uid="{C42C813E-FD0A-4AAE-8F54-DA609F15BD3A}" name="vsWest" dataDxfId="928"/>
    <tableColumn id="65" xr3:uid="{B97B1E38-50B3-487B-9071-E16FEF5691FA}" name="vsNorthwest" dataDxfId="927"/>
    <tableColumn id="66" xr3:uid="{AB7A9550-4B72-49B9-AB6D-8605F8320755}" name="vsPacific" dataDxfId="926"/>
    <tableColumn id="67" xr3:uid="{8FD8C132-24E1-4DBF-B3A2-C71E2D7C400C}" name="vsSouthwest" dataDxfId="925"/>
    <tableColumn id="68" xr3:uid="{93D3D990-422C-4870-AA8E-E42F8F08E535}" name="Jan" dataDxfId="924"/>
    <tableColumn id="69" xr3:uid="{307D6278-77F2-42D8-82F1-BFB1639FDD30}" name="Feb" dataDxfId="923"/>
    <tableColumn id="70" xr3:uid="{C3ED8170-155E-46AC-A7A8-199A00D1EC55}" name="Mar" dataDxfId="922"/>
    <tableColumn id="71" xr3:uid="{A6160412-116D-4545-8FB3-DA46C2ED1F0E}" name="Apr" dataDxfId="921"/>
    <tableColumn id="72" xr3:uid="{E5CB599E-7494-44EB-B449-5366CBC0BB67}" name="May" dataDxfId="920"/>
    <tableColumn id="73" xr3:uid="{2E33E329-95AE-4CA0-96A2-DF136B454FAC}" name="Jun" dataDxfId="919"/>
    <tableColumn id="74" xr3:uid="{307765EA-0312-4F99-BDFB-ACB617304B8C}" name="Jul" dataDxfId="918"/>
    <tableColumn id="75" xr3:uid="{2FDEA0E2-52B6-4B67-AF99-3E586A9879DC}" name="Aug" dataDxfId="917"/>
    <tableColumn id="76" xr3:uid="{FE16EF59-94AB-44C8-9CD3-443AC91BC71E}" name="Sep" dataDxfId="916"/>
    <tableColumn id="77" xr3:uid="{6C22144A-34AD-46AC-AEFA-73F16247CD70}" name="Oct" dataDxfId="915"/>
    <tableColumn id="78" xr3:uid="{2C98CC8A-5CC8-4FB9-B149-4FF0F4C2FF52}" name="Nov" dataDxfId="914"/>
    <tableColumn id="79" xr3:uid="{73E9B0D3-795F-4AD4-B558-DC7A9EE55F08}" name="Dec" dataDxfId="913"/>
    <tableColumn id="80" xr3:uid="{22E41C28-150F-41B9-82C5-459FA9C0415F}" name="PreAS" dataDxfId="912"/>
    <tableColumn id="81" xr3:uid="{2F546EDF-F513-4AF1-8FE6-02396F0CB232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A746624-D2F8-4A63-AA29-B17A0751DCDA}" name="TableBaseN1" displayName="TableBaseN1" ref="A1:BD31" totalsRowShown="0" headerRowDxfId="796">
  <autoFilter ref="A1:BD31" xr:uid="{16292129-0198-4FC5-9635-EC773A57D08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F31448D-06B9-4191-B207-EB679374D2DA}" name="TEAM_ID" dataDxfId="852"/>
    <tableColumn id="2" xr3:uid="{8681AEEF-F938-44DC-86CF-F80BAEFAB0F9}" name="TEAM_NAME" dataDxfId="851"/>
    <tableColumn id="3" xr3:uid="{99263566-08EF-4944-B51C-6F07492B4F91}" name="GP" dataDxfId="850"/>
    <tableColumn id="4" xr3:uid="{54A2F04C-DE70-46C1-8280-4F350BFA52D2}" name="W" dataDxfId="849"/>
    <tableColumn id="5" xr3:uid="{E482D9DB-F645-4CBC-BC2C-D7C7A667BC42}" name="L" dataDxfId="848"/>
    <tableColumn id="6" xr3:uid="{3238F5A5-1F5B-4664-92C8-21721D1EC048}" name="W_PCT" dataDxfId="847"/>
    <tableColumn id="7" xr3:uid="{83B9EE8E-2D74-41C7-8688-FE4C1FDE538F}" name="MIN" dataDxfId="846"/>
    <tableColumn id="8" xr3:uid="{ED4B1BC0-F449-44F8-A688-FEA22F61DDDA}" name="FGM" dataDxfId="845"/>
    <tableColumn id="9" xr3:uid="{094723A9-3B6B-48AC-95E5-73D4E318969E}" name="FGA" dataDxfId="844"/>
    <tableColumn id="10" xr3:uid="{587D569F-58F4-4885-8D94-25D722D24BD6}" name="FG_PCT" dataDxfId="843"/>
    <tableColumn id="11" xr3:uid="{6D22FA79-1FE0-4F49-A72A-7514F2D088FF}" name="FG3M" dataDxfId="842"/>
    <tableColumn id="12" xr3:uid="{FA06DD60-FA2E-4E47-9D12-7938ED8DC5A5}" name="FG3A" dataDxfId="841"/>
    <tableColumn id="13" xr3:uid="{1C96F3BE-4350-4DB4-8132-70B8E01BFD3D}" name="FG3_PCT" dataDxfId="840"/>
    <tableColumn id="14" xr3:uid="{51970DA2-7A6E-4C75-A0A5-973CAF790008}" name="FTM" dataDxfId="839"/>
    <tableColumn id="15" xr3:uid="{22C6F7EF-9920-4915-908B-133460ECD767}" name="FTA" dataDxfId="838"/>
    <tableColumn id="16" xr3:uid="{17DF8904-A47F-4127-A1E3-3D12B8A88035}" name="FT_PCT" dataDxfId="837"/>
    <tableColumn id="17" xr3:uid="{25450FA1-2C9A-4D2B-8F34-C001CA73C189}" name="OREB" dataDxfId="836"/>
    <tableColumn id="18" xr3:uid="{8C7C5989-1226-462E-BE77-145192EA5E35}" name="DREB" dataDxfId="835"/>
    <tableColumn id="19" xr3:uid="{FB6ADA5C-D450-4DD3-BC57-612F60410E10}" name="REB" dataDxfId="834"/>
    <tableColumn id="20" xr3:uid="{9C02E40B-516D-4A17-81A7-1F22254B5245}" name="AST" dataDxfId="833"/>
    <tableColumn id="21" xr3:uid="{71EEEF04-14FB-41AF-8315-268347EAAFA3}" name="TOV" dataDxfId="832"/>
    <tableColumn id="22" xr3:uid="{7D9FA447-DFD9-494C-AC98-C3EFC8E71EA7}" name="STL" dataDxfId="831"/>
    <tableColumn id="23" xr3:uid="{1C65075C-E803-4BD0-9862-C0DC4753491A}" name="BLK" dataDxfId="830"/>
    <tableColumn id="24" xr3:uid="{64C263DD-D012-462B-BC18-3293C7F2D6FD}" name="BLKA" dataDxfId="829"/>
    <tableColumn id="25" xr3:uid="{C776BCC7-4F29-4F91-81B7-73CDA627757C}" name="PF" dataDxfId="828"/>
    <tableColumn id="26" xr3:uid="{14226529-E85F-45D5-AB8B-7C35FAE34713}" name="PFD" dataDxfId="827"/>
    <tableColumn id="27" xr3:uid="{15A0011C-C0FA-451A-8735-0594D435DABD}" name="PTS" dataDxfId="826"/>
    <tableColumn id="28" xr3:uid="{6FAB7D6E-B692-4795-9EEF-2D5689A16304}" name="PLUS_MINUS" dataDxfId="825"/>
    <tableColumn id="29" xr3:uid="{41688DA6-E234-4A26-8E13-1604DCA73259}" name="GP_RANK" dataDxfId="824"/>
    <tableColumn id="30" xr3:uid="{2E494B21-39C7-4932-A22A-EC163408B0E3}" name="W_RANK" dataDxfId="823"/>
    <tableColumn id="31" xr3:uid="{080F59A4-3AF5-420A-8572-50722E3DE023}" name="L_RANK" dataDxfId="822"/>
    <tableColumn id="32" xr3:uid="{CD80FA08-B6BC-4AC1-83C8-F518BDF7356E}" name="W_PCT_RANK" dataDxfId="821"/>
    <tableColumn id="33" xr3:uid="{C978249A-78BE-4259-B02C-5DE2C748C672}" name="MIN_RANK" dataDxfId="820"/>
    <tableColumn id="34" xr3:uid="{AEA47FAB-2C71-44F9-9469-F85873366803}" name="FGM_RANK" dataDxfId="819"/>
    <tableColumn id="35" xr3:uid="{E1EFDDCF-BD64-48C2-A1AB-65963B324812}" name="FGA_RANK" dataDxfId="818"/>
    <tableColumn id="36" xr3:uid="{A7FA661A-C6E7-4DE1-AD8A-2C88AF7E7259}" name="FG_PCT_RANK" dataDxfId="817"/>
    <tableColumn id="37" xr3:uid="{7EDEBFAA-B77C-44AC-9A15-48FD552499B8}" name="FG3M_RANK" dataDxfId="816"/>
    <tableColumn id="38" xr3:uid="{E5ECD4BD-1B9C-4FB4-B309-F20F654CCFFC}" name="FG3A_RANK" dataDxfId="815"/>
    <tableColumn id="39" xr3:uid="{72A9EA5E-72C8-4D2B-AEDC-2A74BF1005D3}" name="FG3_PCT_RANK" dataDxfId="814"/>
    <tableColumn id="40" xr3:uid="{2EFD43C1-AE6B-4055-BCD6-588205FF0C5C}" name="FTM_RANK" dataDxfId="813"/>
    <tableColumn id="41" xr3:uid="{D36CE73B-4A8D-454A-B18F-C69F0EAF8206}" name="FTA_RANK" dataDxfId="812"/>
    <tableColumn id="42" xr3:uid="{7822DEAA-D0FB-40D4-9E36-9DCAFE7F0CA6}" name="FT_PCT_RANK" dataDxfId="811"/>
    <tableColumn id="43" xr3:uid="{55AD7E8D-7104-495B-8E34-2DF2CF528DF5}" name="OREB_RANK" dataDxfId="810"/>
    <tableColumn id="44" xr3:uid="{C422B025-68B0-4423-BFE0-9DF0051B0FFA}" name="DREB_RANK" dataDxfId="809"/>
    <tableColumn id="45" xr3:uid="{BDB83890-1ABC-4309-A3A3-8988FFABDF92}" name="REB_RANK" dataDxfId="808"/>
    <tableColumn id="46" xr3:uid="{7E34AC50-26D4-4F50-988D-D5D770A3B293}" name="AST_RANK" dataDxfId="807"/>
    <tableColumn id="47" xr3:uid="{39F3EE45-670B-4FB0-B055-873EA9E1EE11}" name="TOV_RANK" dataDxfId="806"/>
    <tableColumn id="48" xr3:uid="{7E8233F1-EE9C-4EA9-8ED0-100BC42A42C7}" name="STL_RANK" dataDxfId="805"/>
    <tableColumn id="49" xr3:uid="{790C5F1A-26F1-496F-A2A7-C08BE5789789}" name="BLK_RANK" dataDxfId="804"/>
    <tableColumn id="50" xr3:uid="{97EBECE7-BB3E-450B-9396-A2F49EAA45B2}" name="BLKA_RANK" dataDxfId="803"/>
    <tableColumn id="51" xr3:uid="{AE9A4F19-08B6-4321-AB7B-71E9ADB01ABE}" name="PF_RANK" dataDxfId="802"/>
    <tableColumn id="52" xr3:uid="{799CA075-2177-4011-8FC1-11254675FE5C}" name="PFD_RANK" dataDxfId="801"/>
    <tableColumn id="53" xr3:uid="{DA941411-02C1-4907-BEBF-18173C8A0F06}" name="PTS_RANK" dataDxfId="800"/>
    <tableColumn id="54" xr3:uid="{D63D423A-E8A0-4735-821B-087ACCC2FCC2}" name="PLUS_MINUS_RANK" dataDxfId="799"/>
    <tableColumn id="55" xr3:uid="{DE1DED74-2554-488F-8EEA-A53DE4B289CA}" name="CFID" dataDxfId="798"/>
    <tableColumn id="56" xr3:uid="{F5A690AC-31A0-41D2-9E77-519A1809BC2E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3014C8-0D3F-407F-A314-40971250EE72}" name="TableAdvancedN1" displayName="TableAdvancedN1" ref="A1:AV31" totalsRowShown="0" headerRowDxfId="698">
  <autoFilter ref="A1:AV31" xr:uid="{A9680235-F95A-4CA5-AAB4-A492E6D36B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2ABB4B-DA35-480C-8F43-1FBC2CB40A77}" name="TEAM_ID" dataDxfId="746"/>
    <tableColumn id="2" xr3:uid="{2E2B614F-E9BA-4A62-85CD-0BE81AF7789F}" name="TEAM_NAME" dataDxfId="745"/>
    <tableColumn id="3" xr3:uid="{13AB64CC-833A-47E8-BD8E-22EA4B84C063}" name="GP" dataDxfId="744"/>
    <tableColumn id="4" xr3:uid="{F9F77C09-2515-46D5-BD5D-63D33E6F179A}" name="W" dataDxfId="743"/>
    <tableColumn id="5" xr3:uid="{9DF949A7-10C7-442A-8BB5-D3E386FCAC54}" name="L" dataDxfId="742"/>
    <tableColumn id="6" xr3:uid="{850F779F-BBFA-4307-AEFB-DF098F742D68}" name="W_PCT" dataDxfId="741"/>
    <tableColumn id="7" xr3:uid="{6888B238-494D-4141-828C-87295B2C3914}" name="MIN" dataDxfId="740"/>
    <tableColumn id="8" xr3:uid="{EAD99A11-4AB8-4CCC-94A5-A4CA19284850}" name="E_OFF_RATING" dataDxfId="739"/>
    <tableColumn id="9" xr3:uid="{4F4993E4-3DFC-4881-8EA3-9889E0A465F9}" name="OFF_RATING" dataDxfId="738"/>
    <tableColumn id="10" xr3:uid="{A695C1DF-06F2-468D-9BC5-9BFDBCB3A273}" name="E_DEF_RATING" dataDxfId="737"/>
    <tableColumn id="11" xr3:uid="{AEEA3411-69BD-4BA2-B8E4-680D4CC1DA04}" name="DEF_RATING" dataDxfId="736"/>
    <tableColumn id="12" xr3:uid="{427E1AAC-2454-4957-947F-9787005026C6}" name="E_NET_RATING" dataDxfId="735"/>
    <tableColumn id="13" xr3:uid="{12BFEA71-4724-4EC0-9621-D7E3D3CB624D}" name="NET_RATING" dataDxfId="734"/>
    <tableColumn id="14" xr3:uid="{C0E54BF6-1652-4ADD-8AD7-AED912BEFC64}" name="AST_PCT" dataDxfId="733"/>
    <tableColumn id="15" xr3:uid="{CC4C709C-C53B-40F2-A739-8A18A2D2C757}" name="AST_TO" dataDxfId="732"/>
    <tableColumn id="16" xr3:uid="{65641BD8-A7A5-4698-B073-785996DD03A0}" name="AST_RATIO" dataDxfId="731"/>
    <tableColumn id="17" xr3:uid="{0D4630CC-D37B-49C7-86E1-345D2DB6B7F0}" name="OREB_PCT" dataDxfId="730"/>
    <tableColumn id="18" xr3:uid="{D13C72E4-DC6E-4DAC-9C9D-AAE8953BC88A}" name="DREB_PCT" dataDxfId="729"/>
    <tableColumn id="19" xr3:uid="{60AD7BF2-8717-4B3C-BF1F-A5699A3C66FD}" name="REB_PCT" dataDxfId="728"/>
    <tableColumn id="20" xr3:uid="{E988A5E9-31D9-4264-8684-BF7A733E119A}" name="TM_TOV_PCT" dataDxfId="727"/>
    <tableColumn id="21" xr3:uid="{CF08AEF5-50C8-4827-B090-320B9E0735AC}" name="EFG_PCT" dataDxfId="726"/>
    <tableColumn id="22" xr3:uid="{1A735D53-B140-4AC6-A6BE-60373D7C60EA}" name="TS_PCT" dataDxfId="725"/>
    <tableColumn id="23" xr3:uid="{FC50F746-389B-49D9-8DFE-93B941893285}" name="E_PACE" dataDxfId="724"/>
    <tableColumn id="24" xr3:uid="{E751728E-F222-4726-BAF9-315BA419B40B}" name="PACE" dataDxfId="723"/>
    <tableColumn id="25" xr3:uid="{22F0F0A9-CBE4-450B-B445-4867F8497EC0}" name="PACE_PER40" dataDxfId="722"/>
    <tableColumn id="26" xr3:uid="{2E604FDD-DCE3-4F60-90E7-D68613197256}" name="POSS" dataDxfId="721"/>
    <tableColumn id="27" xr3:uid="{226CF383-6DCE-489A-8E11-C91305730389}" name="PIE" dataDxfId="720"/>
    <tableColumn id="28" xr3:uid="{C5BAC346-57D6-491E-8DBB-AF8A42FAC635}" name="GP_RANK" dataDxfId="719"/>
    <tableColumn id="29" xr3:uid="{40B25B2F-2375-4F17-B5FB-96CC9B96CECE}" name="W_RANK" dataDxfId="718"/>
    <tableColumn id="30" xr3:uid="{FB2DADA5-2A45-4C64-8912-B893C23F220F}" name="L_RANK" dataDxfId="717"/>
    <tableColumn id="31" xr3:uid="{0C329DA7-8A85-4E7B-A498-5E451739324F}" name="W_PCT_RANK" dataDxfId="716"/>
    <tableColumn id="32" xr3:uid="{A1815405-8C5D-4370-BF55-C3921E909372}" name="MIN_RANK" dataDxfId="715"/>
    <tableColumn id="33" xr3:uid="{C16D2B58-B685-40D8-BDE4-F2198F087571}" name="OFF_RATING_RANK" dataDxfId="714"/>
    <tableColumn id="34" xr3:uid="{A8566F2E-C59A-4D9F-9788-D8D5FD666FFD}" name="DEF_RATING_RANK" dataDxfId="713"/>
    <tableColumn id="35" xr3:uid="{47ADF30A-151B-4209-AF32-45D1060AE7D2}" name="NET_RATING_RANK" dataDxfId="712"/>
    <tableColumn id="36" xr3:uid="{8B5E7178-76A4-4530-8490-82690EF7F088}" name="AST_PCT_RANK" dataDxfId="711"/>
    <tableColumn id="37" xr3:uid="{70B697D2-C63A-48F6-9EB7-A0185620EF86}" name="AST_TO_RANK" dataDxfId="710"/>
    <tableColumn id="38" xr3:uid="{961AB20E-6328-477F-9D1C-4A6E4DD7AA5B}" name="AST_RATIO_RANK" dataDxfId="709"/>
    <tableColumn id="39" xr3:uid="{758D2864-4DB4-4C9D-99D9-7145EFB55392}" name="OREB_PCT_RANK" dataDxfId="708"/>
    <tableColumn id="40" xr3:uid="{39E9FF72-DBFD-43B4-BC7F-21262E405BE2}" name="DREB_PCT_RANK" dataDxfId="707"/>
    <tableColumn id="41" xr3:uid="{E30728B0-04AE-449A-98F5-1E86114CFA1B}" name="REB_PCT_RANK" dataDxfId="706"/>
    <tableColumn id="42" xr3:uid="{386596B7-CFE4-4352-A90A-89D77221EC21}" name="TM_TOV_PCT_RANK" dataDxfId="705"/>
    <tableColumn id="43" xr3:uid="{52BE868F-F4C0-4B51-B785-E20C92D26D2E}" name="EFG_PCT_RANK" dataDxfId="704"/>
    <tableColumn id="44" xr3:uid="{3E56D458-FC1D-4F03-80FD-FCB7E4F60AF2}" name="TS_PCT_RANK" dataDxfId="703"/>
    <tableColumn id="45" xr3:uid="{51BA21D4-F074-48D4-8E78-5C1D01A71C8A}" name="PACE_RANK" dataDxfId="702"/>
    <tableColumn id="46" xr3:uid="{D3916B9F-1FF9-4DEB-8C06-8BF7CD61BB18}" name="PIE_RANK" dataDxfId="701"/>
    <tableColumn id="47" xr3:uid="{1F7FD8F7-D9FA-41DB-80F4-7891883D7CFB}" name="CFID" dataDxfId="700"/>
    <tableColumn id="48" xr3:uid="{72A8805C-C010-4A2D-B9A7-37EAA802CAD8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F08F1E-A9F3-4BB5-81EB-FE9F5199E01F}" name="TableAdvancedN1Starters" displayName="TableAdvancedN1Starters" ref="A1:AV31" totalsRowShown="0" headerRowDxfId="600">
  <autoFilter ref="A1:AV31" xr:uid="{74754736-F01B-49DD-81A5-2B28B4C968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D66CCFE-87E3-4ADC-8253-70463E29418A}" name="TEAM_ID" dataDxfId="648"/>
    <tableColumn id="2" xr3:uid="{1A05DF81-4245-458B-9D98-D885F8F2319A}" name="TEAM_NAME" dataDxfId="647"/>
    <tableColumn id="3" xr3:uid="{9495428B-3B86-44AD-A343-4A076AE35DD9}" name="GP" dataDxfId="646"/>
    <tableColumn id="4" xr3:uid="{ABF74BF8-3D91-4E32-9240-CC29C1F013F3}" name="W" dataDxfId="645"/>
    <tableColumn id="5" xr3:uid="{759992F1-3506-4EB5-AE92-9515E01086C3}" name="L" dataDxfId="644"/>
    <tableColumn id="6" xr3:uid="{493447EC-0904-4137-8D6C-423B8C7CB101}" name="W_PCT" dataDxfId="643"/>
    <tableColumn id="7" xr3:uid="{96AABE86-C49B-40AF-BF6C-557D624680C5}" name="MIN" dataDxfId="642"/>
    <tableColumn id="8" xr3:uid="{AAFA0A3A-8DA9-4BCE-BCB7-5190C8DE9EB5}" name="E_OFF_RATING" dataDxfId="641"/>
    <tableColumn id="9" xr3:uid="{8B934C84-6AB3-4F6F-B83B-D5D49F23FC1E}" name="OFF_RATING" dataDxfId="640"/>
    <tableColumn id="10" xr3:uid="{765500EC-D859-4ADD-BDBF-076F79F10310}" name="E_DEF_RATING" dataDxfId="639"/>
    <tableColumn id="11" xr3:uid="{51AB4355-9254-4E86-BFE0-05407C75E6B0}" name="DEF_RATING" dataDxfId="638"/>
    <tableColumn id="12" xr3:uid="{2E7FF7EC-83FC-4448-A735-1E112C366A2C}" name="E_NET_RATING" dataDxfId="637"/>
    <tableColumn id="13" xr3:uid="{44257438-0956-4948-95DF-D5D4D5790DCE}" name="NET_RATING" dataDxfId="636"/>
    <tableColumn id="14" xr3:uid="{AB82106F-C5B8-42DB-8782-BCC4789A3866}" name="AST_PCT" dataDxfId="635"/>
    <tableColumn id="15" xr3:uid="{CD54A27C-39BE-4F83-B0A5-E798EC891576}" name="AST_TO" dataDxfId="634"/>
    <tableColumn id="16" xr3:uid="{FEE0CEC6-BDD8-42EB-8C78-23154B78A223}" name="AST_RATIO" dataDxfId="633"/>
    <tableColumn id="17" xr3:uid="{402B43DC-7BF4-42C6-8DF5-D8515CEDDBB8}" name="OREB_PCT" dataDxfId="632"/>
    <tableColumn id="18" xr3:uid="{D5C893DA-A246-47FE-A21A-C747ACCCFE0E}" name="DREB_PCT" dataDxfId="631"/>
    <tableColumn id="19" xr3:uid="{A2FE5611-73A1-4A8D-8188-7BAD02F9D1ED}" name="REB_PCT" dataDxfId="630"/>
    <tableColumn id="20" xr3:uid="{05286F03-4107-44FD-8DCA-68CFC0E7EFD1}" name="TM_TOV_PCT" dataDxfId="629"/>
    <tableColumn id="21" xr3:uid="{6617167C-4670-4957-9A0A-696C0153B6A5}" name="EFG_PCT" dataDxfId="628"/>
    <tableColumn id="22" xr3:uid="{F3E3AEBF-F0FE-44FB-8C1D-E262204C203E}" name="TS_PCT" dataDxfId="627"/>
    <tableColumn id="23" xr3:uid="{89A52AF3-686E-4DE5-B395-11F300BB5CD0}" name="E_PACE" dataDxfId="626"/>
    <tableColumn id="24" xr3:uid="{7D7AAD04-B54C-40B0-9BBB-669974546337}" name="PACE" dataDxfId="625"/>
    <tableColumn id="25" xr3:uid="{D80ABF15-FE86-47FB-BFD5-BE34852289C5}" name="PACE_PER40" dataDxfId="624"/>
    <tableColumn id="26" xr3:uid="{3CED0983-855C-484C-B308-C1472C20240C}" name="POSS" dataDxfId="623"/>
    <tableColumn id="27" xr3:uid="{42A4BEEA-AE79-4770-800F-485DED933136}" name="PIE" dataDxfId="622"/>
    <tableColumn id="28" xr3:uid="{5E2524B3-34D7-457B-A5DF-1A59324C1DFB}" name="GP_RANK" dataDxfId="621"/>
    <tableColumn id="29" xr3:uid="{B6EBFB8D-62B0-4468-AC98-22551FB645D3}" name="W_RANK" dataDxfId="620"/>
    <tableColumn id="30" xr3:uid="{88A1E4F4-41D4-4283-A94F-1288883E46C2}" name="L_RANK" dataDxfId="619"/>
    <tableColumn id="31" xr3:uid="{6FBCDFF7-8654-49CB-8015-A519DCB8D4E8}" name="W_PCT_RANK" dataDxfId="618"/>
    <tableColumn id="32" xr3:uid="{A7C9A9F6-29C1-4C03-A04A-E2E018FCC35F}" name="MIN_RANK" dataDxfId="617"/>
    <tableColumn id="33" xr3:uid="{5A6E3A63-0340-4C6F-BEEF-F479B6681217}" name="OFF_RATING_RANK" dataDxfId="616"/>
    <tableColumn id="34" xr3:uid="{0A85B7D4-482E-459E-BBFA-FE1CB66F7124}" name="DEF_RATING_RANK" dataDxfId="615"/>
    <tableColumn id="35" xr3:uid="{B47FAA80-6234-45A9-B2F3-9EAA00697243}" name="NET_RATING_RANK" dataDxfId="614"/>
    <tableColumn id="36" xr3:uid="{B98269B2-B7B0-44B9-A0E3-E4930B5CEC96}" name="AST_PCT_RANK" dataDxfId="613"/>
    <tableColumn id="37" xr3:uid="{92FA9A4A-DE8C-4B42-BE9F-8FE7E6DAEAC2}" name="AST_TO_RANK" dataDxfId="612"/>
    <tableColumn id="38" xr3:uid="{53BFEB56-D326-4D1D-BCCE-2571BAC5DE9D}" name="AST_RATIO_RANK" dataDxfId="611"/>
    <tableColumn id="39" xr3:uid="{4221434D-203C-45E8-9F1E-901DB761F0CF}" name="OREB_PCT_RANK" dataDxfId="610"/>
    <tableColumn id="40" xr3:uid="{72A771A7-CF74-453F-9DFF-6DA210484E8F}" name="DREB_PCT_RANK" dataDxfId="609"/>
    <tableColumn id="41" xr3:uid="{78ACB652-521D-40B7-8369-54CB4C6FEF09}" name="REB_PCT_RANK" dataDxfId="608"/>
    <tableColumn id="42" xr3:uid="{7D65BEC2-7B97-4DE4-8F89-D1F5131CA1F7}" name="TM_TOV_PCT_RANK" dataDxfId="607"/>
    <tableColumn id="43" xr3:uid="{4C8C242C-DE01-41C2-9B18-1F5CDC4EB807}" name="EFG_PCT_RANK" dataDxfId="606"/>
    <tableColumn id="44" xr3:uid="{59DA7DC6-C713-4F19-A0EB-E54ED0D39508}" name="TS_PCT_RANK" dataDxfId="605"/>
    <tableColumn id="45" xr3:uid="{AF283CBE-C0FB-4A48-B98C-6407654FC38E}" name="PACE_RANK" dataDxfId="604"/>
    <tableColumn id="46" xr3:uid="{DE82AE00-A2F2-4D34-BE80-17A2DDB9F351}" name="PIE_RANK" dataDxfId="603"/>
    <tableColumn id="47" xr3:uid="{8BD7FAC9-030F-4451-99D6-74D9340E7F92}" name="CFID" dataDxfId="602"/>
    <tableColumn id="48" xr3:uid="{71C32822-9047-4551-8B0E-5EABDA28659F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915314-A60B-4308-8CAD-23EB3C3B48B6}" name="TableAdvancedN1Bench" displayName="TableAdvancedN1Bench" ref="A1:AV31" totalsRowShown="0" headerRowDxfId="502">
  <autoFilter ref="A1:AV31" xr:uid="{BBE54DF6-ED88-4FBA-A8B1-DAFA1D02F7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BE689F24-EB86-412C-B81F-F2C9692BEBE3}" name="TEAM_ID" dataDxfId="550"/>
    <tableColumn id="2" xr3:uid="{382DE17F-B067-4E7A-98DF-DAFD72BD42B2}" name="TEAM_NAME" dataDxfId="549"/>
    <tableColumn id="3" xr3:uid="{60FAF755-50C4-4DE4-95D5-B9AF0861F648}" name="GP" dataDxfId="548"/>
    <tableColumn id="4" xr3:uid="{E8CAC23B-F062-42F0-B8E3-A8E65D6283F9}" name="W" dataDxfId="547"/>
    <tableColumn id="5" xr3:uid="{D415B8CA-4368-438B-AE53-983F62ABCF6C}" name="L" dataDxfId="546"/>
    <tableColumn id="6" xr3:uid="{74717D72-016B-441B-926B-EE55B07ADB1D}" name="W_PCT" dataDxfId="545"/>
    <tableColumn id="7" xr3:uid="{EB1704F2-A980-4D47-9437-F644482A6FB7}" name="MIN" dataDxfId="544"/>
    <tableColumn id="8" xr3:uid="{7313EED1-E114-440B-8E6A-0248D72AEF8A}" name="E_OFF_RATING" dataDxfId="543"/>
    <tableColumn id="9" xr3:uid="{BB2978B3-345E-46DF-8B0D-D2C3551E617C}" name="OFF_RATING" dataDxfId="542"/>
    <tableColumn id="10" xr3:uid="{AA13D380-D4DA-401C-8BEC-816648169756}" name="E_DEF_RATING" dataDxfId="541"/>
    <tableColumn id="11" xr3:uid="{A401EE13-3658-44BA-AF02-1E5858DFFA8D}" name="DEF_RATING" dataDxfId="540"/>
    <tableColumn id="12" xr3:uid="{3BDF7F0D-71BC-4102-A2F6-B416F769CE54}" name="E_NET_RATING" dataDxfId="539"/>
    <tableColumn id="13" xr3:uid="{9A651F1E-8F89-4350-8AAE-8A9101272A06}" name="NET_RATING" dataDxfId="538"/>
    <tableColumn id="14" xr3:uid="{E245AB38-255E-420B-AE37-115B5EE7D4C2}" name="AST_PCT" dataDxfId="537"/>
    <tableColumn id="15" xr3:uid="{0DF80657-0F1C-4381-BBC7-3E998DA2FDC6}" name="AST_TO" dataDxfId="536"/>
    <tableColumn id="16" xr3:uid="{EC92F031-4689-4DD0-AD67-B0A5AABDC7CF}" name="AST_RATIO" dataDxfId="535"/>
    <tableColumn id="17" xr3:uid="{8E7C3636-81B7-4455-B70B-117526A21B3A}" name="OREB_PCT" dataDxfId="534"/>
    <tableColumn id="18" xr3:uid="{1DD77C44-39A9-453C-B8D6-4125ECFB4C7D}" name="DREB_PCT" dataDxfId="533"/>
    <tableColumn id="19" xr3:uid="{2F75AC43-0161-44AA-B715-8E8EA1C0EDE8}" name="REB_PCT" dataDxfId="532"/>
    <tableColumn id="20" xr3:uid="{A1DB6714-1DF4-473C-A221-94F96E3AF11E}" name="TM_TOV_PCT" dataDxfId="531"/>
    <tableColumn id="21" xr3:uid="{99A5B996-1BD1-429A-ABF7-216B2C55E688}" name="EFG_PCT" dataDxfId="530"/>
    <tableColumn id="22" xr3:uid="{1A20E682-941A-4FDD-8E37-65EFEC644207}" name="TS_PCT" dataDxfId="529"/>
    <tableColumn id="23" xr3:uid="{79453501-2F7B-4EB6-AE51-D36930057295}" name="E_PACE" dataDxfId="528"/>
    <tableColumn id="24" xr3:uid="{0B31E062-21C0-47DE-871E-163C5A022F1E}" name="PACE" dataDxfId="527"/>
    <tableColumn id="25" xr3:uid="{F97DCEAF-777D-4536-9C12-D4B2F372851F}" name="PACE_PER40" dataDxfId="526"/>
    <tableColumn id="26" xr3:uid="{0B5440D8-4B08-4A56-BD85-67C49D728815}" name="POSS" dataDxfId="525"/>
    <tableColumn id="27" xr3:uid="{3172B4B8-B3E6-4BF0-8080-89E65FE64DE9}" name="PIE" dataDxfId="524"/>
    <tableColumn id="28" xr3:uid="{A8978D07-1D42-4800-ADC9-C62E131E9BDA}" name="GP_RANK" dataDxfId="523"/>
    <tableColumn id="29" xr3:uid="{F576CC91-B261-4670-A0C2-8BD8A4ED0549}" name="W_RANK" dataDxfId="522"/>
    <tableColumn id="30" xr3:uid="{571DCF10-C957-41C6-8413-75C8611893DE}" name="L_RANK" dataDxfId="521"/>
    <tableColumn id="31" xr3:uid="{747D99CE-B9EE-4286-958D-D47D5442307B}" name="W_PCT_RANK" dataDxfId="520"/>
    <tableColumn id="32" xr3:uid="{335558F8-7FE9-43B6-9989-7200B92D259F}" name="MIN_RANK" dataDxfId="519"/>
    <tableColumn id="33" xr3:uid="{FA1F4BEE-2A46-405F-8548-5E73612A7BD4}" name="OFF_RATING_RANK" dataDxfId="518"/>
    <tableColumn id="34" xr3:uid="{6A082143-67A0-4237-B5CD-799BB3C780D8}" name="DEF_RATING_RANK" dataDxfId="517"/>
    <tableColumn id="35" xr3:uid="{C2F82E58-7A35-4D8E-B5F9-123369BC2E32}" name="NET_RATING_RANK" dataDxfId="516"/>
    <tableColumn id="36" xr3:uid="{906ED7BA-4C24-4363-AD26-EBA538A98722}" name="AST_PCT_RANK" dataDxfId="515"/>
    <tableColumn id="37" xr3:uid="{A5599A69-8585-4F1E-941C-602E878A4ACE}" name="AST_TO_RANK" dataDxfId="514"/>
    <tableColumn id="38" xr3:uid="{C4C4EEFA-16FA-4277-96F6-339A902B4709}" name="AST_RATIO_RANK" dataDxfId="513"/>
    <tableColumn id="39" xr3:uid="{60B9C1E7-0996-4316-BE1A-FB857EC01CEB}" name="OREB_PCT_RANK" dataDxfId="512"/>
    <tableColumn id="40" xr3:uid="{258BB270-465D-48DB-B584-1229C76E12B4}" name="DREB_PCT_RANK" dataDxfId="511"/>
    <tableColumn id="41" xr3:uid="{F0F4B7F3-84A0-40D1-A25C-4721ED18396A}" name="REB_PCT_RANK" dataDxfId="510"/>
    <tableColumn id="42" xr3:uid="{C465DC46-F1EB-4CED-A4DE-B66726FA9FBA}" name="TM_TOV_PCT_RANK" dataDxfId="509"/>
    <tableColumn id="43" xr3:uid="{5C828C25-5FAE-4325-94BA-3A8A99704AB0}" name="EFG_PCT_RANK" dataDxfId="508"/>
    <tableColumn id="44" xr3:uid="{AEA0E979-95B7-4D13-BCD1-9FB4968CDC87}" name="TS_PCT_RANK" dataDxfId="507"/>
    <tableColumn id="45" xr3:uid="{49C5965F-AF32-4FFA-973D-66585EFD6685}" name="PACE_RANK" dataDxfId="506"/>
    <tableColumn id="46" xr3:uid="{65830B95-A805-4097-8EAA-B6AF7089B748}" name="PIE_RANK" dataDxfId="505"/>
    <tableColumn id="47" xr3:uid="{47BB5674-1BCD-4592-8FC6-BF108E4B2825}" name="CFID" dataDxfId="504"/>
    <tableColumn id="48" xr3:uid="{78A2D766-7AE3-4DD0-8588-9A70A3D6E083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34E78F2-F2F3-484D-A626-7A844B31977D}" name="TableMiscN1" displayName="TableMiscN1" ref="A1:AD31" totalsRowShown="0" headerRowDxfId="440">
  <autoFilter ref="A1:AD31" xr:uid="{0778EEB4-1FFF-4741-8E57-C6FB3060CA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F2EC636-6331-48EC-8D55-062F119736FA}" name="TEAM_ID" dataDxfId="470"/>
    <tableColumn id="2" xr3:uid="{BC7483BE-A420-44CE-BFCF-A92BF9E7EC77}" name="TEAM_NAME" dataDxfId="469"/>
    <tableColumn id="3" xr3:uid="{18A47E87-1652-490E-9E03-33E89B01FB5D}" name="GP" dataDxfId="468"/>
    <tableColumn id="4" xr3:uid="{C9E0DE30-75E3-4329-A484-006271135326}" name="W" dataDxfId="467"/>
    <tableColumn id="5" xr3:uid="{CE3556AE-DABD-4227-86FB-54B312E00FC3}" name="L" dataDxfId="466"/>
    <tableColumn id="6" xr3:uid="{8C3C7D9E-2CB9-461A-872D-AA5E3E337DC8}" name="W_PCT" dataDxfId="465"/>
    <tableColumn id="7" xr3:uid="{7A09E150-254F-472D-B700-D67001468A64}" name="MIN" dataDxfId="464"/>
    <tableColumn id="8" xr3:uid="{7303A1EC-BC5C-4CB6-B5B9-D203FF16F76B}" name="PTS_OFF_TOV" dataDxfId="463"/>
    <tableColumn id="9" xr3:uid="{4BAA95C3-859A-42FF-9085-FB4BF26444C0}" name="PTS_2ND_CHANCE" dataDxfId="462"/>
    <tableColumn id="10" xr3:uid="{5FEAAC4A-6393-4772-9F9B-590C1760DA0D}" name="PTS_FB" dataDxfId="461"/>
    <tableColumn id="11" xr3:uid="{DF0F6EF0-44A3-413C-8D1E-2F20A8A2509C}" name="PTS_PAINT" dataDxfId="460"/>
    <tableColumn id="12" xr3:uid="{6FA5ED10-51C5-4283-BF34-AB342B4E2BB0}" name="OPP_PTS_OFF_TOV" dataDxfId="459"/>
    <tableColumn id="13" xr3:uid="{094B00D1-5FF9-4201-8154-43EA0CE8FE72}" name="OPP_PTS_2ND_CHANCE" dataDxfId="458"/>
    <tableColumn id="14" xr3:uid="{518D871A-C031-4A5A-A8F8-20F7062D6291}" name="OPP_PTS_FB" dataDxfId="457"/>
    <tableColumn id="15" xr3:uid="{AB1EE01F-D16D-4C36-BA00-912CB86FACF4}" name="OPP_PTS_PAINT" dataDxfId="456"/>
    <tableColumn id="16" xr3:uid="{5CA87D5D-29A9-4518-B7F7-7D857E2528BF}" name="GP_RANK" dataDxfId="455"/>
    <tableColumn id="17" xr3:uid="{9C822A1F-6E89-43FB-B1CF-BE89434F506D}" name="W_RANK" dataDxfId="454"/>
    <tableColumn id="18" xr3:uid="{D85FB12D-76A7-4AF9-9D68-BA804E124749}" name="L_RANK" dataDxfId="453"/>
    <tableColumn id="19" xr3:uid="{274E3833-EB2A-42C5-863C-95D790E4791A}" name="W_PCT_RANK" dataDxfId="452"/>
    <tableColumn id="20" xr3:uid="{2370E6B2-D392-4667-AA4D-3ABD896B44FA}" name="MIN_RANK" dataDxfId="451"/>
    <tableColumn id="21" xr3:uid="{CFEA6CE7-3C60-4943-B367-6AAEABCDFC9E}" name="PTS_OFF_TOV_RANK" dataDxfId="450"/>
    <tableColumn id="22" xr3:uid="{A13564D2-322C-48CE-BBF3-C61F7E5A2492}" name="PTS_2ND_CHANCE_RANK" dataDxfId="449"/>
    <tableColumn id="23" xr3:uid="{14BCD0CA-0006-42E6-9FDF-B126D2AF4179}" name="PTS_FB_RANK" dataDxfId="448"/>
    <tableColumn id="24" xr3:uid="{BD558F80-902A-4996-B17A-7AAF4DDF21E7}" name="PTS_PAINT_RANK" dataDxfId="447"/>
    <tableColumn id="25" xr3:uid="{3946F282-B52F-4ACB-90B7-23933FF7C88E}" name="OPP_PTS_OFF_TOV_RANK" dataDxfId="446"/>
    <tableColumn id="26" xr3:uid="{32808D7F-89BD-4D55-8291-BCF9BD62AF49}" name="OPP_PTS_2ND_CHANCE_RANK" dataDxfId="445"/>
    <tableColumn id="27" xr3:uid="{4747AE60-DA5C-441E-A64C-CB8D86A20957}" name="OPP_PTS_FB_RANK" dataDxfId="444"/>
    <tableColumn id="28" xr3:uid="{9D3CBF8B-31F5-4219-A8EB-0DAAB34DDC1E}" name="OPP_PTS_PAINT_RANK" dataDxfId="443"/>
    <tableColumn id="29" xr3:uid="{D90E6DD0-F784-4000-A87B-16F6E4ADFF31}" name="CFID" dataDxfId="442"/>
    <tableColumn id="30" xr3:uid="{B4F2BAFA-F7D1-45D6-BC26-6261C47E45CC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BDBC105-481D-4821-BC84-A2054515AA9E}" name="TableOppBaseN1" displayName="TableOppBaseN1" ref="A1:BD31" totalsRowShown="0" headerRowDxfId="326">
  <autoFilter ref="A1:BD31" xr:uid="{24AEE88B-E4C8-4370-ACE0-E474C1C0A2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76580B-BD92-457B-9911-536507E8DDB0}" name="TEAM_ID" dataDxfId="382"/>
    <tableColumn id="2" xr3:uid="{70C10208-1CF0-4440-B56C-59CCF22D9BA9}" name="TEAM_NAME" dataDxfId="381"/>
    <tableColumn id="3" xr3:uid="{0C8C0257-3407-4416-B44A-DC1593799801}" name="GP" dataDxfId="380"/>
    <tableColumn id="4" xr3:uid="{318D0A84-4899-4092-9E26-3FD8F0A3AB78}" name="W" dataDxfId="379"/>
    <tableColumn id="5" xr3:uid="{FAEA0A33-E4FE-415A-8AF2-A6F993610D76}" name="L" dataDxfId="378"/>
    <tableColumn id="6" xr3:uid="{C237990F-9D29-4930-93F9-FEB18A3279E5}" name="W_PCT" dataDxfId="377"/>
    <tableColumn id="7" xr3:uid="{2BB458D6-B0B5-4BEA-B6F8-DB2676C617A0}" name="MIN" dataDxfId="376"/>
    <tableColumn id="8" xr3:uid="{0B0C5C49-E900-408B-95C9-761FE078BDD1}" name="OPP_FGM" dataDxfId="375"/>
    <tableColumn id="9" xr3:uid="{B19FEB10-0B02-48FA-A1F3-205953770091}" name="OPP_FGA" dataDxfId="374"/>
    <tableColumn id="10" xr3:uid="{C8851793-93DE-4987-8F2E-4B3C2C8A9FA7}" name="OPP_FG_PCT" dataDxfId="373"/>
    <tableColumn id="11" xr3:uid="{431E7F56-491B-4697-B149-33880CE0AE13}" name="OPP_FG3M" dataDxfId="372"/>
    <tableColumn id="12" xr3:uid="{74B89976-5EBC-4E92-BBFF-E9B7B934173F}" name="OPP_FG3A" dataDxfId="371"/>
    <tableColumn id="13" xr3:uid="{7352DC1B-533A-4C64-B437-1F15F57FE09B}" name="OPP_FG3_PCT" dataDxfId="370"/>
    <tableColumn id="14" xr3:uid="{E6BB8AE5-650B-4B06-B076-A36E29A8E246}" name="OPP_FTM" dataDxfId="369"/>
    <tableColumn id="15" xr3:uid="{56D429FD-F785-4BCF-B89C-6951179BACFE}" name="OPP_FTA" dataDxfId="368"/>
    <tableColumn id="16" xr3:uid="{3F6ADA3F-5D7B-4640-BA2C-6F1990EEB799}" name="OPP_FT_PCT" dataDxfId="367"/>
    <tableColumn id="17" xr3:uid="{55657799-A591-4D26-BDD4-C2B3B7068FF0}" name="OPP_OREB" dataDxfId="366"/>
    <tableColumn id="18" xr3:uid="{A6EB735E-1E10-4952-B4E9-5BEAC7DDE82F}" name="OPP_DREB" dataDxfId="365"/>
    <tableColumn id="19" xr3:uid="{A54B9BB8-C10B-45D4-91E4-C6D5B55F67F1}" name="OPP_REB" dataDxfId="364"/>
    <tableColumn id="20" xr3:uid="{32A8CA34-7413-43EA-A463-B4E4D4404FA9}" name="OPP_AST" dataDxfId="363"/>
    <tableColumn id="21" xr3:uid="{EEFD6B52-81ED-47DB-A292-B5A173FB0AE3}" name="OPP_TOV" dataDxfId="362"/>
    <tableColumn id="22" xr3:uid="{C16F7FD6-1854-43F1-A9B3-DF40055694F6}" name="OPP_STL" dataDxfId="361"/>
    <tableColumn id="23" xr3:uid="{7A36F10A-541B-4715-A808-FFF53033E473}" name="OPP_BLK" dataDxfId="360"/>
    <tableColumn id="24" xr3:uid="{8766839F-17E5-406E-9411-DBE6C0416608}" name="OPP_BLKA" dataDxfId="359"/>
    <tableColumn id="25" xr3:uid="{AA9BC1CA-7A55-45BA-B02E-F5D006A49EB6}" name="OPP_PF" dataDxfId="358"/>
    <tableColumn id="26" xr3:uid="{A4665A5E-BE60-4763-A6F7-EC054E665ABF}" name="OPP_PFD" dataDxfId="357"/>
    <tableColumn id="27" xr3:uid="{815ECA3B-A9DE-40E8-8191-A9B7AEE5DA14}" name="OPP_PTS" dataDxfId="356"/>
    <tableColumn id="28" xr3:uid="{A414ED57-731E-4DB5-BB7A-01FADE17D702}" name="PLUS_MINUS" dataDxfId="355"/>
    <tableColumn id="29" xr3:uid="{BFE2C033-91C4-4942-8503-E82808B6FE7B}" name="GP_RANK" dataDxfId="354"/>
    <tableColumn id="30" xr3:uid="{F38B223B-9CA5-40E8-9ACF-13E2B379E2EB}" name="W_RANK" dataDxfId="353"/>
    <tableColumn id="31" xr3:uid="{4D711BC3-486E-45F3-9EE3-7F8EB3E29F3D}" name="L_RANK" dataDxfId="352"/>
    <tableColumn id="32" xr3:uid="{6B5D6CDE-8D4D-4258-A51F-587698FE333B}" name="W_PCT_RANK" dataDxfId="351"/>
    <tableColumn id="33" xr3:uid="{08861200-8A72-46F4-B8EF-A1F4D300F862}" name="MIN_RANK" dataDxfId="350"/>
    <tableColumn id="34" xr3:uid="{8DAA742C-2DD9-47DF-8CD3-7AD6683785FC}" name="OPP_FGM_RANK" dataDxfId="349"/>
    <tableColumn id="35" xr3:uid="{043EDBF2-381C-46ED-8BBF-8609BEAF9DB8}" name="OPP_FGA_RANK" dataDxfId="348"/>
    <tableColumn id="36" xr3:uid="{74C0571A-311C-4DDD-9092-9F214ED66AA4}" name="OPP_FG_PCT_RANK" dataDxfId="347"/>
    <tableColumn id="37" xr3:uid="{E74D9821-AF5C-4B5E-965E-5A422CF47784}" name="OPP_FG3M_RANK" dataDxfId="346"/>
    <tableColumn id="38" xr3:uid="{12BDAEEE-A2D3-4A55-9D8E-E468B9EBA5C5}" name="OPP_FG3A_RANK" dataDxfId="345"/>
    <tableColumn id="39" xr3:uid="{D97C428D-B333-40F0-815D-96F123BD70AC}" name="OPP_FG3_PCT_RANK" dataDxfId="344"/>
    <tableColumn id="40" xr3:uid="{1FC252C9-D7D8-4AB8-9B87-61575D663F21}" name="OPP_FTM_RANK" dataDxfId="343"/>
    <tableColumn id="41" xr3:uid="{4F2EB330-4D28-438C-A3EC-83AA6C4CFADA}" name="OPP_FTA_RANK" dataDxfId="342"/>
    <tableColumn id="42" xr3:uid="{D88ECE55-E661-4414-9BB5-31D3646A646F}" name="OPP_FT_PCT_RANK" dataDxfId="341"/>
    <tableColumn id="43" xr3:uid="{DC0F202C-F08A-41F3-B4D1-F8D9E9ACD637}" name="OPP_OREB_RANK" dataDxfId="340"/>
    <tableColumn id="44" xr3:uid="{5B40B280-FA22-4E80-87B9-904CF49F2F80}" name="OPP_DREB_RANK" dataDxfId="339"/>
    <tableColumn id="45" xr3:uid="{260D83C7-3A61-4851-8085-515BF321AB41}" name="OPP_REB_RANK" dataDxfId="338"/>
    <tableColumn id="46" xr3:uid="{73A279B4-80DC-49A2-A2EA-9AAF95127FA6}" name="OPP_AST_RANK" dataDxfId="337"/>
    <tableColumn id="47" xr3:uid="{68CEE229-910F-4743-8771-A26CDC1F823F}" name="OPP_TOV_RANK" dataDxfId="336"/>
    <tableColumn id="48" xr3:uid="{D0B5D90D-DE04-4068-8E20-3613C9FAB24E}" name="OPP_STL_RANK" dataDxfId="335"/>
    <tableColumn id="49" xr3:uid="{F364B665-B0DF-4884-838F-307CFD598BF3}" name="OPP_BLK_RANK" dataDxfId="334"/>
    <tableColumn id="50" xr3:uid="{93E5ABB2-7DB6-49A1-BF41-77B2FC8113A6}" name="OPP_BLKA_RANK" dataDxfId="333"/>
    <tableColumn id="51" xr3:uid="{F11A9464-BEBD-4FD0-9FD1-CE0DB17F27A5}" name="OPP_PF_RANK" dataDxfId="332"/>
    <tableColumn id="52" xr3:uid="{DE0B779A-0A43-4E3C-969E-D0F1E94BC2A6}" name="OPP_PFD_RANK" dataDxfId="331"/>
    <tableColumn id="53" xr3:uid="{B2F1AA65-DD53-476E-B29B-09448483BDDC}" name="OPP_PTS_RANK" dataDxfId="330"/>
    <tableColumn id="54" xr3:uid="{CAE85D67-6787-4927-8055-357D61CA9B34}" name="PLUS_MINUS_RANK" dataDxfId="329"/>
    <tableColumn id="55" xr3:uid="{1B8BEC81-D632-48B9-A56F-12E6B38BE0C3}" name="CFID" dataDxfId="328"/>
    <tableColumn id="56" xr3:uid="{82E60892-0478-4AB6-A2B0-F31D40E95E37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BB9765F-DDF6-4CE9-83A0-0B2A320E17A8}" name="TableClutchBaseN1" displayName="TableClutchBaseN1" ref="A1:BD31" totalsRowShown="0" headerRowDxfId="212">
  <autoFilter ref="A1:BD31" xr:uid="{D9D4020F-7D91-48AA-BB2B-AF16482D01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855F0DF-14E7-40AD-B2FA-08F121817BC9}" name="TEAM_ID" dataDxfId="268"/>
    <tableColumn id="2" xr3:uid="{38C7AED0-7379-4E46-A1AA-AACDE5035BCC}" name="TEAM_NAME" dataDxfId="267"/>
    <tableColumn id="3" xr3:uid="{9C4900EA-40DA-4504-A474-3D788425F9FE}" name="GP" dataDxfId="266"/>
    <tableColumn id="4" xr3:uid="{9F15B8DA-D368-4715-986D-AEABDF884D7C}" name="W" dataDxfId="265"/>
    <tableColumn id="5" xr3:uid="{899F7483-DC43-4C9D-8EDE-2BF828E69F20}" name="L" dataDxfId="264"/>
    <tableColumn id="6" xr3:uid="{7A688952-32C7-448B-99B2-3C5F0B78BC06}" name="W_PCT" dataDxfId="263"/>
    <tableColumn id="7" xr3:uid="{952C0605-95F5-4AF4-AB95-F37C2552052F}" name="MIN" dataDxfId="262"/>
    <tableColumn id="8" xr3:uid="{90F9B6CE-0C6D-407E-A83A-F99A4A603389}" name="FGM" dataDxfId="261"/>
    <tableColumn id="9" xr3:uid="{0F8819A5-DFC0-40AC-BB14-BFBF27D2D28C}" name="FGA" dataDxfId="260"/>
    <tableColumn id="10" xr3:uid="{8487D74B-6D7A-4A39-B5F7-CC4ACDAFB051}" name="FG_PCT" dataDxfId="259"/>
    <tableColumn id="11" xr3:uid="{72D4ACA2-D393-42AF-9053-CD4687914E3B}" name="FG3M" dataDxfId="258"/>
    <tableColumn id="12" xr3:uid="{8D2C3273-408D-4AA7-B20F-B158EEE2DCE1}" name="FG3A" dataDxfId="257"/>
    <tableColumn id="13" xr3:uid="{FC7ED133-A487-41AF-822A-FA9EBE1F278F}" name="FG3_PCT" dataDxfId="256"/>
    <tableColumn id="14" xr3:uid="{E45335B6-6FBF-4D5F-8DFE-621489F1D7DE}" name="FTM" dataDxfId="255"/>
    <tableColumn id="15" xr3:uid="{CC147575-659D-4C1B-AC43-66A4C2459C68}" name="FTA" dataDxfId="254"/>
    <tableColumn id="16" xr3:uid="{49D7E891-802E-4615-AA02-846DD8870DFA}" name="FT_PCT" dataDxfId="253"/>
    <tableColumn id="17" xr3:uid="{6082CEC5-9EA9-4083-8D80-C3C581F1373D}" name="OREB" dataDxfId="252"/>
    <tableColumn id="18" xr3:uid="{A6C61C9E-CF18-4F6F-970B-A39254F6EC30}" name="DREB" dataDxfId="251"/>
    <tableColumn id="19" xr3:uid="{C4CB52BE-309D-4496-9183-9A4EF2F74F74}" name="REB" dataDxfId="250"/>
    <tableColumn id="20" xr3:uid="{99379A99-0E57-45D7-AA54-3E9AC68A73BD}" name="AST" dataDxfId="249"/>
    <tableColumn id="21" xr3:uid="{284817DC-63DD-437E-868F-9CF44373BA9B}" name="TOV" dataDxfId="248"/>
    <tableColumn id="22" xr3:uid="{39759591-494D-4CE4-B843-F1AA5DAB7385}" name="STL" dataDxfId="247"/>
    <tableColumn id="23" xr3:uid="{5C5556F6-D088-4ABA-AF10-EDF7BAD63F26}" name="BLK" dataDxfId="246"/>
    <tableColumn id="24" xr3:uid="{F34A3490-BEBD-49EB-A608-489F20C581F6}" name="BLKA" dataDxfId="245"/>
    <tableColumn id="25" xr3:uid="{4CCB939E-980E-4535-AA2A-692B909E3A1A}" name="PF" dataDxfId="244"/>
    <tableColumn id="26" xr3:uid="{823F46DD-C39E-434F-9D89-CA9AE2A3855D}" name="PFD" dataDxfId="243"/>
    <tableColumn id="27" xr3:uid="{F7626847-10D9-4764-AF76-38C9FCF4095F}" name="PTS" dataDxfId="242"/>
    <tableColumn id="28" xr3:uid="{15CE01D9-B436-41EE-BFE5-3C6DC7AA236A}" name="PLUS_MINUS" dataDxfId="241"/>
    <tableColumn id="29" xr3:uid="{AADB165D-B949-4A56-A3BD-1564DF8A4F81}" name="GP_RANK" dataDxfId="240"/>
    <tableColumn id="30" xr3:uid="{5420109E-B066-4B08-80CC-A34BEC42A550}" name="W_RANK" dataDxfId="239"/>
    <tableColumn id="31" xr3:uid="{7B02BF54-01F6-4111-96EA-A3FE7518FDCD}" name="L_RANK" dataDxfId="238"/>
    <tableColumn id="32" xr3:uid="{33F84566-F7A1-4C41-96AF-9C2C08AFB416}" name="W_PCT_RANK" dataDxfId="237"/>
    <tableColumn id="33" xr3:uid="{00C30872-520E-492D-B575-9699CB315620}" name="MIN_RANK" dataDxfId="236"/>
    <tableColumn id="34" xr3:uid="{B231B813-B6D6-4A43-8B10-AC0ABCFB4846}" name="FGM_RANK" dataDxfId="235"/>
    <tableColumn id="35" xr3:uid="{9D156681-047D-493D-A842-C0373946ADF6}" name="FGA_RANK" dataDxfId="234"/>
    <tableColumn id="36" xr3:uid="{2DBD64AC-7C81-4AA0-8189-2E3836C3FF8B}" name="FG_PCT_RANK" dataDxfId="233"/>
    <tableColumn id="37" xr3:uid="{B1DDAB61-8602-4113-997C-15E7445A2B74}" name="FG3M_RANK" dataDxfId="232"/>
    <tableColumn id="38" xr3:uid="{8343ECCE-9C63-48A3-9576-AA11F972B843}" name="FG3A_RANK" dataDxfId="231"/>
    <tableColumn id="39" xr3:uid="{376402AF-C66B-45D7-898F-33BAEBB3E3E7}" name="FG3_PCT_RANK" dataDxfId="230"/>
    <tableColumn id="40" xr3:uid="{F1B7CF81-9744-4680-A557-8D8C21085A0F}" name="FTM_RANK" dataDxfId="229"/>
    <tableColumn id="41" xr3:uid="{7525FCA3-7C81-405C-AE9C-6206C0167F3C}" name="FTA_RANK" dataDxfId="228"/>
    <tableColumn id="42" xr3:uid="{5C37DAFB-6F9A-4711-97E5-8F5B09C07EE4}" name="FT_PCT_RANK" dataDxfId="227"/>
    <tableColumn id="43" xr3:uid="{6C991B11-0D9D-4D8E-A0D0-FC24F522D6E4}" name="OREB_RANK" dataDxfId="226"/>
    <tableColumn id="44" xr3:uid="{CBA98586-749C-4FF9-A747-146228FBE258}" name="DREB_RANK" dataDxfId="225"/>
    <tableColumn id="45" xr3:uid="{13C8294A-DF00-4D84-A8D7-E57E24743E16}" name="REB_RANK" dataDxfId="224"/>
    <tableColumn id="46" xr3:uid="{797C01CD-8772-4A19-B7BB-96B41D299888}" name="AST_RANK" dataDxfId="223"/>
    <tableColumn id="47" xr3:uid="{090ED964-F52B-49EF-9D1A-86F7FCEB1F83}" name="TOV_RANK" dataDxfId="222"/>
    <tableColumn id="48" xr3:uid="{9CCD9BD5-74F1-4CAD-AA4E-D53FC102EC91}" name="STL_RANK" dataDxfId="221"/>
    <tableColumn id="49" xr3:uid="{5E4AEB72-4E30-404E-A48C-C971886F8921}" name="BLK_RANK" dataDxfId="220"/>
    <tableColumn id="50" xr3:uid="{7F96C83D-6F90-4E29-A912-F7E44A0D035A}" name="BLKA_RANK" dataDxfId="219"/>
    <tableColumn id="51" xr3:uid="{ABD93C3B-CC1C-4197-BB8D-40238DB04E4B}" name="PF_RANK" dataDxfId="218"/>
    <tableColumn id="52" xr3:uid="{FA6968E8-7BD0-40EC-BB76-6AD93E58ABC2}" name="PFD_RANK" dataDxfId="217"/>
    <tableColumn id="53" xr3:uid="{09001F80-0657-43E0-A858-8BCD162C47DE}" name="PTS_RANK" dataDxfId="216"/>
    <tableColumn id="54" xr3:uid="{D5E74FFA-3D7E-4B57-A131-B27ECEC7C61A}" name="PLUS_MINUS_RANK" dataDxfId="215"/>
    <tableColumn id="55" xr3:uid="{AB93C541-128D-4C44-82EB-872D82F79FB6}" name="CFID" dataDxfId="214"/>
    <tableColumn id="56" xr3:uid="{1DCF10A1-E7F3-4E25-971B-A63D23F9B8F4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D8A65-FA44-43C6-9910-994AAC86748B}" name="TableClutchOpponentN1" displayName="TableClutchOpponentN1" ref="A1:BD31" totalsRowShown="0" headerRowDxfId="98">
  <autoFilter ref="A1:BD31" xr:uid="{E5BD1227-2248-4ACF-B7B4-A77623509C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548B16F-7566-44A3-B4ED-C68133B1A605}" name="TEAM_ID" dataDxfId="154"/>
    <tableColumn id="2" xr3:uid="{809DDE1B-F548-457A-9151-F84AA05788C2}" name="TEAM_NAME" dataDxfId="153"/>
    <tableColumn id="3" xr3:uid="{52B27CAD-2D31-45B8-A8E4-D916AD880C7E}" name="GP" dataDxfId="152"/>
    <tableColumn id="4" xr3:uid="{F48F48FF-3576-4FD6-9478-DF6A10D635DE}" name="W" dataDxfId="151"/>
    <tableColumn id="5" xr3:uid="{3D60ADA6-38BE-4A95-9586-D51B102F4B40}" name="L" dataDxfId="150"/>
    <tableColumn id="6" xr3:uid="{6DA91C54-698A-472E-99E5-B8D2BBB0B4E5}" name="W_PCT" dataDxfId="149"/>
    <tableColumn id="7" xr3:uid="{FBAF2868-F5E6-48B4-A8FC-2C67E6439532}" name="MIN" dataDxfId="148"/>
    <tableColumn id="8" xr3:uid="{063425C3-9F18-4FCF-9CBD-E83AA92E81FF}" name="OPP_FGM" dataDxfId="147"/>
    <tableColumn id="9" xr3:uid="{A8AC45E2-D3A3-4A91-AB82-7770A6B1F56E}" name="OPP_FGA" dataDxfId="146"/>
    <tableColumn id="10" xr3:uid="{BB6AC451-A8F7-4F56-BF1A-F1E63CEE6E2E}" name="OPP_FG_PCT" dataDxfId="145"/>
    <tableColumn id="11" xr3:uid="{8A6411D7-CE28-4BDC-9D27-46E441A612F0}" name="OPP_FG3M" dataDxfId="144"/>
    <tableColumn id="12" xr3:uid="{E094E4DC-7F24-4951-B724-0C38BBBEF02E}" name="OPP_FG3A" dataDxfId="143"/>
    <tableColumn id="13" xr3:uid="{17B38A35-40D2-4FD6-BF77-9E40E9406EA8}" name="OPP_FG3_PCT" dataDxfId="142"/>
    <tableColumn id="14" xr3:uid="{621031C7-CCD4-4E2C-8735-1664ECE3904A}" name="OPP_FTM" dataDxfId="141"/>
    <tableColumn id="15" xr3:uid="{6EF59DA7-B43C-4BE0-B990-33CC28DC7719}" name="OPP_FTA" dataDxfId="140"/>
    <tableColumn id="16" xr3:uid="{75BE0845-391E-4813-A43B-F1218FD57317}" name="OPP_FT_PCT" dataDxfId="139"/>
    <tableColumn id="17" xr3:uid="{DD28CA2C-C4B1-4793-B0F3-386161569E6F}" name="OPP_OREB" dataDxfId="138"/>
    <tableColumn id="18" xr3:uid="{BD4EA257-FCCB-4647-99C9-A4798C4D86F4}" name="OPP_DREB" dataDxfId="137"/>
    <tableColumn id="19" xr3:uid="{938554BA-99FB-4E7D-B295-373F0E9537AB}" name="OPP_REB" dataDxfId="136"/>
    <tableColumn id="20" xr3:uid="{817BBE74-2F70-40D2-BC2A-ADD01878B08A}" name="OPP_AST" dataDxfId="135"/>
    <tableColumn id="21" xr3:uid="{A0D14331-80A1-4859-AC29-15E62AA6663F}" name="OPP_TOV" dataDxfId="134"/>
    <tableColumn id="22" xr3:uid="{336EAF49-3B80-48E3-97E2-4E14D1DEE659}" name="OPP_STL" dataDxfId="133"/>
    <tableColumn id="23" xr3:uid="{2CCD98EE-C59B-49FB-9D92-815B459D6D24}" name="OPP_BLK" dataDxfId="132"/>
    <tableColumn id="24" xr3:uid="{E7158F0C-0AED-4A7B-891F-D0EFFC153E31}" name="OPP_BLKA" dataDxfId="131"/>
    <tableColumn id="25" xr3:uid="{F4A40835-6217-47C9-90A4-E3098659DD97}" name="OPP_PF" dataDxfId="130"/>
    <tableColumn id="26" xr3:uid="{E6ADA137-EB12-4147-B1B0-2B833733B66B}" name="OPP_PFD" dataDxfId="129"/>
    <tableColumn id="27" xr3:uid="{3AF484CC-32AF-463E-9616-4E845CDFCD9A}" name="OPP_PTS" dataDxfId="128"/>
    <tableColumn id="28" xr3:uid="{54D869D0-6E7D-4C28-8A99-902524AECEB9}" name="PLUS_MINUS" dataDxfId="127"/>
    <tableColumn id="29" xr3:uid="{AD301761-F732-4A3A-8787-3BCF730FDC50}" name="GP_RANK" dataDxfId="126"/>
    <tableColumn id="30" xr3:uid="{F06A5B90-19D3-42BE-B855-A60ECE5E0A6C}" name="W_RANK" dataDxfId="125"/>
    <tableColumn id="31" xr3:uid="{11F7199B-FB35-48B2-B7E2-3F8D7A3D24DE}" name="L_RANK" dataDxfId="124"/>
    <tableColumn id="32" xr3:uid="{3A15D4A6-DE13-47FF-AB33-247DEE1E0125}" name="W_PCT_RANK" dataDxfId="123"/>
    <tableColumn id="33" xr3:uid="{1A085E34-53C1-42C5-BC50-D4AF3A645557}" name="MIN_RANK" dataDxfId="122"/>
    <tableColumn id="34" xr3:uid="{AA622114-DED4-4FD0-B377-893299739F14}" name="OPP_FGM_RANK" dataDxfId="121"/>
    <tableColumn id="35" xr3:uid="{C8C8F294-26E0-404F-867B-D299F5A75942}" name="OPP_FGA_RANK" dataDxfId="120"/>
    <tableColumn id="36" xr3:uid="{8E8DAD0F-B659-48AD-A11A-D6EC29F0C29D}" name="OPP_FG_PCT_RANK" dataDxfId="119"/>
    <tableColumn id="37" xr3:uid="{C3E9B4C7-E4A1-4A4B-AD08-FF576C9854BF}" name="OPP_FG3M_RANK" dataDxfId="118"/>
    <tableColumn id="38" xr3:uid="{CF2CCE10-F874-4891-9A88-69D9188E2EEE}" name="OPP_FG3A_RANK" dataDxfId="117"/>
    <tableColumn id="39" xr3:uid="{B7031A69-D6A2-4823-A133-56C7AF8075B0}" name="OPP_FG3_PCT_RANK" dataDxfId="116"/>
    <tableColumn id="40" xr3:uid="{3934D19E-4BB3-45DD-A20F-3A73039078C9}" name="OPP_FTM_RANK" dataDxfId="115"/>
    <tableColumn id="41" xr3:uid="{8D58DA07-C82B-4FF9-A195-A05CF7A16558}" name="OPP_FTA_RANK" dataDxfId="114"/>
    <tableColumn id="42" xr3:uid="{2210A9EC-EE83-464A-B2BC-5479081F021A}" name="OPP_FT_PCT_RANK" dataDxfId="113"/>
    <tableColumn id="43" xr3:uid="{1F31874E-DFC9-4C9E-99ED-0B0145A21C1F}" name="OPP_OREB_RANK" dataDxfId="112"/>
    <tableColumn id="44" xr3:uid="{FC596BE8-40B9-4B55-8B48-ED986CBBEC38}" name="OPP_DREB_RANK" dataDxfId="111"/>
    <tableColumn id="45" xr3:uid="{B7C37E11-019F-4FCE-887A-A8F9D8C857D1}" name="OPP_REB_RANK" dataDxfId="110"/>
    <tableColumn id="46" xr3:uid="{9F93CF4D-0658-4E6B-9DC0-FB5A838D0B7F}" name="OPP_AST_RANK" dataDxfId="109"/>
    <tableColumn id="47" xr3:uid="{F7662732-AECD-4D88-85D8-F79EA4E579F5}" name="OPP_TOV_RANK" dataDxfId="108"/>
    <tableColumn id="48" xr3:uid="{1E3D4390-5B62-4213-8DC6-1D8CE2B6A81B}" name="OPP_STL_RANK" dataDxfId="107"/>
    <tableColumn id="49" xr3:uid="{6F66E6D5-A8E8-4E46-A5E7-23AC58E5CCC8}" name="OPP_BLK_RANK" dataDxfId="106"/>
    <tableColumn id="50" xr3:uid="{B865B238-72B3-496B-950C-8EF9B501F4D8}" name="OPP_BLKA_RANK" dataDxfId="105"/>
    <tableColumn id="51" xr3:uid="{4DE07918-F582-499A-A124-4CD26BA20EEE}" name="OPP_PF_RANK" dataDxfId="104"/>
    <tableColumn id="52" xr3:uid="{BDEA3AAB-BEF3-4711-939C-AD23A71AA14C}" name="OPP_PFD_RANK" dataDxfId="103"/>
    <tableColumn id="53" xr3:uid="{72FFE7CE-3640-4D6F-853C-082E3001AFD2}" name="OPP_PTS_RANK" dataDxfId="102"/>
    <tableColumn id="54" xr3:uid="{F6C09ECE-79D6-47E5-A8C6-70FCCBEF64F6}" name="PLUS_MINUS_RANK" dataDxfId="101"/>
    <tableColumn id="55" xr3:uid="{A84D7BE8-0420-4D80-A961-D6950F2C7815}" name="CFID" dataDxfId="100"/>
    <tableColumn id="56" xr3:uid="{8F1EB974-D29F-4923-A7EA-56C9DF18DC91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B0726AA-5E40-4ED0-825C-1AD1B7A21706}" name="TableClutchAdvancedN1" displayName="TableClutchAdvancedN1" ref="A1:AV31" totalsRowShown="0" headerRowDxfId="0">
  <autoFilter ref="A1:AV31" xr:uid="{F3151FF7-AF37-4270-A0B4-103B05436C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5CB6944-ADE2-441D-8E9F-4BC98E4E48B4}" name="TEAM_ID" dataDxfId="48"/>
    <tableColumn id="2" xr3:uid="{7443708B-E03F-4CEE-814C-1868898C7CDB}" name="TEAM_NAME" dataDxfId="47"/>
    <tableColumn id="3" xr3:uid="{9158A057-49F7-4BF9-84D3-87465CF92971}" name="GP" dataDxfId="46"/>
    <tableColumn id="4" xr3:uid="{AC24B108-D72F-49F2-8FC3-9EB4DDB368FE}" name="W" dataDxfId="45"/>
    <tableColumn id="5" xr3:uid="{C05F9C20-4F90-44CD-943D-D61FC26C565F}" name="L" dataDxfId="44"/>
    <tableColumn id="6" xr3:uid="{89F4BE35-CE70-4DF2-BC73-9CFB932E71C8}" name="W_PCT" dataDxfId="43"/>
    <tableColumn id="7" xr3:uid="{5EC2B8D6-8817-4123-A266-66AA614950CB}" name="MIN" dataDxfId="42"/>
    <tableColumn id="8" xr3:uid="{D389C9D3-B3B5-41B1-BD0E-54CAFE899F10}" name="E_OFF_RATING" dataDxfId="41"/>
    <tableColumn id="9" xr3:uid="{F12752E9-D46E-4236-8620-117BEA25DFB1}" name="OFF_RATING" dataDxfId="40"/>
    <tableColumn id="10" xr3:uid="{E183277C-23CE-497E-A7F2-5262D58F6D6D}" name="E_DEF_RATING" dataDxfId="39"/>
    <tableColumn id="11" xr3:uid="{70E37562-9CFF-450C-A4C0-6530123E8E6B}" name="DEF_RATING" dataDxfId="38"/>
    <tableColumn id="12" xr3:uid="{28B7AAC0-EF5D-4723-BBD7-2454ACC7F41B}" name="E_NET_RATING" dataDxfId="37"/>
    <tableColumn id="13" xr3:uid="{CEFF0C2D-5180-419B-88DD-E80F396722EE}" name="NET_RATING" dataDxfId="36"/>
    <tableColumn id="14" xr3:uid="{0DF193AA-8D70-4846-973A-9CABAFDF331D}" name="AST_PCT" dataDxfId="35"/>
    <tableColumn id="15" xr3:uid="{84ED2865-C762-4FEA-935D-7B42AF2A5FD7}" name="AST_TO" dataDxfId="34"/>
    <tableColumn id="16" xr3:uid="{7122059E-A2AB-41B8-8BD4-A2F8526ACF2B}" name="AST_RATIO" dataDxfId="33"/>
    <tableColumn id="17" xr3:uid="{EA01D400-11DA-485E-919E-CB3FE72B6958}" name="OREB_PCT" dataDxfId="32"/>
    <tableColumn id="18" xr3:uid="{17B20797-1104-4231-AD58-83B3526DDD1B}" name="DREB_PCT" dataDxfId="31"/>
    <tableColumn id="19" xr3:uid="{C30E8E2A-4C7B-4EC9-AB67-8C76BFFC7CE8}" name="REB_PCT" dataDxfId="30"/>
    <tableColumn id="20" xr3:uid="{57B456E8-50FA-4458-832A-29188B9A3C3D}" name="TM_TOV_PCT" dataDxfId="29"/>
    <tableColumn id="21" xr3:uid="{EBBB7004-2BB1-47E7-89AC-BE9D5A7CAAD5}" name="EFG_PCT" dataDxfId="28"/>
    <tableColumn id="22" xr3:uid="{36921508-9C93-480C-B138-FC53A14E05EB}" name="TS_PCT" dataDxfId="27"/>
    <tableColumn id="23" xr3:uid="{9FADA064-B5A0-417F-8A67-6B7A96E893BD}" name="E_PACE" dataDxfId="26"/>
    <tableColumn id="24" xr3:uid="{0439E197-85F6-43CD-8BB3-034EF52CA5E3}" name="PACE" dataDxfId="25"/>
    <tableColumn id="25" xr3:uid="{261CC627-A8A2-445F-B7EE-1B3FC798A6B7}" name="PACE_PER40" dataDxfId="24"/>
    <tableColumn id="26" xr3:uid="{DDB26B90-39C0-4761-829F-A2BF8103A236}" name="POSS" dataDxfId="23"/>
    <tableColumn id="27" xr3:uid="{4FD10348-F5E7-4159-9F29-BFD917BAA316}" name="PIE" dataDxfId="22"/>
    <tableColumn id="28" xr3:uid="{76092B41-4823-4FBB-8A44-670EB1CAE70D}" name="GP_RANK" dataDxfId="21"/>
    <tableColumn id="29" xr3:uid="{3454C23E-B7B6-4317-9884-40E5BA42936B}" name="W_RANK" dataDxfId="20"/>
    <tableColumn id="30" xr3:uid="{8F4D8E61-7D8D-4CE8-B7D1-B4BCD4252768}" name="L_RANK" dataDxfId="19"/>
    <tableColumn id="31" xr3:uid="{B3DD21EC-1447-44C4-A812-547E861BB28E}" name="W_PCT_RANK" dataDxfId="18"/>
    <tableColumn id="32" xr3:uid="{316C2BBE-C3F0-4FC6-A999-E4C125AF5879}" name="MIN_RANK" dataDxfId="17"/>
    <tableColumn id="33" xr3:uid="{902026EC-187B-4EBD-A95D-5DACB58ACB15}" name="OFF_RATING_RANK" dataDxfId="16"/>
    <tableColumn id="34" xr3:uid="{1E80FEEB-7234-4566-9D16-C5799906DC7A}" name="DEF_RATING_RANK" dataDxfId="15"/>
    <tableColumn id="35" xr3:uid="{807AACF1-052E-43A5-98F0-5E5C0B9FFC04}" name="NET_RATING_RANK" dataDxfId="14"/>
    <tableColumn id="36" xr3:uid="{0516366F-110A-4E78-B06E-F0A830B9D103}" name="AST_PCT_RANK" dataDxfId="13"/>
    <tableColumn id="37" xr3:uid="{3A14B5AE-15B5-4C65-9684-9B8F57929D69}" name="AST_TO_RANK" dataDxfId="12"/>
    <tableColumn id="38" xr3:uid="{6983784D-5FB5-4B27-9B54-29363BA46C3D}" name="AST_RATIO_RANK" dataDxfId="11"/>
    <tableColumn id="39" xr3:uid="{A6F4AA47-79D5-4794-BA4A-D1E53D4E5D3C}" name="OREB_PCT_RANK" dataDxfId="10"/>
    <tableColumn id="40" xr3:uid="{0DBC8E40-6620-47DF-9CCA-7449895C3A1C}" name="DREB_PCT_RANK" dataDxfId="9"/>
    <tableColumn id="41" xr3:uid="{81EC3941-D3B0-445C-BD6F-6478C065CB5F}" name="REB_PCT_RANK" dataDxfId="8"/>
    <tableColumn id="42" xr3:uid="{D8FE82B9-9B2A-4C51-A2DD-3334855C48F0}" name="TM_TOV_PCT_RANK" dataDxfId="7"/>
    <tableColumn id="43" xr3:uid="{597ECCB7-10A1-4834-94F7-2CE6BB926225}" name="EFG_PCT_RANK" dataDxfId="6"/>
    <tableColumn id="44" xr3:uid="{64D70BB0-1275-4A12-9695-FF84D16A04A2}" name="TS_PCT_RANK" dataDxfId="5"/>
    <tableColumn id="45" xr3:uid="{55F20276-845C-4B2B-8AF9-E7847B14B5B1}" name="PACE_RANK" dataDxfId="4"/>
    <tableColumn id="46" xr3:uid="{0FA780F7-75F8-429E-BFBB-E1A06D0CB455}" name="PIE_RANK" dataDxfId="3"/>
    <tableColumn id="47" xr3:uid="{0B46C211-6490-43E9-87A1-BCADAD957CA6}" name="CFID" dataDxfId="2"/>
    <tableColumn id="48" xr3:uid="{DD0C5674-E868-4B32-932A-9447F7BD868D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1402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1407</v>
      </c>
      <c r="D3" s="2">
        <v>7</v>
      </c>
      <c r="F3" s="1" t="s">
        <v>1403</v>
      </c>
      <c r="G3" s="2">
        <v>8</v>
      </c>
    </row>
    <row r="4" spans="1:7" x14ac:dyDescent="0.25">
      <c r="A4" s="23"/>
      <c r="B4" s="5" t="s">
        <v>6</v>
      </c>
      <c r="C4" s="11">
        <v>0.51200000000000001</v>
      </c>
      <c r="F4" s="11">
        <v>0.42899999999999999</v>
      </c>
    </row>
    <row r="5" spans="1:7" x14ac:dyDescent="0.25">
      <c r="A5" s="23"/>
      <c r="B5" s="5" t="s">
        <v>7</v>
      </c>
      <c r="C5" s="1" t="s">
        <v>1408</v>
      </c>
      <c r="F5" s="1" t="s">
        <v>1404</v>
      </c>
    </row>
    <row r="6" spans="1:7" x14ac:dyDescent="0.25">
      <c r="A6" s="23"/>
      <c r="B6" s="5" t="s">
        <v>2</v>
      </c>
      <c r="C6" s="1" t="s">
        <v>1409</v>
      </c>
      <c r="F6" s="1" t="s">
        <v>1405</v>
      </c>
    </row>
    <row r="7" spans="1:7" x14ac:dyDescent="0.25">
      <c r="A7" s="23"/>
      <c r="B7" s="5" t="s">
        <v>3</v>
      </c>
      <c r="C7" s="1" t="s">
        <v>1410</v>
      </c>
      <c r="F7" s="1" t="s">
        <v>1406</v>
      </c>
    </row>
    <row r="8" spans="1:7" x14ac:dyDescent="0.25">
      <c r="A8" s="23"/>
      <c r="B8" s="5" t="s">
        <v>0</v>
      </c>
      <c r="C8" s="1" t="s">
        <v>1411</v>
      </c>
      <c r="F8" s="1" t="s">
        <v>1403</v>
      </c>
    </row>
    <row r="9" spans="1:7" x14ac:dyDescent="0.25">
      <c r="A9" s="23"/>
      <c r="B9" s="5" t="s">
        <v>1</v>
      </c>
      <c r="C9" s="1" t="s">
        <v>1412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0.45400000000000001</v>
      </c>
      <c r="D11" s="3">
        <v>18</v>
      </c>
      <c r="F11" s="9">
        <v>0.42299999999999999</v>
      </c>
      <c r="G11" s="3">
        <v>30</v>
      </c>
    </row>
    <row r="12" spans="1:7" x14ac:dyDescent="0.25">
      <c r="A12" s="23"/>
      <c r="B12" s="14" t="s">
        <v>36</v>
      </c>
      <c r="C12" s="8">
        <v>40.4</v>
      </c>
      <c r="D12" s="3">
        <v>18</v>
      </c>
      <c r="F12" s="8">
        <v>37.299999999999997</v>
      </c>
      <c r="G12" s="3">
        <v>28</v>
      </c>
    </row>
    <row r="13" spans="1:7" x14ac:dyDescent="0.25">
      <c r="A13" s="23"/>
      <c r="B13" s="14" t="s">
        <v>37</v>
      </c>
      <c r="C13" s="8">
        <v>89.1</v>
      </c>
      <c r="D13" s="3">
        <v>15</v>
      </c>
      <c r="F13" s="8">
        <v>88.1</v>
      </c>
      <c r="G13" s="3">
        <v>19</v>
      </c>
    </row>
    <row r="14" spans="1:7" x14ac:dyDescent="0.25">
      <c r="A14" s="23"/>
      <c r="B14" s="14" t="s">
        <v>27</v>
      </c>
      <c r="C14" s="9">
        <v>0.35599999999999998</v>
      </c>
      <c r="D14" s="3">
        <v>11</v>
      </c>
      <c r="F14" s="9">
        <v>0.30299999999999999</v>
      </c>
      <c r="G14" s="3">
        <v>30</v>
      </c>
    </row>
    <row r="15" spans="1:7" x14ac:dyDescent="0.25">
      <c r="A15" s="23"/>
      <c r="B15" s="14" t="s">
        <v>38</v>
      </c>
      <c r="C15" s="8">
        <v>11.4</v>
      </c>
      <c r="D15" s="3">
        <v>12</v>
      </c>
      <c r="F15" s="8">
        <v>9.5</v>
      </c>
      <c r="G15" s="3">
        <v>27</v>
      </c>
    </row>
    <row r="16" spans="1:7" x14ac:dyDescent="0.25">
      <c r="A16" s="23"/>
      <c r="B16" s="14" t="s">
        <v>39</v>
      </c>
      <c r="C16" s="8">
        <v>32.1</v>
      </c>
      <c r="D16" s="3">
        <v>15</v>
      </c>
      <c r="F16" s="8">
        <v>31.4</v>
      </c>
      <c r="G16" s="3">
        <v>17</v>
      </c>
    </row>
    <row r="17" spans="1:7" x14ac:dyDescent="0.25">
      <c r="A17" s="23"/>
      <c r="B17" s="14" t="s">
        <v>28</v>
      </c>
      <c r="C17" s="9">
        <v>0.78200000000000003</v>
      </c>
      <c r="D17" s="3">
        <v>12</v>
      </c>
      <c r="F17" s="9">
        <v>0.78500000000000003</v>
      </c>
      <c r="G17" s="3">
        <v>10</v>
      </c>
    </row>
    <row r="18" spans="1:7" x14ac:dyDescent="0.25">
      <c r="A18" s="23"/>
      <c r="B18" s="14" t="s">
        <v>41</v>
      </c>
      <c r="C18" s="8">
        <v>15</v>
      </c>
      <c r="D18" s="3">
        <v>30</v>
      </c>
      <c r="F18" s="8">
        <v>17.8</v>
      </c>
      <c r="G18" s="3">
        <v>19</v>
      </c>
    </row>
    <row r="19" spans="1:7" x14ac:dyDescent="0.25">
      <c r="A19" s="23"/>
      <c r="B19" s="14" t="s">
        <v>40</v>
      </c>
      <c r="C19" s="8">
        <v>19.2</v>
      </c>
      <c r="D19" s="3">
        <v>30</v>
      </c>
      <c r="F19" s="8">
        <v>22.6</v>
      </c>
      <c r="G19" s="3">
        <v>19</v>
      </c>
    </row>
    <row r="20" spans="1:7" x14ac:dyDescent="0.25">
      <c r="A20" s="23"/>
      <c r="B20" s="14" t="s">
        <v>29</v>
      </c>
      <c r="C20" s="8">
        <v>25.5</v>
      </c>
      <c r="D20" s="3">
        <v>12</v>
      </c>
      <c r="F20" s="8">
        <v>22.8</v>
      </c>
      <c r="G20" s="3">
        <v>22</v>
      </c>
    </row>
    <row r="21" spans="1:7" x14ac:dyDescent="0.25">
      <c r="A21" s="23"/>
      <c r="B21" s="14" t="s">
        <v>30</v>
      </c>
      <c r="C21" s="8">
        <v>13.2</v>
      </c>
      <c r="D21" s="3">
        <v>5</v>
      </c>
      <c r="F21" s="8">
        <v>13.1</v>
      </c>
      <c r="G21" s="3">
        <v>2</v>
      </c>
    </row>
    <row r="22" spans="1:7" x14ac:dyDescent="0.25">
      <c r="A22" s="23"/>
      <c r="B22" s="14" t="s">
        <v>32</v>
      </c>
      <c r="C22" s="8">
        <v>45.4</v>
      </c>
      <c r="D22" s="3">
        <v>15</v>
      </c>
      <c r="F22" s="8">
        <v>47.1</v>
      </c>
      <c r="G22" s="3">
        <v>6</v>
      </c>
    </row>
    <row r="23" spans="1:7" x14ac:dyDescent="0.25">
      <c r="A23" s="23"/>
      <c r="B23" s="14" t="s">
        <v>31</v>
      </c>
      <c r="C23" s="8">
        <v>10</v>
      </c>
      <c r="D23" s="3">
        <v>17</v>
      </c>
      <c r="F23" s="8">
        <v>11.5</v>
      </c>
      <c r="G23" s="3">
        <v>3</v>
      </c>
    </row>
    <row r="24" spans="1:7" x14ac:dyDescent="0.25">
      <c r="A24" s="23"/>
      <c r="B24" s="14" t="s">
        <v>33</v>
      </c>
      <c r="C24" s="8">
        <v>35.4</v>
      </c>
      <c r="D24" s="3">
        <v>13</v>
      </c>
      <c r="F24" s="8">
        <v>35.6</v>
      </c>
      <c r="G24" s="3">
        <v>14</v>
      </c>
    </row>
    <row r="25" spans="1:7" x14ac:dyDescent="0.25">
      <c r="A25" s="23"/>
      <c r="B25" s="14" t="s">
        <v>34</v>
      </c>
      <c r="C25" s="8">
        <v>6.6</v>
      </c>
      <c r="D25" s="3">
        <v>26</v>
      </c>
      <c r="F25" s="8">
        <v>7.9</v>
      </c>
      <c r="G25" s="3">
        <v>14</v>
      </c>
    </row>
    <row r="26" spans="1:7" x14ac:dyDescent="0.25">
      <c r="A26" s="23"/>
      <c r="B26" s="14" t="s">
        <v>35</v>
      </c>
      <c r="C26" s="8">
        <v>5.4</v>
      </c>
      <c r="D26" s="3">
        <v>6</v>
      </c>
      <c r="F26" s="8">
        <v>6.4</v>
      </c>
      <c r="G26" s="3">
        <v>3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0.45600000000000002</v>
      </c>
      <c r="D28" s="3">
        <v>11</v>
      </c>
      <c r="F28" s="9">
        <v>0.44700000000000001</v>
      </c>
      <c r="G28" s="3">
        <v>12</v>
      </c>
    </row>
    <row r="29" spans="1:7" x14ac:dyDescent="0.25">
      <c r="A29" s="23"/>
      <c r="B29" s="18" t="s">
        <v>43</v>
      </c>
      <c r="C29" s="9">
        <v>0.34699999999999998</v>
      </c>
      <c r="D29" s="3">
        <v>10</v>
      </c>
      <c r="F29" s="9">
        <v>0.34300000000000003</v>
      </c>
      <c r="G29" s="3">
        <v>9</v>
      </c>
    </row>
    <row r="30" spans="1:7" x14ac:dyDescent="0.25">
      <c r="A30" s="23"/>
      <c r="B30" s="18" t="s">
        <v>44</v>
      </c>
      <c r="C30" s="8">
        <v>10.5</v>
      </c>
      <c r="D30" s="3">
        <v>7</v>
      </c>
      <c r="F30" s="8">
        <v>10.9</v>
      </c>
      <c r="G30" s="3">
        <v>7</v>
      </c>
    </row>
    <row r="31" spans="1:7" x14ac:dyDescent="0.25">
      <c r="A31" s="23"/>
      <c r="B31" s="17" t="s">
        <v>45</v>
      </c>
      <c r="C31" s="8">
        <v>30.2</v>
      </c>
      <c r="D31" s="3">
        <v>7</v>
      </c>
      <c r="F31" s="8">
        <v>31.9</v>
      </c>
      <c r="G31" s="3">
        <v>8</v>
      </c>
    </row>
    <row r="32" spans="1:7" x14ac:dyDescent="0.25">
      <c r="A32" s="23"/>
      <c r="B32" s="17" t="s">
        <v>46</v>
      </c>
      <c r="C32" s="8">
        <v>13</v>
      </c>
      <c r="D32" s="3">
        <v>26</v>
      </c>
      <c r="F32" s="8">
        <v>13.6</v>
      </c>
      <c r="G32" s="3">
        <v>27</v>
      </c>
    </row>
    <row r="33" spans="1:7" x14ac:dyDescent="0.25">
      <c r="A33" s="23"/>
      <c r="B33" s="17" t="s">
        <v>47</v>
      </c>
      <c r="C33" s="8">
        <v>9</v>
      </c>
      <c r="D33" s="3">
        <v>2</v>
      </c>
      <c r="F33" s="8">
        <v>8.6</v>
      </c>
      <c r="G33" s="3">
        <v>3</v>
      </c>
    </row>
    <row r="35" spans="1:7" x14ac:dyDescent="0.25">
      <c r="A35" s="23" t="s">
        <v>60</v>
      </c>
      <c r="B35" s="4" t="s">
        <v>8</v>
      </c>
      <c r="C35" s="8">
        <v>108.2</v>
      </c>
      <c r="D35" s="3">
        <v>22</v>
      </c>
      <c r="F35" s="8">
        <v>103.3</v>
      </c>
      <c r="G35" s="3">
        <v>28</v>
      </c>
    </row>
    <row r="36" spans="1:7" x14ac:dyDescent="0.25">
      <c r="A36" s="23"/>
      <c r="B36" s="4" t="s">
        <v>9</v>
      </c>
      <c r="C36" s="8">
        <v>107.6</v>
      </c>
      <c r="D36" s="3">
        <v>8</v>
      </c>
      <c r="F36" s="8">
        <v>104.1</v>
      </c>
      <c r="G36" s="3">
        <v>11</v>
      </c>
    </row>
    <row r="37" spans="1:7" x14ac:dyDescent="0.25">
      <c r="A37" s="23"/>
      <c r="B37" s="4" t="s">
        <v>10</v>
      </c>
      <c r="C37" s="8">
        <v>0.6</v>
      </c>
      <c r="D37" s="3">
        <v>14</v>
      </c>
      <c r="F37" s="8">
        <v>-0.8</v>
      </c>
      <c r="G37" s="3">
        <v>15</v>
      </c>
    </row>
    <row r="38" spans="1:7" x14ac:dyDescent="0.25">
      <c r="A38" s="23"/>
      <c r="B38" s="4" t="s">
        <v>11</v>
      </c>
      <c r="C38" s="13">
        <v>98.65</v>
      </c>
      <c r="D38" s="3">
        <v>24</v>
      </c>
      <c r="F38" s="13">
        <v>98.5</v>
      </c>
      <c r="G38" s="3">
        <v>29</v>
      </c>
    </row>
    <row r="39" spans="1:7" x14ac:dyDescent="0.25">
      <c r="A39" s="23"/>
      <c r="B39" s="4" t="s">
        <v>12</v>
      </c>
      <c r="C39" s="10">
        <v>0.51800000000000002</v>
      </c>
      <c r="D39" s="3">
        <v>20</v>
      </c>
      <c r="F39" s="9">
        <v>0.47699999999999998</v>
      </c>
      <c r="G39" s="3">
        <v>30</v>
      </c>
    </row>
    <row r="40" spans="1:7" x14ac:dyDescent="0.25">
      <c r="A40" s="23"/>
      <c r="B40" s="4" t="s">
        <v>13</v>
      </c>
      <c r="C40" s="10">
        <v>0.63200000000000001</v>
      </c>
      <c r="D40" s="3">
        <v>5</v>
      </c>
      <c r="F40" s="9">
        <v>0.61099999999999999</v>
      </c>
      <c r="G40" s="3">
        <v>13</v>
      </c>
    </row>
    <row r="41" spans="1:7" x14ac:dyDescent="0.25">
      <c r="A41" s="23"/>
      <c r="B41" s="4" t="s">
        <v>14</v>
      </c>
      <c r="C41" s="10">
        <v>0.504</v>
      </c>
      <c r="D41" s="3">
        <v>11</v>
      </c>
      <c r="F41" s="9">
        <v>0.51</v>
      </c>
      <c r="G41" s="3">
        <v>9</v>
      </c>
    </row>
    <row r="42" spans="1:7" x14ac:dyDescent="0.25">
      <c r="A42" s="23"/>
      <c r="B42" s="4" t="s">
        <v>15</v>
      </c>
      <c r="C42" s="10">
        <v>0.25900000000000001</v>
      </c>
      <c r="D42" s="3">
        <v>22</v>
      </c>
      <c r="F42" s="9">
        <v>0.27400000000000002</v>
      </c>
      <c r="G42" s="3">
        <v>17</v>
      </c>
    </row>
    <row r="43" spans="1:7" x14ac:dyDescent="0.25">
      <c r="A43" s="23"/>
      <c r="B43" s="4" t="s">
        <v>16</v>
      </c>
      <c r="C43" s="10">
        <v>0.754</v>
      </c>
      <c r="D43" s="3">
        <v>3</v>
      </c>
      <c r="F43" s="9">
        <v>0.76400000000000001</v>
      </c>
      <c r="G43" s="3">
        <v>3</v>
      </c>
    </row>
    <row r="44" spans="1:7" x14ac:dyDescent="0.25">
      <c r="A44" s="23"/>
      <c r="B44" s="4" t="s">
        <v>17</v>
      </c>
      <c r="C44" s="10">
        <v>0.13300000000000001</v>
      </c>
      <c r="D44" s="3">
        <v>6</v>
      </c>
      <c r="F44" s="9">
        <v>0.13300000000000001</v>
      </c>
      <c r="G44" s="3">
        <v>2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72.400000000000006</v>
      </c>
      <c r="D46" s="3">
        <v>18</v>
      </c>
      <c r="F46" s="8">
        <v>70.599999999999994</v>
      </c>
      <c r="G46" s="3">
        <v>17</v>
      </c>
    </row>
    <row r="47" spans="1:7" x14ac:dyDescent="0.25">
      <c r="A47" s="23"/>
      <c r="B47" s="20" t="s">
        <v>49</v>
      </c>
      <c r="C47" s="8">
        <v>70.8</v>
      </c>
      <c r="D47" s="3">
        <v>7</v>
      </c>
      <c r="F47" s="8">
        <v>68.099999999999994</v>
      </c>
      <c r="G47" s="3">
        <v>6</v>
      </c>
    </row>
    <row r="48" spans="1:7" x14ac:dyDescent="0.25">
      <c r="A48" s="23"/>
      <c r="B48" s="20" t="s">
        <v>50</v>
      </c>
      <c r="C48" s="8">
        <v>1.6</v>
      </c>
      <c r="D48" s="3">
        <v>12</v>
      </c>
      <c r="F48" s="8">
        <v>2.5</v>
      </c>
      <c r="G48" s="3">
        <v>14</v>
      </c>
    </row>
    <row r="49" spans="1:7" x14ac:dyDescent="0.25">
      <c r="A49" s="23"/>
      <c r="B49" s="20" t="s">
        <v>51</v>
      </c>
      <c r="C49" s="8">
        <v>56.3</v>
      </c>
      <c r="D49" s="3">
        <v>19</v>
      </c>
      <c r="F49" s="8">
        <v>53.8</v>
      </c>
      <c r="G49" s="3">
        <v>15</v>
      </c>
    </row>
    <row r="50" spans="1:7" x14ac:dyDescent="0.25">
      <c r="A50" s="23"/>
      <c r="B50" s="20" t="s">
        <v>52</v>
      </c>
      <c r="C50" s="8">
        <v>57.6</v>
      </c>
      <c r="D50" s="3">
        <v>13</v>
      </c>
      <c r="F50" s="8">
        <v>58.5</v>
      </c>
      <c r="G50" s="3">
        <v>22</v>
      </c>
    </row>
    <row r="51" spans="1:7" x14ac:dyDescent="0.25">
      <c r="A51" s="23"/>
      <c r="B51" s="20" t="s">
        <v>53</v>
      </c>
      <c r="C51" s="8">
        <v>-1.2</v>
      </c>
      <c r="D51" s="3">
        <v>17</v>
      </c>
      <c r="F51" s="8">
        <v>-4.8</v>
      </c>
      <c r="G51" s="3">
        <v>28</v>
      </c>
    </row>
    <row r="53" spans="1:7" x14ac:dyDescent="0.25">
      <c r="A53" s="23" t="s">
        <v>57</v>
      </c>
      <c r="B53" s="6" t="s">
        <v>18</v>
      </c>
      <c r="C53" s="7">
        <v>15.2</v>
      </c>
      <c r="D53" s="3">
        <v>24</v>
      </c>
      <c r="F53" s="7">
        <v>16.8</v>
      </c>
      <c r="G53" s="3">
        <v>21</v>
      </c>
    </row>
    <row r="54" spans="1:7" x14ac:dyDescent="0.25">
      <c r="A54" s="23"/>
      <c r="B54" s="6" t="s">
        <v>19</v>
      </c>
      <c r="C54" s="7">
        <v>14.7</v>
      </c>
      <c r="D54" s="3">
        <v>3</v>
      </c>
      <c r="F54" s="7">
        <v>16.100000000000001</v>
      </c>
      <c r="G54" s="3">
        <v>6</v>
      </c>
    </row>
    <row r="55" spans="1:7" x14ac:dyDescent="0.25">
      <c r="A55" s="23"/>
      <c r="B55" s="6" t="s">
        <v>20</v>
      </c>
      <c r="C55" s="7">
        <v>12.4</v>
      </c>
      <c r="D55" s="3">
        <v>25</v>
      </c>
      <c r="F55" s="7">
        <v>12.9</v>
      </c>
      <c r="G55" s="3">
        <v>17</v>
      </c>
    </row>
    <row r="56" spans="1:7" x14ac:dyDescent="0.25">
      <c r="A56" s="23"/>
      <c r="B56" s="6" t="s">
        <v>21</v>
      </c>
      <c r="C56" s="7">
        <v>10.9</v>
      </c>
      <c r="D56" s="3">
        <v>1</v>
      </c>
      <c r="F56" s="7">
        <v>11.5</v>
      </c>
      <c r="G56" s="3">
        <v>7</v>
      </c>
    </row>
    <row r="57" spans="1:7" x14ac:dyDescent="0.25">
      <c r="A57" s="23"/>
      <c r="B57" s="6" t="s">
        <v>22</v>
      </c>
      <c r="C57" s="7">
        <v>10.8</v>
      </c>
      <c r="D57" s="3">
        <v>10.8</v>
      </c>
      <c r="F57" s="7">
        <v>11.9</v>
      </c>
      <c r="G57" s="3">
        <v>11.9</v>
      </c>
    </row>
    <row r="58" spans="1:7" x14ac:dyDescent="0.25">
      <c r="A58" s="23"/>
      <c r="B58" s="6" t="s">
        <v>23</v>
      </c>
      <c r="C58" s="7">
        <v>12.7</v>
      </c>
      <c r="D58" s="3">
        <v>12.7</v>
      </c>
      <c r="F58" s="7">
        <v>11.6</v>
      </c>
      <c r="G58" s="3">
        <v>11.6</v>
      </c>
    </row>
    <row r="59" spans="1:7" x14ac:dyDescent="0.25">
      <c r="A59" s="23"/>
      <c r="B59" s="6" t="s">
        <v>24</v>
      </c>
      <c r="C59" s="7">
        <v>44</v>
      </c>
      <c r="D59" s="3">
        <v>27</v>
      </c>
      <c r="F59" s="7">
        <v>44.6</v>
      </c>
      <c r="G59" s="3">
        <v>24</v>
      </c>
    </row>
    <row r="60" spans="1:7" x14ac:dyDescent="0.25">
      <c r="A60" s="23"/>
      <c r="B60" s="6" t="s">
        <v>25</v>
      </c>
      <c r="C60" s="7">
        <v>47.2</v>
      </c>
      <c r="D60" s="3">
        <v>8</v>
      </c>
      <c r="F60" s="7">
        <v>44.3</v>
      </c>
      <c r="G60" s="3">
        <v>8</v>
      </c>
    </row>
    <row r="62" spans="1:7" x14ac:dyDescent="0.25">
      <c r="A62" s="23" t="s">
        <v>58</v>
      </c>
      <c r="B62" s="21" t="s">
        <v>54</v>
      </c>
      <c r="C62" s="22">
        <v>3.5</v>
      </c>
      <c r="D62" s="3">
        <v>22</v>
      </c>
      <c r="F62" s="22">
        <v>3.8</v>
      </c>
      <c r="G62" s="3">
        <v>16</v>
      </c>
    </row>
    <row r="63" spans="1:7" x14ac:dyDescent="0.25">
      <c r="A63" s="23"/>
      <c r="B63" s="21" t="s">
        <v>55</v>
      </c>
      <c r="C63" s="3">
        <v>22</v>
      </c>
      <c r="D63" s="3">
        <v>11</v>
      </c>
      <c r="F63" s="3">
        <v>3</v>
      </c>
      <c r="G63" s="3">
        <v>19</v>
      </c>
    </row>
    <row r="64" spans="1:7" x14ac:dyDescent="0.25">
      <c r="A64" s="23"/>
      <c r="B64" s="21" t="s">
        <v>56</v>
      </c>
      <c r="C64" s="3">
        <v>25</v>
      </c>
      <c r="D64" s="3">
        <v>25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0.40899999999999997</v>
      </c>
      <c r="D65" s="3">
        <v>20</v>
      </c>
      <c r="F65" s="9">
        <v>0.42299999999999999</v>
      </c>
      <c r="G65" s="3">
        <v>16</v>
      </c>
    </row>
    <row r="66" spans="1:7" x14ac:dyDescent="0.25">
      <c r="A66" s="23"/>
      <c r="B66" s="21" t="s">
        <v>42</v>
      </c>
      <c r="C66" s="9">
        <v>0.42599999999999999</v>
      </c>
      <c r="D66" s="3">
        <v>14</v>
      </c>
      <c r="F66" s="9">
        <v>0.48899999999999999</v>
      </c>
      <c r="G66" s="3">
        <v>25</v>
      </c>
    </row>
    <row r="67" spans="1:7" x14ac:dyDescent="0.25">
      <c r="A67" s="23"/>
      <c r="B67" s="21" t="s">
        <v>8</v>
      </c>
      <c r="C67" s="8">
        <v>95.8</v>
      </c>
      <c r="D67" s="3">
        <v>29</v>
      </c>
      <c r="F67" s="8">
        <v>104.7</v>
      </c>
      <c r="G67" s="3">
        <v>18</v>
      </c>
    </row>
    <row r="68" spans="1:7" x14ac:dyDescent="0.25">
      <c r="A68" s="23"/>
      <c r="B68" s="21" t="s">
        <v>9</v>
      </c>
      <c r="C68" s="8">
        <v>99.1</v>
      </c>
      <c r="D68" s="3">
        <v>3</v>
      </c>
      <c r="F68" s="8">
        <v>109.2</v>
      </c>
      <c r="G68" s="3">
        <v>18</v>
      </c>
    </row>
    <row r="69" spans="1:7" x14ac:dyDescent="0.25">
      <c r="A69" s="23"/>
      <c r="B69" s="21" t="s">
        <v>10</v>
      </c>
      <c r="C69" s="8">
        <v>-3.3</v>
      </c>
      <c r="D69" s="3">
        <v>20</v>
      </c>
      <c r="F69" s="8">
        <v>-4.5</v>
      </c>
      <c r="G69" s="3">
        <v>18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>
      <selection activeCell="D2" sqref="D2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1610612753</v>
      </c>
      <c r="B2" s="1" t="s">
        <v>755</v>
      </c>
      <c r="C2" s="1" t="s">
        <v>145</v>
      </c>
      <c r="D2" s="1" t="s">
        <v>1344</v>
      </c>
      <c r="E2" s="1" t="s">
        <v>145</v>
      </c>
      <c r="F2" s="1" t="s">
        <v>760</v>
      </c>
      <c r="G2" s="1" t="s">
        <v>299</v>
      </c>
      <c r="H2" s="1" t="s">
        <v>1345</v>
      </c>
      <c r="I2" s="1" t="s">
        <v>1346</v>
      </c>
      <c r="J2" s="1">
        <v>24</v>
      </c>
      <c r="K2" s="1" t="s">
        <v>759</v>
      </c>
      <c r="L2" s="1" t="s">
        <v>1339</v>
      </c>
      <c r="M2" s="1">
        <v>203932</v>
      </c>
    </row>
    <row r="3" spans="1:13" x14ac:dyDescent="0.25">
      <c r="A3" s="1">
        <v>1610612753</v>
      </c>
      <c r="B3" s="1" t="s">
        <v>755</v>
      </c>
      <c r="C3" s="1" t="s">
        <v>145</v>
      </c>
      <c r="D3" s="1" t="s">
        <v>1347</v>
      </c>
      <c r="E3" s="1" t="s">
        <v>756</v>
      </c>
      <c r="F3" s="1" t="s">
        <v>760</v>
      </c>
      <c r="G3" s="1" t="s">
        <v>1348</v>
      </c>
      <c r="H3" s="1" t="s">
        <v>1349</v>
      </c>
      <c r="I3" s="1" t="s">
        <v>1350</v>
      </c>
      <c r="J3" s="1">
        <v>22</v>
      </c>
      <c r="K3" s="1" t="s">
        <v>1325</v>
      </c>
      <c r="L3" s="1" t="s">
        <v>1351</v>
      </c>
      <c r="M3" s="1">
        <v>1628371</v>
      </c>
    </row>
    <row r="4" spans="1:13" x14ac:dyDescent="0.25">
      <c r="A4" s="1">
        <v>1610612753</v>
      </c>
      <c r="B4" s="1" t="s">
        <v>755</v>
      </c>
      <c r="C4" s="1" t="s">
        <v>145</v>
      </c>
      <c r="D4" s="1" t="s">
        <v>1352</v>
      </c>
      <c r="E4" s="1" t="s">
        <v>1325</v>
      </c>
      <c r="F4" s="1" t="s">
        <v>760</v>
      </c>
      <c r="G4" s="1" t="s">
        <v>299</v>
      </c>
      <c r="H4" s="1" t="s">
        <v>1335</v>
      </c>
      <c r="I4" s="1" t="s">
        <v>1353</v>
      </c>
      <c r="J4" s="1">
        <v>29</v>
      </c>
      <c r="K4" s="1" t="s">
        <v>1336</v>
      </c>
      <c r="L4" s="1" t="s">
        <v>1354</v>
      </c>
      <c r="M4" s="1">
        <v>202329</v>
      </c>
    </row>
    <row r="5" spans="1:13" x14ac:dyDescent="0.25">
      <c r="A5" s="1">
        <v>1610612753</v>
      </c>
      <c r="B5" s="1" t="s">
        <v>755</v>
      </c>
      <c r="C5" s="1" t="s">
        <v>145</v>
      </c>
      <c r="D5" s="1" t="s">
        <v>1355</v>
      </c>
      <c r="E5" s="1" t="s">
        <v>758</v>
      </c>
      <c r="F5" s="1" t="s">
        <v>757</v>
      </c>
      <c r="G5" s="1" t="s">
        <v>409</v>
      </c>
      <c r="H5" s="1" t="s">
        <v>1356</v>
      </c>
      <c r="I5" s="1" t="s">
        <v>1357</v>
      </c>
      <c r="J5" s="1">
        <v>29</v>
      </c>
      <c r="K5" s="1" t="s">
        <v>756</v>
      </c>
      <c r="L5" s="1" t="s">
        <v>1358</v>
      </c>
      <c r="M5" s="1">
        <v>203705</v>
      </c>
    </row>
    <row r="6" spans="1:13" x14ac:dyDescent="0.25">
      <c r="A6" s="1">
        <v>1610612753</v>
      </c>
      <c r="B6" s="1" t="s">
        <v>755</v>
      </c>
      <c r="C6" s="1" t="s">
        <v>145</v>
      </c>
      <c r="D6" s="1" t="s">
        <v>1359</v>
      </c>
      <c r="E6" s="1" t="s">
        <v>759</v>
      </c>
      <c r="F6" s="1" t="s">
        <v>1360</v>
      </c>
      <c r="G6" s="1" t="s">
        <v>761</v>
      </c>
      <c r="H6" s="1" t="s">
        <v>1361</v>
      </c>
      <c r="I6" s="1" t="s">
        <v>1362</v>
      </c>
      <c r="J6" s="1">
        <v>21</v>
      </c>
      <c r="K6" s="1" t="s">
        <v>756</v>
      </c>
      <c r="L6" s="1" t="s">
        <v>1363</v>
      </c>
      <c r="M6" s="1">
        <v>1628964</v>
      </c>
    </row>
    <row r="7" spans="1:13" x14ac:dyDescent="0.25">
      <c r="A7" s="1">
        <v>1610612753</v>
      </c>
      <c r="B7" s="1" t="s">
        <v>755</v>
      </c>
      <c r="C7" s="1" t="s">
        <v>145</v>
      </c>
      <c r="D7" s="1" t="s">
        <v>1364</v>
      </c>
      <c r="E7" s="1" t="s">
        <v>1365</v>
      </c>
      <c r="F7" s="1" t="s">
        <v>757</v>
      </c>
      <c r="G7" s="1" t="s">
        <v>286</v>
      </c>
      <c r="H7" s="1" t="s">
        <v>1366</v>
      </c>
      <c r="I7" s="1" t="s">
        <v>1367</v>
      </c>
      <c r="J7" s="1">
        <v>28</v>
      </c>
      <c r="K7" s="1" t="s">
        <v>1326</v>
      </c>
      <c r="L7" s="1" t="s">
        <v>1368</v>
      </c>
      <c r="M7" s="1">
        <v>203487</v>
      </c>
    </row>
    <row r="8" spans="1:13" x14ac:dyDescent="0.25">
      <c r="A8" s="1">
        <v>1610612753</v>
      </c>
      <c r="B8" s="1" t="s">
        <v>755</v>
      </c>
      <c r="C8" s="1" t="s">
        <v>145</v>
      </c>
      <c r="D8" s="1" t="s">
        <v>1369</v>
      </c>
      <c r="E8" s="1" t="s">
        <v>1332</v>
      </c>
      <c r="F8" s="1" t="s">
        <v>1329</v>
      </c>
      <c r="G8" s="1" t="s">
        <v>1328</v>
      </c>
      <c r="H8" s="1" t="s">
        <v>1370</v>
      </c>
      <c r="I8" s="1" t="s">
        <v>1371</v>
      </c>
      <c r="J8" s="1">
        <v>28</v>
      </c>
      <c r="K8" s="1" t="s">
        <v>1365</v>
      </c>
      <c r="L8" s="1" t="s">
        <v>357</v>
      </c>
      <c r="M8" s="1">
        <v>203082</v>
      </c>
    </row>
    <row r="9" spans="1:13" x14ac:dyDescent="0.25">
      <c r="A9" s="1">
        <v>1610612753</v>
      </c>
      <c r="B9" s="1" t="s">
        <v>755</v>
      </c>
      <c r="C9" s="1" t="s">
        <v>145</v>
      </c>
      <c r="D9" s="1" t="s">
        <v>1372</v>
      </c>
      <c r="E9" s="1" t="s">
        <v>1336</v>
      </c>
      <c r="F9" s="1" t="s">
        <v>1360</v>
      </c>
      <c r="G9" s="1" t="s">
        <v>1348</v>
      </c>
      <c r="H9" s="1" t="s">
        <v>1373</v>
      </c>
      <c r="I9" s="1" t="s">
        <v>1374</v>
      </c>
      <c r="J9" s="1">
        <v>29</v>
      </c>
      <c r="K9" s="1" t="s">
        <v>1332</v>
      </c>
      <c r="L9" s="1" t="s">
        <v>1343</v>
      </c>
      <c r="M9" s="1">
        <v>202696</v>
      </c>
    </row>
    <row r="10" spans="1:13" x14ac:dyDescent="0.25">
      <c r="A10" s="1">
        <v>1610612753</v>
      </c>
      <c r="B10" s="1" t="s">
        <v>755</v>
      </c>
      <c r="C10" s="1" t="s">
        <v>145</v>
      </c>
      <c r="D10" s="1" t="s">
        <v>1375</v>
      </c>
      <c r="E10" s="1" t="s">
        <v>1324</v>
      </c>
      <c r="F10" s="1" t="s">
        <v>1329</v>
      </c>
      <c r="G10" s="1" t="s">
        <v>331</v>
      </c>
      <c r="H10" s="1" t="s">
        <v>1337</v>
      </c>
      <c r="I10" s="1" t="s">
        <v>1376</v>
      </c>
      <c r="J10" s="1">
        <v>27</v>
      </c>
      <c r="K10" s="1" t="s">
        <v>1365</v>
      </c>
      <c r="L10" s="1" t="s">
        <v>1331</v>
      </c>
      <c r="M10" s="1">
        <v>203095</v>
      </c>
    </row>
    <row r="11" spans="1:13" x14ac:dyDescent="0.25">
      <c r="A11" s="1">
        <v>1610612753</v>
      </c>
      <c r="B11" s="1" t="s">
        <v>755</v>
      </c>
      <c r="C11" s="1" t="s">
        <v>145</v>
      </c>
      <c r="D11" s="1" t="s">
        <v>1377</v>
      </c>
      <c r="E11" s="1" t="s">
        <v>1327</v>
      </c>
      <c r="F11" s="1" t="s">
        <v>760</v>
      </c>
      <c r="G11" s="1" t="s">
        <v>337</v>
      </c>
      <c r="H11" s="1" t="s">
        <v>1378</v>
      </c>
      <c r="I11" s="1" t="s">
        <v>1379</v>
      </c>
      <c r="J11" s="1">
        <v>26</v>
      </c>
      <c r="K11" s="1" t="s">
        <v>756</v>
      </c>
      <c r="L11" s="1" t="s">
        <v>1334</v>
      </c>
      <c r="M11" s="1">
        <v>1628518</v>
      </c>
    </row>
    <row r="12" spans="1:13" x14ac:dyDescent="0.25">
      <c r="A12" s="1">
        <v>1610612753</v>
      </c>
      <c r="B12" s="1" t="s">
        <v>755</v>
      </c>
      <c r="C12" s="1" t="s">
        <v>145</v>
      </c>
      <c r="D12" s="1" t="s">
        <v>1380</v>
      </c>
      <c r="E12" s="1" t="s">
        <v>1323</v>
      </c>
      <c r="F12" s="1" t="s">
        <v>760</v>
      </c>
      <c r="G12" s="1" t="s">
        <v>331</v>
      </c>
      <c r="H12" s="1" t="s">
        <v>1338</v>
      </c>
      <c r="I12" s="1" t="s">
        <v>1381</v>
      </c>
      <c r="J12" s="1">
        <v>23</v>
      </c>
      <c r="K12" s="1" t="s">
        <v>756</v>
      </c>
      <c r="L12" s="1" t="s">
        <v>1382</v>
      </c>
      <c r="M12" s="1">
        <v>1629168</v>
      </c>
    </row>
    <row r="13" spans="1:13" x14ac:dyDescent="0.25">
      <c r="A13" s="1">
        <v>1610612753</v>
      </c>
      <c r="B13" s="1" t="s">
        <v>755</v>
      </c>
      <c r="C13" s="1" t="s">
        <v>145</v>
      </c>
      <c r="D13" s="1" t="s">
        <v>1383</v>
      </c>
      <c r="E13" s="1" t="s">
        <v>1340</v>
      </c>
      <c r="F13" s="1" t="s">
        <v>757</v>
      </c>
      <c r="G13" s="1" t="s">
        <v>386</v>
      </c>
      <c r="H13" s="1" t="s">
        <v>1384</v>
      </c>
      <c r="I13" s="1" t="s">
        <v>1385</v>
      </c>
      <c r="J13" s="1">
        <v>32</v>
      </c>
      <c r="K13" s="1" t="s">
        <v>1327</v>
      </c>
      <c r="L13" s="1" t="s">
        <v>1386</v>
      </c>
      <c r="M13" s="1">
        <v>201571</v>
      </c>
    </row>
    <row r="14" spans="1:13" x14ac:dyDescent="0.25">
      <c r="A14" s="1">
        <v>1610612753</v>
      </c>
      <c r="B14" s="1" t="s">
        <v>755</v>
      </c>
      <c r="C14" s="1" t="s">
        <v>145</v>
      </c>
      <c r="D14" s="1" t="s">
        <v>1387</v>
      </c>
      <c r="E14" s="1" t="s">
        <v>1341</v>
      </c>
      <c r="F14" s="1" t="s">
        <v>757</v>
      </c>
      <c r="G14" s="1" t="s">
        <v>256</v>
      </c>
      <c r="H14" s="1" t="s">
        <v>1388</v>
      </c>
      <c r="I14" s="1" t="s">
        <v>1389</v>
      </c>
      <c r="J14" s="1">
        <v>21</v>
      </c>
      <c r="K14" s="1" t="s">
        <v>1325</v>
      </c>
      <c r="L14" s="1" t="s">
        <v>357</v>
      </c>
      <c r="M14" s="1">
        <v>1628365</v>
      </c>
    </row>
    <row r="15" spans="1:13" x14ac:dyDescent="0.25">
      <c r="A15" s="1">
        <v>1610612753</v>
      </c>
      <c r="B15" s="1" t="s">
        <v>755</v>
      </c>
      <c r="C15" s="1" t="s">
        <v>145</v>
      </c>
      <c r="D15" s="1" t="s">
        <v>1390</v>
      </c>
      <c r="E15" s="1" t="s">
        <v>1391</v>
      </c>
      <c r="F15" s="1" t="s">
        <v>1360</v>
      </c>
      <c r="G15" s="1" t="s">
        <v>337</v>
      </c>
      <c r="H15" s="1" t="s">
        <v>1392</v>
      </c>
      <c r="I15" s="1" t="s">
        <v>1393</v>
      </c>
      <c r="J15" s="1">
        <v>27</v>
      </c>
      <c r="K15" s="1" t="s">
        <v>1325</v>
      </c>
      <c r="L15" s="1" t="s">
        <v>1394</v>
      </c>
      <c r="M15" s="1">
        <v>203920</v>
      </c>
    </row>
    <row r="16" spans="1:13" x14ac:dyDescent="0.25">
      <c r="A16" s="1">
        <v>1610612753</v>
      </c>
      <c r="B16" s="1" t="s">
        <v>755</v>
      </c>
      <c r="C16" s="1" t="s">
        <v>145</v>
      </c>
      <c r="D16" s="1" t="s">
        <v>1395</v>
      </c>
      <c r="E16" s="1" t="s">
        <v>1342</v>
      </c>
      <c r="F16" s="1" t="s">
        <v>760</v>
      </c>
      <c r="G16" s="1" t="s">
        <v>1328</v>
      </c>
      <c r="H16" s="1" t="s">
        <v>1330</v>
      </c>
      <c r="I16" s="1" t="s">
        <v>1396</v>
      </c>
      <c r="J16" s="1">
        <v>24</v>
      </c>
      <c r="K16" s="1" t="s">
        <v>1325</v>
      </c>
      <c r="L16" s="1" t="s">
        <v>1397</v>
      </c>
      <c r="M16" s="1">
        <v>1628411</v>
      </c>
    </row>
    <row r="17" spans="1:13" x14ac:dyDescent="0.25">
      <c r="A17" s="1">
        <v>1610612753</v>
      </c>
      <c r="B17" s="1" t="s">
        <v>755</v>
      </c>
      <c r="C17" s="1" t="s">
        <v>145</v>
      </c>
      <c r="D17" s="1" t="s">
        <v>1398</v>
      </c>
      <c r="E17" s="1" t="s">
        <v>1399</v>
      </c>
      <c r="F17" s="1" t="s">
        <v>1329</v>
      </c>
      <c r="G17" s="1" t="s">
        <v>286</v>
      </c>
      <c r="H17" s="1" t="s">
        <v>1333</v>
      </c>
      <c r="I17" s="1" t="s">
        <v>1400</v>
      </c>
      <c r="J17" s="1">
        <v>23</v>
      </c>
      <c r="K17" s="1" t="s">
        <v>756</v>
      </c>
      <c r="L17" s="1" t="s">
        <v>1401</v>
      </c>
      <c r="M17" s="1">
        <v>1628982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180</v>
      </c>
      <c r="H2" s="1">
        <v>1</v>
      </c>
      <c r="I2" s="1" t="s">
        <v>151</v>
      </c>
      <c r="J2" s="1" t="s">
        <v>181</v>
      </c>
      <c r="K2" s="1" t="s">
        <v>182</v>
      </c>
      <c r="L2" s="1">
        <v>1</v>
      </c>
      <c r="M2" s="1">
        <v>12</v>
      </c>
      <c r="N2" s="1">
        <v>3</v>
      </c>
      <c r="O2" s="1">
        <v>0.8</v>
      </c>
      <c r="P2" s="1">
        <v>0</v>
      </c>
      <c r="Q2" s="1" t="s">
        <v>183</v>
      </c>
      <c r="R2" s="1" t="s">
        <v>155</v>
      </c>
      <c r="S2" s="1" t="s">
        <v>184</v>
      </c>
      <c r="T2" s="1" t="s">
        <v>156</v>
      </c>
      <c r="U2" s="1" t="s">
        <v>155</v>
      </c>
      <c r="V2" s="1" t="s">
        <v>184</v>
      </c>
      <c r="W2" s="1" t="s">
        <v>185</v>
      </c>
      <c r="X2" s="1" t="s">
        <v>186</v>
      </c>
      <c r="Y2" s="1" t="s">
        <v>187</v>
      </c>
      <c r="Z2" s="1">
        <v>4</v>
      </c>
      <c r="AA2" s="1" t="s">
        <v>159</v>
      </c>
      <c r="AB2" s="1">
        <v>4</v>
      </c>
      <c r="AC2" s="1" t="s">
        <v>159</v>
      </c>
      <c r="AD2" s="1">
        <v>6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6</v>
      </c>
      <c r="AK2" s="1" t="s">
        <v>188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184</v>
      </c>
      <c r="AT2" s="1" t="s">
        <v>155</v>
      </c>
      <c r="AU2" s="1" t="s">
        <v>161</v>
      </c>
      <c r="AV2" s="1" t="s">
        <v>189</v>
      </c>
      <c r="AW2" s="1" t="s">
        <v>190</v>
      </c>
      <c r="AX2" s="1" t="s">
        <v>161</v>
      </c>
      <c r="AY2" s="1" t="s">
        <v>191</v>
      </c>
      <c r="AZ2" s="1" t="s">
        <v>192</v>
      </c>
      <c r="BA2" s="1" t="s">
        <v>193</v>
      </c>
      <c r="BB2" s="1" t="s">
        <v>189</v>
      </c>
      <c r="BC2" s="1" t="s">
        <v>167</v>
      </c>
      <c r="BD2" s="1" t="s">
        <v>155</v>
      </c>
      <c r="BE2" s="1">
        <v>120.8</v>
      </c>
      <c r="BF2" s="1">
        <v>111.5</v>
      </c>
      <c r="BG2" s="1">
        <v>9.3000000000000007</v>
      </c>
      <c r="BH2" s="1" t="s">
        <v>194</v>
      </c>
      <c r="BI2" s="1" t="s">
        <v>195</v>
      </c>
      <c r="BJ2" s="1" t="s">
        <v>196</v>
      </c>
      <c r="BK2" s="1" t="s">
        <v>197</v>
      </c>
      <c r="BL2" s="1" t="s">
        <v>198</v>
      </c>
      <c r="BM2" s="1" t="s">
        <v>175</v>
      </c>
      <c r="BN2" s="1" t="s">
        <v>171</v>
      </c>
      <c r="BO2" s="1" t="s">
        <v>171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199</v>
      </c>
      <c r="BZ2" s="1" t="s">
        <v>200</v>
      </c>
      <c r="CA2" s="1"/>
      <c r="CB2" s="1" t="s">
        <v>183</v>
      </c>
      <c r="CC2" s="1"/>
    </row>
    <row r="3" spans="1:81" x14ac:dyDescent="0.25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150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12</v>
      </c>
      <c r="N3" s="1">
        <v>2</v>
      </c>
      <c r="O3" s="1">
        <v>0.85699999999999998</v>
      </c>
      <c r="P3" s="1">
        <v>0</v>
      </c>
      <c r="Q3" s="1" t="s">
        <v>154</v>
      </c>
      <c r="R3" s="1" t="s">
        <v>150</v>
      </c>
      <c r="S3" s="1" t="s">
        <v>155</v>
      </c>
      <c r="T3" s="1" t="s">
        <v>156</v>
      </c>
      <c r="U3" s="1" t="s">
        <v>150</v>
      </c>
      <c r="V3" s="1" t="s">
        <v>155</v>
      </c>
      <c r="W3" s="1" t="s">
        <v>157</v>
      </c>
      <c r="X3" s="1" t="s">
        <v>157</v>
      </c>
      <c r="Y3" s="1" t="s">
        <v>158</v>
      </c>
      <c r="Z3" s="1">
        <v>4</v>
      </c>
      <c r="AA3" s="1" t="s">
        <v>159</v>
      </c>
      <c r="AB3" s="1">
        <v>4</v>
      </c>
      <c r="AC3" s="1" t="s">
        <v>159</v>
      </c>
      <c r="AD3" s="1">
        <v>7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5</v>
      </c>
      <c r="AK3" s="1" t="s">
        <v>160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156</v>
      </c>
      <c r="AT3" s="1" t="s">
        <v>153</v>
      </c>
      <c r="AU3" s="1" t="s">
        <v>161</v>
      </c>
      <c r="AV3" s="1" t="s">
        <v>162</v>
      </c>
      <c r="AW3" s="1" t="s">
        <v>163</v>
      </c>
      <c r="AX3" s="1" t="s">
        <v>164</v>
      </c>
      <c r="AY3" s="1" t="s">
        <v>165</v>
      </c>
      <c r="AZ3" s="1" t="s">
        <v>166</v>
      </c>
      <c r="BA3" s="1" t="s">
        <v>166</v>
      </c>
      <c r="BB3" s="1" t="s">
        <v>167</v>
      </c>
      <c r="BC3" s="1" t="s">
        <v>156</v>
      </c>
      <c r="BD3" s="1" t="s">
        <v>168</v>
      </c>
      <c r="BE3" s="1">
        <v>110.9</v>
      </c>
      <c r="BF3" s="1">
        <v>101.1</v>
      </c>
      <c r="BG3" s="1">
        <v>9.8000000000000007</v>
      </c>
      <c r="BH3" s="1" t="s">
        <v>169</v>
      </c>
      <c r="BI3" s="1" t="s">
        <v>170</v>
      </c>
      <c r="BJ3" s="1" t="s">
        <v>171</v>
      </c>
      <c r="BK3" s="1" t="s">
        <v>172</v>
      </c>
      <c r="BL3" s="1" t="s">
        <v>173</v>
      </c>
      <c r="BM3" s="1" t="s">
        <v>174</v>
      </c>
      <c r="BN3" s="1" t="s">
        <v>175</v>
      </c>
      <c r="BO3" s="1" t="s">
        <v>172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175</v>
      </c>
      <c r="BZ3" s="1" t="s">
        <v>176</v>
      </c>
      <c r="CA3" s="1"/>
      <c r="CB3" s="1" t="s">
        <v>154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1610612748</v>
      </c>
      <c r="D6" s="1" t="s">
        <v>241</v>
      </c>
      <c r="E6" s="1" t="s">
        <v>242</v>
      </c>
      <c r="F6" s="1" t="s">
        <v>179</v>
      </c>
      <c r="G6" s="1" t="s">
        <v>243</v>
      </c>
      <c r="H6" s="1">
        <v>3</v>
      </c>
      <c r="I6" s="1" t="s">
        <v>151</v>
      </c>
      <c r="J6" s="1" t="s">
        <v>244</v>
      </c>
      <c r="K6" s="1" t="s">
        <v>163</v>
      </c>
      <c r="L6" s="1">
        <v>1</v>
      </c>
      <c r="M6" s="1">
        <v>10</v>
      </c>
      <c r="N6" s="1">
        <v>3</v>
      </c>
      <c r="O6" s="1">
        <v>0.76900000000000002</v>
      </c>
      <c r="P6" s="1">
        <v>0</v>
      </c>
      <c r="Q6" s="1" t="s">
        <v>220</v>
      </c>
      <c r="R6" s="1" t="s">
        <v>243</v>
      </c>
      <c r="S6" s="1" t="s">
        <v>245</v>
      </c>
      <c r="T6" s="1" t="s">
        <v>184</v>
      </c>
      <c r="U6" s="1" t="s">
        <v>243</v>
      </c>
      <c r="V6" s="1" t="s">
        <v>245</v>
      </c>
      <c r="W6" s="1" t="s">
        <v>157</v>
      </c>
      <c r="X6" s="1" t="s">
        <v>161</v>
      </c>
      <c r="Y6" s="1" t="s">
        <v>180</v>
      </c>
      <c r="Z6" s="1">
        <v>6</v>
      </c>
      <c r="AA6" s="1" t="s">
        <v>188</v>
      </c>
      <c r="AB6" s="1">
        <v>1</v>
      </c>
      <c r="AC6" s="1" t="s">
        <v>246</v>
      </c>
      <c r="AD6" s="1">
        <v>4</v>
      </c>
      <c r="AE6" s="1">
        <v>1</v>
      </c>
      <c r="AF6" s="1">
        <v>6</v>
      </c>
      <c r="AG6" s="1" t="s">
        <v>188</v>
      </c>
      <c r="AH6" s="1">
        <v>1</v>
      </c>
      <c r="AI6" s="1" t="s">
        <v>246</v>
      </c>
      <c r="AJ6" s="1">
        <v>4</v>
      </c>
      <c r="AK6" s="1" t="s">
        <v>159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161</v>
      </c>
      <c r="AV6" s="1" t="s">
        <v>150</v>
      </c>
      <c r="AW6" s="1" t="s">
        <v>224</v>
      </c>
      <c r="AX6" s="1" t="s">
        <v>161</v>
      </c>
      <c r="AY6" s="1" t="s">
        <v>210</v>
      </c>
      <c r="AZ6" s="1" t="s">
        <v>166</v>
      </c>
      <c r="BA6" s="1" t="s">
        <v>206</v>
      </c>
      <c r="BB6" s="1" t="s">
        <v>210</v>
      </c>
      <c r="BC6" s="1" t="s">
        <v>247</v>
      </c>
      <c r="BD6" s="1" t="s">
        <v>208</v>
      </c>
      <c r="BE6" s="1">
        <v>112.2</v>
      </c>
      <c r="BF6" s="1">
        <v>103.7</v>
      </c>
      <c r="BG6" s="1">
        <v>8.5</v>
      </c>
      <c r="BH6" s="1" t="s">
        <v>248</v>
      </c>
      <c r="BI6" s="1" t="s">
        <v>215</v>
      </c>
      <c r="BJ6" s="1" t="s">
        <v>196</v>
      </c>
      <c r="BK6" s="1" t="s">
        <v>174</v>
      </c>
      <c r="BL6" s="1" t="s">
        <v>249</v>
      </c>
      <c r="BM6" s="1" t="s">
        <v>250</v>
      </c>
      <c r="BN6" s="1" t="s">
        <v>195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169</v>
      </c>
      <c r="BZ6" s="1" t="s">
        <v>227</v>
      </c>
      <c r="CA6" s="1"/>
      <c r="CB6" s="1" t="s">
        <v>220</v>
      </c>
      <c r="CC6" s="1"/>
    </row>
    <row r="7" spans="1:81" x14ac:dyDescent="0.25">
      <c r="A7" s="1" t="s">
        <v>145</v>
      </c>
      <c r="B7" s="1" t="s">
        <v>146</v>
      </c>
      <c r="C7" s="1">
        <v>1610612745</v>
      </c>
      <c r="D7" s="1" t="s">
        <v>229</v>
      </c>
      <c r="E7" s="1" t="s">
        <v>230</v>
      </c>
      <c r="F7" s="1" t="s">
        <v>149</v>
      </c>
      <c r="G7" s="1" t="s">
        <v>150</v>
      </c>
      <c r="H7" s="1">
        <v>3</v>
      </c>
      <c r="I7" s="1" t="s">
        <v>151</v>
      </c>
      <c r="J7" s="1" t="s">
        <v>231</v>
      </c>
      <c r="K7" s="1" t="s">
        <v>232</v>
      </c>
      <c r="L7" s="1">
        <v>1</v>
      </c>
      <c r="M7" s="1">
        <v>11</v>
      </c>
      <c r="N7" s="1">
        <v>4</v>
      </c>
      <c r="O7" s="1">
        <v>0.73299999999999998</v>
      </c>
      <c r="P7" s="1">
        <v>0</v>
      </c>
      <c r="Q7" s="1" t="s">
        <v>233</v>
      </c>
      <c r="R7" s="1" t="s">
        <v>187</v>
      </c>
      <c r="S7" s="1" t="s">
        <v>234</v>
      </c>
      <c r="T7" s="1" t="s">
        <v>184</v>
      </c>
      <c r="U7" s="1" t="s">
        <v>187</v>
      </c>
      <c r="V7" s="1" t="s">
        <v>234</v>
      </c>
      <c r="W7" s="1" t="s">
        <v>161</v>
      </c>
      <c r="X7" s="1" t="s">
        <v>163</v>
      </c>
      <c r="Y7" s="1" t="s">
        <v>235</v>
      </c>
      <c r="Z7" s="1">
        <v>6</v>
      </c>
      <c r="AA7" s="1" t="s">
        <v>188</v>
      </c>
      <c r="AB7" s="1">
        <v>4</v>
      </c>
      <c r="AC7" s="1" t="s">
        <v>159</v>
      </c>
      <c r="AD7" s="1">
        <v>8</v>
      </c>
      <c r="AE7" s="1">
        <v>2</v>
      </c>
      <c r="AF7" s="1">
        <v>6</v>
      </c>
      <c r="AG7" s="1" t="s">
        <v>188</v>
      </c>
      <c r="AH7" s="1">
        <v>-1</v>
      </c>
      <c r="AI7" s="1" t="s">
        <v>207</v>
      </c>
      <c r="AJ7" s="1">
        <v>-1</v>
      </c>
      <c r="AK7" s="1" t="s">
        <v>207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236</v>
      </c>
      <c r="AU7" s="1" t="s">
        <v>157</v>
      </c>
      <c r="AV7" s="1" t="s">
        <v>156</v>
      </c>
      <c r="AW7" s="1" t="s">
        <v>236</v>
      </c>
      <c r="AX7" s="1" t="s">
        <v>161</v>
      </c>
      <c r="AY7" s="1" t="s">
        <v>237</v>
      </c>
      <c r="AZ7" s="1" t="s">
        <v>238</v>
      </c>
      <c r="BA7" s="1" t="s">
        <v>226</v>
      </c>
      <c r="BB7" s="1" t="s">
        <v>205</v>
      </c>
      <c r="BC7" s="1" t="s">
        <v>187</v>
      </c>
      <c r="BD7" s="1" t="s">
        <v>187</v>
      </c>
      <c r="BE7" s="1">
        <v>117.9</v>
      </c>
      <c r="BF7" s="1">
        <v>113.1</v>
      </c>
      <c r="BG7" s="1">
        <v>4.7</v>
      </c>
      <c r="BH7" s="1" t="s">
        <v>239</v>
      </c>
      <c r="BI7" s="1" t="s">
        <v>170</v>
      </c>
      <c r="BJ7" s="1" t="s">
        <v>197</v>
      </c>
      <c r="BK7" s="1" t="s">
        <v>195</v>
      </c>
      <c r="BL7" s="1" t="s">
        <v>173</v>
      </c>
      <c r="BM7" s="1" t="s">
        <v>175</v>
      </c>
      <c r="BN7" s="1" t="s">
        <v>174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175</v>
      </c>
      <c r="BZ7" s="1" t="s">
        <v>240</v>
      </c>
      <c r="CA7" s="1"/>
      <c r="CB7" s="1" t="s">
        <v>233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1610612763</v>
      </c>
      <c r="D22" s="1" t="s">
        <v>361</v>
      </c>
      <c r="E22" s="1" t="s">
        <v>362</v>
      </c>
      <c r="F22" s="1" t="s">
        <v>149</v>
      </c>
      <c r="G22" s="1" t="s">
        <v>333</v>
      </c>
      <c r="H22" s="1">
        <v>11</v>
      </c>
      <c r="I22" s="1" t="s">
        <v>151</v>
      </c>
      <c r="J22" s="1" t="s">
        <v>231</v>
      </c>
      <c r="K22" s="1" t="s">
        <v>190</v>
      </c>
      <c r="L22" s="1">
        <v>4</v>
      </c>
      <c r="M22" s="1">
        <v>5</v>
      </c>
      <c r="N22" s="1">
        <v>9</v>
      </c>
      <c r="O22" s="1">
        <v>0.35699999999999998</v>
      </c>
      <c r="P22" s="1">
        <v>0</v>
      </c>
      <c r="Q22" s="1" t="s">
        <v>363</v>
      </c>
      <c r="R22" s="1" t="s">
        <v>333</v>
      </c>
      <c r="S22" s="1" t="s">
        <v>236</v>
      </c>
      <c r="T22" s="1" t="s">
        <v>310</v>
      </c>
      <c r="U22" s="1" t="s">
        <v>333</v>
      </c>
      <c r="V22" s="1" t="s">
        <v>236</v>
      </c>
      <c r="W22" s="1" t="s">
        <v>157</v>
      </c>
      <c r="X22" s="1" t="s">
        <v>232</v>
      </c>
      <c r="Y22" s="1" t="s">
        <v>328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3</v>
      </c>
      <c r="AE22" s="1">
        <v>3</v>
      </c>
      <c r="AF22" s="1">
        <v>-2</v>
      </c>
      <c r="AG22" s="1" t="s">
        <v>279</v>
      </c>
      <c r="AH22" s="1">
        <v>2</v>
      </c>
      <c r="AI22" s="1" t="s">
        <v>222</v>
      </c>
      <c r="AJ22" s="1">
        <v>-2</v>
      </c>
      <c r="AK22" s="1" t="s">
        <v>279</v>
      </c>
      <c r="AL22" s="1">
        <v>7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245</v>
      </c>
      <c r="AT22" s="1" t="s">
        <v>328</v>
      </c>
      <c r="AU22" s="1" t="s">
        <v>161</v>
      </c>
      <c r="AV22" s="1" t="s">
        <v>224</v>
      </c>
      <c r="AW22" s="1" t="s">
        <v>341</v>
      </c>
      <c r="AX22" s="1" t="s">
        <v>161</v>
      </c>
      <c r="AY22" s="1" t="s">
        <v>340</v>
      </c>
      <c r="AZ22" s="1" t="s">
        <v>342</v>
      </c>
      <c r="BA22" s="1" t="s">
        <v>310</v>
      </c>
      <c r="BB22" s="1" t="s">
        <v>158</v>
      </c>
      <c r="BC22" s="1" t="s">
        <v>245</v>
      </c>
      <c r="BD22" s="1" t="s">
        <v>208</v>
      </c>
      <c r="BE22" s="1">
        <v>109</v>
      </c>
      <c r="BF22" s="1">
        <v>118.4</v>
      </c>
      <c r="BG22" s="1">
        <v>-9.4</v>
      </c>
      <c r="BH22" s="1" t="s">
        <v>275</v>
      </c>
      <c r="BI22" s="1" t="s">
        <v>171</v>
      </c>
      <c r="BJ22" s="1" t="s">
        <v>170</v>
      </c>
      <c r="BK22" s="1" t="s">
        <v>267</v>
      </c>
      <c r="BL22" s="1" t="s">
        <v>364</v>
      </c>
      <c r="BM22" s="1" t="s">
        <v>197</v>
      </c>
      <c r="BN22" s="1" t="s">
        <v>356</v>
      </c>
      <c r="BO22" s="1" t="s">
        <v>267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323</v>
      </c>
      <c r="CA22" s="1"/>
      <c r="CB22" s="1" t="s">
        <v>363</v>
      </c>
      <c r="CC22" s="1"/>
    </row>
    <row r="23" spans="1:81" x14ac:dyDescent="0.25">
      <c r="A23" s="1" t="s">
        <v>145</v>
      </c>
      <c r="B23" s="1" t="s">
        <v>146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262</v>
      </c>
      <c r="H23" s="1">
        <v>11</v>
      </c>
      <c r="I23" s="1" t="s">
        <v>151</v>
      </c>
      <c r="J23" s="1" t="s">
        <v>244</v>
      </c>
      <c r="K23" s="1" t="s">
        <v>185</v>
      </c>
      <c r="L23" s="1">
        <v>4</v>
      </c>
      <c r="M23" s="1">
        <v>4</v>
      </c>
      <c r="N23" s="1">
        <v>8</v>
      </c>
      <c r="O23" s="1">
        <v>0.33300000000000002</v>
      </c>
      <c r="P23" s="1">
        <v>0</v>
      </c>
      <c r="Q23" s="1" t="s">
        <v>351</v>
      </c>
      <c r="R23" s="1" t="s">
        <v>236</v>
      </c>
      <c r="S23" s="1" t="s">
        <v>300</v>
      </c>
      <c r="T23" s="1" t="s">
        <v>341</v>
      </c>
      <c r="U23" s="1" t="s">
        <v>236</v>
      </c>
      <c r="V23" s="1" t="s">
        <v>300</v>
      </c>
      <c r="W23" s="1" t="s">
        <v>161</v>
      </c>
      <c r="X23" s="1" t="s">
        <v>164</v>
      </c>
      <c r="Y23" s="1" t="s">
        <v>226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1</v>
      </c>
      <c r="AE23" s="1">
        <v>3</v>
      </c>
      <c r="AF23" s="1">
        <v>1</v>
      </c>
      <c r="AG23" s="1" t="s">
        <v>246</v>
      </c>
      <c r="AH23" s="1">
        <v>-1</v>
      </c>
      <c r="AI23" s="1" t="s">
        <v>207</v>
      </c>
      <c r="AJ23" s="1">
        <v>1</v>
      </c>
      <c r="AK23" s="1" t="s">
        <v>246</v>
      </c>
      <c r="AL23" s="1">
        <v>6.5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153</v>
      </c>
      <c r="AT23" s="1" t="s">
        <v>328</v>
      </c>
      <c r="AU23" s="1" t="s">
        <v>185</v>
      </c>
      <c r="AV23" s="1" t="s">
        <v>155</v>
      </c>
      <c r="AW23" s="1" t="s">
        <v>359</v>
      </c>
      <c r="AX23" s="1" t="s">
        <v>161</v>
      </c>
      <c r="AY23" s="1" t="s">
        <v>360</v>
      </c>
      <c r="AZ23" s="1" t="s">
        <v>320</v>
      </c>
      <c r="BA23" s="1" t="s">
        <v>304</v>
      </c>
      <c r="BB23" s="1" t="s">
        <v>254</v>
      </c>
      <c r="BC23" s="1" t="s">
        <v>186</v>
      </c>
      <c r="BD23" s="1" t="s">
        <v>264</v>
      </c>
      <c r="BE23" s="1">
        <v>119.7</v>
      </c>
      <c r="BF23" s="1">
        <v>121.1</v>
      </c>
      <c r="BG23" s="1">
        <v>-1.4</v>
      </c>
      <c r="BH23" s="1" t="s">
        <v>344</v>
      </c>
      <c r="BI23" s="1" t="s">
        <v>170</v>
      </c>
      <c r="BJ23" s="1" t="s">
        <v>267</v>
      </c>
      <c r="BK23" s="1" t="s">
        <v>170</v>
      </c>
      <c r="BL23" s="1" t="s">
        <v>295</v>
      </c>
      <c r="BM23" s="1" t="s">
        <v>197</v>
      </c>
      <c r="BN23" s="1" t="s">
        <v>215</v>
      </c>
      <c r="BO23" s="1" t="s">
        <v>282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305</v>
      </c>
      <c r="CA23" s="1"/>
      <c r="CB23" s="1" t="s">
        <v>351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1610612765</v>
      </c>
      <c r="D26" s="1" t="s">
        <v>380</v>
      </c>
      <c r="E26" s="1" t="s">
        <v>381</v>
      </c>
      <c r="F26" s="1" t="s">
        <v>179</v>
      </c>
      <c r="G26" s="1" t="s">
        <v>382</v>
      </c>
      <c r="H26" s="1">
        <v>13</v>
      </c>
      <c r="I26" s="1" t="s">
        <v>151</v>
      </c>
      <c r="J26" s="1" t="s">
        <v>181</v>
      </c>
      <c r="K26" s="1" t="s">
        <v>236</v>
      </c>
      <c r="L26" s="1">
        <v>5</v>
      </c>
      <c r="M26" s="1">
        <v>4</v>
      </c>
      <c r="N26" s="1">
        <v>10</v>
      </c>
      <c r="O26" s="1">
        <v>0.28599999999999998</v>
      </c>
      <c r="P26" s="1">
        <v>0</v>
      </c>
      <c r="Q26" s="1" t="s">
        <v>371</v>
      </c>
      <c r="R26" s="1" t="s">
        <v>226</v>
      </c>
      <c r="S26" s="1" t="s">
        <v>332</v>
      </c>
      <c r="T26" s="1" t="s">
        <v>320</v>
      </c>
      <c r="U26" s="1" t="s">
        <v>226</v>
      </c>
      <c r="V26" s="1" t="s">
        <v>332</v>
      </c>
      <c r="W26" s="1" t="s">
        <v>161</v>
      </c>
      <c r="X26" s="1" t="s">
        <v>186</v>
      </c>
      <c r="Y26" s="1" t="s">
        <v>262</v>
      </c>
      <c r="Z26" s="1">
        <v>3</v>
      </c>
      <c r="AA26" s="1" t="s">
        <v>223</v>
      </c>
      <c r="AB26" s="1">
        <v>-7</v>
      </c>
      <c r="AC26" s="1" t="s">
        <v>377</v>
      </c>
      <c r="AD26" s="1">
        <v>1</v>
      </c>
      <c r="AE26" s="1">
        <v>5</v>
      </c>
      <c r="AF26" s="1">
        <v>-1</v>
      </c>
      <c r="AG26" s="1" t="s">
        <v>207</v>
      </c>
      <c r="AH26" s="1">
        <v>-7</v>
      </c>
      <c r="AI26" s="1" t="s">
        <v>377</v>
      </c>
      <c r="AJ26" s="1">
        <v>-5</v>
      </c>
      <c r="AK26" s="1" t="s">
        <v>272</v>
      </c>
      <c r="AL26" s="1">
        <v>7.5</v>
      </c>
      <c r="AM26" s="1">
        <v>7.5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161</v>
      </c>
      <c r="AV26" s="1" t="s">
        <v>232</v>
      </c>
      <c r="AW26" s="1" t="s">
        <v>368</v>
      </c>
      <c r="AX26" s="1" t="s">
        <v>164</v>
      </c>
      <c r="AY26" s="1" t="s">
        <v>360</v>
      </c>
      <c r="AZ26" s="1" t="s">
        <v>350</v>
      </c>
      <c r="BA26" s="1" t="s">
        <v>328</v>
      </c>
      <c r="BB26" s="1" t="s">
        <v>226</v>
      </c>
      <c r="BC26" s="1" t="s">
        <v>264</v>
      </c>
      <c r="BD26" s="1" t="s">
        <v>190</v>
      </c>
      <c r="BE26" s="1">
        <v>107.3</v>
      </c>
      <c r="BF26" s="1">
        <v>112</v>
      </c>
      <c r="BG26" s="1">
        <v>-4.7</v>
      </c>
      <c r="BH26" s="1" t="s">
        <v>383</v>
      </c>
      <c r="BI26" s="1" t="s">
        <v>199</v>
      </c>
      <c r="BJ26" s="1" t="s">
        <v>275</v>
      </c>
      <c r="BK26" s="1" t="s">
        <v>372</v>
      </c>
      <c r="BL26" s="1" t="s">
        <v>170</v>
      </c>
      <c r="BM26" s="1" t="s">
        <v>170</v>
      </c>
      <c r="BN26" s="1" t="s">
        <v>215</v>
      </c>
      <c r="BO26" s="1" t="s">
        <v>215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275</v>
      </c>
      <c r="BZ26" s="1" t="s">
        <v>373</v>
      </c>
      <c r="CA26" s="1"/>
      <c r="CB26" s="1" t="s">
        <v>371</v>
      </c>
      <c r="CC26" s="1"/>
    </row>
    <row r="27" spans="1:81" x14ac:dyDescent="0.25">
      <c r="A27" s="1" t="s">
        <v>145</v>
      </c>
      <c r="B27" s="1" t="s">
        <v>146</v>
      </c>
      <c r="C27" s="1">
        <v>1610612759</v>
      </c>
      <c r="D27" s="1" t="s">
        <v>374</v>
      </c>
      <c r="E27" s="1" t="s">
        <v>375</v>
      </c>
      <c r="F27" s="1" t="s">
        <v>149</v>
      </c>
      <c r="G27" s="1" t="s">
        <v>333</v>
      </c>
      <c r="H27" s="1">
        <v>13</v>
      </c>
      <c r="I27" s="1" t="s">
        <v>151</v>
      </c>
      <c r="J27" s="1" t="s">
        <v>231</v>
      </c>
      <c r="K27" s="1" t="s">
        <v>164</v>
      </c>
      <c r="L27" s="1">
        <v>5</v>
      </c>
      <c r="M27" s="1">
        <v>5</v>
      </c>
      <c r="N27" s="1">
        <v>10</v>
      </c>
      <c r="O27" s="1">
        <v>0.33300000000000002</v>
      </c>
      <c r="P27" s="1">
        <v>0</v>
      </c>
      <c r="Q27" s="1" t="s">
        <v>349</v>
      </c>
      <c r="R27" s="1" t="s">
        <v>254</v>
      </c>
      <c r="S27" s="1" t="s">
        <v>328</v>
      </c>
      <c r="T27" s="1" t="s">
        <v>376</v>
      </c>
      <c r="U27" s="1" t="s">
        <v>254</v>
      </c>
      <c r="V27" s="1" t="s">
        <v>328</v>
      </c>
      <c r="W27" s="1" t="s">
        <v>161</v>
      </c>
      <c r="X27" s="1" t="s">
        <v>260</v>
      </c>
      <c r="Y27" s="1" t="s">
        <v>190</v>
      </c>
      <c r="Z27" s="1">
        <v>3</v>
      </c>
      <c r="AA27" s="1" t="s">
        <v>223</v>
      </c>
      <c r="AB27" s="1">
        <v>-5</v>
      </c>
      <c r="AC27" s="1" t="s">
        <v>272</v>
      </c>
      <c r="AD27" s="1">
        <v>3</v>
      </c>
      <c r="AE27" s="1">
        <v>7</v>
      </c>
      <c r="AF27" s="1">
        <v>-3</v>
      </c>
      <c r="AG27" s="1" t="s">
        <v>301</v>
      </c>
      <c r="AH27" s="1">
        <v>-5</v>
      </c>
      <c r="AI27" s="1" t="s">
        <v>272</v>
      </c>
      <c r="AJ27" s="1">
        <v>-7</v>
      </c>
      <c r="AK27" s="1" t="s">
        <v>377</v>
      </c>
      <c r="AL27" s="1">
        <v>7.5</v>
      </c>
      <c r="AM27" s="1">
        <v>6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157</v>
      </c>
      <c r="AV27" s="1" t="s">
        <v>245</v>
      </c>
      <c r="AW27" s="1" t="s">
        <v>332</v>
      </c>
      <c r="AX27" s="1" t="s">
        <v>161</v>
      </c>
      <c r="AY27" s="1" t="s">
        <v>303</v>
      </c>
      <c r="AZ27" s="1" t="s">
        <v>378</v>
      </c>
      <c r="BA27" s="1" t="s">
        <v>309</v>
      </c>
      <c r="BB27" s="1" t="s">
        <v>245</v>
      </c>
      <c r="BC27" s="1" t="s">
        <v>265</v>
      </c>
      <c r="BD27" s="1" t="s">
        <v>262</v>
      </c>
      <c r="BE27" s="1">
        <v>113.5</v>
      </c>
      <c r="BF27" s="1">
        <v>116.2</v>
      </c>
      <c r="BG27" s="1">
        <v>-2.7</v>
      </c>
      <c r="BH27" s="1" t="s">
        <v>274</v>
      </c>
      <c r="BI27" s="1" t="s">
        <v>195</v>
      </c>
      <c r="BJ27" s="1" t="s">
        <v>215</v>
      </c>
      <c r="BK27" s="1" t="s">
        <v>282</v>
      </c>
      <c r="BL27" s="1" t="s">
        <v>364</v>
      </c>
      <c r="BM27" s="1" t="s">
        <v>199</v>
      </c>
      <c r="BN27" s="1" t="s">
        <v>267</v>
      </c>
      <c r="BO27" s="1" t="s">
        <v>250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175</v>
      </c>
      <c r="BZ27" s="1" t="s">
        <v>379</v>
      </c>
      <c r="CA27" s="1"/>
      <c r="CB27" s="1" t="s">
        <v>349</v>
      </c>
      <c r="CC27" s="1"/>
    </row>
    <row r="28" spans="1:81" x14ac:dyDescent="0.25">
      <c r="A28" s="1" t="s">
        <v>145</v>
      </c>
      <c r="B28" s="1" t="s">
        <v>146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382</v>
      </c>
      <c r="H28" s="1">
        <v>14</v>
      </c>
      <c r="I28" s="1" t="s">
        <v>151</v>
      </c>
      <c r="J28" s="1" t="s">
        <v>181</v>
      </c>
      <c r="K28" s="1" t="s">
        <v>224</v>
      </c>
      <c r="L28" s="1">
        <v>4</v>
      </c>
      <c r="M28" s="1">
        <v>4</v>
      </c>
      <c r="N28" s="1">
        <v>10</v>
      </c>
      <c r="O28" s="1">
        <v>0.28599999999999998</v>
      </c>
      <c r="P28" s="1">
        <v>0</v>
      </c>
      <c r="Q28" s="1" t="s">
        <v>371</v>
      </c>
      <c r="R28" s="1" t="s">
        <v>292</v>
      </c>
      <c r="S28" s="1" t="s">
        <v>311</v>
      </c>
      <c r="T28" s="1" t="s">
        <v>320</v>
      </c>
      <c r="U28" s="1" t="s">
        <v>292</v>
      </c>
      <c r="V28" s="1" t="s">
        <v>311</v>
      </c>
      <c r="W28" s="1" t="s">
        <v>161</v>
      </c>
      <c r="X28" s="1" t="s">
        <v>185</v>
      </c>
      <c r="Y28" s="1" t="s">
        <v>333</v>
      </c>
      <c r="Z28" s="1">
        <v>-4</v>
      </c>
      <c r="AA28" s="1" t="s">
        <v>263</v>
      </c>
      <c r="AB28" s="1">
        <v>-3</v>
      </c>
      <c r="AC28" s="1" t="s">
        <v>301</v>
      </c>
      <c r="AD28" s="1">
        <v>2</v>
      </c>
      <c r="AE28" s="1">
        <v>5</v>
      </c>
      <c r="AF28" s="1">
        <v>-4</v>
      </c>
      <c r="AG28" s="1" t="s">
        <v>263</v>
      </c>
      <c r="AH28" s="1">
        <v>-3</v>
      </c>
      <c r="AI28" s="1" t="s">
        <v>301</v>
      </c>
      <c r="AJ28" s="1">
        <v>-5</v>
      </c>
      <c r="AK28" s="1" t="s">
        <v>272</v>
      </c>
      <c r="AL28" s="1">
        <v>7.5</v>
      </c>
      <c r="AM28" s="1">
        <v>7.5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232</v>
      </c>
      <c r="AT28" s="1" t="s">
        <v>391</v>
      </c>
      <c r="AU28" s="1" t="s">
        <v>161</v>
      </c>
      <c r="AV28" s="1" t="s">
        <v>232</v>
      </c>
      <c r="AW28" s="1" t="s">
        <v>391</v>
      </c>
      <c r="AX28" s="1" t="s">
        <v>161</v>
      </c>
      <c r="AY28" s="1" t="s">
        <v>271</v>
      </c>
      <c r="AZ28" s="1" t="s">
        <v>320</v>
      </c>
      <c r="BA28" s="1" t="s">
        <v>392</v>
      </c>
      <c r="BB28" s="1" t="s">
        <v>153</v>
      </c>
      <c r="BC28" s="1" t="s">
        <v>153</v>
      </c>
      <c r="BD28" s="1" t="s">
        <v>292</v>
      </c>
      <c r="BE28" s="1">
        <v>104.1</v>
      </c>
      <c r="BF28" s="1">
        <v>109.9</v>
      </c>
      <c r="BG28" s="1">
        <v>-5.8</v>
      </c>
      <c r="BH28" s="1" t="s">
        <v>383</v>
      </c>
      <c r="BI28" s="1" t="s">
        <v>344</v>
      </c>
      <c r="BJ28" s="1" t="s">
        <v>199</v>
      </c>
      <c r="BK28" s="1" t="s">
        <v>282</v>
      </c>
      <c r="BL28" s="1" t="s">
        <v>170</v>
      </c>
      <c r="BM28" s="1" t="s">
        <v>215</v>
      </c>
      <c r="BN28" s="1" t="s">
        <v>215</v>
      </c>
      <c r="BO28" s="1" t="s">
        <v>170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199</v>
      </c>
      <c r="BZ28" s="1" t="s">
        <v>393</v>
      </c>
      <c r="CA28" s="1"/>
      <c r="CB28" s="1" t="s">
        <v>371</v>
      </c>
      <c r="CC28" s="1"/>
    </row>
    <row r="29" spans="1:81" x14ac:dyDescent="0.25">
      <c r="A29" s="1" t="s">
        <v>145</v>
      </c>
      <c r="B29" s="1" t="s">
        <v>146</v>
      </c>
      <c r="C29" s="1">
        <v>1610612757</v>
      </c>
      <c r="D29" s="1" t="s">
        <v>384</v>
      </c>
      <c r="E29" s="1" t="s">
        <v>385</v>
      </c>
      <c r="F29" s="1" t="s">
        <v>149</v>
      </c>
      <c r="G29" s="1" t="s">
        <v>312</v>
      </c>
      <c r="H29" s="1">
        <v>14</v>
      </c>
      <c r="I29" s="1" t="s">
        <v>151</v>
      </c>
      <c r="J29" s="1" t="s">
        <v>219</v>
      </c>
      <c r="K29" s="1" t="s">
        <v>186</v>
      </c>
      <c r="L29" s="1">
        <v>5</v>
      </c>
      <c r="M29" s="1">
        <v>5</v>
      </c>
      <c r="N29" s="1">
        <v>11</v>
      </c>
      <c r="O29" s="1">
        <v>0.313</v>
      </c>
      <c r="P29" s="1">
        <v>0</v>
      </c>
      <c r="Q29" s="1" t="s">
        <v>386</v>
      </c>
      <c r="R29" s="1" t="s">
        <v>262</v>
      </c>
      <c r="S29" s="1" t="s">
        <v>312</v>
      </c>
      <c r="T29" s="1" t="s">
        <v>320</v>
      </c>
      <c r="U29" s="1" t="s">
        <v>262</v>
      </c>
      <c r="V29" s="1" t="s">
        <v>341</v>
      </c>
      <c r="W29" s="1" t="s">
        <v>157</v>
      </c>
      <c r="X29" s="1" t="s">
        <v>224</v>
      </c>
      <c r="Y29" s="1" t="s">
        <v>224</v>
      </c>
      <c r="Z29" s="1">
        <v>-3</v>
      </c>
      <c r="AA29" s="1" t="s">
        <v>301</v>
      </c>
      <c r="AB29" s="1">
        <v>-3</v>
      </c>
      <c r="AC29" s="1" t="s">
        <v>301</v>
      </c>
      <c r="AD29" s="1">
        <v>2</v>
      </c>
      <c r="AE29" s="1">
        <v>4</v>
      </c>
      <c r="AF29" s="1">
        <v>-1</v>
      </c>
      <c r="AG29" s="1" t="s">
        <v>207</v>
      </c>
      <c r="AH29" s="1">
        <v>-3</v>
      </c>
      <c r="AI29" s="1" t="s">
        <v>301</v>
      </c>
      <c r="AJ29" s="1">
        <v>-3</v>
      </c>
      <c r="AK29" s="1" t="s">
        <v>301</v>
      </c>
      <c r="AL29" s="1">
        <v>8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309</v>
      </c>
      <c r="AT29" s="1" t="s">
        <v>328</v>
      </c>
      <c r="AU29" s="1" t="s">
        <v>157</v>
      </c>
      <c r="AV29" s="1" t="s">
        <v>339</v>
      </c>
      <c r="AW29" s="1" t="s">
        <v>320</v>
      </c>
      <c r="AX29" s="1" t="s">
        <v>163</v>
      </c>
      <c r="AY29" s="1" t="s">
        <v>378</v>
      </c>
      <c r="AZ29" s="1" t="s">
        <v>387</v>
      </c>
      <c r="BA29" s="1" t="s">
        <v>332</v>
      </c>
      <c r="BB29" s="1" t="s">
        <v>235</v>
      </c>
      <c r="BC29" s="1" t="s">
        <v>153</v>
      </c>
      <c r="BD29" s="1" t="s">
        <v>304</v>
      </c>
      <c r="BE29" s="1">
        <v>113</v>
      </c>
      <c r="BF29" s="1">
        <v>116.7</v>
      </c>
      <c r="BG29" s="1">
        <v>-3.7</v>
      </c>
      <c r="BH29" s="1" t="s">
        <v>344</v>
      </c>
      <c r="BI29" s="1" t="s">
        <v>356</v>
      </c>
      <c r="BJ29" s="1" t="s">
        <v>170</v>
      </c>
      <c r="BK29" s="1" t="s">
        <v>171</v>
      </c>
      <c r="BL29" s="1" t="s">
        <v>388</v>
      </c>
      <c r="BM29" s="1" t="s">
        <v>195</v>
      </c>
      <c r="BN29" s="1" t="s">
        <v>282</v>
      </c>
      <c r="BO29" s="1" t="s">
        <v>275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228</v>
      </c>
      <c r="BZ29" s="1" t="s">
        <v>379</v>
      </c>
      <c r="CA29" s="1"/>
      <c r="CB29" s="1" t="s">
        <v>386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2019-11-22T13:32:51Z</dcterms:modified>
</cp:coreProperties>
</file>