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8EFAB6C2-2D06-42D0-B89B-F2E762BD56E9}" xr6:coauthVersionLast="45" xr6:coauthVersionMax="45" xr10:uidLastSave="{00000000-0000-0000-0000-000000000000}"/>
  <bookViews>
    <workbookView xWindow="548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<sst xmlns="http://schemas.openxmlformats.org/spreadsheetml/2006/main" count="5940" uniqueCount="1421">
  <si>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</si>
  <si>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</si>
  <si>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</si>
  <si>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</si>
  <si>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</si>
  <si>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</si>
  <si>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</si>
  <si>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</si>
  <si>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</si>
  <si>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</si>
  <si>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</si>
  <si>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</si>
  <si>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</si>
  <si>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</si>
  <si>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</si>
  <si>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</si>
  <si>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</si>
  <si>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</si>
  <si>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</si>
  <si>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</si>
  <si>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</si>
  <si>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</si>
  <si>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</si>
  <si>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</si>
  <si>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</si>
  <si>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</si>
  <si>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</si>
  <si>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</si>
  <si>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</si>
  <si>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</si>
  <si>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</si>
  <si>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</si>
  <si>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</si>
  <si>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</si>
  <si>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</si>
  <si>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</si>
  <si>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</si>
  <si>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</si>
  <si>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</si>
  <si>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</si>
  <si>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</si>
  <si>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</si>
  <si>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</si>
  <si>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</si>
  <si>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</si>
  <si>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</si>
  <si>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</si>
  <si>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</si>
  <si>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</si>
  <si>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</si>
  <si>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</si>
  <si>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</si>
  <si>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</si>
  <si>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</si>
  <si>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</si>
  <si>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</si>
  <si>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</si>
  <si>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</si>
  <si>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</si>
  <si>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</si>
  <si>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</si>
  <si>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</si>
  <si>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</si>
  <si>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</si>
  <si>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</si>
  <si>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</si>
  <si>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</si>
  <si>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</si>
  <si>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</si>
  <si>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</si>
  <si>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</si>
  <si>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</si>
  <si>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</si>
  <si>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</si>
  <si>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</si>
  <si>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</si>
  <si>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</si>
  <si>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</si>
  <si>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</si>
  <si>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</si>
  <si>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</si>
  <si>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</si>
  <si>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</si>
  <si>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</si>
  <si>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</si>
  <si>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</si>
  <si>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</si>
  <si>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</si>
  <si>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</si>
  <si>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</si>
  <si>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</si>
  <si>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</si>
  <si>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</si>
  <si>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</si>
  <si>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</si>
  <si>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</si>
  <si>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</si>
  <si>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</si>
  <si>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</si>
  <si>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</si>
  <si>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</si>
  <si>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</si>
  <si>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</si>
  <si>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</si>
  <si>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</si>
  <si>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</si>
  <si>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</si>
  <si>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</si>
  <si>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</si>
  <si>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</si>
  <si>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</si>
  <si>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</si>
  <si>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</si>
  <si>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</si>
  <si>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</si>
  <si>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</si>
  <si>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</si>
  <si>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</si>
  <si>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</si>
  <si>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</si>
  <si>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</si>
  <si>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</si>
  <si>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</si>
  <si>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</si>
  <si>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</si>
  <si>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</si>
  <si>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</si>
  <si>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</si>
  <si>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</si>
  <si>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</si>
  <si>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</si>
  <si>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</si>
  <si>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</si>
  <si>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</si>
  <si>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</si>
  <si>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</si>
  <si>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</si>
  <si>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</si>
  <si>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</si>
  <si>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</si>
  <si>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</si>
  <si>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</si>
  <si>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</si>
  <si>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</si>
  <si>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</si>
  <si>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</si>
  <si>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</si>
  <si>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</si>
  <si>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</si>
  <si>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</si>
  <si>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</si>
  <si>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</si>
  <si>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</si>
  <si>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</si>
  <si>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</si>
  <si>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</si>
  <si>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</si>
  <si>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</si>
  <si>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</si>
  <si>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</si>
  <si>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</si>
  <si>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</si>
  <si>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</si>
  <si>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</si>
  <si>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</si>
  <si>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</si>
  <si>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</si>
  <si>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</si>
  <si>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</si>
  <si>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</si>
  <si>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</si>
  <si>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</si>
  <si>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</si>
  <si>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</si>
  <si>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</si>
  <si>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</si>
  <si>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</si>
  <si>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</si>
  <si>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</si>
  <si>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</si>
  <si>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</si>
  <si>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</si>
  <si>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</si>
  <si>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</si>
  <si>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</si>
  <si>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</si>
  <si>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</si>
  <si>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</si>
  <si>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</si>
  <si>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</si>
  <si>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</si>
  <si>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</si>
  <si>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</si>
  <si>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</si>
  <si>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</si>
  <si>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</si>
  <si>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</si>
  <si>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</si>
  <si>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</si>
  <si>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</si>
  <si>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</si>
  <si>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</si>
  <si>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</si>
  <si>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</si>
  <si>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</si>
  <si>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</si>
  <si>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</si>
  <si>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</si>
  <si>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</si>
  <si>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</si>
  <si>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</si>
  <si>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</si>
  <si>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</si>
  <si>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</si>
  <si>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</si>
  <si>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</si>
  <si>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</si>
  <si>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</si>
  <si>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</si>
  <si>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</si>
  <si>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</si>
  <si>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</si>
  <si>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</si>
  <si>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</si>
  <si>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</si>
  <si>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</si>
  <si>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</si>
  <si>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</si>
  <si>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</si>
  <si>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</si>
  <si>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</si>
  <si>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</si>
  <si>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</si>
  <si>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</si>
  <si>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</si>
  <si>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</si>
  <si>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</si>
  <si>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</si>
  <si>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</si>
  <si>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</si>
  <si>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</si>
  <si>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</si>
  <si>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</si>
  <si>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</si>
  <si>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</si>
  <si>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</si>
  <si>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</si>
  <si>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</si>
  <si>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</si>
  <si>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</si>
  <si>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</si>
  <si>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</si>
  <si>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</si>
  <si>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</si>
  <si>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</si>
  <si>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</si>
  <si>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</si>
  <si>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</si>
  <si>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</si>
  <si>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</si>
  <si>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</si>
  <si>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</si>
  <si>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</si>
  <si>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</si>
  <si>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</si>
  <si>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</si>
  <si>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</si>
  <si>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</si>
  <si>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</si>
  <si>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</si>
  <si>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</si>
  <si>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</si>
  <si>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</si>
  <si>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</si>
  <si>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</si>
  <si>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</si>
  <si>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</si>
  <si>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</si>
  <si>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</si>
  <si>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</si>
  <si>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</si>
  <si>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</si>
  <si>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</si>
  <si>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</si>
  <si>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</si>
  <si>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</si>
  <si>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</si>
  <si>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</si>
  <si>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</si>
  <si>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</si>
  <si>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</si>
  <si>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</si>
  <si>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</si>
  <si>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</si>
  <si>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</si>
  <si>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</si>
  <si>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</si>
  <si>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</si>
  <si>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</si>
  <si>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</si>
  <si>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</si>
  <si>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</si>
  <si>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</si>
  <si>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</si>
  <si>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</si>
  <si>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</si>
  <si>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</si>
  <si>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</si>
  <si>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</si>
  <si>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</si>
  <si>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</si>
  <si>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</si>
  <si>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</si>
  <si>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</si>
  <si>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</si>
  <si>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</si>
  <si>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</si>
  <si>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</si>
  <si>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</si>
  <si>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</si>
  <si>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</si>
  <si>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</si>
  <si>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</si>
  <si>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</si>
  <si>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</si>
  <si>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</si>
  <si>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</si>
  <si>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</si>
  <si>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</si>
  <si>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</si>
  <si>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</si>
  <si>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</si>
  <si>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</si>
  <si>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</si>
  <si>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</si>
  <si>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</si>
  <si>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</si>
  <si>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</si>
  <si>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</si>
  <si>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</si>
  <si>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</si>
  <si>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</si>
  <si>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</si>
  <si>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</si>
  <si>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</si>
  <si>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</si>
  <si>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</si>
  <si>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</si>
  <si>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</si>
  <si>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</si>
  <si>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</si>
  <si>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</si>
  <si>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</si>
  <si>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</si>
  <si>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</si>
  <si>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</si>
  <si>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</si>
  <si>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</si>
  <si>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</si>
  <si>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</si>
  <si>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</si>
  <si>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</si>
  <si>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</si>
  <si>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</si>
  <si>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</si>
  <si>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</si>
  <si>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</si>
  <si>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</si>
  <si>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</si>
  <si>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</si>
  <si>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</si>
  <si>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</si>
  <si>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</si>
  <si>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</si>
  <si>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</si>
  <si>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</si>
  <si>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</si>
  <si>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</si>
  <si>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</si>
  <si>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</si>
  <si>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</si>
  <si>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</si>
  <si>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</si>
  <si>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</si>
  <si>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</si>
  <si>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</si>
  <si>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</si>
  <si>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</si>
  <si>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</si>
  <si>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</si>
  <si>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</si>
  <si>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</si>
  <si>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</si>
  <si>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</si>
  <si>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</si>
  <si>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</si>
  <si>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</si>
  <si>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</si>
  <si>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</si>
  <si>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</si>
  <si>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</si>
  <si>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</si>
  <si>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</si>
  <si>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</si>
  <si>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</si>
  <si>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</si>
  <si>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</si>
  <si>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</si>
  <si>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</si>
  <si>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</si>
  <si>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</si>
  <si>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</si>
  <si>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</si>
  <si>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</si>
  <si>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</si>
  <si>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</si>
  <si>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</si>
  <si>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</si>
  <si>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</si>
  <si>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</si>
  <si>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</si>
  <si>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</si>
  <si>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</si>
  <si>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</si>
  <si>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</si>
  <si>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</si>
  <si>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</si>
  <si>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</si>
  <si>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</si>
  <si>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</si>
  <si>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</si>
  <si>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</si>
  <si>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</si>
  <si>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</si>
  <si>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</si>
  <si>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</si>
  <si>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</si>
  <si>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</si>
  <si>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</si>
  <si>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</si>
  <si>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</si>
  <si>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</si>
  <si>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</si>
  <si>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</si>
  <si>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</si>
  <si>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</si>
  <si>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</si>
  <si>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</si>
  <si>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</si>
  <si>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</si>
  <si>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</si>
  <si>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</si>
  <si>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</si>
  <si>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</si>
  <si>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</si>
  <si>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</si>
  <si>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</si>
  <si>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</si>
  <si>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</si>
  <si>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</si>
  <si>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</si>
  <si>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</si>
  <si>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</si>
  <si>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</si>
  <si>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</si>
  <si>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</si>
  <si>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</si>
  <si>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</si>
  <si>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</si>
  <si>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</si>
  <si>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</si>
  <si>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</si>
  <si>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</si>
  <si>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</si>
  <si>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</si>
  <si>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</si>
  <si>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</si>
  <si>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</si>
  <si>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</si>
  <si>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</si>
  <si>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</si>
  <si>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</si>
  <si>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</si>
  <si>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</si>
  <si>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</si>
  <si>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</si>
  <si>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</si>
  <si>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</si>
  <si>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</si>
  <si>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</si>
  <si>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</si>
  <si>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</si>
  <si>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</si>
  <si>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</si>
  <si>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</si>
  <si>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</si>
  <si>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</si>
  <si>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</si>
  <si>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</si>
  <si>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</si>
  <si>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</si>
  <si>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</si>
  <si>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</si>
  <si>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</si>
  <si>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</si>
  <si>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</si>
  <si>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</si>
  <si>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</si>
  <si>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</si>
  <si>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</si>
  <si>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</si>
  <si>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</si>
  <si>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</si>
  <si>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</si>
  <si>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</si>
  <si>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</si>
  <si>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</si>
  <si>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</si>
  <si>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</si>
  <si>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</si>
  <si>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</si>
  <si>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</si>
  <si>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</si>
  <si>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</si>
  <si>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</si>
  <si>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</si>
  <si>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</si>
  <si>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</si>
  <si>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</si>
  <si>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</si>
  <si>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</si>
  <si>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</si>
  <si>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</si>
  <si>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</si>
  <si>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</si>
  <si>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</si>
  <si>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</si>
  <si>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</si>
  <si>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</si>
  <si>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</si>
  <si>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</si>
  <si>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</si>
  <si>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</si>
  <si>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</si>
  <si>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</si>
  <si>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</si>
  <si>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</si>
  <si>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</si>
  <si>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</si>
  <si>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</si>
  <si>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</si>
  <si>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</si>
  <si>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</si>
  <si>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</si>
  <si>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</si>
  <si>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</si>
  <si>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</si>
  <si>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</si>
  <si>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</si>
  <si>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</si>
  <si>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</si>
  <si>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</si>
  <si>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</si>
  <si>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</si>
  <si>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</si>
  <si>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</si>
  <si>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</si>
  <si>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</si>
  <si>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</si>
  <si>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</si>
  <si>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</si>
  <si>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</si>
  <si>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</si>
  <si>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</si>
  <si>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</si>
  <si>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</si>
  <si>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</si>
  <si>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</si>
  <si>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</si>
  <si>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</si>
  <si>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</si>
  <si>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</si>
  <si>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</si>
  <si>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</si>
  <si>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</si>
  <si>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</si>
  <si>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</si>
  <si>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</si>
  <si>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</si>
  <si>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</si>
  <si>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</si>
  <si>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</si>
  <si>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</si>
  <si>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</si>
  <si>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</si>
  <si>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</si>
  <si>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</si>
  <si>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</si>
  <si>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</si>
  <si>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</si>
  <si>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</si>
  <si>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</si>
  <si>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</si>
  <si>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</si>
  <si>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</si>
  <si>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</si>
  <si>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</si>
  <si>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</si>
  <si>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</si>
  <si>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</si>
  <si>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</si>
  <si>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</si>
  <si>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</si>
  <si>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</si>
  <si>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</si>
  <si>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</si>
  <si>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</si>
  <si>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</si>
  <si>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</si>
  <si>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</si>
  <si>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</si>
  <si>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</si>
  <si>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</si>
  <si>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</si>
  <si>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</si>
  <si>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</si>
  <si>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</si>
  <si>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</si>
  <si>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</si>
  <si>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</si>
  <si>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</si>
  <si>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</si>
  <si>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</si>
  <si>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</si>
  <si>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</si>
  <si>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</si>
  <si>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</si>
  <si>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</si>
  <si>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</si>
  <si>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</si>
  <si>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</si>
  <si>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</si>
  <si>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</si>
  <si>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</si>
  <si>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</si>
  <si>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</si>
  <si>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</si>
  <si>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</si>
  <si>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</si>
  <si>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</si>
  <si>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</si>
  <si>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</si>
  <si>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</si>
  <si>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</si>
  <si>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</si>
  <si>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</si>
  <si>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</si>
  <si>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</si>
  <si>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</si>
  <si>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</si>
  <si>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</si>
  <si>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</si>
  <si>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</si>
  <si>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</si>
  <si>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</si>
  <si>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</si>
  <si>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</si>
  <si>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</si>
  <si>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</si>
  <si>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</si>
  <si>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</si>
  <si>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</si>
  <si>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</si>
  <si>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</si>
  <si>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</si>
  <si>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</si>
  <si>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</si>
  <si>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</si>
  <si>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</si>
  <si>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</si>
  <si>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</si>
  <si>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</si>
  <si>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</si>
  <si>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</si>
  <si>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</si>
  <si>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</si>
  <si>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</si>
  <si>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</si>
  <si>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</si>
  <si>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</si>
  <si>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</si>
  <si>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</si>
  <si>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</si>
  <si>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</si>
  <si>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</si>
  <si>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</si>
  <si>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</si>
  <si>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</si>
  <si>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</si>
  <si>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</si>
  <si>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</si>
  <si>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</si>
  <si>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</si>
  <si>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</si>
  <si>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</si>
  <si>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</si>
  <si>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</si>
  <si>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</si>
  <si>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</si>
  <si>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</si>
  <si>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</si>
  <si>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</si>
  <si>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</si>
  <si>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</si>
  <si>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</si>
  <si>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</si>
  <si>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</si>
  <si>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</si>
  <si>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</si>
  <si>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</si>
  <si>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</si>
  <si>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</si>
  <si>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</si>
  <si>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</si>
  <si>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</si>
  <si>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</si>
  <si>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</si>
  <si>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</si>
  <si>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</si>
  <si>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</si>
  <si>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</si>
  <si>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</si>
  <si>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</si>
  <si>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</si>
  <si>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</si>
  <si>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</si>
  <si>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</si>
  <si>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</si>
  <si>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</si>
  <si>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</si>
  <si>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</si>
  <si>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</si>
  <si>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</si>
  <si>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</si>
  <si>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</si>
  <si>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</si>
  <si>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</si>
  <si>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</si>
  <si>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</si>
  <si>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</si>
  <si>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</si>
  <si>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</si>
  <si>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</si>
  <si>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</si>
  <si>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</si>
  <si>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</si>
  <si>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</si>
  <si>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</si>
  <si>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</si>
  <si>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</si>
  <si>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</si>
  <si>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</si>
  <si>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</si>
  <si>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</si>
  <si>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</si>
  <si>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</si>
  <si>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</si>
  <si>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</si>
  <si>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</si>
  <si>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</si>
  <si>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</si>
  <si>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</si>
  <si>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</si>
  <si>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</si>
  <si>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</si>
  <si>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</si>
  <si>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</si>
  <si>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</si>
  <si>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</si>
  <si>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</si>
  <si>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</si>
  <si>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</si>
  <si>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</si>
  <si>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</si>
  <si>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</si>
  <si>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</si>
  <si>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</si>
  <si>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</si>
  <si>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</si>
  <si>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</si>
  <si>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</si>
  <si>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</si>
  <si>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</si>
  <si>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</si>
  <si>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</si>
  <si>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</si>
  <si>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</si>
  <si>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</si>
  <si>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</si>
  <si>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</si>
  <si>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</si>
  <si>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</si>
  <si>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</si>
  <si>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</si>
  <si>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</si>
  <si>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</si>
  <si>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</si>
  <si>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</si>
  <si>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</si>
  <si>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</si>
  <si>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</si>
  <si>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</si>
  <si>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</si>
  <si>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</si>
  <si>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</si>
  <si>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</si>
  <si>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</si>
  <si>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</si>
  <si>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</si>
  <si>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</si>
  <si>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</si>
  <si>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</si>
  <si>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</si>
  <si>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</si>
  <si>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</si>
  <si>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</si>
  <si>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</si>
  <si>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</si>
  <si>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</si>
  <si>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</si>
  <si>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</si>
  <si>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</si>
  <si>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</si>
  <si>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</si>
  <si>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</si>
  <si>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</si>
  <si>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</si>
  <si>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</si>
  <si>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</si>
  <si>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</si>
  <si>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</si>
  <si>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</si>
  <si>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</si>
  <si>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</si>
  <si>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</si>
  <si>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</si>
  <si>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</si>
  <si>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</si>
  <si>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</si>
  <si>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</si>
  <si>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</si>
  <si>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</si>
  <si>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</si>
  <si>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</si>
  <si>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</si>
  <si>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</si>
  <si>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</si>
  <si>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</si>
  <si>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</si>
  <si>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</si>
  <si>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</si>
  <si>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</si>
  <si>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</si>
  <si>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</si>
  <si>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</si>
  <si>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</si>
  <si>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</si>
  <si>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</si>
  <si>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</si>
  <si>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</si>
  <si>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</si>
  <si>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</si>
  <si>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</si>
  <si>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</si>
  <si>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</si>
  <si>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</si>
  <si>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</si>
  <si>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</si>
  <si>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</si>
  <si>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</si>
  <si>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</si>
  <si>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</si>
  <si>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</si>
  <si>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</si>
  <si>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</si>
  <si>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</si>
  <si>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</si>
  <si>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</si>
  <si>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</si>
  <si>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</si>
  <si>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</si>
  <si>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</si>
  <si>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</si>
  <si>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</si>
  <si>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</si>
  <si>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</si>
  <si>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</si>
  <si>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</si>
  <si>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</si>
  <si>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</si>
  <si>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</si>
  <si>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</si>
  <si>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</si>
  <si>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</si>
  <si>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</si>
  <si>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</si>
  <si>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</si>
  <si>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</si>
  <si>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</si>
  <si>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</si>
  <si>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</si>
  <si>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</si>
  <si>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</si>
  <si>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</si>
  <si>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</si>
  <si>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</si>
  <si>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</si>
  <si>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</si>
  <si>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</si>
  <si>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</si>
  <si>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</si>
  <si>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</si>
  <si>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</si>
  <si>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</si>
  <si>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</si>
  <si>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</si>
  <si>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</si>
  <si>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</si>
  <si>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</si>
  <si>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</si>
  <si>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</si>
  <si>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</si>
  <si>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</si>
  <si>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</si>
  <si>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</si>
  <si>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</si>
  <si>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</si>
  <si>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</si>
  <si>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</si>
  <si>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</si>
  <si>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</si>
  <si>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</si>
  <si>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</si>
  <si>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</si>
  <si>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</si>
  <si>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</si>
  <si>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</si>
  <si>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</si>
  <si>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</si>
  <si>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</si>
  <si>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</si>
  <si>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</si>
  <si>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</si>
  <si>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</si>
  <si>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</si>
  <si>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</si>
  <si>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</si>
  <si>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</si>
  <si>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</si>
  <si>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</si>
  <si>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</si>
  <si>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</si>
  <si>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</si>
  <si>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</si>
  <si>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</si>
  <si>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</si>
  <si>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</si>
  <si>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</si>
  <si>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</si>
  <si>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</si>
  <si>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</si>
  <si>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</si>
  <si>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</si>
  <si>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</si>
  <si>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</si>
  <si>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</si>
  <si>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</si>
  <si>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</si>
  <si>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</si>
  <si>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</si>
  <si>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</si>
  <si>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</si>
  <si>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</si>
  <si>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</si>
  <si>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</si>
  <si>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</si>
  <si>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</si>
  <si>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</si>
  <si>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</si>
  <si>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</si>
  <si>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</si>
  <si>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</si>
  <si>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</si>
  <si>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</si>
  <si>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</si>
  <si>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</si>
  <si>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</si>
  <si>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</si>
  <si>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</si>
  <si>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</si>
  <si>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</si>
  <si>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</si>
  <si>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</si>
  <si>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</si>
  <si>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</si>
  <si>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</si>
  <si>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</si>
  <si>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</si>
  <si>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</si>
  <si>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</si>
  <si>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</si>
  <si>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</si>
  <si>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</si>
  <si>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</si>
  <si>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</si>
  <si>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</si>
  <si>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</si>
  <si>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</si>
  <si>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</si>
  <si>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</si>
  <si>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</si>
  <si>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</si>
  <si>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</si>
  <si>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</si>
  <si>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</si>
  <si>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</si>
  <si>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</si>
  <si>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</si>
  <si>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</si>
  <si>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</si>
  <si>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</si>
  <si>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</si>
  <si>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</si>
  <si>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</si>
  <si>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</si>
  <si>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</si>
  <si>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</si>
  <si>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</si>
  <si>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</si>
  <si>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</si>
  <si>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</si>
  <si>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</si>
  <si>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</si>
  <si>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</si>
  <si>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</si>
  <si>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</si>
  <si>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</si>
  <si>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</si>
  <si>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</si>
  <si>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</si>
  <si>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</si>
  <si>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</si>
  <si>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</si>
  <si>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</si>
  <si>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</si>
  <si>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</si>
  <si>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</si>
  <si>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</si>
  <si>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</si>
  <si>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</si>
  <si>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</si>
  <si>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</si>
  <si>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</si>
  <si>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</si>
  <si>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</si>
  <si>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</si>
  <si>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</si>
  <si>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</si>
  <si>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</si>
  <si>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</si>
  <si>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</si>
  <si>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</si>
  <si>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</si>
  <si>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</si>
  <si>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</si>
  <si>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</si>
  <si>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</si>
  <si>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</si>
  <si>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</si>
  <si>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</si>
  <si>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</si>
  <si>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</si>
  <si>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</si>
  <si>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</si>
  <si>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</si>
  <si>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</si>
  <si>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</si>
  <si>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</si>
  <si>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</si>
  <si>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</si>
  <si>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</si>
  <si>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</si>
  <si>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</si>
  <si>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</si>
  <si>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</si>
  <si>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</si>
  <si>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</si>
  <si>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</si>
  <si>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</si>
  <si>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</si>
  <si>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</si>
  <si>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</si>
  <si>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</si>
  <si>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</si>
  <si>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</si>
  <si>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</si>
  <si>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</si>
  <si>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</si>
  <si>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</si>
  <si>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</si>
  <si>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</si>
  <si>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</si>
  <si>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</si>
  <si>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</si>
  <si>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</si>
  <si>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</si>
  <si>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</si>
  <si>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</si>
  <si>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</si>
  <si>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</si>
  <si>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</si>
  <si>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</si>
  <si>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</si>
  <si>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</si>
  <si>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</si>
  <si>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</si>
  <si>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</si>
  <si>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</si>
  <si>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</si>
  <si>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</si>
  <si>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</si>
  <si>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</si>
  <si>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</si>
  <si>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</si>
  <si>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</si>
  <si>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</si>
  <si>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</si>
  <si>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</si>
  <si>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</si>
  <si>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</si>
  <si>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</si>
  <si>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</si>
  <si>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</si>
  <si>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</si>
  <si>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</si>
  <si>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</si>
  <si>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</si>
  <si>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</si>
  <si>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</si>
  <si>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</si>
  <si>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</si>
  <si>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</si>
  <si>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</si>
  <si>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</si>
  <si>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</si>
  <si>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</si>
  <si>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</si>
  <si>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</si>
  <si>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</si>
  <si>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</si>
  <si>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</si>
  <si>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</si>
  <si>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</si>
  <si>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</si>
  <si>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</si>
  <si>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</si>
  <si>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</si>
  <si>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</si>
  <si>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</si>
  <si>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</si>
  <si>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</si>
  <si>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</si>
  <si>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</si>
  <si>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</si>
  <si>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</si>
  <si>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</si>
  <si>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</si>
  <si>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</si>
  <si>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</si>
  <si>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</si>
  <si>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</si>
  <si>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</si>
  <si>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</si>
  <si>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</si>
  <si>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</si>
  <si>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</si>
  <si>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</si>
  <si>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</si>
  <si>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</si>
  <si>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</si>
  <si>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</si>
  <si>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</si>
  <si>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</si>
  <si>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</si>
  <si>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</si>
  <si>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</si>
  <si>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</si>
  <si>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</si>
  <si>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</si>
  <si>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</si>
  <si>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</si>
  <si>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</si>
  <si>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</si>
  <si>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</si>
  <si>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</si>
  <si>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</si>
  <si>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</si>
  <si>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</si>
  <si>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</si>
  <si>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</si>
  <si>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</si>
  <si>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</si>
  <si>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</si>
  <si>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</si>
  <si>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</si>
  <si>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</si>
  <si>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</si>
  <si>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</si>
  <si>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</si>
  <si>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</si>
  <si>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</si>
  <si>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</si>
  <si>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</si>
  <si>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</si>
  <si>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</si>
  <si>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</si>
  <si>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</si>
  <si>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</si>
  <si>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</si>
  <si>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</si>
  <si>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</si>
  <si>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</si>
  <si>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</si>
  <si>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</si>
  <si>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</si>
  <si>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</si>
  <si>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</si>
  <si>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</si>
  <si>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</si>
  <si>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</si>
  <si>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</si>
  <si>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</si>
  <si>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</si>
  <si>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</si>
  <si>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</si>
  <si>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</si>
  <si>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</si>
  <si>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</si>
  <si>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</si>
  <si>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</si>
  <si>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</si>
  <si>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</si>
  <si>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</si>
  <si>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</si>
  <si>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</si>
  <si>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</si>
  <si>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</si>
  <si>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</si>
  <si>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</si>
  <si>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</si>
  <si>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</si>
  <si>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</si>
  <si>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</si>
  <si>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</si>
  <si>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</si>
  <si>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</si>
  <si>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</si>
  <si>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</si>
  <si>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</si>
  <si>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</si>
  <si>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</si>
  <si>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</si>
  <si>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</si>
  <si>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</si>
  <si>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</si>
  <si>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</si>
  <si>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</si>
  <si>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</si>
  <si>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</si>
  <si>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</si>
  <si>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</si>
  <si>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</si>
  <si>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</si>
  <si>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</si>
  <si>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</si>
  <si>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</si>
  <si>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</si>
  <si>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</si>
  <si>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</si>
  <si>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</si>
  <si>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</si>
  <si>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</si>
  <si>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</si>
  <si>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</si>
  <si>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</si>
  <si>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</si>
  <si>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</si>
  <si>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</si>
  <si>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</si>
  <si>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</si>
  <si>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</si>
  <si>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</si>
  <si>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</si>
  <si>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</si>
  <si>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</si>
  <si>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</si>
  <si>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</si>
  <si>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</si>
  <si>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</si>
  <si>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</si>
  <si>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</si>
  <si>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</si>
  <si>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</si>
  <si>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</si>
  <si>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</si>
  <si>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</si>
  <si>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</si>
  <si>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</si>
  <si>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</si>
  <si>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</si>
  <si>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</si>
  <si>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</si>
  <si>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</si>
  <si>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</t>
  </si>
  <si>
    <t>11</t>
  </si>
  <si>
    <t>6-6</t>
  </si>
  <si>
    <t>G-F</t>
  </si>
  <si>
    <t xml:space="preserve"> </t>
  </si>
  <si>
    <t>8</t>
  </si>
  <si>
    <t>14</t>
  </si>
  <si>
    <t>7</t>
  </si>
  <si>
    <t>3</t>
  </si>
  <si>
    <t>185</t>
  </si>
  <si>
    <t>Virginia</t>
  </si>
  <si>
    <t>R</t>
  </si>
  <si>
    <t>240</t>
  </si>
  <si>
    <t>225</t>
  </si>
  <si>
    <t>22</t>
  </si>
  <si>
    <t>C-F</t>
  </si>
  <si>
    <t>250</t>
  </si>
  <si>
    <t>0</t>
  </si>
  <si>
    <t>Kansas</t>
  </si>
  <si>
    <t>200</t>
  </si>
  <si>
    <t>12</t>
  </si>
  <si>
    <t>23</t>
  </si>
  <si>
    <t>25</t>
  </si>
  <si>
    <t xml:space="preserve">5-5  </t>
    <phoneticPr fontId="1"/>
  </si>
  <si>
    <t>Josh Richardson</t>
  </si>
  <si>
    <t>SEP 15, 1993</t>
  </si>
  <si>
    <t>Tennessee</t>
  </si>
  <si>
    <t>Mike Scott</t>
  </si>
  <si>
    <t>237</t>
  </si>
  <si>
    <t>JUL 16, 1988</t>
  </si>
  <si>
    <t>Zhaire Smith</t>
  </si>
  <si>
    <t>205</t>
  </si>
  <si>
    <t>JUN 04, 1999</t>
  </si>
  <si>
    <t>Texas Tech</t>
  </si>
  <si>
    <t>Kyle O'Quinn</t>
  </si>
  <si>
    <t>9</t>
  </si>
  <si>
    <t>MAR 26, 1990</t>
  </si>
  <si>
    <t>Norfolk State</t>
  </si>
  <si>
    <t>James Ennis III</t>
  </si>
  <si>
    <t>215</t>
  </si>
  <si>
    <t>JUL 01, 1990</t>
  </si>
  <si>
    <t>Cal State-Long Beach</t>
  </si>
  <si>
    <t>Tobias Harris</t>
  </si>
  <si>
    <t>226</t>
  </si>
  <si>
    <t>JUL 15, 1992</t>
  </si>
  <si>
    <t>Norvel Pelle</t>
  </si>
  <si>
    <t>231</t>
  </si>
  <si>
    <t>FEB 03, 1993</t>
  </si>
  <si>
    <t>Iona</t>
  </si>
  <si>
    <t>Shake Milton</t>
  </si>
  <si>
    <t>18</t>
  </si>
  <si>
    <t>SEP 26, 1996</t>
  </si>
  <si>
    <t>Southern Methodist</t>
  </si>
  <si>
    <t>Raul Neto</t>
  </si>
  <si>
    <t>19</t>
  </si>
  <si>
    <t>180</t>
  </si>
  <si>
    <t>MAY 19, 1992</t>
  </si>
  <si>
    <t>Joel Embiid</t>
  </si>
  <si>
    <t>21</t>
  </si>
  <si>
    <t>280</t>
  </si>
  <si>
    <t>MAR 16, 1994</t>
  </si>
  <si>
    <t>Matisse Thybulle</t>
  </si>
  <si>
    <t>201</t>
  </si>
  <si>
    <t>MAR 04, 1997</t>
  </si>
  <si>
    <t>Trey Burke</t>
  </si>
  <si>
    <t>NOV 12, 1992</t>
  </si>
  <si>
    <t>6</t>
  </si>
  <si>
    <t>Michigan</t>
  </si>
  <si>
    <t>Ben Simmons</t>
  </si>
  <si>
    <t>JUL 20, 1996</t>
  </si>
  <si>
    <t>Louisiana State</t>
  </si>
  <si>
    <t>Furkan Korkmaz</t>
  </si>
  <si>
    <t>30</t>
  </si>
  <si>
    <t>202</t>
  </si>
  <si>
    <t>JUL 24, 1997</t>
  </si>
  <si>
    <t>Marial Shayok</t>
  </si>
  <si>
    <t>35</t>
  </si>
  <si>
    <t>198</t>
  </si>
  <si>
    <t>JUL 26, 1995</t>
  </si>
  <si>
    <t>Iowa State</t>
  </si>
  <si>
    <t>Al Horford</t>
  </si>
  <si>
    <t>42</t>
  </si>
  <si>
    <t>JUN 03, 1986</t>
  </si>
  <si>
    <t>Florida</t>
  </si>
  <si>
    <t>Jonah Bolden</t>
  </si>
  <si>
    <t>43</t>
  </si>
  <si>
    <t>JAN 02, 1996</t>
  </si>
  <si>
    <t>UCLA</t>
  </si>
  <si>
    <t>76ers</t>
    <phoneticPr fontId="1"/>
  </si>
  <si>
    <t>9-5</t>
    <phoneticPr fontId="1"/>
  </si>
  <si>
    <t xml:space="preserve">5-0  </t>
    <phoneticPr fontId="1"/>
  </si>
  <si>
    <t xml:space="preserve">4-5  </t>
    <phoneticPr fontId="1"/>
  </si>
  <si>
    <t>51-31</t>
    <phoneticPr fontId="1"/>
  </si>
  <si>
    <t xml:space="preserve">4-6  </t>
    <phoneticPr fontId="1"/>
  </si>
  <si>
    <t>31-10</t>
    <phoneticPr fontId="1"/>
  </si>
  <si>
    <t>20-21</t>
    <phoneticPr fontId="1"/>
  </si>
  <si>
    <t>37-21</t>
    <phoneticPr fontId="1"/>
  </si>
  <si>
    <t>14-10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</si>
</sst>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E53940-7329-4595-BD30-B58793AA8284}" name="TableRoster" displayName="TableRoster" ref="A1:M18" totalsRowShown="0" headerRowDxfId="1074">
  <autoFilter ref="A1:M18" xr:uid="{A32369BA-BE5C-422A-AE8E-DDFE52880EA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152EC753-9B57-4881-99EC-1E18A77952B5}" name="TeamID" dataDxfId="1087"/>
    <tableColumn id="2" xr3:uid="{B8274CA5-525C-40E7-8F90-BCD08841C721}" name="SEASON" dataDxfId="1086"/>
    <tableColumn id="3" xr3:uid="{7BAD41D6-04E7-449F-9ED4-A30AC5FE0B6C}" name="LeagueID" dataDxfId="1085"/>
    <tableColumn id="4" xr3:uid="{F7751912-A9EA-4582-A9C5-C9E87318B754}" name="PLAYER" dataDxfId="1084"/>
    <tableColumn id="5" xr3:uid="{C728BD2E-F680-40A2-8711-AD2380F3EBE5}" name="NUM" dataDxfId="1083"/>
    <tableColumn id="6" xr3:uid="{AE533A60-25F5-4C30-984C-8BC6975479F9}" name="POSITION" dataDxfId="1082"/>
    <tableColumn id="7" xr3:uid="{2C7F44C3-48AF-45D7-B97A-4EE7677C6200}" name="HEIGHT" dataDxfId="1081"/>
    <tableColumn id="8" xr3:uid="{15380916-6FEB-4586-A7FE-182B7EF0E27D}" name="WEIGHT" dataDxfId="1080"/>
    <tableColumn id="9" xr3:uid="{29EEC17B-87C0-49DD-9B27-8DFEC1339968}" name="BIRTH_DATE" dataDxfId="1079"/>
    <tableColumn id="10" xr3:uid="{722686E2-4CF5-4DFD-AF17-8B8ABE5146CC}" name="AGE" dataDxfId="1078"/>
    <tableColumn id="11" xr3:uid="{8B9AD720-CE85-4C56-AA43-A65E0C826A7B}" name="EXP" dataDxfId="1077"/>
    <tableColumn id="12" xr3:uid="{635E372C-6FC7-4AD5-932B-8EBFEA6D7EFD}" name="SCHOOL" dataDxfId="1076"/>
    <tableColumn id="13" xr3:uid="{1C722097-B4FC-4B0D-96C6-C0A3EB7C3C64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DBCE0C-7201-431D-8FE2-D59BFA572031}" name="TableStandingsN" displayName="TableStandingsN" ref="A1:CC31" totalsRowShown="0" headerRowDxfId="992">
  <autoFilter ref="A1:CC31" xr:uid="{6B5C493F-8E4E-4949-BAFF-3232CD3918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4B54AF15-0F56-4A34-BAD7-D9556A87C2C1}" name="LeagueID" dataDxfId="1073"/>
    <tableColumn id="2" xr3:uid="{592F3574-CD63-493D-BD5D-AA6F0BF248A4}" name="SeasonID" dataDxfId="1072"/>
    <tableColumn id="3" xr3:uid="{1844B0D8-2425-4F50-87DA-39215F80F371}" name="TeamID" dataDxfId="1071"/>
    <tableColumn id="4" xr3:uid="{92E30737-F557-4A41-816E-736611471E28}" name="TeamCity" dataDxfId="1070"/>
    <tableColumn id="5" xr3:uid="{84B4D460-6CC6-42C5-A10B-DF2885EF675C}" name="TeamName" dataDxfId="1069"/>
    <tableColumn id="6" xr3:uid="{8393C22B-1E00-4FAD-987E-A4DFCE543100}" name="Conference" dataDxfId="1068"/>
    <tableColumn id="7" xr3:uid="{73D3A7D1-5501-4687-9065-653765AD9A26}" name="ConferenceRecord" dataDxfId="1067"/>
    <tableColumn id="8" xr3:uid="{0CCEF8BC-8DC6-48BE-B057-6AF738A94586}" name="PlayoffRank" dataDxfId="1066"/>
    <tableColumn id="9" xr3:uid="{12E47802-489D-4B60-9FB6-B08EDDFCCA3A}" name="ClinchIndicator" dataDxfId="1065"/>
    <tableColumn id="10" xr3:uid="{5D702E0C-C91B-4586-BF11-D8CD7E234818}" name="Division" dataDxfId="1064"/>
    <tableColumn id="11" xr3:uid="{EFC6EC74-8351-4580-BD1B-17008976DF34}" name="DivisionRecord" dataDxfId="1063"/>
    <tableColumn id="12" xr3:uid="{D3EA9BBD-BD7B-4566-88B6-E9E1AB7F5724}" name="DivisionRank" dataDxfId="1062"/>
    <tableColumn id="13" xr3:uid="{0F2B6FCB-7980-40A8-928C-52B7A48E7D68}" name="WINS" dataDxfId="1061"/>
    <tableColumn id="14" xr3:uid="{DFD89C90-DDD2-43D0-8D73-C5F18DC0EC09}" name="LOSSES" dataDxfId="1060"/>
    <tableColumn id="15" xr3:uid="{F111B2E4-32E5-456E-884F-122DF68F08FD}" name="WinPCT" dataDxfId="1059"/>
    <tableColumn id="16" xr3:uid="{B41A8AD7-AC12-4282-9884-CEEA90C9D67E}" name="LeagueRank" dataDxfId="1058"/>
    <tableColumn id="17" xr3:uid="{8C2DDFE3-7A8B-4C64-A7D6-D52F0133BEF6}" name="Record" dataDxfId="1057"/>
    <tableColumn id="18" xr3:uid="{03C99DA6-94C8-4815-9BA6-0228CCE75D07}" name="HOME" dataDxfId="1056"/>
    <tableColumn id="19" xr3:uid="{6F12BC9F-4A19-4CF5-B0E2-C5FC3E6EBBC4}" name="ROAD" dataDxfId="1055"/>
    <tableColumn id="20" xr3:uid="{92D78C09-7440-4F31-91C8-FABD5CC46BB3}" name="L10" dataDxfId="1054"/>
    <tableColumn id="21" xr3:uid="{C6CB2588-98F4-48AA-84BC-60B552588F0C}" name="Last10Home" dataDxfId="1053"/>
    <tableColumn id="22" xr3:uid="{AFEC4E13-70CD-426D-B971-97EE56398447}" name="Last10Road" dataDxfId="1052"/>
    <tableColumn id="23" xr3:uid="{EA6512B2-2C07-470B-9B05-0B3F65D3A55B}" name="OT" dataDxfId="1051"/>
    <tableColumn id="24" xr3:uid="{C6225DAE-A5BB-4E8C-AA30-8951F313BB4C}" name="ThreePTSOrLess" dataDxfId="1050"/>
    <tableColumn id="25" xr3:uid="{9967486F-5DA1-4EF2-B5E6-A981FD75E010}" name="TenPTSOrMore" dataDxfId="1049"/>
    <tableColumn id="26" xr3:uid="{EE34AD6C-6AFF-4A15-A399-17D174B8CACC}" name="LongHomeStreak" dataDxfId="1048"/>
    <tableColumn id="27" xr3:uid="{C3659616-E4A8-47C5-8298-273B79492ED4}" name="strLongHomeStreak" dataDxfId="1047"/>
    <tableColumn id="28" xr3:uid="{6285002A-D8F9-4D7C-8316-F04976D6B065}" name="LongRoadStreak" dataDxfId="1046"/>
    <tableColumn id="29" xr3:uid="{F57BBB2D-5B37-496A-8178-4884D0F8DDF7}" name="strLongRoadStreak" dataDxfId="1045"/>
    <tableColumn id="30" xr3:uid="{1B3DA4F6-5B55-4AC0-A5F7-55687E7E17A8}" name="LongWinStreak" dataDxfId="1044"/>
    <tableColumn id="31" xr3:uid="{B2B7796E-A997-4078-9EC5-1789E287A90D}" name="LongLossStreak" dataDxfId="1043"/>
    <tableColumn id="32" xr3:uid="{EFEADC5E-2FF4-47E6-B934-1D03EC565A10}" name="CurrentHomeStreak" dataDxfId="1042"/>
    <tableColumn id="33" xr3:uid="{A8BA1507-57B4-41A5-B65D-35963430483D}" name="strCurrentHomeStreak" dataDxfId="1041"/>
    <tableColumn id="34" xr3:uid="{FACC5401-9308-4ED0-AE2F-C8EA8A1FD0E5}" name="CurrentRoadStreak" dataDxfId="1040"/>
    <tableColumn id="35" xr3:uid="{2EEBD52E-A8F9-4DD9-A246-D656075BA67B}" name="strCurrentRoadStreak" dataDxfId="1039"/>
    <tableColumn id="36" xr3:uid="{8B26604C-4CA9-4D5E-BD33-03656B8678FE}" name="CurrentStreak" dataDxfId="1038"/>
    <tableColumn id="37" xr3:uid="{38AD9F28-71E2-4CAF-BDEE-7F456029C2BD}" name="strCurrentStreak" dataDxfId="1037"/>
    <tableColumn id="38" xr3:uid="{56291FD2-8E3A-4A9D-BCD9-12CFC6DDB9CE}" name="ConferenceGamesBack" dataDxfId="1036"/>
    <tableColumn id="39" xr3:uid="{2860D59C-158A-4000-88DF-781951563FD7}" name="DivisionGamesBack" dataDxfId="1035"/>
    <tableColumn id="40" xr3:uid="{107A40E9-9D89-4B95-8198-9AEFF77011A6}" name="ClinchedConferenceTitle" dataDxfId="1034"/>
    <tableColumn id="41" xr3:uid="{F01318E1-3D41-42FA-AD68-333DB9EBDB7F}" name="ClinchedDivisionTitle" dataDxfId="1033"/>
    <tableColumn id="42" xr3:uid="{3FEAE123-2596-4921-8B8F-3896A535B36D}" name="ClinchedPlayoffBirth" dataDxfId="1032"/>
    <tableColumn id="43" xr3:uid="{23951BBE-2C96-4EA9-B23F-F5462C8F759D}" name="EliminatedConference" dataDxfId="1031"/>
    <tableColumn id="44" xr3:uid="{AF89E1A4-CC4B-4263-8E91-E818FD362F87}" name="EliminatedDivision" dataDxfId="1030"/>
    <tableColumn id="45" xr3:uid="{A34C7820-B664-4455-B91E-52BD4289E0CA}" name="AheadAtHalf" dataDxfId="1029"/>
    <tableColumn id="46" xr3:uid="{E3537939-5507-4384-99A1-143E026BF779}" name="BehindAtHalf" dataDxfId="1028"/>
    <tableColumn id="47" xr3:uid="{D19E9CE6-8936-480F-AC7F-DDEC33F142E9}" name="TiedAtHalf" dataDxfId="1027"/>
    <tableColumn id="48" xr3:uid="{B9A7E79E-592D-49B5-856E-CA5E2346F618}" name="AheadAtThird" dataDxfId="1026"/>
    <tableColumn id="49" xr3:uid="{BA607384-9D6C-4FF4-8536-25BB1CF162AF}" name="BehindAtThird" dataDxfId="1025"/>
    <tableColumn id="50" xr3:uid="{8AAF8EAD-2378-41C1-985B-81F80E60E7EA}" name="TiedAtThird" dataDxfId="1024"/>
    <tableColumn id="51" xr3:uid="{A7471894-63DD-40E3-A7B3-159280D57E1D}" name="Score100PTS" dataDxfId="1023"/>
    <tableColumn id="52" xr3:uid="{69F508CE-8E44-40C2-9563-B726826A4BE9}" name="OppScore100PTS" dataDxfId="1022"/>
    <tableColumn id="53" xr3:uid="{8995DE1E-7C17-4015-AE22-84C8293DFB0F}" name="OppOver500" dataDxfId="1021"/>
    <tableColumn id="54" xr3:uid="{7F5869B3-4F90-45FA-A6F3-69D9CC362449}" name="LeadInFGPCT" dataDxfId="1020"/>
    <tableColumn id="55" xr3:uid="{913AAD9F-1D21-4215-966B-82495B96600E}" name="LeadInReb" dataDxfId="1019"/>
    <tableColumn id="56" xr3:uid="{1E089A3B-6461-43F7-881A-7434B806F933}" name="FewerTurnovers" dataDxfId="1018"/>
    <tableColumn id="57" xr3:uid="{2A0225E3-9393-44D0-A12F-2211FD88E243}" name="PointsPG" dataDxfId="1017"/>
    <tableColumn id="58" xr3:uid="{CC641927-3D9F-42BC-9DF0-5EF0D5DE8F09}" name="OppPointsPG" dataDxfId="1016"/>
    <tableColumn id="59" xr3:uid="{10B557B6-DD8A-4185-9091-E1991ADA8284}" name="DiffPointsPG" dataDxfId="1015"/>
    <tableColumn id="60" xr3:uid="{0EE924CD-3937-4B45-82A6-ECEA16B81040}" name="vsEast" dataDxfId="1014"/>
    <tableColumn id="61" xr3:uid="{AC514F44-F9EA-43C9-87BE-512A27156691}" name="vsAtlantic" dataDxfId="1013"/>
    <tableColumn id="62" xr3:uid="{A2E5AF81-0A9C-4B17-9CFE-E4CAF7E94B81}" name="vsCentral" dataDxfId="1012"/>
    <tableColumn id="63" xr3:uid="{2A1B98D2-EE18-45FA-992A-8743E51EC9D2}" name="vsSoutheast" dataDxfId="1011"/>
    <tableColumn id="64" xr3:uid="{72826371-1967-48F5-B5B1-16E94BB071F8}" name="vsWest" dataDxfId="1010"/>
    <tableColumn id="65" xr3:uid="{49C44340-EE51-42A9-A46D-A968185AC2E7}" name="vsNorthwest" dataDxfId="1009"/>
    <tableColumn id="66" xr3:uid="{81E71A43-0445-48AE-A12E-3F2F7600DA50}" name="vsPacific" dataDxfId="1008"/>
    <tableColumn id="67" xr3:uid="{EE1D5601-A945-4560-8354-265C499F80AD}" name="vsSouthwest" dataDxfId="1007"/>
    <tableColumn id="68" xr3:uid="{A0D6B45C-80B5-4E8D-8E88-82771D97BAD0}" name="Jan" dataDxfId="1006"/>
    <tableColumn id="69" xr3:uid="{D8BFE5A6-D2DC-4414-A120-82324AF2B871}" name="Feb" dataDxfId="1005"/>
    <tableColumn id="70" xr3:uid="{2EBCACDF-9C6A-4850-919E-7AB57C0DF7A0}" name="Mar" dataDxfId="1004"/>
    <tableColumn id="71" xr3:uid="{A3B2D570-541C-4AD5-9322-93EFA11FEB0F}" name="Apr" dataDxfId="1003"/>
    <tableColumn id="72" xr3:uid="{C5773427-2DE3-4DBF-B7FA-765FF7B2E333}" name="May" dataDxfId="1002"/>
    <tableColumn id="73" xr3:uid="{86CC66DE-2DA1-4AA4-9074-C2A31A1ACD27}" name="Jun" dataDxfId="1001"/>
    <tableColumn id="74" xr3:uid="{AE9E95BE-D1E4-4509-968A-7C9F1AAA1B52}" name="Jul" dataDxfId="1000"/>
    <tableColumn id="75" xr3:uid="{66CADB1A-18E4-4171-BAB0-882D9D75FDC3}" name="Aug" dataDxfId="999"/>
    <tableColumn id="76" xr3:uid="{AC86ABA8-B92C-4B60-9A02-F5819DFF012E}" name="Sep" dataDxfId="998"/>
    <tableColumn id="77" xr3:uid="{D5BEF009-EB0A-494D-8909-E3415EC4898A}" name="Oct" dataDxfId="997"/>
    <tableColumn id="78" xr3:uid="{DE260CCB-C43E-47E8-B173-68EAAAFCFE98}" name="Nov" dataDxfId="996"/>
    <tableColumn id="79" xr3:uid="{8A81475D-A009-4133-BC61-DFC803A84981}" name="Dec" dataDxfId="995"/>
    <tableColumn id="80" xr3:uid="{33F3FB51-2DFA-4F1E-A029-82A724C0BA83}" name="PreAS" dataDxfId="994"/>
    <tableColumn id="81" xr3:uid="{9A7C81E5-77B8-4729-9DF5-F83828C60783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811EEE-ED78-4298-939B-F370DABB82E1}" name="TableBaseN" displayName="TableBaseN" ref="A1:BD31" totalsRowShown="0" headerRowDxfId="853">
  <autoFilter ref="A1:BD31" xr:uid="{B117F557-202B-4683-8795-FC981EE854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21858D0-5E79-4442-8B3B-1C5952B09B94}" name="TEAM_ID" dataDxfId="909"/>
    <tableColumn id="2" xr3:uid="{52FC8ACE-A9A1-4BFB-9ABE-F2CB89093667}" name="TEAM_NAME" dataDxfId="908"/>
    <tableColumn id="3" xr3:uid="{77F592F7-BCAF-4645-B05C-2C76162FDFAE}" name="GP" dataDxfId="907"/>
    <tableColumn id="4" xr3:uid="{1E24D447-9872-4D0D-A5E9-7FC2899E4AA3}" name="W" dataDxfId="906"/>
    <tableColumn id="5" xr3:uid="{6EC21EB6-3461-49EA-8A5B-4A16621135F6}" name="L" dataDxfId="905"/>
    <tableColumn id="6" xr3:uid="{BECCDD8E-F83D-479C-90AC-9BAA60EC952A}" name="W_PCT" dataDxfId="904"/>
    <tableColumn id="7" xr3:uid="{F94D4C67-6AE8-4694-8CE6-06EE32736E62}" name="MIN" dataDxfId="903"/>
    <tableColumn id="8" xr3:uid="{33704EE5-0AEF-4F88-ADA3-AD72C6EC5B3B}" name="FGM" dataDxfId="902"/>
    <tableColumn id="9" xr3:uid="{26D590A5-921F-4B35-8872-BBE6C26B3F2E}" name="FGA" dataDxfId="901"/>
    <tableColumn id="10" xr3:uid="{A3AA8004-0D04-4E75-BA65-2CA698E851F7}" name="FG_PCT" dataDxfId="900"/>
    <tableColumn id="11" xr3:uid="{419EE077-C0A6-448C-8609-AAC808896104}" name="FG3M" dataDxfId="899"/>
    <tableColumn id="12" xr3:uid="{50FD86BD-F7E4-45AB-8530-9F91F9BA816D}" name="FG3A" dataDxfId="898"/>
    <tableColumn id="13" xr3:uid="{BE3E844E-1CA2-4479-9BB0-0918CD83F293}" name="FG3_PCT" dataDxfId="897"/>
    <tableColumn id="14" xr3:uid="{BE4338A7-355E-44CC-B69C-56EE25770157}" name="FTM" dataDxfId="896"/>
    <tableColumn id="15" xr3:uid="{F84CC623-30F6-4684-A1B1-BCFDB942672D}" name="FTA" dataDxfId="895"/>
    <tableColumn id="16" xr3:uid="{A54DA9A5-82A8-4ABE-9538-84FF4A6F0D4F}" name="FT_PCT" dataDxfId="894"/>
    <tableColumn id="17" xr3:uid="{99676233-7BCC-4CEC-BB0C-56D2AE0C1498}" name="OREB" dataDxfId="893"/>
    <tableColumn id="18" xr3:uid="{94D363CA-7DDD-47EE-BB37-745F1360409A}" name="DREB" dataDxfId="892"/>
    <tableColumn id="19" xr3:uid="{D9CC29F0-89C4-4BA2-B434-2179A61E8750}" name="REB" dataDxfId="891"/>
    <tableColumn id="20" xr3:uid="{95C03501-AA1B-47C2-9524-4E1B4F2A956F}" name="AST" dataDxfId="890"/>
    <tableColumn id="21" xr3:uid="{A685906A-187F-40C6-8C72-8AE5D75D0128}" name="TOV" dataDxfId="889"/>
    <tableColumn id="22" xr3:uid="{69A32B4D-D037-4978-A852-392F60FB1AD3}" name="STL" dataDxfId="888"/>
    <tableColumn id="23" xr3:uid="{F148EADF-CAE7-4C62-8B84-A169F2F9D372}" name="BLK" dataDxfId="887"/>
    <tableColumn id="24" xr3:uid="{F6B5571C-7D1E-4B1F-8F52-8760BD39A0A4}" name="BLKA" dataDxfId="886"/>
    <tableColumn id="25" xr3:uid="{EFA9EE7D-B65A-46E8-8D54-719AA04054CF}" name="PF" dataDxfId="885"/>
    <tableColumn id="26" xr3:uid="{09C314F8-C466-4B21-B0E1-C3B700C9E755}" name="PFD" dataDxfId="884"/>
    <tableColumn id="27" xr3:uid="{D59F48B8-811D-4B3F-BB92-C409C45653CD}" name="PTS" dataDxfId="883"/>
    <tableColumn id="28" xr3:uid="{571ACB93-1DE7-46BF-AAE5-9D1A4F3F00EB}" name="PLUS_MINUS" dataDxfId="882"/>
    <tableColumn id="29" xr3:uid="{12FC8D29-0746-4CFE-A1B7-8838406261F1}" name="GP_RANK" dataDxfId="881"/>
    <tableColumn id="30" xr3:uid="{6F5FD11C-5278-447B-985E-675CAE553D48}" name="W_RANK" dataDxfId="880"/>
    <tableColumn id="31" xr3:uid="{85801A6D-EFBB-4EF3-AE1E-B38272D0D03C}" name="L_RANK" dataDxfId="879"/>
    <tableColumn id="32" xr3:uid="{7938FDED-C4C4-4F53-8864-AFD2C873B951}" name="W_PCT_RANK" dataDxfId="878"/>
    <tableColumn id="33" xr3:uid="{3CDC61A7-0DA2-40A3-8305-811AD3437989}" name="MIN_RANK" dataDxfId="877"/>
    <tableColumn id="34" xr3:uid="{4B646FA6-9AFA-4971-8E46-9F902A474C1C}" name="FGM_RANK" dataDxfId="876"/>
    <tableColumn id="35" xr3:uid="{BC316260-15C0-4145-ADBC-E295369E135D}" name="FGA_RANK" dataDxfId="875"/>
    <tableColumn id="36" xr3:uid="{A688D553-A191-4731-9086-9E4F628CB73D}" name="FG_PCT_RANK" dataDxfId="874"/>
    <tableColumn id="37" xr3:uid="{F4D8F847-16A4-48E0-A75A-17CD96827746}" name="FG3M_RANK" dataDxfId="873"/>
    <tableColumn id="38" xr3:uid="{7214E5F2-D9F0-4570-8FFE-E3F84086746C}" name="FG3A_RANK" dataDxfId="872"/>
    <tableColumn id="39" xr3:uid="{A38C023C-BF57-4064-9EE3-39BE170754B0}" name="FG3_PCT_RANK" dataDxfId="871"/>
    <tableColumn id="40" xr3:uid="{DC9D0376-B42F-4E58-9BE0-3D92DB0B6E31}" name="FTM_RANK" dataDxfId="870"/>
    <tableColumn id="41" xr3:uid="{F0A597CF-6F10-4B7F-BDAA-F856D69486B2}" name="FTA_RANK" dataDxfId="869"/>
    <tableColumn id="42" xr3:uid="{031D3C24-62FC-4A58-873C-09DF7B9275CA}" name="FT_PCT_RANK" dataDxfId="868"/>
    <tableColumn id="43" xr3:uid="{5FFF8261-AE95-428B-BC87-1C4ACE624DAE}" name="OREB_RANK" dataDxfId="867"/>
    <tableColumn id="44" xr3:uid="{10A7CC9A-4122-476E-8808-053EF99B5EE8}" name="DREB_RANK" dataDxfId="866"/>
    <tableColumn id="45" xr3:uid="{D80B36E8-3879-49ED-A9AF-140C2192B31D}" name="REB_RANK" dataDxfId="865"/>
    <tableColumn id="46" xr3:uid="{7972C30B-0733-4768-B1E0-309D854EBE7B}" name="AST_RANK" dataDxfId="864"/>
    <tableColumn id="47" xr3:uid="{E5876197-96CF-42B9-BB84-7023EE61C8B0}" name="TOV_RANK" dataDxfId="863"/>
    <tableColumn id="48" xr3:uid="{25D92D4F-D146-42E1-A97C-84D1984535BE}" name="STL_RANK" dataDxfId="862"/>
    <tableColumn id="49" xr3:uid="{D1FB509A-3C41-4F1C-ACB6-EF3B3B7D8935}" name="BLK_RANK" dataDxfId="861"/>
    <tableColumn id="50" xr3:uid="{354BFD35-4BB1-46B8-8964-77A6897EC96F}" name="BLKA_RANK" dataDxfId="860"/>
    <tableColumn id="51" xr3:uid="{753F3E14-9A14-4612-B12A-57236E8C4049}" name="PF_RANK" dataDxfId="859"/>
    <tableColumn id="52" xr3:uid="{0A359FB8-4FAC-4671-894A-9D81D623C56E}" name="PFD_RANK" dataDxfId="858"/>
    <tableColumn id="53" xr3:uid="{D8466E5B-193C-4E91-B523-FF6AB4D08FDE}" name="PTS_RANK" dataDxfId="857"/>
    <tableColumn id="54" xr3:uid="{5789EE78-385D-4A63-A2C7-D0CD617981FF}" name="PLUS_MINUS_RANK" dataDxfId="856"/>
    <tableColumn id="55" xr3:uid="{0FA9B480-0F87-445F-B7B2-AAC43894A909}" name="CFID" dataDxfId="855"/>
    <tableColumn id="56" xr3:uid="{5EF56848-7280-4B79-8307-5C5E79351EF5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1EAFBA0-29C7-4E64-B66E-C3B95F4DB503}" name="TableAdvancedN" displayName="TableAdvancedN" ref="A1:AV31" totalsRowShown="0" headerRowDxfId="747">
  <autoFilter ref="A1:AV31" xr:uid="{BF3BAEC0-3C15-428C-AA36-FB330006089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6FDADD1-BA25-4502-A3A7-BE4685C8945C}" name="TEAM_ID" dataDxfId="795"/>
    <tableColumn id="2" xr3:uid="{ECF87185-DE99-44B3-B0DE-C5D3085B6404}" name="TEAM_NAME" dataDxfId="794"/>
    <tableColumn id="3" xr3:uid="{37D8870D-349F-4E19-B89A-61856F826755}" name="GP" dataDxfId="793"/>
    <tableColumn id="4" xr3:uid="{FCDCC116-051A-4D3E-BF07-4999A41828A6}" name="W" dataDxfId="792"/>
    <tableColumn id="5" xr3:uid="{8D824573-95F6-47E7-87C6-8A59DED83FFA}" name="L" dataDxfId="791"/>
    <tableColumn id="6" xr3:uid="{3721F5AF-BA9E-48C8-A35A-A661F46EDCE6}" name="W_PCT" dataDxfId="790"/>
    <tableColumn id="7" xr3:uid="{04115FA0-ABD6-4DD0-BCC3-889EA866A5ED}" name="MIN" dataDxfId="789"/>
    <tableColumn id="8" xr3:uid="{FB07DC91-2BB8-4646-8375-20C2D0047764}" name="E_OFF_RATING" dataDxfId="788"/>
    <tableColumn id="9" xr3:uid="{07ED147E-B50B-49CB-A331-4F27CE83799F}" name="OFF_RATING" dataDxfId="787"/>
    <tableColumn id="10" xr3:uid="{49DD7754-CAAC-4CD0-9D56-F5716836A9B6}" name="E_DEF_RATING" dataDxfId="786"/>
    <tableColumn id="11" xr3:uid="{A102AC59-8FCB-4DD9-828F-CCB693914852}" name="DEF_RATING" dataDxfId="785"/>
    <tableColumn id="12" xr3:uid="{E89DDDE7-8FBA-49C8-9E65-F191BF9A05A1}" name="E_NET_RATING" dataDxfId="784"/>
    <tableColumn id="13" xr3:uid="{755DEA7B-CF08-40D6-96C9-10BEE1286378}" name="NET_RATING" dataDxfId="783"/>
    <tableColumn id="14" xr3:uid="{C7EA64F2-C803-4297-BADF-3380F90B8372}" name="AST_PCT" dataDxfId="782"/>
    <tableColumn id="15" xr3:uid="{DDA31A60-2114-43D5-A6B6-A65B3C3F2E78}" name="AST_TO" dataDxfId="781"/>
    <tableColumn id="16" xr3:uid="{9C1DF790-E495-4077-B489-BFF8A97E06DA}" name="AST_RATIO" dataDxfId="780"/>
    <tableColumn id="17" xr3:uid="{3A5DACF7-294E-4864-BABE-939619371901}" name="OREB_PCT" dataDxfId="779"/>
    <tableColumn id="18" xr3:uid="{2C37000C-CD35-4F40-909A-C14740BCC372}" name="DREB_PCT" dataDxfId="778"/>
    <tableColumn id="19" xr3:uid="{E324517B-5668-4EFB-A5CC-992543053DDB}" name="REB_PCT" dataDxfId="777"/>
    <tableColumn id="20" xr3:uid="{4CCE82F2-B9F8-48A2-B200-8C4FBDE6CEE1}" name="TM_TOV_PCT" dataDxfId="776"/>
    <tableColumn id="21" xr3:uid="{963C6428-E3C2-41A8-AFAE-12D1748E3D05}" name="EFG_PCT" dataDxfId="775"/>
    <tableColumn id="22" xr3:uid="{7058AEBF-E6B9-43AA-8358-57CBE48584C2}" name="TS_PCT" dataDxfId="774"/>
    <tableColumn id="23" xr3:uid="{0ADDCA36-43D4-4060-A622-D586C63B5851}" name="E_PACE" dataDxfId="773"/>
    <tableColumn id="24" xr3:uid="{19C94AC3-0CB1-4214-9824-F5698B3DC697}" name="PACE" dataDxfId="772"/>
    <tableColumn id="25" xr3:uid="{D3FC36C6-8B6F-4F21-9F9F-E9DDAC4242F6}" name="PACE_PER40" dataDxfId="771"/>
    <tableColumn id="26" xr3:uid="{2FDFCCF7-7B5F-49FE-A68D-607EB8F362F0}" name="POSS" dataDxfId="770"/>
    <tableColumn id="27" xr3:uid="{0149B101-5BBF-4F02-9167-FFDE2F2156B4}" name="PIE" dataDxfId="769"/>
    <tableColumn id="28" xr3:uid="{7B4ACA4A-D01F-48C7-954A-6331CB607460}" name="GP_RANK" dataDxfId="768"/>
    <tableColumn id="29" xr3:uid="{0FDEFABB-9990-4E11-BCD4-ACE7FDCD7B52}" name="W_RANK" dataDxfId="767"/>
    <tableColumn id="30" xr3:uid="{B650161F-DCCA-4949-945E-D94350583DA1}" name="L_RANK" dataDxfId="766"/>
    <tableColumn id="31" xr3:uid="{48DB0921-E261-4487-9CCB-3792CC10E535}" name="W_PCT_RANK" dataDxfId="765"/>
    <tableColumn id="32" xr3:uid="{3A52DC43-02F4-412E-AE8B-F532DAF88E20}" name="MIN_RANK" dataDxfId="764"/>
    <tableColumn id="33" xr3:uid="{79C2C153-7CB2-420F-86EA-B5DB0C08E62B}" name="OFF_RATING_RANK" dataDxfId="763"/>
    <tableColumn id="34" xr3:uid="{F0749A4A-B802-4525-8462-704FAEFB9BA3}" name="DEF_RATING_RANK" dataDxfId="762"/>
    <tableColumn id="35" xr3:uid="{0307267F-7C2D-4CB5-A900-8C3379F109B6}" name="NET_RATING_RANK" dataDxfId="761"/>
    <tableColumn id="36" xr3:uid="{D109D698-2A9E-4FFE-91ED-56BD809AA365}" name="AST_PCT_RANK" dataDxfId="760"/>
    <tableColumn id="37" xr3:uid="{F9D24551-9988-4DCA-AF4F-A94A0BDE73EA}" name="AST_TO_RANK" dataDxfId="759"/>
    <tableColumn id="38" xr3:uid="{396B1397-B600-428F-91FE-36C88A644266}" name="AST_RATIO_RANK" dataDxfId="758"/>
    <tableColumn id="39" xr3:uid="{873EF5F0-F5B3-4D77-9CA8-0B3E3203980B}" name="OREB_PCT_RANK" dataDxfId="757"/>
    <tableColumn id="40" xr3:uid="{B53A2052-6009-4F3E-8950-3C1AB05BA19E}" name="DREB_PCT_RANK" dataDxfId="756"/>
    <tableColumn id="41" xr3:uid="{84E847C9-F8A2-4C45-B6F9-DD338C980E9F}" name="REB_PCT_RANK" dataDxfId="755"/>
    <tableColumn id="42" xr3:uid="{DF7B8428-A3E1-4474-9D4A-AC32CA52A6AC}" name="TM_TOV_PCT_RANK" dataDxfId="754"/>
    <tableColumn id="43" xr3:uid="{DCCB7219-6504-4548-B64B-0E79C9ACF548}" name="EFG_PCT_RANK" dataDxfId="753"/>
    <tableColumn id="44" xr3:uid="{AA2397D5-5DA3-4EC1-9264-635B1D80759D}" name="TS_PCT_RANK" dataDxfId="752"/>
    <tableColumn id="45" xr3:uid="{23161952-4789-4A6F-8082-A00437E97CF7}" name="PACE_RANK" dataDxfId="751"/>
    <tableColumn id="46" xr3:uid="{4EE5E06B-D208-4CAC-BFDD-07D827C4AB65}" name="PIE_RANK" dataDxfId="750"/>
    <tableColumn id="47" xr3:uid="{6389B097-9CAC-4F7F-BF64-DD595819FB1E}" name="CFID" dataDxfId="749"/>
    <tableColumn id="48" xr3:uid="{F9894DA6-0144-42B6-AD7A-A43654B39B45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70BD56-F097-4E9D-898C-8FACF3BC1429}" name="TableAdvancedNStarters" displayName="TableAdvancedNStarters" ref="A1:AV31" totalsRowShown="0" headerRowDxfId="649">
  <autoFilter ref="A1:AV31" xr:uid="{0287B863-AECA-49DA-8D4A-EF5D4485787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EDED5FB-7DE6-457A-A291-B5E3AB6E78B9}" name="TEAM_ID" dataDxfId="697"/>
    <tableColumn id="2" xr3:uid="{F48CD859-B909-4E51-99E4-626C5B03D4D7}" name="TEAM_NAME" dataDxfId="696"/>
    <tableColumn id="3" xr3:uid="{2345662C-BECB-48CD-83D1-646F75A2E86B}" name="GP" dataDxfId="695"/>
    <tableColumn id="4" xr3:uid="{6CB5CE60-A5BF-4F1C-8563-CF2535678736}" name="W" dataDxfId="694"/>
    <tableColumn id="5" xr3:uid="{3F9E87B6-F3A9-47F5-94AD-5376454829F7}" name="L" dataDxfId="693"/>
    <tableColumn id="6" xr3:uid="{E51C8D4C-C721-4C9C-8C4D-D1323AD344CE}" name="W_PCT" dataDxfId="692"/>
    <tableColumn id="7" xr3:uid="{E5D0A592-2ED9-4844-BFFB-0F24DE4C8146}" name="MIN" dataDxfId="691"/>
    <tableColumn id="8" xr3:uid="{4EB9FDFE-6A58-40D5-9530-3047F1C4DB1C}" name="E_OFF_RATING" dataDxfId="690"/>
    <tableColumn id="9" xr3:uid="{4E4DA742-51CC-4D28-A69D-6ABE777BF57F}" name="OFF_RATING" dataDxfId="689"/>
    <tableColumn id="10" xr3:uid="{37C0B12D-0B44-43E3-BD3A-0A0D9773052A}" name="E_DEF_RATING" dataDxfId="688"/>
    <tableColumn id="11" xr3:uid="{EB104E1D-760F-493B-A34E-C1FB0C3D6E57}" name="DEF_RATING" dataDxfId="687"/>
    <tableColumn id="12" xr3:uid="{BFDB8F10-933C-4901-8EEC-9E767A202E14}" name="E_NET_RATING" dataDxfId="686"/>
    <tableColumn id="13" xr3:uid="{F5DD46C4-6CB1-4A68-B327-5DFEC08C9BC8}" name="NET_RATING" dataDxfId="685"/>
    <tableColumn id="14" xr3:uid="{F635A9CE-F454-4710-B501-6FCBDCFABD0F}" name="AST_PCT" dataDxfId="684"/>
    <tableColumn id="15" xr3:uid="{D11A3C63-C772-45D0-B87E-DECD08AF2FB8}" name="AST_TO" dataDxfId="683"/>
    <tableColumn id="16" xr3:uid="{A61A61D0-E628-4DE1-AAF9-F77703215A2C}" name="AST_RATIO" dataDxfId="682"/>
    <tableColumn id="17" xr3:uid="{BF4FBDBB-2AEE-4F57-BF5B-7AAB8BE17BA1}" name="OREB_PCT" dataDxfId="681"/>
    <tableColumn id="18" xr3:uid="{20B6A24E-980E-454E-9B77-178FDB97A9DA}" name="DREB_PCT" dataDxfId="680"/>
    <tableColumn id="19" xr3:uid="{EC46710E-8787-4248-98FB-A0A647CB38AF}" name="REB_PCT" dataDxfId="679"/>
    <tableColumn id="20" xr3:uid="{1FC4ADB9-3587-47FF-86F2-CF7C846DF523}" name="TM_TOV_PCT" dataDxfId="678"/>
    <tableColumn id="21" xr3:uid="{8FC6AEF7-34FA-4CBB-8B0A-AE3376A88D10}" name="EFG_PCT" dataDxfId="677"/>
    <tableColumn id="22" xr3:uid="{8E1B7074-5A86-47A2-9D2A-8798350582F9}" name="TS_PCT" dataDxfId="676"/>
    <tableColumn id="23" xr3:uid="{BBEBC691-5732-49C0-80A7-85F3C0B36D53}" name="E_PACE" dataDxfId="675"/>
    <tableColumn id="24" xr3:uid="{60CC844E-1F4E-4FA8-BF5F-320D9BE3F618}" name="PACE" dataDxfId="674"/>
    <tableColumn id="25" xr3:uid="{69DD48D8-54D7-49B2-9BB3-25E797F4868D}" name="PACE_PER40" dataDxfId="673"/>
    <tableColumn id="26" xr3:uid="{987F774A-4CF9-4E9E-BA5E-4EF7AEA1A05F}" name="POSS" dataDxfId="672"/>
    <tableColumn id="27" xr3:uid="{F4650252-102C-400B-B781-FE719A5F018F}" name="PIE" dataDxfId="671"/>
    <tableColumn id="28" xr3:uid="{F94C88DF-DE13-40A9-808D-745A81409081}" name="GP_RANK" dataDxfId="670"/>
    <tableColumn id="29" xr3:uid="{F60FB302-F61E-4BD2-B70A-66B0EF734098}" name="W_RANK" dataDxfId="669"/>
    <tableColumn id="30" xr3:uid="{526C010D-730C-4059-9497-106E92D14DBB}" name="L_RANK" dataDxfId="668"/>
    <tableColumn id="31" xr3:uid="{6E7FB5F4-F33E-48DC-A601-1C8B73009ADF}" name="W_PCT_RANK" dataDxfId="667"/>
    <tableColumn id="32" xr3:uid="{010DAA87-900D-4C42-B89C-E7E814A5F9F7}" name="MIN_RANK" dataDxfId="666"/>
    <tableColumn id="33" xr3:uid="{2AE21192-D7A1-4D87-B8D6-DC3ECF2DA368}" name="OFF_RATING_RANK" dataDxfId="665"/>
    <tableColumn id="34" xr3:uid="{07D8F3CC-50CF-408F-8B65-950377B4668C}" name="DEF_RATING_RANK" dataDxfId="664"/>
    <tableColumn id="35" xr3:uid="{CF88E93D-3E4E-467A-92C3-8EA3B5F4DA13}" name="NET_RATING_RANK" dataDxfId="663"/>
    <tableColumn id="36" xr3:uid="{9D9B30B4-0F45-4BC0-A7AA-ECB458F05AB6}" name="AST_PCT_RANK" dataDxfId="662"/>
    <tableColumn id="37" xr3:uid="{6CB36EB7-B804-43A6-8152-ACC2B48C579A}" name="AST_TO_RANK" dataDxfId="661"/>
    <tableColumn id="38" xr3:uid="{CC3A20D4-D37D-4D76-9CB4-062F70C79936}" name="AST_RATIO_RANK" dataDxfId="660"/>
    <tableColumn id="39" xr3:uid="{4C49EC7B-9B1F-4227-980C-B9D2DDC7415E}" name="OREB_PCT_RANK" dataDxfId="659"/>
    <tableColumn id="40" xr3:uid="{EE949697-F47B-44E0-8B20-9666DA6C51BB}" name="DREB_PCT_RANK" dataDxfId="658"/>
    <tableColumn id="41" xr3:uid="{3164EDE5-7ECD-4A90-834C-A877F1A97020}" name="REB_PCT_RANK" dataDxfId="657"/>
    <tableColumn id="42" xr3:uid="{2ECE883C-D1B9-4154-9B74-23E23FB736C0}" name="TM_TOV_PCT_RANK" dataDxfId="656"/>
    <tableColumn id="43" xr3:uid="{4DFE4090-BD30-4290-A9D3-77FB57402413}" name="EFG_PCT_RANK" dataDxfId="655"/>
    <tableColumn id="44" xr3:uid="{1746C3F7-BDD8-4193-9B7E-5FC7AED98158}" name="TS_PCT_RANK" dataDxfId="654"/>
    <tableColumn id="45" xr3:uid="{710EA414-A1AF-4E53-BCA2-17CB680EDC24}" name="PACE_RANK" dataDxfId="653"/>
    <tableColumn id="46" xr3:uid="{11CE742A-0637-4536-B0B1-95D7E47A5BF6}" name="PIE_RANK" dataDxfId="652"/>
    <tableColumn id="47" xr3:uid="{A8335C3A-1863-4925-BCF1-B2738CB34370}" name="CFID" dataDxfId="651"/>
    <tableColumn id="48" xr3:uid="{8A88AA8C-8279-4428-BBD3-593FE040CC6B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F7CCE9-1B49-4C6B-B8C4-3F80472773B7}" name="TableAdvancedNBench" displayName="TableAdvancedNBench" ref="A1:AV31" totalsRowShown="0" headerRowDxfId="551">
  <autoFilter ref="A1:AV31" xr:uid="{1A7557E9-0D0F-4D99-93E3-2D37829083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335EA8D-9808-45DF-8B06-E71FE807E215}" name="TEAM_ID" dataDxfId="599"/>
    <tableColumn id="2" xr3:uid="{36193C54-F5A6-4B07-8207-2FBC253D09FC}" name="TEAM_NAME" dataDxfId="598"/>
    <tableColumn id="3" xr3:uid="{CE6144E6-AD5F-47B1-AC5C-1662AC6BDB65}" name="GP" dataDxfId="597"/>
    <tableColumn id="4" xr3:uid="{6C42B246-2F92-444D-AD73-A21240E50967}" name="W" dataDxfId="596"/>
    <tableColumn id="5" xr3:uid="{A7777F02-9EEA-4C57-AB00-B39C613D501D}" name="L" dataDxfId="595"/>
    <tableColumn id="6" xr3:uid="{1056A133-FFCC-433F-9726-303A58984ADE}" name="W_PCT" dataDxfId="594"/>
    <tableColumn id="7" xr3:uid="{0C3609BB-33A0-4D9C-B47C-A5F80AE22025}" name="MIN" dataDxfId="593"/>
    <tableColumn id="8" xr3:uid="{A8C45533-DB23-41EF-BAF9-4B806D559657}" name="E_OFF_RATING" dataDxfId="592"/>
    <tableColumn id="9" xr3:uid="{C3CCA732-D961-4F52-8703-7797F1941B09}" name="OFF_RATING" dataDxfId="591"/>
    <tableColumn id="10" xr3:uid="{5BE807E9-0B9E-4131-9EAA-D5DA6B49EB6A}" name="E_DEF_RATING" dataDxfId="590"/>
    <tableColumn id="11" xr3:uid="{4957B593-6E5B-4CFB-8487-CA761A8944DC}" name="DEF_RATING" dataDxfId="589"/>
    <tableColumn id="12" xr3:uid="{75050BB7-2948-4D12-A447-DDE7758A91AB}" name="E_NET_RATING" dataDxfId="588"/>
    <tableColumn id="13" xr3:uid="{EEC6A006-4CD1-414A-BD15-201EA23B809F}" name="NET_RATING" dataDxfId="587"/>
    <tableColumn id="14" xr3:uid="{423C60EE-D8BE-4AB4-A760-13F259D5F7A4}" name="AST_PCT" dataDxfId="586"/>
    <tableColumn id="15" xr3:uid="{102DD0DB-A2F0-4B3D-B558-5009F0B64827}" name="AST_TO" dataDxfId="585"/>
    <tableColumn id="16" xr3:uid="{D07CF002-E71F-4397-A572-1BF5E0A3A39D}" name="AST_RATIO" dataDxfId="584"/>
    <tableColumn id="17" xr3:uid="{84DAE1BD-C36F-4D52-B419-E7C9ECD02BFA}" name="OREB_PCT" dataDxfId="583"/>
    <tableColumn id="18" xr3:uid="{D785EF1F-05AC-41E4-92EA-A2DD9927ADD1}" name="DREB_PCT" dataDxfId="582"/>
    <tableColumn id="19" xr3:uid="{F0AA4A5D-FF79-4433-AD9B-A6B81B88C71E}" name="REB_PCT" dataDxfId="581"/>
    <tableColumn id="20" xr3:uid="{E5481A76-1FD9-4CDC-8C14-A166EB2FAA1F}" name="TM_TOV_PCT" dataDxfId="580"/>
    <tableColumn id="21" xr3:uid="{84337B11-161B-4AD8-8DF0-7F3A5C356649}" name="EFG_PCT" dataDxfId="579"/>
    <tableColumn id="22" xr3:uid="{794A4192-FE46-4C60-AC52-514F47CE6167}" name="TS_PCT" dataDxfId="578"/>
    <tableColumn id="23" xr3:uid="{55FE7DC6-8D66-4FC1-AB5E-ADACDED20953}" name="E_PACE" dataDxfId="577"/>
    <tableColumn id="24" xr3:uid="{B1318966-8C06-4281-AD95-7E87FD399E4E}" name="PACE" dataDxfId="576"/>
    <tableColumn id="25" xr3:uid="{BE3AA85D-1C1F-408E-9B72-D3312511A67F}" name="PACE_PER40" dataDxfId="575"/>
    <tableColumn id="26" xr3:uid="{9A691AEC-F556-4D5D-A400-468833CA4D8E}" name="POSS" dataDxfId="574"/>
    <tableColumn id="27" xr3:uid="{8F8623F4-AA5A-4F44-BD68-57854CCB30B5}" name="PIE" dataDxfId="573"/>
    <tableColumn id="28" xr3:uid="{72CDD638-35BA-4EB1-ADC2-835A1782FD3B}" name="GP_RANK" dataDxfId="572"/>
    <tableColumn id="29" xr3:uid="{18F808CA-122F-4CE5-9C0E-CC86FAF526A5}" name="W_RANK" dataDxfId="571"/>
    <tableColumn id="30" xr3:uid="{F5A80502-D876-4AA0-9D10-D91EBA387F99}" name="L_RANK" dataDxfId="570"/>
    <tableColumn id="31" xr3:uid="{75DF2282-F657-4ED8-BDEC-FF34F57C93A6}" name="W_PCT_RANK" dataDxfId="569"/>
    <tableColumn id="32" xr3:uid="{ED5E590E-920B-4B8C-8695-4C20484F88D4}" name="MIN_RANK" dataDxfId="568"/>
    <tableColumn id="33" xr3:uid="{1FE5AA63-CBF3-4245-9D73-9F2C570B5531}" name="OFF_RATING_RANK" dataDxfId="567"/>
    <tableColumn id="34" xr3:uid="{8D7AE8FC-3B43-4ACF-9E08-742B89677E9F}" name="DEF_RATING_RANK" dataDxfId="566"/>
    <tableColumn id="35" xr3:uid="{6334228A-1EA8-4A91-8CDF-AFA80C7C87BA}" name="NET_RATING_RANK" dataDxfId="565"/>
    <tableColumn id="36" xr3:uid="{20575D92-3CE3-4293-9E35-34C86A3E4C35}" name="AST_PCT_RANK" dataDxfId="564"/>
    <tableColumn id="37" xr3:uid="{9BFBB813-B538-4F4A-9A02-139EC8C97A9F}" name="AST_TO_RANK" dataDxfId="563"/>
    <tableColumn id="38" xr3:uid="{863C465B-D646-4B7A-B969-1166FD7E1CEB}" name="AST_RATIO_RANK" dataDxfId="562"/>
    <tableColumn id="39" xr3:uid="{AFD0DF0A-F041-46B7-BB1F-82A4E003C508}" name="OREB_PCT_RANK" dataDxfId="561"/>
    <tableColumn id="40" xr3:uid="{989B8362-9EC3-4D28-A5BB-8917B2B70F5B}" name="DREB_PCT_RANK" dataDxfId="560"/>
    <tableColumn id="41" xr3:uid="{1579B0AA-694A-485A-9FAC-DD4DF9240C3E}" name="REB_PCT_RANK" dataDxfId="559"/>
    <tableColumn id="42" xr3:uid="{68A9D15B-849C-43D7-92B3-151AACE7DFE5}" name="TM_TOV_PCT_RANK" dataDxfId="558"/>
    <tableColumn id="43" xr3:uid="{9AD25B06-5C55-4376-8468-0F0E7A040B41}" name="EFG_PCT_RANK" dataDxfId="557"/>
    <tableColumn id="44" xr3:uid="{2F532DDE-CB16-4426-AA07-986432E07FAC}" name="TS_PCT_RANK" dataDxfId="556"/>
    <tableColumn id="45" xr3:uid="{FF060729-9F5F-4E66-8FC2-0D762419808B}" name="PACE_RANK" dataDxfId="555"/>
    <tableColumn id="46" xr3:uid="{0E3706AA-4602-4461-B005-80E2E10EBAC5}" name="PIE_RANK" dataDxfId="554"/>
    <tableColumn id="47" xr3:uid="{B766B1EC-8F02-4829-92D4-336F2F02F5B1}" name="CFID" dataDxfId="553"/>
    <tableColumn id="48" xr3:uid="{36AD64CA-EE6C-4520-A601-4C41471BA1D8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9C88C0C-0FD9-4481-9ED4-2BB7056A2570}" name="TableMiscN" displayName="TableMiscN" ref="A1:AD31" totalsRowShown="0" headerRowDxfId="471">
  <autoFilter ref="A1:AD31" xr:uid="{EDF932A1-C9A5-4765-9FB1-AF134558966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997838AC-8F77-4DC8-A8EC-D04799CB8B9F}" name="TEAM_ID" dataDxfId="501"/>
    <tableColumn id="2" xr3:uid="{90F9F971-47D6-4F55-A11A-71107DD059E0}" name="TEAM_NAME" dataDxfId="500"/>
    <tableColumn id="3" xr3:uid="{1403D742-51F9-4C2C-AE39-900E1F325BF5}" name="GP" dataDxfId="499"/>
    <tableColumn id="4" xr3:uid="{CF47596D-A845-428E-8366-46F94FBDEB96}" name="W" dataDxfId="498"/>
    <tableColumn id="5" xr3:uid="{B8831816-1827-41B8-AF39-88EB692A2C02}" name="L" dataDxfId="497"/>
    <tableColumn id="6" xr3:uid="{B24D3BE0-9499-402D-B89F-A871B74D91EE}" name="W_PCT" dataDxfId="496"/>
    <tableColumn id="7" xr3:uid="{6B1A3511-C5F3-4213-8C92-F526E150CB88}" name="MIN" dataDxfId="495"/>
    <tableColumn id="8" xr3:uid="{F1624328-C02A-420C-ADDE-5E00FC2B98B1}" name="PTS_OFF_TOV" dataDxfId="494"/>
    <tableColumn id="9" xr3:uid="{08E2BF3E-59DF-4345-A9A1-51E0795B2125}" name="PTS_2ND_CHANCE" dataDxfId="493"/>
    <tableColumn id="10" xr3:uid="{14273457-E777-4747-B05B-243D3F1C90F2}" name="PTS_FB" dataDxfId="492"/>
    <tableColumn id="11" xr3:uid="{2B215957-93B4-4543-B701-8AE18D03DEE4}" name="PTS_PAINT" dataDxfId="491"/>
    <tableColumn id="12" xr3:uid="{93EA9D4E-1060-4019-83D2-7E0A2EB840C1}" name="OPP_PTS_OFF_TOV" dataDxfId="490"/>
    <tableColumn id="13" xr3:uid="{AA278894-888F-4CC8-8490-5837640A3314}" name="OPP_PTS_2ND_CHANCE" dataDxfId="489"/>
    <tableColumn id="14" xr3:uid="{B29BCB3B-06F9-4298-92E3-1BFDBF5912B6}" name="OPP_PTS_FB" dataDxfId="488"/>
    <tableColumn id="15" xr3:uid="{9EAC0BA1-4CA6-4A11-865D-575BD28767E4}" name="OPP_PTS_PAINT" dataDxfId="487"/>
    <tableColumn id="16" xr3:uid="{CC5977B8-8510-4ABA-BD93-BE64C6F12325}" name="GP_RANK" dataDxfId="486"/>
    <tableColumn id="17" xr3:uid="{F697AA8A-557D-41D4-9B12-5F18DF54FA75}" name="W_RANK" dataDxfId="485"/>
    <tableColumn id="18" xr3:uid="{D87E9F8E-EA87-4040-9E72-2B8FF272628D}" name="L_RANK" dataDxfId="484"/>
    <tableColumn id="19" xr3:uid="{CD899D3F-AB02-40A5-825E-07D46E6DCA19}" name="W_PCT_RANK" dataDxfId="483"/>
    <tableColumn id="20" xr3:uid="{22EC49A0-AA93-4724-B3FE-E70AA102BB3A}" name="MIN_RANK" dataDxfId="482"/>
    <tableColumn id="21" xr3:uid="{CD33D999-6048-4EB4-94DA-BB5C9908F93D}" name="PTS_OFF_TOV_RANK" dataDxfId="481"/>
    <tableColumn id="22" xr3:uid="{89D6266A-E2EF-4CCB-82BA-6F40CBD1D332}" name="PTS_2ND_CHANCE_RANK" dataDxfId="480"/>
    <tableColumn id="23" xr3:uid="{BC695767-3819-4DA6-95EC-D5040E722B62}" name="PTS_FB_RANK" dataDxfId="479"/>
    <tableColumn id="24" xr3:uid="{BEE78520-2EF2-4665-8628-16EEC1613F61}" name="PTS_PAINT_RANK" dataDxfId="478"/>
    <tableColumn id="25" xr3:uid="{AA2588C2-C3FD-4513-8040-57501B119DE1}" name="OPP_PTS_OFF_TOV_RANK" dataDxfId="477"/>
    <tableColumn id="26" xr3:uid="{33BD8E5B-80D7-433D-940B-57112FF5B042}" name="OPP_PTS_2ND_CHANCE_RANK" dataDxfId="476"/>
    <tableColumn id="27" xr3:uid="{E8AF2232-2137-4A52-BAED-35F455E7F4A8}" name="OPP_PTS_FB_RANK" dataDxfId="475"/>
    <tableColumn id="28" xr3:uid="{18A54D45-FD0C-466C-8168-0B533FF08634}" name="OPP_PTS_PAINT_RANK" dataDxfId="474"/>
    <tableColumn id="29" xr3:uid="{29E66D41-23F7-4D73-8FFB-D54AB2A63267}" name="CFID" dataDxfId="473"/>
    <tableColumn id="30" xr3:uid="{76F14DBA-8BC8-425C-8A51-8448BC2962A4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6DC52AF-9FC6-4B9F-B55B-CD619F210D6B}" name="TableOppBaseN" displayName="TableOppBaseN" ref="A1:BD31" totalsRowShown="0" headerRowDxfId="383">
  <autoFilter ref="A1:BD31" xr:uid="{CE564171-04F6-4AEC-BCFB-C0CA4632385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A7D97B8-C2BD-4A1A-A3BE-85732F530952}" name="TEAM_ID" dataDxfId="439"/>
    <tableColumn id="2" xr3:uid="{4E8B28F5-1FE2-4B05-8CC1-C82A26414FC7}" name="TEAM_NAME" dataDxfId="438"/>
    <tableColumn id="3" xr3:uid="{D58CE769-F2E3-4629-8CD3-C032568C0F17}" name="GP" dataDxfId="437"/>
    <tableColumn id="4" xr3:uid="{0EC300C7-F0A9-46A7-BD8B-D72D6A965F2A}" name="W" dataDxfId="436"/>
    <tableColumn id="5" xr3:uid="{930AFEA6-2DBD-4E09-B0F5-07E925D7FB79}" name="L" dataDxfId="435"/>
    <tableColumn id="6" xr3:uid="{D7089FD9-41AB-4182-8C10-E9B96650407A}" name="W_PCT" dataDxfId="434"/>
    <tableColumn id="7" xr3:uid="{192B1164-6C73-41D2-8E57-924C97C2F1E6}" name="MIN" dataDxfId="433"/>
    <tableColumn id="8" xr3:uid="{73A5CAAA-4473-433F-A553-953080ADEF66}" name="OPP_FGM" dataDxfId="432"/>
    <tableColumn id="9" xr3:uid="{11DCB78B-44D6-449B-91B7-31C020DEA162}" name="OPP_FGA" dataDxfId="431"/>
    <tableColumn id="10" xr3:uid="{297362F3-1587-49B1-BD46-F6F550052F95}" name="OPP_FG_PCT" dataDxfId="430"/>
    <tableColumn id="11" xr3:uid="{EE27C0C4-74D5-4F64-8D91-7949BF4878A9}" name="OPP_FG3M" dataDxfId="429"/>
    <tableColumn id="12" xr3:uid="{E36AE49F-1968-4190-A185-83853E58F993}" name="OPP_FG3A" dataDxfId="428"/>
    <tableColumn id="13" xr3:uid="{AB8C8556-F0C8-4F93-AEDE-3298A84A20A0}" name="OPP_FG3_PCT" dataDxfId="427"/>
    <tableColumn id="14" xr3:uid="{C169B9B2-E154-4E46-9919-4F211FB352D6}" name="OPP_FTM" dataDxfId="426"/>
    <tableColumn id="15" xr3:uid="{DCD13286-44A3-4A34-B2F2-721E434DAA24}" name="OPP_FTA" dataDxfId="425"/>
    <tableColumn id="16" xr3:uid="{AEB8C5DC-014E-4220-A59D-4C152A677175}" name="OPP_FT_PCT" dataDxfId="424"/>
    <tableColumn id="17" xr3:uid="{B28002E8-9F3D-4DBA-956C-788AC2D95027}" name="OPP_OREB" dataDxfId="423"/>
    <tableColumn id="18" xr3:uid="{6930D95B-D008-430D-9080-01287F05E0EA}" name="OPP_DREB" dataDxfId="422"/>
    <tableColumn id="19" xr3:uid="{0DBF2EE6-CDE3-4D42-A5F8-64576334DB8F}" name="OPP_REB" dataDxfId="421"/>
    <tableColumn id="20" xr3:uid="{B8FBACC0-E816-4290-9DFA-9BD6474133E4}" name="OPP_AST" dataDxfId="420"/>
    <tableColumn id="21" xr3:uid="{E6C96375-9B8A-424F-B681-FF76F9763291}" name="OPP_TOV" dataDxfId="419"/>
    <tableColumn id="22" xr3:uid="{E8F96792-2DA1-49F8-B8B3-F468FB72B4A0}" name="OPP_STL" dataDxfId="418"/>
    <tableColumn id="23" xr3:uid="{95391B70-09BE-4615-8F12-7C612E0CC1BF}" name="OPP_BLK" dataDxfId="417"/>
    <tableColumn id="24" xr3:uid="{F2E4418F-BC76-4A22-9194-2D2F7BBB7F03}" name="OPP_BLKA" dataDxfId="416"/>
    <tableColumn id="25" xr3:uid="{57AF1B47-E51E-4024-9BB6-BFE94E2EB3B4}" name="OPP_PF" dataDxfId="415"/>
    <tableColumn id="26" xr3:uid="{74E3D179-00FA-46C1-8E83-D2992BB682CB}" name="OPP_PFD" dataDxfId="414"/>
    <tableColumn id="27" xr3:uid="{ADB3BEB3-DCE2-4E2C-AB7D-068C3AA57DA5}" name="OPP_PTS" dataDxfId="413"/>
    <tableColumn id="28" xr3:uid="{1F6CD7D8-790C-4550-A993-5A98DD5AB523}" name="PLUS_MINUS" dataDxfId="412"/>
    <tableColumn id="29" xr3:uid="{1632E6A1-B149-46CD-B374-2DCC1A266C7F}" name="GP_RANK" dataDxfId="411"/>
    <tableColumn id="30" xr3:uid="{B0726635-E7E5-4DFD-B0B1-E86B3BED0BD3}" name="W_RANK" dataDxfId="410"/>
    <tableColumn id="31" xr3:uid="{349DCC7E-9C9F-406F-9A56-8E02D4F8DF84}" name="L_RANK" dataDxfId="409"/>
    <tableColumn id="32" xr3:uid="{FCD5631C-2030-4156-A54A-47AFAA813B2C}" name="W_PCT_RANK" dataDxfId="408"/>
    <tableColumn id="33" xr3:uid="{8C220318-ECE1-43F5-9EB7-F0B24BEDDDF0}" name="MIN_RANK" dataDxfId="407"/>
    <tableColumn id="34" xr3:uid="{27BDEE0B-37E8-4F24-8F6F-AE8072186B1D}" name="OPP_FGM_RANK" dataDxfId="406"/>
    <tableColumn id="35" xr3:uid="{A8A3F391-2200-4998-964B-87B2287A6EFF}" name="OPP_FGA_RANK" dataDxfId="405"/>
    <tableColumn id="36" xr3:uid="{EBD90FD3-B0C4-4C42-A2C3-9A5676D04F80}" name="OPP_FG_PCT_RANK" dataDxfId="404"/>
    <tableColumn id="37" xr3:uid="{018EB88C-BFA7-42E6-95D1-993052A8E867}" name="OPP_FG3M_RANK" dataDxfId="403"/>
    <tableColumn id="38" xr3:uid="{EF66A58F-2434-4E8C-8E6E-0C7D40DF69D5}" name="OPP_FG3A_RANK" dataDxfId="402"/>
    <tableColumn id="39" xr3:uid="{96009F3F-3F3F-4B22-BDFF-3DECE16B9695}" name="OPP_FG3_PCT_RANK" dataDxfId="401"/>
    <tableColumn id="40" xr3:uid="{2B997899-77E5-4614-B33C-C68E1235759D}" name="OPP_FTM_RANK" dataDxfId="400"/>
    <tableColumn id="41" xr3:uid="{98DF949E-68A1-44C0-86B5-2641C17CCF5D}" name="OPP_FTA_RANK" dataDxfId="399"/>
    <tableColumn id="42" xr3:uid="{F15F82D5-343B-47EB-9C14-185FF3266603}" name="OPP_FT_PCT_RANK" dataDxfId="398"/>
    <tableColumn id="43" xr3:uid="{2012573C-9074-4983-B14F-30D988838CC3}" name="OPP_OREB_RANK" dataDxfId="397"/>
    <tableColumn id="44" xr3:uid="{8E862E6A-470E-4305-84E1-F8044F0D6CBA}" name="OPP_DREB_RANK" dataDxfId="396"/>
    <tableColumn id="45" xr3:uid="{44297BE7-EDE5-4746-97F3-2742EFD304CC}" name="OPP_REB_RANK" dataDxfId="395"/>
    <tableColumn id="46" xr3:uid="{6FC5A94D-F906-43B8-9672-62F3F50AF113}" name="OPP_AST_RANK" dataDxfId="394"/>
    <tableColumn id="47" xr3:uid="{6685F842-6BC5-4F19-B797-3FB437009B88}" name="OPP_TOV_RANK" dataDxfId="393"/>
    <tableColumn id="48" xr3:uid="{747F2558-18BA-42EF-B113-354B29ACCC1B}" name="OPP_STL_RANK" dataDxfId="392"/>
    <tableColumn id="49" xr3:uid="{82FE7A31-BBA8-4192-8410-392559496BE8}" name="OPP_BLK_RANK" dataDxfId="391"/>
    <tableColumn id="50" xr3:uid="{78200AE8-0EDD-4936-8335-2437C64908A3}" name="OPP_BLKA_RANK" dataDxfId="390"/>
    <tableColumn id="51" xr3:uid="{B68BBA7D-EE85-4BC3-BE29-EE5ACEF2AA8C}" name="OPP_PF_RANK" dataDxfId="389"/>
    <tableColumn id="52" xr3:uid="{C014A8C2-3B82-4390-899C-EBF84923204E}" name="OPP_PFD_RANK" dataDxfId="388"/>
    <tableColumn id="53" xr3:uid="{895D22FA-DA6D-443F-B900-B50C26C218DA}" name="OPP_PTS_RANK" dataDxfId="387"/>
    <tableColumn id="54" xr3:uid="{32043E5B-A1A2-4435-9C2A-2A456A0EAF0F}" name="PLUS_MINUS_RANK" dataDxfId="386"/>
    <tableColumn id="55" xr3:uid="{C77EA14E-09A7-492D-ADA4-CF564C693F23}" name="CFID" dataDxfId="385"/>
    <tableColumn id="56" xr3:uid="{E44F58ED-B388-4A67-890C-F412218CB6A5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88CDCC1-1C0F-42A1-8E02-A8B2B0642063}" name="TableClutchBaseN" displayName="TableClutchBaseN" ref="A1:BD31" totalsRowShown="0" headerRowDxfId="269">
  <autoFilter ref="A1:BD31" xr:uid="{BBA7F2AE-EEDD-40D5-AEC4-5F2EB8B329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6EA8BBC-BD03-49B7-91A8-75459C13020D}" name="TEAM_ID" dataDxfId="325"/>
    <tableColumn id="2" xr3:uid="{995D604E-B5AF-4F9A-81FA-63649A853218}" name="TEAM_NAME" dataDxfId="324"/>
    <tableColumn id="3" xr3:uid="{98202737-2A20-42DA-A32E-02D960C34653}" name="GP" dataDxfId="323"/>
    <tableColumn id="4" xr3:uid="{1D190BE9-C342-4027-8D0A-B03AB6C69E3F}" name="W" dataDxfId="322"/>
    <tableColumn id="5" xr3:uid="{B1D90BC9-ACC5-4BAD-A917-0FCA871BC4B5}" name="L" dataDxfId="321"/>
    <tableColumn id="6" xr3:uid="{C5080AC1-B0D6-4561-9B26-243393D01C71}" name="W_PCT" dataDxfId="320"/>
    <tableColumn id="7" xr3:uid="{33DAD397-4C33-4957-A559-D075E6FB070A}" name="MIN" dataDxfId="319"/>
    <tableColumn id="8" xr3:uid="{02C3C3F3-BC72-41E9-A749-C2C62EA3A4F5}" name="FGM" dataDxfId="318"/>
    <tableColumn id="9" xr3:uid="{E453CE77-0EF3-4D23-A1ED-4F74F5CE4696}" name="FGA" dataDxfId="317"/>
    <tableColumn id="10" xr3:uid="{222BA413-2A40-40C7-805C-8F8E5711DC25}" name="FG_PCT" dataDxfId="316"/>
    <tableColumn id="11" xr3:uid="{EBAE5CA6-037E-49C9-9CDA-3464FC584F80}" name="FG3M" dataDxfId="315"/>
    <tableColumn id="12" xr3:uid="{7FB93F2D-D717-4CE0-B86B-585974813945}" name="FG3A" dataDxfId="314"/>
    <tableColumn id="13" xr3:uid="{643C11B1-B915-407E-BE98-321DC2C8AF3C}" name="FG3_PCT" dataDxfId="313"/>
    <tableColumn id="14" xr3:uid="{75AFAE90-7C9D-4AD2-B70E-1B24DE99D912}" name="FTM" dataDxfId="312"/>
    <tableColumn id="15" xr3:uid="{2CED4680-DB2A-444D-9CEE-CDF90B8C0E49}" name="FTA" dataDxfId="311"/>
    <tableColumn id="16" xr3:uid="{3F994B7F-7426-441F-B39E-2BA20877C90E}" name="FT_PCT" dataDxfId="310"/>
    <tableColumn id="17" xr3:uid="{82031B67-1300-45A6-A728-FB32045D0B6B}" name="OREB" dataDxfId="309"/>
    <tableColumn id="18" xr3:uid="{7B54B7EB-3A1A-4E6E-878D-004A3B2B466A}" name="DREB" dataDxfId="308"/>
    <tableColumn id="19" xr3:uid="{AD1B831A-A224-448D-ADA4-1FEF8826962B}" name="REB" dataDxfId="307"/>
    <tableColumn id="20" xr3:uid="{24F81928-FB04-406C-BEE3-175C5853CB27}" name="AST" dataDxfId="306"/>
    <tableColumn id="21" xr3:uid="{163380E2-F94B-4639-8213-FEE1D73BC06F}" name="TOV" dataDxfId="305"/>
    <tableColumn id="22" xr3:uid="{A521F428-209C-4046-90CF-AA9CE7B6F48E}" name="STL" dataDxfId="304"/>
    <tableColumn id="23" xr3:uid="{13EA1A36-4E6E-43F5-8F4B-FD727E097E2A}" name="BLK" dataDxfId="303"/>
    <tableColumn id="24" xr3:uid="{D98D7562-A36B-4A85-93AB-4B458F188C64}" name="BLKA" dataDxfId="302"/>
    <tableColumn id="25" xr3:uid="{1526BD7F-B05E-4B7E-A1C2-FB6614D629DD}" name="PF" dataDxfId="301"/>
    <tableColumn id="26" xr3:uid="{67CDD929-7413-49A1-A0BF-9A3E9C7F400D}" name="PFD" dataDxfId="300"/>
    <tableColumn id="27" xr3:uid="{B5B0E12A-F402-4182-9E0D-47DA41CF748B}" name="PTS" dataDxfId="299"/>
    <tableColumn id="28" xr3:uid="{8B57863C-4CEE-437F-8C0D-16218A2EB3EE}" name="PLUS_MINUS" dataDxfId="298"/>
    <tableColumn id="29" xr3:uid="{67ED1729-5647-4851-9AA4-A7C3697213B2}" name="GP_RANK" dataDxfId="297"/>
    <tableColumn id="30" xr3:uid="{D2BD02A8-5E7E-4528-852F-3783FF0AB526}" name="W_RANK" dataDxfId="296"/>
    <tableColumn id="31" xr3:uid="{56357E17-C5F9-48A8-A0AD-2DB464DBF88A}" name="L_RANK" dataDxfId="295"/>
    <tableColumn id="32" xr3:uid="{23DBC2C7-AE5E-4D08-A9D3-4CC264BA6717}" name="W_PCT_RANK" dataDxfId="294"/>
    <tableColumn id="33" xr3:uid="{0D35784F-1E14-4C14-8CBF-771D68E87255}" name="MIN_RANK" dataDxfId="293"/>
    <tableColumn id="34" xr3:uid="{5E1E78A9-E9E3-4F77-84CC-E7F72DBB1494}" name="FGM_RANK" dataDxfId="292"/>
    <tableColumn id="35" xr3:uid="{E13320B3-EBDC-47B5-8131-C5A53E37923F}" name="FGA_RANK" dataDxfId="291"/>
    <tableColumn id="36" xr3:uid="{CA64398F-579D-4221-8072-AADB37F6A09F}" name="FG_PCT_RANK" dataDxfId="290"/>
    <tableColumn id="37" xr3:uid="{C0487EE8-9446-475C-80E5-33CC45924506}" name="FG3M_RANK" dataDxfId="289"/>
    <tableColumn id="38" xr3:uid="{AEC060D5-496B-4071-979E-0F7E88FAE0C6}" name="FG3A_RANK" dataDxfId="288"/>
    <tableColumn id="39" xr3:uid="{C71D73A2-E9AC-47B8-82FD-1DD90F77BF42}" name="FG3_PCT_RANK" dataDxfId="287"/>
    <tableColumn id="40" xr3:uid="{55F41C89-F9F2-41A7-9CAD-48406AD3BF3A}" name="FTM_RANK" dataDxfId="286"/>
    <tableColumn id="41" xr3:uid="{1071C9A5-6B62-4B0D-8FA3-50EB31A0A8E9}" name="FTA_RANK" dataDxfId="285"/>
    <tableColumn id="42" xr3:uid="{9702C147-A070-4396-B11E-5D44BA86715C}" name="FT_PCT_RANK" dataDxfId="284"/>
    <tableColumn id="43" xr3:uid="{4FA60431-BE4F-4299-992E-7DD224D82045}" name="OREB_RANK" dataDxfId="283"/>
    <tableColumn id="44" xr3:uid="{1C294BF2-45BF-4971-9F78-F68B369CCB17}" name="DREB_RANK" dataDxfId="282"/>
    <tableColumn id="45" xr3:uid="{DA0338B3-A327-4722-A7DB-3F40F03F1B83}" name="REB_RANK" dataDxfId="281"/>
    <tableColumn id="46" xr3:uid="{9C2A7378-804C-453C-8C6B-F60F9410D14C}" name="AST_RANK" dataDxfId="280"/>
    <tableColumn id="47" xr3:uid="{F3563FAE-51E2-4822-9453-5D9EE523F462}" name="TOV_RANK" dataDxfId="279"/>
    <tableColumn id="48" xr3:uid="{D941AEBD-C275-4826-847F-DBE19923E568}" name="STL_RANK" dataDxfId="278"/>
    <tableColumn id="49" xr3:uid="{A788E226-9274-49C7-8340-D8F72C38D9DD}" name="BLK_RANK" dataDxfId="277"/>
    <tableColumn id="50" xr3:uid="{43A19732-0768-4B09-8B24-D5B3BC814A3F}" name="BLKA_RANK" dataDxfId="276"/>
    <tableColumn id="51" xr3:uid="{81D2C8D0-370F-4AB5-9279-8FEAA7919577}" name="PF_RANK" dataDxfId="275"/>
    <tableColumn id="52" xr3:uid="{6811B2DE-8561-4BF8-998F-1E5A4A884260}" name="PFD_RANK" dataDxfId="274"/>
    <tableColumn id="53" xr3:uid="{184A7A79-999A-4304-9F95-B2FF4377C921}" name="PTS_RANK" dataDxfId="273"/>
    <tableColumn id="54" xr3:uid="{2F8CAD17-2E4A-4139-8EF1-BEC8D2B2B68C}" name="PLUS_MINUS_RANK" dataDxfId="272"/>
    <tableColumn id="55" xr3:uid="{6B4A79B8-9BC6-423B-8FD1-1DEA5412782E}" name="CFID" dataDxfId="271"/>
    <tableColumn id="56" xr3:uid="{8AD45C78-A51A-4FCE-8B88-2ABE0E2ED5E5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478140E-1FEF-4F69-A621-02103850DE9D}" name="TableClutchOpponentN" displayName="TableClutchOpponentN" ref="A1:BD31" totalsRowShown="0" headerRowDxfId="155">
  <autoFilter ref="A1:BD31" xr:uid="{58888BBE-8BCB-4CB6-AB61-61E5D30071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9C11EC5-8288-4ACE-8E5A-04959355B015}" name="TEAM_ID" dataDxfId="211"/>
    <tableColumn id="2" xr3:uid="{9CFBFC27-3EFB-45F3-A690-056A12F0457B}" name="TEAM_NAME" dataDxfId="210"/>
    <tableColumn id="3" xr3:uid="{92E05114-5FF5-4ECC-87CA-D72CA7B23EC8}" name="GP" dataDxfId="209"/>
    <tableColumn id="4" xr3:uid="{B89584C0-AE5B-43AD-A3B1-FBFB2B78C6E7}" name="W" dataDxfId="208"/>
    <tableColumn id="5" xr3:uid="{CA7F70F6-4BFF-41F7-8327-AB4817420C3F}" name="L" dataDxfId="207"/>
    <tableColumn id="6" xr3:uid="{E96BD1EF-3EAE-4459-844B-2BC17453345C}" name="W_PCT" dataDxfId="206"/>
    <tableColumn id="7" xr3:uid="{3C62E11A-3350-402D-B528-B36A65DA5D1E}" name="MIN" dataDxfId="205"/>
    <tableColumn id="8" xr3:uid="{19A3FCF9-3FCB-4ED4-B13D-E36BCA592F86}" name="OPP_FGM" dataDxfId="204"/>
    <tableColumn id="9" xr3:uid="{C16E9713-D2DC-47ED-9E9E-55B3EF5E48BC}" name="OPP_FGA" dataDxfId="203"/>
    <tableColumn id="10" xr3:uid="{D743604D-AA1A-4E37-A405-71AB7032DF1A}" name="OPP_FG_PCT" dataDxfId="202"/>
    <tableColumn id="11" xr3:uid="{46C9C677-FFC7-4DB2-AB62-02F3EC50140B}" name="OPP_FG3M" dataDxfId="201"/>
    <tableColumn id="12" xr3:uid="{617343DC-16EA-4F31-9B98-A6CCC1096B55}" name="OPP_FG3A" dataDxfId="200"/>
    <tableColumn id="13" xr3:uid="{3AA79AE4-ECB3-470E-941B-A67C6F5C1259}" name="OPP_FG3_PCT" dataDxfId="199"/>
    <tableColumn id="14" xr3:uid="{19F280BF-3F81-43DF-AF6A-53B193EE68D1}" name="OPP_FTM" dataDxfId="198"/>
    <tableColumn id="15" xr3:uid="{BF7E8DC6-5938-40C3-B5A0-F7928AFDC278}" name="OPP_FTA" dataDxfId="197"/>
    <tableColumn id="16" xr3:uid="{F32F5122-0733-4687-9507-45DE8C24428C}" name="OPP_FT_PCT" dataDxfId="196"/>
    <tableColumn id="17" xr3:uid="{E8B59AF6-06D6-4535-940B-8D234F8FC3D5}" name="OPP_OREB" dataDxfId="195"/>
    <tableColumn id="18" xr3:uid="{68279BC1-64DF-4063-BEDA-EF78346C287B}" name="OPP_DREB" dataDxfId="194"/>
    <tableColumn id="19" xr3:uid="{F13C0352-F266-4622-B3E4-0988BA89C9FA}" name="OPP_REB" dataDxfId="193"/>
    <tableColumn id="20" xr3:uid="{8D19D8E4-15CB-46BA-BEF6-74F55FA1604B}" name="OPP_AST" dataDxfId="192"/>
    <tableColumn id="21" xr3:uid="{4E1561E1-DDE6-4140-8D6D-AA3063159CA6}" name="OPP_TOV" dataDxfId="191"/>
    <tableColumn id="22" xr3:uid="{047013C8-1A4A-4BBB-AB20-C31AFED071A5}" name="OPP_STL" dataDxfId="190"/>
    <tableColumn id="23" xr3:uid="{505126C2-54E4-4B4D-9908-18E4A8DE0B16}" name="OPP_BLK" dataDxfId="189"/>
    <tableColumn id="24" xr3:uid="{ED5C8E82-DBCA-4E97-8803-A0663D2CDB1F}" name="OPP_BLKA" dataDxfId="188"/>
    <tableColumn id="25" xr3:uid="{74A01C6D-1DB3-4A48-A4A5-7CFAACB094CF}" name="OPP_PF" dataDxfId="187"/>
    <tableColumn id="26" xr3:uid="{6DA34DBA-F0D5-44A3-A5AB-2D60D7637E31}" name="OPP_PFD" dataDxfId="186"/>
    <tableColumn id="27" xr3:uid="{2839F1C5-94F9-46C4-AF9D-D5ED1B3A360E}" name="OPP_PTS" dataDxfId="185"/>
    <tableColumn id="28" xr3:uid="{EE21FCAF-7591-4A49-9797-B351698D00D8}" name="PLUS_MINUS" dataDxfId="184"/>
    <tableColumn id="29" xr3:uid="{C8685F15-D2BA-4856-ABCC-54851398D260}" name="GP_RANK" dataDxfId="183"/>
    <tableColumn id="30" xr3:uid="{686FD6C4-B959-42F9-8A32-484C3C640C0C}" name="W_RANK" dataDxfId="182"/>
    <tableColumn id="31" xr3:uid="{64BB7E07-9094-44B9-A0F6-99D2C23CBF34}" name="L_RANK" dataDxfId="181"/>
    <tableColumn id="32" xr3:uid="{9A0E42C8-0E28-4A88-82CB-AFCF4B48C070}" name="W_PCT_RANK" dataDxfId="180"/>
    <tableColumn id="33" xr3:uid="{027478C5-3B27-4654-8428-159E7F3D40DC}" name="MIN_RANK" dataDxfId="179"/>
    <tableColumn id="34" xr3:uid="{46267207-8615-4441-84E0-48831BE78924}" name="OPP_FGM_RANK" dataDxfId="178"/>
    <tableColumn id="35" xr3:uid="{EE8F2ABF-8A36-41C7-B798-1EA035DC0B56}" name="OPP_FGA_RANK" dataDxfId="177"/>
    <tableColumn id="36" xr3:uid="{135E68B8-4D58-455C-938E-7E939FF587A1}" name="OPP_FG_PCT_RANK" dataDxfId="176"/>
    <tableColumn id="37" xr3:uid="{5EE4BF88-D637-41D8-92D1-2B2BB37D6182}" name="OPP_FG3M_RANK" dataDxfId="175"/>
    <tableColumn id="38" xr3:uid="{908C1F57-3BDD-4276-94C6-CA1E1F7FF355}" name="OPP_FG3A_RANK" dataDxfId="174"/>
    <tableColumn id="39" xr3:uid="{1DE96DE7-BA5B-4D58-8991-F3E8F52A1004}" name="OPP_FG3_PCT_RANK" dataDxfId="173"/>
    <tableColumn id="40" xr3:uid="{A41CEAB7-AE51-4D5C-AE7D-CA649058F305}" name="OPP_FTM_RANK" dataDxfId="172"/>
    <tableColumn id="41" xr3:uid="{1B619190-A1DA-435E-BAE9-8408CDC02BF5}" name="OPP_FTA_RANK" dataDxfId="171"/>
    <tableColumn id="42" xr3:uid="{2B89ACA8-E168-4072-AD17-6D565754AFD2}" name="OPP_FT_PCT_RANK" dataDxfId="170"/>
    <tableColumn id="43" xr3:uid="{F2CD4434-EB44-411F-8450-DA2540055F96}" name="OPP_OREB_RANK" dataDxfId="169"/>
    <tableColumn id="44" xr3:uid="{3C357B04-EDC6-4034-A1B6-4722A6CC859F}" name="OPP_DREB_RANK" dataDxfId="168"/>
    <tableColumn id="45" xr3:uid="{DE9A8B29-B9CA-44D5-AF50-1E0666F7C96A}" name="OPP_REB_RANK" dataDxfId="167"/>
    <tableColumn id="46" xr3:uid="{D544EB2B-E204-4117-B047-A4C48ACC0186}" name="OPP_AST_RANK" dataDxfId="166"/>
    <tableColumn id="47" xr3:uid="{56CD58A4-CD4A-47AA-AEE9-AA5155AE848B}" name="OPP_TOV_RANK" dataDxfId="165"/>
    <tableColumn id="48" xr3:uid="{07AA06FD-2B4E-4BBB-BB17-CEE160E1DAC3}" name="OPP_STL_RANK" dataDxfId="164"/>
    <tableColumn id="49" xr3:uid="{6E5558AC-4EBD-4484-A064-FD7CD795ED4F}" name="OPP_BLK_RANK" dataDxfId="163"/>
    <tableColumn id="50" xr3:uid="{9F23DEB2-E188-4C62-AD6F-5D0B748BD0FD}" name="OPP_BLKA_RANK" dataDxfId="162"/>
    <tableColumn id="51" xr3:uid="{F2A7A2AC-3E52-4946-8DA4-77C504C4C14A}" name="OPP_PF_RANK" dataDxfId="161"/>
    <tableColumn id="52" xr3:uid="{67318AB0-99EF-4320-9FD2-3E180CE325AF}" name="OPP_PFD_RANK" dataDxfId="160"/>
    <tableColumn id="53" xr3:uid="{60A4CC6E-ABAB-49AF-8BB9-86EAEE74F903}" name="OPP_PTS_RANK" dataDxfId="159"/>
    <tableColumn id="54" xr3:uid="{B36395CC-0E92-4491-BE0D-271764FECB6E}" name="PLUS_MINUS_RANK" dataDxfId="158"/>
    <tableColumn id="55" xr3:uid="{48D9344D-6B99-4781-99B1-E2695640AD8D}" name="CFID" dataDxfId="157"/>
    <tableColumn id="56" xr3:uid="{C5B125BC-36A5-44AE-A33B-D15FB9492C94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DE75220-D4E0-4EA9-A8A2-85424161CCB9}" name="TableClutchAdvancedN" displayName="TableClutchAdvancedN" ref="A1:AV31" totalsRowShown="0" headerRowDxfId="49">
  <autoFilter ref="A1:AV31" xr:uid="{8E256652-6EBA-4453-9EA9-129CCE548C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6209C33-C4F4-49EC-A8DC-E7527AC0539E}" name="TEAM_ID" dataDxfId="97"/>
    <tableColumn id="2" xr3:uid="{2834A1B8-76EE-4191-ABEF-465F2FA3834A}" name="TEAM_NAME" dataDxfId="96"/>
    <tableColumn id="3" xr3:uid="{B87894CF-33D6-4FF8-9320-43799FC58F4C}" name="GP" dataDxfId="95"/>
    <tableColumn id="4" xr3:uid="{D4B13B36-9F95-44D0-85F2-B717E180CFCC}" name="W" dataDxfId="94"/>
    <tableColumn id="5" xr3:uid="{A88A0384-15D0-4561-8C7D-EEED192F005D}" name="L" dataDxfId="93"/>
    <tableColumn id="6" xr3:uid="{E0772117-C0D7-493E-9275-D5AA75E32CC7}" name="W_PCT" dataDxfId="92"/>
    <tableColumn id="7" xr3:uid="{541B9130-84E8-4209-A683-643C717E6CB0}" name="MIN" dataDxfId="91"/>
    <tableColumn id="8" xr3:uid="{8861DC65-6AA6-42F6-A330-F78BEEE62886}" name="E_OFF_RATING" dataDxfId="90"/>
    <tableColumn id="9" xr3:uid="{E4D94552-3011-4F9A-A0CE-F1F3B0E6BC61}" name="OFF_RATING" dataDxfId="89"/>
    <tableColumn id="10" xr3:uid="{318F8C01-375E-4820-AE25-BEE4D4783466}" name="E_DEF_RATING" dataDxfId="88"/>
    <tableColumn id="11" xr3:uid="{158E5C16-9CB9-4759-B6D9-B691D86E1D52}" name="DEF_RATING" dataDxfId="87"/>
    <tableColumn id="12" xr3:uid="{8713D7D0-28BF-4361-A5CB-B3A7F656BA0F}" name="E_NET_RATING" dataDxfId="86"/>
    <tableColumn id="13" xr3:uid="{8B5285ED-AB7C-4768-B318-B2ED47A092F5}" name="NET_RATING" dataDxfId="85"/>
    <tableColumn id="14" xr3:uid="{0CA06B9B-6038-4757-A66B-6AE76259C8EB}" name="AST_PCT" dataDxfId="84"/>
    <tableColumn id="15" xr3:uid="{ED2F579E-BAC6-44FD-9CE7-1E8BBDDC4124}" name="AST_TO" dataDxfId="83"/>
    <tableColumn id="16" xr3:uid="{BAF5D2EF-1013-4ADB-B298-1BD63927A299}" name="AST_RATIO" dataDxfId="82"/>
    <tableColumn id="17" xr3:uid="{BC72EA59-650C-4C74-967F-88D4D6278DDD}" name="OREB_PCT" dataDxfId="81"/>
    <tableColumn id="18" xr3:uid="{056E6352-62CD-41D9-9B40-DE2CA0EC9DFA}" name="DREB_PCT" dataDxfId="80"/>
    <tableColumn id="19" xr3:uid="{76F85CAB-678E-46AB-A4F0-3FAFC8EB813B}" name="REB_PCT" dataDxfId="79"/>
    <tableColumn id="20" xr3:uid="{83B1FF5C-8F48-452B-BB56-D4EE3EF51789}" name="TM_TOV_PCT" dataDxfId="78"/>
    <tableColumn id="21" xr3:uid="{D450CE47-554E-4CC5-92F6-A5BEB00E69B8}" name="EFG_PCT" dataDxfId="77"/>
    <tableColumn id="22" xr3:uid="{06D1B2D3-DC5F-4E6E-B1E6-EB7AB766E539}" name="TS_PCT" dataDxfId="76"/>
    <tableColumn id="23" xr3:uid="{45F70874-E26A-4FBF-B074-CF547F621DA5}" name="E_PACE" dataDxfId="75"/>
    <tableColumn id="24" xr3:uid="{10984F70-0ED5-40CE-B689-91DD21C5FAF7}" name="PACE" dataDxfId="74"/>
    <tableColumn id="25" xr3:uid="{65C475CE-5BDD-403C-A417-FE03A4F74F47}" name="PACE_PER40" dataDxfId="73"/>
    <tableColumn id="26" xr3:uid="{3C53C9A8-3057-44BF-B592-DDEC2F8D736B}" name="POSS" dataDxfId="72"/>
    <tableColumn id="27" xr3:uid="{0DAE91F0-9492-41BA-93A3-AAFAEABFC70A}" name="PIE" dataDxfId="71"/>
    <tableColumn id="28" xr3:uid="{7C867731-16BF-4138-A71D-8CFB0B5BF668}" name="GP_RANK" dataDxfId="70"/>
    <tableColumn id="29" xr3:uid="{9D620F57-4418-4F4A-9052-FD404173D69A}" name="W_RANK" dataDxfId="69"/>
    <tableColumn id="30" xr3:uid="{98D5FA70-1521-461F-8715-02A8D71FD639}" name="L_RANK" dataDxfId="68"/>
    <tableColumn id="31" xr3:uid="{58598797-0E0D-4090-8B84-F180147109E2}" name="W_PCT_RANK" dataDxfId="67"/>
    <tableColumn id="32" xr3:uid="{A75F7772-7D69-4941-8765-4959229FB851}" name="MIN_RANK" dataDxfId="66"/>
    <tableColumn id="33" xr3:uid="{355B59D9-45CF-464F-B807-26D8C1EF2C38}" name="OFF_RATING_RANK" dataDxfId="65"/>
    <tableColumn id="34" xr3:uid="{AA0A3BA7-6B01-4F04-929B-C949635A3057}" name="DEF_RATING_RANK" dataDxfId="64"/>
    <tableColumn id="35" xr3:uid="{79D7B008-F719-4C76-BFC8-34E2145B5934}" name="NET_RATING_RANK" dataDxfId="63"/>
    <tableColumn id="36" xr3:uid="{0B5F5B45-A799-4C70-BC80-23224155140A}" name="AST_PCT_RANK" dataDxfId="62"/>
    <tableColumn id="37" xr3:uid="{DBF1AF2C-A025-4EB7-B95B-8BE77B067227}" name="AST_TO_RANK" dataDxfId="61"/>
    <tableColumn id="38" xr3:uid="{D6A74C75-D72F-41E2-B765-572CED3F2B4E}" name="AST_RATIO_RANK" dataDxfId="60"/>
    <tableColumn id="39" xr3:uid="{57AE2623-ADF9-4FCF-AF8A-650037441014}" name="OREB_PCT_RANK" dataDxfId="59"/>
    <tableColumn id="40" xr3:uid="{D0C11785-6B1C-4767-BAC3-D31EB063F762}" name="DREB_PCT_RANK" dataDxfId="58"/>
    <tableColumn id="41" xr3:uid="{19220CFA-95B0-49E3-9DA8-9ABEBED31E4C}" name="REB_PCT_RANK" dataDxfId="57"/>
    <tableColumn id="42" xr3:uid="{C5CAC213-370A-4CE8-A8C5-91FE60B596BE}" name="TM_TOV_PCT_RANK" dataDxfId="56"/>
    <tableColumn id="43" xr3:uid="{012C0B72-F1E4-4A69-9972-4DB3149B39CA}" name="EFG_PCT_RANK" dataDxfId="55"/>
    <tableColumn id="44" xr3:uid="{8E31CCA7-A04E-40E2-B288-074AD4B52230}" name="TS_PCT_RANK" dataDxfId="54"/>
    <tableColumn id="45" xr3:uid="{E82E9238-4B88-4551-8665-9DDB0B813B8A}" name="PACE_RANK" dataDxfId="53"/>
    <tableColumn id="46" xr3:uid="{DE1247F5-D2BD-44A8-ABF6-D123D8717497}" name="PIE_RANK" dataDxfId="52"/>
    <tableColumn id="47" xr3:uid="{E26D4EAA-C738-434B-90BE-901EB1DC0538}" name="CFID" dataDxfId="51"/>
    <tableColumn id="48" xr3:uid="{175D19ED-C56F-4398-B2D7-7C8FC6ACDFC7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4ABA97-BFC5-458B-AEB1-8D7BFF485D9B}" name="TableStandingsN1" displayName="TableStandingsN1" ref="A1:CC31" totalsRowShown="0" headerRowDxfId="910">
  <autoFilter ref="A1:CC31" xr:uid="{221D6BE3-5C74-4F5C-A6BB-69E4A09ED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AAF787D-CF5F-450D-95E3-09CCBECB4F14}" name="LeagueID" dataDxfId="991"/>
    <tableColumn id="2" xr3:uid="{C6E99E51-BCA0-424E-8726-0907108E1EEE}" name="SeasonID" dataDxfId="990"/>
    <tableColumn id="3" xr3:uid="{C1DD161F-D437-432A-9C96-9598CC3F58F3}" name="TeamID" dataDxfId="989"/>
    <tableColumn id="4" xr3:uid="{5C383BC4-EE37-424C-B6F3-6DF2326B98B8}" name="TeamCity" dataDxfId="988"/>
    <tableColumn id="5" xr3:uid="{AA242D03-F0AA-4B19-BBE2-F29B944C3FBE}" name="TeamName" dataDxfId="987"/>
    <tableColumn id="6" xr3:uid="{18039499-AC85-4AF7-B6CA-5C0FE9305413}" name="Conference" dataDxfId="986"/>
    <tableColumn id="7" xr3:uid="{33D905C3-C12B-4D2C-BF2E-57A6AA1819A4}" name="ConferenceRecord" dataDxfId="985"/>
    <tableColumn id="8" xr3:uid="{E2C282AC-32F6-4830-8E26-AAB748E7E95E}" name="PlayoffRank" dataDxfId="984"/>
    <tableColumn id="9" xr3:uid="{24DDD30C-2ABB-4BC5-B6CB-BF85CE17FE65}" name="ClinchIndicator" dataDxfId="983"/>
    <tableColumn id="10" xr3:uid="{5E63048A-4D3F-44F2-997B-AB7659BA7259}" name="Division" dataDxfId="982"/>
    <tableColumn id="11" xr3:uid="{551B5C63-6369-4D76-98DC-901AF6774A4F}" name="DivisionRecord" dataDxfId="981"/>
    <tableColumn id="12" xr3:uid="{56D4502C-2DBC-4B59-8A82-A2C2F2135179}" name="DivisionRank" dataDxfId="980"/>
    <tableColumn id="13" xr3:uid="{E50F85C8-D192-43B2-983D-A43FC31F34CB}" name="WINS" dataDxfId="979"/>
    <tableColumn id="14" xr3:uid="{CB60F00C-E5B4-408F-90BD-3FFEE31E2270}" name="LOSSES" dataDxfId="978"/>
    <tableColumn id="15" xr3:uid="{1E3F839C-2036-43D9-9A2B-02454B0CC063}" name="WinPCT" dataDxfId="977"/>
    <tableColumn id="16" xr3:uid="{040B1B4A-DCE7-443F-B1F6-4409DEACE036}" name="LeagueRank" dataDxfId="976"/>
    <tableColumn id="17" xr3:uid="{66609B46-A8EC-468E-8E55-7C94059E42FA}" name="Record" dataDxfId="975"/>
    <tableColumn id="18" xr3:uid="{E1ABDB3B-A1C6-43C8-8651-8DEBB911E3CD}" name="HOME" dataDxfId="974"/>
    <tableColumn id="19" xr3:uid="{033E4EA2-EA65-4C48-8ED4-35FCC4C3C5BF}" name="ROAD" dataDxfId="973"/>
    <tableColumn id="20" xr3:uid="{18620BD1-F52E-43F4-B128-87C80334261B}" name="L10" dataDxfId="972"/>
    <tableColumn id="21" xr3:uid="{BFD811F7-533F-4372-9FCF-CB435926DFA4}" name="Last10Home" dataDxfId="971"/>
    <tableColumn id="22" xr3:uid="{89D3A3BC-1898-4667-B877-B10CD0FA6238}" name="Last10Road" dataDxfId="970"/>
    <tableColumn id="23" xr3:uid="{BD0A0952-E3A5-4D56-88D2-35DC1D37904D}" name="OT" dataDxfId="969"/>
    <tableColumn id="24" xr3:uid="{8F799AB8-ED19-4B65-A846-900C48320151}" name="ThreePTSOrLess" dataDxfId="968"/>
    <tableColumn id="25" xr3:uid="{981CCD02-E06C-48BC-91E3-292DDBD4BD42}" name="TenPTSOrMore" dataDxfId="967"/>
    <tableColumn id="26" xr3:uid="{EA8180BE-5ECA-4FFF-B7F9-8156D5862938}" name="LongHomeStreak" dataDxfId="966"/>
    <tableColumn id="27" xr3:uid="{5D3965AC-E8DC-449F-AB6D-97084FDE2F52}" name="strLongHomeStreak" dataDxfId="965"/>
    <tableColumn id="28" xr3:uid="{64E0E119-3F9C-4823-87F8-FF2EDA8D787D}" name="LongRoadStreak" dataDxfId="964"/>
    <tableColumn id="29" xr3:uid="{F8A1FC07-D6ED-4A40-9518-6279AF60618F}" name="strLongRoadStreak" dataDxfId="963"/>
    <tableColumn id="30" xr3:uid="{4C7D3323-2AC5-438A-8A27-2F2EF826ABE7}" name="LongWinStreak" dataDxfId="962"/>
    <tableColumn id="31" xr3:uid="{C18D6CAE-55BB-47DF-B64D-7F36663DE79B}" name="LongLossStreak" dataDxfId="961"/>
    <tableColumn id="32" xr3:uid="{4321FDF5-4652-4A6A-A89A-4D61636BCB42}" name="CurrentHomeStreak" dataDxfId="960"/>
    <tableColumn id="33" xr3:uid="{20616744-A644-4FED-8784-57A993E145C8}" name="strCurrentHomeStreak" dataDxfId="959"/>
    <tableColumn id="34" xr3:uid="{EE0979BE-C278-47E0-AD3D-F6B0B47A520F}" name="CurrentRoadStreak" dataDxfId="958"/>
    <tableColumn id="35" xr3:uid="{C6A3D4C4-640C-421E-BE5D-640741EA8DCF}" name="strCurrentRoadStreak" dataDxfId="957"/>
    <tableColumn id="36" xr3:uid="{4AF9B151-35A6-46C9-9362-5E940C7D9BFD}" name="CurrentStreak" dataDxfId="956"/>
    <tableColumn id="37" xr3:uid="{7F2614D1-9344-408B-BD76-266B288CE584}" name="strCurrentStreak" dataDxfId="955"/>
    <tableColumn id="38" xr3:uid="{D2FD8677-4EAE-4FF6-8913-8D8FF4E8CF6D}" name="ConferenceGamesBack" dataDxfId="954"/>
    <tableColumn id="39" xr3:uid="{6804EACC-B3ED-4335-AD8F-F8FA2C600C00}" name="DivisionGamesBack" dataDxfId="953"/>
    <tableColumn id="40" xr3:uid="{E308CFE7-A82A-4A86-80CF-DD01B507A559}" name="ClinchedConferenceTitle" dataDxfId="952"/>
    <tableColumn id="41" xr3:uid="{EE853301-C21B-4FD0-AD6F-0B79AAEFF86E}" name="ClinchedDivisionTitle" dataDxfId="951"/>
    <tableColumn id="42" xr3:uid="{7D4847D8-E971-4EB8-A78E-FB2F284B7DC5}" name="ClinchedPlayoffBirth" dataDxfId="950"/>
    <tableColumn id="43" xr3:uid="{82C375F8-0730-4EBC-897D-0BD5A6C5D5B2}" name="EliminatedConference" dataDxfId="949"/>
    <tableColumn id="44" xr3:uid="{1DFAB1F1-E0C5-4ECD-8F08-C550454E3B5F}" name="EliminatedDivision" dataDxfId="948"/>
    <tableColumn id="45" xr3:uid="{2AD4F81B-C9F6-4E84-8D62-034E93F10FA7}" name="AheadAtHalf" dataDxfId="947"/>
    <tableColumn id="46" xr3:uid="{D929FA25-0294-4A04-A443-E95811386FC0}" name="BehindAtHalf" dataDxfId="946"/>
    <tableColumn id="47" xr3:uid="{94194D93-37EE-44C0-AA66-B062CA8C20D9}" name="TiedAtHalf" dataDxfId="945"/>
    <tableColumn id="48" xr3:uid="{D29DA428-57CA-477C-BC11-78F3474D1DCE}" name="AheadAtThird" dataDxfId="944"/>
    <tableColumn id="49" xr3:uid="{AAE8F4FD-F4A1-4A2A-BC88-BFEE782661E6}" name="BehindAtThird" dataDxfId="943"/>
    <tableColumn id="50" xr3:uid="{87CC99BF-9600-4DCF-B12B-B524A03E2688}" name="TiedAtThird" dataDxfId="942"/>
    <tableColumn id="51" xr3:uid="{038488BF-2697-42B9-A824-035D5B0ECFE3}" name="Score100PTS" dataDxfId="941"/>
    <tableColumn id="52" xr3:uid="{2F928594-34A7-46C0-9EB3-0372458AF577}" name="OppScore100PTS" dataDxfId="940"/>
    <tableColumn id="53" xr3:uid="{9D4D2FA0-2717-464B-91A0-BDA77B19FD57}" name="OppOver500" dataDxfId="939"/>
    <tableColumn id="54" xr3:uid="{C6C86CDB-8EC3-4451-B250-33B3142340A6}" name="LeadInFGPCT" dataDxfId="938"/>
    <tableColumn id="55" xr3:uid="{5AD3A369-75FE-4174-AA71-8F967B6982A1}" name="LeadInReb" dataDxfId="937"/>
    <tableColumn id="56" xr3:uid="{0FBBC24B-4E07-43D0-9FCD-1DDFE6803F0C}" name="FewerTurnovers" dataDxfId="936"/>
    <tableColumn id="57" xr3:uid="{F7AC082A-6EA3-4345-BF67-146DECC972DF}" name="PointsPG" dataDxfId="935"/>
    <tableColumn id="58" xr3:uid="{7FF7AE65-A6D2-42BC-8ABE-C6413AEDC6EA}" name="OppPointsPG" dataDxfId="934"/>
    <tableColumn id="59" xr3:uid="{3FBD9196-5115-423D-B84B-DA3D8D4EF11F}" name="DiffPointsPG" dataDxfId="933"/>
    <tableColumn id="60" xr3:uid="{DE1E261F-37C5-4AA8-82AB-4C726B3F7F06}" name="vsEast" dataDxfId="932"/>
    <tableColumn id="61" xr3:uid="{9AF51158-0386-4C8A-ABA7-635185C8C3E8}" name="vsAtlantic" dataDxfId="931"/>
    <tableColumn id="62" xr3:uid="{BF324AEE-94E6-42A8-ABF0-B0AD718A3206}" name="vsCentral" dataDxfId="930"/>
    <tableColumn id="63" xr3:uid="{84D5D07D-53C9-4E73-8433-5250B6BFDC51}" name="vsSoutheast" dataDxfId="929"/>
    <tableColumn id="64" xr3:uid="{BE469978-DD41-4808-ACD2-5E9D33631CBD}" name="vsWest" dataDxfId="928"/>
    <tableColumn id="65" xr3:uid="{1360299C-8D7E-49F0-A4C7-043CFA4781B9}" name="vsNorthwest" dataDxfId="927"/>
    <tableColumn id="66" xr3:uid="{FB3EB469-748C-45DB-BFD6-710EE1B6C378}" name="vsPacific" dataDxfId="926"/>
    <tableColumn id="67" xr3:uid="{61CED5D1-148C-45A2-AE37-5449A9D23743}" name="vsSouthwest" dataDxfId="925"/>
    <tableColumn id="68" xr3:uid="{7FF0BD1C-C364-4E8B-8043-8785EFDE0795}" name="Jan" dataDxfId="924"/>
    <tableColumn id="69" xr3:uid="{BE455BFD-E1EF-4E92-9126-7DF2ABAEE9BA}" name="Feb" dataDxfId="923"/>
    <tableColumn id="70" xr3:uid="{9AD95C25-8FB0-4CD9-9068-02C92E87B292}" name="Mar" dataDxfId="922"/>
    <tableColumn id="71" xr3:uid="{79B84D9E-51B2-4846-A921-FF3434119E1E}" name="Apr" dataDxfId="921"/>
    <tableColumn id="72" xr3:uid="{70A38975-686B-4700-91DA-531A496C8BE3}" name="May" dataDxfId="920"/>
    <tableColumn id="73" xr3:uid="{B8BEAA06-8CDE-49F4-8A97-9C92C5E204A6}" name="Jun" dataDxfId="919"/>
    <tableColumn id="74" xr3:uid="{EC9643B9-517F-4A98-BD1C-AFFD3B36867E}" name="Jul" dataDxfId="918"/>
    <tableColumn id="75" xr3:uid="{DD2AE87F-1447-4295-8326-1052860BC497}" name="Aug" dataDxfId="917"/>
    <tableColumn id="76" xr3:uid="{39325233-C8DA-438D-B480-DCAA5989E0BE}" name="Sep" dataDxfId="916"/>
    <tableColumn id="77" xr3:uid="{EB1D3FAF-6F08-40DA-B688-144FE6241A07}" name="Oct" dataDxfId="915"/>
    <tableColumn id="78" xr3:uid="{DDA599E5-69BA-4566-81D1-F82F7FF496A6}" name="Nov" dataDxfId="914"/>
    <tableColumn id="79" xr3:uid="{DAAEB6F1-123F-4016-9626-B2424206B5D9}" name="Dec" dataDxfId="913"/>
    <tableColumn id="80" xr3:uid="{CA3752A2-A7CA-49D7-83A4-55CA36023DDB}" name="PreAS" dataDxfId="912"/>
    <tableColumn id="81" xr3:uid="{7D7A6C5F-1D1F-4F9D-B364-ED78B796CDA2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72BF6D-2B5E-4892-B7A6-F6A96FD6F300}" name="TableBaseN1" displayName="TableBaseN1" ref="A1:BD31" totalsRowShown="0" headerRowDxfId="796">
  <autoFilter ref="A1:BD31" xr:uid="{084C6EA4-8B39-477F-BEAD-5A032E98814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2B61396-3250-4AD1-A2B9-25D4DE507BBE}" name="TEAM_ID" dataDxfId="852"/>
    <tableColumn id="2" xr3:uid="{61A7A29B-6D29-4F7D-BAF6-7B0ABB593B0C}" name="TEAM_NAME" dataDxfId="851"/>
    <tableColumn id="3" xr3:uid="{38B2340C-6CA3-4197-BDA7-B458342DEBD3}" name="GP" dataDxfId="850"/>
    <tableColumn id="4" xr3:uid="{F2FDF925-A57E-4A91-A9A6-8F306D51A266}" name="W" dataDxfId="849"/>
    <tableColumn id="5" xr3:uid="{23725C9C-D6F4-4924-88A0-CE78654B5335}" name="L" dataDxfId="848"/>
    <tableColumn id="6" xr3:uid="{9B585567-8C7D-4E26-B363-34CF41AAEFB4}" name="W_PCT" dataDxfId="847"/>
    <tableColumn id="7" xr3:uid="{EB5D60A4-7B18-4F0A-8C22-696DB158285D}" name="MIN" dataDxfId="846"/>
    <tableColumn id="8" xr3:uid="{BF42D828-40E5-4989-9DF7-A93CA29C6A99}" name="FGM" dataDxfId="845"/>
    <tableColumn id="9" xr3:uid="{7C27B6CE-0D07-408F-9682-E12A764C4CD1}" name="FGA" dataDxfId="844"/>
    <tableColumn id="10" xr3:uid="{36D3C88E-D1AB-422E-B0A8-632BA10F0A67}" name="FG_PCT" dataDxfId="843"/>
    <tableColumn id="11" xr3:uid="{99B1E7AE-1428-427C-A06A-16F197D515A5}" name="FG3M" dataDxfId="842"/>
    <tableColumn id="12" xr3:uid="{8A973E65-7A8F-4B42-A715-5E346886F109}" name="FG3A" dataDxfId="841"/>
    <tableColumn id="13" xr3:uid="{549165C6-4752-4C2B-AC57-78B9A76EBEE3}" name="FG3_PCT" dataDxfId="840"/>
    <tableColumn id="14" xr3:uid="{1D02FEF9-ED05-4C0D-8E26-2CD7020818A2}" name="FTM" dataDxfId="839"/>
    <tableColumn id="15" xr3:uid="{74825A88-8B5A-4837-B1D1-FD037EC3A0C9}" name="FTA" dataDxfId="838"/>
    <tableColumn id="16" xr3:uid="{03A8A284-8F53-4B35-924D-5D2E3C91D00D}" name="FT_PCT" dataDxfId="837"/>
    <tableColumn id="17" xr3:uid="{83B67E89-380E-480F-A622-64083EB0BB48}" name="OREB" dataDxfId="836"/>
    <tableColumn id="18" xr3:uid="{5D467B38-9D56-4DA4-ADF5-098E1EED0C07}" name="DREB" dataDxfId="835"/>
    <tableColumn id="19" xr3:uid="{4E531543-AD01-481B-A644-57E0F9B3EA19}" name="REB" dataDxfId="834"/>
    <tableColumn id="20" xr3:uid="{22DFB32F-0F73-460A-9EDC-4E3ADB397F29}" name="AST" dataDxfId="833"/>
    <tableColumn id="21" xr3:uid="{F61AB185-F421-4C66-A91D-72DAF50CCA3C}" name="TOV" dataDxfId="832"/>
    <tableColumn id="22" xr3:uid="{92157C41-B334-4B64-AFAC-F1FF6546524E}" name="STL" dataDxfId="831"/>
    <tableColumn id="23" xr3:uid="{A3F9FE7C-6E7D-436E-948D-6CDCF58B5933}" name="BLK" dataDxfId="830"/>
    <tableColumn id="24" xr3:uid="{DE6C4B69-A3FD-444B-A6C7-91AEEB9537BC}" name="BLKA" dataDxfId="829"/>
    <tableColumn id="25" xr3:uid="{35212AA4-A96E-433F-A6A5-CF570DDBE216}" name="PF" dataDxfId="828"/>
    <tableColumn id="26" xr3:uid="{6A434024-FFBA-44FE-A720-2BF3CAEE7049}" name="PFD" dataDxfId="827"/>
    <tableColumn id="27" xr3:uid="{9D797232-9D60-46D9-8AD8-6641BA1AB9C7}" name="PTS" dataDxfId="826"/>
    <tableColumn id="28" xr3:uid="{84E87B55-2CB2-4056-B989-8905095C4155}" name="PLUS_MINUS" dataDxfId="825"/>
    <tableColumn id="29" xr3:uid="{B465FC40-431A-499A-A338-000834376B2A}" name="GP_RANK" dataDxfId="824"/>
    <tableColumn id="30" xr3:uid="{CDAA7395-7125-497F-9031-373354DCC6C6}" name="W_RANK" dataDxfId="823"/>
    <tableColumn id="31" xr3:uid="{450E42EB-C65C-4F13-BCB8-C4C007FDB720}" name="L_RANK" dataDxfId="822"/>
    <tableColumn id="32" xr3:uid="{4454ABD6-4EF6-45D6-BC15-DE319FFEAE5B}" name="W_PCT_RANK" dataDxfId="821"/>
    <tableColumn id="33" xr3:uid="{D30252DE-9B2C-41D9-8CFB-F545E8CF7353}" name="MIN_RANK" dataDxfId="820"/>
    <tableColumn id="34" xr3:uid="{F6EF9662-4320-4EEC-BFED-BA9FA974B87D}" name="FGM_RANK" dataDxfId="819"/>
    <tableColumn id="35" xr3:uid="{579157C3-BD5B-4E09-A44D-A069A7E9F16A}" name="FGA_RANK" dataDxfId="818"/>
    <tableColumn id="36" xr3:uid="{12E397A8-E28A-48B0-84A4-0429CAAFDBD0}" name="FG_PCT_RANK" dataDxfId="817"/>
    <tableColumn id="37" xr3:uid="{B277885C-BF1D-46B5-97FA-DC603581BE5D}" name="FG3M_RANK" dataDxfId="816"/>
    <tableColumn id="38" xr3:uid="{239631F7-A39D-4A9D-89AB-69CA8E8AFD42}" name="FG3A_RANK" dataDxfId="815"/>
    <tableColumn id="39" xr3:uid="{D14BD62E-FB4D-4F1C-8183-4E869EFDC768}" name="FG3_PCT_RANK" dataDxfId="814"/>
    <tableColumn id="40" xr3:uid="{9C24CE7A-664B-4AA0-8ED9-549FD2AF7B6B}" name="FTM_RANK" dataDxfId="813"/>
    <tableColumn id="41" xr3:uid="{8CC9D0E1-F5D6-410D-AEB5-C5654E26D506}" name="FTA_RANK" dataDxfId="812"/>
    <tableColumn id="42" xr3:uid="{17926F65-D74A-4631-B8C2-2A64977BF226}" name="FT_PCT_RANK" dataDxfId="811"/>
    <tableColumn id="43" xr3:uid="{D136B7A1-71F0-405F-8674-899121CABF41}" name="OREB_RANK" dataDxfId="810"/>
    <tableColumn id="44" xr3:uid="{7279B02C-AD48-4DB5-8684-E157B1CD5408}" name="DREB_RANK" dataDxfId="809"/>
    <tableColumn id="45" xr3:uid="{B77A67EE-9C79-4A39-B9E8-BA56773FE9E8}" name="REB_RANK" dataDxfId="808"/>
    <tableColumn id="46" xr3:uid="{A24635E8-8577-40AA-B8A3-6FB98EC3C80C}" name="AST_RANK" dataDxfId="807"/>
    <tableColumn id="47" xr3:uid="{E8F68EDC-7E7C-40E1-B4AB-B4A1F132B9C2}" name="TOV_RANK" dataDxfId="806"/>
    <tableColumn id="48" xr3:uid="{4D511351-7924-4FE7-9817-D4F53D8A3D60}" name="STL_RANK" dataDxfId="805"/>
    <tableColumn id="49" xr3:uid="{A2ED9B99-E15A-4FA3-AAD0-A6036F08AC26}" name="BLK_RANK" dataDxfId="804"/>
    <tableColumn id="50" xr3:uid="{C4152619-60C0-47E2-B1BC-EF3F6258FE62}" name="BLKA_RANK" dataDxfId="803"/>
    <tableColumn id="51" xr3:uid="{676F9C52-D39F-46F9-9E22-EF1A40B59FA2}" name="PF_RANK" dataDxfId="802"/>
    <tableColumn id="52" xr3:uid="{304DB6CC-B9DD-47E9-808C-6E09DE592BE0}" name="PFD_RANK" dataDxfId="801"/>
    <tableColumn id="53" xr3:uid="{6F7B152F-42E4-482D-ABC0-1AC007BB3151}" name="PTS_RANK" dataDxfId="800"/>
    <tableColumn id="54" xr3:uid="{3BD4FD2B-C1DE-4FD2-B8D6-0B3E203A54F1}" name="PLUS_MINUS_RANK" dataDxfId="799"/>
    <tableColumn id="55" xr3:uid="{E7C1076B-D15B-4528-BD2A-D61FA024E312}" name="CFID" dataDxfId="798"/>
    <tableColumn id="56" xr3:uid="{249C83E1-7DF0-4422-A7C8-75BEA63B8AC2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42F939-689D-40D0-B46C-DA99647B4A0B}" name="TableAdvancedN1" displayName="TableAdvancedN1" ref="A1:AV31" totalsRowShown="0" headerRowDxfId="698">
  <autoFilter ref="A1:AV31" xr:uid="{EFA4C8A5-47C4-41B1-936E-671B0302A58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14E7EC7-5C91-46CD-9B8E-0BBCFB0BF136}" name="TEAM_ID" dataDxfId="746"/>
    <tableColumn id="2" xr3:uid="{669FE7D9-7553-484F-AEFE-7ED6A2A95DA3}" name="TEAM_NAME" dataDxfId="745"/>
    <tableColumn id="3" xr3:uid="{19E11EBC-51F5-45A5-A2FD-1C12B26A964F}" name="GP" dataDxfId="744"/>
    <tableColumn id="4" xr3:uid="{492F68E8-5528-4607-A588-A605E9423A8C}" name="W" dataDxfId="743"/>
    <tableColumn id="5" xr3:uid="{570B6943-3C36-4308-90A6-364DE1D5F6BC}" name="L" dataDxfId="742"/>
    <tableColumn id="6" xr3:uid="{E921DD12-72A4-4947-ABC9-F4AF6A8F19C4}" name="W_PCT" dataDxfId="741"/>
    <tableColumn id="7" xr3:uid="{CDB95E19-3FE8-483E-8A2C-69B11CF87F3A}" name="MIN" dataDxfId="740"/>
    <tableColumn id="8" xr3:uid="{FBE8B4AA-24EC-4CD4-A6D8-29DCE8F6906D}" name="E_OFF_RATING" dataDxfId="739"/>
    <tableColumn id="9" xr3:uid="{E37B0B48-6FDA-44AD-80C0-E82ACA56A7FF}" name="OFF_RATING" dataDxfId="738"/>
    <tableColumn id="10" xr3:uid="{E807B2E6-F668-4B3D-B14F-5066D15EDAAE}" name="E_DEF_RATING" dataDxfId="737"/>
    <tableColumn id="11" xr3:uid="{8EBF5C83-8CCF-4471-9B52-366BBB456691}" name="DEF_RATING" dataDxfId="736"/>
    <tableColumn id="12" xr3:uid="{887B20F0-BEE1-4097-B8CC-D25D4CF958FD}" name="E_NET_RATING" dataDxfId="735"/>
    <tableColumn id="13" xr3:uid="{F0F37E25-D24C-4ADF-B3EE-A694D28D6BC2}" name="NET_RATING" dataDxfId="734"/>
    <tableColumn id="14" xr3:uid="{D2EBD48B-8682-4C82-A025-9CBAEAFEDDB3}" name="AST_PCT" dataDxfId="733"/>
    <tableColumn id="15" xr3:uid="{E8A63B35-1774-46C4-9965-298F2B462FC0}" name="AST_TO" dataDxfId="732"/>
    <tableColumn id="16" xr3:uid="{8E2BC75D-1FF8-449D-8B12-2A7CD1ED31C5}" name="AST_RATIO" dataDxfId="731"/>
    <tableColumn id="17" xr3:uid="{3D30995E-E49C-4D77-B85F-B5C856F2D8A3}" name="OREB_PCT" dataDxfId="730"/>
    <tableColumn id="18" xr3:uid="{C96E3868-6248-4780-ACE0-D2945A49FBFF}" name="DREB_PCT" dataDxfId="729"/>
    <tableColumn id="19" xr3:uid="{F31EC6E7-92CD-4DA6-9B05-E1E10002D2A5}" name="REB_PCT" dataDxfId="728"/>
    <tableColumn id="20" xr3:uid="{3FCA76FC-5A49-4585-BEBC-22456C30CE75}" name="TM_TOV_PCT" dataDxfId="727"/>
    <tableColumn id="21" xr3:uid="{015AA98A-AE70-4C33-9BC4-1D5A7859A165}" name="EFG_PCT" dataDxfId="726"/>
    <tableColumn id="22" xr3:uid="{C2AE2655-B95D-4B4E-B48D-BEFC0FA54283}" name="TS_PCT" dataDxfId="725"/>
    <tableColumn id="23" xr3:uid="{33870415-F85C-4E53-866A-A8DA1DD12C14}" name="E_PACE" dataDxfId="724"/>
    <tableColumn id="24" xr3:uid="{D7BEFBB9-DAE5-4E8F-B3DF-A6DC8DF0E919}" name="PACE" dataDxfId="723"/>
    <tableColumn id="25" xr3:uid="{092AB11C-3F3A-4DF1-85F4-E51B9D831342}" name="PACE_PER40" dataDxfId="722"/>
    <tableColumn id="26" xr3:uid="{816667E4-C447-4D7F-94CE-EF5725C88DE8}" name="POSS" dataDxfId="721"/>
    <tableColumn id="27" xr3:uid="{C4FFB145-14F0-4C80-AF00-3DB8C25AFE1D}" name="PIE" dataDxfId="720"/>
    <tableColumn id="28" xr3:uid="{2342619C-596C-453C-A4C3-E9C8E3C1106A}" name="GP_RANK" dataDxfId="719"/>
    <tableColumn id="29" xr3:uid="{629A9FA8-4BC9-438F-8E1B-3C50DFC78C18}" name="W_RANK" dataDxfId="718"/>
    <tableColumn id="30" xr3:uid="{93DDE222-FB99-4A9D-8619-1BEB1169CE93}" name="L_RANK" dataDxfId="717"/>
    <tableColumn id="31" xr3:uid="{E3B0DFE9-7B92-42C2-9919-E43C5C9AF0C7}" name="W_PCT_RANK" dataDxfId="716"/>
    <tableColumn id="32" xr3:uid="{27864871-1EAB-4226-AB21-7D125FD503C9}" name="MIN_RANK" dataDxfId="715"/>
    <tableColumn id="33" xr3:uid="{C517B4A6-C3C5-4910-81F4-028F786873F1}" name="OFF_RATING_RANK" dataDxfId="714"/>
    <tableColumn id="34" xr3:uid="{6A8B3DF6-3E66-4621-8CE9-397F4583129D}" name="DEF_RATING_RANK" dataDxfId="713"/>
    <tableColumn id="35" xr3:uid="{D4E4CC22-CB93-4204-B0A3-B17C5869632B}" name="NET_RATING_RANK" dataDxfId="712"/>
    <tableColumn id="36" xr3:uid="{6710978C-18F3-4E86-8B40-C669BA72E043}" name="AST_PCT_RANK" dataDxfId="711"/>
    <tableColumn id="37" xr3:uid="{78500045-42DE-4684-9E91-1E11339243EF}" name="AST_TO_RANK" dataDxfId="710"/>
    <tableColumn id="38" xr3:uid="{CEFAEFA8-525A-41A5-A5E0-6A6260932705}" name="AST_RATIO_RANK" dataDxfId="709"/>
    <tableColumn id="39" xr3:uid="{6830DC1A-C8C5-4201-8CA3-F85573903469}" name="OREB_PCT_RANK" dataDxfId="708"/>
    <tableColumn id="40" xr3:uid="{7A51B1FF-50A0-4AE0-9904-8EC8074CEF99}" name="DREB_PCT_RANK" dataDxfId="707"/>
    <tableColumn id="41" xr3:uid="{265CD2E2-8FE6-4804-B9D1-3425A3DA2BDF}" name="REB_PCT_RANK" dataDxfId="706"/>
    <tableColumn id="42" xr3:uid="{E3FA4AE8-FA6A-4976-B639-1A3CCCC218F3}" name="TM_TOV_PCT_RANK" dataDxfId="705"/>
    <tableColumn id="43" xr3:uid="{4FBD8DF7-4E59-4B52-A3CD-8CCFCF47BA16}" name="EFG_PCT_RANK" dataDxfId="704"/>
    <tableColumn id="44" xr3:uid="{431EF8C6-869C-47AE-BE47-54F4124FBDBB}" name="TS_PCT_RANK" dataDxfId="703"/>
    <tableColumn id="45" xr3:uid="{A5C75D7A-8CC2-4C2D-9777-F532D6DAA750}" name="PACE_RANK" dataDxfId="702"/>
    <tableColumn id="46" xr3:uid="{1DF241A5-3B58-492F-9AAB-6215F46F190C}" name="PIE_RANK" dataDxfId="701"/>
    <tableColumn id="47" xr3:uid="{006296ED-B902-4A37-979E-0227348F77C8}" name="CFID" dataDxfId="700"/>
    <tableColumn id="48" xr3:uid="{252A62FE-3D2D-4FA3-B653-EECCB07A6054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476F488-01AD-4F96-B842-709AD63A8540}" name="TableAdvancedN1Starters" displayName="TableAdvancedN1Starters" ref="A1:AV31" totalsRowShown="0" headerRowDxfId="600">
  <autoFilter ref="A1:AV31" xr:uid="{39F238B9-A631-4F6C-98DD-CB38FCE8556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15E7E38-4FE7-400C-97D4-AA46620CE37B}" name="TEAM_ID" dataDxfId="648"/>
    <tableColumn id="2" xr3:uid="{0A9F0B6D-204C-42F9-AF5F-3CF00A712ECF}" name="TEAM_NAME" dataDxfId="647"/>
    <tableColumn id="3" xr3:uid="{51E5B3CB-D93A-41E4-A34B-39C72F5E7A76}" name="GP" dataDxfId="646"/>
    <tableColumn id="4" xr3:uid="{7138C713-9254-4CBB-9203-10087DDEC275}" name="W" dataDxfId="645"/>
    <tableColumn id="5" xr3:uid="{AD319F01-80BB-42F1-BCA7-6BEBEB468254}" name="L" dataDxfId="644"/>
    <tableColumn id="6" xr3:uid="{1B0D139D-DD72-4C87-A308-8B45722F2C15}" name="W_PCT" dataDxfId="643"/>
    <tableColumn id="7" xr3:uid="{C7F72FEA-A1BB-4866-BCAB-E3878F96D0E0}" name="MIN" dataDxfId="642"/>
    <tableColumn id="8" xr3:uid="{5EA090D6-F5AF-403D-8A42-047D3CDB6DB3}" name="E_OFF_RATING" dataDxfId="641"/>
    <tableColumn id="9" xr3:uid="{81142560-6693-4364-A1CD-CA92B8463711}" name="OFF_RATING" dataDxfId="640"/>
    <tableColumn id="10" xr3:uid="{B8A6EA5C-19AA-4591-8303-60B4A6FF2A52}" name="E_DEF_RATING" dataDxfId="639"/>
    <tableColumn id="11" xr3:uid="{140EAEB3-8CD6-44C9-BD23-911C5A0467B6}" name="DEF_RATING" dataDxfId="638"/>
    <tableColumn id="12" xr3:uid="{73264044-69DA-4DCA-BC95-09F175245D45}" name="E_NET_RATING" dataDxfId="637"/>
    <tableColumn id="13" xr3:uid="{0915FE7F-6AE1-45D2-BFA4-C5C1B88BCBA9}" name="NET_RATING" dataDxfId="636"/>
    <tableColumn id="14" xr3:uid="{4C7300EA-A74B-44C4-98DE-92043A0D97A0}" name="AST_PCT" dataDxfId="635"/>
    <tableColumn id="15" xr3:uid="{DDBEBD4D-8CF1-4D0B-A82D-AD6B7A0B80C2}" name="AST_TO" dataDxfId="634"/>
    <tableColumn id="16" xr3:uid="{CF6C9090-B7EF-4C9B-A3B7-1496D314723D}" name="AST_RATIO" dataDxfId="633"/>
    <tableColumn id="17" xr3:uid="{29CA2DDC-4A68-4400-926B-B365389DB948}" name="OREB_PCT" dataDxfId="632"/>
    <tableColumn id="18" xr3:uid="{56E2552D-0EFD-47B5-A7C9-3EB57ABD1A57}" name="DREB_PCT" dataDxfId="631"/>
    <tableColumn id="19" xr3:uid="{5E0AE04F-B05D-4DDA-A369-5C1606E9D4BC}" name="REB_PCT" dataDxfId="630"/>
    <tableColumn id="20" xr3:uid="{EBF3174F-13E7-489A-8ADC-3C9DCF4A4254}" name="TM_TOV_PCT" dataDxfId="629"/>
    <tableColumn id="21" xr3:uid="{09E3D564-A887-43EE-8AE8-4204425AF21B}" name="EFG_PCT" dataDxfId="628"/>
    <tableColumn id="22" xr3:uid="{36C4411D-7B31-4EF9-8044-867AC6FF88CF}" name="TS_PCT" dataDxfId="627"/>
    <tableColumn id="23" xr3:uid="{84EAF46D-E0CC-4BCD-BAEB-DBACB7EA20BA}" name="E_PACE" dataDxfId="626"/>
    <tableColumn id="24" xr3:uid="{3E430AAF-E1BA-4B8C-B22E-A877C4C4602B}" name="PACE" dataDxfId="625"/>
    <tableColumn id="25" xr3:uid="{90AB85BA-7832-429E-BC39-89DF2498AF53}" name="PACE_PER40" dataDxfId="624"/>
    <tableColumn id="26" xr3:uid="{893541F7-3B97-4017-B4C3-0289DED82CA4}" name="POSS" dataDxfId="623"/>
    <tableColumn id="27" xr3:uid="{75BF8E8A-D6F4-43C6-81B9-B4D0ABDF557D}" name="PIE" dataDxfId="622"/>
    <tableColumn id="28" xr3:uid="{55ECDD95-B98D-40AF-9697-E248A2676056}" name="GP_RANK" dataDxfId="621"/>
    <tableColumn id="29" xr3:uid="{328F8840-4C39-414A-B8B2-ACDC5AD045AA}" name="W_RANK" dataDxfId="620"/>
    <tableColumn id="30" xr3:uid="{FAC8C5F2-723F-4935-83C4-104B52BA36FE}" name="L_RANK" dataDxfId="619"/>
    <tableColumn id="31" xr3:uid="{43680576-82ED-4078-884C-B4F87F4A5FC8}" name="W_PCT_RANK" dataDxfId="618"/>
    <tableColumn id="32" xr3:uid="{6E636064-D254-4EA7-99D5-F4D04ABA5C00}" name="MIN_RANK" dataDxfId="617"/>
    <tableColumn id="33" xr3:uid="{A5E9CF65-0F10-4C3F-8316-1D47F994B9ED}" name="OFF_RATING_RANK" dataDxfId="616"/>
    <tableColumn id="34" xr3:uid="{D6A38D11-018E-4A75-939B-A4BFDFA17EB1}" name="DEF_RATING_RANK" dataDxfId="615"/>
    <tableColumn id="35" xr3:uid="{523C715F-349C-49DB-A45D-3F8ED6F9F816}" name="NET_RATING_RANK" dataDxfId="614"/>
    <tableColumn id="36" xr3:uid="{70E06A39-35EE-4454-B43B-9C1BCA168FB8}" name="AST_PCT_RANK" dataDxfId="613"/>
    <tableColumn id="37" xr3:uid="{413B75CF-6EFE-4840-B159-C6E274F02D32}" name="AST_TO_RANK" dataDxfId="612"/>
    <tableColumn id="38" xr3:uid="{99926647-226D-45EF-A421-672DFB14C1F7}" name="AST_RATIO_RANK" dataDxfId="611"/>
    <tableColumn id="39" xr3:uid="{0CDD98D2-13BB-4313-ADBE-74F6892754F2}" name="OREB_PCT_RANK" dataDxfId="610"/>
    <tableColumn id="40" xr3:uid="{A62D4299-29F6-4CFB-A7F6-0437D12FC6F4}" name="DREB_PCT_RANK" dataDxfId="609"/>
    <tableColumn id="41" xr3:uid="{8FBF86D7-3D8B-448E-B611-EFCD2FFEA09C}" name="REB_PCT_RANK" dataDxfId="608"/>
    <tableColumn id="42" xr3:uid="{6F0D3432-8843-4811-840D-6E7122F44B56}" name="TM_TOV_PCT_RANK" dataDxfId="607"/>
    <tableColumn id="43" xr3:uid="{9935E85F-88D3-4003-A129-31B8B5A09D6A}" name="EFG_PCT_RANK" dataDxfId="606"/>
    <tableColumn id="44" xr3:uid="{6A562C05-6D9E-46D8-9A94-F33799CCA023}" name="TS_PCT_RANK" dataDxfId="605"/>
    <tableColumn id="45" xr3:uid="{85B89841-4B3C-4B7C-91B0-0BA6F8C3638E}" name="PACE_RANK" dataDxfId="604"/>
    <tableColumn id="46" xr3:uid="{9298DE4B-36F7-4D3A-8EB7-920249E36673}" name="PIE_RANK" dataDxfId="603"/>
    <tableColumn id="47" xr3:uid="{8CC83203-390D-4095-9FDF-802B66D544FF}" name="CFID" dataDxfId="602"/>
    <tableColumn id="48" xr3:uid="{D9E42B13-F37E-4616-B065-EE19BC27E0E8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1891F9-EEC4-429C-87E4-843B446E9474}" name="TableAdvancedN1Bench" displayName="TableAdvancedN1Bench" ref="A1:AV31" totalsRowShown="0" headerRowDxfId="502">
  <autoFilter ref="A1:AV31" xr:uid="{0C1777B0-993C-4628-BFE0-82007E07CA4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FD48E7D-158A-4198-9EAB-CCAE43CABE4B}" name="TEAM_ID" dataDxfId="550"/>
    <tableColumn id="2" xr3:uid="{E40F31FC-50F1-4EA5-AD63-595FFBBFB821}" name="TEAM_NAME" dataDxfId="549"/>
    <tableColumn id="3" xr3:uid="{A076F334-8575-42D7-9328-9ED8D3C830D3}" name="GP" dataDxfId="548"/>
    <tableColumn id="4" xr3:uid="{F958AB8F-4F4E-48E3-B511-5EE917748615}" name="W" dataDxfId="547"/>
    <tableColumn id="5" xr3:uid="{4A4BFE79-6C49-4BD5-8866-A9783C616EF3}" name="L" dataDxfId="546"/>
    <tableColumn id="6" xr3:uid="{3E577341-DCB7-49F3-82E4-7B4CEE35E253}" name="W_PCT" dataDxfId="545"/>
    <tableColumn id="7" xr3:uid="{55AD7C19-655C-4C5D-AD38-E5836E4E788D}" name="MIN" dataDxfId="544"/>
    <tableColumn id="8" xr3:uid="{F7131A8A-BA0B-4CB9-A53D-5195838555BD}" name="E_OFF_RATING" dataDxfId="543"/>
    <tableColumn id="9" xr3:uid="{800A2A8E-9767-41E9-B8BE-EF6C62226C37}" name="OFF_RATING" dataDxfId="542"/>
    <tableColumn id="10" xr3:uid="{1156041B-34B9-4B03-82C1-2F6ACC785C22}" name="E_DEF_RATING" dataDxfId="541"/>
    <tableColumn id="11" xr3:uid="{33FEAFF3-DFBB-4759-8A6B-66A9D73A1BF2}" name="DEF_RATING" dataDxfId="540"/>
    <tableColumn id="12" xr3:uid="{A518A57E-D5BD-4846-A7FD-C4AB18A078E6}" name="E_NET_RATING" dataDxfId="539"/>
    <tableColumn id="13" xr3:uid="{B0844BAB-24B3-4D0C-8386-8164F54F80F9}" name="NET_RATING" dataDxfId="538"/>
    <tableColumn id="14" xr3:uid="{6A5D975B-DD6A-46DA-8263-51A325BDDF0D}" name="AST_PCT" dataDxfId="537"/>
    <tableColumn id="15" xr3:uid="{6F6F6766-0208-4290-A556-4C181A8388F9}" name="AST_TO" dataDxfId="536"/>
    <tableColumn id="16" xr3:uid="{1569A5FB-E7B1-481F-947C-D800C31CC78B}" name="AST_RATIO" dataDxfId="535"/>
    <tableColumn id="17" xr3:uid="{7D5E7253-572A-4144-B7CC-95D99DB798C7}" name="OREB_PCT" dataDxfId="534"/>
    <tableColumn id="18" xr3:uid="{3C074041-CCBD-4B82-81D4-ABF685A7FAAD}" name="DREB_PCT" dataDxfId="533"/>
    <tableColumn id="19" xr3:uid="{327452A4-4B06-4220-A48C-6CCA9C2BAA39}" name="REB_PCT" dataDxfId="532"/>
    <tableColumn id="20" xr3:uid="{E552EB20-1CA2-48F1-8233-16CF03287727}" name="TM_TOV_PCT" dataDxfId="531"/>
    <tableColumn id="21" xr3:uid="{1FF3D853-5F5F-4E5F-B447-B592743A180D}" name="EFG_PCT" dataDxfId="530"/>
    <tableColumn id="22" xr3:uid="{43716327-7AEC-450B-83AD-0D7D92F384E0}" name="TS_PCT" dataDxfId="529"/>
    <tableColumn id="23" xr3:uid="{495D2028-AE9F-4195-A1C3-C120BE60717E}" name="E_PACE" dataDxfId="528"/>
    <tableColumn id="24" xr3:uid="{E9D12175-9D52-4793-B13D-AE846B327F05}" name="PACE" dataDxfId="527"/>
    <tableColumn id="25" xr3:uid="{66DA8C18-78B3-47F1-AEBD-E48016C6E30E}" name="PACE_PER40" dataDxfId="526"/>
    <tableColumn id="26" xr3:uid="{32814340-AC03-4B45-BB61-1A68E2B1A3BE}" name="POSS" dataDxfId="525"/>
    <tableColumn id="27" xr3:uid="{35D4026B-428F-467A-A1C5-B4C224380F0E}" name="PIE" dataDxfId="524"/>
    <tableColumn id="28" xr3:uid="{92CBC0AB-05FC-412C-BDEC-AA6F97AEA45D}" name="GP_RANK" dataDxfId="523"/>
    <tableColumn id="29" xr3:uid="{AA887C92-BD26-45CF-9F98-88CCA58FF039}" name="W_RANK" dataDxfId="522"/>
    <tableColumn id="30" xr3:uid="{0110C2BB-74F8-42EF-9EF2-BCE730B6FF5B}" name="L_RANK" dataDxfId="521"/>
    <tableColumn id="31" xr3:uid="{AF581BDE-3D1F-4413-8F77-57E06450D59D}" name="W_PCT_RANK" dataDxfId="520"/>
    <tableColumn id="32" xr3:uid="{B6894356-C2A3-4AEC-B2FC-A1FDC6AB7B51}" name="MIN_RANK" dataDxfId="519"/>
    <tableColumn id="33" xr3:uid="{44EC3AB2-8C0D-47BB-87D0-102ED6B1F19D}" name="OFF_RATING_RANK" dataDxfId="518"/>
    <tableColumn id="34" xr3:uid="{E0D5B178-6C6D-46EE-9657-2B8D95D8AA19}" name="DEF_RATING_RANK" dataDxfId="517"/>
    <tableColumn id="35" xr3:uid="{C13AEC94-0F32-4DFD-B9F3-30B2440711CB}" name="NET_RATING_RANK" dataDxfId="516"/>
    <tableColumn id="36" xr3:uid="{711FECEC-69DD-4180-9466-262F0A7C06A9}" name="AST_PCT_RANK" dataDxfId="515"/>
    <tableColumn id="37" xr3:uid="{425BF5A4-7DC0-4D0B-AAE7-C6EDC2B6CEC5}" name="AST_TO_RANK" dataDxfId="514"/>
    <tableColumn id="38" xr3:uid="{F77B8094-EE63-4D47-9053-332D5C524FFB}" name="AST_RATIO_RANK" dataDxfId="513"/>
    <tableColumn id="39" xr3:uid="{9A169CA6-70B0-4663-BDAA-442BEED54697}" name="OREB_PCT_RANK" dataDxfId="512"/>
    <tableColumn id="40" xr3:uid="{9FB00E46-1333-4F39-843D-FEAAB882C53B}" name="DREB_PCT_RANK" dataDxfId="511"/>
    <tableColumn id="41" xr3:uid="{D7D8D537-991F-429E-B225-2946CD86B60B}" name="REB_PCT_RANK" dataDxfId="510"/>
    <tableColumn id="42" xr3:uid="{CC199E53-BD40-4A2E-B8F2-1F46E9346434}" name="TM_TOV_PCT_RANK" dataDxfId="509"/>
    <tableColumn id="43" xr3:uid="{FCC915EF-9CB4-449E-A936-DAE848D25B73}" name="EFG_PCT_RANK" dataDxfId="508"/>
    <tableColumn id="44" xr3:uid="{68989B5F-B6C2-407A-A679-5CF1BB0B1119}" name="TS_PCT_RANK" dataDxfId="507"/>
    <tableColumn id="45" xr3:uid="{66F5FA0D-89AF-4BA2-B8EC-8DE1C1BA51DB}" name="PACE_RANK" dataDxfId="506"/>
    <tableColumn id="46" xr3:uid="{FFA77EC0-2571-4D40-9781-A6AB371291DA}" name="PIE_RANK" dataDxfId="505"/>
    <tableColumn id="47" xr3:uid="{13A7082F-BE7F-47AF-81E8-B1D627E08F60}" name="CFID" dataDxfId="504"/>
    <tableColumn id="48" xr3:uid="{0EC63AD4-F355-42B6-8BAA-11B192FFD832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0064BAB-2147-40DC-B11F-8A892C683609}" name="TableMiscN1" displayName="TableMiscN1" ref="A1:AD31" totalsRowShown="0" headerRowDxfId="440">
  <autoFilter ref="A1:AD31" xr:uid="{509F8018-D966-4500-8557-FF24FA7888C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C4FB91F6-D361-4312-8096-6D7AA49B4F36}" name="TEAM_ID" dataDxfId="470"/>
    <tableColumn id="2" xr3:uid="{71BEB992-B9D0-44F4-B075-DD9FCEAC4374}" name="TEAM_NAME" dataDxfId="469"/>
    <tableColumn id="3" xr3:uid="{B7F2183B-8308-4F69-BB7D-7A0AAE5E2DB7}" name="GP" dataDxfId="468"/>
    <tableColumn id="4" xr3:uid="{987FF814-3659-4303-A102-B0AB9CA83AE3}" name="W" dataDxfId="467"/>
    <tableColumn id="5" xr3:uid="{0C757789-395C-47C8-8009-A4D6E9E8A2B4}" name="L" dataDxfId="466"/>
    <tableColumn id="6" xr3:uid="{879E41A3-35E9-4AC6-8312-84AEB8B83D23}" name="W_PCT" dataDxfId="465"/>
    <tableColumn id="7" xr3:uid="{F3DDF8EF-023B-44E2-B09B-A7E824F4F9D7}" name="MIN" dataDxfId="464"/>
    <tableColumn id="8" xr3:uid="{953200A6-083C-42F4-B139-53EACF7C79C1}" name="PTS_OFF_TOV" dataDxfId="463"/>
    <tableColumn id="9" xr3:uid="{A017F10F-1BD7-47C4-B26C-F4E0448303AC}" name="PTS_2ND_CHANCE" dataDxfId="462"/>
    <tableColumn id="10" xr3:uid="{0F2E2C64-C5EA-445C-94C6-7ECA2D20706A}" name="PTS_FB" dataDxfId="461"/>
    <tableColumn id="11" xr3:uid="{89FA0321-0416-4328-B54F-6551C1032B3C}" name="PTS_PAINT" dataDxfId="460"/>
    <tableColumn id="12" xr3:uid="{239469EF-EE2A-468A-BA4D-4EC4C68D5DA7}" name="OPP_PTS_OFF_TOV" dataDxfId="459"/>
    <tableColumn id="13" xr3:uid="{AC702012-9ADD-40AC-A65C-50CD818BD5C6}" name="OPP_PTS_2ND_CHANCE" dataDxfId="458"/>
    <tableColumn id="14" xr3:uid="{9BD45E0D-1012-46F5-A536-BA3D658E6FB2}" name="OPP_PTS_FB" dataDxfId="457"/>
    <tableColumn id="15" xr3:uid="{DB854056-A880-43B2-9227-1695DAFD6D35}" name="OPP_PTS_PAINT" dataDxfId="456"/>
    <tableColumn id="16" xr3:uid="{E6CECFF7-EF03-42E4-A92B-133A1EF1C7D1}" name="GP_RANK" dataDxfId="455"/>
    <tableColumn id="17" xr3:uid="{836675D0-FD4A-4332-9792-10F635D13A2C}" name="W_RANK" dataDxfId="454"/>
    <tableColumn id="18" xr3:uid="{F06AE08E-0033-4902-9D41-B873E855A442}" name="L_RANK" dataDxfId="453"/>
    <tableColumn id="19" xr3:uid="{339C6BF2-0A65-4EB7-82C6-CAC3D1D29428}" name="W_PCT_RANK" dataDxfId="452"/>
    <tableColumn id="20" xr3:uid="{054F4243-6270-44DA-823F-CB350F485730}" name="MIN_RANK" dataDxfId="451"/>
    <tableColumn id="21" xr3:uid="{C49969C7-530B-4ABB-863A-0AA86F1DB018}" name="PTS_OFF_TOV_RANK" dataDxfId="450"/>
    <tableColumn id="22" xr3:uid="{88FB20D4-16C7-4288-8D7E-F019D52DB7C6}" name="PTS_2ND_CHANCE_RANK" dataDxfId="449"/>
    <tableColumn id="23" xr3:uid="{AF36B0FE-BAE0-4FAE-95F7-226A7CF23D7B}" name="PTS_FB_RANK" dataDxfId="448"/>
    <tableColumn id="24" xr3:uid="{EA819837-C426-4775-9FB3-1458B0A2D2FF}" name="PTS_PAINT_RANK" dataDxfId="447"/>
    <tableColumn id="25" xr3:uid="{863ADA4B-8925-4DE1-8688-D6D6A8CFB31C}" name="OPP_PTS_OFF_TOV_RANK" dataDxfId="446"/>
    <tableColumn id="26" xr3:uid="{C65CB5A1-9BF3-4E30-AE76-CC232E40392E}" name="OPP_PTS_2ND_CHANCE_RANK" dataDxfId="445"/>
    <tableColumn id="27" xr3:uid="{0AA45ABB-E710-43FC-9EF5-882840141123}" name="OPP_PTS_FB_RANK" dataDxfId="444"/>
    <tableColumn id="28" xr3:uid="{03550415-0C9D-4966-AB71-FF28DCE35548}" name="OPP_PTS_PAINT_RANK" dataDxfId="443"/>
    <tableColumn id="29" xr3:uid="{0BC2BE55-62AB-4151-920F-F6DA33481B42}" name="CFID" dataDxfId="442"/>
    <tableColumn id="30" xr3:uid="{995817BE-6C64-410D-B1C5-A996F356D0E6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D5B5B24-64ED-4644-B2C5-937319B4BB94}" name="TableOppBaseN1" displayName="TableOppBaseN1" ref="A1:BD31" totalsRowShown="0" headerRowDxfId="326">
  <autoFilter ref="A1:BD31" xr:uid="{C641EA76-D87A-48DC-A8DE-B573346B138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F461881-B3FC-4994-AC39-C96E4127BF1D}" name="TEAM_ID" dataDxfId="382"/>
    <tableColumn id="2" xr3:uid="{7CB6444F-09ED-4020-B73C-177FA871034C}" name="TEAM_NAME" dataDxfId="381"/>
    <tableColumn id="3" xr3:uid="{87E4AEEC-D88C-49D5-8A36-9890EBF19EBC}" name="GP" dataDxfId="380"/>
    <tableColumn id="4" xr3:uid="{14B802CB-D44D-4929-AD61-8EF113902369}" name="W" dataDxfId="379"/>
    <tableColumn id="5" xr3:uid="{A5BA800E-653E-4196-9829-284681909F42}" name="L" dataDxfId="378"/>
    <tableColumn id="6" xr3:uid="{8D263A24-C3CC-4CC0-940C-BF47E759B5EF}" name="W_PCT" dataDxfId="377"/>
    <tableColumn id="7" xr3:uid="{196DA640-0708-44F3-8204-FE0307068D1A}" name="MIN" dataDxfId="376"/>
    <tableColumn id="8" xr3:uid="{C9E9382B-0D9F-43E0-8D99-CD44C9FB073F}" name="OPP_FGM" dataDxfId="375"/>
    <tableColumn id="9" xr3:uid="{6DDE6CBF-B768-43FC-8B4A-4CD4EF5A285E}" name="OPP_FGA" dataDxfId="374"/>
    <tableColumn id="10" xr3:uid="{5FF0AD2E-251A-4C72-89B8-EEDD5DB0F5D1}" name="OPP_FG_PCT" dataDxfId="373"/>
    <tableColumn id="11" xr3:uid="{AC63C45B-6937-4E10-B4DC-23274381D359}" name="OPP_FG3M" dataDxfId="372"/>
    <tableColumn id="12" xr3:uid="{8E3D6BB5-86E2-44B0-BBDE-4EB5FF2291C9}" name="OPP_FG3A" dataDxfId="371"/>
    <tableColumn id="13" xr3:uid="{6F894D82-449D-4418-85DA-C14E4C87ACAE}" name="OPP_FG3_PCT" dataDxfId="370"/>
    <tableColumn id="14" xr3:uid="{D2774D8B-314A-4E37-A035-8EC10DCB31FB}" name="OPP_FTM" dataDxfId="369"/>
    <tableColumn id="15" xr3:uid="{ECA36AE3-85DF-45EF-858D-28F4A5DF2862}" name="OPP_FTA" dataDxfId="368"/>
    <tableColumn id="16" xr3:uid="{89CA11B6-A2D0-4729-B037-6B567EEABEEB}" name="OPP_FT_PCT" dataDxfId="367"/>
    <tableColumn id="17" xr3:uid="{45652A0F-2A8B-461D-9576-7FC510CA9D3C}" name="OPP_OREB" dataDxfId="366"/>
    <tableColumn id="18" xr3:uid="{4B255CDB-92B9-4746-A96D-A7A946FBE8EB}" name="OPP_DREB" dataDxfId="365"/>
    <tableColumn id="19" xr3:uid="{07A42D52-FB01-4F0C-A033-04832D393236}" name="OPP_REB" dataDxfId="364"/>
    <tableColumn id="20" xr3:uid="{DB2D8A03-492A-491D-A266-CB7CDEC1489B}" name="OPP_AST" dataDxfId="363"/>
    <tableColumn id="21" xr3:uid="{2CAF267B-B55B-4202-9142-172CDA4F7F07}" name="OPP_TOV" dataDxfId="362"/>
    <tableColumn id="22" xr3:uid="{1F21DAC0-A28A-4368-9E77-2463991C18AF}" name="OPP_STL" dataDxfId="361"/>
    <tableColumn id="23" xr3:uid="{4BD36832-93DD-4B71-8A3D-BC4E8FCDEEAA}" name="OPP_BLK" dataDxfId="360"/>
    <tableColumn id="24" xr3:uid="{CE436851-6200-4D32-B549-01383D305C8B}" name="OPP_BLKA" dataDxfId="359"/>
    <tableColumn id="25" xr3:uid="{120C0CEC-DBE9-40A8-9A19-AC4FC13CF11A}" name="OPP_PF" dataDxfId="358"/>
    <tableColumn id="26" xr3:uid="{8664C0F3-5DC0-488A-A37F-1C3379EA6041}" name="OPP_PFD" dataDxfId="357"/>
    <tableColumn id="27" xr3:uid="{2EA8622F-42CA-47BB-9E47-D9F11031C828}" name="OPP_PTS" dataDxfId="356"/>
    <tableColumn id="28" xr3:uid="{A0B90E9C-C641-4F55-84E8-08EEE30C2768}" name="PLUS_MINUS" dataDxfId="355"/>
    <tableColumn id="29" xr3:uid="{A50E3560-3FB9-4636-B56F-53A8CDDEB5A7}" name="GP_RANK" dataDxfId="354"/>
    <tableColumn id="30" xr3:uid="{222D6F59-4D4E-4CC7-98C9-564F470E6107}" name="W_RANK" dataDxfId="353"/>
    <tableColumn id="31" xr3:uid="{57F24B05-7879-4B99-8716-8E5FF708D6CD}" name="L_RANK" dataDxfId="352"/>
    <tableColumn id="32" xr3:uid="{37D9BA32-BFEF-45C8-A5CC-FFE3DA765794}" name="W_PCT_RANK" dataDxfId="351"/>
    <tableColumn id="33" xr3:uid="{0533046E-C968-4AB6-BAD5-7BCD91CAF7D1}" name="MIN_RANK" dataDxfId="350"/>
    <tableColumn id="34" xr3:uid="{A9DA4898-BCC8-4842-BCDC-D4429969FCE5}" name="OPP_FGM_RANK" dataDxfId="349"/>
    <tableColumn id="35" xr3:uid="{CC19EE84-8775-4B85-9763-3522A185124D}" name="OPP_FGA_RANK" dataDxfId="348"/>
    <tableColumn id="36" xr3:uid="{6C7978FD-FA50-4C98-B08B-A60FAA5CD0D4}" name="OPP_FG_PCT_RANK" dataDxfId="347"/>
    <tableColumn id="37" xr3:uid="{A91672B4-8958-4884-BBE8-97A073646C91}" name="OPP_FG3M_RANK" dataDxfId="346"/>
    <tableColumn id="38" xr3:uid="{EE6D013F-84EE-486E-907E-5516881B0F01}" name="OPP_FG3A_RANK" dataDxfId="345"/>
    <tableColumn id="39" xr3:uid="{09F97044-A931-40CC-930F-74C63973D727}" name="OPP_FG3_PCT_RANK" dataDxfId="344"/>
    <tableColumn id="40" xr3:uid="{36ED518C-8F7E-4C39-AB1D-468AB757617B}" name="OPP_FTM_RANK" dataDxfId="343"/>
    <tableColumn id="41" xr3:uid="{F609E9A1-7BA9-45AB-9C72-CEF49DD32D93}" name="OPP_FTA_RANK" dataDxfId="342"/>
    <tableColumn id="42" xr3:uid="{BCA20F33-E47A-4100-A94F-9F0F80A42B06}" name="OPP_FT_PCT_RANK" dataDxfId="341"/>
    <tableColumn id="43" xr3:uid="{15B2FEB2-CB97-4514-B665-81B5123D646B}" name="OPP_OREB_RANK" dataDxfId="340"/>
    <tableColumn id="44" xr3:uid="{4D86B692-2487-435A-95EF-F1CA17F0EBED}" name="OPP_DREB_RANK" dataDxfId="339"/>
    <tableColumn id="45" xr3:uid="{FF84DF68-2C81-4A61-A02E-39ABEE9201CA}" name="OPP_REB_RANK" dataDxfId="338"/>
    <tableColumn id="46" xr3:uid="{AA41B7E4-8B9E-4CC5-876D-17E076B1CF25}" name="OPP_AST_RANK" dataDxfId="337"/>
    <tableColumn id="47" xr3:uid="{51D6F2D4-D683-43E9-89D6-71A6D3CB2C38}" name="OPP_TOV_RANK" dataDxfId="336"/>
    <tableColumn id="48" xr3:uid="{36E328DB-DF4D-49C5-8611-291493C7A4C2}" name="OPP_STL_RANK" dataDxfId="335"/>
    <tableColumn id="49" xr3:uid="{5509C822-8C58-4CA1-B166-C3CA2195F28F}" name="OPP_BLK_RANK" dataDxfId="334"/>
    <tableColumn id="50" xr3:uid="{F29BBAE8-D946-44E5-9935-5BE3264AF7E7}" name="OPP_BLKA_RANK" dataDxfId="333"/>
    <tableColumn id="51" xr3:uid="{CF6CBAD0-DADC-4CBE-B06A-A9475A1FC887}" name="OPP_PF_RANK" dataDxfId="332"/>
    <tableColumn id="52" xr3:uid="{5EE33FB6-AC5F-4B70-8EB3-D9C7AEF2C2CB}" name="OPP_PFD_RANK" dataDxfId="331"/>
    <tableColumn id="53" xr3:uid="{442DF467-D83A-43B2-9064-9ED9F9BD04A8}" name="OPP_PTS_RANK" dataDxfId="330"/>
    <tableColumn id="54" xr3:uid="{6513B390-D5E4-40B1-9DBC-B639986DB637}" name="PLUS_MINUS_RANK" dataDxfId="329"/>
    <tableColumn id="55" xr3:uid="{84492254-BED1-4600-96F5-B51228362931}" name="CFID" dataDxfId="328"/>
    <tableColumn id="56" xr3:uid="{575C6799-61C8-46B1-B12B-4A8C8C7502AA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4DCE7DE-DDFE-4630-B52D-F05CCF558DEF}" name="TableClutchBaseN1" displayName="TableClutchBaseN1" ref="A1:BD31" totalsRowShown="0" headerRowDxfId="212">
  <autoFilter ref="A1:BD31" xr:uid="{3AE650FD-DE2F-40D8-87B2-7038E0A7BF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3BC818A-5D98-479A-BB76-7C01EB973688}" name="TEAM_ID" dataDxfId="268"/>
    <tableColumn id="2" xr3:uid="{AB1332C4-9200-4EED-AA14-09E7119E50E8}" name="TEAM_NAME" dataDxfId="267"/>
    <tableColumn id="3" xr3:uid="{2D22F660-1871-4F7B-8126-71574389AFE5}" name="GP" dataDxfId="266"/>
    <tableColumn id="4" xr3:uid="{E07BE75C-AB4E-4DCB-B10B-E13D303566D3}" name="W" dataDxfId="265"/>
    <tableColumn id="5" xr3:uid="{3D20C6D0-3848-406C-BE34-26D62A067B66}" name="L" dataDxfId="264"/>
    <tableColumn id="6" xr3:uid="{328CFF87-6C1E-4E38-9DBC-DB26C9D63EB6}" name="W_PCT" dataDxfId="263"/>
    <tableColumn id="7" xr3:uid="{389A9527-13BA-4AE4-AAF0-DDCAB0C8982D}" name="MIN" dataDxfId="262"/>
    <tableColumn id="8" xr3:uid="{2D0ADAC6-FC06-4F0E-BFE6-2027C79F9C17}" name="FGM" dataDxfId="261"/>
    <tableColumn id="9" xr3:uid="{79CCDC58-B857-48A0-B99B-97FF232C1772}" name="FGA" dataDxfId="260"/>
    <tableColumn id="10" xr3:uid="{C3986B54-3C6F-4AB9-913E-BA81FC04DA44}" name="FG_PCT" dataDxfId="259"/>
    <tableColumn id="11" xr3:uid="{32F55947-59FA-4A77-BC4B-31A3D069631C}" name="FG3M" dataDxfId="258"/>
    <tableColumn id="12" xr3:uid="{189C4BD4-88D3-45CB-8C5B-1423A696B0AE}" name="FG3A" dataDxfId="257"/>
    <tableColumn id="13" xr3:uid="{4A931ADD-8C91-4FD8-B99E-7CD3978DBEBC}" name="FG3_PCT" dataDxfId="256"/>
    <tableColumn id="14" xr3:uid="{5E943AEB-DDF9-4120-8EF1-F35BE23254ED}" name="FTM" dataDxfId="255"/>
    <tableColumn id="15" xr3:uid="{9DA6835F-B9FD-4CA7-A39A-812F1BD2E760}" name="FTA" dataDxfId="254"/>
    <tableColumn id="16" xr3:uid="{6EB45952-4A43-4E2B-AC3C-11F240FAFA83}" name="FT_PCT" dataDxfId="253"/>
    <tableColumn id="17" xr3:uid="{DEE0B963-137B-405B-9A8C-03757076F604}" name="OREB" dataDxfId="252"/>
    <tableColumn id="18" xr3:uid="{545E55D6-37D9-49D0-A088-AF305FCE3256}" name="DREB" dataDxfId="251"/>
    <tableColumn id="19" xr3:uid="{C65F8403-E03F-46B4-B29C-BCC460B0FCAF}" name="REB" dataDxfId="250"/>
    <tableColumn id="20" xr3:uid="{3BFDA8E9-B70C-4D6D-BA65-B2938885ABE6}" name="AST" dataDxfId="249"/>
    <tableColumn id="21" xr3:uid="{7A9F55FA-1F26-4473-8E41-E590F4C699D2}" name="TOV" dataDxfId="248"/>
    <tableColumn id="22" xr3:uid="{0C74A4E0-AA37-4BC1-8D53-89226E0D6B99}" name="STL" dataDxfId="247"/>
    <tableColumn id="23" xr3:uid="{F16D51BA-479A-4BD7-99DD-E7C08976C949}" name="BLK" dataDxfId="246"/>
    <tableColumn id="24" xr3:uid="{DA067FC1-D14D-4160-85CD-E2932203D1A1}" name="BLKA" dataDxfId="245"/>
    <tableColumn id="25" xr3:uid="{ECE1E6CE-0589-4401-ADE1-BDF3C89378B5}" name="PF" dataDxfId="244"/>
    <tableColumn id="26" xr3:uid="{AF7D8029-5AA3-4C52-B573-BC39D805EEC2}" name="PFD" dataDxfId="243"/>
    <tableColumn id="27" xr3:uid="{08AFBE5D-AD67-4C8F-B262-67452E35482F}" name="PTS" dataDxfId="242"/>
    <tableColumn id="28" xr3:uid="{F3B9A2E1-583A-4E6E-9723-7061CE2783AE}" name="PLUS_MINUS" dataDxfId="241"/>
    <tableColumn id="29" xr3:uid="{F3A45AA1-15A1-4F11-BD48-AFA0111DA68E}" name="GP_RANK" dataDxfId="240"/>
    <tableColumn id="30" xr3:uid="{86006D5E-178B-4B95-933B-D5DE0D93DB40}" name="W_RANK" dataDxfId="239"/>
    <tableColumn id="31" xr3:uid="{02731490-71FA-4241-A0DB-A333A19EF58A}" name="L_RANK" dataDxfId="238"/>
    <tableColumn id="32" xr3:uid="{4C0C98CF-335A-425C-805F-130DBDAC4038}" name="W_PCT_RANK" dataDxfId="237"/>
    <tableColumn id="33" xr3:uid="{C82A1965-5B43-4516-950B-2A4E973FB155}" name="MIN_RANK" dataDxfId="236"/>
    <tableColumn id="34" xr3:uid="{46FFD287-7912-49FE-9833-A729DB53D2C9}" name="FGM_RANK" dataDxfId="235"/>
    <tableColumn id="35" xr3:uid="{4AD1571D-D903-4C8A-A159-97FC79CB3875}" name="FGA_RANK" dataDxfId="234"/>
    <tableColumn id="36" xr3:uid="{BD513634-4F4D-46D7-82AD-F9A02280482D}" name="FG_PCT_RANK" dataDxfId="233"/>
    <tableColumn id="37" xr3:uid="{6EEE2448-D725-407A-A9AD-E8D87A85430B}" name="FG3M_RANK" dataDxfId="232"/>
    <tableColumn id="38" xr3:uid="{985E00E6-1A24-4D56-9622-6E73DF0DC698}" name="FG3A_RANK" dataDxfId="231"/>
    <tableColumn id="39" xr3:uid="{09301881-C90B-4191-B7D0-192EC85B6044}" name="FG3_PCT_RANK" dataDxfId="230"/>
    <tableColumn id="40" xr3:uid="{88FE5138-45F8-4F4B-8C67-EBAB6F7469CC}" name="FTM_RANK" dataDxfId="229"/>
    <tableColumn id="41" xr3:uid="{B9DC218B-2A75-4F2B-8364-F46100501911}" name="FTA_RANK" dataDxfId="228"/>
    <tableColumn id="42" xr3:uid="{CA3176F4-ADCF-4AB6-963F-041D45421BF6}" name="FT_PCT_RANK" dataDxfId="227"/>
    <tableColumn id="43" xr3:uid="{1EABF65E-B0D6-49F1-AEFE-267C1CA6E343}" name="OREB_RANK" dataDxfId="226"/>
    <tableColumn id="44" xr3:uid="{A618D3EB-9ECA-4150-B755-32EFDC4B5CB0}" name="DREB_RANK" dataDxfId="225"/>
    <tableColumn id="45" xr3:uid="{09E65A8E-57FD-4FA4-A2DF-261DD5F87199}" name="REB_RANK" dataDxfId="224"/>
    <tableColumn id="46" xr3:uid="{4717BF2E-A1C7-4DC2-A816-8808B49853E5}" name="AST_RANK" dataDxfId="223"/>
    <tableColumn id="47" xr3:uid="{F6E87949-ED3F-4A2C-9D5C-DC831AA06D67}" name="TOV_RANK" dataDxfId="222"/>
    <tableColumn id="48" xr3:uid="{A7735984-D946-4A99-9969-4720A05FA786}" name="STL_RANK" dataDxfId="221"/>
    <tableColumn id="49" xr3:uid="{10754745-F9A0-46FE-A5F9-AB56FF6D3DDD}" name="BLK_RANK" dataDxfId="220"/>
    <tableColumn id="50" xr3:uid="{66CB3C15-D128-4EDF-8727-A713BA79EB5B}" name="BLKA_RANK" dataDxfId="219"/>
    <tableColumn id="51" xr3:uid="{120A6C09-15C1-43D9-8C2E-2068E5B2EAFC}" name="PF_RANK" dataDxfId="218"/>
    <tableColumn id="52" xr3:uid="{48DDAB70-654A-4711-8590-DFAF21B442A5}" name="PFD_RANK" dataDxfId="217"/>
    <tableColumn id="53" xr3:uid="{B3DE26E1-16D3-409F-B498-CF5A25B75F61}" name="PTS_RANK" dataDxfId="216"/>
    <tableColumn id="54" xr3:uid="{42B6DDEE-E6CA-4F46-A37E-94CD7AB54F1D}" name="PLUS_MINUS_RANK" dataDxfId="215"/>
    <tableColumn id="55" xr3:uid="{69C61EA9-D431-4C68-A4A9-A10345EE3764}" name="CFID" dataDxfId="214"/>
    <tableColumn id="56" xr3:uid="{28CEE1DF-79C1-4EDC-B3C3-95245E5736CA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2869031-19F0-4C6F-99D0-A4586D85018E}" name="TableClutchOpponentN1" displayName="TableClutchOpponentN1" ref="A1:BD31" totalsRowShown="0" headerRowDxfId="98">
  <autoFilter ref="A1:BD31" xr:uid="{C1A91DCB-DFF0-4C13-8528-283B37B1A6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11D6434-A2ED-4BC9-BB3E-20DAFDB60E00}" name="TEAM_ID" dataDxfId="154"/>
    <tableColumn id="2" xr3:uid="{63B68567-174C-44DA-A927-8465EE5C6AC1}" name="TEAM_NAME" dataDxfId="153"/>
    <tableColumn id="3" xr3:uid="{B8D066D4-BA2B-4A79-8EDA-037CA63E228C}" name="GP" dataDxfId="152"/>
    <tableColumn id="4" xr3:uid="{B73B45D1-ACD2-4BEE-A6FF-01171C37A81B}" name="W" dataDxfId="151"/>
    <tableColumn id="5" xr3:uid="{E21242AE-41CF-484A-B997-D476BFBD8C1D}" name="L" dataDxfId="150"/>
    <tableColumn id="6" xr3:uid="{EAA94B96-508F-4019-8172-726A269DB34C}" name="W_PCT" dataDxfId="149"/>
    <tableColumn id="7" xr3:uid="{463AEFFD-3720-4DE7-8467-0D08D841229C}" name="MIN" dataDxfId="148"/>
    <tableColumn id="8" xr3:uid="{4D8A490B-2190-4CE7-A6F1-65C6322D629C}" name="OPP_FGM" dataDxfId="147"/>
    <tableColumn id="9" xr3:uid="{37272E55-11B9-45DD-B2AF-D2F55C8DCE7E}" name="OPP_FGA" dataDxfId="146"/>
    <tableColumn id="10" xr3:uid="{885802C2-9D75-4C49-B2A8-95AD515C82A8}" name="OPP_FG_PCT" dataDxfId="145"/>
    <tableColumn id="11" xr3:uid="{E432D558-3C39-4B92-A3CC-1CFC3F6D16CE}" name="OPP_FG3M" dataDxfId="144"/>
    <tableColumn id="12" xr3:uid="{4FF24FD6-0EEB-424F-9FAA-7EE53A7E9B04}" name="OPP_FG3A" dataDxfId="143"/>
    <tableColumn id="13" xr3:uid="{10577AE5-63A1-4061-B927-6B8F88AFC723}" name="OPP_FG3_PCT" dataDxfId="142"/>
    <tableColumn id="14" xr3:uid="{112F7875-4CAC-40B0-8224-3616D7D6512F}" name="OPP_FTM" dataDxfId="141"/>
    <tableColumn id="15" xr3:uid="{F6DD4FAB-ABBE-45A5-94F7-984FC3E931D0}" name="OPP_FTA" dataDxfId="140"/>
    <tableColumn id="16" xr3:uid="{764BFACD-A525-4A52-8630-BD6E9B130F07}" name="OPP_FT_PCT" dataDxfId="139"/>
    <tableColumn id="17" xr3:uid="{7348C13F-89A0-4D94-98AF-384B7D6231E3}" name="OPP_OREB" dataDxfId="138"/>
    <tableColumn id="18" xr3:uid="{7CD21D60-F5FF-4A8F-AFC7-EDB837627B7C}" name="OPP_DREB" dataDxfId="137"/>
    <tableColumn id="19" xr3:uid="{314C0D4D-E040-423D-AB43-624A2FA42E79}" name="OPP_REB" dataDxfId="136"/>
    <tableColumn id="20" xr3:uid="{701E9378-388D-40C2-99D7-2E510588C3AD}" name="OPP_AST" dataDxfId="135"/>
    <tableColumn id="21" xr3:uid="{25FA9F39-3608-4C4A-A95A-F76D3C21307F}" name="OPP_TOV" dataDxfId="134"/>
    <tableColumn id="22" xr3:uid="{77DC6707-0AB1-4A73-A008-1C4048BF8B6E}" name="OPP_STL" dataDxfId="133"/>
    <tableColumn id="23" xr3:uid="{2F66DC0F-BC47-49E9-92C0-F6EB90B1FD45}" name="OPP_BLK" dataDxfId="132"/>
    <tableColumn id="24" xr3:uid="{6A5A066D-B5F9-4CCA-8DB6-5FA71ACBFAA0}" name="OPP_BLKA" dataDxfId="131"/>
    <tableColumn id="25" xr3:uid="{52B52DE2-2A2D-4080-9A88-3CCA33479D19}" name="OPP_PF" dataDxfId="130"/>
    <tableColumn id="26" xr3:uid="{B77D0770-BED3-4FAF-B7E8-9B0AC718DDF5}" name="OPP_PFD" dataDxfId="129"/>
    <tableColumn id="27" xr3:uid="{050E8AB1-5739-4B91-98BE-8E8B6C4DDDE5}" name="OPP_PTS" dataDxfId="128"/>
    <tableColumn id="28" xr3:uid="{C3C893CD-8611-4BF1-B9D9-B1E42DB2D2C5}" name="PLUS_MINUS" dataDxfId="127"/>
    <tableColumn id="29" xr3:uid="{30EC3B48-3647-457D-AEC3-4DD6AF11338C}" name="GP_RANK" dataDxfId="126"/>
    <tableColumn id="30" xr3:uid="{D33A4C37-88ED-4BC0-ABCD-DC95A1122766}" name="W_RANK" dataDxfId="125"/>
    <tableColumn id="31" xr3:uid="{9FE01633-8C27-4F9A-B2E5-858C7550429F}" name="L_RANK" dataDxfId="124"/>
    <tableColumn id="32" xr3:uid="{8443876D-BA4E-440C-BD1A-9FA1D759CD3F}" name="W_PCT_RANK" dataDxfId="123"/>
    <tableColumn id="33" xr3:uid="{3447FC23-DDF2-4EA0-8932-1FBCE8593D0B}" name="MIN_RANK" dataDxfId="122"/>
    <tableColumn id="34" xr3:uid="{158868BD-A533-43A3-961D-ABEBCB6DB37D}" name="OPP_FGM_RANK" dataDxfId="121"/>
    <tableColumn id="35" xr3:uid="{60ED6124-A326-40F0-827F-E18723E41F4E}" name="OPP_FGA_RANK" dataDxfId="120"/>
    <tableColumn id="36" xr3:uid="{A7BE653D-BC99-4DFD-BB48-2475114D1275}" name="OPP_FG_PCT_RANK" dataDxfId="119"/>
    <tableColumn id="37" xr3:uid="{4BE0D48A-9BEA-41C2-A401-F8E8FFC791F5}" name="OPP_FG3M_RANK" dataDxfId="118"/>
    <tableColumn id="38" xr3:uid="{24ED7DD3-D83E-4ECF-83E7-05C712DA1A34}" name="OPP_FG3A_RANK" dataDxfId="117"/>
    <tableColumn id="39" xr3:uid="{8BDD1876-7632-491E-BE98-A8E2154EC894}" name="OPP_FG3_PCT_RANK" dataDxfId="116"/>
    <tableColumn id="40" xr3:uid="{B3BC7E85-B2CB-465F-8C11-13D6A64302B4}" name="OPP_FTM_RANK" dataDxfId="115"/>
    <tableColumn id="41" xr3:uid="{86E671CE-AA55-48EA-A499-494727BED22B}" name="OPP_FTA_RANK" dataDxfId="114"/>
    <tableColumn id="42" xr3:uid="{11909374-E5F7-46E5-B0A8-F213ED5BDD4B}" name="OPP_FT_PCT_RANK" dataDxfId="113"/>
    <tableColumn id="43" xr3:uid="{CF195C88-4CD7-46FB-86F0-E632FCC8B92F}" name="OPP_OREB_RANK" dataDxfId="112"/>
    <tableColumn id="44" xr3:uid="{A9BF1709-B481-46E1-91CF-B392254E9F20}" name="OPP_DREB_RANK" dataDxfId="111"/>
    <tableColumn id="45" xr3:uid="{2EB54593-14FB-4062-8526-CB11360EF129}" name="OPP_REB_RANK" dataDxfId="110"/>
    <tableColumn id="46" xr3:uid="{A8072C64-816D-4530-BD44-47DB71342419}" name="OPP_AST_RANK" dataDxfId="109"/>
    <tableColumn id="47" xr3:uid="{9576AB08-E9B4-46DC-92B3-EFFFD63DF687}" name="OPP_TOV_RANK" dataDxfId="108"/>
    <tableColumn id="48" xr3:uid="{50C96F57-D482-43B5-957A-98C3ED72251B}" name="OPP_STL_RANK" dataDxfId="107"/>
    <tableColumn id="49" xr3:uid="{111E4D5D-8583-460F-BEEC-621EB5926FC4}" name="OPP_BLK_RANK" dataDxfId="106"/>
    <tableColumn id="50" xr3:uid="{19DCDED6-D712-4BE1-A99B-E153B7AAECD7}" name="OPP_BLKA_RANK" dataDxfId="105"/>
    <tableColumn id="51" xr3:uid="{2FA75F52-8ABF-42C0-898D-CA3364BB966C}" name="OPP_PF_RANK" dataDxfId="104"/>
    <tableColumn id="52" xr3:uid="{DF65EBE7-C67F-4068-8526-9BC214E49AB4}" name="OPP_PFD_RANK" dataDxfId="103"/>
    <tableColumn id="53" xr3:uid="{1716826C-2455-431B-9A19-E76F0B447A61}" name="OPP_PTS_RANK" dataDxfId="102"/>
    <tableColumn id="54" xr3:uid="{C8832BC1-DF17-42D3-A319-6507ED2542B4}" name="PLUS_MINUS_RANK" dataDxfId="101"/>
    <tableColumn id="55" xr3:uid="{944664BA-58B2-46A7-A765-258B37243777}" name="CFID" dataDxfId="100"/>
    <tableColumn id="56" xr3:uid="{A4E3B592-26A5-4422-9D05-1B9CC69D777A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560491F-AB87-4759-BEEE-75B4CA7A8286}" name="TableClutchAdvancedN1" displayName="TableClutchAdvancedN1" ref="A1:AV31" totalsRowShown="0" headerRowDxfId="0">
  <autoFilter ref="A1:AV31" xr:uid="{F10E2462-360F-4D6D-AC0F-8220D0561A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4BBA72B-E863-4316-AE15-B1717FA603A3}" name="TEAM_ID" dataDxfId="48"/>
    <tableColumn id="2" xr3:uid="{96BF95FE-1A94-413F-A45F-0AF9646F6875}" name="TEAM_NAME" dataDxfId="47"/>
    <tableColumn id="3" xr3:uid="{7E40F88F-744B-464B-98C7-9F0FD6BA4AC1}" name="GP" dataDxfId="46"/>
    <tableColumn id="4" xr3:uid="{801C24B3-2C4A-4CAE-9187-84D95FA50F97}" name="W" dataDxfId="45"/>
    <tableColumn id="5" xr3:uid="{1136D006-69E2-4F4D-AFB5-B3802FF291B2}" name="L" dataDxfId="44"/>
    <tableColumn id="6" xr3:uid="{94C5C285-DDA4-41E2-8F0B-6088785CB9FB}" name="W_PCT" dataDxfId="43"/>
    <tableColumn id="7" xr3:uid="{0C0E68F0-5483-4F7B-B33E-C8F6FA15FDB9}" name="MIN" dataDxfId="42"/>
    <tableColumn id="8" xr3:uid="{C237E6A3-B56F-42AC-8380-48B4FEA3F0C4}" name="E_OFF_RATING" dataDxfId="41"/>
    <tableColumn id="9" xr3:uid="{23774DD3-289C-419E-B60E-112893AB7C0F}" name="OFF_RATING" dataDxfId="40"/>
    <tableColumn id="10" xr3:uid="{586A3B9A-8B68-4506-96E8-76EFBC3259C2}" name="E_DEF_RATING" dataDxfId="39"/>
    <tableColumn id="11" xr3:uid="{8A9C62FE-C723-4366-B3FF-58DC187BA917}" name="DEF_RATING" dataDxfId="38"/>
    <tableColumn id="12" xr3:uid="{2B38DBD8-CEF3-455C-B319-4588E55D8E5D}" name="E_NET_RATING" dataDxfId="37"/>
    <tableColumn id="13" xr3:uid="{BB9C0470-25A9-4795-A48C-663792CB79C7}" name="NET_RATING" dataDxfId="36"/>
    <tableColumn id="14" xr3:uid="{43651D4B-5087-49B3-A7E2-3DF1B32A4D6C}" name="AST_PCT" dataDxfId="35"/>
    <tableColumn id="15" xr3:uid="{F08AD2EA-4A90-4A18-813B-27468FDC3631}" name="AST_TO" dataDxfId="34"/>
    <tableColumn id="16" xr3:uid="{66B6FD6D-84B8-460E-9C2D-B186771F0E6B}" name="AST_RATIO" dataDxfId="33"/>
    <tableColumn id="17" xr3:uid="{6BD2A5FE-C02B-4A4E-A9A7-17ABE531EE07}" name="OREB_PCT" dataDxfId="32"/>
    <tableColumn id="18" xr3:uid="{870BE209-8B2C-423A-B829-7FA635C83AA6}" name="DREB_PCT" dataDxfId="31"/>
    <tableColumn id="19" xr3:uid="{0C08FEDC-2D3E-4C5B-8156-25DC61EE3E5D}" name="REB_PCT" dataDxfId="30"/>
    <tableColumn id="20" xr3:uid="{54837EF5-240A-4B24-A754-62596C0F1B20}" name="TM_TOV_PCT" dataDxfId="29"/>
    <tableColumn id="21" xr3:uid="{8558574E-EE8D-4894-B9F6-1F069C942B0F}" name="EFG_PCT" dataDxfId="28"/>
    <tableColumn id="22" xr3:uid="{50648697-E181-48E9-B9B7-24A90D4B665D}" name="TS_PCT" dataDxfId="27"/>
    <tableColumn id="23" xr3:uid="{2B3E2CFB-AE15-4986-8ACF-776C5F769702}" name="E_PACE" dataDxfId="26"/>
    <tableColumn id="24" xr3:uid="{02AE6075-E63E-4EDE-A081-7B6059F3A9D0}" name="PACE" dataDxfId="25"/>
    <tableColumn id="25" xr3:uid="{C89A7A39-5B93-4550-8DB4-ACF04B0808B4}" name="PACE_PER40" dataDxfId="24"/>
    <tableColumn id="26" xr3:uid="{824DB257-4D92-4457-A4EB-F6FAD7A6F5C1}" name="POSS" dataDxfId="23"/>
    <tableColumn id="27" xr3:uid="{CFDAF143-B1AD-48D7-A91C-612BD9AC0286}" name="PIE" dataDxfId="22"/>
    <tableColumn id="28" xr3:uid="{E50822FC-9582-4F6C-AFA0-EBD486500E9A}" name="GP_RANK" dataDxfId="21"/>
    <tableColumn id="29" xr3:uid="{48DCDF02-65C4-4C0D-95B9-3360B436DB3A}" name="W_RANK" dataDxfId="20"/>
    <tableColumn id="30" xr3:uid="{8A57E259-6FC2-4D9D-9065-9B6C3D4EA8C3}" name="L_RANK" dataDxfId="19"/>
    <tableColumn id="31" xr3:uid="{D242AB22-3759-4F70-B0E5-405BA8AEEBF4}" name="W_PCT_RANK" dataDxfId="18"/>
    <tableColumn id="32" xr3:uid="{8EBFDCF7-9036-418E-8EBE-568EECD32988}" name="MIN_RANK" dataDxfId="17"/>
    <tableColumn id="33" xr3:uid="{D0202694-B6A5-4866-A1D0-4A12CC6015F4}" name="OFF_RATING_RANK" dataDxfId="16"/>
    <tableColumn id="34" xr3:uid="{1B8BC272-329C-4238-801A-AB7BC4C28EC4}" name="DEF_RATING_RANK" dataDxfId="15"/>
    <tableColumn id="35" xr3:uid="{3C293F1E-6BD3-41BB-B154-1DDAD721F165}" name="NET_RATING_RANK" dataDxfId="14"/>
    <tableColumn id="36" xr3:uid="{FDA14DB5-8EA6-4EA5-9B1F-67C180866908}" name="AST_PCT_RANK" dataDxfId="13"/>
    <tableColumn id="37" xr3:uid="{26317BC3-763F-49E2-9ECF-23D80879BC63}" name="AST_TO_RANK" dataDxfId="12"/>
    <tableColumn id="38" xr3:uid="{9E54ECA7-5EA5-4B6B-8764-F26412DE836E}" name="AST_RATIO_RANK" dataDxfId="11"/>
    <tableColumn id="39" xr3:uid="{EF4E83E9-EC3D-4BF2-93D7-2C3FB1E8FDCE}" name="OREB_PCT_RANK" dataDxfId="10"/>
    <tableColumn id="40" xr3:uid="{2692B069-79A8-43C7-B935-A7A52F57901A}" name="DREB_PCT_RANK" dataDxfId="9"/>
    <tableColumn id="41" xr3:uid="{D5D33415-5753-448C-8BEF-93AFD1E766FD}" name="REB_PCT_RANK" dataDxfId="8"/>
    <tableColumn id="42" xr3:uid="{79D81F85-A69A-4977-BA46-AA7284C5CB79}" name="TM_TOV_PCT_RANK" dataDxfId="7"/>
    <tableColumn id="43" xr3:uid="{94531477-BCA6-47FC-B0E7-87082BF8A91A}" name="EFG_PCT_RANK" dataDxfId="6"/>
    <tableColumn id="44" xr3:uid="{966DC84C-540E-42F7-A988-257F17D6B7A8}" name="TS_PCT_RANK" dataDxfId="5"/>
    <tableColumn id="45" xr3:uid="{EBB34DB4-B759-471D-8E8E-9678B90B033A}" name="PACE_RANK" dataDxfId="4"/>
    <tableColumn id="46" xr3:uid="{059A4F93-626B-4378-9B49-728E055E6168}" name="PIE_RANK" dataDxfId="3"/>
    <tableColumn id="47" xr3:uid="{D811C1D0-1076-4BD8-B357-BC98196FA01F}" name="CFID" dataDxfId="2"/>
    <tableColumn id="48" xr3:uid="{3F3AE80D-DCB3-465D-B2D2-C75AEB0A7688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1411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1415</v>
      </c>
      <c r="D3" s="2">
        <v>3</v>
      </c>
      <c r="F3" s="1" t="s">
        <v>1412</v>
      </c>
      <c r="G3" s="2">
        <v>5</v>
      </c>
    </row>
    <row r="4" spans="1:7" x14ac:dyDescent="0.25">
      <c r="A4" s="23"/>
      <c r="B4" s="5" t="s">
        <v>6</v>
      </c>
      <c r="C4" s="11">
        <v>0.622</v>
      </c>
      <c r="F4" s="11">
        <v>0.64300000000000002</v>
      </c>
    </row>
    <row r="5" spans="1:7" x14ac:dyDescent="0.25">
      <c r="A5" s="23"/>
      <c r="B5" s="5" t="s">
        <v>7</v>
      </c>
      <c r="C5" s="1" t="s">
        <v>1416</v>
      </c>
      <c r="F5" s="1" t="s">
        <v>1346</v>
      </c>
    </row>
    <row r="6" spans="1:7" x14ac:dyDescent="0.25">
      <c r="A6" s="23"/>
      <c r="B6" s="5" t="s">
        <v>2</v>
      </c>
      <c r="C6" s="1" t="s">
        <v>1417</v>
      </c>
      <c r="F6" s="1" t="s">
        <v>1413</v>
      </c>
    </row>
    <row r="7" spans="1:7" x14ac:dyDescent="0.25">
      <c r="A7" s="23"/>
      <c r="B7" s="5" t="s">
        <v>3</v>
      </c>
      <c r="C7" s="1" t="s">
        <v>1418</v>
      </c>
      <c r="F7" s="1" t="s">
        <v>1414</v>
      </c>
    </row>
    <row r="8" spans="1:7" x14ac:dyDescent="0.25">
      <c r="A8" s="23"/>
      <c r="B8" s="5" t="s">
        <v>0</v>
      </c>
      <c r="C8" s="1" t="s">
        <v>1419</v>
      </c>
      <c r="F8" s="1" t="s">
        <v>1412</v>
      </c>
    </row>
    <row r="9" spans="1:7" x14ac:dyDescent="0.25">
      <c r="A9" s="23"/>
      <c r="B9" s="5" t="s">
        <v>1</v>
      </c>
      <c r="C9" s="1" t="s">
        <v>1420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0.47099999999999997</v>
      </c>
      <c r="D11" s="3">
        <v>8</v>
      </c>
      <c r="F11" s="9">
        <v>0.46899999999999997</v>
      </c>
      <c r="G11" s="3">
        <v>6</v>
      </c>
    </row>
    <row r="12" spans="1:7" x14ac:dyDescent="0.25">
      <c r="A12" s="23"/>
      <c r="B12" s="14" t="s">
        <v>36</v>
      </c>
      <c r="C12" s="8">
        <v>41.5</v>
      </c>
      <c r="D12" s="3">
        <v>14</v>
      </c>
      <c r="F12" s="8">
        <v>41.6</v>
      </c>
      <c r="G12" s="3">
        <v>7</v>
      </c>
    </row>
    <row r="13" spans="1:7" x14ac:dyDescent="0.25">
      <c r="A13" s="23"/>
      <c r="B13" s="14" t="s">
        <v>37</v>
      </c>
      <c r="C13" s="8">
        <v>88.2</v>
      </c>
      <c r="D13" s="3">
        <v>20</v>
      </c>
      <c r="F13" s="8">
        <v>88.6</v>
      </c>
      <c r="G13" s="3">
        <v>18</v>
      </c>
    </row>
    <row r="14" spans="1:7" x14ac:dyDescent="0.25">
      <c r="A14" s="23"/>
      <c r="B14" s="14" t="s">
        <v>27</v>
      </c>
      <c r="C14" s="9">
        <v>0.35899999999999999</v>
      </c>
      <c r="D14" s="3">
        <v>8</v>
      </c>
      <c r="F14" s="9">
        <v>0.34599999999999997</v>
      </c>
      <c r="G14" s="3">
        <v>17</v>
      </c>
    </row>
    <row r="15" spans="1:7" x14ac:dyDescent="0.25">
      <c r="A15" s="23"/>
      <c r="B15" s="14" t="s">
        <v>38</v>
      </c>
      <c r="C15" s="8">
        <v>10.8</v>
      </c>
      <c r="D15" s="3">
        <v>19</v>
      </c>
      <c r="F15" s="8">
        <v>10.5</v>
      </c>
      <c r="G15" s="3">
        <v>20</v>
      </c>
    </row>
    <row r="16" spans="1:7" x14ac:dyDescent="0.25">
      <c r="A16" s="23"/>
      <c r="B16" s="14" t="s">
        <v>39</v>
      </c>
      <c r="C16" s="8">
        <v>30.2</v>
      </c>
      <c r="D16" s="3">
        <v>19</v>
      </c>
      <c r="F16" s="8">
        <v>30.4</v>
      </c>
      <c r="G16" s="3">
        <v>21</v>
      </c>
    </row>
    <row r="17" spans="1:7" x14ac:dyDescent="0.25">
      <c r="A17" s="23"/>
      <c r="B17" s="14" t="s">
        <v>28</v>
      </c>
      <c r="C17" s="9">
        <v>0.77100000000000002</v>
      </c>
      <c r="D17" s="3">
        <v>16</v>
      </c>
      <c r="F17" s="9">
        <v>0.72799999999999998</v>
      </c>
      <c r="G17" s="3">
        <v>25</v>
      </c>
    </row>
    <row r="18" spans="1:7" x14ac:dyDescent="0.25">
      <c r="A18" s="23"/>
      <c r="B18" s="14" t="s">
        <v>41</v>
      </c>
      <c r="C18" s="8">
        <v>21.2</v>
      </c>
      <c r="D18" s="3">
        <v>2</v>
      </c>
      <c r="F18" s="8">
        <v>16.100000000000001</v>
      </c>
      <c r="G18" s="3">
        <v>23</v>
      </c>
    </row>
    <row r="19" spans="1:7" x14ac:dyDescent="0.25">
      <c r="A19" s="23"/>
      <c r="B19" s="14" t="s">
        <v>40</v>
      </c>
      <c r="C19" s="8">
        <v>27.5</v>
      </c>
      <c r="D19" s="3">
        <v>2</v>
      </c>
      <c r="F19" s="8">
        <v>22.1</v>
      </c>
      <c r="G19" s="3">
        <v>21</v>
      </c>
    </row>
    <row r="20" spans="1:7" x14ac:dyDescent="0.25">
      <c r="A20" s="23"/>
      <c r="B20" s="14" t="s">
        <v>29</v>
      </c>
      <c r="C20" s="8">
        <v>26.9</v>
      </c>
      <c r="D20" s="3">
        <v>4</v>
      </c>
      <c r="F20" s="8">
        <v>26.4</v>
      </c>
      <c r="G20" s="3">
        <v>5</v>
      </c>
    </row>
    <row r="21" spans="1:7" x14ac:dyDescent="0.25">
      <c r="A21" s="23"/>
      <c r="B21" s="14" t="s">
        <v>30</v>
      </c>
      <c r="C21" s="8">
        <v>14.9</v>
      </c>
      <c r="D21" s="3">
        <v>25</v>
      </c>
      <c r="F21" s="8">
        <v>17</v>
      </c>
      <c r="G21" s="3">
        <v>25</v>
      </c>
    </row>
    <row r="22" spans="1:7" x14ac:dyDescent="0.25">
      <c r="A22" s="23"/>
      <c r="B22" s="14" t="s">
        <v>32</v>
      </c>
      <c r="C22" s="8">
        <v>47.8</v>
      </c>
      <c r="D22" s="3">
        <v>4</v>
      </c>
      <c r="F22" s="8">
        <v>46.6</v>
      </c>
      <c r="G22" s="3">
        <v>10</v>
      </c>
    </row>
    <row r="23" spans="1:7" x14ac:dyDescent="0.25">
      <c r="A23" s="23"/>
      <c r="B23" s="14" t="s">
        <v>31</v>
      </c>
      <c r="C23" s="8">
        <v>10.9</v>
      </c>
      <c r="D23" s="3">
        <v>11</v>
      </c>
      <c r="F23" s="8">
        <v>10.1</v>
      </c>
      <c r="G23" s="3">
        <v>21</v>
      </c>
    </row>
    <row r="24" spans="1:7" x14ac:dyDescent="0.25">
      <c r="A24" s="23"/>
      <c r="B24" s="14" t="s">
        <v>33</v>
      </c>
      <c r="C24" s="8">
        <v>36.9</v>
      </c>
      <c r="D24" s="3">
        <v>2</v>
      </c>
      <c r="F24" s="8">
        <v>36.5</v>
      </c>
      <c r="G24" s="3">
        <v>8</v>
      </c>
    </row>
    <row r="25" spans="1:7" x14ac:dyDescent="0.25">
      <c r="A25" s="23"/>
      <c r="B25" s="14" t="s">
        <v>34</v>
      </c>
      <c r="C25" s="8">
        <v>7.4</v>
      </c>
      <c r="D25" s="3">
        <v>19</v>
      </c>
      <c r="F25" s="8">
        <v>8.9</v>
      </c>
      <c r="G25" s="3">
        <v>5</v>
      </c>
    </row>
    <row r="26" spans="1:7" x14ac:dyDescent="0.25">
      <c r="A26" s="23"/>
      <c r="B26" s="14" t="s">
        <v>35</v>
      </c>
      <c r="C26" s="8">
        <v>5.3</v>
      </c>
      <c r="D26" s="3">
        <v>11</v>
      </c>
      <c r="F26" s="8">
        <v>5.9</v>
      </c>
      <c r="G26" s="3">
        <v>7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0.45500000000000002</v>
      </c>
      <c r="D28" s="3">
        <v>10</v>
      </c>
      <c r="F28" s="9">
        <v>0.46</v>
      </c>
      <c r="G28" s="3">
        <v>19</v>
      </c>
    </row>
    <row r="29" spans="1:7" x14ac:dyDescent="0.25">
      <c r="A29" s="23"/>
      <c r="B29" s="18" t="s">
        <v>43</v>
      </c>
      <c r="C29" s="9">
        <v>0.34200000000000003</v>
      </c>
      <c r="D29" s="3">
        <v>4</v>
      </c>
      <c r="F29" s="9">
        <v>0.373</v>
      </c>
      <c r="G29" s="3">
        <v>25</v>
      </c>
    </row>
    <row r="30" spans="1:7" x14ac:dyDescent="0.25">
      <c r="A30" s="23"/>
      <c r="B30" s="18" t="s">
        <v>44</v>
      </c>
      <c r="C30" s="8">
        <v>10.3</v>
      </c>
      <c r="D30" s="3">
        <v>4</v>
      </c>
      <c r="F30" s="8">
        <v>9.9</v>
      </c>
      <c r="G30" s="3">
        <v>3</v>
      </c>
    </row>
    <row r="31" spans="1:7" x14ac:dyDescent="0.25">
      <c r="A31" s="23"/>
      <c r="B31" s="17" t="s">
        <v>45</v>
      </c>
      <c r="C31" s="8">
        <v>30</v>
      </c>
      <c r="D31" s="3">
        <v>6</v>
      </c>
      <c r="F31" s="8">
        <v>26.6</v>
      </c>
      <c r="G31" s="3">
        <v>1</v>
      </c>
    </row>
    <row r="32" spans="1:7" x14ac:dyDescent="0.25">
      <c r="A32" s="23"/>
      <c r="B32" s="17" t="s">
        <v>46</v>
      </c>
      <c r="C32" s="8">
        <v>12.7</v>
      </c>
      <c r="D32" s="3">
        <v>27</v>
      </c>
      <c r="F32" s="8">
        <v>15.7</v>
      </c>
      <c r="G32" s="3">
        <v>12</v>
      </c>
    </row>
    <row r="33" spans="1:7" x14ac:dyDescent="0.25">
      <c r="A33" s="23"/>
      <c r="B33" s="17" t="s">
        <v>47</v>
      </c>
      <c r="C33" s="8">
        <v>10</v>
      </c>
      <c r="D33" s="3">
        <v>10</v>
      </c>
      <c r="F33" s="8">
        <v>7.6</v>
      </c>
      <c r="G33" s="3">
        <v>1</v>
      </c>
    </row>
    <row r="35" spans="1:7" x14ac:dyDescent="0.25">
      <c r="A35" s="23" t="s">
        <v>60</v>
      </c>
      <c r="B35" s="4" t="s">
        <v>8</v>
      </c>
      <c r="C35" s="8">
        <v>111.6</v>
      </c>
      <c r="D35" s="3">
        <v>8</v>
      </c>
      <c r="F35" s="8">
        <v>107</v>
      </c>
      <c r="G35" s="3">
        <v>16</v>
      </c>
    </row>
    <row r="36" spans="1:7" x14ac:dyDescent="0.25">
      <c r="A36" s="23"/>
      <c r="B36" s="4" t="s">
        <v>9</v>
      </c>
      <c r="C36" s="8">
        <v>109</v>
      </c>
      <c r="D36" s="3">
        <v>14</v>
      </c>
      <c r="F36" s="8">
        <v>103.8</v>
      </c>
      <c r="G36" s="3">
        <v>10</v>
      </c>
    </row>
    <row r="37" spans="1:7" x14ac:dyDescent="0.25">
      <c r="A37" s="23"/>
      <c r="B37" s="4" t="s">
        <v>10</v>
      </c>
      <c r="C37" s="8">
        <v>2.6</v>
      </c>
      <c r="D37" s="3">
        <v>11</v>
      </c>
      <c r="F37" s="8">
        <v>3.2</v>
      </c>
      <c r="G37" s="3">
        <v>13</v>
      </c>
    </row>
    <row r="38" spans="1:7" x14ac:dyDescent="0.25">
      <c r="A38" s="23"/>
      <c r="B38" s="4" t="s">
        <v>11</v>
      </c>
      <c r="C38" s="13">
        <v>102.59</v>
      </c>
      <c r="D38" s="3">
        <v>8</v>
      </c>
      <c r="F38" s="13">
        <v>101.78</v>
      </c>
      <c r="G38" s="3">
        <v>17</v>
      </c>
    </row>
    <row r="39" spans="1:7" x14ac:dyDescent="0.25">
      <c r="A39" s="23"/>
      <c r="B39" s="4" t="s">
        <v>12</v>
      </c>
      <c r="C39" s="10">
        <v>0.53200000000000003</v>
      </c>
      <c r="D39" s="3">
        <v>8</v>
      </c>
      <c r="F39" s="9">
        <v>0.52800000000000002</v>
      </c>
      <c r="G39" s="3">
        <v>10</v>
      </c>
    </row>
    <row r="40" spans="1:7" x14ac:dyDescent="0.25">
      <c r="A40" s="23"/>
      <c r="B40" s="4" t="s">
        <v>13</v>
      </c>
      <c r="C40" s="10">
        <v>0.64800000000000002</v>
      </c>
      <c r="D40" s="3">
        <v>3</v>
      </c>
      <c r="F40" s="9">
        <v>0.63600000000000001</v>
      </c>
      <c r="G40" s="3">
        <v>6</v>
      </c>
    </row>
    <row r="41" spans="1:7" x14ac:dyDescent="0.25">
      <c r="A41" s="23"/>
      <c r="B41" s="4" t="s">
        <v>14</v>
      </c>
      <c r="C41" s="10">
        <v>0.51700000000000002</v>
      </c>
      <c r="D41" s="3">
        <v>4</v>
      </c>
      <c r="F41" s="9">
        <v>0.53</v>
      </c>
      <c r="G41" s="3">
        <v>1</v>
      </c>
    </row>
    <row r="42" spans="1:7" x14ac:dyDescent="0.25">
      <c r="A42" s="23"/>
      <c r="B42" s="4" t="s">
        <v>15</v>
      </c>
      <c r="C42" s="10">
        <v>0.27800000000000002</v>
      </c>
      <c r="D42" s="3">
        <v>11</v>
      </c>
      <c r="F42" s="9">
        <v>0.28599999999999998</v>
      </c>
      <c r="G42" s="3">
        <v>6</v>
      </c>
    </row>
    <row r="43" spans="1:7" x14ac:dyDescent="0.25">
      <c r="A43" s="23"/>
      <c r="B43" s="4" t="s">
        <v>16</v>
      </c>
      <c r="C43" s="10">
        <v>0.74099999999999999</v>
      </c>
      <c r="D43" s="3">
        <v>7</v>
      </c>
      <c r="F43" s="9">
        <v>0.78</v>
      </c>
      <c r="G43" s="3">
        <v>1</v>
      </c>
    </row>
    <row r="44" spans="1:7" x14ac:dyDescent="0.25">
      <c r="A44" s="23"/>
      <c r="B44" s="4" t="s">
        <v>17</v>
      </c>
      <c r="C44" s="10">
        <v>0.14399999999999999</v>
      </c>
      <c r="D44" s="3">
        <v>24</v>
      </c>
      <c r="F44" s="9">
        <v>0.16600000000000001</v>
      </c>
      <c r="G44" s="3">
        <v>24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76</v>
      </c>
      <c r="D46" s="3">
        <v>8</v>
      </c>
      <c r="F46" s="8">
        <v>71.7</v>
      </c>
      <c r="G46" s="3">
        <v>16</v>
      </c>
    </row>
    <row r="47" spans="1:7" x14ac:dyDescent="0.25">
      <c r="A47" s="23"/>
      <c r="B47" s="20" t="s">
        <v>49</v>
      </c>
      <c r="C47" s="8">
        <v>73.099999999999994</v>
      </c>
      <c r="D47" s="3">
        <v>11</v>
      </c>
      <c r="F47" s="8">
        <v>68.900000000000006</v>
      </c>
      <c r="G47" s="3">
        <v>10</v>
      </c>
    </row>
    <row r="48" spans="1:7" x14ac:dyDescent="0.25">
      <c r="A48" s="23"/>
      <c r="B48" s="20" t="s">
        <v>50</v>
      </c>
      <c r="C48" s="8">
        <v>2.9</v>
      </c>
      <c r="D48" s="3">
        <v>10</v>
      </c>
      <c r="F48" s="8">
        <v>2.8</v>
      </c>
      <c r="G48" s="3">
        <v>12</v>
      </c>
    </row>
    <row r="49" spans="1:7" x14ac:dyDescent="0.25">
      <c r="A49" s="23"/>
      <c r="B49" s="20" t="s">
        <v>51</v>
      </c>
      <c r="C49" s="8">
        <v>50.1</v>
      </c>
      <c r="D49" s="3">
        <v>28</v>
      </c>
      <c r="F49" s="8">
        <v>48.5</v>
      </c>
      <c r="G49" s="3">
        <v>29</v>
      </c>
    </row>
    <row r="50" spans="1:7" x14ac:dyDescent="0.25">
      <c r="A50" s="23"/>
      <c r="B50" s="20" t="s">
        <v>52</v>
      </c>
      <c r="C50" s="8">
        <v>50.2</v>
      </c>
      <c r="D50" s="3">
        <v>2</v>
      </c>
      <c r="F50" s="8">
        <v>47.9</v>
      </c>
      <c r="G50" s="3">
        <v>3</v>
      </c>
    </row>
    <row r="51" spans="1:7" x14ac:dyDescent="0.25">
      <c r="A51" s="23"/>
      <c r="B51" s="20" t="s">
        <v>53</v>
      </c>
      <c r="C51" s="8">
        <v>-0.1</v>
      </c>
      <c r="D51" s="3">
        <v>12</v>
      </c>
      <c r="F51" s="8">
        <v>0.6</v>
      </c>
      <c r="G51" s="3">
        <v>11</v>
      </c>
    </row>
    <row r="53" spans="1:7" x14ac:dyDescent="0.25">
      <c r="A53" s="23" t="s">
        <v>57</v>
      </c>
      <c r="B53" s="6" t="s">
        <v>18</v>
      </c>
      <c r="C53" s="7">
        <v>15.3</v>
      </c>
      <c r="D53" s="3">
        <v>23</v>
      </c>
      <c r="F53" s="7">
        <v>19</v>
      </c>
      <c r="G53" s="3">
        <v>8</v>
      </c>
    </row>
    <row r="54" spans="1:7" x14ac:dyDescent="0.25">
      <c r="A54" s="23"/>
      <c r="B54" s="6" t="s">
        <v>19</v>
      </c>
      <c r="C54" s="7">
        <v>17.3</v>
      </c>
      <c r="D54" s="3">
        <v>23</v>
      </c>
      <c r="F54" s="7">
        <v>18.100000000000001</v>
      </c>
      <c r="G54" s="3">
        <v>21</v>
      </c>
    </row>
    <row r="55" spans="1:7" x14ac:dyDescent="0.25">
      <c r="A55" s="23"/>
      <c r="B55" s="6" t="s">
        <v>20</v>
      </c>
      <c r="C55" s="7">
        <v>14.1</v>
      </c>
      <c r="D55" s="3">
        <v>6</v>
      </c>
      <c r="F55" s="7">
        <v>13</v>
      </c>
      <c r="G55" s="3">
        <v>15</v>
      </c>
    </row>
    <row r="56" spans="1:7" x14ac:dyDescent="0.25">
      <c r="A56" s="23"/>
      <c r="B56" s="6" t="s">
        <v>21</v>
      </c>
      <c r="C56" s="7">
        <v>12.3</v>
      </c>
      <c r="D56" s="3">
        <v>7</v>
      </c>
      <c r="F56" s="7">
        <v>9.9</v>
      </c>
      <c r="G56" s="3">
        <v>1</v>
      </c>
    </row>
    <row r="57" spans="1:7" x14ac:dyDescent="0.25">
      <c r="A57" s="23"/>
      <c r="B57" s="6" t="s">
        <v>22</v>
      </c>
      <c r="C57" s="7">
        <v>15</v>
      </c>
      <c r="D57" s="3">
        <v>15</v>
      </c>
      <c r="F57" s="7">
        <v>12.9</v>
      </c>
      <c r="G57" s="3">
        <v>12.9</v>
      </c>
    </row>
    <row r="58" spans="1:7" x14ac:dyDescent="0.25">
      <c r="A58" s="23"/>
      <c r="B58" s="6" t="s">
        <v>23</v>
      </c>
      <c r="C58" s="7">
        <v>14.7</v>
      </c>
      <c r="D58" s="3">
        <v>14.7</v>
      </c>
      <c r="F58" s="7">
        <v>12.3</v>
      </c>
      <c r="G58" s="3">
        <v>12.3</v>
      </c>
    </row>
    <row r="59" spans="1:7" x14ac:dyDescent="0.25">
      <c r="A59" s="23"/>
      <c r="B59" s="6" t="s">
        <v>24</v>
      </c>
      <c r="C59" s="7">
        <v>49.4</v>
      </c>
      <c r="D59" s="3">
        <v>14</v>
      </c>
      <c r="F59" s="7">
        <v>51.7</v>
      </c>
      <c r="G59" s="3">
        <v>5</v>
      </c>
    </row>
    <row r="60" spans="1:7" x14ac:dyDescent="0.25">
      <c r="A60" s="23"/>
      <c r="B60" s="6" t="s">
        <v>25</v>
      </c>
      <c r="C60" s="7">
        <v>51.2</v>
      </c>
      <c r="D60" s="3">
        <v>24</v>
      </c>
      <c r="F60" s="7">
        <v>45.9</v>
      </c>
      <c r="G60" s="3">
        <v>11</v>
      </c>
    </row>
    <row r="62" spans="1:7" x14ac:dyDescent="0.25">
      <c r="A62" s="23" t="s">
        <v>58</v>
      </c>
      <c r="B62" s="21" t="s">
        <v>54</v>
      </c>
      <c r="C62" s="22">
        <v>3.7</v>
      </c>
      <c r="D62" s="3">
        <v>17</v>
      </c>
      <c r="F62" s="22">
        <v>3.7</v>
      </c>
      <c r="G62" s="3">
        <v>18</v>
      </c>
    </row>
    <row r="63" spans="1:7" x14ac:dyDescent="0.25">
      <c r="A63" s="23"/>
      <c r="B63" s="21" t="s">
        <v>55</v>
      </c>
      <c r="C63" s="3">
        <v>30</v>
      </c>
      <c r="D63" s="3">
        <v>2</v>
      </c>
      <c r="F63" s="3">
        <v>6</v>
      </c>
      <c r="G63" s="3">
        <v>2</v>
      </c>
    </row>
    <row r="64" spans="1:7" x14ac:dyDescent="0.25">
      <c r="A64" s="23"/>
      <c r="B64" s="21" t="s">
        <v>56</v>
      </c>
      <c r="C64" s="3">
        <v>15</v>
      </c>
      <c r="D64" s="3">
        <v>2</v>
      </c>
      <c r="F64" s="3">
        <v>4</v>
      </c>
      <c r="G64" s="3">
        <v>14</v>
      </c>
    </row>
    <row r="65" spans="1:7" x14ac:dyDescent="0.25">
      <c r="A65" s="23"/>
      <c r="B65" s="21" t="s">
        <v>26</v>
      </c>
      <c r="C65" s="9">
        <v>0.44800000000000001</v>
      </c>
      <c r="D65" s="3">
        <v>9</v>
      </c>
      <c r="F65" s="9">
        <v>0.47299999999999998</v>
      </c>
      <c r="G65" s="3">
        <v>5</v>
      </c>
    </row>
    <row r="66" spans="1:7" x14ac:dyDescent="0.25">
      <c r="A66" s="23"/>
      <c r="B66" s="21" t="s">
        <v>42</v>
      </c>
      <c r="C66" s="9">
        <v>0.42</v>
      </c>
      <c r="D66" s="3">
        <v>13</v>
      </c>
      <c r="F66" s="9">
        <v>0.377</v>
      </c>
      <c r="G66" s="3">
        <v>7</v>
      </c>
    </row>
    <row r="67" spans="1:7" x14ac:dyDescent="0.25">
      <c r="A67" s="23"/>
      <c r="B67" s="21" t="s">
        <v>8</v>
      </c>
      <c r="C67" s="8">
        <v>110.1</v>
      </c>
      <c r="D67" s="3">
        <v>12</v>
      </c>
      <c r="F67" s="8">
        <v>109.9</v>
      </c>
      <c r="G67" s="3">
        <v>12</v>
      </c>
    </row>
    <row r="68" spans="1:7" x14ac:dyDescent="0.25">
      <c r="A68" s="23"/>
      <c r="B68" s="21" t="s">
        <v>9</v>
      </c>
      <c r="C68" s="8">
        <v>108.5</v>
      </c>
      <c r="D68" s="3">
        <v>14</v>
      </c>
      <c r="F68" s="8">
        <v>97.5</v>
      </c>
      <c r="G68" s="3">
        <v>5</v>
      </c>
    </row>
    <row r="69" spans="1:7" x14ac:dyDescent="0.25">
      <c r="A69" s="23"/>
      <c r="B69" s="21" t="s">
        <v>10</v>
      </c>
      <c r="C69" s="8">
        <v>1.6</v>
      </c>
      <c r="D69" s="3">
        <v>11</v>
      </c>
      <c r="F69" s="8">
        <v>12.3</v>
      </c>
      <c r="G69" s="3">
        <v>10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tabSelected="1" workbookViewId="0">
      <selection activeCell="D14" sqref="D14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1610612755</v>
      </c>
      <c r="B2" s="1" t="s">
        <v>755</v>
      </c>
      <c r="C2" s="1" t="s">
        <v>145</v>
      </c>
      <c r="D2" s="1" t="s">
        <v>1347</v>
      </c>
      <c r="E2" s="1" t="s">
        <v>1340</v>
      </c>
      <c r="F2" s="1" t="s">
        <v>757</v>
      </c>
      <c r="G2" s="1" t="s">
        <v>286</v>
      </c>
      <c r="H2" s="1" t="s">
        <v>1342</v>
      </c>
      <c r="I2" s="1" t="s">
        <v>1348</v>
      </c>
      <c r="J2" s="1">
        <v>26</v>
      </c>
      <c r="K2" s="1" t="s">
        <v>758</v>
      </c>
      <c r="L2" s="1" t="s">
        <v>1349</v>
      </c>
      <c r="M2" s="1">
        <v>1626196</v>
      </c>
    </row>
    <row r="3" spans="1:13" x14ac:dyDescent="0.25">
      <c r="A3" s="1">
        <v>1610612755</v>
      </c>
      <c r="B3" s="1" t="s">
        <v>755</v>
      </c>
      <c r="C3" s="1" t="s">
        <v>145</v>
      </c>
      <c r="D3" s="1" t="s">
        <v>1350</v>
      </c>
      <c r="E3" s="1" t="s">
        <v>756</v>
      </c>
      <c r="F3" s="1" t="s">
        <v>760</v>
      </c>
      <c r="G3" s="1" t="s">
        <v>331</v>
      </c>
      <c r="H3" s="1" t="s">
        <v>1351</v>
      </c>
      <c r="I3" s="1" t="s">
        <v>1352</v>
      </c>
      <c r="J3" s="1">
        <v>31</v>
      </c>
      <c r="K3" s="1" t="s">
        <v>1330</v>
      </c>
      <c r="L3" s="1" t="s">
        <v>1333</v>
      </c>
      <c r="M3" s="1">
        <v>203118</v>
      </c>
    </row>
    <row r="4" spans="1:13" x14ac:dyDescent="0.25">
      <c r="A4" s="1">
        <v>1610612755</v>
      </c>
      <c r="B4" s="1" t="s">
        <v>755</v>
      </c>
      <c r="C4" s="1" t="s">
        <v>145</v>
      </c>
      <c r="D4" s="1" t="s">
        <v>1353</v>
      </c>
      <c r="E4" s="1" t="s">
        <v>1328</v>
      </c>
      <c r="F4" s="1" t="s">
        <v>757</v>
      </c>
      <c r="G4" s="1" t="s">
        <v>256</v>
      </c>
      <c r="H4" s="1" t="s">
        <v>1354</v>
      </c>
      <c r="I4" s="1" t="s">
        <v>1355</v>
      </c>
      <c r="J4" s="1">
        <v>20</v>
      </c>
      <c r="K4" s="1" t="s">
        <v>756</v>
      </c>
      <c r="L4" s="1" t="s">
        <v>1356</v>
      </c>
      <c r="M4" s="1">
        <v>1629015</v>
      </c>
    </row>
    <row r="5" spans="1:13" x14ac:dyDescent="0.25">
      <c r="A5" s="1">
        <v>1610612755</v>
      </c>
      <c r="B5" s="1" t="s">
        <v>755</v>
      </c>
      <c r="C5" s="1" t="s">
        <v>145</v>
      </c>
      <c r="D5" s="1" t="s">
        <v>1357</v>
      </c>
      <c r="E5" s="1" t="s">
        <v>1358</v>
      </c>
      <c r="F5" s="1" t="s">
        <v>1338</v>
      </c>
      <c r="G5" s="1" t="s">
        <v>337</v>
      </c>
      <c r="H5" s="1" t="s">
        <v>1339</v>
      </c>
      <c r="I5" s="1" t="s">
        <v>1359</v>
      </c>
      <c r="J5" s="1">
        <v>29</v>
      </c>
      <c r="K5" s="1" t="s">
        <v>1330</v>
      </c>
      <c r="L5" s="1" t="s">
        <v>1360</v>
      </c>
      <c r="M5" s="1">
        <v>203124</v>
      </c>
    </row>
    <row r="6" spans="1:13" x14ac:dyDescent="0.25">
      <c r="A6" s="1">
        <v>1610612755</v>
      </c>
      <c r="B6" s="1" t="s">
        <v>755</v>
      </c>
      <c r="C6" s="1" t="s">
        <v>145</v>
      </c>
      <c r="D6" s="1" t="s">
        <v>1361</v>
      </c>
      <c r="E6" s="1" t="s">
        <v>1324</v>
      </c>
      <c r="F6" s="1" t="s">
        <v>760</v>
      </c>
      <c r="G6" s="1" t="s">
        <v>1325</v>
      </c>
      <c r="H6" s="1" t="s">
        <v>1362</v>
      </c>
      <c r="I6" s="1" t="s">
        <v>1363</v>
      </c>
      <c r="J6" s="1">
        <v>29</v>
      </c>
      <c r="K6" s="1" t="s">
        <v>759</v>
      </c>
      <c r="L6" s="1" t="s">
        <v>1364</v>
      </c>
      <c r="M6" s="1">
        <v>203516</v>
      </c>
    </row>
    <row r="7" spans="1:13" x14ac:dyDescent="0.25">
      <c r="A7" s="1">
        <v>1610612755</v>
      </c>
      <c r="B7" s="1" t="s">
        <v>755</v>
      </c>
      <c r="C7" s="1" t="s">
        <v>145</v>
      </c>
      <c r="D7" s="1" t="s">
        <v>1365</v>
      </c>
      <c r="E7" s="1" t="s">
        <v>1343</v>
      </c>
      <c r="F7" s="1" t="s">
        <v>760</v>
      </c>
      <c r="G7" s="1" t="s">
        <v>299</v>
      </c>
      <c r="H7" s="1" t="s">
        <v>1366</v>
      </c>
      <c r="I7" s="1" t="s">
        <v>1367</v>
      </c>
      <c r="J7" s="1">
        <v>27</v>
      </c>
      <c r="K7" s="1" t="s">
        <v>1328</v>
      </c>
      <c r="L7" s="1" t="s">
        <v>1349</v>
      </c>
      <c r="M7" s="1">
        <v>202699</v>
      </c>
    </row>
    <row r="8" spans="1:13" x14ac:dyDescent="0.25">
      <c r="A8" s="1">
        <v>1610612755</v>
      </c>
      <c r="B8" s="1" t="s">
        <v>755</v>
      </c>
      <c r="C8" s="1" t="s">
        <v>145</v>
      </c>
      <c r="D8" s="1" t="s">
        <v>1368</v>
      </c>
      <c r="E8" s="1" t="s">
        <v>1329</v>
      </c>
      <c r="F8" s="1" t="s">
        <v>760</v>
      </c>
      <c r="G8" s="1" t="s">
        <v>410</v>
      </c>
      <c r="H8" s="1" t="s">
        <v>1369</v>
      </c>
      <c r="I8" s="1" t="s">
        <v>1370</v>
      </c>
      <c r="J8" s="1">
        <v>26</v>
      </c>
      <c r="K8" s="1" t="s">
        <v>1334</v>
      </c>
      <c r="L8" s="1" t="s">
        <v>1371</v>
      </c>
      <c r="M8" s="1">
        <v>203658</v>
      </c>
    </row>
    <row r="9" spans="1:13" x14ac:dyDescent="0.25">
      <c r="A9" s="1">
        <v>1610612755</v>
      </c>
      <c r="B9" s="1" t="s">
        <v>755</v>
      </c>
      <c r="C9" s="1" t="s">
        <v>145</v>
      </c>
      <c r="D9" s="1" t="s">
        <v>1372</v>
      </c>
      <c r="E9" s="1" t="s">
        <v>1373</v>
      </c>
      <c r="F9" s="1" t="s">
        <v>1326</v>
      </c>
      <c r="G9" s="1" t="s">
        <v>286</v>
      </c>
      <c r="H9" s="1" t="s">
        <v>1354</v>
      </c>
      <c r="I9" s="1" t="s">
        <v>1374</v>
      </c>
      <c r="J9" s="1">
        <v>23</v>
      </c>
      <c r="K9" s="1" t="s">
        <v>756</v>
      </c>
      <c r="L9" s="1" t="s">
        <v>1375</v>
      </c>
      <c r="M9" s="1">
        <v>1629003</v>
      </c>
    </row>
    <row r="10" spans="1:13" x14ac:dyDescent="0.25">
      <c r="A10" s="1">
        <v>1610612755</v>
      </c>
      <c r="B10" s="1" t="s">
        <v>755</v>
      </c>
      <c r="C10" s="1" t="s">
        <v>145</v>
      </c>
      <c r="D10" s="1" t="s">
        <v>1376</v>
      </c>
      <c r="E10" s="1" t="s">
        <v>1377</v>
      </c>
      <c r="F10" s="1" t="s">
        <v>757</v>
      </c>
      <c r="G10" s="1" t="s">
        <v>409</v>
      </c>
      <c r="H10" s="1" t="s">
        <v>1378</v>
      </c>
      <c r="I10" s="1" t="s">
        <v>1379</v>
      </c>
      <c r="J10" s="1">
        <v>27</v>
      </c>
      <c r="K10" s="1" t="s">
        <v>758</v>
      </c>
      <c r="L10" s="1" t="s">
        <v>1327</v>
      </c>
      <c r="M10" s="1">
        <v>203526</v>
      </c>
    </row>
    <row r="11" spans="1:13" x14ac:dyDescent="0.25">
      <c r="A11" s="1">
        <v>1610612755</v>
      </c>
      <c r="B11" s="1" t="s">
        <v>755</v>
      </c>
      <c r="C11" s="1" t="s">
        <v>145</v>
      </c>
      <c r="D11" s="1" t="s">
        <v>1380</v>
      </c>
      <c r="E11" s="1" t="s">
        <v>1381</v>
      </c>
      <c r="F11" s="1" t="s">
        <v>1338</v>
      </c>
      <c r="G11" s="1" t="s">
        <v>761</v>
      </c>
      <c r="H11" s="1" t="s">
        <v>1382</v>
      </c>
      <c r="I11" s="1" t="s">
        <v>1383</v>
      </c>
      <c r="J11" s="1">
        <v>25</v>
      </c>
      <c r="K11" s="1" t="s">
        <v>1331</v>
      </c>
      <c r="L11" s="1" t="s">
        <v>1341</v>
      </c>
      <c r="M11" s="1">
        <v>203954</v>
      </c>
    </row>
    <row r="12" spans="1:13" x14ac:dyDescent="0.25">
      <c r="A12" s="1">
        <v>1610612755</v>
      </c>
      <c r="B12" s="1" t="s">
        <v>755</v>
      </c>
      <c r="C12" s="1" t="s">
        <v>145</v>
      </c>
      <c r="D12" s="1" t="s">
        <v>1384</v>
      </c>
      <c r="E12" s="1" t="s">
        <v>1337</v>
      </c>
      <c r="F12" s="1" t="s">
        <v>1326</v>
      </c>
      <c r="G12" s="1" t="s">
        <v>286</v>
      </c>
      <c r="H12" s="1" t="s">
        <v>1385</v>
      </c>
      <c r="I12" s="1" t="s">
        <v>1386</v>
      </c>
      <c r="J12" s="1">
        <v>22</v>
      </c>
      <c r="K12" s="1" t="s">
        <v>1334</v>
      </c>
      <c r="L12" s="1" t="s">
        <v>357</v>
      </c>
      <c r="M12" s="1">
        <v>1629680</v>
      </c>
    </row>
    <row r="13" spans="1:13" x14ac:dyDescent="0.25">
      <c r="A13" s="1">
        <v>1610612755</v>
      </c>
      <c r="B13" s="1" t="s">
        <v>755</v>
      </c>
      <c r="C13" s="1" t="s">
        <v>145</v>
      </c>
      <c r="D13" s="1" t="s">
        <v>1387</v>
      </c>
      <c r="E13" s="1" t="s">
        <v>1344</v>
      </c>
      <c r="F13" s="1" t="s">
        <v>757</v>
      </c>
      <c r="G13" s="1" t="s">
        <v>248</v>
      </c>
      <c r="H13" s="1" t="s">
        <v>1332</v>
      </c>
      <c r="I13" s="1" t="s">
        <v>1388</v>
      </c>
      <c r="J13" s="1">
        <v>27</v>
      </c>
      <c r="K13" s="1" t="s">
        <v>1389</v>
      </c>
      <c r="L13" s="1" t="s">
        <v>1390</v>
      </c>
      <c r="M13" s="1">
        <v>203504</v>
      </c>
    </row>
    <row r="14" spans="1:13" x14ac:dyDescent="0.25">
      <c r="A14" s="1">
        <v>1610612755</v>
      </c>
      <c r="B14" s="1" t="s">
        <v>755</v>
      </c>
      <c r="C14" s="1" t="s">
        <v>145</v>
      </c>
      <c r="D14" s="1" t="s">
        <v>1391</v>
      </c>
      <c r="E14" s="1" t="s">
        <v>1345</v>
      </c>
      <c r="F14" s="1" t="s">
        <v>1326</v>
      </c>
      <c r="G14" s="1" t="s">
        <v>410</v>
      </c>
      <c r="H14" s="1" t="s">
        <v>1335</v>
      </c>
      <c r="I14" s="1" t="s">
        <v>1392</v>
      </c>
      <c r="J14" s="1">
        <v>23</v>
      </c>
      <c r="K14" s="1" t="s">
        <v>1323</v>
      </c>
      <c r="L14" s="1" t="s">
        <v>1393</v>
      </c>
      <c r="M14" s="1">
        <v>1627732</v>
      </c>
    </row>
    <row r="15" spans="1:13" x14ac:dyDescent="0.25">
      <c r="A15" s="1">
        <v>1610612755</v>
      </c>
      <c r="B15" s="1" t="s">
        <v>755</v>
      </c>
      <c r="C15" s="1" t="s">
        <v>145</v>
      </c>
      <c r="D15" s="1" t="s">
        <v>1394</v>
      </c>
      <c r="E15" s="1" t="s">
        <v>1395</v>
      </c>
      <c r="F15" s="1" t="s">
        <v>1326</v>
      </c>
      <c r="G15" s="1" t="s">
        <v>331</v>
      </c>
      <c r="H15" s="1" t="s">
        <v>1396</v>
      </c>
      <c r="I15" s="1" t="s">
        <v>1397</v>
      </c>
      <c r="J15" s="1">
        <v>22</v>
      </c>
      <c r="K15" s="1" t="s">
        <v>1323</v>
      </c>
      <c r="L15" s="1" t="s">
        <v>1327</v>
      </c>
      <c r="M15" s="1">
        <v>1627788</v>
      </c>
    </row>
    <row r="16" spans="1:13" x14ac:dyDescent="0.25">
      <c r="A16" s="1">
        <v>1610612755</v>
      </c>
      <c r="B16" s="1" t="s">
        <v>755</v>
      </c>
      <c r="C16" s="1" t="s">
        <v>145</v>
      </c>
      <c r="D16" s="1" t="s">
        <v>1398</v>
      </c>
      <c r="E16" s="1" t="s">
        <v>1399</v>
      </c>
      <c r="F16" s="1" t="s">
        <v>1326</v>
      </c>
      <c r="G16" s="1" t="s">
        <v>286</v>
      </c>
      <c r="H16" s="1" t="s">
        <v>1400</v>
      </c>
      <c r="I16" s="1" t="s">
        <v>1401</v>
      </c>
      <c r="J16" s="1">
        <v>24</v>
      </c>
      <c r="K16" s="1" t="s">
        <v>1334</v>
      </c>
      <c r="L16" s="1" t="s">
        <v>1402</v>
      </c>
      <c r="M16" s="1">
        <v>1629621</v>
      </c>
    </row>
    <row r="17" spans="1:13" x14ac:dyDescent="0.25">
      <c r="A17" s="1">
        <v>1610612755</v>
      </c>
      <c r="B17" s="1" t="s">
        <v>755</v>
      </c>
      <c r="C17" s="1" t="s">
        <v>145</v>
      </c>
      <c r="D17" s="1" t="s">
        <v>1403</v>
      </c>
      <c r="E17" s="1" t="s">
        <v>1404</v>
      </c>
      <c r="F17" s="1" t="s">
        <v>1338</v>
      </c>
      <c r="G17" s="1" t="s">
        <v>337</v>
      </c>
      <c r="H17" s="1" t="s">
        <v>1335</v>
      </c>
      <c r="I17" s="1" t="s">
        <v>1405</v>
      </c>
      <c r="J17" s="1">
        <v>33</v>
      </c>
      <c r="K17" s="1" t="s">
        <v>1343</v>
      </c>
      <c r="L17" s="1" t="s">
        <v>1406</v>
      </c>
      <c r="M17" s="1">
        <v>201143</v>
      </c>
    </row>
    <row r="18" spans="1:13" x14ac:dyDescent="0.25">
      <c r="A18" s="1">
        <v>1610612755</v>
      </c>
      <c r="B18" s="1" t="s">
        <v>755</v>
      </c>
      <c r="C18" s="1" t="s">
        <v>145</v>
      </c>
      <c r="D18" s="1" t="s">
        <v>1407</v>
      </c>
      <c r="E18" s="1" t="s">
        <v>1408</v>
      </c>
      <c r="F18" s="1" t="s">
        <v>760</v>
      </c>
      <c r="G18" s="1" t="s">
        <v>299</v>
      </c>
      <c r="H18" s="1" t="s">
        <v>1336</v>
      </c>
      <c r="I18" s="1" t="s">
        <v>1409</v>
      </c>
      <c r="J18" s="1">
        <v>23</v>
      </c>
      <c r="K18" s="1" t="s">
        <v>756</v>
      </c>
      <c r="L18" s="1" t="s">
        <v>1410</v>
      </c>
      <c r="M18" s="1">
        <v>1628413</v>
      </c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763</v>
      </c>
      <c r="H2" s="1">
        <v>1</v>
      </c>
      <c r="I2" s="1" t="s">
        <v>764</v>
      </c>
      <c r="J2" s="1" t="s">
        <v>152</v>
      </c>
      <c r="K2" s="1" t="s">
        <v>765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766</v>
      </c>
      <c r="R2" s="1" t="s">
        <v>767</v>
      </c>
      <c r="S2" s="1" t="s">
        <v>768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769</v>
      </c>
      <c r="Z2" s="1">
        <v>6</v>
      </c>
      <c r="AA2" s="1" t="s">
        <v>188</v>
      </c>
      <c r="AB2" s="1">
        <v>11</v>
      </c>
      <c r="AC2" s="1" t="s">
        <v>770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771</v>
      </c>
      <c r="AT2" s="1" t="s">
        <v>772</v>
      </c>
      <c r="AU2" s="1" t="s">
        <v>232</v>
      </c>
      <c r="AV2" s="1" t="s">
        <v>773</v>
      </c>
      <c r="AW2" s="1" t="s">
        <v>774</v>
      </c>
      <c r="AX2" s="1" t="s">
        <v>185</v>
      </c>
      <c r="AY2" s="1" t="s">
        <v>775</v>
      </c>
      <c r="AZ2" s="1" t="s">
        <v>776</v>
      </c>
      <c r="BA2" s="1" t="s">
        <v>777</v>
      </c>
      <c r="BB2" s="1" t="s">
        <v>778</v>
      </c>
      <c r="BC2" s="1" t="s">
        <v>779</v>
      </c>
      <c r="BD2" s="1" t="s">
        <v>780</v>
      </c>
      <c r="BE2" s="1">
        <v>117.7</v>
      </c>
      <c r="BF2" s="1">
        <v>111.2</v>
      </c>
      <c r="BG2" s="1">
        <v>6.5</v>
      </c>
      <c r="BH2" s="1" t="s">
        <v>781</v>
      </c>
      <c r="BI2" s="1" t="s">
        <v>266</v>
      </c>
      <c r="BJ2" s="1" t="s">
        <v>216</v>
      </c>
      <c r="BK2" s="1" t="s">
        <v>216</v>
      </c>
      <c r="BL2" s="1" t="s">
        <v>763</v>
      </c>
      <c r="BM2" s="1" t="s">
        <v>782</v>
      </c>
      <c r="BN2" s="1" t="s">
        <v>783</v>
      </c>
      <c r="BO2" s="1" t="s">
        <v>784</v>
      </c>
      <c r="BP2" s="1" t="s">
        <v>785</v>
      </c>
      <c r="BQ2" s="1" t="s">
        <v>786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787</v>
      </c>
      <c r="CC2" s="1" t="s">
        <v>788</v>
      </c>
    </row>
    <row r="3" spans="1:81" x14ac:dyDescent="0.25">
      <c r="A3" s="1" t="s">
        <v>145</v>
      </c>
      <c r="B3" s="1" t="s">
        <v>762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789</v>
      </c>
      <c r="H3" s="1">
        <v>1</v>
      </c>
      <c r="I3" s="1" t="s">
        <v>790</v>
      </c>
      <c r="J3" s="1" t="s">
        <v>181</v>
      </c>
      <c r="K3" s="1" t="s">
        <v>791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792</v>
      </c>
      <c r="R3" s="1" t="s">
        <v>793</v>
      </c>
      <c r="S3" s="1" t="s">
        <v>768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794</v>
      </c>
      <c r="Z3" s="1">
        <v>6</v>
      </c>
      <c r="AA3" s="1" t="s">
        <v>188</v>
      </c>
      <c r="AB3" s="1">
        <v>10</v>
      </c>
      <c r="AC3" s="1" t="s">
        <v>795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796</v>
      </c>
      <c r="AT3" s="1" t="s">
        <v>797</v>
      </c>
      <c r="AU3" s="1" t="s">
        <v>161</v>
      </c>
      <c r="AV3" s="1" t="s">
        <v>798</v>
      </c>
      <c r="AW3" s="1" t="s">
        <v>799</v>
      </c>
      <c r="AX3" s="1" t="s">
        <v>186</v>
      </c>
      <c r="AY3" s="1" t="s">
        <v>800</v>
      </c>
      <c r="AZ3" s="1" t="s">
        <v>801</v>
      </c>
      <c r="BA3" s="1" t="s">
        <v>802</v>
      </c>
      <c r="BB3" s="1" t="s">
        <v>803</v>
      </c>
      <c r="BC3" s="1" t="s">
        <v>804</v>
      </c>
      <c r="BD3" s="1" t="s">
        <v>805</v>
      </c>
      <c r="BE3" s="1">
        <v>118.1</v>
      </c>
      <c r="BF3" s="1">
        <v>109.3</v>
      </c>
      <c r="BG3" s="1">
        <v>8.9</v>
      </c>
      <c r="BH3" s="1" t="s">
        <v>789</v>
      </c>
      <c r="BI3" s="1" t="s">
        <v>806</v>
      </c>
      <c r="BJ3" s="1" t="s">
        <v>807</v>
      </c>
      <c r="BK3" s="1" t="s">
        <v>806</v>
      </c>
      <c r="BL3" s="1" t="s">
        <v>808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809</v>
      </c>
      <c r="BS3" s="1" t="s">
        <v>228</v>
      </c>
      <c r="BT3" s="1"/>
      <c r="BU3" s="1"/>
      <c r="BV3" s="1"/>
      <c r="BW3" s="1"/>
      <c r="BX3" s="1"/>
      <c r="BY3" s="1" t="s">
        <v>761</v>
      </c>
      <c r="BZ3" s="1" t="s">
        <v>291</v>
      </c>
      <c r="CA3" s="1" t="s">
        <v>253</v>
      </c>
      <c r="CB3" s="1" t="s">
        <v>810</v>
      </c>
      <c r="CC3" s="1" t="s">
        <v>811</v>
      </c>
    </row>
    <row r="4" spans="1:81" x14ac:dyDescent="0.25">
      <c r="A4" s="1" t="s">
        <v>145</v>
      </c>
      <c r="B4" s="1" t="s">
        <v>762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812</v>
      </c>
      <c r="H4" s="1">
        <v>2</v>
      </c>
      <c r="I4" s="1" t="s">
        <v>813</v>
      </c>
      <c r="J4" s="1" t="s">
        <v>203</v>
      </c>
      <c r="K4" s="1" t="s">
        <v>814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815</v>
      </c>
      <c r="R4" s="1" t="s">
        <v>816</v>
      </c>
      <c r="S4" s="1" t="s">
        <v>817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818</v>
      </c>
      <c r="Y4" s="1" t="s">
        <v>819</v>
      </c>
      <c r="Z4" s="1">
        <v>10</v>
      </c>
      <c r="AA4" s="1" t="s">
        <v>795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820</v>
      </c>
      <c r="AT4" s="1" t="s">
        <v>821</v>
      </c>
      <c r="AU4" s="1" t="s">
        <v>185</v>
      </c>
      <c r="AV4" s="1" t="s">
        <v>822</v>
      </c>
      <c r="AW4" s="1" t="s">
        <v>823</v>
      </c>
      <c r="AX4" s="1" t="s">
        <v>157</v>
      </c>
      <c r="AY4" s="1" t="s">
        <v>824</v>
      </c>
      <c r="AZ4" s="1" t="s">
        <v>825</v>
      </c>
      <c r="BA4" s="1" t="s">
        <v>826</v>
      </c>
      <c r="BB4" s="1" t="s">
        <v>827</v>
      </c>
      <c r="BC4" s="1" t="s">
        <v>828</v>
      </c>
      <c r="BD4" s="1" t="s">
        <v>829</v>
      </c>
      <c r="BE4" s="1">
        <v>114.4</v>
      </c>
      <c r="BF4" s="1">
        <v>108.4</v>
      </c>
      <c r="BG4" s="1">
        <v>6.1</v>
      </c>
      <c r="BH4" s="1" t="s">
        <v>812</v>
      </c>
      <c r="BI4" s="1" t="s">
        <v>830</v>
      </c>
      <c r="BJ4" s="1" t="s">
        <v>784</v>
      </c>
      <c r="BK4" s="1" t="s">
        <v>831</v>
      </c>
      <c r="BL4" s="1" t="s">
        <v>781</v>
      </c>
      <c r="BM4" s="1" t="s">
        <v>266</v>
      </c>
      <c r="BN4" s="1" t="s">
        <v>832</v>
      </c>
      <c r="BO4" s="1" t="s">
        <v>266</v>
      </c>
      <c r="BP4" s="1" t="s">
        <v>261</v>
      </c>
      <c r="BQ4" s="1" t="s">
        <v>173</v>
      </c>
      <c r="BR4" s="1" t="s">
        <v>833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834</v>
      </c>
      <c r="CC4" s="1" t="s">
        <v>835</v>
      </c>
    </row>
    <row r="5" spans="1:81" x14ac:dyDescent="0.25">
      <c r="A5" s="1" t="s">
        <v>145</v>
      </c>
      <c r="B5" s="1" t="s">
        <v>762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836</v>
      </c>
      <c r="H5" s="1">
        <v>2</v>
      </c>
      <c r="I5" s="1" t="s">
        <v>837</v>
      </c>
      <c r="J5" s="1" t="s">
        <v>219</v>
      </c>
      <c r="K5" s="1" t="s">
        <v>814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838</v>
      </c>
      <c r="R5" s="1" t="s">
        <v>839</v>
      </c>
      <c r="S5" s="1" t="s">
        <v>840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765</v>
      </c>
      <c r="Y5" s="1" t="s">
        <v>841</v>
      </c>
      <c r="Z5" s="1">
        <v>12</v>
      </c>
      <c r="AA5" s="1" t="s">
        <v>842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843</v>
      </c>
      <c r="AT5" s="1" t="s">
        <v>844</v>
      </c>
      <c r="AU5" s="1" t="s">
        <v>185</v>
      </c>
      <c r="AV5" s="1" t="s">
        <v>845</v>
      </c>
      <c r="AW5" s="1" t="s">
        <v>846</v>
      </c>
      <c r="AX5" s="1" t="s">
        <v>155</v>
      </c>
      <c r="AY5" s="1" t="s">
        <v>847</v>
      </c>
      <c r="AZ5" s="1" t="s">
        <v>848</v>
      </c>
      <c r="BA5" s="1" t="s">
        <v>849</v>
      </c>
      <c r="BB5" s="1" t="s">
        <v>850</v>
      </c>
      <c r="BC5" s="1" t="s">
        <v>851</v>
      </c>
      <c r="BD5" s="1" t="s">
        <v>852</v>
      </c>
      <c r="BE5" s="1">
        <v>110.7</v>
      </c>
      <c r="BF5" s="1">
        <v>106.7</v>
      </c>
      <c r="BG5" s="1">
        <v>4</v>
      </c>
      <c r="BH5" s="1" t="s">
        <v>808</v>
      </c>
      <c r="BI5" s="1" t="s">
        <v>296</v>
      </c>
      <c r="BJ5" s="1" t="s">
        <v>266</v>
      </c>
      <c r="BK5" s="1" t="s">
        <v>296</v>
      </c>
      <c r="BL5" s="1" t="s">
        <v>836</v>
      </c>
      <c r="BM5" s="1" t="s">
        <v>830</v>
      </c>
      <c r="BN5" s="1" t="s">
        <v>782</v>
      </c>
      <c r="BO5" s="1" t="s">
        <v>784</v>
      </c>
      <c r="BP5" s="1" t="s">
        <v>830</v>
      </c>
      <c r="BQ5" s="1" t="s">
        <v>786</v>
      </c>
      <c r="BR5" s="1" t="s">
        <v>833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833</v>
      </c>
      <c r="CA5" s="1" t="s">
        <v>853</v>
      </c>
      <c r="CB5" s="1" t="s">
        <v>854</v>
      </c>
      <c r="CC5" s="1" t="s">
        <v>855</v>
      </c>
    </row>
    <row r="6" spans="1:81" x14ac:dyDescent="0.25">
      <c r="A6" s="1" t="s">
        <v>145</v>
      </c>
      <c r="B6" s="1" t="s">
        <v>762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856</v>
      </c>
      <c r="H6" s="1">
        <v>3</v>
      </c>
      <c r="I6" s="1" t="s">
        <v>857</v>
      </c>
      <c r="J6" s="1" t="s">
        <v>203</v>
      </c>
      <c r="K6" s="1" t="s">
        <v>858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859</v>
      </c>
      <c r="R6" s="1" t="s">
        <v>860</v>
      </c>
      <c r="S6" s="1" t="s">
        <v>840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861</v>
      </c>
      <c r="Y6" s="1" t="s">
        <v>862</v>
      </c>
      <c r="Z6" s="1">
        <v>10</v>
      </c>
      <c r="AA6" s="1" t="s">
        <v>795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863</v>
      </c>
      <c r="AT6" s="1" t="s">
        <v>864</v>
      </c>
      <c r="AU6" s="1" t="s">
        <v>208</v>
      </c>
      <c r="AV6" s="1" t="s">
        <v>771</v>
      </c>
      <c r="AW6" s="1" t="s">
        <v>865</v>
      </c>
      <c r="AX6" s="1" t="s">
        <v>186</v>
      </c>
      <c r="AY6" s="1" t="s">
        <v>866</v>
      </c>
      <c r="AZ6" s="1" t="s">
        <v>867</v>
      </c>
      <c r="BA6" s="1" t="s">
        <v>868</v>
      </c>
      <c r="BB6" s="1" t="s">
        <v>851</v>
      </c>
      <c r="BC6" s="1" t="s">
        <v>787</v>
      </c>
      <c r="BD6" s="1" t="s">
        <v>869</v>
      </c>
      <c r="BE6" s="1">
        <v>115.2</v>
      </c>
      <c r="BF6" s="1">
        <v>112.5</v>
      </c>
      <c r="BG6" s="1">
        <v>2.7</v>
      </c>
      <c r="BH6" s="1" t="s">
        <v>856</v>
      </c>
      <c r="BI6" s="1" t="s">
        <v>870</v>
      </c>
      <c r="BJ6" s="1" t="s">
        <v>782</v>
      </c>
      <c r="BK6" s="1" t="s">
        <v>871</v>
      </c>
      <c r="BL6" s="1" t="s">
        <v>808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830</v>
      </c>
      <c r="CA6" s="1" t="s">
        <v>872</v>
      </c>
      <c r="CB6" s="1" t="s">
        <v>873</v>
      </c>
      <c r="CC6" s="1" t="s">
        <v>874</v>
      </c>
    </row>
    <row r="7" spans="1:81" x14ac:dyDescent="0.25">
      <c r="A7" s="1" t="s">
        <v>145</v>
      </c>
      <c r="B7" s="1" t="s">
        <v>762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875</v>
      </c>
      <c r="H7" s="1">
        <v>3</v>
      </c>
      <c r="I7" s="1" t="s">
        <v>857</v>
      </c>
      <c r="J7" s="1" t="s">
        <v>219</v>
      </c>
      <c r="K7" s="1" t="s">
        <v>876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877</v>
      </c>
      <c r="R7" s="1" t="s">
        <v>816</v>
      </c>
      <c r="S7" s="1" t="s">
        <v>878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879</v>
      </c>
      <c r="Z7" s="1">
        <v>8</v>
      </c>
      <c r="AA7" s="1" t="s">
        <v>880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880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881</v>
      </c>
      <c r="AT7" s="1" t="s">
        <v>882</v>
      </c>
      <c r="AU7" s="1" t="s">
        <v>260</v>
      </c>
      <c r="AV7" s="1" t="s">
        <v>883</v>
      </c>
      <c r="AW7" s="1" t="s">
        <v>884</v>
      </c>
      <c r="AX7" s="1" t="s">
        <v>161</v>
      </c>
      <c r="AY7" s="1" t="s">
        <v>885</v>
      </c>
      <c r="AZ7" s="1" t="s">
        <v>886</v>
      </c>
      <c r="BA7" s="1" t="s">
        <v>887</v>
      </c>
      <c r="BB7" s="1" t="s">
        <v>888</v>
      </c>
      <c r="BC7" s="1" t="s">
        <v>889</v>
      </c>
      <c r="BD7" s="1" t="s">
        <v>890</v>
      </c>
      <c r="BE7" s="1">
        <v>114.7</v>
      </c>
      <c r="BF7" s="1">
        <v>110.5</v>
      </c>
      <c r="BG7" s="1">
        <v>4.2</v>
      </c>
      <c r="BH7" s="1" t="s">
        <v>891</v>
      </c>
      <c r="BI7" s="1" t="s">
        <v>176</v>
      </c>
      <c r="BJ7" s="1" t="s">
        <v>216</v>
      </c>
      <c r="BK7" s="1" t="s">
        <v>296</v>
      </c>
      <c r="BL7" s="1" t="s">
        <v>875</v>
      </c>
      <c r="BM7" s="1" t="s">
        <v>410</v>
      </c>
      <c r="BN7" s="1" t="s">
        <v>782</v>
      </c>
      <c r="BO7" s="1" t="s">
        <v>871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892</v>
      </c>
      <c r="CC7" s="1" t="s">
        <v>893</v>
      </c>
    </row>
    <row r="8" spans="1:81" x14ac:dyDescent="0.25">
      <c r="A8" s="1" t="s">
        <v>145</v>
      </c>
      <c r="B8" s="1" t="s">
        <v>762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894</v>
      </c>
      <c r="H8" s="1">
        <v>4</v>
      </c>
      <c r="I8" s="1" t="s">
        <v>895</v>
      </c>
      <c r="J8" s="1" t="s">
        <v>231</v>
      </c>
      <c r="K8" s="1" t="s">
        <v>896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877</v>
      </c>
      <c r="R8" s="1" t="s">
        <v>860</v>
      </c>
      <c r="S8" s="1" t="s">
        <v>897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898</v>
      </c>
      <c r="Y8" s="1" t="s">
        <v>899</v>
      </c>
      <c r="Z8" s="1">
        <v>10</v>
      </c>
      <c r="AA8" s="1" t="s">
        <v>795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900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901</v>
      </c>
      <c r="AT8" s="1" t="s">
        <v>902</v>
      </c>
      <c r="AU8" s="1" t="s">
        <v>157</v>
      </c>
      <c r="AV8" s="1" t="s">
        <v>903</v>
      </c>
      <c r="AW8" s="1" t="s">
        <v>904</v>
      </c>
      <c r="AX8" s="1" t="s">
        <v>190</v>
      </c>
      <c r="AY8" s="1" t="s">
        <v>847</v>
      </c>
      <c r="AZ8" s="1" t="s">
        <v>905</v>
      </c>
      <c r="BA8" s="1" t="s">
        <v>826</v>
      </c>
      <c r="BB8" s="1" t="s">
        <v>906</v>
      </c>
      <c r="BC8" s="1" t="s">
        <v>907</v>
      </c>
      <c r="BD8" s="1" t="s">
        <v>908</v>
      </c>
      <c r="BE8" s="1">
        <v>113.9</v>
      </c>
      <c r="BF8" s="1">
        <v>109.1</v>
      </c>
      <c r="BG8" s="1">
        <v>4.8</v>
      </c>
      <c r="BH8" s="1" t="s">
        <v>909</v>
      </c>
      <c r="BI8" s="1" t="s">
        <v>216</v>
      </c>
      <c r="BJ8" s="1" t="s">
        <v>266</v>
      </c>
      <c r="BK8" s="1" t="s">
        <v>296</v>
      </c>
      <c r="BL8" s="1" t="s">
        <v>894</v>
      </c>
      <c r="BM8" s="1" t="s">
        <v>910</v>
      </c>
      <c r="BN8" s="1" t="s">
        <v>831</v>
      </c>
      <c r="BO8" s="1" t="s">
        <v>809</v>
      </c>
      <c r="BP8" s="1" t="s">
        <v>291</v>
      </c>
      <c r="BQ8" s="1" t="s">
        <v>853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911</v>
      </c>
      <c r="BZ8" s="1" t="s">
        <v>833</v>
      </c>
      <c r="CA8" s="1" t="s">
        <v>233</v>
      </c>
      <c r="CB8" s="1" t="s">
        <v>912</v>
      </c>
      <c r="CC8" s="1" t="s">
        <v>913</v>
      </c>
    </row>
    <row r="9" spans="1:81" x14ac:dyDescent="0.25">
      <c r="A9" s="1" t="s">
        <v>145</v>
      </c>
      <c r="B9" s="1" t="s">
        <v>762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763</v>
      </c>
      <c r="H9" s="1">
        <v>4</v>
      </c>
      <c r="I9" s="1" t="s">
        <v>857</v>
      </c>
      <c r="J9" s="1" t="s">
        <v>203</v>
      </c>
      <c r="K9" s="1" t="s">
        <v>896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914</v>
      </c>
      <c r="R9" s="1" t="s">
        <v>915</v>
      </c>
      <c r="S9" s="1" t="s">
        <v>878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916</v>
      </c>
      <c r="Z9" s="1">
        <v>10</v>
      </c>
      <c r="AA9" s="1" t="s">
        <v>795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917</v>
      </c>
      <c r="AT9" s="1" t="s">
        <v>918</v>
      </c>
      <c r="AU9" s="1" t="s">
        <v>260</v>
      </c>
      <c r="AV9" s="1" t="s">
        <v>919</v>
      </c>
      <c r="AW9" s="1" t="s">
        <v>846</v>
      </c>
      <c r="AX9" s="1" t="s">
        <v>164</v>
      </c>
      <c r="AY9" s="1" t="s">
        <v>920</v>
      </c>
      <c r="AZ9" s="1" t="s">
        <v>921</v>
      </c>
      <c r="BA9" s="1" t="s">
        <v>922</v>
      </c>
      <c r="BB9" s="1" t="s">
        <v>923</v>
      </c>
      <c r="BC9" s="1" t="s">
        <v>805</v>
      </c>
      <c r="BD9" s="1" t="s">
        <v>924</v>
      </c>
      <c r="BE9" s="1">
        <v>112.4</v>
      </c>
      <c r="BF9" s="1">
        <v>108</v>
      </c>
      <c r="BG9" s="1">
        <v>4.4000000000000004</v>
      </c>
      <c r="BH9" s="1" t="s">
        <v>763</v>
      </c>
      <c r="BI9" s="1" t="s">
        <v>809</v>
      </c>
      <c r="BJ9" s="1" t="s">
        <v>806</v>
      </c>
      <c r="BK9" s="1" t="s">
        <v>782</v>
      </c>
      <c r="BL9" s="1" t="s">
        <v>925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926</v>
      </c>
      <c r="CA9" s="1" t="s">
        <v>270</v>
      </c>
      <c r="CB9" s="1" t="s">
        <v>873</v>
      </c>
      <c r="CC9" s="1" t="s">
        <v>927</v>
      </c>
    </row>
    <row r="10" spans="1:81" x14ac:dyDescent="0.25">
      <c r="A10" s="1" t="s">
        <v>145</v>
      </c>
      <c r="B10" s="1" t="s">
        <v>762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928</v>
      </c>
      <c r="H10" s="1">
        <v>5</v>
      </c>
      <c r="I10" s="1" t="s">
        <v>857</v>
      </c>
      <c r="J10" s="1" t="s">
        <v>181</v>
      </c>
      <c r="K10" s="1" t="s">
        <v>929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930</v>
      </c>
      <c r="R10" s="1" t="s">
        <v>899</v>
      </c>
      <c r="S10" s="1" t="s">
        <v>931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932</v>
      </c>
      <c r="Z10" s="1">
        <v>5</v>
      </c>
      <c r="AA10" s="1" t="s">
        <v>160</v>
      </c>
      <c r="AB10" s="1">
        <v>-10</v>
      </c>
      <c r="AC10" s="1" t="s">
        <v>933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934</v>
      </c>
      <c r="AT10" s="1" t="s">
        <v>935</v>
      </c>
      <c r="AU10" s="1" t="s">
        <v>190</v>
      </c>
      <c r="AV10" s="1" t="s">
        <v>936</v>
      </c>
      <c r="AW10" s="1" t="s">
        <v>937</v>
      </c>
      <c r="AX10" s="1" t="s">
        <v>157</v>
      </c>
      <c r="AY10" s="1" t="s">
        <v>938</v>
      </c>
      <c r="AZ10" s="1" t="s">
        <v>939</v>
      </c>
      <c r="BA10" s="1" t="s">
        <v>940</v>
      </c>
      <c r="BB10" s="1" t="s">
        <v>941</v>
      </c>
      <c r="BC10" s="1" t="s">
        <v>942</v>
      </c>
      <c r="BD10" s="1" t="s">
        <v>943</v>
      </c>
      <c r="BE10" s="1">
        <v>108</v>
      </c>
      <c r="BF10" s="1">
        <v>104.7</v>
      </c>
      <c r="BG10" s="1">
        <v>3.3</v>
      </c>
      <c r="BH10" s="1" t="s">
        <v>928</v>
      </c>
      <c r="BI10" s="1" t="s">
        <v>944</v>
      </c>
      <c r="BJ10" s="1" t="s">
        <v>945</v>
      </c>
      <c r="BK10" s="1" t="s">
        <v>806</v>
      </c>
      <c r="BL10" s="1" t="s">
        <v>946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947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948</v>
      </c>
      <c r="CC10" s="1" t="s">
        <v>949</v>
      </c>
    </row>
    <row r="11" spans="1:81" x14ac:dyDescent="0.25">
      <c r="A11" s="1" t="s">
        <v>145</v>
      </c>
      <c r="B11" s="1" t="s">
        <v>762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950</v>
      </c>
      <c r="H11" s="1">
        <v>5</v>
      </c>
      <c r="I11" s="1" t="s">
        <v>857</v>
      </c>
      <c r="J11" s="1" t="s">
        <v>219</v>
      </c>
      <c r="K11" s="1" t="s">
        <v>858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951</v>
      </c>
      <c r="R11" s="1" t="s">
        <v>899</v>
      </c>
      <c r="S11" s="1" t="s">
        <v>878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952</v>
      </c>
      <c r="Z11" s="1">
        <v>8</v>
      </c>
      <c r="AA11" s="1" t="s">
        <v>880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880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953</v>
      </c>
      <c r="AT11" s="1" t="s">
        <v>954</v>
      </c>
      <c r="AU11" s="1" t="s">
        <v>185</v>
      </c>
      <c r="AV11" s="1" t="s">
        <v>955</v>
      </c>
      <c r="AW11" s="1" t="s">
        <v>956</v>
      </c>
      <c r="AX11" s="1" t="s">
        <v>157</v>
      </c>
      <c r="AY11" s="1" t="s">
        <v>957</v>
      </c>
      <c r="AZ11" s="1" t="s">
        <v>958</v>
      </c>
      <c r="BA11" s="1" t="s">
        <v>959</v>
      </c>
      <c r="BB11" s="1" t="s">
        <v>960</v>
      </c>
      <c r="BC11" s="1" t="s">
        <v>917</v>
      </c>
      <c r="BD11" s="1" t="s">
        <v>961</v>
      </c>
      <c r="BE11" s="1">
        <v>111.7</v>
      </c>
      <c r="BF11" s="1">
        <v>106.5</v>
      </c>
      <c r="BG11" s="1">
        <v>5.3</v>
      </c>
      <c r="BH11" s="1" t="s">
        <v>808</v>
      </c>
      <c r="BI11" s="1" t="s">
        <v>266</v>
      </c>
      <c r="BJ11" s="1" t="s">
        <v>296</v>
      </c>
      <c r="BK11" s="1" t="s">
        <v>296</v>
      </c>
      <c r="BL11" s="1" t="s">
        <v>950</v>
      </c>
      <c r="BM11" s="1" t="s">
        <v>870</v>
      </c>
      <c r="BN11" s="1" t="s">
        <v>782</v>
      </c>
      <c r="BO11" s="1" t="s">
        <v>784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962</v>
      </c>
      <c r="CA11" s="1" t="s">
        <v>326</v>
      </c>
      <c r="CB11" s="1" t="s">
        <v>963</v>
      </c>
      <c r="CC11" s="1" t="s">
        <v>964</v>
      </c>
    </row>
    <row r="12" spans="1:81" x14ac:dyDescent="0.25">
      <c r="A12" s="1" t="s">
        <v>145</v>
      </c>
      <c r="B12" s="1" t="s">
        <v>762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965</v>
      </c>
      <c r="H12" s="1">
        <v>6</v>
      </c>
      <c r="I12" s="1" t="s">
        <v>857</v>
      </c>
      <c r="J12" s="1" t="s">
        <v>219</v>
      </c>
      <c r="K12" s="1" t="s">
        <v>966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914</v>
      </c>
      <c r="R12" s="1" t="s">
        <v>768</v>
      </c>
      <c r="S12" s="1" t="s">
        <v>897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967</v>
      </c>
      <c r="Y12" s="1" t="s">
        <v>968</v>
      </c>
      <c r="Z12" s="1">
        <v>7</v>
      </c>
      <c r="AA12" s="1" t="s">
        <v>900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969</v>
      </c>
      <c r="AT12" s="1" t="s">
        <v>970</v>
      </c>
      <c r="AU12" s="1" t="s">
        <v>186</v>
      </c>
      <c r="AV12" s="1" t="s">
        <v>971</v>
      </c>
      <c r="AW12" s="1" t="s">
        <v>972</v>
      </c>
      <c r="AX12" s="1" t="s">
        <v>157</v>
      </c>
      <c r="AY12" s="1" t="s">
        <v>973</v>
      </c>
      <c r="AZ12" s="1" t="s">
        <v>974</v>
      </c>
      <c r="BA12" s="1" t="s">
        <v>975</v>
      </c>
      <c r="BB12" s="1" t="s">
        <v>976</v>
      </c>
      <c r="BC12" s="1" t="s">
        <v>899</v>
      </c>
      <c r="BD12" s="1" t="s">
        <v>977</v>
      </c>
      <c r="BE12" s="1">
        <v>114.5</v>
      </c>
      <c r="BF12" s="1">
        <v>111.1</v>
      </c>
      <c r="BG12" s="1">
        <v>3.4</v>
      </c>
      <c r="BH12" s="1" t="s">
        <v>909</v>
      </c>
      <c r="BI12" s="1" t="s">
        <v>266</v>
      </c>
      <c r="BJ12" s="1" t="s">
        <v>216</v>
      </c>
      <c r="BK12" s="1" t="s">
        <v>296</v>
      </c>
      <c r="BL12" s="1" t="s">
        <v>965</v>
      </c>
      <c r="BM12" s="1" t="s">
        <v>978</v>
      </c>
      <c r="BN12" s="1" t="s">
        <v>784</v>
      </c>
      <c r="BO12" s="1" t="s">
        <v>944</v>
      </c>
      <c r="BP12" s="1" t="s">
        <v>270</v>
      </c>
      <c r="BQ12" s="1" t="s">
        <v>286</v>
      </c>
      <c r="BR12" s="1" t="s">
        <v>410</v>
      </c>
      <c r="BS12" s="1" t="s">
        <v>979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833</v>
      </c>
      <c r="CB12" s="1" t="s">
        <v>980</v>
      </c>
      <c r="CC12" s="1" t="s">
        <v>981</v>
      </c>
    </row>
    <row r="13" spans="1:81" x14ac:dyDescent="0.25">
      <c r="A13" s="1" t="s">
        <v>145</v>
      </c>
      <c r="B13" s="1" t="s">
        <v>762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875</v>
      </c>
      <c r="H13" s="1">
        <v>6</v>
      </c>
      <c r="I13" s="1" t="s">
        <v>857</v>
      </c>
      <c r="J13" s="1" t="s">
        <v>203</v>
      </c>
      <c r="K13" s="1" t="s">
        <v>858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982</v>
      </c>
      <c r="R13" s="1" t="s">
        <v>983</v>
      </c>
      <c r="S13" s="1" t="s">
        <v>931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984</v>
      </c>
      <c r="Y13" s="1" t="s">
        <v>985</v>
      </c>
      <c r="Z13" s="1">
        <v>9</v>
      </c>
      <c r="AA13" s="1" t="s">
        <v>986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879</v>
      </c>
      <c r="AT13" s="1" t="s">
        <v>987</v>
      </c>
      <c r="AU13" s="1" t="s">
        <v>273</v>
      </c>
      <c r="AV13" s="1" t="s">
        <v>988</v>
      </c>
      <c r="AW13" s="1" t="s">
        <v>989</v>
      </c>
      <c r="AX13" s="1" t="s">
        <v>224</v>
      </c>
      <c r="AY13" s="1" t="s">
        <v>990</v>
      </c>
      <c r="AZ13" s="1" t="s">
        <v>991</v>
      </c>
      <c r="BA13" s="1" t="s">
        <v>992</v>
      </c>
      <c r="BB13" s="1" t="s">
        <v>993</v>
      </c>
      <c r="BC13" s="1" t="s">
        <v>852</v>
      </c>
      <c r="BD13" s="1" t="s">
        <v>994</v>
      </c>
      <c r="BE13" s="1">
        <v>112.2</v>
      </c>
      <c r="BF13" s="1">
        <v>112.3</v>
      </c>
      <c r="BG13" s="1">
        <v>-0.1</v>
      </c>
      <c r="BH13" s="1" t="s">
        <v>875</v>
      </c>
      <c r="BI13" s="1" t="s">
        <v>870</v>
      </c>
      <c r="BJ13" s="1" t="s">
        <v>784</v>
      </c>
      <c r="BK13" s="1" t="s">
        <v>871</v>
      </c>
      <c r="BL13" s="1" t="s">
        <v>995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833</v>
      </c>
      <c r="CB13" s="1" t="s">
        <v>996</v>
      </c>
      <c r="CC13" s="1" t="s">
        <v>997</v>
      </c>
    </row>
    <row r="14" spans="1:81" x14ac:dyDescent="0.25">
      <c r="A14" s="1" t="s">
        <v>145</v>
      </c>
      <c r="B14" s="1" t="s">
        <v>762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950</v>
      </c>
      <c r="H14" s="1">
        <v>7</v>
      </c>
      <c r="I14" s="1" t="s">
        <v>998</v>
      </c>
      <c r="J14" s="1" t="s">
        <v>244</v>
      </c>
      <c r="K14" s="1" t="s">
        <v>896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982</v>
      </c>
      <c r="R14" s="1" t="s">
        <v>999</v>
      </c>
      <c r="S14" s="1" t="s">
        <v>1000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1001</v>
      </c>
      <c r="Z14" s="1">
        <v>9</v>
      </c>
      <c r="AA14" s="1" t="s">
        <v>986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986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767</v>
      </c>
      <c r="AT14" s="1" t="s">
        <v>1002</v>
      </c>
      <c r="AU14" s="1" t="s">
        <v>164</v>
      </c>
      <c r="AV14" s="1" t="s">
        <v>1003</v>
      </c>
      <c r="AW14" s="1" t="s">
        <v>1004</v>
      </c>
      <c r="AX14" s="1" t="s">
        <v>185</v>
      </c>
      <c r="AY14" s="1" t="s">
        <v>1005</v>
      </c>
      <c r="AZ14" s="1" t="s">
        <v>1006</v>
      </c>
      <c r="BA14" s="1" t="s">
        <v>1007</v>
      </c>
      <c r="BB14" s="1" t="s">
        <v>1003</v>
      </c>
      <c r="BC14" s="1" t="s">
        <v>915</v>
      </c>
      <c r="BD14" s="1" t="s">
        <v>916</v>
      </c>
      <c r="BE14" s="1">
        <v>107.3</v>
      </c>
      <c r="BF14" s="1">
        <v>106.6</v>
      </c>
      <c r="BG14" s="1">
        <v>0.7</v>
      </c>
      <c r="BH14" s="1" t="s">
        <v>950</v>
      </c>
      <c r="BI14" s="1" t="s">
        <v>871</v>
      </c>
      <c r="BJ14" s="1" t="s">
        <v>944</v>
      </c>
      <c r="BK14" s="1" t="s">
        <v>809</v>
      </c>
      <c r="BL14" s="1" t="s">
        <v>1008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978</v>
      </c>
      <c r="CA14" s="1" t="s">
        <v>1009</v>
      </c>
      <c r="CB14" s="1" t="s">
        <v>1010</v>
      </c>
      <c r="CC14" s="1" t="s">
        <v>835</v>
      </c>
    </row>
    <row r="15" spans="1:81" x14ac:dyDescent="0.25">
      <c r="A15" s="1" t="s">
        <v>145</v>
      </c>
      <c r="B15" s="1" t="s">
        <v>762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950</v>
      </c>
      <c r="H15" s="1">
        <v>7</v>
      </c>
      <c r="I15" s="1" t="s">
        <v>857</v>
      </c>
      <c r="J15" s="1" t="s">
        <v>231</v>
      </c>
      <c r="K15" s="1" t="s">
        <v>896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930</v>
      </c>
      <c r="R15" s="1" t="s">
        <v>816</v>
      </c>
      <c r="S15" s="1" t="s">
        <v>1011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1012</v>
      </c>
      <c r="Y15" s="1" t="s">
        <v>999</v>
      </c>
      <c r="Z15" s="1">
        <v>11</v>
      </c>
      <c r="AA15" s="1" t="s">
        <v>770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1013</v>
      </c>
      <c r="AT15" s="1" t="s">
        <v>1014</v>
      </c>
      <c r="AU15" s="1" t="s">
        <v>163</v>
      </c>
      <c r="AV15" s="1" t="s">
        <v>1015</v>
      </c>
      <c r="AW15" s="1" t="s">
        <v>1014</v>
      </c>
      <c r="AX15" s="1" t="s">
        <v>164</v>
      </c>
      <c r="AY15" s="1" t="s">
        <v>1016</v>
      </c>
      <c r="AZ15" s="1" t="s">
        <v>1017</v>
      </c>
      <c r="BA15" s="1" t="s">
        <v>1001</v>
      </c>
      <c r="BB15" s="1" t="s">
        <v>771</v>
      </c>
      <c r="BC15" s="1" t="s">
        <v>1018</v>
      </c>
      <c r="BD15" s="1" t="s">
        <v>1019</v>
      </c>
      <c r="BE15" s="1">
        <v>111.7</v>
      </c>
      <c r="BF15" s="1">
        <v>110</v>
      </c>
      <c r="BG15" s="1">
        <v>1.7</v>
      </c>
      <c r="BH15" s="1" t="s">
        <v>1020</v>
      </c>
      <c r="BI15" s="1" t="s">
        <v>266</v>
      </c>
      <c r="BJ15" s="1" t="s">
        <v>296</v>
      </c>
      <c r="BK15" s="1" t="s">
        <v>276</v>
      </c>
      <c r="BL15" s="1" t="s">
        <v>950</v>
      </c>
      <c r="BM15" s="1" t="s">
        <v>784</v>
      </c>
      <c r="BN15" s="1" t="s">
        <v>784</v>
      </c>
      <c r="BO15" s="1" t="s">
        <v>809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945</v>
      </c>
      <c r="CB15" s="1" t="s">
        <v>1021</v>
      </c>
      <c r="CC15" s="1" t="s">
        <v>835</v>
      </c>
    </row>
    <row r="16" spans="1:81" x14ac:dyDescent="0.25">
      <c r="A16" s="1" t="s">
        <v>145</v>
      </c>
      <c r="B16" s="1" t="s">
        <v>762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1022</v>
      </c>
      <c r="H16" s="1">
        <v>8</v>
      </c>
      <c r="I16" s="1" t="s">
        <v>857</v>
      </c>
      <c r="J16" s="1" t="s">
        <v>181</v>
      </c>
      <c r="K16" s="1" t="s">
        <v>858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1023</v>
      </c>
      <c r="R16" s="1" t="s">
        <v>817</v>
      </c>
      <c r="S16" s="1" t="s">
        <v>1024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1025</v>
      </c>
      <c r="Z16" s="1">
        <v>11</v>
      </c>
      <c r="AA16" s="1" t="s">
        <v>770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1026</v>
      </c>
      <c r="AT16" s="1" t="s">
        <v>1027</v>
      </c>
      <c r="AU16" s="1" t="s">
        <v>186</v>
      </c>
      <c r="AV16" s="1" t="s">
        <v>879</v>
      </c>
      <c r="AW16" s="1" t="s">
        <v>1028</v>
      </c>
      <c r="AX16" s="1" t="s">
        <v>161</v>
      </c>
      <c r="AY16" s="1" t="s">
        <v>1029</v>
      </c>
      <c r="AZ16" s="1" t="s">
        <v>1030</v>
      </c>
      <c r="BA16" s="1" t="s">
        <v>1031</v>
      </c>
      <c r="BB16" s="1" t="s">
        <v>1032</v>
      </c>
      <c r="BC16" s="1" t="s">
        <v>1033</v>
      </c>
      <c r="BD16" s="1" t="s">
        <v>1034</v>
      </c>
      <c r="BE16" s="1">
        <v>107</v>
      </c>
      <c r="BF16" s="1">
        <v>107.3</v>
      </c>
      <c r="BG16" s="1">
        <v>-0.2</v>
      </c>
      <c r="BH16" s="1" t="s">
        <v>1022</v>
      </c>
      <c r="BI16" s="1" t="s">
        <v>784</v>
      </c>
      <c r="BJ16" s="1" t="s">
        <v>870</v>
      </c>
      <c r="BK16" s="1" t="s">
        <v>944</v>
      </c>
      <c r="BL16" s="1" t="s">
        <v>925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853</v>
      </c>
      <c r="CA16" s="1" t="s">
        <v>397</v>
      </c>
      <c r="CB16" s="1" t="s">
        <v>1035</v>
      </c>
      <c r="CC16" s="1" t="s">
        <v>1036</v>
      </c>
    </row>
    <row r="17" spans="1:81" x14ac:dyDescent="0.25">
      <c r="A17" s="1" t="s">
        <v>145</v>
      </c>
      <c r="B17" s="1" t="s">
        <v>762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965</v>
      </c>
      <c r="H17" s="1">
        <v>8</v>
      </c>
      <c r="I17" s="1" t="s">
        <v>857</v>
      </c>
      <c r="J17" s="1" t="s">
        <v>152</v>
      </c>
      <c r="K17" s="1" t="s">
        <v>929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930</v>
      </c>
      <c r="R17" s="1" t="s">
        <v>817</v>
      </c>
      <c r="S17" s="1" t="s">
        <v>897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983</v>
      </c>
      <c r="Z17" s="1">
        <v>9</v>
      </c>
      <c r="AA17" s="1" t="s">
        <v>986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1003</v>
      </c>
      <c r="AT17" s="1" t="s">
        <v>1037</v>
      </c>
      <c r="AU17" s="1" t="s">
        <v>260</v>
      </c>
      <c r="AV17" s="1" t="s">
        <v>1038</v>
      </c>
      <c r="AW17" s="1" t="s">
        <v>1039</v>
      </c>
      <c r="AX17" s="1" t="s">
        <v>190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115.1</v>
      </c>
      <c r="BF17" s="1">
        <v>114.3</v>
      </c>
      <c r="BG17" s="1">
        <v>0.9</v>
      </c>
      <c r="BH17" s="1" t="s">
        <v>808</v>
      </c>
      <c r="BI17" s="1" t="s">
        <v>266</v>
      </c>
      <c r="BJ17" s="1" t="s">
        <v>296</v>
      </c>
      <c r="BK17" s="1" t="s">
        <v>296</v>
      </c>
      <c r="BL17" s="1" t="s">
        <v>965</v>
      </c>
      <c r="BM17" s="1" t="s">
        <v>1046</v>
      </c>
      <c r="BN17" s="1" t="s">
        <v>945</v>
      </c>
      <c r="BO17" s="1" t="s">
        <v>784</v>
      </c>
      <c r="BP17" s="1" t="s">
        <v>962</v>
      </c>
      <c r="BQ17" s="1" t="s">
        <v>286</v>
      </c>
      <c r="BR17" s="1" t="s">
        <v>1047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1048</v>
      </c>
      <c r="CC17" s="1" t="s">
        <v>1049</v>
      </c>
    </row>
    <row r="18" spans="1:81" x14ac:dyDescent="0.25">
      <c r="A18" s="1" t="s">
        <v>145</v>
      </c>
      <c r="B18" s="1" t="s">
        <v>762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875</v>
      </c>
      <c r="H18" s="1">
        <v>9</v>
      </c>
      <c r="I18" s="1" t="s">
        <v>1050</v>
      </c>
      <c r="J18" s="1" t="s">
        <v>244</v>
      </c>
      <c r="K18" s="1" t="s">
        <v>896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1051</v>
      </c>
      <c r="R18" s="1" t="s">
        <v>999</v>
      </c>
      <c r="S18" s="1" t="s">
        <v>1052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876</v>
      </c>
      <c r="Y18" s="1" t="s">
        <v>878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1053</v>
      </c>
      <c r="AT18" s="1" t="s">
        <v>1054</v>
      </c>
      <c r="AU18" s="1" t="s">
        <v>190</v>
      </c>
      <c r="AV18" s="1" t="s">
        <v>793</v>
      </c>
      <c r="AW18" s="1" t="s">
        <v>1055</v>
      </c>
      <c r="AX18" s="1" t="s">
        <v>186</v>
      </c>
      <c r="AY18" s="1" t="s">
        <v>1056</v>
      </c>
      <c r="AZ18" s="1" t="s">
        <v>1057</v>
      </c>
      <c r="BA18" s="1" t="s">
        <v>970</v>
      </c>
      <c r="BB18" s="1" t="s">
        <v>1058</v>
      </c>
      <c r="BC18" s="1" t="s">
        <v>1059</v>
      </c>
      <c r="BD18" s="1" t="s">
        <v>1060</v>
      </c>
      <c r="BE18" s="1">
        <v>110.7</v>
      </c>
      <c r="BF18" s="1">
        <v>111.8</v>
      </c>
      <c r="BG18" s="1">
        <v>-1.1000000000000001</v>
      </c>
      <c r="BH18" s="1" t="s">
        <v>875</v>
      </c>
      <c r="BI18" s="1" t="s">
        <v>910</v>
      </c>
      <c r="BJ18" s="1" t="s">
        <v>871</v>
      </c>
      <c r="BK18" s="1" t="s">
        <v>809</v>
      </c>
      <c r="BL18" s="1" t="s">
        <v>1061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926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1062</v>
      </c>
      <c r="CC18" s="1" t="s">
        <v>981</v>
      </c>
    </row>
    <row r="19" spans="1:81" x14ac:dyDescent="0.25">
      <c r="A19" s="1" t="s">
        <v>145</v>
      </c>
      <c r="B19" s="1" t="s">
        <v>762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1063</v>
      </c>
      <c r="H19" s="1">
        <v>9</v>
      </c>
      <c r="I19" s="1" t="s">
        <v>1050</v>
      </c>
      <c r="J19" s="1" t="s">
        <v>152</v>
      </c>
      <c r="K19" s="1" t="s">
        <v>1064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1051</v>
      </c>
      <c r="R19" s="1" t="s">
        <v>1065</v>
      </c>
      <c r="S19" s="1" t="s">
        <v>1024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967</v>
      </c>
      <c r="Y19" s="1" t="s">
        <v>1066</v>
      </c>
      <c r="Z19" s="1">
        <v>7</v>
      </c>
      <c r="AA19" s="1" t="s">
        <v>900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260</v>
      </c>
      <c r="AV19" s="1" t="s">
        <v>1069</v>
      </c>
      <c r="AW19" s="1" t="s">
        <v>1070</v>
      </c>
      <c r="AX19" s="1" t="s">
        <v>339</v>
      </c>
      <c r="AY19" s="1" t="s">
        <v>1071</v>
      </c>
      <c r="AZ19" s="1" t="s">
        <v>1072</v>
      </c>
      <c r="BA19" s="1" t="s">
        <v>1073</v>
      </c>
      <c r="BB19" s="1" t="s">
        <v>1074</v>
      </c>
      <c r="BC19" s="1" t="s">
        <v>1045</v>
      </c>
      <c r="BD19" s="1" t="s">
        <v>1075</v>
      </c>
      <c r="BE19" s="1">
        <v>114.2</v>
      </c>
      <c r="BF19" s="1">
        <v>115.3</v>
      </c>
      <c r="BG19" s="1">
        <v>-1.1000000000000001</v>
      </c>
      <c r="BH19" s="1" t="s">
        <v>1020</v>
      </c>
      <c r="BI19" s="1" t="s">
        <v>398</v>
      </c>
      <c r="BJ19" s="1" t="s">
        <v>296</v>
      </c>
      <c r="BK19" s="1" t="s">
        <v>216</v>
      </c>
      <c r="BL19" s="1" t="s">
        <v>1063</v>
      </c>
      <c r="BM19" s="1" t="s">
        <v>1046</v>
      </c>
      <c r="BN19" s="1" t="s">
        <v>1076</v>
      </c>
      <c r="BO19" s="1" t="s">
        <v>784</v>
      </c>
      <c r="BP19" s="1" t="s">
        <v>926</v>
      </c>
      <c r="BQ19" s="1" t="s">
        <v>276</v>
      </c>
      <c r="BR19" s="1" t="s">
        <v>962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1009</v>
      </c>
      <c r="CA19" s="1" t="s">
        <v>833</v>
      </c>
      <c r="CB19" s="1" t="s">
        <v>1077</v>
      </c>
      <c r="CC19" s="1" t="s">
        <v>1078</v>
      </c>
    </row>
    <row r="20" spans="1:81" x14ac:dyDescent="0.25">
      <c r="A20" s="1" t="s">
        <v>145</v>
      </c>
      <c r="B20" s="1" t="s">
        <v>762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1079</v>
      </c>
      <c r="H20" s="1">
        <v>10</v>
      </c>
      <c r="I20" s="1" t="s">
        <v>1050</v>
      </c>
      <c r="J20" s="1" t="s">
        <v>152</v>
      </c>
      <c r="K20" s="1" t="s">
        <v>966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1080</v>
      </c>
      <c r="R20" s="1" t="s">
        <v>897</v>
      </c>
      <c r="S20" s="1" t="s">
        <v>1024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1011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1081</v>
      </c>
      <c r="AT20" s="1" t="s">
        <v>1082</v>
      </c>
      <c r="AU20" s="1" t="s">
        <v>157</v>
      </c>
      <c r="AV20" s="1" t="s">
        <v>1083</v>
      </c>
      <c r="AW20" s="1" t="s">
        <v>1084</v>
      </c>
      <c r="AX20" s="1" t="s">
        <v>157</v>
      </c>
      <c r="AY20" s="1" t="s">
        <v>1085</v>
      </c>
      <c r="AZ20" s="1" t="s">
        <v>1086</v>
      </c>
      <c r="BA20" s="1" t="s">
        <v>1087</v>
      </c>
      <c r="BB20" s="1" t="s">
        <v>1088</v>
      </c>
      <c r="BC20" s="1" t="s">
        <v>1089</v>
      </c>
      <c r="BD20" s="1" t="s">
        <v>1090</v>
      </c>
      <c r="BE20" s="1">
        <v>111.8</v>
      </c>
      <c r="BF20" s="1">
        <v>113.5</v>
      </c>
      <c r="BG20" s="1">
        <v>-1.7</v>
      </c>
      <c r="BH20" s="1" t="s">
        <v>1008</v>
      </c>
      <c r="BI20" s="1" t="s">
        <v>1091</v>
      </c>
      <c r="BJ20" s="1" t="s">
        <v>276</v>
      </c>
      <c r="BK20" s="1" t="s">
        <v>266</v>
      </c>
      <c r="BL20" s="1" t="s">
        <v>1079</v>
      </c>
      <c r="BM20" s="1" t="s">
        <v>1046</v>
      </c>
      <c r="BN20" s="1" t="s">
        <v>978</v>
      </c>
      <c r="BO20" s="1" t="s">
        <v>944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1092</v>
      </c>
      <c r="CC20" s="1" t="s">
        <v>1078</v>
      </c>
    </row>
    <row r="21" spans="1:81" x14ac:dyDescent="0.25">
      <c r="A21" s="1" t="s">
        <v>145</v>
      </c>
      <c r="B21" s="1" t="s">
        <v>762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1093</v>
      </c>
      <c r="H21" s="1">
        <v>10</v>
      </c>
      <c r="I21" s="1" t="s">
        <v>1050</v>
      </c>
      <c r="J21" s="1" t="s">
        <v>244</v>
      </c>
      <c r="K21" s="1" t="s">
        <v>1094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1051</v>
      </c>
      <c r="R21" s="1" t="s">
        <v>931</v>
      </c>
      <c r="S21" s="1" t="s">
        <v>840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1095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932</v>
      </c>
      <c r="AT21" s="1" t="s">
        <v>1096</v>
      </c>
      <c r="AU21" s="1" t="s">
        <v>234</v>
      </c>
      <c r="AV21" s="1" t="s">
        <v>1097</v>
      </c>
      <c r="AW21" s="1" t="s">
        <v>1098</v>
      </c>
      <c r="AX21" s="1" t="s">
        <v>260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105.7</v>
      </c>
      <c r="BF21" s="1">
        <v>105.9</v>
      </c>
      <c r="BG21" s="1">
        <v>-0.2</v>
      </c>
      <c r="BH21" s="1" t="s">
        <v>1093</v>
      </c>
      <c r="BI21" s="1" t="s">
        <v>1046</v>
      </c>
      <c r="BJ21" s="1" t="s">
        <v>944</v>
      </c>
      <c r="BK21" s="1" t="s">
        <v>962</v>
      </c>
      <c r="BL21" s="1" t="s">
        <v>1105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1106</v>
      </c>
      <c r="BR21" s="1" t="s">
        <v>233</v>
      </c>
      <c r="BS21" s="1" t="s">
        <v>911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1035</v>
      </c>
      <c r="CC21" s="1" t="s">
        <v>1107</v>
      </c>
    </row>
    <row r="22" spans="1:81" x14ac:dyDescent="0.25">
      <c r="A22" s="1" t="s">
        <v>145</v>
      </c>
      <c r="B22" s="1" t="s">
        <v>762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1108</v>
      </c>
      <c r="H22" s="1">
        <v>11</v>
      </c>
      <c r="I22" s="1" t="s">
        <v>1050</v>
      </c>
      <c r="J22" s="1" t="s">
        <v>244</v>
      </c>
      <c r="K22" s="1" t="s">
        <v>1094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1109</v>
      </c>
      <c r="R22" s="1" t="s">
        <v>897</v>
      </c>
      <c r="S22" s="1" t="s">
        <v>1004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1110</v>
      </c>
      <c r="Z22" s="1">
        <v>-6</v>
      </c>
      <c r="AA22" s="1" t="s">
        <v>367</v>
      </c>
      <c r="AB22" s="1">
        <v>-8</v>
      </c>
      <c r="AC22" s="1" t="s">
        <v>1111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1112</v>
      </c>
      <c r="AT22" s="1" t="s">
        <v>1113</v>
      </c>
      <c r="AU22" s="1" t="s">
        <v>158</v>
      </c>
      <c r="AV22" s="1" t="s">
        <v>1114</v>
      </c>
      <c r="AW22" s="1" t="s">
        <v>1115</v>
      </c>
      <c r="AX22" s="1" t="s">
        <v>190</v>
      </c>
      <c r="AY22" s="1" t="s">
        <v>1116</v>
      </c>
      <c r="AZ22" s="1" t="s">
        <v>1117</v>
      </c>
      <c r="BA22" s="1" t="s">
        <v>1118</v>
      </c>
      <c r="BB22" s="1" t="s">
        <v>1119</v>
      </c>
      <c r="BC22" s="1" t="s">
        <v>1120</v>
      </c>
      <c r="BD22" s="1" t="s">
        <v>1093</v>
      </c>
      <c r="BE22" s="1">
        <v>114</v>
      </c>
      <c r="BF22" s="1">
        <v>116.9</v>
      </c>
      <c r="BG22" s="1">
        <v>-2.9</v>
      </c>
      <c r="BH22" s="1" t="s">
        <v>1108</v>
      </c>
      <c r="BI22" s="1" t="s">
        <v>1121</v>
      </c>
      <c r="BJ22" s="1" t="s">
        <v>1121</v>
      </c>
      <c r="BK22" s="1" t="s">
        <v>962</v>
      </c>
      <c r="BL22" s="1" t="s">
        <v>995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1122</v>
      </c>
      <c r="BS22" s="1" t="s">
        <v>372</v>
      </c>
      <c r="BT22" s="1"/>
      <c r="BU22" s="1"/>
      <c r="BV22" s="1"/>
      <c r="BW22" s="1"/>
      <c r="BX22" s="1"/>
      <c r="BY22" s="1" t="s">
        <v>1123</v>
      </c>
      <c r="BZ22" s="1" t="s">
        <v>926</v>
      </c>
      <c r="CA22" s="1" t="s">
        <v>337</v>
      </c>
      <c r="CB22" s="1" t="s">
        <v>1124</v>
      </c>
      <c r="CC22" s="1" t="s">
        <v>1125</v>
      </c>
    </row>
    <row r="23" spans="1:81" x14ac:dyDescent="0.25">
      <c r="A23" s="1" t="s">
        <v>145</v>
      </c>
      <c r="B23" s="1" t="s">
        <v>762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1126</v>
      </c>
      <c r="H23" s="1">
        <v>11</v>
      </c>
      <c r="I23" s="1" t="s">
        <v>1050</v>
      </c>
      <c r="J23" s="1" t="s">
        <v>219</v>
      </c>
      <c r="K23" s="1" t="s">
        <v>1127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1128</v>
      </c>
      <c r="R23" s="1" t="s">
        <v>999</v>
      </c>
      <c r="S23" s="1" t="s">
        <v>1129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931</v>
      </c>
      <c r="Z23" s="1">
        <v>6</v>
      </c>
      <c r="AA23" s="1" t="s">
        <v>188</v>
      </c>
      <c r="AB23" s="1">
        <v>-9</v>
      </c>
      <c r="AC23" s="1" t="s">
        <v>1130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1131</v>
      </c>
      <c r="AT23" s="1" t="s">
        <v>1132</v>
      </c>
      <c r="AU23" s="1" t="s">
        <v>226</v>
      </c>
      <c r="AV23" s="1" t="s">
        <v>1133</v>
      </c>
      <c r="AW23" s="1" t="s">
        <v>1134</v>
      </c>
      <c r="AX23" s="1" t="s">
        <v>260</v>
      </c>
      <c r="AY23" s="1" t="s">
        <v>1135</v>
      </c>
      <c r="AZ23" s="1" t="s">
        <v>1136</v>
      </c>
      <c r="BA23" s="1" t="s">
        <v>1137</v>
      </c>
      <c r="BB23" s="1" t="s">
        <v>1138</v>
      </c>
      <c r="BC23" s="1" t="s">
        <v>1139</v>
      </c>
      <c r="BD23" s="1" t="s">
        <v>1140</v>
      </c>
      <c r="BE23" s="1">
        <v>112.5</v>
      </c>
      <c r="BF23" s="1">
        <v>114</v>
      </c>
      <c r="BG23" s="1">
        <v>-1.5</v>
      </c>
      <c r="BH23" s="1" t="s">
        <v>925</v>
      </c>
      <c r="BI23" s="1" t="s">
        <v>323</v>
      </c>
      <c r="BJ23" s="1" t="s">
        <v>276</v>
      </c>
      <c r="BK23" s="1" t="s">
        <v>276</v>
      </c>
      <c r="BL23" s="1" t="s">
        <v>1126</v>
      </c>
      <c r="BM23" s="1" t="s">
        <v>386</v>
      </c>
      <c r="BN23" s="1" t="s">
        <v>944</v>
      </c>
      <c r="BO23" s="1" t="s">
        <v>910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1062</v>
      </c>
      <c r="CC23" s="1" t="s">
        <v>1078</v>
      </c>
    </row>
    <row r="24" spans="1:81" x14ac:dyDescent="0.25">
      <c r="A24" s="1" t="s">
        <v>145</v>
      </c>
      <c r="B24" s="1" t="s">
        <v>762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1141</v>
      </c>
      <c r="H24" s="1">
        <v>12</v>
      </c>
      <c r="I24" s="1" t="s">
        <v>1050</v>
      </c>
      <c r="J24" s="1" t="s">
        <v>231</v>
      </c>
      <c r="K24" s="1" t="s">
        <v>858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1142</v>
      </c>
      <c r="R24" s="1" t="s">
        <v>878</v>
      </c>
      <c r="S24" s="1" t="s">
        <v>1143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1144</v>
      </c>
      <c r="Z24" s="1">
        <v>5</v>
      </c>
      <c r="AA24" s="1" t="s">
        <v>160</v>
      </c>
      <c r="AB24" s="1">
        <v>-9</v>
      </c>
      <c r="AC24" s="1" t="s">
        <v>1130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1145</v>
      </c>
      <c r="AT24" s="1" t="s">
        <v>1146</v>
      </c>
      <c r="AU24" s="1" t="s">
        <v>262</v>
      </c>
      <c r="AV24" s="1" t="s">
        <v>1147</v>
      </c>
      <c r="AW24" s="1" t="s">
        <v>1148</v>
      </c>
      <c r="AX24" s="1" t="s">
        <v>153</v>
      </c>
      <c r="AY24" s="1" t="s">
        <v>922</v>
      </c>
      <c r="AZ24" s="1" t="s">
        <v>1149</v>
      </c>
      <c r="BA24" s="1" t="s">
        <v>1101</v>
      </c>
      <c r="BB24" s="1" t="s">
        <v>1150</v>
      </c>
      <c r="BC24" s="1" t="s">
        <v>1151</v>
      </c>
      <c r="BD24" s="1" t="s">
        <v>1152</v>
      </c>
      <c r="BE24" s="1">
        <v>103.5</v>
      </c>
      <c r="BF24" s="1">
        <v>106.1</v>
      </c>
      <c r="BG24" s="1">
        <v>-2.6</v>
      </c>
      <c r="BH24" s="1" t="s">
        <v>1153</v>
      </c>
      <c r="BI24" s="1" t="s">
        <v>398</v>
      </c>
      <c r="BJ24" s="1" t="s">
        <v>398</v>
      </c>
      <c r="BK24" s="1" t="s">
        <v>398</v>
      </c>
      <c r="BL24" s="1" t="s">
        <v>1141</v>
      </c>
      <c r="BM24" s="1" t="s">
        <v>944</v>
      </c>
      <c r="BN24" s="1" t="s">
        <v>1046</v>
      </c>
      <c r="BO24" s="1" t="s">
        <v>870</v>
      </c>
      <c r="BP24" s="1" t="s">
        <v>1154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833</v>
      </c>
      <c r="CA24" s="1" t="s">
        <v>349</v>
      </c>
      <c r="CB24" s="1" t="s">
        <v>1155</v>
      </c>
      <c r="CC24" s="1" t="s">
        <v>1156</v>
      </c>
    </row>
    <row r="25" spans="1:81" x14ac:dyDescent="0.25">
      <c r="A25" s="1" t="s">
        <v>145</v>
      </c>
      <c r="B25" s="1" t="s">
        <v>762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1157</v>
      </c>
      <c r="H25" s="1">
        <v>12</v>
      </c>
      <c r="I25" s="1" t="s">
        <v>1050</v>
      </c>
      <c r="J25" s="1" t="s">
        <v>244</v>
      </c>
      <c r="K25" s="1" t="s">
        <v>876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1158</v>
      </c>
      <c r="R25" s="1" t="s">
        <v>1000</v>
      </c>
      <c r="S25" s="1" t="s">
        <v>1143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1159</v>
      </c>
      <c r="Y25" s="1" t="s">
        <v>1160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1161</v>
      </c>
      <c r="AT25" s="1" t="s">
        <v>1054</v>
      </c>
      <c r="AU25" s="1" t="s">
        <v>327</v>
      </c>
      <c r="AV25" s="1" t="s">
        <v>869</v>
      </c>
      <c r="AW25" s="1" t="s">
        <v>1162</v>
      </c>
      <c r="AX25" s="1" t="s">
        <v>153</v>
      </c>
      <c r="AY25" s="1" t="s">
        <v>1163</v>
      </c>
      <c r="AZ25" s="1" t="s">
        <v>1164</v>
      </c>
      <c r="BA25" s="1" t="s">
        <v>1165</v>
      </c>
      <c r="BB25" s="1" t="s">
        <v>994</v>
      </c>
      <c r="BC25" s="1" t="s">
        <v>1166</v>
      </c>
      <c r="BD25" s="1" t="s">
        <v>1167</v>
      </c>
      <c r="BE25" s="1">
        <v>113.3</v>
      </c>
      <c r="BF25" s="1">
        <v>119.4</v>
      </c>
      <c r="BG25" s="1">
        <v>-6</v>
      </c>
      <c r="BH25" s="1" t="s">
        <v>1157</v>
      </c>
      <c r="BI25" s="1" t="s">
        <v>1168</v>
      </c>
      <c r="BJ25" s="1" t="s">
        <v>1121</v>
      </c>
      <c r="BK25" s="1" t="s">
        <v>410</v>
      </c>
      <c r="BL25" s="1" t="s">
        <v>995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1169</v>
      </c>
      <c r="BR25" s="1" t="s">
        <v>926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1170</v>
      </c>
      <c r="CC25" s="1" t="s">
        <v>949</v>
      </c>
    </row>
    <row r="26" spans="1:81" x14ac:dyDescent="0.25">
      <c r="A26" s="1" t="s">
        <v>145</v>
      </c>
      <c r="B26" s="1" t="s">
        <v>762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1093</v>
      </c>
      <c r="H26" s="1">
        <v>13</v>
      </c>
      <c r="I26" s="1" t="s">
        <v>1050</v>
      </c>
      <c r="J26" s="1" t="s">
        <v>231</v>
      </c>
      <c r="K26" s="1" t="s">
        <v>858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1142</v>
      </c>
      <c r="R26" s="1" t="s">
        <v>931</v>
      </c>
      <c r="S26" s="1" t="s">
        <v>1052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1171</v>
      </c>
      <c r="Z26" s="1">
        <v>-8</v>
      </c>
      <c r="AA26" s="1" t="s">
        <v>1111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1172</v>
      </c>
      <c r="AT26" s="1" t="s">
        <v>1173</v>
      </c>
      <c r="AU26" s="1" t="s">
        <v>190</v>
      </c>
      <c r="AV26" s="1" t="s">
        <v>1174</v>
      </c>
      <c r="AW26" s="1" t="s">
        <v>1175</v>
      </c>
      <c r="AX26" s="1" t="s">
        <v>186</v>
      </c>
      <c r="AY26" s="1" t="s">
        <v>1176</v>
      </c>
      <c r="AZ26" s="1" t="s">
        <v>1177</v>
      </c>
      <c r="BA26" s="1" t="s">
        <v>1178</v>
      </c>
      <c r="BB26" s="1" t="s">
        <v>1179</v>
      </c>
      <c r="BC26" s="1" t="s">
        <v>1180</v>
      </c>
      <c r="BD26" s="1" t="s">
        <v>1181</v>
      </c>
      <c r="BE26" s="1">
        <v>115.4</v>
      </c>
      <c r="BF26" s="1">
        <v>116.8</v>
      </c>
      <c r="BG26" s="1">
        <v>-1.3</v>
      </c>
      <c r="BH26" s="1" t="s">
        <v>1061</v>
      </c>
      <c r="BI26" s="1" t="s">
        <v>398</v>
      </c>
      <c r="BJ26" s="1" t="s">
        <v>276</v>
      </c>
      <c r="BK26" s="1" t="s">
        <v>393</v>
      </c>
      <c r="BL26" s="1" t="s">
        <v>1093</v>
      </c>
      <c r="BM26" s="1" t="s">
        <v>1046</v>
      </c>
      <c r="BN26" s="1" t="s">
        <v>910</v>
      </c>
      <c r="BO26" s="1" t="s">
        <v>870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962</v>
      </c>
      <c r="CA26" s="1" t="s">
        <v>337</v>
      </c>
      <c r="CB26" s="1" t="s">
        <v>1182</v>
      </c>
      <c r="CC26" s="1" t="s">
        <v>1183</v>
      </c>
    </row>
    <row r="27" spans="1:81" x14ac:dyDescent="0.25">
      <c r="A27" s="1" t="s">
        <v>145</v>
      </c>
      <c r="B27" s="1" t="s">
        <v>762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1157</v>
      </c>
      <c r="H27" s="1">
        <v>13</v>
      </c>
      <c r="I27" s="1" t="s">
        <v>1050</v>
      </c>
      <c r="J27" s="1" t="s">
        <v>181</v>
      </c>
      <c r="K27" s="1" t="s">
        <v>1184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1185</v>
      </c>
      <c r="R27" s="1" t="s">
        <v>1054</v>
      </c>
      <c r="S27" s="1" t="s">
        <v>1186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858</v>
      </c>
      <c r="Y27" s="1" t="s">
        <v>1187</v>
      </c>
      <c r="Z27" s="1">
        <v>-11</v>
      </c>
      <c r="AA27" s="1" t="s">
        <v>1188</v>
      </c>
      <c r="AB27" s="1">
        <v>-9</v>
      </c>
      <c r="AC27" s="1" t="s">
        <v>1130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1189</v>
      </c>
      <c r="AT27" s="1" t="s">
        <v>1190</v>
      </c>
      <c r="AU27" s="1" t="s">
        <v>158</v>
      </c>
      <c r="AV27" s="1" t="s">
        <v>1191</v>
      </c>
      <c r="AW27" s="1" t="s">
        <v>1192</v>
      </c>
      <c r="AX27" s="1" t="s">
        <v>164</v>
      </c>
      <c r="AY27" s="1" t="s">
        <v>1193</v>
      </c>
      <c r="AZ27" s="1" t="s">
        <v>1194</v>
      </c>
      <c r="BA27" s="1" t="s">
        <v>1195</v>
      </c>
      <c r="BB27" s="1" t="s">
        <v>1196</v>
      </c>
      <c r="BC27" s="1" t="s">
        <v>874</v>
      </c>
      <c r="BD27" s="1" t="s">
        <v>1197</v>
      </c>
      <c r="BE27" s="1">
        <v>104.9</v>
      </c>
      <c r="BF27" s="1">
        <v>113.4</v>
      </c>
      <c r="BG27" s="1">
        <v>-8.4</v>
      </c>
      <c r="BH27" s="1" t="s">
        <v>1157</v>
      </c>
      <c r="BI27" s="1" t="s">
        <v>1168</v>
      </c>
      <c r="BJ27" s="1" t="s">
        <v>402</v>
      </c>
      <c r="BK27" s="1" t="s">
        <v>944</v>
      </c>
      <c r="BL27" s="1" t="s">
        <v>1198</v>
      </c>
      <c r="BM27" s="1" t="s">
        <v>1091</v>
      </c>
      <c r="BN27" s="1" t="s">
        <v>393</v>
      </c>
      <c r="BO27" s="1" t="s">
        <v>398</v>
      </c>
      <c r="BP27" s="1" t="s">
        <v>1199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1200</v>
      </c>
      <c r="BZ27" s="1" t="s">
        <v>1201</v>
      </c>
      <c r="CA27" s="1" t="s">
        <v>363</v>
      </c>
      <c r="CB27" s="1" t="s">
        <v>1202</v>
      </c>
      <c r="CC27" s="1" t="s">
        <v>1125</v>
      </c>
    </row>
    <row r="28" spans="1:81" x14ac:dyDescent="0.25">
      <c r="A28" s="1" t="s">
        <v>145</v>
      </c>
      <c r="B28" s="1" t="s">
        <v>762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1203</v>
      </c>
      <c r="H28" s="1">
        <v>14</v>
      </c>
      <c r="I28" s="1" t="s">
        <v>1050</v>
      </c>
      <c r="J28" s="1" t="s">
        <v>181</v>
      </c>
      <c r="K28" s="1" t="s">
        <v>1064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1204</v>
      </c>
      <c r="R28" s="1" t="s">
        <v>1186</v>
      </c>
      <c r="S28" s="1" t="s">
        <v>1205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1206</v>
      </c>
      <c r="Z28" s="1">
        <v>-9</v>
      </c>
      <c r="AA28" s="1" t="s">
        <v>1130</v>
      </c>
      <c r="AB28" s="1">
        <v>-11</v>
      </c>
      <c r="AC28" s="1" t="s">
        <v>1188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1188</v>
      </c>
      <c r="AJ28" s="1">
        <v>-10</v>
      </c>
      <c r="AK28" s="1" t="s">
        <v>933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855</v>
      </c>
      <c r="AT28" s="1" t="s">
        <v>1207</v>
      </c>
      <c r="AU28" s="1" t="s">
        <v>304</v>
      </c>
      <c r="AV28" s="1" t="s">
        <v>1208</v>
      </c>
      <c r="AW28" s="1" t="s">
        <v>1209</v>
      </c>
      <c r="AX28" s="1" t="s">
        <v>208</v>
      </c>
      <c r="AY28" s="1" t="s">
        <v>1137</v>
      </c>
      <c r="AZ28" s="1" t="s">
        <v>1210</v>
      </c>
      <c r="BA28" s="1" t="s">
        <v>1211</v>
      </c>
      <c r="BB28" s="1" t="s">
        <v>1212</v>
      </c>
      <c r="BC28" s="1" t="s">
        <v>1095</v>
      </c>
      <c r="BD28" s="1" t="s">
        <v>1213</v>
      </c>
      <c r="BE28" s="1">
        <v>104.5</v>
      </c>
      <c r="BF28" s="1">
        <v>114.1</v>
      </c>
      <c r="BG28" s="1">
        <v>-9.6</v>
      </c>
      <c r="BH28" s="1" t="s">
        <v>1203</v>
      </c>
      <c r="BI28" s="1" t="s">
        <v>1121</v>
      </c>
      <c r="BJ28" s="1" t="s">
        <v>1076</v>
      </c>
      <c r="BK28" s="1" t="s">
        <v>1214</v>
      </c>
      <c r="BL28" s="1" t="s">
        <v>1215</v>
      </c>
      <c r="BM28" s="1" t="s">
        <v>1216</v>
      </c>
      <c r="BN28" s="1" t="s">
        <v>393</v>
      </c>
      <c r="BO28" s="1" t="s">
        <v>393</v>
      </c>
      <c r="BP28" s="1" t="s">
        <v>1201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1123</v>
      </c>
      <c r="BZ28" s="1" t="s">
        <v>407</v>
      </c>
      <c r="CA28" s="1" t="s">
        <v>1076</v>
      </c>
      <c r="CB28" s="1" t="s">
        <v>1217</v>
      </c>
      <c r="CC28" s="1" t="s">
        <v>1218</v>
      </c>
    </row>
    <row r="29" spans="1:81" x14ac:dyDescent="0.25">
      <c r="A29" s="1" t="s">
        <v>145</v>
      </c>
      <c r="B29" s="1" t="s">
        <v>762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1219</v>
      </c>
      <c r="H29" s="1">
        <v>14</v>
      </c>
      <c r="I29" s="1" t="s">
        <v>1050</v>
      </c>
      <c r="J29" s="1" t="s">
        <v>231</v>
      </c>
      <c r="K29" s="1" t="s">
        <v>1064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1142</v>
      </c>
      <c r="R29" s="1" t="s">
        <v>1065</v>
      </c>
      <c r="S29" s="1" t="s">
        <v>1054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1220</v>
      </c>
      <c r="Z29" s="1">
        <v>11</v>
      </c>
      <c r="AA29" s="1" t="s">
        <v>770</v>
      </c>
      <c r="AB29" s="1">
        <v>-9</v>
      </c>
      <c r="AC29" s="1" t="s">
        <v>1130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1221</v>
      </c>
      <c r="AT29" s="1" t="s">
        <v>1084</v>
      </c>
      <c r="AU29" s="1" t="s">
        <v>260</v>
      </c>
      <c r="AV29" s="1" t="s">
        <v>1058</v>
      </c>
      <c r="AW29" s="1" t="s">
        <v>1222</v>
      </c>
      <c r="AX29" s="1" t="s">
        <v>186</v>
      </c>
      <c r="AY29" s="1" t="s">
        <v>1223</v>
      </c>
      <c r="AZ29" s="1" t="s">
        <v>1224</v>
      </c>
      <c r="BA29" s="1" t="s">
        <v>1225</v>
      </c>
      <c r="BB29" s="1" t="s">
        <v>1226</v>
      </c>
      <c r="BC29" s="1" t="s">
        <v>1139</v>
      </c>
      <c r="BD29" s="1" t="s">
        <v>1227</v>
      </c>
      <c r="BE29" s="1">
        <v>108.9</v>
      </c>
      <c r="BF29" s="1">
        <v>110.1</v>
      </c>
      <c r="BG29" s="1">
        <v>-1.3</v>
      </c>
      <c r="BH29" s="1" t="s">
        <v>946</v>
      </c>
      <c r="BI29" s="1" t="s">
        <v>323</v>
      </c>
      <c r="BJ29" s="1" t="s">
        <v>266</v>
      </c>
      <c r="BK29" s="1" t="s">
        <v>276</v>
      </c>
      <c r="BL29" s="1" t="s">
        <v>1219</v>
      </c>
      <c r="BM29" s="1" t="s">
        <v>910</v>
      </c>
      <c r="BN29" s="1" t="s">
        <v>1121</v>
      </c>
      <c r="BO29" s="1" t="s">
        <v>1076</v>
      </c>
      <c r="BP29" s="1" t="s">
        <v>337</v>
      </c>
      <c r="BQ29" s="1" t="s">
        <v>323</v>
      </c>
      <c r="BR29" s="1" t="s">
        <v>1201</v>
      </c>
      <c r="BS29" s="1" t="s">
        <v>239</v>
      </c>
      <c r="BT29" s="1"/>
      <c r="BU29" s="1"/>
      <c r="BV29" s="1"/>
      <c r="BW29" s="1"/>
      <c r="BX29" s="1"/>
      <c r="BY29" s="1" t="s">
        <v>1200</v>
      </c>
      <c r="BZ29" s="1" t="s">
        <v>853</v>
      </c>
      <c r="CA29" s="1" t="s">
        <v>962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762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1230</v>
      </c>
      <c r="H30" s="1">
        <v>15</v>
      </c>
      <c r="I30" s="1" t="s">
        <v>1050</v>
      </c>
      <c r="J30" s="1" t="s">
        <v>203</v>
      </c>
      <c r="K30" s="1" t="s">
        <v>1231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1232</v>
      </c>
      <c r="R30" s="1" t="s">
        <v>1054</v>
      </c>
      <c r="S30" s="1" t="s">
        <v>1233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1234</v>
      </c>
      <c r="Z30" s="1">
        <v>-18</v>
      </c>
      <c r="AA30" s="1" t="s">
        <v>1235</v>
      </c>
      <c r="AB30" s="1">
        <v>-9</v>
      </c>
      <c r="AC30" s="1" t="s">
        <v>1130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1236</v>
      </c>
      <c r="AT30" s="1" t="s">
        <v>1237</v>
      </c>
      <c r="AU30" s="1" t="s">
        <v>327</v>
      </c>
      <c r="AV30" s="1" t="s">
        <v>861</v>
      </c>
      <c r="AW30" s="1" t="s">
        <v>1238</v>
      </c>
      <c r="AX30" s="1" t="s">
        <v>327</v>
      </c>
      <c r="AY30" s="1" t="s">
        <v>1239</v>
      </c>
      <c r="AZ30" s="1" t="s">
        <v>1240</v>
      </c>
      <c r="BA30" s="1" t="s">
        <v>1241</v>
      </c>
      <c r="BB30" s="1" t="s">
        <v>1242</v>
      </c>
      <c r="BC30" s="1" t="s">
        <v>1243</v>
      </c>
      <c r="BD30" s="1" t="s">
        <v>1244</v>
      </c>
      <c r="BE30" s="1">
        <v>104.6</v>
      </c>
      <c r="BF30" s="1">
        <v>113.8</v>
      </c>
      <c r="BG30" s="1">
        <v>-9.1999999999999993</v>
      </c>
      <c r="BH30" s="1" t="s">
        <v>1230</v>
      </c>
      <c r="BI30" s="1" t="s">
        <v>1154</v>
      </c>
      <c r="BJ30" s="1" t="s">
        <v>1245</v>
      </c>
      <c r="BK30" s="1" t="s">
        <v>1121</v>
      </c>
      <c r="BL30" s="1" t="s">
        <v>1198</v>
      </c>
      <c r="BM30" s="1" t="s">
        <v>1216</v>
      </c>
      <c r="BN30" s="1" t="s">
        <v>393</v>
      </c>
      <c r="BO30" s="1" t="s">
        <v>323</v>
      </c>
      <c r="BP30" s="1" t="s">
        <v>1246</v>
      </c>
      <c r="BQ30" s="1" t="s">
        <v>1106</v>
      </c>
      <c r="BR30" s="1" t="s">
        <v>1247</v>
      </c>
      <c r="BS30" s="1" t="s">
        <v>239</v>
      </c>
      <c r="BT30" s="1"/>
      <c r="BU30" s="1"/>
      <c r="BV30" s="1"/>
      <c r="BW30" s="1"/>
      <c r="BX30" s="1"/>
      <c r="BY30" s="1" t="s">
        <v>1200</v>
      </c>
      <c r="BZ30" s="1" t="s">
        <v>349</v>
      </c>
      <c r="CA30" s="1" t="s">
        <v>1248</v>
      </c>
      <c r="CB30" s="1" t="s">
        <v>1249</v>
      </c>
      <c r="CC30" s="1" t="s">
        <v>1250</v>
      </c>
    </row>
    <row r="31" spans="1:81" x14ac:dyDescent="0.25">
      <c r="A31" s="1" t="s">
        <v>145</v>
      </c>
      <c r="B31" s="1" t="s">
        <v>762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1230</v>
      </c>
      <c r="H31" s="1">
        <v>15</v>
      </c>
      <c r="I31" s="1" t="s">
        <v>1050</v>
      </c>
      <c r="J31" s="1" t="s">
        <v>152</v>
      </c>
      <c r="K31" s="1" t="s">
        <v>1184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1204</v>
      </c>
      <c r="R31" s="1" t="s">
        <v>1143</v>
      </c>
      <c r="S31" s="1" t="s">
        <v>1251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1222</v>
      </c>
      <c r="Z31" s="1">
        <v>-6</v>
      </c>
      <c r="AA31" s="1" t="s">
        <v>367</v>
      </c>
      <c r="AB31" s="1">
        <v>-13</v>
      </c>
      <c r="AC31" s="1" t="s">
        <v>1252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1253</v>
      </c>
      <c r="AT31" s="1" t="s">
        <v>1254</v>
      </c>
      <c r="AU31" s="1" t="s">
        <v>327</v>
      </c>
      <c r="AV31" s="1" t="s">
        <v>1255</v>
      </c>
      <c r="AW31" s="1" t="s">
        <v>1256</v>
      </c>
      <c r="AX31" s="1" t="s">
        <v>157</v>
      </c>
      <c r="AY31" s="1" t="s">
        <v>1257</v>
      </c>
      <c r="AZ31" s="1" t="s">
        <v>1258</v>
      </c>
      <c r="BA31" s="1" t="s">
        <v>1259</v>
      </c>
      <c r="BB31" s="1" t="s">
        <v>1260</v>
      </c>
      <c r="BC31" s="1" t="s">
        <v>1261</v>
      </c>
      <c r="BD31" s="1" t="s">
        <v>1262</v>
      </c>
      <c r="BE31" s="1">
        <v>107.5</v>
      </c>
      <c r="BF31" s="1">
        <v>116.8</v>
      </c>
      <c r="BG31" s="1">
        <v>-9.3000000000000007</v>
      </c>
      <c r="BH31" s="1" t="s">
        <v>1263</v>
      </c>
      <c r="BI31" s="1" t="s">
        <v>398</v>
      </c>
      <c r="BJ31" s="1" t="s">
        <v>398</v>
      </c>
      <c r="BK31" s="1" t="s">
        <v>393</v>
      </c>
      <c r="BL31" s="1" t="s">
        <v>1230</v>
      </c>
      <c r="BM31" s="1" t="s">
        <v>1264</v>
      </c>
      <c r="BN31" s="1" t="s">
        <v>402</v>
      </c>
      <c r="BO31" s="1" t="s">
        <v>1121</v>
      </c>
      <c r="BP31" s="1" t="s">
        <v>1199</v>
      </c>
      <c r="BQ31" s="1" t="s">
        <v>1265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1123</v>
      </c>
      <c r="BZ31" s="1" t="s">
        <v>1201</v>
      </c>
      <c r="CA31" s="1" t="s">
        <v>386</v>
      </c>
      <c r="CB31" s="1" t="s">
        <v>1266</v>
      </c>
      <c r="CC31" s="1" t="s">
        <v>1267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1269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1270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1277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1280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1281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1282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1281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1281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1277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1270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1285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1281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1288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1289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1290</v>
      </c>
      <c r="T4" s="1">
        <v>23.7</v>
      </c>
      <c r="U4" s="1" t="s">
        <v>1273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1292</v>
      </c>
      <c r="T5" s="1">
        <v>26</v>
      </c>
      <c r="U5" s="1" t="s">
        <v>1273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1294</v>
      </c>
      <c r="T7" s="1">
        <v>25.7</v>
      </c>
      <c r="U7" s="1" t="s">
        <v>1295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1297</v>
      </c>
      <c r="T8" s="1">
        <v>24.5</v>
      </c>
      <c r="U8" s="1" t="s">
        <v>1298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1299</v>
      </c>
      <c r="T9" s="1">
        <v>24.6</v>
      </c>
      <c r="U9" s="1" t="s">
        <v>1273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1271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1273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1302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1304</v>
      </c>
      <c r="T14" s="1">
        <v>24.1</v>
      </c>
      <c r="U14" s="1" t="s">
        <v>1284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1305</v>
      </c>
      <c r="T15" s="1">
        <v>25</v>
      </c>
      <c r="U15" s="1" t="s">
        <v>1275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1306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1271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1292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1308</v>
      </c>
      <c r="T21" s="1">
        <v>25.6</v>
      </c>
      <c r="U21" s="1" t="s">
        <v>1284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1304</v>
      </c>
      <c r="T22" s="1">
        <v>24.9</v>
      </c>
      <c r="U22" s="1" t="s">
        <v>1310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1298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1311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1312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1313</v>
      </c>
      <c r="T26" s="1">
        <v>23.2</v>
      </c>
      <c r="U26" s="1" t="s">
        <v>1314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1315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1316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1317</v>
      </c>
      <c r="T28" s="1">
        <v>24.7</v>
      </c>
      <c r="U28" s="1" t="s">
        <v>1269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1297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1320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1270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1270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1270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1322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1270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1279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2019-11-22T13:38:37Z</dcterms:modified>
</cp:coreProperties>
</file>