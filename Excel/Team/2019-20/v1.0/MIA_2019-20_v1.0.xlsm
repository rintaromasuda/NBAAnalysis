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465FCD70-DACD-4C87-BCFB-624EB5F4818E}" xr6:coauthVersionLast="45" xr6:coauthVersionMax="45" xr10:uidLastSave="{00000000-0000-0000-0000-000000000000}"/>
  <bookViews>
    <workbookView xWindow="4911" yWindow="1174" windowWidth="16458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<sst xmlns="http://schemas.openxmlformats.org/spreadsheetml/2006/main" count="5930" uniqueCount="1418">
  <si>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</si>
  <si>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</si>
  <si>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</si>
  <si>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</si>
  <si>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</si>
  <si>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</si>
  <si>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</si>
  <si>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</si>
  <si>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</si>
  <si>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</si>
  <si>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</si>
  <si>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</si>
  <si>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</si>
  <si>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</si>
  <si>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</si>
  <si>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</si>
  <si>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</si>
  <si>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</si>
  <si>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</si>
  <si>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</si>
  <si>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</si>
  <si>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</si>
  <si>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</si>
  <si>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</si>
  <si>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</si>
  <si>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</si>
  <si>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</si>
  <si>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</si>
  <si>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</si>
  <si>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</si>
  <si>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</si>
  <si>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</si>
  <si>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</si>
  <si>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</si>
  <si>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</si>
  <si>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</si>
  <si>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</si>
  <si>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</si>
  <si>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</si>
  <si>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</si>
  <si>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</si>
  <si>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</si>
  <si>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</si>
  <si>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</si>
  <si>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</si>
  <si>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</si>
  <si>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</si>
  <si>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</si>
  <si>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</si>
  <si>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</si>
  <si>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</si>
  <si>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</si>
  <si>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</si>
  <si>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</si>
  <si>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</si>
  <si>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</si>
  <si>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</si>
  <si>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</si>
  <si>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</si>
  <si>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</si>
  <si>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</si>
  <si>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</si>
  <si>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</si>
  <si>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</si>
  <si>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</si>
  <si>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</si>
  <si>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</si>
  <si>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</si>
  <si>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</si>
  <si>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</si>
  <si>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</si>
  <si>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</si>
  <si>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</si>
  <si>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</si>
  <si>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</si>
  <si>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</si>
  <si>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</si>
  <si>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</si>
  <si>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</si>
  <si>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</si>
  <si>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</si>
  <si>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</si>
  <si>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</si>
  <si>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</si>
  <si>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</si>
  <si>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</si>
  <si>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</si>
  <si>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</si>
  <si>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</si>
  <si>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</si>
  <si>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</si>
  <si>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</si>
  <si>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</si>
  <si>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</si>
  <si>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</si>
  <si>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</si>
  <si>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</si>
  <si>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</si>
  <si>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</si>
  <si>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</si>
  <si>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</si>
  <si>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</si>
  <si>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</si>
  <si>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</si>
  <si>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</si>
  <si>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</si>
  <si>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</si>
  <si>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</si>
  <si>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</si>
  <si>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</si>
  <si>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</si>
  <si>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</si>
  <si>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</si>
  <si>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</si>
  <si>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</si>
  <si>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</si>
  <si>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</si>
  <si>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</si>
  <si>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</si>
  <si>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</si>
  <si>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</si>
  <si>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</si>
  <si>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</si>
  <si>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</si>
  <si>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</si>
  <si>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</si>
  <si>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</si>
  <si>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</si>
  <si>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</si>
  <si>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</si>
  <si>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</si>
  <si>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</si>
  <si>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</si>
  <si>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</si>
  <si>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</si>
  <si>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</si>
  <si>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</si>
  <si>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</si>
  <si>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</si>
  <si>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</si>
  <si>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</si>
  <si>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</si>
  <si>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</si>
  <si>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</si>
  <si>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</si>
  <si>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</si>
  <si>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</si>
  <si>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</si>
  <si>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</si>
  <si>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</si>
  <si>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</si>
  <si>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</si>
  <si>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</si>
  <si>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</si>
  <si>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</si>
  <si>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</si>
  <si>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</si>
  <si>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</si>
  <si>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</si>
  <si>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</si>
  <si>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</si>
  <si>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</si>
  <si>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</si>
  <si>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</si>
  <si>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</si>
  <si>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</si>
  <si>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</si>
  <si>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</si>
  <si>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</si>
  <si>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</si>
  <si>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</si>
  <si>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</si>
  <si>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</si>
  <si>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</si>
  <si>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</si>
  <si>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</si>
  <si>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</si>
  <si>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</si>
  <si>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</si>
  <si>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</si>
  <si>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</si>
  <si>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</si>
  <si>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</si>
  <si>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</si>
  <si>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</si>
  <si>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</si>
  <si>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</si>
  <si>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</si>
  <si>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</si>
  <si>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</si>
  <si>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</si>
  <si>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</si>
  <si>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</si>
  <si>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</si>
  <si>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</si>
  <si>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</si>
  <si>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</si>
  <si>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</si>
  <si>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</si>
  <si>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</si>
  <si>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</si>
  <si>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</si>
  <si>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</si>
  <si>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</si>
  <si>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</si>
  <si>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</si>
  <si>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</si>
  <si>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</si>
  <si>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</si>
  <si>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</si>
  <si>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</si>
  <si>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</si>
  <si>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</si>
  <si>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</si>
  <si>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</si>
  <si>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</si>
  <si>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</si>
  <si>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</si>
  <si>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</si>
  <si>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</si>
  <si>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</si>
  <si>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</si>
  <si>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</si>
  <si>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</si>
  <si>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</si>
  <si>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</si>
  <si>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</si>
  <si>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</si>
  <si>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</si>
  <si>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</si>
  <si>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</si>
  <si>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</si>
  <si>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</si>
  <si>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</si>
  <si>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</si>
  <si>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</si>
  <si>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</si>
  <si>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</si>
  <si>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</si>
  <si>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</si>
  <si>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</si>
  <si>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</si>
  <si>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</si>
  <si>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</si>
  <si>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</si>
  <si>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</si>
  <si>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</si>
  <si>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</si>
  <si>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</si>
  <si>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</si>
  <si>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</si>
  <si>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</si>
  <si>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</si>
  <si>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</si>
  <si>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</si>
  <si>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</si>
  <si>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</si>
  <si>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</si>
  <si>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</si>
  <si>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</si>
  <si>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</si>
  <si>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</si>
  <si>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</si>
  <si>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</si>
  <si>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</si>
  <si>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</si>
  <si>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</si>
  <si>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</si>
  <si>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</si>
  <si>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</si>
  <si>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</si>
  <si>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</si>
  <si>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</si>
  <si>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</si>
  <si>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</si>
  <si>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</si>
  <si>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</si>
  <si>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</si>
  <si>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</si>
  <si>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</si>
  <si>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</si>
  <si>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</si>
  <si>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</si>
  <si>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</si>
  <si>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</si>
  <si>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</si>
  <si>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</si>
  <si>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</si>
  <si>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</si>
  <si>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</si>
  <si>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</si>
  <si>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</si>
  <si>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</si>
  <si>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</si>
  <si>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</si>
  <si>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</si>
  <si>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</si>
  <si>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</si>
  <si>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</si>
  <si>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</si>
  <si>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</si>
  <si>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</si>
  <si>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</si>
  <si>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</si>
  <si>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</si>
  <si>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</si>
  <si>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</si>
  <si>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</si>
  <si>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</si>
  <si>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</si>
  <si>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</si>
  <si>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</si>
  <si>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</si>
  <si>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</si>
  <si>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</si>
  <si>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</si>
  <si>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</si>
  <si>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</si>
  <si>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</si>
  <si>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</si>
  <si>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</si>
  <si>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</si>
  <si>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</si>
  <si>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</si>
  <si>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</si>
  <si>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</si>
  <si>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</si>
  <si>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</si>
  <si>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</si>
  <si>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</si>
  <si>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</si>
  <si>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</si>
  <si>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</si>
  <si>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</si>
  <si>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</si>
  <si>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</si>
  <si>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</si>
  <si>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</si>
  <si>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</si>
  <si>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</si>
  <si>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</si>
  <si>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</si>
  <si>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</si>
  <si>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</si>
  <si>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</si>
  <si>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</si>
  <si>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</si>
  <si>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</si>
  <si>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</si>
  <si>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</si>
  <si>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</si>
  <si>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</si>
  <si>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</si>
  <si>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</si>
  <si>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</si>
  <si>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</si>
  <si>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</si>
  <si>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</si>
  <si>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</si>
  <si>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</si>
  <si>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</si>
  <si>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</si>
  <si>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</si>
  <si>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</si>
  <si>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</si>
  <si>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</si>
  <si>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</si>
  <si>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</si>
  <si>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</si>
  <si>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</si>
  <si>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</si>
  <si>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</si>
  <si>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</si>
  <si>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</si>
  <si>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</si>
  <si>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</si>
  <si>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</si>
  <si>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</si>
  <si>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</si>
  <si>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</si>
  <si>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</si>
  <si>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</si>
  <si>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</si>
  <si>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</si>
  <si>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</si>
  <si>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</si>
  <si>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</si>
  <si>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</si>
  <si>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</si>
  <si>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</si>
  <si>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</si>
  <si>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</si>
  <si>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</si>
  <si>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</si>
  <si>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</si>
  <si>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</si>
  <si>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</si>
  <si>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</si>
  <si>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</si>
  <si>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</si>
  <si>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</si>
  <si>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</si>
  <si>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</si>
  <si>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</si>
  <si>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</si>
  <si>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</si>
  <si>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</si>
  <si>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</si>
  <si>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</si>
  <si>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</si>
  <si>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</si>
  <si>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</si>
  <si>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</si>
  <si>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</si>
  <si>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</si>
  <si>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</si>
  <si>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</si>
  <si>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</si>
  <si>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</si>
  <si>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</si>
  <si>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</si>
  <si>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</si>
  <si>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</si>
  <si>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</si>
  <si>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</si>
  <si>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</si>
  <si>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</si>
  <si>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</si>
  <si>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</si>
  <si>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</si>
  <si>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</si>
  <si>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</si>
  <si>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</si>
  <si>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</si>
  <si>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</si>
  <si>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</si>
  <si>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</si>
  <si>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</si>
  <si>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</si>
  <si>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</si>
  <si>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</si>
  <si>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</si>
  <si>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</si>
  <si>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</si>
  <si>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</si>
  <si>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</si>
  <si>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</si>
  <si>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</si>
  <si>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</si>
  <si>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</si>
  <si>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</si>
  <si>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</si>
  <si>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</si>
  <si>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</si>
  <si>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</si>
  <si>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</si>
  <si>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</si>
  <si>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</si>
  <si>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</si>
  <si>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</si>
  <si>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</si>
  <si>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</si>
  <si>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</si>
  <si>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</si>
  <si>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</si>
  <si>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</si>
  <si>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</si>
  <si>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</si>
  <si>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</si>
  <si>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</si>
  <si>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</si>
  <si>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</si>
  <si>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</si>
  <si>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</si>
  <si>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</si>
  <si>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</si>
  <si>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</si>
  <si>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</si>
  <si>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</si>
  <si>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</si>
  <si>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</si>
  <si>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</si>
  <si>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</si>
  <si>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</si>
  <si>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</si>
  <si>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</si>
  <si>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</si>
  <si>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</si>
  <si>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</si>
  <si>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</si>
  <si>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</si>
  <si>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</si>
  <si>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</si>
  <si>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</si>
  <si>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</si>
  <si>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</si>
  <si>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</si>
  <si>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</si>
  <si>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</si>
  <si>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</si>
  <si>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</si>
  <si>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</si>
  <si>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</si>
  <si>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</si>
  <si>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</si>
  <si>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</si>
  <si>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</si>
  <si>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</si>
  <si>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</si>
  <si>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</si>
  <si>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</si>
  <si>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</si>
  <si>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</si>
  <si>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</si>
  <si>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</si>
  <si>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</si>
  <si>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</si>
  <si>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</si>
  <si>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</si>
  <si>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</si>
  <si>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</si>
  <si>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</si>
  <si>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</si>
  <si>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</si>
  <si>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</si>
  <si>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</si>
  <si>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</si>
  <si>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</si>
  <si>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</si>
  <si>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</si>
  <si>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</si>
  <si>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</si>
  <si>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</si>
  <si>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</si>
  <si>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</si>
  <si>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</si>
  <si>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</si>
  <si>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</si>
  <si>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</si>
  <si>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</si>
  <si>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</si>
  <si>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</si>
  <si>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</si>
  <si>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</si>
  <si>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</si>
  <si>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</si>
  <si>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</si>
  <si>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</si>
  <si>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</si>
  <si>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</si>
  <si>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</si>
  <si>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</si>
  <si>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</si>
  <si>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</si>
  <si>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</si>
  <si>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</si>
  <si>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</si>
  <si>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</si>
  <si>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</si>
  <si>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</si>
  <si>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</si>
  <si>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</si>
  <si>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</si>
  <si>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</si>
  <si>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</si>
  <si>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</si>
  <si>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</si>
  <si>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</si>
  <si>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</si>
  <si>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</si>
  <si>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</si>
  <si>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</si>
  <si>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</si>
  <si>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</si>
  <si>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</si>
  <si>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</si>
  <si>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</si>
  <si>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</si>
  <si>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</si>
  <si>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</si>
  <si>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</si>
  <si>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</si>
  <si>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</si>
  <si>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</si>
  <si>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</si>
  <si>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</si>
  <si>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</si>
  <si>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</si>
  <si>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</si>
  <si>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</si>
  <si>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</si>
  <si>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</si>
  <si>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</si>
  <si>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</si>
  <si>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</si>
  <si>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</si>
  <si>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</si>
  <si>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</si>
  <si>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</si>
  <si>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</si>
  <si>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</si>
  <si>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</si>
  <si>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</si>
  <si>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</si>
  <si>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</si>
  <si>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</si>
  <si>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</si>
  <si>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</si>
  <si>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</si>
  <si>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</si>
  <si>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</si>
  <si>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</si>
  <si>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</si>
  <si>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</si>
  <si>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</si>
  <si>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</si>
  <si>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</si>
  <si>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</si>
  <si>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</si>
  <si>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</si>
  <si>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</si>
  <si>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</si>
  <si>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</si>
  <si>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</si>
  <si>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</si>
  <si>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</si>
  <si>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</si>
  <si>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</si>
  <si>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</si>
  <si>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</si>
  <si>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</si>
  <si>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</si>
  <si>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</si>
  <si>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</si>
  <si>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</si>
  <si>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</si>
  <si>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</si>
  <si>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</si>
  <si>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</si>
  <si>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</si>
  <si>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</si>
  <si>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</si>
  <si>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</si>
  <si>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</si>
  <si>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</si>
  <si>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</si>
  <si>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</si>
  <si>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</si>
  <si>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</si>
  <si>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</si>
  <si>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</si>
  <si>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</si>
  <si>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</si>
  <si>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</si>
  <si>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</si>
  <si>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</si>
  <si>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</si>
  <si>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</si>
  <si>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</si>
  <si>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</si>
  <si>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</si>
  <si>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</si>
  <si>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</si>
  <si>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</si>
  <si>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</si>
  <si>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</si>
  <si>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</si>
  <si>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</si>
  <si>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</si>
  <si>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</si>
  <si>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</si>
  <si>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</si>
  <si>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</si>
  <si>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</si>
  <si>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</si>
  <si>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</si>
  <si>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</si>
  <si>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</si>
  <si>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</si>
  <si>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</si>
  <si>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</si>
  <si>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</si>
  <si>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</si>
  <si>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</si>
  <si>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</si>
  <si>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</si>
  <si>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</si>
  <si>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</si>
  <si>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</si>
  <si>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</si>
  <si>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</si>
  <si>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</si>
  <si>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</si>
  <si>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</si>
  <si>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</si>
  <si>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</si>
  <si>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</si>
  <si>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</si>
  <si>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</si>
  <si>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</si>
  <si>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</si>
  <si>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</si>
  <si>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</si>
  <si>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</si>
  <si>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</si>
  <si>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</si>
  <si>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</si>
  <si>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</si>
  <si>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</si>
  <si>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</si>
  <si>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</si>
  <si>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</si>
  <si>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</si>
  <si>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</si>
  <si>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</si>
  <si>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</si>
  <si>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</si>
  <si>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</si>
  <si>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</si>
  <si>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</si>
  <si>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</si>
  <si>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</si>
  <si>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</si>
  <si>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</si>
  <si>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</si>
  <si>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</si>
  <si>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</si>
  <si>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</si>
  <si>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</si>
  <si>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</si>
  <si>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</si>
  <si>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</si>
  <si>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</si>
  <si>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</si>
  <si>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</si>
  <si>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</si>
  <si>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</si>
  <si>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</si>
  <si>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</si>
  <si>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</si>
  <si>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</si>
  <si>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</si>
  <si>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</si>
  <si>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</si>
  <si>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</si>
  <si>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</si>
  <si>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</si>
  <si>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</si>
  <si>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</si>
  <si>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</si>
  <si>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</si>
  <si>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</si>
  <si>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</si>
  <si>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</si>
  <si>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</si>
  <si>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</si>
  <si>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</si>
  <si>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R</t>
  </si>
  <si>
    <t>G</t>
  </si>
  <si>
    <t>3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</si>
  <si>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</si>
  <si>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</si>
  <si>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</si>
  <si>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</si>
  <si>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</si>
  <si>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</si>
  <si>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</si>
  <si>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</si>
  <si>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</si>
  <si>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</si>
  <si>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</si>
  <si>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</si>
  <si>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</si>
  <si>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</si>
  <si>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</si>
  <si>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</si>
  <si>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</si>
  <si>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</si>
  <si>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</si>
  <si>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</si>
  <si>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</si>
  <si>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</si>
  <si>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</si>
  <si>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</si>
  <si>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</si>
  <si>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</si>
  <si>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</si>
  <si>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</si>
  <si>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</si>
  <si>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</si>
  <si>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</si>
  <si>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</si>
  <si>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</si>
  <si>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</si>
  <si>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</si>
  <si>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</si>
  <si>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</si>
  <si>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</si>
  <si>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</si>
  <si>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</si>
  <si>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</si>
  <si>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</si>
  <si>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</si>
  <si>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</si>
  <si>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</si>
  <si>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</si>
  <si>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</si>
  <si>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</si>
  <si>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</si>
  <si>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</si>
  <si>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</si>
  <si>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</si>
  <si>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</si>
  <si>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</si>
  <si>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</si>
  <si>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</si>
  <si>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</si>
  <si>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</si>
  <si>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</si>
  <si>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</si>
  <si>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</si>
  <si>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</si>
  <si>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</si>
  <si>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</si>
  <si>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</si>
  <si>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</si>
  <si>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</si>
  <si>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</si>
  <si>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</si>
  <si>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</si>
  <si>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</si>
  <si>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</si>
  <si>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</si>
  <si>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</si>
  <si>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</si>
  <si>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</si>
  <si>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</si>
  <si>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</si>
  <si>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</si>
  <si>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</si>
  <si>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</si>
  <si>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</si>
  <si>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</si>
  <si>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</si>
  <si>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</si>
  <si>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</si>
  <si>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</si>
  <si>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</si>
  <si>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</si>
  <si>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</si>
  <si>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</si>
  <si>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</si>
  <si>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</si>
  <si>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</si>
  <si>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</si>
  <si>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</si>
  <si>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</si>
  <si>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</si>
  <si>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</si>
  <si>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</si>
  <si>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</si>
  <si>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</si>
  <si>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</si>
  <si>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</si>
  <si>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</si>
  <si>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</si>
  <si>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</si>
  <si>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</si>
  <si>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</si>
  <si>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</si>
  <si>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</si>
  <si>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</si>
  <si>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</si>
  <si>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</si>
  <si>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</si>
  <si>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</si>
  <si>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</si>
  <si>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</si>
  <si>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</si>
  <si>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</si>
  <si>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</si>
  <si>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</si>
  <si>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</si>
  <si>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</si>
  <si>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</si>
  <si>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</si>
  <si>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</si>
  <si>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</si>
  <si>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</si>
  <si>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</si>
  <si>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</si>
  <si>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</si>
  <si>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</si>
  <si>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</si>
  <si>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</si>
  <si>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</si>
  <si>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</si>
  <si>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</si>
  <si>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</si>
  <si>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</si>
  <si>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</si>
  <si>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</si>
  <si>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</si>
  <si>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</si>
  <si>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</si>
  <si>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</si>
  <si>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</si>
  <si>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</si>
  <si>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</si>
  <si>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</si>
  <si>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</si>
  <si>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</si>
  <si>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</si>
  <si>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</si>
  <si>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</si>
  <si>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</si>
  <si>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</si>
  <si>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</si>
  <si>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</si>
  <si>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</si>
  <si>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</si>
  <si>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</si>
  <si>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</si>
  <si>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</si>
  <si>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</si>
  <si>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</si>
  <si>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</si>
  <si>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</si>
  <si>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</si>
  <si>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</si>
  <si>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</si>
  <si>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</si>
  <si>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</si>
  <si>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</si>
  <si>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</si>
  <si>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</si>
  <si>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</si>
  <si>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</si>
  <si>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</si>
  <si>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</si>
  <si>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</si>
  <si>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</si>
  <si>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</si>
  <si>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</si>
  <si>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</si>
  <si>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</si>
  <si>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</si>
  <si>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</si>
  <si>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</si>
  <si>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</si>
  <si>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</si>
  <si>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</si>
  <si>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</si>
  <si>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</si>
  <si>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</si>
  <si>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</si>
  <si>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</si>
  <si>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</si>
  <si>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</si>
  <si>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</si>
  <si>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</si>
  <si>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</si>
  <si>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</si>
  <si>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</si>
  <si>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</si>
  <si>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</si>
  <si>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</si>
  <si>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</si>
  <si>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</si>
  <si>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</si>
  <si>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</si>
  <si>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</si>
  <si>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</si>
  <si>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</si>
  <si>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</si>
  <si>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</si>
  <si>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</si>
  <si>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</si>
  <si>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</si>
  <si>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</si>
  <si>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</si>
  <si>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</si>
  <si>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</si>
  <si>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</si>
  <si>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</si>
  <si>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</si>
  <si>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</si>
  <si>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</si>
  <si>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</si>
  <si>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</si>
  <si>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</si>
  <si>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</si>
  <si>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</si>
  <si>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</si>
  <si>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</si>
  <si>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</si>
  <si>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</si>
  <si>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</si>
  <si>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</si>
  <si>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</si>
  <si>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</si>
  <si>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</si>
  <si>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</si>
  <si>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</si>
  <si>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</si>
  <si>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</si>
  <si>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</si>
  <si>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</si>
  <si>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</si>
  <si>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</si>
  <si>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</si>
  <si>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</si>
  <si>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</si>
  <si>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</si>
  <si>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</si>
  <si>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</si>
  <si>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</si>
  <si>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</si>
  <si>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</si>
  <si>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</si>
  <si>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</si>
  <si>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</si>
  <si>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</si>
  <si>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</si>
  <si>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</si>
  <si>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</si>
  <si>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</si>
  <si>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</si>
  <si>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</si>
  <si>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</si>
  <si>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</si>
  <si>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</si>
  <si>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</si>
  <si>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</si>
  <si>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</si>
  <si>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</si>
  <si>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</si>
  <si>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</si>
  <si>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</si>
  <si>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</si>
  <si>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</si>
  <si>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</si>
  <si>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</si>
  <si>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</si>
  <si>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</si>
  <si>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</si>
  <si>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</si>
  <si>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</si>
  <si>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</si>
  <si>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</si>
  <si>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</si>
  <si>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</si>
  <si>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</si>
  <si>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</si>
  <si>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</si>
  <si>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</si>
  <si>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</si>
  <si>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</si>
  <si>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</si>
  <si>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</si>
  <si>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</si>
  <si>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</si>
  <si>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</si>
  <si>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</si>
  <si>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</si>
  <si>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</si>
  <si>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</si>
  <si>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</si>
  <si>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</si>
  <si>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</si>
  <si>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</si>
  <si>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</si>
  <si>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</si>
  <si>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</si>
  <si>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</si>
  <si>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</si>
  <si>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</si>
  <si>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</si>
  <si>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</si>
  <si>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</si>
  <si>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</si>
  <si>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</si>
  <si>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</si>
  <si>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</si>
  <si>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</si>
  <si>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</si>
  <si>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</si>
  <si>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</si>
  <si>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</si>
  <si>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</si>
  <si>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</si>
  <si>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</si>
  <si>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</si>
  <si>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</si>
  <si>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</si>
  <si>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</si>
  <si>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</si>
  <si>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</si>
  <si>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</si>
  <si>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</si>
  <si>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</si>
  <si>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</si>
  <si>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</si>
  <si>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</si>
  <si>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</si>
  <si>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</si>
  <si>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</si>
  <si>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</si>
  <si>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</si>
  <si>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</si>
  <si>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</si>
  <si>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</si>
  <si>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</si>
  <si>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</si>
  <si>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</si>
  <si>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</si>
  <si>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</si>
  <si>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</si>
  <si>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</si>
  <si>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</si>
  <si>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</si>
  <si>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</si>
  <si>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</si>
  <si>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</si>
  <si>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</si>
  <si>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</si>
  <si>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</si>
  <si>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</si>
  <si>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</si>
  <si>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</si>
  <si>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</si>
  <si>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</si>
  <si>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</si>
  <si>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</si>
  <si>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</si>
  <si>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</si>
  <si>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</si>
  <si>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</si>
  <si>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</si>
  <si>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</si>
  <si>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</si>
  <si>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</si>
  <si>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</si>
  <si>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</si>
  <si>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</si>
  <si>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</si>
  <si>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</si>
  <si>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</si>
  <si>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</si>
  <si>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</si>
  <si>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</si>
  <si>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</si>
  <si>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</si>
  <si>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</si>
  <si>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</si>
  <si>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</si>
  <si>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</si>
  <si>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</si>
  <si>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</si>
  <si>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</si>
  <si>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</si>
  <si>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</si>
  <si>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</si>
  <si>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</si>
  <si>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</si>
  <si>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</si>
  <si>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</si>
  <si>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</si>
  <si>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</si>
  <si>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</si>
  <si>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</si>
  <si>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</si>
  <si>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</si>
  <si>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</si>
  <si>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</si>
  <si>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</si>
  <si>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</si>
  <si>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</si>
  <si>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</si>
  <si>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</si>
  <si>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</si>
  <si>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</si>
  <si>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</si>
  <si>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</si>
  <si>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</si>
  <si>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</si>
  <si>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</si>
  <si>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</si>
  <si>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</si>
  <si>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</si>
  <si>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</si>
  <si>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</si>
  <si>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</si>
  <si>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</si>
  <si>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</si>
  <si>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</si>
  <si>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</si>
  <si>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</si>
  <si>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</si>
  <si>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</si>
  <si>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</si>
  <si>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</si>
  <si>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</si>
  <si>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</si>
  <si>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</si>
  <si>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</si>
  <si>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</si>
  <si>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</si>
  <si>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</si>
  <si>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</si>
  <si>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</si>
  <si>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</si>
  <si>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</si>
  <si>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</si>
  <si>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</si>
  <si>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</si>
  <si>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</si>
  <si>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</si>
  <si>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</si>
  <si>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</si>
  <si>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</si>
  <si>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</si>
  <si>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</si>
  <si>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</si>
  <si>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</si>
  <si>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</si>
  <si>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</si>
  <si>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</si>
  <si>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</si>
  <si>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</si>
  <si>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</si>
  <si>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</si>
  <si>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</si>
  <si>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</si>
  <si>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</si>
  <si>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</si>
  <si>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</si>
  <si>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</si>
  <si>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</si>
  <si>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</si>
  <si>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</si>
  <si>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</si>
  <si>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</si>
  <si>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</si>
  <si>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</si>
  <si>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</si>
  <si>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</si>
  <si>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</si>
  <si>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</si>
  <si>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</si>
  <si>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</si>
  <si>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</si>
  <si>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</si>
  <si>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</si>
  <si>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</si>
  <si>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</si>
  <si>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</si>
  <si>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</si>
  <si>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</si>
  <si>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</si>
  <si>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</si>
  <si>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</si>
  <si>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</si>
  <si>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</si>
  <si>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</si>
  <si>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</si>
  <si>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</si>
  <si>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</si>
  <si>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</si>
  <si>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</si>
  <si>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</si>
  <si>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</si>
  <si>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</si>
  <si>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</si>
  <si>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</si>
  <si>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</si>
  <si>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</si>
  <si>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</si>
  <si>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</si>
  <si>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</si>
  <si>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</si>
  <si>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</si>
  <si>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</si>
  <si>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</si>
  <si>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</si>
  <si>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</si>
  <si>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</si>
  <si>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</si>
  <si>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</si>
  <si>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</si>
  <si>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</si>
  <si>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</si>
  <si>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</si>
  <si>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</si>
  <si>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</si>
  <si>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</si>
  <si>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</si>
  <si>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</si>
  <si>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</si>
  <si>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</si>
  <si>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</si>
  <si>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</si>
  <si>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</si>
  <si>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</si>
  <si>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</si>
  <si>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</si>
  <si>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</si>
  <si>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</si>
  <si>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</si>
  <si>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</si>
  <si>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</si>
  <si>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</si>
  <si>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</si>
  <si>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</si>
  <si>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</si>
  <si>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</si>
  <si>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</si>
  <si>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</si>
  <si>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</si>
  <si>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</si>
  <si>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</si>
  <si>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</si>
  <si>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</si>
  <si>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</si>
  <si>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</si>
  <si>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215</t>
  </si>
  <si>
    <t>13</t>
  </si>
  <si>
    <t>7</t>
  </si>
  <si>
    <t>10</t>
  </si>
  <si>
    <t>14</t>
  </si>
  <si>
    <t>15</t>
  </si>
  <si>
    <t>2</t>
  </si>
  <si>
    <t>F-C</t>
  </si>
  <si>
    <t>9</t>
  </si>
  <si>
    <t>Kentucky</t>
  </si>
  <si>
    <t>0</t>
  </si>
  <si>
    <t>6</t>
  </si>
  <si>
    <t>Duke</t>
  </si>
  <si>
    <t>234</t>
  </si>
  <si>
    <t>C-F</t>
  </si>
  <si>
    <t>11</t>
  </si>
  <si>
    <t>6-6</t>
  </si>
  <si>
    <t>Gonzaga</t>
  </si>
  <si>
    <t>16</t>
  </si>
  <si>
    <t>30</t>
  </si>
  <si>
    <t>Meyers Leonard</t>
  </si>
  <si>
    <t>260</t>
  </si>
  <si>
    <t>FEB 27, 1992</t>
  </si>
  <si>
    <t>Illinois</t>
  </si>
  <si>
    <t>KZ Okpala</t>
  </si>
  <si>
    <t>F-G</t>
  </si>
  <si>
    <t>APR 28, 1999</t>
  </si>
  <si>
    <t>Stanford</t>
  </si>
  <si>
    <t>Derrick Jones Jr.</t>
  </si>
  <si>
    <t>210</t>
  </si>
  <si>
    <t>FEB 15, 1997</t>
  </si>
  <si>
    <t>UNLV</t>
  </si>
  <si>
    <t>Goran Dragic</t>
  </si>
  <si>
    <t>190</t>
  </si>
  <si>
    <t>MAY 06, 1986</t>
  </si>
  <si>
    <t xml:space="preserve"> </t>
  </si>
  <si>
    <t>Kelly Olynyk</t>
  </si>
  <si>
    <t>6-11</t>
  </si>
  <si>
    <t>240</t>
  </si>
  <si>
    <t>APR 19, 1991</t>
  </si>
  <si>
    <t>Dion Waiters</t>
  </si>
  <si>
    <t>DEC 10, 1991</t>
  </si>
  <si>
    <t>Syracuse</t>
  </si>
  <si>
    <t>Bam Adebayo</t>
  </si>
  <si>
    <t>255</t>
  </si>
  <si>
    <t>JUL 18, 1997</t>
  </si>
  <si>
    <t>Tyler Herro</t>
  </si>
  <si>
    <t>195</t>
  </si>
  <si>
    <t>JAN 20, 2000</t>
  </si>
  <si>
    <t>Daryl Macon</t>
  </si>
  <si>
    <t>185</t>
  </si>
  <si>
    <t>NOV 29, 1995</t>
  </si>
  <si>
    <t>Arkansas</t>
  </si>
  <si>
    <t>James Johnson</t>
  </si>
  <si>
    <t>FEB 20, 1987</t>
  </si>
  <si>
    <t>Wake Forest</t>
  </si>
  <si>
    <t>Justise Winslow</t>
  </si>
  <si>
    <t>20</t>
  </si>
  <si>
    <t>222</t>
  </si>
  <si>
    <t>MAR 26, 1996</t>
  </si>
  <si>
    <t>Jimmy Butler</t>
  </si>
  <si>
    <t>22</t>
  </si>
  <si>
    <t>230</t>
  </si>
  <si>
    <t>SEP 14, 1989</t>
  </si>
  <si>
    <t>8</t>
  </si>
  <si>
    <t>Marquette</t>
  </si>
  <si>
    <t>Kendrick Nunn</t>
  </si>
  <si>
    <t>25</t>
  </si>
  <si>
    <t>AUG 03, 1995</t>
  </si>
  <si>
    <t>Oakland</t>
  </si>
  <si>
    <t>Chris Silva</t>
  </si>
  <si>
    <t>SEP 19, 1996</t>
  </si>
  <si>
    <t>South Carolina</t>
  </si>
  <si>
    <t>Udonis Haslem</t>
  </si>
  <si>
    <t>40</t>
  </si>
  <si>
    <t>235</t>
  </si>
  <si>
    <t>JUN 09, 1980</t>
  </si>
  <si>
    <t>Florida</t>
  </si>
  <si>
    <t>Duncan Robinson</t>
  </si>
  <si>
    <t>55</t>
  </si>
  <si>
    <t>APR 22, 1994</t>
  </si>
  <si>
    <t>Michigan</t>
  </si>
  <si>
    <t>Heat</t>
    <phoneticPr fontId="1"/>
  </si>
  <si>
    <t>10-3</t>
    <phoneticPr fontId="1"/>
  </si>
  <si>
    <t xml:space="preserve">8-2  </t>
    <phoneticPr fontId="1"/>
  </si>
  <si>
    <t xml:space="preserve">6-0  </t>
    <phoneticPr fontId="1"/>
  </si>
  <si>
    <t xml:space="preserve">4-3  </t>
    <phoneticPr fontId="1"/>
  </si>
  <si>
    <t>39-43</t>
    <phoneticPr fontId="1"/>
  </si>
  <si>
    <t xml:space="preserve">4-6  </t>
    <phoneticPr fontId="1"/>
  </si>
  <si>
    <t>19-22</t>
    <phoneticPr fontId="1"/>
  </si>
  <si>
    <t>20-21</t>
    <phoneticPr fontId="1"/>
  </si>
  <si>
    <t>26-30</t>
    <phoneticPr fontId="1"/>
  </si>
  <si>
    <t>13-13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</si>
</sst>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D3C81E-F338-4025-953A-90D9C964F5C0}" name="TableRoster" displayName="TableRoster" ref="A1:M17" totalsRowShown="0" headerRowDxfId="1074">
  <autoFilter ref="A1:M17" xr:uid="{6DA79CAA-824F-4167-9A93-2EF1403B811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DACAA3BB-452B-4537-9277-D9AD87C56E66}" name="TeamID" dataDxfId="1087"/>
    <tableColumn id="2" xr3:uid="{D62A0B48-1BF8-4456-8067-62032217A59F}" name="SEASON" dataDxfId="1086"/>
    <tableColumn id="3" xr3:uid="{FFB36711-2E1A-4298-8C94-E26DD0AEA25C}" name="LeagueID" dataDxfId="1085"/>
    <tableColumn id="4" xr3:uid="{1269750E-E3EA-4C8A-9E09-EF97A03F6B2D}" name="PLAYER" dataDxfId="1084"/>
    <tableColumn id="5" xr3:uid="{8D13CB3D-8758-4D97-A607-5701EA9591F7}" name="NUM" dataDxfId="1083"/>
    <tableColumn id="6" xr3:uid="{258BFE7E-0038-41E5-8B41-AC7A70974EC8}" name="POSITION" dataDxfId="1082"/>
    <tableColumn id="7" xr3:uid="{26087323-AC5D-4D2F-B9AD-994345DA0F86}" name="HEIGHT" dataDxfId="1081"/>
    <tableColumn id="8" xr3:uid="{47D91CDB-9EFB-4C82-A2EB-6373F08EAAFF}" name="WEIGHT" dataDxfId="1080"/>
    <tableColumn id="9" xr3:uid="{EFDFF23C-F98F-447A-8BAD-E74323A2BBCE}" name="BIRTH_DATE" dataDxfId="1079"/>
    <tableColumn id="10" xr3:uid="{0B95B434-133A-4F70-A986-AA2094B166F7}" name="AGE" dataDxfId="1078"/>
    <tableColumn id="11" xr3:uid="{2550F83B-8C6C-4F4A-881D-2B9168A023DB}" name="EXP" dataDxfId="1077"/>
    <tableColumn id="12" xr3:uid="{B47679E6-5E31-4F12-AECC-8086890AFA20}" name="SCHOOL" dataDxfId="1076"/>
    <tableColumn id="13" xr3:uid="{12ADFEFE-F57F-41D3-8B39-92B152777CD1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77E34C-2680-4C8D-81AF-F46300BB5BF8}" name="TableStandingsN" displayName="TableStandingsN" ref="A1:CC31" totalsRowShown="0" headerRowDxfId="992">
  <autoFilter ref="A1:CC31" xr:uid="{0C4230BC-C1D3-4197-9208-D3B44E0F7C3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D104AC48-D8F7-4342-A727-FEBA89296568}" name="LeagueID" dataDxfId="1073"/>
    <tableColumn id="2" xr3:uid="{52A2A899-471B-4AC0-A0DD-00D77E16D59F}" name="SeasonID" dataDxfId="1072"/>
    <tableColumn id="3" xr3:uid="{791DB805-9BA1-4F9C-AD37-9639B1B364D4}" name="TeamID" dataDxfId="1071"/>
    <tableColumn id="4" xr3:uid="{60FF3985-E6D1-4753-BD1B-DF76539169AB}" name="TeamCity" dataDxfId="1070"/>
    <tableColumn id="5" xr3:uid="{413B6EC5-6915-47A8-ACA4-C917C3FC57A4}" name="TeamName" dataDxfId="1069"/>
    <tableColumn id="6" xr3:uid="{7730593F-FE84-4FEC-9743-13FF5559895D}" name="Conference" dataDxfId="1068"/>
    <tableColumn id="7" xr3:uid="{7FAAF7C8-4683-488B-A1A1-05A1802E496D}" name="ConferenceRecord" dataDxfId="1067"/>
    <tableColumn id="8" xr3:uid="{4F22B985-0BA7-4134-8A84-A27CBC7FC52F}" name="PlayoffRank" dataDxfId="1066"/>
    <tableColumn id="9" xr3:uid="{1DD2E0D4-67E0-4431-A730-F54D02BA73B6}" name="ClinchIndicator" dataDxfId="1065"/>
    <tableColumn id="10" xr3:uid="{E283C079-917C-4822-812B-5159C275F8CB}" name="Division" dataDxfId="1064"/>
    <tableColumn id="11" xr3:uid="{79945755-CA77-41F3-AEE2-4FEA94656D2E}" name="DivisionRecord" dataDxfId="1063"/>
    <tableColumn id="12" xr3:uid="{AA8EB09D-3937-4ED4-AFD2-8A4C6673243A}" name="DivisionRank" dataDxfId="1062"/>
    <tableColumn id="13" xr3:uid="{6778D67C-B822-49F5-BC17-01E60C542396}" name="WINS" dataDxfId="1061"/>
    <tableColumn id="14" xr3:uid="{E1C183E7-F8DC-40FA-9129-C56D459CE9B0}" name="LOSSES" dataDxfId="1060"/>
    <tableColumn id="15" xr3:uid="{9910A84C-933D-43D5-A165-E21C725B1E04}" name="WinPCT" dataDxfId="1059"/>
    <tableColumn id="16" xr3:uid="{F6F862B6-901E-4541-9725-2DCD9F506AAD}" name="LeagueRank" dataDxfId="1058"/>
    <tableColumn id="17" xr3:uid="{02E1A44E-9B4F-48AB-99B4-7D7F58800620}" name="Record" dataDxfId="1057"/>
    <tableColumn id="18" xr3:uid="{A64B715F-7038-49F5-8E76-CCB879FCA8D6}" name="HOME" dataDxfId="1056"/>
    <tableColumn id="19" xr3:uid="{3B4C76B4-B519-4E8A-9600-7F2659A554D6}" name="ROAD" dataDxfId="1055"/>
    <tableColumn id="20" xr3:uid="{314EE781-8E62-4E8F-88FA-1F68FE78B0C8}" name="L10" dataDxfId="1054"/>
    <tableColumn id="21" xr3:uid="{45E1A2FA-105B-44D3-A8EC-B86DF59675F7}" name="Last10Home" dataDxfId="1053"/>
    <tableColumn id="22" xr3:uid="{E89F84C7-AD0E-468B-916D-3B9451BDFDC4}" name="Last10Road" dataDxfId="1052"/>
    <tableColumn id="23" xr3:uid="{0FC7461D-4C13-4318-8BE4-5F5AC5D1219F}" name="OT" dataDxfId="1051"/>
    <tableColumn id="24" xr3:uid="{294A99A0-5C3B-4644-9855-9FFCD1956E91}" name="ThreePTSOrLess" dataDxfId="1050"/>
    <tableColumn id="25" xr3:uid="{613BA25B-CC97-4846-800B-17C802B81F84}" name="TenPTSOrMore" dataDxfId="1049"/>
    <tableColumn id="26" xr3:uid="{DBAE7667-8192-4F6E-A0C2-E89D8859A82E}" name="LongHomeStreak" dataDxfId="1048"/>
    <tableColumn id="27" xr3:uid="{706E3192-7CB6-49D8-A556-BDBE040DD8C4}" name="strLongHomeStreak" dataDxfId="1047"/>
    <tableColumn id="28" xr3:uid="{B6CF7D4E-BE1B-46A9-8E32-EF396561EB06}" name="LongRoadStreak" dataDxfId="1046"/>
    <tableColumn id="29" xr3:uid="{F04152C8-4659-4982-9412-99D3788B6EB8}" name="strLongRoadStreak" dataDxfId="1045"/>
    <tableColumn id="30" xr3:uid="{44748B45-BF80-428F-A077-9F4F738370CB}" name="LongWinStreak" dataDxfId="1044"/>
    <tableColumn id="31" xr3:uid="{F06DBFBC-4911-4910-AEB9-083A32A18AF4}" name="LongLossStreak" dataDxfId="1043"/>
    <tableColumn id="32" xr3:uid="{A4C54EA9-7E41-4ED9-83AE-12FDD451D170}" name="CurrentHomeStreak" dataDxfId="1042"/>
    <tableColumn id="33" xr3:uid="{2B184DEF-AD17-4AD8-A97A-0C89202ADA0C}" name="strCurrentHomeStreak" dataDxfId="1041"/>
    <tableColumn id="34" xr3:uid="{9EB2F7A3-E18A-4C83-8A90-369BD9701D44}" name="CurrentRoadStreak" dataDxfId="1040"/>
    <tableColumn id="35" xr3:uid="{2F2C90A3-2523-4870-835B-FA2DAB5942B6}" name="strCurrentRoadStreak" dataDxfId="1039"/>
    <tableColumn id="36" xr3:uid="{07CFC41F-1E67-4A50-AE7B-79F7D33A4A62}" name="CurrentStreak" dataDxfId="1038"/>
    <tableColumn id="37" xr3:uid="{AEB19A62-CD04-43F9-835C-718D5FAEF0AA}" name="strCurrentStreak" dataDxfId="1037"/>
    <tableColumn id="38" xr3:uid="{62C671D5-86EB-4B51-B176-7B0485EED969}" name="ConferenceGamesBack" dataDxfId="1036"/>
    <tableColumn id="39" xr3:uid="{E3D586D4-6448-4B29-B541-EB3BBB2B488E}" name="DivisionGamesBack" dataDxfId="1035"/>
    <tableColumn id="40" xr3:uid="{FFD21270-44E9-4F62-9708-491043527429}" name="ClinchedConferenceTitle" dataDxfId="1034"/>
    <tableColumn id="41" xr3:uid="{5491F56A-45BF-4C24-8C8C-A5FD2AB877C6}" name="ClinchedDivisionTitle" dataDxfId="1033"/>
    <tableColumn id="42" xr3:uid="{8D2FF072-7435-4F10-829D-9C6CCC7CDB66}" name="ClinchedPlayoffBirth" dataDxfId="1032"/>
    <tableColumn id="43" xr3:uid="{DE84FAB5-DB98-4071-BF69-251264605D1A}" name="EliminatedConference" dataDxfId="1031"/>
    <tableColumn id="44" xr3:uid="{6ABD15ED-814E-4C0D-9945-38416EC075A2}" name="EliminatedDivision" dataDxfId="1030"/>
    <tableColumn id="45" xr3:uid="{BB514289-07B0-48F0-89DB-F56644E948BB}" name="AheadAtHalf" dataDxfId="1029"/>
    <tableColumn id="46" xr3:uid="{F87CBA60-F39A-4B0F-9C79-877E3C252AD2}" name="BehindAtHalf" dataDxfId="1028"/>
    <tableColumn id="47" xr3:uid="{D38D39A3-2628-41E3-90CC-53B2D5230AAE}" name="TiedAtHalf" dataDxfId="1027"/>
    <tableColumn id="48" xr3:uid="{2E5F091E-5F63-457B-B6EB-712B47FFF052}" name="AheadAtThird" dataDxfId="1026"/>
    <tableColumn id="49" xr3:uid="{6ADB3903-38C6-42F8-9B2F-5224B1969C21}" name="BehindAtThird" dataDxfId="1025"/>
    <tableColumn id="50" xr3:uid="{EAF149ED-6ADD-45F7-92C9-527F13DF444D}" name="TiedAtThird" dataDxfId="1024"/>
    <tableColumn id="51" xr3:uid="{F0499A9E-5583-42EB-94F8-1534C3F7441F}" name="Score100PTS" dataDxfId="1023"/>
    <tableColumn id="52" xr3:uid="{8AC83F33-D1E6-4DC9-94D6-ED4D50EE2B7A}" name="OppScore100PTS" dataDxfId="1022"/>
    <tableColumn id="53" xr3:uid="{574952D6-FB59-4C90-B024-45AAB19ABD6D}" name="OppOver500" dataDxfId="1021"/>
    <tableColumn id="54" xr3:uid="{257FBC86-2771-4408-B831-0D7183CD05AC}" name="LeadInFGPCT" dataDxfId="1020"/>
    <tableColumn id="55" xr3:uid="{35092556-0365-4C9C-B796-F57404472230}" name="LeadInReb" dataDxfId="1019"/>
    <tableColumn id="56" xr3:uid="{5720E6E9-847E-4926-AB42-212CD88E3637}" name="FewerTurnovers" dataDxfId="1018"/>
    <tableColumn id="57" xr3:uid="{4FF6CB40-3554-4190-8531-51A2DB9EA472}" name="PointsPG" dataDxfId="1017"/>
    <tableColumn id="58" xr3:uid="{5905F9FF-DD55-4077-8F2A-4808EF4A0308}" name="OppPointsPG" dataDxfId="1016"/>
    <tableColumn id="59" xr3:uid="{7262E842-1287-49D9-A70A-90C928DC7E92}" name="DiffPointsPG" dataDxfId="1015"/>
    <tableColumn id="60" xr3:uid="{D856922B-7CF5-4EBA-AA0B-194C3CF6D8C3}" name="vsEast" dataDxfId="1014"/>
    <tableColumn id="61" xr3:uid="{FC603C86-9D44-441D-B7A2-7EF1A82C415D}" name="vsAtlantic" dataDxfId="1013"/>
    <tableColumn id="62" xr3:uid="{0F381E6F-C316-418C-B82E-2AC677005B04}" name="vsCentral" dataDxfId="1012"/>
    <tableColumn id="63" xr3:uid="{B5A8469B-A828-4926-A7D4-0BF7FF31CC91}" name="vsSoutheast" dataDxfId="1011"/>
    <tableColumn id="64" xr3:uid="{611DCFE4-1C99-4909-9604-543BFD068DEE}" name="vsWest" dataDxfId="1010"/>
    <tableColumn id="65" xr3:uid="{0D792C1D-DDBB-4BF1-8F75-7A26D27FCBEA}" name="vsNorthwest" dataDxfId="1009"/>
    <tableColumn id="66" xr3:uid="{DF558533-E1FF-48F4-A274-9E7FE6C7DE4D}" name="vsPacific" dataDxfId="1008"/>
    <tableColumn id="67" xr3:uid="{C418D857-E732-4969-AE18-9D9B86B6F388}" name="vsSouthwest" dataDxfId="1007"/>
    <tableColumn id="68" xr3:uid="{48711A42-BF8B-4FE7-ABC5-6B9704DF7D24}" name="Jan" dataDxfId="1006"/>
    <tableColumn id="69" xr3:uid="{A05C5860-42B9-4EF9-B302-7BF4588BB818}" name="Feb" dataDxfId="1005"/>
    <tableColumn id="70" xr3:uid="{D4546CE0-7100-41D7-929E-907485A8405F}" name="Mar" dataDxfId="1004"/>
    <tableColumn id="71" xr3:uid="{28A19EED-DBA7-4789-8080-AADE99E6FEB4}" name="Apr" dataDxfId="1003"/>
    <tableColumn id="72" xr3:uid="{6F0D61DF-15BA-4B7D-A0D9-9285A9E5030B}" name="May" dataDxfId="1002"/>
    <tableColumn id="73" xr3:uid="{D6DD245A-B192-4C03-B8A7-4F6BB33CC082}" name="Jun" dataDxfId="1001"/>
    <tableColumn id="74" xr3:uid="{623FE7B5-6C7F-418C-8DF0-7B1EB1D90079}" name="Jul" dataDxfId="1000"/>
    <tableColumn id="75" xr3:uid="{BB811A55-62D2-4F79-BFB8-84843C959552}" name="Aug" dataDxfId="999"/>
    <tableColumn id="76" xr3:uid="{E8DB5D99-AD9F-4555-A4D0-CDB3F4284B38}" name="Sep" dataDxfId="998"/>
    <tableColumn id="77" xr3:uid="{F556BE50-6C88-4915-8B7E-C4F2079006FD}" name="Oct" dataDxfId="997"/>
    <tableColumn id="78" xr3:uid="{64C4A046-C713-43A5-976A-233E4F1B4B7D}" name="Nov" dataDxfId="996"/>
    <tableColumn id="79" xr3:uid="{634EC1D6-2677-4F41-BF4F-AC00770BF62A}" name="Dec" dataDxfId="995"/>
    <tableColumn id="80" xr3:uid="{96D20417-9DEF-4455-920C-E4AD1B3E211A}" name="PreAS" dataDxfId="994"/>
    <tableColumn id="81" xr3:uid="{BFDE2194-78E3-4FB7-9B30-57D022E088B3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30694F-6F88-4C38-B335-B4B2FB9D019B}" name="TableBaseN" displayName="TableBaseN" ref="A1:BD31" totalsRowShown="0" headerRowDxfId="853">
  <autoFilter ref="A1:BD31" xr:uid="{D649231E-796F-4CBE-A141-0B1CFB4A6D5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ABACF6A7-D168-4FDE-BE40-C3313893A3A7}" name="TEAM_ID" dataDxfId="909"/>
    <tableColumn id="2" xr3:uid="{E5489267-7863-4013-A072-6856E5A221FB}" name="TEAM_NAME" dataDxfId="908"/>
    <tableColumn id="3" xr3:uid="{7A0F6ECD-F93F-4747-ACB0-60D0D2CC9D91}" name="GP" dataDxfId="907"/>
    <tableColumn id="4" xr3:uid="{4B374409-C6D3-4FF2-AE2E-FCD9B7D3D459}" name="W" dataDxfId="906"/>
    <tableColumn id="5" xr3:uid="{3D14B8C5-7533-497C-89BB-FCA0C2667E6D}" name="L" dataDxfId="905"/>
    <tableColumn id="6" xr3:uid="{7D30E2B1-C0A5-4E3E-8B22-FD23D9E6CF5C}" name="W_PCT" dataDxfId="904"/>
    <tableColumn id="7" xr3:uid="{4F85E556-ED67-42BA-BB2C-CBA72C670190}" name="MIN" dataDxfId="903"/>
    <tableColumn id="8" xr3:uid="{40AE540F-1FDE-4265-987F-6C164C28ED01}" name="FGM" dataDxfId="902"/>
    <tableColumn id="9" xr3:uid="{9951D594-D0C6-4C75-ABD7-FCA8FF5AB5C8}" name="FGA" dataDxfId="901"/>
    <tableColumn id="10" xr3:uid="{C17037A7-9318-4769-9D5D-4C330EABD366}" name="FG_PCT" dataDxfId="900"/>
    <tableColumn id="11" xr3:uid="{0239E24C-F22A-4A43-8146-113145C43BC1}" name="FG3M" dataDxfId="899"/>
    <tableColumn id="12" xr3:uid="{65A9D9DF-1A0E-4041-8744-290BB4308775}" name="FG3A" dataDxfId="898"/>
    <tableColumn id="13" xr3:uid="{1B6575B1-2A94-4BD5-B660-33BE07CE3DD1}" name="FG3_PCT" dataDxfId="897"/>
    <tableColumn id="14" xr3:uid="{71217113-070E-48B0-BE1B-73AAB9C5C1EA}" name="FTM" dataDxfId="896"/>
    <tableColumn id="15" xr3:uid="{5E13EC96-E12E-4C98-AFFC-5DBA58D9A1C9}" name="FTA" dataDxfId="895"/>
    <tableColumn id="16" xr3:uid="{A18CA887-0554-4A7A-AB43-3698E898F9FE}" name="FT_PCT" dataDxfId="894"/>
    <tableColumn id="17" xr3:uid="{E7A49014-B719-4C75-9542-2CF6A2790A29}" name="OREB" dataDxfId="893"/>
    <tableColumn id="18" xr3:uid="{B34A0E15-920F-46FB-A19E-A05A08819648}" name="DREB" dataDxfId="892"/>
    <tableColumn id="19" xr3:uid="{CB292C6A-29F6-4951-A418-B21A7AAD7601}" name="REB" dataDxfId="891"/>
    <tableColumn id="20" xr3:uid="{C1D1C28A-D53B-4AC5-B237-C4E6114CD170}" name="AST" dataDxfId="890"/>
    <tableColumn id="21" xr3:uid="{792E53CA-3485-46AA-809C-F5D295D47179}" name="TOV" dataDxfId="889"/>
    <tableColumn id="22" xr3:uid="{F517BBFA-5863-4744-8605-151BB4E132DE}" name="STL" dataDxfId="888"/>
    <tableColumn id="23" xr3:uid="{0B491D14-5A1E-493E-825F-51F0B895D475}" name="BLK" dataDxfId="887"/>
    <tableColumn id="24" xr3:uid="{3AD3413E-C8E9-4E07-A476-34889116B9AC}" name="BLKA" dataDxfId="886"/>
    <tableColumn id="25" xr3:uid="{4DA416F8-17E3-491B-9370-E9D099D5869F}" name="PF" dataDxfId="885"/>
    <tableColumn id="26" xr3:uid="{840F5939-C37B-4AD9-B26F-733085B0E1D0}" name="PFD" dataDxfId="884"/>
    <tableColumn id="27" xr3:uid="{98AE90E3-191E-4704-AEC9-9D4DD148DA28}" name="PTS" dataDxfId="883"/>
    <tableColumn id="28" xr3:uid="{EC62E487-A57D-4687-A9AA-45FBC3938476}" name="PLUS_MINUS" dataDxfId="882"/>
    <tableColumn id="29" xr3:uid="{F4D18B87-8FBD-433E-B4DD-BDE9245E85DC}" name="GP_RANK" dataDxfId="881"/>
    <tableColumn id="30" xr3:uid="{A0E53146-F161-468C-A55C-B46C8B765FEB}" name="W_RANK" dataDxfId="880"/>
    <tableColumn id="31" xr3:uid="{F4F53EF3-42AD-4BCD-B721-A75324E3F71A}" name="L_RANK" dataDxfId="879"/>
    <tableColumn id="32" xr3:uid="{266EB852-6D1E-494C-B3EE-29BE613CE846}" name="W_PCT_RANK" dataDxfId="878"/>
    <tableColumn id="33" xr3:uid="{8B90F8CF-8E91-4D5D-AAD7-6D935E2B4FCD}" name="MIN_RANK" dataDxfId="877"/>
    <tableColumn id="34" xr3:uid="{51644277-BCFD-4A10-AC60-020FEE8199C3}" name="FGM_RANK" dataDxfId="876"/>
    <tableColumn id="35" xr3:uid="{9D3A366E-2A9B-45C2-99C5-EB2849B59AA8}" name="FGA_RANK" dataDxfId="875"/>
    <tableColumn id="36" xr3:uid="{8F78D7CD-F9BA-4FC5-A488-EDE174FF8F7D}" name="FG_PCT_RANK" dataDxfId="874"/>
    <tableColumn id="37" xr3:uid="{539F9356-CA14-4418-9D25-ED0F47219F89}" name="FG3M_RANK" dataDxfId="873"/>
    <tableColumn id="38" xr3:uid="{F1741A94-A503-4F03-BA76-88DD45EF81F5}" name="FG3A_RANK" dataDxfId="872"/>
    <tableColumn id="39" xr3:uid="{4CDE8DFC-5C15-4565-B740-6B6FF8BD52DB}" name="FG3_PCT_RANK" dataDxfId="871"/>
    <tableColumn id="40" xr3:uid="{622370C6-2C22-45C6-8B07-563769D033A5}" name="FTM_RANK" dataDxfId="870"/>
    <tableColumn id="41" xr3:uid="{1FB29A5D-EE15-452A-9FC2-6E8193C974D9}" name="FTA_RANK" dataDxfId="869"/>
    <tableColumn id="42" xr3:uid="{DB9E19C4-AAA2-478F-9C9C-8A4EF03B1C24}" name="FT_PCT_RANK" dataDxfId="868"/>
    <tableColumn id="43" xr3:uid="{E69E95B3-3A16-4EFA-B58A-27D9A528D3FF}" name="OREB_RANK" dataDxfId="867"/>
    <tableColumn id="44" xr3:uid="{78B38A89-AB12-432F-9020-8CA507ED576E}" name="DREB_RANK" dataDxfId="866"/>
    <tableColumn id="45" xr3:uid="{2F6B9E0B-2717-479D-9247-0152F4357B72}" name="REB_RANK" dataDxfId="865"/>
    <tableColumn id="46" xr3:uid="{0F658D41-8311-4FD2-9F8E-A2FB65AA3F9D}" name="AST_RANK" dataDxfId="864"/>
    <tableColumn id="47" xr3:uid="{8CFC9FE8-3E28-4AFB-BF8F-9FC823615DA8}" name="TOV_RANK" dataDxfId="863"/>
    <tableColumn id="48" xr3:uid="{DA79A49F-DE9A-4F6B-A2BC-1AADFA6A5EF3}" name="STL_RANK" dataDxfId="862"/>
    <tableColumn id="49" xr3:uid="{F549F2CA-7C75-4575-8A8B-864918850298}" name="BLK_RANK" dataDxfId="861"/>
    <tableColumn id="50" xr3:uid="{5F97EBE7-42E4-4E04-B365-D6B5EC62474E}" name="BLKA_RANK" dataDxfId="860"/>
    <tableColumn id="51" xr3:uid="{B9812A08-FCF3-4591-A5B9-93E5A54F9153}" name="PF_RANK" dataDxfId="859"/>
    <tableColumn id="52" xr3:uid="{B64336FF-1701-4C88-8DE5-30FE03B5E0CA}" name="PFD_RANK" dataDxfId="858"/>
    <tableColumn id="53" xr3:uid="{5F502885-7829-4C1D-913C-FE6BDE9231CB}" name="PTS_RANK" dataDxfId="857"/>
    <tableColumn id="54" xr3:uid="{0B4B6DE7-010B-4D62-9417-278E0AEC662C}" name="PLUS_MINUS_RANK" dataDxfId="856"/>
    <tableColumn id="55" xr3:uid="{00CE9C47-7D3C-4C97-9071-C99DDE02EE89}" name="CFID" dataDxfId="855"/>
    <tableColumn id="56" xr3:uid="{CD95FA64-00CE-432E-9DDC-1B66C8E49295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F06ACA-195C-43C2-B3B1-22C87BDA3655}" name="TableAdvancedN" displayName="TableAdvancedN" ref="A1:AV31" totalsRowShown="0" headerRowDxfId="747">
  <autoFilter ref="A1:AV31" xr:uid="{B656C4F3-A92C-4F18-8E6E-C5500AC897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4921428-4770-4D7C-A9CE-8D3FB1722AA4}" name="TEAM_ID" dataDxfId="795"/>
    <tableColumn id="2" xr3:uid="{71CB4680-C292-4EFC-A508-557A6E4D6B0E}" name="TEAM_NAME" dataDxfId="794"/>
    <tableColumn id="3" xr3:uid="{13D2D84B-5DD9-478A-AA07-5F1CE9F0810B}" name="GP" dataDxfId="793"/>
    <tableColumn id="4" xr3:uid="{19512DA0-EF50-49FC-81AB-6C55E681CC34}" name="W" dataDxfId="792"/>
    <tableColumn id="5" xr3:uid="{29696EEA-BA2D-4AF1-B609-9428EC20D825}" name="L" dataDxfId="791"/>
    <tableColumn id="6" xr3:uid="{8B514FB3-6F42-4FA2-9968-FBB8384F3179}" name="W_PCT" dataDxfId="790"/>
    <tableColumn id="7" xr3:uid="{098CE751-3845-4329-85A0-D39D6400482E}" name="MIN" dataDxfId="789"/>
    <tableColumn id="8" xr3:uid="{62A314BD-4F00-44B2-90BC-143E993466EF}" name="E_OFF_RATING" dataDxfId="788"/>
    <tableColumn id="9" xr3:uid="{73875E15-8CE2-4455-9522-767A1D587A0C}" name="OFF_RATING" dataDxfId="787"/>
    <tableColumn id="10" xr3:uid="{54BAACEF-9849-443C-B570-B447F793C1A6}" name="E_DEF_RATING" dataDxfId="786"/>
    <tableColumn id="11" xr3:uid="{48B5D2BB-FCCA-456A-B83D-4A895C658B04}" name="DEF_RATING" dataDxfId="785"/>
    <tableColumn id="12" xr3:uid="{2DEB7D91-0F0C-471B-8CEF-11423AAA1EE3}" name="E_NET_RATING" dataDxfId="784"/>
    <tableColumn id="13" xr3:uid="{E6F48E88-FD0F-483E-AD3C-6A4618F83787}" name="NET_RATING" dataDxfId="783"/>
    <tableColumn id="14" xr3:uid="{59239FE8-23F6-4810-98DC-0ADDEBA205C0}" name="AST_PCT" dataDxfId="782"/>
    <tableColumn id="15" xr3:uid="{B0782758-3446-4633-AA33-7C19EEE70278}" name="AST_TO" dataDxfId="781"/>
    <tableColumn id="16" xr3:uid="{B4446BDB-80C0-4613-BD2A-034E1CD9BAD4}" name="AST_RATIO" dataDxfId="780"/>
    <tableColumn id="17" xr3:uid="{B30CD66F-7E1D-4625-AC58-A93D832FF2FB}" name="OREB_PCT" dataDxfId="779"/>
    <tableColumn id="18" xr3:uid="{6B1BDC5F-93E5-4277-A9A7-F629FCBA6624}" name="DREB_PCT" dataDxfId="778"/>
    <tableColumn id="19" xr3:uid="{474C48D4-CE64-4F25-A57F-5CC6AAB31A14}" name="REB_PCT" dataDxfId="777"/>
    <tableColumn id="20" xr3:uid="{0CA38ED9-784E-4090-8CE2-8BC1C7912B36}" name="TM_TOV_PCT" dataDxfId="776"/>
    <tableColumn id="21" xr3:uid="{38596713-95B0-4640-AFD9-F4284DEE710E}" name="EFG_PCT" dataDxfId="775"/>
    <tableColumn id="22" xr3:uid="{6BED59B3-A0FE-49CE-B695-5083DB14765A}" name="TS_PCT" dataDxfId="774"/>
    <tableColumn id="23" xr3:uid="{F6F90B55-85CB-4506-AB8A-E59C688D924E}" name="E_PACE" dataDxfId="773"/>
    <tableColumn id="24" xr3:uid="{5F6F10DF-2248-4EDA-B8ED-4D79D9F71840}" name="PACE" dataDxfId="772"/>
    <tableColumn id="25" xr3:uid="{AFA4AB2C-6977-4DA7-B2B3-749A47147C30}" name="PACE_PER40" dataDxfId="771"/>
    <tableColumn id="26" xr3:uid="{2E21A31A-9B94-40D0-B766-DD3E73457880}" name="POSS" dataDxfId="770"/>
    <tableColumn id="27" xr3:uid="{409AC468-7582-4216-AA50-D3FFBF333579}" name="PIE" dataDxfId="769"/>
    <tableColumn id="28" xr3:uid="{B4D2B5C1-3756-401C-A719-9D00B08CB977}" name="GP_RANK" dataDxfId="768"/>
    <tableColumn id="29" xr3:uid="{1B9390AA-D10E-4631-99CD-9989BFDDFEEF}" name="W_RANK" dataDxfId="767"/>
    <tableColumn id="30" xr3:uid="{C58A505A-6E3F-47F7-A9D2-81199EE7D490}" name="L_RANK" dataDxfId="766"/>
    <tableColumn id="31" xr3:uid="{E944DAAE-E7C4-4F67-933E-013FC8A59C4C}" name="W_PCT_RANK" dataDxfId="765"/>
    <tableColumn id="32" xr3:uid="{BB592ABB-17DB-436E-ABB8-FFBE63BFFFDD}" name="MIN_RANK" dataDxfId="764"/>
    <tableColumn id="33" xr3:uid="{50631292-1138-406C-A9D6-91741EA3370F}" name="OFF_RATING_RANK" dataDxfId="763"/>
    <tableColumn id="34" xr3:uid="{9B4AC378-6721-4F5F-A758-BA9E941B977B}" name="DEF_RATING_RANK" dataDxfId="762"/>
    <tableColumn id="35" xr3:uid="{319B1134-1D11-489F-B71B-0245149B4FB2}" name="NET_RATING_RANK" dataDxfId="761"/>
    <tableColumn id="36" xr3:uid="{804417A0-6109-4588-8873-82CB744B4CEB}" name="AST_PCT_RANK" dataDxfId="760"/>
    <tableColumn id="37" xr3:uid="{E716E057-0CFC-4561-A743-AA187CD83C78}" name="AST_TO_RANK" dataDxfId="759"/>
    <tableColumn id="38" xr3:uid="{8E1DB088-E228-40D9-BB50-E89F0526015F}" name="AST_RATIO_RANK" dataDxfId="758"/>
    <tableColumn id="39" xr3:uid="{7764177B-01F8-42F4-84CB-9302BE25D3FD}" name="OREB_PCT_RANK" dataDxfId="757"/>
    <tableColumn id="40" xr3:uid="{5ED9C399-4744-46B5-8A48-A0EFADA92CBB}" name="DREB_PCT_RANK" dataDxfId="756"/>
    <tableColumn id="41" xr3:uid="{1C28C6BB-1D2F-417C-A463-CCE41CDF1316}" name="REB_PCT_RANK" dataDxfId="755"/>
    <tableColumn id="42" xr3:uid="{127BBC6F-6D4F-47EB-BF6B-BD04DD888BCB}" name="TM_TOV_PCT_RANK" dataDxfId="754"/>
    <tableColumn id="43" xr3:uid="{DF4A5223-F13F-4694-B94C-2558FC56E827}" name="EFG_PCT_RANK" dataDxfId="753"/>
    <tableColumn id="44" xr3:uid="{DA24F1DA-F27F-4E4C-9980-7648F52DD370}" name="TS_PCT_RANK" dataDxfId="752"/>
    <tableColumn id="45" xr3:uid="{BD417CB3-35FA-47A4-A3BF-CF7689B88429}" name="PACE_RANK" dataDxfId="751"/>
    <tableColumn id="46" xr3:uid="{38294CF6-44BC-4DFF-843D-4A40CA3BFD11}" name="PIE_RANK" dataDxfId="750"/>
    <tableColumn id="47" xr3:uid="{73F83266-0BBD-4B24-AD4B-9AC89DCE696B}" name="CFID" dataDxfId="749"/>
    <tableColumn id="48" xr3:uid="{2E954CF7-8B89-4024-B5D1-C1FE8E03E2D2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8FD1CDF-FA95-4343-B745-72DD18D5008D}" name="TableAdvancedNStarters" displayName="TableAdvancedNStarters" ref="A1:AV31" totalsRowShown="0" headerRowDxfId="649">
  <autoFilter ref="A1:AV31" xr:uid="{B14674B3-9875-4DB5-9FF4-9EC8101A613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C519106-181C-4562-BACE-8984D51458D7}" name="TEAM_ID" dataDxfId="697"/>
    <tableColumn id="2" xr3:uid="{B8A51109-D332-4CA3-8016-DE28DE291DBA}" name="TEAM_NAME" dataDxfId="696"/>
    <tableColumn id="3" xr3:uid="{F4D09F3A-F2AC-4137-A802-EBC2C9C55188}" name="GP" dataDxfId="695"/>
    <tableColumn id="4" xr3:uid="{37144598-19FD-4F13-8D28-B6F9EB9400BF}" name="W" dataDxfId="694"/>
    <tableColumn id="5" xr3:uid="{A100FE1B-7A25-4E83-9C0F-94393DD252EA}" name="L" dataDxfId="693"/>
    <tableColumn id="6" xr3:uid="{15E45028-6B3A-4E64-B48F-E05767C07950}" name="W_PCT" dataDxfId="692"/>
    <tableColumn id="7" xr3:uid="{F7BD21A0-584E-4171-B191-E9D2D98716CA}" name="MIN" dataDxfId="691"/>
    <tableColumn id="8" xr3:uid="{8FD57974-AA30-4785-A3B6-41E2B5BCE367}" name="E_OFF_RATING" dataDxfId="690"/>
    <tableColumn id="9" xr3:uid="{9141FBCE-DAC7-40AC-9BAE-431F7139350F}" name="OFF_RATING" dataDxfId="689"/>
    <tableColumn id="10" xr3:uid="{001943C4-42DB-400E-816B-41C34FA526A6}" name="E_DEF_RATING" dataDxfId="688"/>
    <tableColumn id="11" xr3:uid="{62E3098C-C1C9-4ED3-B351-D93567A422EF}" name="DEF_RATING" dataDxfId="687"/>
    <tableColumn id="12" xr3:uid="{8681EF16-D624-4760-92D2-46E5172EDBFE}" name="E_NET_RATING" dataDxfId="686"/>
    <tableColumn id="13" xr3:uid="{548A2246-8C17-47B0-A55D-8864208CEB7D}" name="NET_RATING" dataDxfId="685"/>
    <tableColumn id="14" xr3:uid="{DCE0277B-B177-4209-9003-7BDE84D62E1F}" name="AST_PCT" dataDxfId="684"/>
    <tableColumn id="15" xr3:uid="{E6B3CFC9-9510-422D-9CEB-F3080E183F24}" name="AST_TO" dataDxfId="683"/>
    <tableColumn id="16" xr3:uid="{AF3006B2-5198-44FC-AB56-BCD6A7078441}" name="AST_RATIO" dataDxfId="682"/>
    <tableColumn id="17" xr3:uid="{F96FBFED-A726-459B-8FFA-96DC0FA2B0B4}" name="OREB_PCT" dataDxfId="681"/>
    <tableColumn id="18" xr3:uid="{E0627958-C273-49F8-B970-96545C9A39D9}" name="DREB_PCT" dataDxfId="680"/>
    <tableColumn id="19" xr3:uid="{190BA5A3-07D6-495D-BF8E-EF85FBC8A1FF}" name="REB_PCT" dataDxfId="679"/>
    <tableColumn id="20" xr3:uid="{9FDB4369-E5F1-4513-B3FC-3C333C99698A}" name="TM_TOV_PCT" dataDxfId="678"/>
    <tableColumn id="21" xr3:uid="{17858192-71B7-4EDB-9C55-DAD4F18BB39B}" name="EFG_PCT" dataDxfId="677"/>
    <tableColumn id="22" xr3:uid="{4FE7822F-ADD8-460D-9769-BE1ADC724AC3}" name="TS_PCT" dataDxfId="676"/>
    <tableColumn id="23" xr3:uid="{DBB46450-4F84-4644-BC4B-61B06E77D4D1}" name="E_PACE" dataDxfId="675"/>
    <tableColumn id="24" xr3:uid="{EFC52D1F-C43C-40EF-9686-60A36613D3F4}" name="PACE" dataDxfId="674"/>
    <tableColumn id="25" xr3:uid="{90B2F393-81D1-4048-9532-DA520A03EA86}" name="PACE_PER40" dataDxfId="673"/>
    <tableColumn id="26" xr3:uid="{EA702006-CE36-4C02-AF6C-D759E04296D1}" name="POSS" dataDxfId="672"/>
    <tableColumn id="27" xr3:uid="{0F2BC861-D62C-4159-AC0C-75E53C96D21D}" name="PIE" dataDxfId="671"/>
    <tableColumn id="28" xr3:uid="{6DDC7E52-834F-414F-96F4-394D3AF07AE8}" name="GP_RANK" dataDxfId="670"/>
    <tableColumn id="29" xr3:uid="{393FEFF7-EECB-416F-9E7E-7D2DFFDCDD47}" name="W_RANK" dataDxfId="669"/>
    <tableColumn id="30" xr3:uid="{8B6CE3BC-2315-4EFA-8E46-13C350F9FD6D}" name="L_RANK" dataDxfId="668"/>
    <tableColumn id="31" xr3:uid="{45BAEF1D-3DDF-4DC9-9E06-6C851B41467A}" name="W_PCT_RANK" dataDxfId="667"/>
    <tableColumn id="32" xr3:uid="{93D5960A-C137-4A18-AFE1-5E62DF771762}" name="MIN_RANK" dataDxfId="666"/>
    <tableColumn id="33" xr3:uid="{76C6D4E0-CF1A-470B-98E5-F4F4C6BE17B3}" name="OFF_RATING_RANK" dataDxfId="665"/>
    <tableColumn id="34" xr3:uid="{E7E1DC41-6214-4729-B606-5BBD5D360214}" name="DEF_RATING_RANK" dataDxfId="664"/>
    <tableColumn id="35" xr3:uid="{DC3A84E0-8AFA-4B5E-A3EC-2BC36A42F6E5}" name="NET_RATING_RANK" dataDxfId="663"/>
    <tableColumn id="36" xr3:uid="{2186C907-799E-4225-B5A6-499880F055A6}" name="AST_PCT_RANK" dataDxfId="662"/>
    <tableColumn id="37" xr3:uid="{53FBC09C-005C-497D-A3D6-08C8D72D2467}" name="AST_TO_RANK" dataDxfId="661"/>
    <tableColumn id="38" xr3:uid="{7E6FF9EA-C5C3-45C8-A0EE-FB16EEDE7822}" name="AST_RATIO_RANK" dataDxfId="660"/>
    <tableColumn id="39" xr3:uid="{091ECDB9-122C-4A49-8F8D-E8BF278BF473}" name="OREB_PCT_RANK" dataDxfId="659"/>
    <tableColumn id="40" xr3:uid="{30D73862-4DC6-47F5-B8CB-53524D4708CA}" name="DREB_PCT_RANK" dataDxfId="658"/>
    <tableColumn id="41" xr3:uid="{CD4638FA-3863-4CD4-BEE4-6586AA119897}" name="REB_PCT_RANK" dataDxfId="657"/>
    <tableColumn id="42" xr3:uid="{A5EBAE27-6716-4876-892C-61700C306AE9}" name="TM_TOV_PCT_RANK" dataDxfId="656"/>
    <tableColumn id="43" xr3:uid="{1E8CE889-8BFB-4265-B2DD-72226E337911}" name="EFG_PCT_RANK" dataDxfId="655"/>
    <tableColumn id="44" xr3:uid="{E7CB7FF5-EC9E-49BE-A050-BBC17EDAE0FF}" name="TS_PCT_RANK" dataDxfId="654"/>
    <tableColumn id="45" xr3:uid="{C83D1687-7247-42A0-9C9A-4F1D538E2859}" name="PACE_RANK" dataDxfId="653"/>
    <tableColumn id="46" xr3:uid="{B92941F0-05C2-491B-9885-92E6257BD193}" name="PIE_RANK" dataDxfId="652"/>
    <tableColumn id="47" xr3:uid="{AF6321B8-5ED3-4106-8F66-1B790CB2F1E7}" name="CFID" dataDxfId="651"/>
    <tableColumn id="48" xr3:uid="{AB3C586C-E8EF-49DE-BA2C-2324602F63C7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C8DDAC-11BE-45A9-8561-966B398E96A1}" name="TableAdvancedNBench" displayName="TableAdvancedNBench" ref="A1:AV31" totalsRowShown="0" headerRowDxfId="551">
  <autoFilter ref="A1:AV31" xr:uid="{DFE49215-DA9B-40C9-A5F1-7F8C4A2A6C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6630A0D8-24C1-493D-A660-01AD21798734}" name="TEAM_ID" dataDxfId="599"/>
    <tableColumn id="2" xr3:uid="{568E6C22-4CCF-435E-B0FF-36FB6AAB85BE}" name="TEAM_NAME" dataDxfId="598"/>
    <tableColumn id="3" xr3:uid="{B8A05523-7257-41F9-A0F4-A7E49AF3D9A3}" name="GP" dataDxfId="597"/>
    <tableColumn id="4" xr3:uid="{95043EE4-E5CA-4A0D-B91B-0306020EA0A0}" name="W" dataDxfId="596"/>
    <tableColumn id="5" xr3:uid="{CF87EB67-A34C-41AA-BF36-52876B603C3E}" name="L" dataDxfId="595"/>
    <tableColumn id="6" xr3:uid="{1BC7BBCD-4DCB-4C84-BAF5-C2E54BFFCD4B}" name="W_PCT" dataDxfId="594"/>
    <tableColumn id="7" xr3:uid="{CA0F5D32-4424-49F8-8338-E5F13AA6D2A0}" name="MIN" dataDxfId="593"/>
    <tableColumn id="8" xr3:uid="{A96ADA72-5DA0-4DA4-8EDE-D9A1A2190EAD}" name="E_OFF_RATING" dataDxfId="592"/>
    <tableColumn id="9" xr3:uid="{0240E27E-1FD2-41E9-AE78-EDF7BE6D2A87}" name="OFF_RATING" dataDxfId="591"/>
    <tableColumn id="10" xr3:uid="{659AA78B-03D2-4533-8CE0-10D3673BFDAB}" name="E_DEF_RATING" dataDxfId="590"/>
    <tableColumn id="11" xr3:uid="{4C3E50C8-0CDE-4547-BF5F-D327443D6396}" name="DEF_RATING" dataDxfId="589"/>
    <tableColumn id="12" xr3:uid="{32B54720-FD98-48FC-8684-34A74CD52040}" name="E_NET_RATING" dataDxfId="588"/>
    <tableColumn id="13" xr3:uid="{A03FD080-3186-4524-9F54-9A69C01C2A7D}" name="NET_RATING" dataDxfId="587"/>
    <tableColumn id="14" xr3:uid="{433B1D58-1CE9-4140-9676-DC750AE65E8D}" name="AST_PCT" dataDxfId="586"/>
    <tableColumn id="15" xr3:uid="{4C75EC69-30A3-40DE-99E4-6E1A4F9FE06F}" name="AST_TO" dataDxfId="585"/>
    <tableColumn id="16" xr3:uid="{8C7BD4DC-D259-4653-8101-F9E7411F6D8B}" name="AST_RATIO" dataDxfId="584"/>
    <tableColumn id="17" xr3:uid="{ADFE8DAE-D757-41C7-B11D-DE758D0C01AF}" name="OREB_PCT" dataDxfId="583"/>
    <tableColumn id="18" xr3:uid="{F098778E-09F5-4CDE-96E1-B41479223330}" name="DREB_PCT" dataDxfId="582"/>
    <tableColumn id="19" xr3:uid="{489A6A3A-8D83-4A68-9F96-2CCE7CA2AD82}" name="REB_PCT" dataDxfId="581"/>
    <tableColumn id="20" xr3:uid="{854AFFE9-7F13-4645-AC9B-0F895D1869FE}" name="TM_TOV_PCT" dataDxfId="580"/>
    <tableColumn id="21" xr3:uid="{E3F538FD-8E21-427A-9B69-5CC8692BCB84}" name="EFG_PCT" dataDxfId="579"/>
    <tableColumn id="22" xr3:uid="{404DE7D3-AF29-449E-B9A2-290011F77ECF}" name="TS_PCT" dataDxfId="578"/>
    <tableColumn id="23" xr3:uid="{07498A2F-7EF6-441A-A131-75CC259DC55A}" name="E_PACE" dataDxfId="577"/>
    <tableColumn id="24" xr3:uid="{F5CF806D-F775-4516-AE41-A35D9A217772}" name="PACE" dataDxfId="576"/>
    <tableColumn id="25" xr3:uid="{3ADCDAB2-1BA1-4D87-ACD1-9F1E39A45F20}" name="PACE_PER40" dataDxfId="575"/>
    <tableColumn id="26" xr3:uid="{A12EDA35-7F5C-479F-BAFD-061B9CC988EA}" name="POSS" dataDxfId="574"/>
    <tableColumn id="27" xr3:uid="{DAD204C8-816A-4FA4-8A86-95954A1FD0EC}" name="PIE" dataDxfId="573"/>
    <tableColumn id="28" xr3:uid="{91668616-3626-4720-AE2D-48D3B8B6851E}" name="GP_RANK" dataDxfId="572"/>
    <tableColumn id="29" xr3:uid="{A4C80D7D-ADED-4332-B545-558ABE0246D6}" name="W_RANK" dataDxfId="571"/>
    <tableColumn id="30" xr3:uid="{C1A5BD35-BAEB-4CBD-9105-915471820241}" name="L_RANK" dataDxfId="570"/>
    <tableColumn id="31" xr3:uid="{B549403D-20DD-4F63-92A9-D38F6AE82A27}" name="W_PCT_RANK" dataDxfId="569"/>
    <tableColumn id="32" xr3:uid="{319C84E4-786D-4110-A634-D9D2F6F46AC3}" name="MIN_RANK" dataDxfId="568"/>
    <tableColumn id="33" xr3:uid="{07266291-F2D9-47F8-9400-2A852E4D1A26}" name="OFF_RATING_RANK" dataDxfId="567"/>
    <tableColumn id="34" xr3:uid="{F12557FE-08EF-45D5-865D-134FF984D3D9}" name="DEF_RATING_RANK" dataDxfId="566"/>
    <tableColumn id="35" xr3:uid="{4D8ACB12-C3A7-4730-AB2D-9A562C3D41A9}" name="NET_RATING_RANK" dataDxfId="565"/>
    <tableColumn id="36" xr3:uid="{CFAB1532-969A-400B-9C16-B7F33EC662A2}" name="AST_PCT_RANK" dataDxfId="564"/>
    <tableColumn id="37" xr3:uid="{9E811CC8-FD8D-4974-B117-C3631C693353}" name="AST_TO_RANK" dataDxfId="563"/>
    <tableColumn id="38" xr3:uid="{9C2F8A32-00FB-46F5-B836-7BC16E3C8319}" name="AST_RATIO_RANK" dataDxfId="562"/>
    <tableColumn id="39" xr3:uid="{FA7039B7-25C6-4B1E-974F-10D15BF9D25F}" name="OREB_PCT_RANK" dataDxfId="561"/>
    <tableColumn id="40" xr3:uid="{1CCDC12E-4564-4609-B113-CE6F905F159E}" name="DREB_PCT_RANK" dataDxfId="560"/>
    <tableColumn id="41" xr3:uid="{64922550-2E77-4942-B457-C985727DF8C7}" name="REB_PCT_RANK" dataDxfId="559"/>
    <tableColumn id="42" xr3:uid="{2181953E-8072-41D1-BCFB-5D32102A51AB}" name="TM_TOV_PCT_RANK" dataDxfId="558"/>
    <tableColumn id="43" xr3:uid="{B906BE3B-A7BB-4E76-8875-0EE6FE82FBA7}" name="EFG_PCT_RANK" dataDxfId="557"/>
    <tableColumn id="44" xr3:uid="{5FD5B904-ADC2-4CB1-97D9-9C3E6A0E6B04}" name="TS_PCT_RANK" dataDxfId="556"/>
    <tableColumn id="45" xr3:uid="{5A1852EA-A57F-4C7B-947F-08C62C33F6B8}" name="PACE_RANK" dataDxfId="555"/>
    <tableColumn id="46" xr3:uid="{B7461002-92B2-4891-A9BF-BC1AE3ABA66D}" name="PIE_RANK" dataDxfId="554"/>
    <tableColumn id="47" xr3:uid="{5BD1471B-2A84-45CE-A6E8-4F544735046E}" name="CFID" dataDxfId="553"/>
    <tableColumn id="48" xr3:uid="{DFBF0893-7130-4BBF-BA96-2DE57FDCE6F5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7B081F-B242-43E7-AA72-4C9AA57A4F85}" name="TableMiscN" displayName="TableMiscN" ref="A1:AD31" totalsRowShown="0" headerRowDxfId="471">
  <autoFilter ref="A1:AD31" xr:uid="{80D7C460-2317-4CC3-9625-AF603FDC0C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C7F0DD79-F553-4A9A-B9C5-23EB52B8A2F8}" name="TEAM_ID" dataDxfId="501"/>
    <tableColumn id="2" xr3:uid="{31AD5CF1-C6F7-4CD5-BE13-370114ED8EAC}" name="TEAM_NAME" dataDxfId="500"/>
    <tableColumn id="3" xr3:uid="{76D85132-3651-4853-B849-9D269A3A0410}" name="GP" dataDxfId="499"/>
    <tableColumn id="4" xr3:uid="{6DD9D9A9-5CF0-4043-B6C8-693237147093}" name="W" dataDxfId="498"/>
    <tableColumn id="5" xr3:uid="{B23D4E39-F296-4F96-A0C1-EBC3CDFE83F2}" name="L" dataDxfId="497"/>
    <tableColumn id="6" xr3:uid="{B5415247-20D0-4C99-82C5-B77C5DEA45E0}" name="W_PCT" dataDxfId="496"/>
    <tableColumn id="7" xr3:uid="{96B3F68F-8453-452F-869B-51B5A4920904}" name="MIN" dataDxfId="495"/>
    <tableColumn id="8" xr3:uid="{72E70FBC-3589-42E6-8247-E505206AB93A}" name="PTS_OFF_TOV" dataDxfId="494"/>
    <tableColumn id="9" xr3:uid="{1A02442D-C50B-4B72-AB7B-680124703D7A}" name="PTS_2ND_CHANCE" dataDxfId="493"/>
    <tableColumn id="10" xr3:uid="{0A9A0608-C099-41DE-9B2E-1F1DB40E6301}" name="PTS_FB" dataDxfId="492"/>
    <tableColumn id="11" xr3:uid="{FA97D914-0BC2-4DAE-A263-D768374A1313}" name="PTS_PAINT" dataDxfId="491"/>
    <tableColumn id="12" xr3:uid="{E8BF6989-33A6-412B-A19E-0D2B7124FE9C}" name="OPP_PTS_OFF_TOV" dataDxfId="490"/>
    <tableColumn id="13" xr3:uid="{FDA605F6-988C-4CBE-BE21-DC5090833C0E}" name="OPP_PTS_2ND_CHANCE" dataDxfId="489"/>
    <tableColumn id="14" xr3:uid="{52A31A7E-50F7-4219-BDFE-0827588C9B81}" name="OPP_PTS_FB" dataDxfId="488"/>
    <tableColumn id="15" xr3:uid="{370B8535-F9F5-4456-ABB2-7BD6F79B138C}" name="OPP_PTS_PAINT" dataDxfId="487"/>
    <tableColumn id="16" xr3:uid="{750369EF-4DA7-48B3-91A8-A3FEAE1ECB6D}" name="GP_RANK" dataDxfId="486"/>
    <tableColumn id="17" xr3:uid="{B7C27044-BCF2-49D2-B9FA-9A90B4752ACB}" name="W_RANK" dataDxfId="485"/>
    <tableColumn id="18" xr3:uid="{491610D1-15C2-4874-A2FD-2C1A91276E3A}" name="L_RANK" dataDxfId="484"/>
    <tableColumn id="19" xr3:uid="{C997929D-EF2D-4015-81CC-92497B34A157}" name="W_PCT_RANK" dataDxfId="483"/>
    <tableColumn id="20" xr3:uid="{4A739539-EDB7-4CEF-89AA-E6EAEFA9E225}" name="MIN_RANK" dataDxfId="482"/>
    <tableColumn id="21" xr3:uid="{AA8F4476-F74A-478A-A84D-E6AB24FA44B4}" name="PTS_OFF_TOV_RANK" dataDxfId="481"/>
    <tableColumn id="22" xr3:uid="{8AB2FD42-C121-43B9-8800-151D2FF95451}" name="PTS_2ND_CHANCE_RANK" dataDxfId="480"/>
    <tableColumn id="23" xr3:uid="{207417E5-5BBF-4C31-BE09-D405E8E9D251}" name="PTS_FB_RANK" dataDxfId="479"/>
    <tableColumn id="24" xr3:uid="{B1109DCC-2028-47BC-93F6-DECE4D1CB8C3}" name="PTS_PAINT_RANK" dataDxfId="478"/>
    <tableColumn id="25" xr3:uid="{5B2C5600-8E05-45CE-9FDB-59DBF6D39267}" name="OPP_PTS_OFF_TOV_RANK" dataDxfId="477"/>
    <tableColumn id="26" xr3:uid="{0494F964-E04A-4237-8B5A-59BADB50B219}" name="OPP_PTS_2ND_CHANCE_RANK" dataDxfId="476"/>
    <tableColumn id="27" xr3:uid="{4CCF7AD1-5CC5-4DE9-B15B-FD1E127765F1}" name="OPP_PTS_FB_RANK" dataDxfId="475"/>
    <tableColumn id="28" xr3:uid="{73E262F3-D46E-4427-BAA6-43C5B1171502}" name="OPP_PTS_PAINT_RANK" dataDxfId="474"/>
    <tableColumn id="29" xr3:uid="{847B845F-7F7C-4F51-91A1-C0B9762D96D5}" name="CFID" dataDxfId="473"/>
    <tableColumn id="30" xr3:uid="{D48049DE-4002-4697-8752-B4D8B2D6A347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077590E-D552-4CEE-9517-EE13429382D5}" name="TableOppBaseN" displayName="TableOppBaseN" ref="A1:BD31" totalsRowShown="0" headerRowDxfId="383">
  <autoFilter ref="A1:BD31" xr:uid="{664286E4-F6CF-44FA-BFF5-B2C49EA60A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E5ACF792-8AAF-4E95-8DD0-001BE8CE7419}" name="TEAM_ID" dataDxfId="439"/>
    <tableColumn id="2" xr3:uid="{C7DC98C3-8A91-4A74-AEDA-A65FC914F6BB}" name="TEAM_NAME" dataDxfId="438"/>
    <tableColumn id="3" xr3:uid="{02425BB1-2DB3-4700-8597-14A946BD7A5F}" name="GP" dataDxfId="437"/>
    <tableColumn id="4" xr3:uid="{0D1AA0D4-1B4E-43CF-A39E-2A2969331B1D}" name="W" dataDxfId="436"/>
    <tableColumn id="5" xr3:uid="{4C9B5D6B-FA97-4E75-9909-BB0DD4285587}" name="L" dataDxfId="435"/>
    <tableColumn id="6" xr3:uid="{C45EDA01-96E7-48D8-85EE-836911915FAF}" name="W_PCT" dataDxfId="434"/>
    <tableColumn id="7" xr3:uid="{53F29D98-F5C1-4D00-B599-59176F567167}" name="MIN" dataDxfId="433"/>
    <tableColumn id="8" xr3:uid="{E689F053-5D1F-4778-A106-F34213168655}" name="OPP_FGM" dataDxfId="432"/>
    <tableColumn id="9" xr3:uid="{E58E9AEC-585B-494E-92D2-3237A43860BC}" name="OPP_FGA" dataDxfId="431"/>
    <tableColumn id="10" xr3:uid="{1521640D-09A8-4FDA-A738-55E770015866}" name="OPP_FG_PCT" dataDxfId="430"/>
    <tableColumn id="11" xr3:uid="{2DD2E0DE-FDA6-4B9E-BB13-448D4A40BA0A}" name="OPP_FG3M" dataDxfId="429"/>
    <tableColumn id="12" xr3:uid="{0004B856-854D-4C04-9FCD-3D0143CAEE70}" name="OPP_FG3A" dataDxfId="428"/>
    <tableColumn id="13" xr3:uid="{F1245F24-BC40-471D-B3F6-D9519C6F2EAD}" name="OPP_FG3_PCT" dataDxfId="427"/>
    <tableColumn id="14" xr3:uid="{8BBC8EB8-F216-4E82-A35F-219813EE4630}" name="OPP_FTM" dataDxfId="426"/>
    <tableColumn id="15" xr3:uid="{FC5CE915-402A-413A-9F61-3AD2B6E2F5F0}" name="OPP_FTA" dataDxfId="425"/>
    <tableColumn id="16" xr3:uid="{34A6D6CF-BFA4-422D-B4D8-C3FF8D024673}" name="OPP_FT_PCT" dataDxfId="424"/>
    <tableColumn id="17" xr3:uid="{BFB7AD16-3C38-4105-A67B-F0860C15E7B3}" name="OPP_OREB" dataDxfId="423"/>
    <tableColumn id="18" xr3:uid="{550F8A3C-2B22-4919-B576-76EE432632A9}" name="OPP_DREB" dataDxfId="422"/>
    <tableColumn id="19" xr3:uid="{B74B8BE7-ABF7-4DDF-A702-8DB928CE72C5}" name="OPP_REB" dataDxfId="421"/>
    <tableColumn id="20" xr3:uid="{EB3F4354-0E68-429F-8CFE-75E512A0653F}" name="OPP_AST" dataDxfId="420"/>
    <tableColumn id="21" xr3:uid="{EA21C1F9-4D8D-44B0-8758-90D176423E97}" name="OPP_TOV" dataDxfId="419"/>
    <tableColumn id="22" xr3:uid="{48A02FA5-20C1-416F-A523-BAB28BD9815F}" name="OPP_STL" dataDxfId="418"/>
    <tableColumn id="23" xr3:uid="{740112BB-5FB0-4988-90A9-37D32D772774}" name="OPP_BLK" dataDxfId="417"/>
    <tableColumn id="24" xr3:uid="{1740CB15-62E3-4670-84D9-5A93B128C374}" name="OPP_BLKA" dataDxfId="416"/>
    <tableColumn id="25" xr3:uid="{6DF6A1AF-46A2-4D71-91C6-609848BCCFC6}" name="OPP_PF" dataDxfId="415"/>
    <tableColumn id="26" xr3:uid="{D7433898-1C55-4201-9CCF-6A4C88A39811}" name="OPP_PFD" dataDxfId="414"/>
    <tableColumn id="27" xr3:uid="{603C1944-402D-47D1-9C8B-217FF86D904F}" name="OPP_PTS" dataDxfId="413"/>
    <tableColumn id="28" xr3:uid="{4FF620F5-8F35-40B0-8F53-B89BDEBE122F}" name="PLUS_MINUS" dataDxfId="412"/>
    <tableColumn id="29" xr3:uid="{6B2AD615-424F-40C1-806E-2387BC55EE70}" name="GP_RANK" dataDxfId="411"/>
    <tableColumn id="30" xr3:uid="{2330BD74-8F84-4757-AB5E-B56E93F3A565}" name="W_RANK" dataDxfId="410"/>
    <tableColumn id="31" xr3:uid="{34CD1759-1743-4915-885F-DF34962B29B5}" name="L_RANK" dataDxfId="409"/>
    <tableColumn id="32" xr3:uid="{62CB97C9-9A39-45C9-AA43-8E5520AE41E6}" name="W_PCT_RANK" dataDxfId="408"/>
    <tableColumn id="33" xr3:uid="{628B1497-2754-452E-A7A8-159EB2208319}" name="MIN_RANK" dataDxfId="407"/>
    <tableColumn id="34" xr3:uid="{10B27B60-294D-4DE5-85EF-4AF97391DAEA}" name="OPP_FGM_RANK" dataDxfId="406"/>
    <tableColumn id="35" xr3:uid="{6F5862F5-F920-42AE-A416-583249D215C5}" name="OPP_FGA_RANK" dataDxfId="405"/>
    <tableColumn id="36" xr3:uid="{1492A6E0-F2D4-47AC-8325-0E65B24D3DA3}" name="OPP_FG_PCT_RANK" dataDxfId="404"/>
    <tableColumn id="37" xr3:uid="{81D5DFB4-30C8-405B-9C9A-A7BBFE8D36EB}" name="OPP_FG3M_RANK" dataDxfId="403"/>
    <tableColumn id="38" xr3:uid="{A7A0B700-37DA-426F-B211-FB2E0FB1210E}" name="OPP_FG3A_RANK" dataDxfId="402"/>
    <tableColumn id="39" xr3:uid="{C992A9FE-3BE4-4F55-AFB9-DF29D509A978}" name="OPP_FG3_PCT_RANK" dataDxfId="401"/>
    <tableColumn id="40" xr3:uid="{6F508C58-2EA3-4BFE-8A36-B3C60A476BD7}" name="OPP_FTM_RANK" dataDxfId="400"/>
    <tableColumn id="41" xr3:uid="{8AC60D8D-1F7C-4263-B0AE-59ED482B3FB3}" name="OPP_FTA_RANK" dataDxfId="399"/>
    <tableColumn id="42" xr3:uid="{A0D1A812-C1F9-41A4-BF8B-BEEC54797F16}" name="OPP_FT_PCT_RANK" dataDxfId="398"/>
    <tableColumn id="43" xr3:uid="{DFDC3772-92AD-4C46-ADFB-F2699ED271E5}" name="OPP_OREB_RANK" dataDxfId="397"/>
    <tableColumn id="44" xr3:uid="{DE6D8B32-AF51-4155-A4FE-7329F5A659C4}" name="OPP_DREB_RANK" dataDxfId="396"/>
    <tableColumn id="45" xr3:uid="{731C91B5-9A67-4691-B4F1-36188BD72FE5}" name="OPP_REB_RANK" dataDxfId="395"/>
    <tableColumn id="46" xr3:uid="{C00E6829-7FE6-48C8-AAF5-4F9843C092F7}" name="OPP_AST_RANK" dataDxfId="394"/>
    <tableColumn id="47" xr3:uid="{7C23322F-97FE-4289-8C0A-568FD9AA6A59}" name="OPP_TOV_RANK" dataDxfId="393"/>
    <tableColumn id="48" xr3:uid="{2732C5AE-B85B-4AC3-873E-D304385BDF4A}" name="OPP_STL_RANK" dataDxfId="392"/>
    <tableColumn id="49" xr3:uid="{DC735BF1-AD8B-4272-B3D7-7843391BA61C}" name="OPP_BLK_RANK" dataDxfId="391"/>
    <tableColumn id="50" xr3:uid="{86E6B44E-3AE1-4757-9F08-5AC2E3EF840B}" name="OPP_BLKA_RANK" dataDxfId="390"/>
    <tableColumn id="51" xr3:uid="{307CDF4F-D653-4998-9D8F-1A1DDD6DF92E}" name="OPP_PF_RANK" dataDxfId="389"/>
    <tableColumn id="52" xr3:uid="{797199D9-FB7B-479A-A379-66BEDFBDD74E}" name="OPP_PFD_RANK" dataDxfId="388"/>
    <tableColumn id="53" xr3:uid="{E6390D97-7980-4703-99F9-152AC95A1C4C}" name="OPP_PTS_RANK" dataDxfId="387"/>
    <tableColumn id="54" xr3:uid="{8ECB8BA1-11B2-497C-B1F2-CF4F1EFB3BF7}" name="PLUS_MINUS_RANK" dataDxfId="386"/>
    <tableColumn id="55" xr3:uid="{4A15D992-EE83-4C51-8AF7-3DD953BD3C51}" name="CFID" dataDxfId="385"/>
    <tableColumn id="56" xr3:uid="{48D8792D-F0B9-447A-A816-D56115E528D5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41D76A1-3E80-4A35-9C19-1411F92A5B92}" name="TableClutchBaseN" displayName="TableClutchBaseN" ref="A1:BD31" totalsRowShown="0" headerRowDxfId="269">
  <autoFilter ref="A1:BD31" xr:uid="{5D4340F1-B0E9-4457-B4EA-1FD4C5DFC06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345B37F-8913-49B2-9452-80DF571D137D}" name="TEAM_ID" dataDxfId="325"/>
    <tableColumn id="2" xr3:uid="{B1AFE8A8-1136-4848-A489-70AE0C9E4651}" name="TEAM_NAME" dataDxfId="324"/>
    <tableColumn id="3" xr3:uid="{AF33DFD1-BE7A-4D5A-BAE7-6CAE4EBADB81}" name="GP" dataDxfId="323"/>
    <tableColumn id="4" xr3:uid="{415EF9EC-8640-40B1-8EA3-48D66FC0FC6C}" name="W" dataDxfId="322"/>
    <tableColumn id="5" xr3:uid="{61E81FA1-C531-4728-801B-90233C435C92}" name="L" dataDxfId="321"/>
    <tableColumn id="6" xr3:uid="{C906B4FC-4505-42EE-AF89-0503FB1E1B0C}" name="W_PCT" dataDxfId="320"/>
    <tableColumn id="7" xr3:uid="{AB5780F2-EC62-4BC6-AFFC-73C395080F20}" name="MIN" dataDxfId="319"/>
    <tableColumn id="8" xr3:uid="{B5DED66D-BB18-4C26-8778-4F0C4A2F89E4}" name="FGM" dataDxfId="318"/>
    <tableColumn id="9" xr3:uid="{C460B0B5-E439-4190-AC42-AF7516FEAC2C}" name="FGA" dataDxfId="317"/>
    <tableColumn id="10" xr3:uid="{DB4AB30A-81D4-4AE6-9ACB-AFC7BB56672B}" name="FG_PCT" dataDxfId="316"/>
    <tableColumn id="11" xr3:uid="{8B42D7AD-32C5-4120-BF5E-37B3576609EB}" name="FG3M" dataDxfId="315"/>
    <tableColumn id="12" xr3:uid="{1C57FA6E-90D5-4FA7-A6BC-D7D5FC10901E}" name="FG3A" dataDxfId="314"/>
    <tableColumn id="13" xr3:uid="{A61224CD-CEC2-48C3-908B-93041F096C23}" name="FG3_PCT" dataDxfId="313"/>
    <tableColumn id="14" xr3:uid="{A013AE75-C3C3-4C2E-A00F-6CDED976452F}" name="FTM" dataDxfId="312"/>
    <tableColumn id="15" xr3:uid="{BAEDDB77-9046-4180-AE80-0A563007BB85}" name="FTA" dataDxfId="311"/>
    <tableColumn id="16" xr3:uid="{45FC2CCA-6F3E-4C10-A89D-F8292146C899}" name="FT_PCT" dataDxfId="310"/>
    <tableColumn id="17" xr3:uid="{6CAD8C96-4424-4179-B0A3-34A1FD85C8FD}" name="OREB" dataDxfId="309"/>
    <tableColumn id="18" xr3:uid="{D674CAD2-DBF3-4723-B4AA-800BC0537DA4}" name="DREB" dataDxfId="308"/>
    <tableColumn id="19" xr3:uid="{07FB462C-30C8-4505-BDD7-0BC1593B30D6}" name="REB" dataDxfId="307"/>
    <tableColumn id="20" xr3:uid="{A3DAD779-4403-4C30-AB18-98B6A3A9BBB6}" name="AST" dataDxfId="306"/>
    <tableColumn id="21" xr3:uid="{EFFBB22F-D3B9-4A9E-A39A-FFFB0A2473CF}" name="TOV" dataDxfId="305"/>
    <tableColumn id="22" xr3:uid="{A7462234-B4D9-45B4-940A-763CF59B1CAA}" name="STL" dataDxfId="304"/>
    <tableColumn id="23" xr3:uid="{B5804785-1B73-4CE4-B4BD-334622C8B8CB}" name="BLK" dataDxfId="303"/>
    <tableColumn id="24" xr3:uid="{5644139F-79A4-4A6A-A797-0F47966D6BE3}" name="BLKA" dataDxfId="302"/>
    <tableColumn id="25" xr3:uid="{812E1227-7E95-4636-940F-5DB13BB7F2DF}" name="PF" dataDxfId="301"/>
    <tableColumn id="26" xr3:uid="{C3C7FB5A-8945-46F7-BDF2-31015B742F43}" name="PFD" dataDxfId="300"/>
    <tableColumn id="27" xr3:uid="{7563A813-2356-4BAC-A12F-E259BE339A59}" name="PTS" dataDxfId="299"/>
    <tableColumn id="28" xr3:uid="{8F988A93-333F-483E-BFF1-F2CB9AA8E252}" name="PLUS_MINUS" dataDxfId="298"/>
    <tableColumn id="29" xr3:uid="{B2146692-3275-426E-9AED-653BE8E63395}" name="GP_RANK" dataDxfId="297"/>
    <tableColumn id="30" xr3:uid="{286AB620-01E6-4975-9EC2-DB7AC472FCCD}" name="W_RANK" dataDxfId="296"/>
    <tableColumn id="31" xr3:uid="{289FE8A2-66DE-4750-B692-322FBC4D6086}" name="L_RANK" dataDxfId="295"/>
    <tableColumn id="32" xr3:uid="{9DA87D37-A007-4397-A09C-8F5FFF78B464}" name="W_PCT_RANK" dataDxfId="294"/>
    <tableColumn id="33" xr3:uid="{43E458F0-DF78-4D55-A6C2-AAB930883831}" name="MIN_RANK" dataDxfId="293"/>
    <tableColumn id="34" xr3:uid="{BD701748-B4DA-4689-9BD1-EB9ACDCAA60F}" name="FGM_RANK" dataDxfId="292"/>
    <tableColumn id="35" xr3:uid="{BB1D6AFA-3724-46E3-A019-49A1F4BC0A1A}" name="FGA_RANK" dataDxfId="291"/>
    <tableColumn id="36" xr3:uid="{5673F4D3-3AC2-4C42-8239-34D28E831FB3}" name="FG_PCT_RANK" dataDxfId="290"/>
    <tableColumn id="37" xr3:uid="{DF541932-27AF-4396-91C8-C9941B5485C5}" name="FG3M_RANK" dataDxfId="289"/>
    <tableColumn id="38" xr3:uid="{855527C8-F183-479D-80F8-66BDEC7DB4C3}" name="FG3A_RANK" dataDxfId="288"/>
    <tableColumn id="39" xr3:uid="{84718D9E-6CF8-45A0-A78D-95B1671E2249}" name="FG3_PCT_RANK" dataDxfId="287"/>
    <tableColumn id="40" xr3:uid="{504FD928-C4AE-433A-A2DD-7079DF9962C0}" name="FTM_RANK" dataDxfId="286"/>
    <tableColumn id="41" xr3:uid="{64626408-8090-424A-8E6B-3D753406F36D}" name="FTA_RANK" dataDxfId="285"/>
    <tableColumn id="42" xr3:uid="{F567428A-0292-480A-966D-304CA18CA366}" name="FT_PCT_RANK" dataDxfId="284"/>
    <tableColumn id="43" xr3:uid="{59596CA5-D86F-4073-BD02-87E86B155CA3}" name="OREB_RANK" dataDxfId="283"/>
    <tableColumn id="44" xr3:uid="{98DE0898-0E1A-418F-B0E6-9E21F85A04F7}" name="DREB_RANK" dataDxfId="282"/>
    <tableColumn id="45" xr3:uid="{641CE00D-0B38-4214-83ED-2778973BF1DC}" name="REB_RANK" dataDxfId="281"/>
    <tableColumn id="46" xr3:uid="{3E51BD62-F9EB-476D-9995-9BE02547E114}" name="AST_RANK" dataDxfId="280"/>
    <tableColumn id="47" xr3:uid="{6C5BD887-6950-429E-9968-60E2C564D88B}" name="TOV_RANK" dataDxfId="279"/>
    <tableColumn id="48" xr3:uid="{00C8A42B-965E-4998-B82B-44B309CB423C}" name="STL_RANK" dataDxfId="278"/>
    <tableColumn id="49" xr3:uid="{3FC4332D-737D-41B2-BC79-0667F07BD83C}" name="BLK_RANK" dataDxfId="277"/>
    <tableColumn id="50" xr3:uid="{8A0F0680-504C-4D10-B23E-96F3059D75E7}" name="BLKA_RANK" dataDxfId="276"/>
    <tableColumn id="51" xr3:uid="{198A21CB-694E-4F42-83E4-01B1EB716FB6}" name="PF_RANK" dataDxfId="275"/>
    <tableColumn id="52" xr3:uid="{51D7E85E-7287-4E4A-8FB0-735B1A18EABA}" name="PFD_RANK" dataDxfId="274"/>
    <tableColumn id="53" xr3:uid="{C87674E2-087A-4FFD-B051-33E2B472F194}" name="PTS_RANK" dataDxfId="273"/>
    <tableColumn id="54" xr3:uid="{29C21836-E7A0-4081-A2BB-B797F301CF49}" name="PLUS_MINUS_RANK" dataDxfId="272"/>
    <tableColumn id="55" xr3:uid="{8217C356-F981-4FFF-A5B0-24AC3369AB50}" name="CFID" dataDxfId="271"/>
    <tableColumn id="56" xr3:uid="{102D4F91-C413-4C00-A787-CE6F26E31590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C561510-A38C-4E6C-8FC6-29E4FDB57B13}" name="TableClutchOpponentN" displayName="TableClutchOpponentN" ref="A1:BD31" totalsRowShown="0" headerRowDxfId="155">
  <autoFilter ref="A1:BD31" xr:uid="{D7BB3852-C313-4CBC-B250-3726027C9F9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054EAEA-3AA1-4BBE-92F0-8CADC647DD75}" name="TEAM_ID" dataDxfId="211"/>
    <tableColumn id="2" xr3:uid="{ACB1FB98-47C7-42FC-B475-1C0796EB2651}" name="TEAM_NAME" dataDxfId="210"/>
    <tableColumn id="3" xr3:uid="{D518703D-10FC-4E54-93EC-4BE392CB7234}" name="GP" dataDxfId="209"/>
    <tableColumn id="4" xr3:uid="{2ECCB05B-A3D2-4095-A998-2085BF3DCCF4}" name="W" dataDxfId="208"/>
    <tableColumn id="5" xr3:uid="{9D691C26-3EA6-48D0-B494-599440566752}" name="L" dataDxfId="207"/>
    <tableColumn id="6" xr3:uid="{CD18AB08-2507-47AF-990E-19B433975B1D}" name="W_PCT" dataDxfId="206"/>
    <tableColumn id="7" xr3:uid="{DE2967F8-7736-4604-B66C-E501558D8751}" name="MIN" dataDxfId="205"/>
    <tableColumn id="8" xr3:uid="{5DAFED0F-AD99-4006-8E10-CF10F4D94E49}" name="OPP_FGM" dataDxfId="204"/>
    <tableColumn id="9" xr3:uid="{BBA5EB00-25C3-43FC-AEC5-E54415C73A7F}" name="OPP_FGA" dataDxfId="203"/>
    <tableColumn id="10" xr3:uid="{67B116B9-9C8A-41CA-A90B-D4754A40C8E0}" name="OPP_FG_PCT" dataDxfId="202"/>
    <tableColumn id="11" xr3:uid="{C5A18E29-4ECB-499A-BB32-7E5B1CA271D7}" name="OPP_FG3M" dataDxfId="201"/>
    <tableColumn id="12" xr3:uid="{1C2DE1ED-33F1-4FE4-9698-6891824E8D84}" name="OPP_FG3A" dataDxfId="200"/>
    <tableColumn id="13" xr3:uid="{9E5C919B-4C3E-4149-9030-763CCE77FC58}" name="OPP_FG3_PCT" dataDxfId="199"/>
    <tableColumn id="14" xr3:uid="{4A74C36F-8621-4363-BB8E-47307B0C4F95}" name="OPP_FTM" dataDxfId="198"/>
    <tableColumn id="15" xr3:uid="{6E4ECB2A-812D-40EF-8848-072A8AC49A3B}" name="OPP_FTA" dataDxfId="197"/>
    <tableColumn id="16" xr3:uid="{7359B095-202F-4845-B674-55937026585C}" name="OPP_FT_PCT" dataDxfId="196"/>
    <tableColumn id="17" xr3:uid="{28BF1D19-827B-4022-B66B-6B6650B7AA8E}" name="OPP_OREB" dataDxfId="195"/>
    <tableColumn id="18" xr3:uid="{42228676-BE99-4219-86D0-234741EA0E0F}" name="OPP_DREB" dataDxfId="194"/>
    <tableColumn id="19" xr3:uid="{8962405F-74FA-4D2A-8C6A-5744F39971A6}" name="OPP_REB" dataDxfId="193"/>
    <tableColumn id="20" xr3:uid="{398BC13E-D490-482D-B32B-8FEEE48C8142}" name="OPP_AST" dataDxfId="192"/>
    <tableColumn id="21" xr3:uid="{1A9ABFB4-E84A-4BEB-B88A-63A19FC86C05}" name="OPP_TOV" dataDxfId="191"/>
    <tableColumn id="22" xr3:uid="{DA900695-B408-4757-9BA7-32A3EE18687F}" name="OPP_STL" dataDxfId="190"/>
    <tableColumn id="23" xr3:uid="{57AB48F4-95C5-4E5D-BB3E-5875C1DC815B}" name="OPP_BLK" dataDxfId="189"/>
    <tableColumn id="24" xr3:uid="{0A71383C-7B63-4DF9-ABF0-B3F384AE3A99}" name="OPP_BLKA" dataDxfId="188"/>
    <tableColumn id="25" xr3:uid="{E4A3DC23-9B68-417B-8278-56101C47F957}" name="OPP_PF" dataDxfId="187"/>
    <tableColumn id="26" xr3:uid="{17A78057-DBE8-4294-9496-812B0F910FE6}" name="OPP_PFD" dataDxfId="186"/>
    <tableColumn id="27" xr3:uid="{3C47792A-FD78-40DC-8B4F-61B4E5AF36FB}" name="OPP_PTS" dataDxfId="185"/>
    <tableColumn id="28" xr3:uid="{A8B2484C-D7AD-4432-8D49-A31378D049AB}" name="PLUS_MINUS" dataDxfId="184"/>
    <tableColumn id="29" xr3:uid="{BB5C8FE8-519C-4992-81E7-3B1C4CF0B0A5}" name="GP_RANK" dataDxfId="183"/>
    <tableColumn id="30" xr3:uid="{D4C2F0A5-D6A2-40CA-8629-26732E3C32BD}" name="W_RANK" dataDxfId="182"/>
    <tableColumn id="31" xr3:uid="{906CE227-3A1A-4BE2-A13C-03169384B700}" name="L_RANK" dataDxfId="181"/>
    <tableColumn id="32" xr3:uid="{75505070-4CD0-4A74-A860-5110C77DA7E4}" name="W_PCT_RANK" dataDxfId="180"/>
    <tableColumn id="33" xr3:uid="{A86840D2-FD30-4AA4-939A-AFE63F83F260}" name="MIN_RANK" dataDxfId="179"/>
    <tableColumn id="34" xr3:uid="{0854D7F4-5B32-41D4-8BB0-CA989D88F5B9}" name="OPP_FGM_RANK" dataDxfId="178"/>
    <tableColumn id="35" xr3:uid="{2771E896-43EE-4484-A8E6-32F937039613}" name="OPP_FGA_RANK" dataDxfId="177"/>
    <tableColumn id="36" xr3:uid="{040833B4-4F20-45EC-B24F-EB1BDAFB0D03}" name="OPP_FG_PCT_RANK" dataDxfId="176"/>
    <tableColumn id="37" xr3:uid="{4F658C7D-B621-40B3-9F7E-363AD4037A03}" name="OPP_FG3M_RANK" dataDxfId="175"/>
    <tableColumn id="38" xr3:uid="{C60AD6B8-1AB1-47AC-BB88-C5EA97FBD3E8}" name="OPP_FG3A_RANK" dataDxfId="174"/>
    <tableColumn id="39" xr3:uid="{4E270016-DB0B-4D46-8D5D-B6C874A77185}" name="OPP_FG3_PCT_RANK" dataDxfId="173"/>
    <tableColumn id="40" xr3:uid="{99218697-885B-409D-A237-331BAF8CAED6}" name="OPP_FTM_RANK" dataDxfId="172"/>
    <tableColumn id="41" xr3:uid="{8F03780B-CB72-478D-A848-E38882B65738}" name="OPP_FTA_RANK" dataDxfId="171"/>
    <tableColumn id="42" xr3:uid="{34E41DB9-EC25-4E03-A85E-BF58CD515C87}" name="OPP_FT_PCT_RANK" dataDxfId="170"/>
    <tableColumn id="43" xr3:uid="{C177284B-AC5E-4955-9D4E-9D6A229E5119}" name="OPP_OREB_RANK" dataDxfId="169"/>
    <tableColumn id="44" xr3:uid="{F1BEBF23-7306-4F06-A24C-F03C17D195F3}" name="OPP_DREB_RANK" dataDxfId="168"/>
    <tableColumn id="45" xr3:uid="{AF65C86F-56EC-4E35-88EC-509F2A2B7C00}" name="OPP_REB_RANK" dataDxfId="167"/>
    <tableColumn id="46" xr3:uid="{A93C3198-D96E-4883-B68E-7C264D36BA29}" name="OPP_AST_RANK" dataDxfId="166"/>
    <tableColumn id="47" xr3:uid="{14281543-EDC8-4C53-A562-C9334AC0028E}" name="OPP_TOV_RANK" dataDxfId="165"/>
    <tableColumn id="48" xr3:uid="{87655B95-AD41-48DC-B52E-03EF1D78F2BF}" name="OPP_STL_RANK" dataDxfId="164"/>
    <tableColumn id="49" xr3:uid="{27B757D7-CAAF-40D6-98E9-9803A021BDCD}" name="OPP_BLK_RANK" dataDxfId="163"/>
    <tableColumn id="50" xr3:uid="{7C0EAEE8-7609-4AC6-9BCB-BB7DAD914269}" name="OPP_BLKA_RANK" dataDxfId="162"/>
    <tableColumn id="51" xr3:uid="{58B503ED-5085-4B6A-B7DD-BC3E132885B7}" name="OPP_PF_RANK" dataDxfId="161"/>
    <tableColumn id="52" xr3:uid="{C63271D3-8D7D-4F43-B434-2DF7E4A1E889}" name="OPP_PFD_RANK" dataDxfId="160"/>
    <tableColumn id="53" xr3:uid="{C19005D0-9B05-447E-87E7-5D696EFE7803}" name="OPP_PTS_RANK" dataDxfId="159"/>
    <tableColumn id="54" xr3:uid="{9D7FC3F5-C8E2-4881-8A52-591B822C5192}" name="PLUS_MINUS_RANK" dataDxfId="158"/>
    <tableColumn id="55" xr3:uid="{75E0EE57-079B-4DCB-842C-CB6E7DE96E66}" name="CFID" dataDxfId="157"/>
    <tableColumn id="56" xr3:uid="{70FFF5B8-E740-4B3E-BBD0-7484BDF61DC7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F3CEBE6-2EB2-47AE-8EC2-28CBF6D15EF4}" name="TableClutchAdvancedN" displayName="TableClutchAdvancedN" ref="A1:AV31" totalsRowShown="0" headerRowDxfId="49">
  <autoFilter ref="A1:AV31" xr:uid="{C0C9006E-47D5-4110-8DAB-31141663D5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985111B-42DC-4393-8734-5122D7B58537}" name="TEAM_ID" dataDxfId="97"/>
    <tableColumn id="2" xr3:uid="{3FE173C7-3085-4ABD-B890-E49CE5EA2354}" name="TEAM_NAME" dataDxfId="96"/>
    <tableColumn id="3" xr3:uid="{CB74CED7-FF17-4581-ACEF-A06A1CD47278}" name="GP" dataDxfId="95"/>
    <tableColumn id="4" xr3:uid="{CB8A7C17-7FAF-4C23-8DAF-69BCF75D3FD0}" name="W" dataDxfId="94"/>
    <tableColumn id="5" xr3:uid="{3819B517-6E40-4997-A9AE-5F8FA4B06874}" name="L" dataDxfId="93"/>
    <tableColumn id="6" xr3:uid="{33DA9B48-BE7B-46D6-83D6-2FBC189BA4E8}" name="W_PCT" dataDxfId="92"/>
    <tableColumn id="7" xr3:uid="{1181767D-966E-4AFC-9ECF-12A77E9D7E53}" name="MIN" dataDxfId="91"/>
    <tableColumn id="8" xr3:uid="{B11C06D4-4AC8-4380-AC96-B7F441C7D7AC}" name="E_OFF_RATING" dataDxfId="90"/>
    <tableColumn id="9" xr3:uid="{77FD9E45-03EA-4C92-B368-79BC17A64DC7}" name="OFF_RATING" dataDxfId="89"/>
    <tableColumn id="10" xr3:uid="{142A5299-996E-4E03-9663-D432BFBD835D}" name="E_DEF_RATING" dataDxfId="88"/>
    <tableColumn id="11" xr3:uid="{FA885F4F-9A41-48F5-9C1A-ABCD41B8E37A}" name="DEF_RATING" dataDxfId="87"/>
    <tableColumn id="12" xr3:uid="{4EDDE68D-DA27-4A2D-99E3-FF44D00C7A4A}" name="E_NET_RATING" dataDxfId="86"/>
    <tableColumn id="13" xr3:uid="{DADA0EA2-DDFE-43A9-8085-BF52D69A3A4A}" name="NET_RATING" dataDxfId="85"/>
    <tableColumn id="14" xr3:uid="{199EC001-5434-434F-B63E-8ED1A702B84E}" name="AST_PCT" dataDxfId="84"/>
    <tableColumn id="15" xr3:uid="{FBFA9A25-0F51-4ED2-8E7B-CA71376244EB}" name="AST_TO" dataDxfId="83"/>
    <tableColumn id="16" xr3:uid="{FFBC7A93-F9AD-4701-AF1A-4B64378A32F9}" name="AST_RATIO" dataDxfId="82"/>
    <tableColumn id="17" xr3:uid="{0184BF9F-2A38-4FE0-A571-E1A2682B58D7}" name="OREB_PCT" dataDxfId="81"/>
    <tableColumn id="18" xr3:uid="{0E8236B7-CF7F-4736-AFB8-B940CC77EF6C}" name="DREB_PCT" dataDxfId="80"/>
    <tableColumn id="19" xr3:uid="{7FBB3C73-5F71-4756-A73B-5A15D1D80CCC}" name="REB_PCT" dataDxfId="79"/>
    <tableColumn id="20" xr3:uid="{CE745B15-E2A1-490F-A251-680A1DC5BB06}" name="TM_TOV_PCT" dataDxfId="78"/>
    <tableColumn id="21" xr3:uid="{0DA782EC-5933-465C-8FA0-7B4B8E94E2B8}" name="EFG_PCT" dataDxfId="77"/>
    <tableColumn id="22" xr3:uid="{5A25DFC7-CAE6-4FDD-B78E-B837C3B0B82B}" name="TS_PCT" dataDxfId="76"/>
    <tableColumn id="23" xr3:uid="{C9EDE516-EBBC-4AFF-8112-4E5EF1E627EA}" name="E_PACE" dataDxfId="75"/>
    <tableColumn id="24" xr3:uid="{59EA3B54-BB42-4464-AFCA-0EA74639192C}" name="PACE" dataDxfId="74"/>
    <tableColumn id="25" xr3:uid="{1B2004BB-B07C-4D6A-8662-313F99B02A33}" name="PACE_PER40" dataDxfId="73"/>
    <tableColumn id="26" xr3:uid="{C6238C77-C939-49D7-93ED-EA818E7FC78D}" name="POSS" dataDxfId="72"/>
    <tableColumn id="27" xr3:uid="{90BB0453-8B2A-46EE-A8DF-E10AB20651D5}" name="PIE" dataDxfId="71"/>
    <tableColumn id="28" xr3:uid="{FD8D4203-22E9-4DDB-BF34-72F645DD7CE9}" name="GP_RANK" dataDxfId="70"/>
    <tableColumn id="29" xr3:uid="{83B0B732-E2B9-4274-A708-7297188A178E}" name="W_RANK" dataDxfId="69"/>
    <tableColumn id="30" xr3:uid="{5A010DCC-232B-46AF-B2CB-021E2F8B0250}" name="L_RANK" dataDxfId="68"/>
    <tableColumn id="31" xr3:uid="{8F07DB36-3F3C-4FCC-A7B6-FF0441E5E787}" name="W_PCT_RANK" dataDxfId="67"/>
    <tableColumn id="32" xr3:uid="{0EF2B037-7AF8-4EF7-93A5-76749CAAB7BC}" name="MIN_RANK" dataDxfId="66"/>
    <tableColumn id="33" xr3:uid="{0EF63B79-7C61-4E37-868D-924A75EBA782}" name="OFF_RATING_RANK" dataDxfId="65"/>
    <tableColumn id="34" xr3:uid="{6D31E53B-1176-42CE-AC1E-BCA5118BE0C1}" name="DEF_RATING_RANK" dataDxfId="64"/>
    <tableColumn id="35" xr3:uid="{C64253C9-1D7A-4C6A-9A56-2B3DE5EBE0A5}" name="NET_RATING_RANK" dataDxfId="63"/>
    <tableColumn id="36" xr3:uid="{887F4065-7E15-4E7B-A78E-4AFDE7C42081}" name="AST_PCT_RANK" dataDxfId="62"/>
    <tableColumn id="37" xr3:uid="{00993316-B0D1-499D-91DE-CC25422C1757}" name="AST_TO_RANK" dataDxfId="61"/>
    <tableColumn id="38" xr3:uid="{64556C85-556E-4797-90D8-051A5B68475C}" name="AST_RATIO_RANK" dataDxfId="60"/>
    <tableColumn id="39" xr3:uid="{050D19C0-5CD7-40A1-8194-FACF58D0AA77}" name="OREB_PCT_RANK" dataDxfId="59"/>
    <tableColumn id="40" xr3:uid="{418F1968-CA86-41B2-8F5A-8E277FF27920}" name="DREB_PCT_RANK" dataDxfId="58"/>
    <tableColumn id="41" xr3:uid="{1DA64318-563D-4713-BBF9-08180C3E6B39}" name="REB_PCT_RANK" dataDxfId="57"/>
    <tableColumn id="42" xr3:uid="{6A4BE8AD-5D02-46D7-AF66-744FDA774E3D}" name="TM_TOV_PCT_RANK" dataDxfId="56"/>
    <tableColumn id="43" xr3:uid="{D77C01B9-6E3D-4323-B540-7CE4B443D124}" name="EFG_PCT_RANK" dataDxfId="55"/>
    <tableColumn id="44" xr3:uid="{723AFBF5-A1CA-4878-A15E-439C959A7651}" name="TS_PCT_RANK" dataDxfId="54"/>
    <tableColumn id="45" xr3:uid="{F1826663-FCED-461C-B0EA-7A224D3055EE}" name="PACE_RANK" dataDxfId="53"/>
    <tableColumn id="46" xr3:uid="{6FAAB765-FE34-4271-B29C-D0A908F78E4D}" name="PIE_RANK" dataDxfId="52"/>
    <tableColumn id="47" xr3:uid="{6C959447-C5A1-40DF-BC0D-06D878A42B32}" name="CFID" dataDxfId="51"/>
    <tableColumn id="48" xr3:uid="{6A897F22-27E8-45EB-8168-5E9ED7FB93CB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535190-EA5D-40B1-87B6-3CB87CD77A20}" name="TableStandingsN1" displayName="TableStandingsN1" ref="A1:CC31" totalsRowShown="0" headerRowDxfId="910">
  <autoFilter ref="A1:CC31" xr:uid="{8B44DE56-10F3-4F24-B5A8-20ACBBE4C1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DD758389-8FD0-4FAE-9631-6283367BE81F}" name="LeagueID" dataDxfId="991"/>
    <tableColumn id="2" xr3:uid="{C048C665-FBF3-475A-BE75-13335D2B5156}" name="SeasonID" dataDxfId="990"/>
    <tableColumn id="3" xr3:uid="{FF9A92A0-627B-4C53-BC6E-E2FD5BE4C371}" name="TeamID" dataDxfId="989"/>
    <tableColumn id="4" xr3:uid="{C59D427C-EC73-49DC-92B0-2C4C75B947E1}" name="TeamCity" dataDxfId="988"/>
    <tableColumn id="5" xr3:uid="{CAC2275B-A2C7-4A52-B832-EEB1C766C094}" name="TeamName" dataDxfId="987"/>
    <tableColumn id="6" xr3:uid="{3A0D21C4-645C-47E5-8FF2-05D362F53414}" name="Conference" dataDxfId="986"/>
    <tableColumn id="7" xr3:uid="{76A1666A-621D-4DE3-8E98-AE9D898A9D18}" name="ConferenceRecord" dataDxfId="985"/>
    <tableColumn id="8" xr3:uid="{1870C580-04FC-4F63-9B34-684D3AAC1F37}" name="PlayoffRank" dataDxfId="984"/>
    <tableColumn id="9" xr3:uid="{0DF4533E-D361-4205-8210-D986A4226B51}" name="ClinchIndicator" dataDxfId="983"/>
    <tableColumn id="10" xr3:uid="{7D9AC308-C9B1-48CE-8876-08BAC567FCB3}" name="Division" dataDxfId="982"/>
    <tableColumn id="11" xr3:uid="{F33DEFD8-5965-4823-AE0D-CF3982516EDF}" name="DivisionRecord" dataDxfId="981"/>
    <tableColumn id="12" xr3:uid="{33674F1A-8B85-4F2B-AC14-111281B28AE5}" name="DivisionRank" dataDxfId="980"/>
    <tableColumn id="13" xr3:uid="{1BDF69B4-A23B-4620-845C-C23DF64932B3}" name="WINS" dataDxfId="979"/>
    <tableColumn id="14" xr3:uid="{E67F0B30-0760-4A18-AB95-84BB943E3F47}" name="LOSSES" dataDxfId="978"/>
    <tableColumn id="15" xr3:uid="{70F7B12C-2B98-4CE7-BF9F-5A5DD225C8A0}" name="WinPCT" dataDxfId="977"/>
    <tableColumn id="16" xr3:uid="{56AAA22D-66EA-4126-A093-AF6B806C58FD}" name="LeagueRank" dataDxfId="976"/>
    <tableColumn id="17" xr3:uid="{006BBF46-BB27-4898-876B-3AA7B2F88F69}" name="Record" dataDxfId="975"/>
    <tableColumn id="18" xr3:uid="{DB7173F6-AAA5-48CC-B17E-EA9B974069D6}" name="HOME" dataDxfId="974"/>
    <tableColumn id="19" xr3:uid="{9C2DEB23-6511-43D7-917C-59C560FC7B2B}" name="ROAD" dataDxfId="973"/>
    <tableColumn id="20" xr3:uid="{294D8383-C477-4CD8-8273-7988F85EA8D2}" name="L10" dataDxfId="972"/>
    <tableColumn id="21" xr3:uid="{56253DDB-DE36-4B55-A321-4A296F7DBA12}" name="Last10Home" dataDxfId="971"/>
    <tableColumn id="22" xr3:uid="{E467448E-DE99-4D0A-8E52-A6A851E33164}" name="Last10Road" dataDxfId="970"/>
    <tableColumn id="23" xr3:uid="{EA1FD221-2CC0-4C42-9954-CC878A051997}" name="OT" dataDxfId="969"/>
    <tableColumn id="24" xr3:uid="{3010642D-2995-4B64-8ADC-A4745A573F58}" name="ThreePTSOrLess" dataDxfId="968"/>
    <tableColumn id="25" xr3:uid="{3E3EE936-4E1C-4EA7-87A5-09ED7064658C}" name="TenPTSOrMore" dataDxfId="967"/>
    <tableColumn id="26" xr3:uid="{60E0F86A-66A4-417E-8CA7-A5EC6E914867}" name="LongHomeStreak" dataDxfId="966"/>
    <tableColumn id="27" xr3:uid="{65705296-CFAF-40ED-9921-661A78D3C837}" name="strLongHomeStreak" dataDxfId="965"/>
    <tableColumn id="28" xr3:uid="{34CA0475-A6E2-41AD-B039-5F51A23D8ECB}" name="LongRoadStreak" dataDxfId="964"/>
    <tableColumn id="29" xr3:uid="{D7C77545-1FE9-401D-89E1-9D0A5F3A47FA}" name="strLongRoadStreak" dataDxfId="963"/>
    <tableColumn id="30" xr3:uid="{2E655551-9135-4027-87D3-1B101332DA2C}" name="LongWinStreak" dataDxfId="962"/>
    <tableColumn id="31" xr3:uid="{1A2872C4-6310-4143-AF1D-0C5616A53383}" name="LongLossStreak" dataDxfId="961"/>
    <tableColumn id="32" xr3:uid="{E62A4B13-140D-4462-ADBA-0AC828CC6F86}" name="CurrentHomeStreak" dataDxfId="960"/>
    <tableColumn id="33" xr3:uid="{8AE03EB6-648B-4A67-9E1D-308F581E3B8A}" name="strCurrentHomeStreak" dataDxfId="959"/>
    <tableColumn id="34" xr3:uid="{C8A90103-3306-49A0-BFF5-4C89133BF2CE}" name="CurrentRoadStreak" dataDxfId="958"/>
    <tableColumn id="35" xr3:uid="{6A2FB27C-E4B1-42CA-AD5D-B65873DAFD6B}" name="strCurrentRoadStreak" dataDxfId="957"/>
    <tableColumn id="36" xr3:uid="{38F00526-F67B-4869-BF2D-FD9262FB768A}" name="CurrentStreak" dataDxfId="956"/>
    <tableColumn id="37" xr3:uid="{2B1C660E-BC9C-4FEC-AEC9-0DBB332D1B95}" name="strCurrentStreak" dataDxfId="955"/>
    <tableColumn id="38" xr3:uid="{1A304000-9B5B-4B30-AA1A-A14C94D43100}" name="ConferenceGamesBack" dataDxfId="954"/>
    <tableColumn id="39" xr3:uid="{29F2D442-DC7F-415F-8B2B-FF0DA9E9317B}" name="DivisionGamesBack" dataDxfId="953"/>
    <tableColumn id="40" xr3:uid="{3EBAC9C2-EE8E-4338-83DF-84339E40A8AD}" name="ClinchedConferenceTitle" dataDxfId="952"/>
    <tableColumn id="41" xr3:uid="{C6C111DA-F613-42FF-B797-F6F5BC55B715}" name="ClinchedDivisionTitle" dataDxfId="951"/>
    <tableColumn id="42" xr3:uid="{9727562A-61E8-4E3A-BBFF-A3981328CD96}" name="ClinchedPlayoffBirth" dataDxfId="950"/>
    <tableColumn id="43" xr3:uid="{E574737A-38E7-4035-8BF0-F09A2D90C6BB}" name="EliminatedConference" dataDxfId="949"/>
    <tableColumn id="44" xr3:uid="{7234B52A-86E9-47D2-B5FF-131F769F81FB}" name="EliminatedDivision" dataDxfId="948"/>
    <tableColumn id="45" xr3:uid="{5E64F245-BE0E-4333-B298-FFF8D885241C}" name="AheadAtHalf" dataDxfId="947"/>
    <tableColumn id="46" xr3:uid="{14EF895C-B6E5-4C51-B4D7-72ACB811D7BA}" name="BehindAtHalf" dataDxfId="946"/>
    <tableColumn id="47" xr3:uid="{0D7CC0F5-FBF1-434C-B04A-2AD661BB7E5A}" name="TiedAtHalf" dataDxfId="945"/>
    <tableColumn id="48" xr3:uid="{A9F1CACB-2894-48AF-B299-E22033198BC7}" name="AheadAtThird" dataDxfId="944"/>
    <tableColumn id="49" xr3:uid="{D9C273E3-EE77-446C-83DC-15F083BF39B5}" name="BehindAtThird" dataDxfId="943"/>
    <tableColumn id="50" xr3:uid="{7E2292EF-3BE4-4733-BEDE-BFFC11821E77}" name="TiedAtThird" dataDxfId="942"/>
    <tableColumn id="51" xr3:uid="{F0D815B6-AC25-400E-803F-8B121D132478}" name="Score100PTS" dataDxfId="941"/>
    <tableColumn id="52" xr3:uid="{EF0D0E3B-19E8-4C6E-8DC4-01FA8AB0874D}" name="OppScore100PTS" dataDxfId="940"/>
    <tableColumn id="53" xr3:uid="{3E5D7056-76B4-490E-9389-EFDD5C5C0795}" name="OppOver500" dataDxfId="939"/>
    <tableColumn id="54" xr3:uid="{31C0F0AF-50A5-4F94-952A-27B3F4A77EAE}" name="LeadInFGPCT" dataDxfId="938"/>
    <tableColumn id="55" xr3:uid="{0680E9B1-21D9-4BB1-9CAD-24AB71E90E41}" name="LeadInReb" dataDxfId="937"/>
    <tableColumn id="56" xr3:uid="{9620227B-3254-4DDD-A489-81E4F88D7C73}" name="FewerTurnovers" dataDxfId="936"/>
    <tableColumn id="57" xr3:uid="{FB63E351-8EB2-435D-AD94-EAF17C59E954}" name="PointsPG" dataDxfId="935"/>
    <tableColumn id="58" xr3:uid="{275ABC3C-C2C2-40ED-B978-A296DDC39542}" name="OppPointsPG" dataDxfId="934"/>
    <tableColumn id="59" xr3:uid="{7C583549-56DE-4621-BD50-673F6243B58E}" name="DiffPointsPG" dataDxfId="933"/>
    <tableColumn id="60" xr3:uid="{26054E6D-C793-4459-8A58-80F5A696689B}" name="vsEast" dataDxfId="932"/>
    <tableColumn id="61" xr3:uid="{DCC7F7F8-502E-46CF-AD06-22DA3C507BF4}" name="vsAtlantic" dataDxfId="931"/>
    <tableColumn id="62" xr3:uid="{7073AD71-1F71-4BCC-A7F1-2088905B2017}" name="vsCentral" dataDxfId="930"/>
    <tableColumn id="63" xr3:uid="{DF91DEF5-A9D4-4868-8533-9816D671E091}" name="vsSoutheast" dataDxfId="929"/>
    <tableColumn id="64" xr3:uid="{F5BE7A33-A755-4BBC-8AA5-741C066C36D5}" name="vsWest" dataDxfId="928"/>
    <tableColumn id="65" xr3:uid="{A1A4F201-0311-4711-8811-EAA0B3D1B45A}" name="vsNorthwest" dataDxfId="927"/>
    <tableColumn id="66" xr3:uid="{9FE86EDB-DF09-4A93-80E1-C93B81F7BE00}" name="vsPacific" dataDxfId="926"/>
    <tableColumn id="67" xr3:uid="{0CFB00F0-BA9E-460E-991C-BAF575F5612E}" name="vsSouthwest" dataDxfId="925"/>
    <tableColumn id="68" xr3:uid="{4449BED1-903F-4EC0-8514-74576E0A70CF}" name="Jan" dataDxfId="924"/>
    <tableColumn id="69" xr3:uid="{1E7FAEDB-1584-4026-BB88-C167F3798D9C}" name="Feb" dataDxfId="923"/>
    <tableColumn id="70" xr3:uid="{B1F2B66A-CD74-4312-B0CA-8FA93BD68434}" name="Mar" dataDxfId="922"/>
    <tableColumn id="71" xr3:uid="{E44327A9-D4CC-48B2-A7C8-5983F0F5EF52}" name="Apr" dataDxfId="921"/>
    <tableColumn id="72" xr3:uid="{85E7558C-CE62-4CCA-96AD-B8B03ABE7D39}" name="May" dataDxfId="920"/>
    <tableColumn id="73" xr3:uid="{DB27CE77-4D9E-4E77-9514-14BC3D84FD8C}" name="Jun" dataDxfId="919"/>
    <tableColumn id="74" xr3:uid="{84CC4415-DD8E-40C5-9AC3-8EC7E7EB7716}" name="Jul" dataDxfId="918"/>
    <tableColumn id="75" xr3:uid="{EFBEFB5B-F5E9-4B34-BD04-1426EF72EF1A}" name="Aug" dataDxfId="917"/>
    <tableColumn id="76" xr3:uid="{B9DC4982-DE6B-463E-88C0-9C3B0D590801}" name="Sep" dataDxfId="916"/>
    <tableColumn id="77" xr3:uid="{D4D92C5C-33F0-4D0D-8AE3-25BB9803BED8}" name="Oct" dataDxfId="915"/>
    <tableColumn id="78" xr3:uid="{37A48A4C-D5B9-4CE3-996A-8CCC16E09FB2}" name="Nov" dataDxfId="914"/>
    <tableColumn id="79" xr3:uid="{652B2A87-D37F-4108-84E2-243817BC1ED0}" name="Dec" dataDxfId="913"/>
    <tableColumn id="80" xr3:uid="{C539D344-A93A-41D3-AC58-5A18A7A77ABC}" name="PreAS" dataDxfId="912"/>
    <tableColumn id="81" xr3:uid="{4FC2F600-64D7-4CEF-A86E-63418C8C0920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48F79C-AF51-4DBD-993A-4C8087142CDC}" name="TableBaseN1" displayName="TableBaseN1" ref="A1:BD31" totalsRowShown="0" headerRowDxfId="796">
  <autoFilter ref="A1:BD31" xr:uid="{704D354E-1C79-40AA-B79E-83809122E0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0F60B425-D879-4DF8-A348-90805FE435F4}" name="TEAM_ID" dataDxfId="852"/>
    <tableColumn id="2" xr3:uid="{B5BAB05C-C83E-43A2-959E-0F5E8D7AB4C6}" name="TEAM_NAME" dataDxfId="851"/>
    <tableColumn id="3" xr3:uid="{E28ED3BB-58E0-4285-B6DA-D8249C6C84E8}" name="GP" dataDxfId="850"/>
    <tableColumn id="4" xr3:uid="{93E7FCA4-33B2-4C9D-9B85-05C5B6949045}" name="W" dataDxfId="849"/>
    <tableColumn id="5" xr3:uid="{C802865B-2781-442C-B676-B419A3529C06}" name="L" dataDxfId="848"/>
    <tableColumn id="6" xr3:uid="{F182ECAF-58CC-44E9-9AE6-08532F736511}" name="W_PCT" dataDxfId="847"/>
    <tableColumn id="7" xr3:uid="{D2909AF2-E723-4725-A51A-526BBF748AD8}" name="MIN" dataDxfId="846"/>
    <tableColumn id="8" xr3:uid="{7D918837-72EA-40C2-8FBD-FFE3BF594FCC}" name="FGM" dataDxfId="845"/>
    <tableColumn id="9" xr3:uid="{BD8A4A93-EA7A-49CB-A58D-B82A0C8E4195}" name="FGA" dataDxfId="844"/>
    <tableColumn id="10" xr3:uid="{63F03608-0363-4FA2-ADCE-D0FDB4A6F5A7}" name="FG_PCT" dataDxfId="843"/>
    <tableColumn id="11" xr3:uid="{E6A9B77B-0CEA-4776-A2B5-A8CC8EADF4DF}" name="FG3M" dataDxfId="842"/>
    <tableColumn id="12" xr3:uid="{4199B9B7-E711-4E6B-93DC-11E4F55D60F6}" name="FG3A" dataDxfId="841"/>
    <tableColumn id="13" xr3:uid="{08E340DC-4DD3-4D95-B7DB-F3DDADC21E68}" name="FG3_PCT" dataDxfId="840"/>
    <tableColumn id="14" xr3:uid="{2C618738-4ED9-4D2A-84EB-21523C3F5910}" name="FTM" dataDxfId="839"/>
    <tableColumn id="15" xr3:uid="{13706FD9-2364-4EBD-BAFF-07FA759DA998}" name="FTA" dataDxfId="838"/>
    <tableColumn id="16" xr3:uid="{4EC9EDEA-F4F2-4AAA-9FCC-771D3A871831}" name="FT_PCT" dataDxfId="837"/>
    <tableColumn id="17" xr3:uid="{ADB81C21-E62A-475D-9CDD-CAD8B7550F45}" name="OREB" dataDxfId="836"/>
    <tableColumn id="18" xr3:uid="{41793EDE-DA2E-40F8-8CF3-9786513AE7AD}" name="DREB" dataDxfId="835"/>
    <tableColumn id="19" xr3:uid="{4D511D41-8421-4FE6-A404-0C86F4E81579}" name="REB" dataDxfId="834"/>
    <tableColumn id="20" xr3:uid="{49A8D4E4-056D-4002-87EF-5971C9392AA0}" name="AST" dataDxfId="833"/>
    <tableColumn id="21" xr3:uid="{696C30B6-E31B-4349-90DC-E7A34F551D35}" name="TOV" dataDxfId="832"/>
    <tableColumn id="22" xr3:uid="{41E4820F-9627-4B08-A823-0ECC15BDE05C}" name="STL" dataDxfId="831"/>
    <tableColumn id="23" xr3:uid="{F6F809A2-0AB9-4D72-B1EE-8F63CDAC390B}" name="BLK" dataDxfId="830"/>
    <tableColumn id="24" xr3:uid="{ACAA5AA8-D2A3-4D9E-B56A-515B82A27C88}" name="BLKA" dataDxfId="829"/>
    <tableColumn id="25" xr3:uid="{96A761EE-170F-434E-9118-3FDABF64722B}" name="PF" dataDxfId="828"/>
    <tableColumn id="26" xr3:uid="{657544E3-D22B-4A33-A06C-258A4BB708A6}" name="PFD" dataDxfId="827"/>
    <tableColumn id="27" xr3:uid="{55D1F9E4-3321-431E-9BFE-BBB3C97BC135}" name="PTS" dataDxfId="826"/>
    <tableColumn id="28" xr3:uid="{13044DD0-34F3-4846-9384-E00DD40B33DC}" name="PLUS_MINUS" dataDxfId="825"/>
    <tableColumn id="29" xr3:uid="{58900E68-8CC6-437D-B980-870BCB6F5CF6}" name="GP_RANK" dataDxfId="824"/>
    <tableColumn id="30" xr3:uid="{690F537C-A726-4C33-BA2B-A7DF6DBB8665}" name="W_RANK" dataDxfId="823"/>
    <tableColumn id="31" xr3:uid="{F8E52280-F87B-4014-8BD2-5597BE8F01CF}" name="L_RANK" dataDxfId="822"/>
    <tableColumn id="32" xr3:uid="{67F3EC18-C0E6-494D-AD3B-44DDC3FD319B}" name="W_PCT_RANK" dataDxfId="821"/>
    <tableColumn id="33" xr3:uid="{72A029E4-C8C1-4770-8091-D36531994748}" name="MIN_RANK" dataDxfId="820"/>
    <tableColumn id="34" xr3:uid="{A7A06F09-065C-402C-8486-81D80815291D}" name="FGM_RANK" dataDxfId="819"/>
    <tableColumn id="35" xr3:uid="{90E97836-FF51-4B85-9DCE-8FD6E69599B0}" name="FGA_RANK" dataDxfId="818"/>
    <tableColumn id="36" xr3:uid="{2D072376-837C-4E80-99CC-74F80784BCC5}" name="FG_PCT_RANK" dataDxfId="817"/>
    <tableColumn id="37" xr3:uid="{8ABBC319-51B3-49FD-9CAE-A0A23ECD1466}" name="FG3M_RANK" dataDxfId="816"/>
    <tableColumn id="38" xr3:uid="{33BBCA99-F013-4B85-828B-CDF97D99F054}" name="FG3A_RANK" dataDxfId="815"/>
    <tableColumn id="39" xr3:uid="{1363801E-CE95-4DEE-92BC-410662CD824F}" name="FG3_PCT_RANK" dataDxfId="814"/>
    <tableColumn id="40" xr3:uid="{F050DD94-E467-4981-9D65-47A9E8626CA0}" name="FTM_RANK" dataDxfId="813"/>
    <tableColumn id="41" xr3:uid="{3CC4E638-DB0A-45AB-BB05-437D642D82B6}" name="FTA_RANK" dataDxfId="812"/>
    <tableColumn id="42" xr3:uid="{F41CFC4A-6DDA-4B07-B4E8-41D46D525BB7}" name="FT_PCT_RANK" dataDxfId="811"/>
    <tableColumn id="43" xr3:uid="{935C9D6D-97B1-4424-9AB3-965C7F8344FF}" name="OREB_RANK" dataDxfId="810"/>
    <tableColumn id="44" xr3:uid="{DD4B907E-851C-4A5F-B130-BBA7B04CF90E}" name="DREB_RANK" dataDxfId="809"/>
    <tableColumn id="45" xr3:uid="{72397E69-7F4D-461C-BB3E-6180EF9F4250}" name="REB_RANK" dataDxfId="808"/>
    <tableColumn id="46" xr3:uid="{37EAE415-97A8-48BC-98D4-D69519284260}" name="AST_RANK" dataDxfId="807"/>
    <tableColumn id="47" xr3:uid="{978FD200-A56B-4DAE-B35E-22281A155CE8}" name="TOV_RANK" dataDxfId="806"/>
    <tableColumn id="48" xr3:uid="{7BB9C72B-3E93-4FA5-A74C-97A9EF23E725}" name="STL_RANK" dataDxfId="805"/>
    <tableColumn id="49" xr3:uid="{9DF44345-2AC5-4D25-9D28-AFEFC9466843}" name="BLK_RANK" dataDxfId="804"/>
    <tableColumn id="50" xr3:uid="{042AA1A0-37A1-4B9E-8285-13BF7D85B77C}" name="BLKA_RANK" dataDxfId="803"/>
    <tableColumn id="51" xr3:uid="{AC28DFD5-9753-4AFF-AC9C-1A7348051025}" name="PF_RANK" dataDxfId="802"/>
    <tableColumn id="52" xr3:uid="{50AD7FD9-2D16-4B68-9162-7341846EF452}" name="PFD_RANK" dataDxfId="801"/>
    <tableColumn id="53" xr3:uid="{8EEABBF9-D552-4527-9958-B3E60855D1DA}" name="PTS_RANK" dataDxfId="800"/>
    <tableColumn id="54" xr3:uid="{114DF8AF-E7E2-4B6E-B875-FA46867FCDC8}" name="PLUS_MINUS_RANK" dataDxfId="799"/>
    <tableColumn id="55" xr3:uid="{3F1031D7-5032-4F4D-9391-9ED6E9B7600C}" name="CFID" dataDxfId="798"/>
    <tableColumn id="56" xr3:uid="{B826B550-A0C2-4B36-B36D-509CF601883E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607B80-15C4-49EF-AA7F-423D0653CF31}" name="TableAdvancedN1" displayName="TableAdvancedN1" ref="A1:AV31" totalsRowShown="0" headerRowDxfId="698">
  <autoFilter ref="A1:AV31" xr:uid="{4F487ECD-951D-4772-A753-6071377A6B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EE54DE4-00B8-4341-9C4D-D9F39E15DD53}" name="TEAM_ID" dataDxfId="746"/>
    <tableColumn id="2" xr3:uid="{7A638638-B8A2-4224-9D7F-BA10276BA149}" name="TEAM_NAME" dataDxfId="745"/>
    <tableColumn id="3" xr3:uid="{A4A35D2E-265C-4B89-AD65-B94B406EE99F}" name="GP" dataDxfId="744"/>
    <tableColumn id="4" xr3:uid="{0E8CAA13-60CC-4947-88B8-E7F65DCC69FB}" name="W" dataDxfId="743"/>
    <tableColumn id="5" xr3:uid="{C972B290-CF9D-4708-A3B2-3A14A78FE0BE}" name="L" dataDxfId="742"/>
    <tableColumn id="6" xr3:uid="{18E96A9A-2495-438E-BDE0-AE24ABC1AF7B}" name="W_PCT" dataDxfId="741"/>
    <tableColumn id="7" xr3:uid="{18699ED5-E39C-45B3-9CB4-ABB1AB3F4D17}" name="MIN" dataDxfId="740"/>
    <tableColumn id="8" xr3:uid="{0A569599-6EEF-4C8A-98C5-8FADD709C214}" name="E_OFF_RATING" dataDxfId="739"/>
    <tableColumn id="9" xr3:uid="{FD2ED28C-82A7-4247-A8E9-57C868B79D75}" name="OFF_RATING" dataDxfId="738"/>
    <tableColumn id="10" xr3:uid="{65D67C66-C185-4C6B-A011-9387AE9316A9}" name="E_DEF_RATING" dataDxfId="737"/>
    <tableColumn id="11" xr3:uid="{96E683A0-AD28-4157-9A8D-D0D16E16A735}" name="DEF_RATING" dataDxfId="736"/>
    <tableColumn id="12" xr3:uid="{123030C9-7F02-4AEE-BFC0-22FBEF39356A}" name="E_NET_RATING" dataDxfId="735"/>
    <tableColumn id="13" xr3:uid="{F7ABE8D0-CB77-4C3F-AACE-7FB0346DD3B8}" name="NET_RATING" dataDxfId="734"/>
    <tableColumn id="14" xr3:uid="{10D51672-7AE8-4AA8-9BE7-37AFD3CD8182}" name="AST_PCT" dataDxfId="733"/>
    <tableColumn id="15" xr3:uid="{FC1B0B20-10EA-4E08-90FF-1A5CF3357B23}" name="AST_TO" dataDxfId="732"/>
    <tableColumn id="16" xr3:uid="{60B310CB-F44E-4D02-966F-BBC47DAC7695}" name="AST_RATIO" dataDxfId="731"/>
    <tableColumn id="17" xr3:uid="{D897AD13-EEB5-4DF9-98A1-DEA20A3FB7C1}" name="OREB_PCT" dataDxfId="730"/>
    <tableColumn id="18" xr3:uid="{A1F2048B-4A6D-4EF7-99CD-3EBDA5AB7762}" name="DREB_PCT" dataDxfId="729"/>
    <tableColumn id="19" xr3:uid="{34477F06-D910-4C83-AD49-43541929D856}" name="REB_PCT" dataDxfId="728"/>
    <tableColumn id="20" xr3:uid="{9FED2E01-517F-47C6-A1A4-BC222A44F4FD}" name="TM_TOV_PCT" dataDxfId="727"/>
    <tableColumn id="21" xr3:uid="{822A4221-14EE-40FF-8924-D833C7D6BF5C}" name="EFG_PCT" dataDxfId="726"/>
    <tableColumn id="22" xr3:uid="{EF582F8E-5F93-45D3-9171-7778C18F8990}" name="TS_PCT" dataDxfId="725"/>
    <tableColumn id="23" xr3:uid="{E5647D6F-F887-47F2-A0EF-BA4FAF8C1A59}" name="E_PACE" dataDxfId="724"/>
    <tableColumn id="24" xr3:uid="{5845CFE9-32C5-4934-B256-B1B4264F3EE2}" name="PACE" dataDxfId="723"/>
    <tableColumn id="25" xr3:uid="{5758A490-273C-4DD2-A72C-1938B5B92FDD}" name="PACE_PER40" dataDxfId="722"/>
    <tableColumn id="26" xr3:uid="{4F469C76-133B-43BB-9497-EDB8C1377562}" name="POSS" dataDxfId="721"/>
    <tableColumn id="27" xr3:uid="{4F8D3302-3907-4942-9CFB-09E005BBBEF1}" name="PIE" dataDxfId="720"/>
    <tableColumn id="28" xr3:uid="{A3D7C600-179A-493C-95D3-CF27E0AFF249}" name="GP_RANK" dataDxfId="719"/>
    <tableColumn id="29" xr3:uid="{F9DA4563-BA84-4F18-B163-3213B412FB85}" name="W_RANK" dataDxfId="718"/>
    <tableColumn id="30" xr3:uid="{23E3A84D-512F-4CC1-A5B5-6E96EF711C26}" name="L_RANK" dataDxfId="717"/>
    <tableColumn id="31" xr3:uid="{E51AB394-8179-410D-A447-71C79B62CF66}" name="W_PCT_RANK" dataDxfId="716"/>
    <tableColumn id="32" xr3:uid="{230D9DF7-7D3E-4D00-9C79-6B96F5EBBA6F}" name="MIN_RANK" dataDxfId="715"/>
    <tableColumn id="33" xr3:uid="{3C0EAB62-945B-422D-862D-C9A89D6D9A67}" name="OFF_RATING_RANK" dataDxfId="714"/>
    <tableColumn id="34" xr3:uid="{534654EF-C3B5-4511-A059-E5941A78E255}" name="DEF_RATING_RANK" dataDxfId="713"/>
    <tableColumn id="35" xr3:uid="{376934DA-CF43-4FC7-B465-5441449136E4}" name="NET_RATING_RANK" dataDxfId="712"/>
    <tableColumn id="36" xr3:uid="{3751E349-56D6-4EFD-9861-FA7F0066BF46}" name="AST_PCT_RANK" dataDxfId="711"/>
    <tableColumn id="37" xr3:uid="{2C0F05CA-3565-45B7-BCF8-0792AEDAFEC4}" name="AST_TO_RANK" dataDxfId="710"/>
    <tableColumn id="38" xr3:uid="{060EEFFD-CCE1-4D33-A46B-1907ADFE0F87}" name="AST_RATIO_RANK" dataDxfId="709"/>
    <tableColumn id="39" xr3:uid="{6C9D5436-5B8D-427A-A929-68CB35906A57}" name="OREB_PCT_RANK" dataDxfId="708"/>
    <tableColumn id="40" xr3:uid="{5234A513-2CE8-42BE-AF9A-039032285E03}" name="DREB_PCT_RANK" dataDxfId="707"/>
    <tableColumn id="41" xr3:uid="{548E1ABD-CCCF-4FBF-9AE4-626AA9A2BF63}" name="REB_PCT_RANK" dataDxfId="706"/>
    <tableColumn id="42" xr3:uid="{649D7166-34B2-43CE-8DD4-522346D8F4AD}" name="TM_TOV_PCT_RANK" dataDxfId="705"/>
    <tableColumn id="43" xr3:uid="{7941F9E9-5A73-4608-B486-6130966F6459}" name="EFG_PCT_RANK" dataDxfId="704"/>
    <tableColumn id="44" xr3:uid="{98B55CEB-E908-4A0D-9046-5A99452E0BD0}" name="TS_PCT_RANK" dataDxfId="703"/>
    <tableColumn id="45" xr3:uid="{8CBBD1DF-9E22-464E-81F6-A819A0FEE96D}" name="PACE_RANK" dataDxfId="702"/>
    <tableColumn id="46" xr3:uid="{0A5FBF15-3CE7-4440-8D2D-366315ABCD06}" name="PIE_RANK" dataDxfId="701"/>
    <tableColumn id="47" xr3:uid="{AB3254CE-2D88-46B9-85DB-AD243D207D11}" name="CFID" dataDxfId="700"/>
    <tableColumn id="48" xr3:uid="{7B6D5B81-3986-49D2-9EAB-027411B85E4E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C2622C-EE31-4B95-AB6A-4F7C77957494}" name="TableAdvancedN1Starters" displayName="TableAdvancedN1Starters" ref="A1:AV31" totalsRowShown="0" headerRowDxfId="600">
  <autoFilter ref="A1:AV31" xr:uid="{B109E70E-3BE4-4528-B0F7-95313BAE775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2A91E5A6-ADDB-47C9-A6EF-0B4AAE9520E9}" name="TEAM_ID" dataDxfId="648"/>
    <tableColumn id="2" xr3:uid="{36CE82EE-D0D2-41D0-BBE4-13488523BA86}" name="TEAM_NAME" dataDxfId="647"/>
    <tableColumn id="3" xr3:uid="{6BC36BF9-C8D8-480F-95F2-11967C18EA5F}" name="GP" dataDxfId="646"/>
    <tableColumn id="4" xr3:uid="{77BB397F-0946-4DB2-9016-65B4785D1620}" name="W" dataDxfId="645"/>
    <tableColumn id="5" xr3:uid="{9ECBC647-2EC8-4DE7-A407-6E8CAA0B94C8}" name="L" dataDxfId="644"/>
    <tableColumn id="6" xr3:uid="{80E393DD-27B6-4CE0-8ECA-537FB004D111}" name="W_PCT" dataDxfId="643"/>
    <tableColumn id="7" xr3:uid="{51912B0D-EFB2-41BB-A25A-64CD391B1A26}" name="MIN" dataDxfId="642"/>
    <tableColumn id="8" xr3:uid="{042FF0B7-7CF6-4D79-98F3-A0FA20250CF7}" name="E_OFF_RATING" dataDxfId="641"/>
    <tableColumn id="9" xr3:uid="{AE14DF6B-30C6-446C-8FB8-9010A9613652}" name="OFF_RATING" dataDxfId="640"/>
    <tableColumn id="10" xr3:uid="{4897F681-13F1-4B37-8ED9-867D55C9BAE3}" name="E_DEF_RATING" dataDxfId="639"/>
    <tableColumn id="11" xr3:uid="{1FAC4B12-863B-4B21-93DF-6A6C488384E8}" name="DEF_RATING" dataDxfId="638"/>
    <tableColumn id="12" xr3:uid="{B6EDCC30-D6BB-4F62-BE38-28771F5B366A}" name="E_NET_RATING" dataDxfId="637"/>
    <tableColumn id="13" xr3:uid="{4FB872AD-2999-4334-B8BE-0FA90278A907}" name="NET_RATING" dataDxfId="636"/>
    <tableColumn id="14" xr3:uid="{5586EBC8-6A56-4B5C-AC26-2D8BB7C30248}" name="AST_PCT" dataDxfId="635"/>
    <tableColumn id="15" xr3:uid="{0AE335F8-1AF7-417A-9AD4-5339ACD572CB}" name="AST_TO" dataDxfId="634"/>
    <tableColumn id="16" xr3:uid="{8792ACFD-952E-4519-AC77-7317522530C7}" name="AST_RATIO" dataDxfId="633"/>
    <tableColumn id="17" xr3:uid="{D06DA4DC-D4F9-4401-BC70-3B211CD0BD35}" name="OREB_PCT" dataDxfId="632"/>
    <tableColumn id="18" xr3:uid="{C886CE62-69D9-40D9-ADCB-466F82267B08}" name="DREB_PCT" dataDxfId="631"/>
    <tableColumn id="19" xr3:uid="{0C64C724-017A-41BF-9834-6D48A624D298}" name="REB_PCT" dataDxfId="630"/>
    <tableColumn id="20" xr3:uid="{4FAEFE54-036E-46E7-BC14-80EC3E3E5150}" name="TM_TOV_PCT" dataDxfId="629"/>
    <tableColumn id="21" xr3:uid="{CA7FEE14-C2D5-447E-8438-330EEBB282AC}" name="EFG_PCT" dataDxfId="628"/>
    <tableColumn id="22" xr3:uid="{9668B209-14D4-43FD-AAAF-1A4F5CC22664}" name="TS_PCT" dataDxfId="627"/>
    <tableColumn id="23" xr3:uid="{AD1E1097-9B40-4DE8-B518-9BE9CAE83D69}" name="E_PACE" dataDxfId="626"/>
    <tableColumn id="24" xr3:uid="{D9B60F15-01E9-4608-BA3A-2BDDA9DD6B47}" name="PACE" dataDxfId="625"/>
    <tableColumn id="25" xr3:uid="{A0F85660-B580-4487-B3B7-8B5DA6429766}" name="PACE_PER40" dataDxfId="624"/>
    <tableColumn id="26" xr3:uid="{700E36B8-E358-41A9-9713-5090F37894DF}" name="POSS" dataDxfId="623"/>
    <tableColumn id="27" xr3:uid="{25F2E0E7-DA6F-4021-8E90-92370E93ED80}" name="PIE" dataDxfId="622"/>
    <tableColumn id="28" xr3:uid="{FD659D38-CB52-43F4-8D58-33D3636849A9}" name="GP_RANK" dataDxfId="621"/>
    <tableColumn id="29" xr3:uid="{F8310B87-382F-4A25-BA98-4A4AF5D077B6}" name="W_RANK" dataDxfId="620"/>
    <tableColumn id="30" xr3:uid="{10BE7ECB-9289-4113-9270-C5CB37F7CCF5}" name="L_RANK" dataDxfId="619"/>
    <tableColumn id="31" xr3:uid="{9800614E-5A9E-484C-83AA-421C813BABB5}" name="W_PCT_RANK" dataDxfId="618"/>
    <tableColumn id="32" xr3:uid="{CD8F5950-D140-4046-9A49-B43BF3B9AE7B}" name="MIN_RANK" dataDxfId="617"/>
    <tableColumn id="33" xr3:uid="{30A96BDD-8981-4469-A247-637449AFC08A}" name="OFF_RATING_RANK" dataDxfId="616"/>
    <tableColumn id="34" xr3:uid="{F4DC390F-41F4-41DB-BB38-0F733A81C871}" name="DEF_RATING_RANK" dataDxfId="615"/>
    <tableColumn id="35" xr3:uid="{4705F34F-15A8-45C0-9CDA-53F82B1F4631}" name="NET_RATING_RANK" dataDxfId="614"/>
    <tableColumn id="36" xr3:uid="{D3ABB41F-78B8-4D97-9D3C-0D0056C2FDD9}" name="AST_PCT_RANK" dataDxfId="613"/>
    <tableColumn id="37" xr3:uid="{5B6F5113-7782-490B-BF14-D784C81A3748}" name="AST_TO_RANK" dataDxfId="612"/>
    <tableColumn id="38" xr3:uid="{E2B9B723-F9A0-43D9-86F3-810110BAB846}" name="AST_RATIO_RANK" dataDxfId="611"/>
    <tableColumn id="39" xr3:uid="{4A2AE79B-4176-4C6E-A9C3-E2E26D741F11}" name="OREB_PCT_RANK" dataDxfId="610"/>
    <tableColumn id="40" xr3:uid="{D29B93A6-7FC3-4B9A-8052-B823E8889828}" name="DREB_PCT_RANK" dataDxfId="609"/>
    <tableColumn id="41" xr3:uid="{C8A4DC0B-DA94-49C4-9319-57DB607B8DB3}" name="REB_PCT_RANK" dataDxfId="608"/>
    <tableColumn id="42" xr3:uid="{BACD440A-5B0F-46C9-AF69-6A24FAFA41BC}" name="TM_TOV_PCT_RANK" dataDxfId="607"/>
    <tableColumn id="43" xr3:uid="{F7ABB93D-F86C-4436-A5D1-6F140BC00C3A}" name="EFG_PCT_RANK" dataDxfId="606"/>
    <tableColumn id="44" xr3:uid="{CD490865-2167-4E40-AE41-79D01AB54B6A}" name="TS_PCT_RANK" dataDxfId="605"/>
    <tableColumn id="45" xr3:uid="{EC40943F-E64D-46DD-9065-F9528877F8FD}" name="PACE_RANK" dataDxfId="604"/>
    <tableColumn id="46" xr3:uid="{DA6B280F-5060-4113-BA0F-59FBBACB716C}" name="PIE_RANK" dataDxfId="603"/>
    <tableColumn id="47" xr3:uid="{31E59EF3-B5C8-4F6E-A9E2-C6E5FDF8AD71}" name="CFID" dataDxfId="602"/>
    <tableColumn id="48" xr3:uid="{92A35B1A-FD41-4580-91A6-35679244DA4A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BD353EC-8B33-44E7-99FC-F40ABB73759E}" name="TableAdvancedN1Bench" displayName="TableAdvancedN1Bench" ref="A1:AV31" totalsRowShown="0" headerRowDxfId="502">
  <autoFilter ref="A1:AV31" xr:uid="{5972B1C0-EA67-48AA-BBEB-0DF6EB4AFCE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FB5D103-3B78-4331-949E-FDD334C48BCF}" name="TEAM_ID" dataDxfId="550"/>
    <tableColumn id="2" xr3:uid="{C16BBAB6-DE7D-4D0A-8C36-20AC05542391}" name="TEAM_NAME" dataDxfId="549"/>
    <tableColumn id="3" xr3:uid="{EC618D5A-6CAD-4525-B7E7-5FBBD6698133}" name="GP" dataDxfId="548"/>
    <tableColumn id="4" xr3:uid="{62E27118-5B85-4B37-B574-640FD85EA5A6}" name="W" dataDxfId="547"/>
    <tableColumn id="5" xr3:uid="{69BAFDC8-95C0-4BB1-9492-1456BBCA4434}" name="L" dataDxfId="546"/>
    <tableColumn id="6" xr3:uid="{C678C117-B62B-495E-8DAC-70950E4B4343}" name="W_PCT" dataDxfId="545"/>
    <tableColumn id="7" xr3:uid="{6D862114-D99A-4169-9BB7-CCEB2DF4405D}" name="MIN" dataDxfId="544"/>
    <tableColumn id="8" xr3:uid="{D4A9C3BA-3B66-4824-A8F6-23F3013F6B74}" name="E_OFF_RATING" dataDxfId="543"/>
    <tableColumn id="9" xr3:uid="{CAEED09C-6839-4822-96E5-64A3E173A8C1}" name="OFF_RATING" dataDxfId="542"/>
    <tableColumn id="10" xr3:uid="{517C1937-C090-4933-BDAB-C9363C6A396F}" name="E_DEF_RATING" dataDxfId="541"/>
    <tableColumn id="11" xr3:uid="{DE06F8D0-ADE8-4F14-89E1-E0B73E382B0E}" name="DEF_RATING" dataDxfId="540"/>
    <tableColumn id="12" xr3:uid="{AFA1470F-2453-4B51-9ABE-6EA7E7E893ED}" name="E_NET_RATING" dataDxfId="539"/>
    <tableColumn id="13" xr3:uid="{F7BAFFE1-FF37-426E-A95C-D36AE906D837}" name="NET_RATING" dataDxfId="538"/>
    <tableColumn id="14" xr3:uid="{D21EBE7E-BB06-4E96-AD22-075C9EEAF158}" name="AST_PCT" dataDxfId="537"/>
    <tableColumn id="15" xr3:uid="{31C5E731-A35B-43FC-B1B6-923C2D426AF1}" name="AST_TO" dataDxfId="536"/>
    <tableColumn id="16" xr3:uid="{7509679C-7F0C-40FE-A115-65D2C487DC4B}" name="AST_RATIO" dataDxfId="535"/>
    <tableColumn id="17" xr3:uid="{CDC565F0-1719-4F21-9AEC-AD5436BECA3E}" name="OREB_PCT" dataDxfId="534"/>
    <tableColumn id="18" xr3:uid="{FF24AFE2-5507-4732-B4C6-3B34170186ED}" name="DREB_PCT" dataDxfId="533"/>
    <tableColumn id="19" xr3:uid="{B7693D9E-FF73-424E-945A-A02671C39193}" name="REB_PCT" dataDxfId="532"/>
    <tableColumn id="20" xr3:uid="{5CB9A37D-D40F-44E3-8C38-EB800DD909DE}" name="TM_TOV_PCT" dataDxfId="531"/>
    <tableColumn id="21" xr3:uid="{3D48CF0C-E660-4CEE-BD54-BB9CA4BA22E3}" name="EFG_PCT" dataDxfId="530"/>
    <tableColumn id="22" xr3:uid="{9D127020-B129-4307-B409-FE07989EF770}" name="TS_PCT" dataDxfId="529"/>
    <tableColumn id="23" xr3:uid="{4B3FE216-EA97-46F5-A511-08619903627B}" name="E_PACE" dataDxfId="528"/>
    <tableColumn id="24" xr3:uid="{ED32AF11-A1E0-4AF6-AB9B-4CFE241824DB}" name="PACE" dataDxfId="527"/>
    <tableColumn id="25" xr3:uid="{5A5A321A-5C50-43AA-AD13-C571B26CFC33}" name="PACE_PER40" dataDxfId="526"/>
    <tableColumn id="26" xr3:uid="{97B73BE7-C40A-4A29-B07D-5C581AE7BAC5}" name="POSS" dataDxfId="525"/>
    <tableColumn id="27" xr3:uid="{D0888AB9-3C7A-4F49-943C-4FD3B5B0DC37}" name="PIE" dataDxfId="524"/>
    <tableColumn id="28" xr3:uid="{9DC8944C-1E5F-46C3-AFC6-AE0997A54A68}" name="GP_RANK" dataDxfId="523"/>
    <tableColumn id="29" xr3:uid="{D67FAA02-34F1-4A38-A379-BF0B15ECD0CF}" name="W_RANK" dataDxfId="522"/>
    <tableColumn id="30" xr3:uid="{79858C09-2492-4095-9504-28ADB3A97021}" name="L_RANK" dataDxfId="521"/>
    <tableColumn id="31" xr3:uid="{A0928E24-4C54-4BFA-8770-B4E1DA343CDC}" name="W_PCT_RANK" dataDxfId="520"/>
    <tableColumn id="32" xr3:uid="{4766D1FB-D341-4482-B072-F29F714BE29F}" name="MIN_RANK" dataDxfId="519"/>
    <tableColumn id="33" xr3:uid="{D452272B-E402-426D-A8A1-AB5AB68B9178}" name="OFF_RATING_RANK" dataDxfId="518"/>
    <tableColumn id="34" xr3:uid="{D09282B6-9F14-4D24-B366-02F24FB05D5D}" name="DEF_RATING_RANK" dataDxfId="517"/>
    <tableColumn id="35" xr3:uid="{E47EEFC6-7155-4A3C-9274-096CD150A77E}" name="NET_RATING_RANK" dataDxfId="516"/>
    <tableColumn id="36" xr3:uid="{4E9EDE85-38A2-490E-BC7A-B6706F68F4A3}" name="AST_PCT_RANK" dataDxfId="515"/>
    <tableColumn id="37" xr3:uid="{3649475B-175C-4448-B666-461097A548BD}" name="AST_TO_RANK" dataDxfId="514"/>
    <tableColumn id="38" xr3:uid="{E3E153E5-2D55-4C50-9DFF-E8FEDD52BE80}" name="AST_RATIO_RANK" dataDxfId="513"/>
    <tableColumn id="39" xr3:uid="{D3E26A51-80B9-420A-BA34-2796538433C6}" name="OREB_PCT_RANK" dataDxfId="512"/>
    <tableColumn id="40" xr3:uid="{E0554AAE-4949-49E9-A2FF-740F6D77D6CD}" name="DREB_PCT_RANK" dataDxfId="511"/>
    <tableColumn id="41" xr3:uid="{746ACFB6-2D7E-4F96-90B2-65CE6BE0E92A}" name="REB_PCT_RANK" dataDxfId="510"/>
    <tableColumn id="42" xr3:uid="{2FE11761-5984-4065-8ABA-541A03C188F5}" name="TM_TOV_PCT_RANK" dataDxfId="509"/>
    <tableColumn id="43" xr3:uid="{FD3E47D5-3A9B-4A89-B491-66B9444224F4}" name="EFG_PCT_RANK" dataDxfId="508"/>
    <tableColumn id="44" xr3:uid="{76F37F76-7FF6-43AE-9E98-8F6F6211722E}" name="TS_PCT_RANK" dataDxfId="507"/>
    <tableColumn id="45" xr3:uid="{609CBF86-47E5-4D81-8A6D-6E1D7682B956}" name="PACE_RANK" dataDxfId="506"/>
    <tableColumn id="46" xr3:uid="{740F2442-B900-4F3E-9FE4-8713FCDF9C17}" name="PIE_RANK" dataDxfId="505"/>
    <tableColumn id="47" xr3:uid="{48C07B27-F8D2-43F4-9388-08235E9AFC6C}" name="CFID" dataDxfId="504"/>
    <tableColumn id="48" xr3:uid="{A11348ED-A56C-4E01-ACB4-81E0A4B82012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E4416AE-69D1-4585-8A7D-7492A1956991}" name="TableMiscN1" displayName="TableMiscN1" ref="A1:AD31" totalsRowShown="0" headerRowDxfId="440">
  <autoFilter ref="A1:AD31" xr:uid="{4C283A35-A419-45DB-93A6-3E37C46BB14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2037B511-4653-4A79-93DE-2A453A8CBDC8}" name="TEAM_ID" dataDxfId="470"/>
    <tableColumn id="2" xr3:uid="{B8FF3412-0C21-440B-9C64-3651555670B0}" name="TEAM_NAME" dataDxfId="469"/>
    <tableColumn id="3" xr3:uid="{F2027BE5-0841-4D7A-9A04-0C02DE16387F}" name="GP" dataDxfId="468"/>
    <tableColumn id="4" xr3:uid="{CA649435-2F2B-4E5A-897C-8A70AC4D52D9}" name="W" dataDxfId="467"/>
    <tableColumn id="5" xr3:uid="{A141E120-EC21-4152-B0AE-33A9C54B5989}" name="L" dataDxfId="466"/>
    <tableColumn id="6" xr3:uid="{9CEA2B2B-303E-4B04-B95B-99652EEBE7C2}" name="W_PCT" dataDxfId="465"/>
    <tableColumn id="7" xr3:uid="{933F6BCB-5198-4055-A37B-BBB44FE45D28}" name="MIN" dataDxfId="464"/>
    <tableColumn id="8" xr3:uid="{897738EB-F323-4563-85D1-F7F36B1DFFFF}" name="PTS_OFF_TOV" dataDxfId="463"/>
    <tableColumn id="9" xr3:uid="{83C270F5-3192-4CCA-9C49-12B0FA18C5EE}" name="PTS_2ND_CHANCE" dataDxfId="462"/>
    <tableColumn id="10" xr3:uid="{CCD49905-D38D-4BB2-BF93-18DC2D494FF8}" name="PTS_FB" dataDxfId="461"/>
    <tableColumn id="11" xr3:uid="{DE225E0C-8609-4E1D-B043-4DE4FCD9C216}" name="PTS_PAINT" dataDxfId="460"/>
    <tableColumn id="12" xr3:uid="{5C060BD4-213D-4E58-9C48-0053DFF90E54}" name="OPP_PTS_OFF_TOV" dataDxfId="459"/>
    <tableColumn id="13" xr3:uid="{A6B0819D-7DC9-4B48-A793-59ACE04B22B1}" name="OPP_PTS_2ND_CHANCE" dataDxfId="458"/>
    <tableColumn id="14" xr3:uid="{DF8A2D88-062F-4591-B837-9565891F204C}" name="OPP_PTS_FB" dataDxfId="457"/>
    <tableColumn id="15" xr3:uid="{7CEADF1A-F31F-477F-ABA8-A0C44E550513}" name="OPP_PTS_PAINT" dataDxfId="456"/>
    <tableColumn id="16" xr3:uid="{1A622B1D-864B-4FBA-A9ED-6332A20A81F2}" name="GP_RANK" dataDxfId="455"/>
    <tableColumn id="17" xr3:uid="{177FB296-5C0C-4C2D-9B74-A1EA8E50A71F}" name="W_RANK" dataDxfId="454"/>
    <tableColumn id="18" xr3:uid="{5F8F2676-D32C-4107-AD2A-CF2B53CFE2D3}" name="L_RANK" dataDxfId="453"/>
    <tableColumn id="19" xr3:uid="{E66D7F33-6BC5-4093-8984-3E767D07B72D}" name="W_PCT_RANK" dataDxfId="452"/>
    <tableColumn id="20" xr3:uid="{059DDDE4-28C3-45FA-A22F-3F626C4C17A4}" name="MIN_RANK" dataDxfId="451"/>
    <tableColumn id="21" xr3:uid="{8B64DF0C-3A6E-48E5-A945-459B6B0A0788}" name="PTS_OFF_TOV_RANK" dataDxfId="450"/>
    <tableColumn id="22" xr3:uid="{29948ACB-34FD-4DDE-B9AB-A900968D35FA}" name="PTS_2ND_CHANCE_RANK" dataDxfId="449"/>
    <tableColumn id="23" xr3:uid="{85A98583-08E6-49B5-9D50-26288A0B649C}" name="PTS_FB_RANK" dataDxfId="448"/>
    <tableColumn id="24" xr3:uid="{8A8C14C4-7606-4FAC-AFBE-30D46FE379B4}" name="PTS_PAINT_RANK" dataDxfId="447"/>
    <tableColumn id="25" xr3:uid="{2D2CDA9C-E916-46E4-B575-EBF846C5DCAE}" name="OPP_PTS_OFF_TOV_RANK" dataDxfId="446"/>
    <tableColumn id="26" xr3:uid="{107A07F6-37DE-4688-ABB3-9A4885B8C78B}" name="OPP_PTS_2ND_CHANCE_RANK" dataDxfId="445"/>
    <tableColumn id="27" xr3:uid="{D926A3C8-5FA5-4309-91EB-0D651A1D0940}" name="OPP_PTS_FB_RANK" dataDxfId="444"/>
    <tableColumn id="28" xr3:uid="{C7365B09-5B71-41B0-9FFB-6B0541B9CFEC}" name="OPP_PTS_PAINT_RANK" dataDxfId="443"/>
    <tableColumn id="29" xr3:uid="{5CCDCFC4-BECE-40A4-AB3B-F803B1716221}" name="CFID" dataDxfId="442"/>
    <tableColumn id="30" xr3:uid="{5FB17990-083D-411B-B14E-8545218EDD04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A76A938-7A5C-4EF3-ADBA-C90D97E91ECA}" name="TableOppBaseN1" displayName="TableOppBaseN1" ref="A1:BD31" totalsRowShown="0" headerRowDxfId="326">
  <autoFilter ref="A1:BD31" xr:uid="{83E0945A-498C-45E5-9AA5-A50CC29FB69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F8402E7-EA07-432E-95C1-02F3E7CA2307}" name="TEAM_ID" dataDxfId="382"/>
    <tableColumn id="2" xr3:uid="{17ED58AC-3AF0-4862-97B0-619A0481DAA6}" name="TEAM_NAME" dataDxfId="381"/>
    <tableColumn id="3" xr3:uid="{EAF6F9BD-9362-48EE-9AE6-72C2125030D2}" name="GP" dataDxfId="380"/>
    <tableColumn id="4" xr3:uid="{277FD83C-8916-46F4-8646-C857C791571A}" name="W" dataDxfId="379"/>
    <tableColumn id="5" xr3:uid="{9095F35B-934A-4994-9FBA-FB495F271D7B}" name="L" dataDxfId="378"/>
    <tableColumn id="6" xr3:uid="{C7A2F0D2-EF1E-4814-B387-0292F63098A3}" name="W_PCT" dataDxfId="377"/>
    <tableColumn id="7" xr3:uid="{C4FEE200-4FF8-4E23-AD4C-95EE14D57547}" name="MIN" dataDxfId="376"/>
    <tableColumn id="8" xr3:uid="{08644D74-ECAC-4D5A-A69B-893D9380C931}" name="OPP_FGM" dataDxfId="375"/>
    <tableColumn id="9" xr3:uid="{4270C7F5-E96B-4F33-A246-BBF87EC4C478}" name="OPP_FGA" dataDxfId="374"/>
    <tableColumn id="10" xr3:uid="{CC7B91C2-0118-448A-BF23-6FE7C911D460}" name="OPP_FG_PCT" dataDxfId="373"/>
    <tableColumn id="11" xr3:uid="{DB004911-4ACA-4EE9-B125-CAA29495D7E1}" name="OPP_FG3M" dataDxfId="372"/>
    <tableColumn id="12" xr3:uid="{4B9607CE-5184-4891-A676-B5CD2B76822E}" name="OPP_FG3A" dataDxfId="371"/>
    <tableColumn id="13" xr3:uid="{5B5037EF-E9F2-474B-9CA2-F88F44DE66E3}" name="OPP_FG3_PCT" dataDxfId="370"/>
    <tableColumn id="14" xr3:uid="{E6DAC74C-96F7-47E5-8856-88E681D1A082}" name="OPP_FTM" dataDxfId="369"/>
    <tableColumn id="15" xr3:uid="{E7ABBF68-6276-456F-84F0-5E746EC79900}" name="OPP_FTA" dataDxfId="368"/>
    <tableColumn id="16" xr3:uid="{EBC2CE08-B3FC-4356-924B-D36C23904CB4}" name="OPP_FT_PCT" dataDxfId="367"/>
    <tableColumn id="17" xr3:uid="{CF953E0C-4066-4191-BEF1-6F49FA723275}" name="OPP_OREB" dataDxfId="366"/>
    <tableColumn id="18" xr3:uid="{C61DE626-8DC1-4EE8-82B9-5AB3D2FBAE83}" name="OPP_DREB" dataDxfId="365"/>
    <tableColumn id="19" xr3:uid="{C02A8329-8DCC-464C-91C2-161E4F875F41}" name="OPP_REB" dataDxfId="364"/>
    <tableColumn id="20" xr3:uid="{44EC294E-13CC-48B6-A2E1-60A41718D144}" name="OPP_AST" dataDxfId="363"/>
    <tableColumn id="21" xr3:uid="{4991213E-8F61-4E46-B8F9-9CE98EAA655E}" name="OPP_TOV" dataDxfId="362"/>
    <tableColumn id="22" xr3:uid="{81D12FB8-F5AF-48C0-9361-C5B06EB71B7B}" name="OPP_STL" dataDxfId="361"/>
    <tableColumn id="23" xr3:uid="{B64B9073-485B-4D0F-961C-4F255B93B51B}" name="OPP_BLK" dataDxfId="360"/>
    <tableColumn id="24" xr3:uid="{EBFE7B22-ED9B-4B25-9099-C0B79DFAC235}" name="OPP_BLKA" dataDxfId="359"/>
    <tableColumn id="25" xr3:uid="{564531C2-A41E-4EDE-81D2-D4959A307392}" name="OPP_PF" dataDxfId="358"/>
    <tableColumn id="26" xr3:uid="{3C54F422-3DE7-4332-9F47-448EA41BD17B}" name="OPP_PFD" dataDxfId="357"/>
    <tableColumn id="27" xr3:uid="{903864B4-AF0E-474E-8AC1-CBF81572E624}" name="OPP_PTS" dataDxfId="356"/>
    <tableColumn id="28" xr3:uid="{66849EB8-3839-4F83-B176-AF36925ABD7A}" name="PLUS_MINUS" dataDxfId="355"/>
    <tableColumn id="29" xr3:uid="{B4DD8D6B-C6FD-40AE-860E-63DDD29AE643}" name="GP_RANK" dataDxfId="354"/>
    <tableColumn id="30" xr3:uid="{95A453F9-7AE7-4280-8E4B-ED28F2835A7A}" name="W_RANK" dataDxfId="353"/>
    <tableColumn id="31" xr3:uid="{0AA3DB5B-E96D-47EA-832F-5948A3A026F5}" name="L_RANK" dataDxfId="352"/>
    <tableColumn id="32" xr3:uid="{FCCC9163-5911-4F18-8F02-F29806423DDC}" name="W_PCT_RANK" dataDxfId="351"/>
    <tableColumn id="33" xr3:uid="{B467CB65-A42A-4BEB-B400-153D52EFA43B}" name="MIN_RANK" dataDxfId="350"/>
    <tableColumn id="34" xr3:uid="{3C3B8561-A2B5-4AF7-B6A5-B6F3E0C1BA38}" name="OPP_FGM_RANK" dataDxfId="349"/>
    <tableColumn id="35" xr3:uid="{5F410664-9896-4614-BFA8-A57B5615B7E8}" name="OPP_FGA_RANK" dataDxfId="348"/>
    <tableColumn id="36" xr3:uid="{F842D405-01B5-4F8E-BC0E-C39A50359DEF}" name="OPP_FG_PCT_RANK" dataDxfId="347"/>
    <tableColumn id="37" xr3:uid="{B6022436-66E9-4831-98F9-BEE0DAA692F3}" name="OPP_FG3M_RANK" dataDxfId="346"/>
    <tableColumn id="38" xr3:uid="{0BDB09D8-5024-4C57-9F80-AAC35895766E}" name="OPP_FG3A_RANK" dataDxfId="345"/>
    <tableColumn id="39" xr3:uid="{178F6340-B81D-45A2-A689-8AF225C3D2C7}" name="OPP_FG3_PCT_RANK" dataDxfId="344"/>
    <tableColumn id="40" xr3:uid="{E3137ECD-420F-48B1-B3C9-47D76026C88F}" name="OPP_FTM_RANK" dataDxfId="343"/>
    <tableColumn id="41" xr3:uid="{AE0B21AC-21F2-495F-9CD9-9E7D16E8500B}" name="OPP_FTA_RANK" dataDxfId="342"/>
    <tableColumn id="42" xr3:uid="{1E7A02B3-9AAA-4764-85C3-FDDF95043CD1}" name="OPP_FT_PCT_RANK" dataDxfId="341"/>
    <tableColumn id="43" xr3:uid="{ED1D8B95-6AAC-4A98-BBBC-317F01CC75C7}" name="OPP_OREB_RANK" dataDxfId="340"/>
    <tableColumn id="44" xr3:uid="{3A24EE64-0CD7-46AF-B6BA-516A6F3CA52D}" name="OPP_DREB_RANK" dataDxfId="339"/>
    <tableColumn id="45" xr3:uid="{14C94BD6-0205-4DD0-B559-4EF96B35FFC1}" name="OPP_REB_RANK" dataDxfId="338"/>
    <tableColumn id="46" xr3:uid="{2A272AF7-81AE-4B24-A4D3-F0EEFE4B4E03}" name="OPP_AST_RANK" dataDxfId="337"/>
    <tableColumn id="47" xr3:uid="{D06726B6-F2A6-4922-AEA3-3E6293B23DA2}" name="OPP_TOV_RANK" dataDxfId="336"/>
    <tableColumn id="48" xr3:uid="{FCB4D15B-814C-41C8-A5C8-C9C9D8D6BD89}" name="OPP_STL_RANK" dataDxfId="335"/>
    <tableColumn id="49" xr3:uid="{5D189648-CFF9-478C-9623-A3D63DDE2D34}" name="OPP_BLK_RANK" dataDxfId="334"/>
    <tableColumn id="50" xr3:uid="{36D0F65E-565C-41CD-879B-C15A36FA1122}" name="OPP_BLKA_RANK" dataDxfId="333"/>
    <tableColumn id="51" xr3:uid="{B2C67386-5110-4512-8209-DC5BBA34C342}" name="OPP_PF_RANK" dataDxfId="332"/>
    <tableColumn id="52" xr3:uid="{AD0219F5-E1A1-4C5C-BBA1-2A9F0ABE5476}" name="OPP_PFD_RANK" dataDxfId="331"/>
    <tableColumn id="53" xr3:uid="{45371A61-3B64-4C59-8576-591516BC5D5B}" name="OPP_PTS_RANK" dataDxfId="330"/>
    <tableColumn id="54" xr3:uid="{C366611E-A304-4F2B-A9E4-DF95233B2965}" name="PLUS_MINUS_RANK" dataDxfId="329"/>
    <tableColumn id="55" xr3:uid="{8CAE629D-A825-4DA8-9033-0FD015B90A2E}" name="CFID" dataDxfId="328"/>
    <tableColumn id="56" xr3:uid="{1B313075-09E4-481E-B633-CAF7D5BBCE6F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30BC23F-973B-46F2-9E5A-8B29DB0318FA}" name="TableClutchBaseN1" displayName="TableClutchBaseN1" ref="A1:BD31" totalsRowShown="0" headerRowDxfId="212">
  <autoFilter ref="A1:BD31" xr:uid="{D903DD13-F897-41A3-9804-81031AD940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D8628FA9-F606-4FFC-B85D-84931BC86BB4}" name="TEAM_ID" dataDxfId="268"/>
    <tableColumn id="2" xr3:uid="{D02D386C-3336-497D-A9CD-0F4D02A273B2}" name="TEAM_NAME" dataDxfId="267"/>
    <tableColumn id="3" xr3:uid="{AC8215D1-C215-43C9-BD75-C531094F2DCA}" name="GP" dataDxfId="266"/>
    <tableColumn id="4" xr3:uid="{1229961D-A171-45CC-B73F-CD3C4D05F1F4}" name="W" dataDxfId="265"/>
    <tableColumn id="5" xr3:uid="{A800C2D3-31EF-4634-89D4-CC5831FAE15B}" name="L" dataDxfId="264"/>
    <tableColumn id="6" xr3:uid="{515ECCE2-2E8C-4CAC-8227-1ED686BF2819}" name="W_PCT" dataDxfId="263"/>
    <tableColumn id="7" xr3:uid="{FAFB4A37-C56D-4563-A7CC-C75318F97B24}" name="MIN" dataDxfId="262"/>
    <tableColumn id="8" xr3:uid="{CD962718-7C98-4EB3-AD9F-EE5DC4F84AD1}" name="FGM" dataDxfId="261"/>
    <tableColumn id="9" xr3:uid="{55610B5B-B8FC-43DE-9F2B-09C120DD11EF}" name="FGA" dataDxfId="260"/>
    <tableColumn id="10" xr3:uid="{1852A402-7213-4FCC-8372-3A5B378E6B3F}" name="FG_PCT" dataDxfId="259"/>
    <tableColumn id="11" xr3:uid="{3B2FD2C8-0BEA-4B74-9953-D3BF84FA8FA1}" name="FG3M" dataDxfId="258"/>
    <tableColumn id="12" xr3:uid="{3E546309-1571-4FF6-BC63-103B9AF54B23}" name="FG3A" dataDxfId="257"/>
    <tableColumn id="13" xr3:uid="{04D2519B-1C22-4717-9A1C-44061AA311F5}" name="FG3_PCT" dataDxfId="256"/>
    <tableColumn id="14" xr3:uid="{6E9ABA0D-91D3-4D20-8D96-8C25CB524196}" name="FTM" dataDxfId="255"/>
    <tableColumn id="15" xr3:uid="{1E38FE8F-3FF0-4171-A800-9957622709A0}" name="FTA" dataDxfId="254"/>
    <tableColumn id="16" xr3:uid="{A98ECFA1-EEE4-4669-A7ED-253A8918107C}" name="FT_PCT" dataDxfId="253"/>
    <tableColumn id="17" xr3:uid="{21594FC5-B3D6-483D-A9FA-074CB23891CA}" name="OREB" dataDxfId="252"/>
    <tableColumn id="18" xr3:uid="{8A001584-13BC-47B9-A440-0510942C014A}" name="DREB" dataDxfId="251"/>
    <tableColumn id="19" xr3:uid="{1D984754-EC33-4E56-AF21-845FAD335973}" name="REB" dataDxfId="250"/>
    <tableColumn id="20" xr3:uid="{2D3ECACF-7335-417A-A093-D2D20900DA72}" name="AST" dataDxfId="249"/>
    <tableColumn id="21" xr3:uid="{89A33B3B-6822-4791-B8A4-30E1D86353BC}" name="TOV" dataDxfId="248"/>
    <tableColumn id="22" xr3:uid="{3D8F062C-D5D3-4D29-8ED9-D85649DB669B}" name="STL" dataDxfId="247"/>
    <tableColumn id="23" xr3:uid="{4803D628-9D80-40A1-86AA-5C4709763F88}" name="BLK" dataDxfId="246"/>
    <tableColumn id="24" xr3:uid="{44ABEBB1-96A6-42EC-9ED5-B424E22649D5}" name="BLKA" dataDxfId="245"/>
    <tableColumn id="25" xr3:uid="{255A08BE-3199-47BE-8FEC-84B8F50134D8}" name="PF" dataDxfId="244"/>
    <tableColumn id="26" xr3:uid="{5184B09B-B0F5-4F08-9222-133DF0FA2EED}" name="PFD" dataDxfId="243"/>
    <tableColumn id="27" xr3:uid="{DCD2B1A6-ACB5-4ACB-B21E-752A4C677209}" name="PTS" dataDxfId="242"/>
    <tableColumn id="28" xr3:uid="{549EBED6-28AA-4FEA-B3E8-A2CFB9285C96}" name="PLUS_MINUS" dataDxfId="241"/>
    <tableColumn id="29" xr3:uid="{128F13D2-EB11-46DC-88A2-D7D4443CF757}" name="GP_RANK" dataDxfId="240"/>
    <tableColumn id="30" xr3:uid="{05C3B2F2-31A9-48AD-BCE6-3A2E90D148B4}" name="W_RANK" dataDxfId="239"/>
    <tableColumn id="31" xr3:uid="{0BA08C64-5B4F-4D4E-86BB-39F051F1CC55}" name="L_RANK" dataDxfId="238"/>
    <tableColumn id="32" xr3:uid="{DB07F5D3-BCC2-4EB7-B235-87C7CE8693A8}" name="W_PCT_RANK" dataDxfId="237"/>
    <tableColumn id="33" xr3:uid="{F054E968-E0FE-41AB-ACB6-C781DB43D110}" name="MIN_RANK" dataDxfId="236"/>
    <tableColumn id="34" xr3:uid="{593B26C9-418D-48BF-9109-771373687F9B}" name="FGM_RANK" dataDxfId="235"/>
    <tableColumn id="35" xr3:uid="{6F553125-7D6C-4341-82C1-D074D79C2024}" name="FGA_RANK" dataDxfId="234"/>
    <tableColumn id="36" xr3:uid="{2F93F1FE-6FA0-4A5D-AEA6-E41489FE5BFF}" name="FG_PCT_RANK" dataDxfId="233"/>
    <tableColumn id="37" xr3:uid="{186AC9CF-3DAB-4789-9B7A-12248D2C56E3}" name="FG3M_RANK" dataDxfId="232"/>
    <tableColumn id="38" xr3:uid="{C762294F-E9E8-403E-9B7E-FE5651D01E45}" name="FG3A_RANK" dataDxfId="231"/>
    <tableColumn id="39" xr3:uid="{5D18650C-3DA9-4A5B-80DC-09F902CDC03D}" name="FG3_PCT_RANK" dataDxfId="230"/>
    <tableColumn id="40" xr3:uid="{A5E83840-269E-4EBA-B766-6874D54F6E02}" name="FTM_RANK" dataDxfId="229"/>
    <tableColumn id="41" xr3:uid="{9D6A7B66-1F6E-486E-9F22-B3C9F8CB5152}" name="FTA_RANK" dataDxfId="228"/>
    <tableColumn id="42" xr3:uid="{5A06971C-80AF-4F5D-BF2B-B5DA08D612B8}" name="FT_PCT_RANK" dataDxfId="227"/>
    <tableColumn id="43" xr3:uid="{A7E5D7D2-F901-4337-8ADA-18D02CC9F123}" name="OREB_RANK" dataDxfId="226"/>
    <tableColumn id="44" xr3:uid="{2393234A-8600-471A-9265-CE03A3847EAF}" name="DREB_RANK" dataDxfId="225"/>
    <tableColumn id="45" xr3:uid="{80B6F665-956F-4058-A66F-C6DDFF6764D0}" name="REB_RANK" dataDxfId="224"/>
    <tableColumn id="46" xr3:uid="{E99FA86F-2CAB-4C21-91B4-ABEBAACF1257}" name="AST_RANK" dataDxfId="223"/>
    <tableColumn id="47" xr3:uid="{2D7E2B21-A71C-4156-AF69-DEC3E7D4BE6D}" name="TOV_RANK" dataDxfId="222"/>
    <tableColumn id="48" xr3:uid="{A101B9DA-3D19-4FDF-B4DF-08EB20C28D79}" name="STL_RANK" dataDxfId="221"/>
    <tableColumn id="49" xr3:uid="{2DB09C12-34C2-4E9C-BA7D-ADDEDD0AA1F6}" name="BLK_RANK" dataDxfId="220"/>
    <tableColumn id="50" xr3:uid="{74B5B401-0D13-4541-ABEA-5E1E50FEEB03}" name="BLKA_RANK" dataDxfId="219"/>
    <tableColumn id="51" xr3:uid="{AE36D49F-D7D8-41B7-A4EB-BB91FBF75AF1}" name="PF_RANK" dataDxfId="218"/>
    <tableColumn id="52" xr3:uid="{594EA74C-3AB5-4A97-812E-06FDB9D8D697}" name="PFD_RANK" dataDxfId="217"/>
    <tableColumn id="53" xr3:uid="{3DCA6E71-4B54-447E-8669-A85C332FEAA5}" name="PTS_RANK" dataDxfId="216"/>
    <tableColumn id="54" xr3:uid="{9808D96D-2D33-43F4-9B72-229DFDA15DBA}" name="PLUS_MINUS_RANK" dataDxfId="215"/>
    <tableColumn id="55" xr3:uid="{995F872A-C003-433B-8304-175C8617304B}" name="CFID" dataDxfId="214"/>
    <tableColumn id="56" xr3:uid="{2B79C32D-12AA-465B-BAD0-E2D3F5B10C4B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0CA028-AD4B-4A5E-AC2B-B02436543CDB}" name="TableClutchOpponentN1" displayName="TableClutchOpponentN1" ref="A1:BD31" totalsRowShown="0" headerRowDxfId="98">
  <autoFilter ref="A1:BD31" xr:uid="{B5BAEC10-692A-4E9C-9DE3-7ACFD6FBF5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9DB9159-0E0D-4545-B163-B0A9DF2A4704}" name="TEAM_ID" dataDxfId="154"/>
    <tableColumn id="2" xr3:uid="{418F601C-1B34-4AAE-A32C-C8A150DF5E84}" name="TEAM_NAME" dataDxfId="153"/>
    <tableColumn id="3" xr3:uid="{38A66084-4159-4C0D-ACB6-10AA789D7E47}" name="GP" dataDxfId="152"/>
    <tableColumn id="4" xr3:uid="{D432B641-A77F-450D-9857-B45E29FEB83A}" name="W" dataDxfId="151"/>
    <tableColumn id="5" xr3:uid="{E8655C21-45C1-4396-8103-C5A2B0B04A9C}" name="L" dataDxfId="150"/>
    <tableColumn id="6" xr3:uid="{7F850956-0FBD-4651-B38E-D35511736BBE}" name="W_PCT" dataDxfId="149"/>
    <tableColumn id="7" xr3:uid="{BD8F0DCA-AF41-40D6-B34A-FE522BEB1155}" name="MIN" dataDxfId="148"/>
    <tableColumn id="8" xr3:uid="{9C387970-DCAC-4720-AD2D-782D000367C0}" name="OPP_FGM" dataDxfId="147"/>
    <tableColumn id="9" xr3:uid="{9AFB0D9B-E2A7-4B7D-8679-30D83A949BFF}" name="OPP_FGA" dataDxfId="146"/>
    <tableColumn id="10" xr3:uid="{3CA3FB7A-24CC-4944-868B-1A8B05AE9814}" name="OPP_FG_PCT" dataDxfId="145"/>
    <tableColumn id="11" xr3:uid="{10C11304-5E8A-4EE7-A0F6-32FE254D1942}" name="OPP_FG3M" dataDxfId="144"/>
    <tableColumn id="12" xr3:uid="{7F83E6F3-B78A-4B1E-834E-4C18995CF841}" name="OPP_FG3A" dataDxfId="143"/>
    <tableColumn id="13" xr3:uid="{B23E8E53-1CB7-4FEF-AF8C-AE939CABECEB}" name="OPP_FG3_PCT" dataDxfId="142"/>
    <tableColumn id="14" xr3:uid="{BF8A94E3-06F3-4F62-9FA2-2B62F92F5EC4}" name="OPP_FTM" dataDxfId="141"/>
    <tableColumn id="15" xr3:uid="{C9299593-E404-4DFD-AB08-83B622E0E706}" name="OPP_FTA" dataDxfId="140"/>
    <tableColumn id="16" xr3:uid="{04D193F0-6465-4301-85F9-79E35D28767B}" name="OPP_FT_PCT" dataDxfId="139"/>
    <tableColumn id="17" xr3:uid="{F084770D-4779-43DC-86C1-DEBC78C8B86E}" name="OPP_OREB" dataDxfId="138"/>
    <tableColumn id="18" xr3:uid="{BD579326-4C64-478F-BF73-AF91FED9F529}" name="OPP_DREB" dataDxfId="137"/>
    <tableColumn id="19" xr3:uid="{D604B6ED-55A6-4CB9-BB7F-2A443DC72719}" name="OPP_REB" dataDxfId="136"/>
    <tableColumn id="20" xr3:uid="{208470A5-7D47-4065-9072-C01CF7E85C28}" name="OPP_AST" dataDxfId="135"/>
    <tableColumn id="21" xr3:uid="{E5FCDC7A-A3C0-43DC-A57B-262624959CEB}" name="OPP_TOV" dataDxfId="134"/>
    <tableColumn id="22" xr3:uid="{5E96D98E-62CA-4583-85F9-831B59B1CDD0}" name="OPP_STL" dataDxfId="133"/>
    <tableColumn id="23" xr3:uid="{D38A5ED4-4E8E-4070-9FA1-2BAE88A8D2D0}" name="OPP_BLK" dataDxfId="132"/>
    <tableColumn id="24" xr3:uid="{CD964B72-53E0-4A47-A24A-16F0B661D71A}" name="OPP_BLKA" dataDxfId="131"/>
    <tableColumn id="25" xr3:uid="{FB7916C6-6FB8-4D3D-A3AD-6E2AB7C3AB36}" name="OPP_PF" dataDxfId="130"/>
    <tableColumn id="26" xr3:uid="{AD36DC77-F428-40B2-93D6-2E7EBD5EF2D9}" name="OPP_PFD" dataDxfId="129"/>
    <tableColumn id="27" xr3:uid="{1CE7F666-7418-4F64-840E-439B902E5C8C}" name="OPP_PTS" dataDxfId="128"/>
    <tableColumn id="28" xr3:uid="{640D8AC9-5248-4F1A-B295-1AB8EF83B257}" name="PLUS_MINUS" dataDxfId="127"/>
    <tableColumn id="29" xr3:uid="{61D89882-4B5B-4C4F-B94C-5E23E3BEA426}" name="GP_RANK" dataDxfId="126"/>
    <tableColumn id="30" xr3:uid="{A5CD9F59-00B3-4D4F-9924-1BBC847FA140}" name="W_RANK" dataDxfId="125"/>
    <tableColumn id="31" xr3:uid="{B10C8F1B-A696-417B-90CB-1F465B96B59E}" name="L_RANK" dataDxfId="124"/>
    <tableColumn id="32" xr3:uid="{8108C739-8065-46AA-B094-517D4542CD16}" name="W_PCT_RANK" dataDxfId="123"/>
    <tableColumn id="33" xr3:uid="{CE889583-831A-4F33-8AAE-F4F1B9B30487}" name="MIN_RANK" dataDxfId="122"/>
    <tableColumn id="34" xr3:uid="{D4D3B7ED-111B-44EE-94F7-85AE93A81714}" name="OPP_FGM_RANK" dataDxfId="121"/>
    <tableColumn id="35" xr3:uid="{D68D4553-D3F1-4A4B-83D7-657CF1E8E1F1}" name="OPP_FGA_RANK" dataDxfId="120"/>
    <tableColumn id="36" xr3:uid="{580C05E4-EE18-4F60-8C4F-2BA78457BED7}" name="OPP_FG_PCT_RANK" dataDxfId="119"/>
    <tableColumn id="37" xr3:uid="{69A099DA-0DC4-4F11-95CD-B6D955107063}" name="OPP_FG3M_RANK" dataDxfId="118"/>
    <tableColumn id="38" xr3:uid="{A2009534-3439-486C-85C3-C693120173EC}" name="OPP_FG3A_RANK" dataDxfId="117"/>
    <tableColumn id="39" xr3:uid="{9F1A2670-3805-45D9-BD2E-07A2E7854935}" name="OPP_FG3_PCT_RANK" dataDxfId="116"/>
    <tableColumn id="40" xr3:uid="{48B18BCC-4C1C-47FA-8513-3BDA33B7606F}" name="OPP_FTM_RANK" dataDxfId="115"/>
    <tableColumn id="41" xr3:uid="{1A3346E8-3533-4C4D-8F68-90B18A6FC9A0}" name="OPP_FTA_RANK" dataDxfId="114"/>
    <tableColumn id="42" xr3:uid="{C8376150-4DB9-4457-A379-EABC16194796}" name="OPP_FT_PCT_RANK" dataDxfId="113"/>
    <tableColumn id="43" xr3:uid="{203AE819-6DE0-40C9-9252-1586D3D146C2}" name="OPP_OREB_RANK" dataDxfId="112"/>
    <tableColumn id="44" xr3:uid="{567ED132-609D-4F52-AACD-51D9FDC006A6}" name="OPP_DREB_RANK" dataDxfId="111"/>
    <tableColumn id="45" xr3:uid="{E6A55718-4231-40F7-AB3A-AF7673FF65E2}" name="OPP_REB_RANK" dataDxfId="110"/>
    <tableColumn id="46" xr3:uid="{A971B348-40B9-49C1-9538-E7AACD748C09}" name="OPP_AST_RANK" dataDxfId="109"/>
    <tableColumn id="47" xr3:uid="{E34970E2-F332-4161-BE48-12D3CC225431}" name="OPP_TOV_RANK" dataDxfId="108"/>
    <tableColumn id="48" xr3:uid="{B80AA763-0079-487B-BB70-C11326481987}" name="OPP_STL_RANK" dataDxfId="107"/>
    <tableColumn id="49" xr3:uid="{EB6BFA84-BAF5-49CD-8355-6B933A06983A}" name="OPP_BLK_RANK" dataDxfId="106"/>
    <tableColumn id="50" xr3:uid="{754680AF-A688-4963-B12F-3C1A584AD7F4}" name="OPP_BLKA_RANK" dataDxfId="105"/>
    <tableColumn id="51" xr3:uid="{E3E94254-1A0F-4470-8F5D-817B679197B4}" name="OPP_PF_RANK" dataDxfId="104"/>
    <tableColumn id="52" xr3:uid="{26B0B009-2AD2-4076-B3EA-DDE059BC4DD8}" name="OPP_PFD_RANK" dataDxfId="103"/>
    <tableColumn id="53" xr3:uid="{9BCE5AFD-9E64-4271-BC7B-EFF185449A7D}" name="OPP_PTS_RANK" dataDxfId="102"/>
    <tableColumn id="54" xr3:uid="{7103D8A5-71E0-4020-9B2E-AB931C6CAD6A}" name="PLUS_MINUS_RANK" dataDxfId="101"/>
    <tableColumn id="55" xr3:uid="{0DEE24DC-2CD3-4312-BBAC-56F4E51F7F74}" name="CFID" dataDxfId="100"/>
    <tableColumn id="56" xr3:uid="{F892B29E-83CD-4821-BCF2-E12E97727915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EACB30-E43C-4D7E-A374-3E256D2DCC2B}" name="TableClutchAdvancedN1" displayName="TableClutchAdvancedN1" ref="A1:AV31" totalsRowShown="0" headerRowDxfId="0">
  <autoFilter ref="A1:AV31" xr:uid="{7755559C-ED32-4375-ADE2-F1A8CF6CF30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FEEDE227-9051-45B1-90C7-9729DCA48ECA}" name="TEAM_ID" dataDxfId="48"/>
    <tableColumn id="2" xr3:uid="{4D0F5AE4-B644-4816-8369-8134BA2CDF4B}" name="TEAM_NAME" dataDxfId="47"/>
    <tableColumn id="3" xr3:uid="{EE7F1C7D-9170-4676-B5CC-FF7B24DC8B66}" name="GP" dataDxfId="46"/>
    <tableColumn id="4" xr3:uid="{09AC81E9-48D7-4957-8DC6-9316DF910B2B}" name="W" dataDxfId="45"/>
    <tableColumn id="5" xr3:uid="{7AB0A8CE-4A44-4671-8EEC-4190560AC580}" name="L" dataDxfId="44"/>
    <tableColumn id="6" xr3:uid="{56E0F169-A30B-4CF4-A2B7-74281B4A6B26}" name="W_PCT" dataDxfId="43"/>
    <tableColumn id="7" xr3:uid="{416546F3-AF98-4888-B10B-1F4F888AF4AF}" name="MIN" dataDxfId="42"/>
    <tableColumn id="8" xr3:uid="{4817BA83-5C40-48BE-8F4A-0B2C895E5753}" name="E_OFF_RATING" dataDxfId="41"/>
    <tableColumn id="9" xr3:uid="{26FF5B4C-CC7A-41F7-A3DD-46B9BA26EB98}" name="OFF_RATING" dataDxfId="40"/>
    <tableColumn id="10" xr3:uid="{D974F6F5-634F-40A0-8058-0E6EBE41ACE0}" name="E_DEF_RATING" dataDxfId="39"/>
    <tableColumn id="11" xr3:uid="{B07A5A1A-213D-42DC-9639-36313DA7B390}" name="DEF_RATING" dataDxfId="38"/>
    <tableColumn id="12" xr3:uid="{AD067FFE-0B74-4343-94BA-04239DF272B7}" name="E_NET_RATING" dataDxfId="37"/>
    <tableColumn id="13" xr3:uid="{F9E5A487-E770-42B8-AF85-E83E4DF39BB7}" name="NET_RATING" dataDxfId="36"/>
    <tableColumn id="14" xr3:uid="{F6E441BA-7B85-4862-9EA6-ABFB8A71F3A5}" name="AST_PCT" dataDxfId="35"/>
    <tableColumn id="15" xr3:uid="{B41E7CDB-CC37-4307-987F-67F4D76B5D4E}" name="AST_TO" dataDxfId="34"/>
    <tableColumn id="16" xr3:uid="{154B6F95-995B-4F32-9148-92EC03360E25}" name="AST_RATIO" dataDxfId="33"/>
    <tableColumn id="17" xr3:uid="{457252B1-0AEA-4BDF-8446-80B7055511C8}" name="OREB_PCT" dataDxfId="32"/>
    <tableColumn id="18" xr3:uid="{DF04497B-9E0B-42F3-B82B-9CF959F4DB79}" name="DREB_PCT" dataDxfId="31"/>
    <tableColumn id="19" xr3:uid="{CEF13532-DB05-4362-9C76-F1D416D157C8}" name="REB_PCT" dataDxfId="30"/>
    <tableColumn id="20" xr3:uid="{411007F1-9AE5-4D8B-92F4-7837DFA23714}" name="TM_TOV_PCT" dataDxfId="29"/>
    <tableColumn id="21" xr3:uid="{883828F6-0715-4FD0-B586-6450CA8E45C2}" name="EFG_PCT" dataDxfId="28"/>
    <tableColumn id="22" xr3:uid="{DCBBE52A-F447-4244-91E4-127CA089A1BA}" name="TS_PCT" dataDxfId="27"/>
    <tableColumn id="23" xr3:uid="{8C0D9080-1122-45F2-AD96-8BC1884E593D}" name="E_PACE" dataDxfId="26"/>
    <tableColumn id="24" xr3:uid="{039C2A0A-614E-45CC-A772-649CE2CEC32A}" name="PACE" dataDxfId="25"/>
    <tableColumn id="25" xr3:uid="{37EE197B-42DF-42EF-A6D4-A0A43CB44AC4}" name="PACE_PER40" dataDxfId="24"/>
    <tableColumn id="26" xr3:uid="{25EEBC1C-C801-489C-8917-2AFC06E6795B}" name="POSS" dataDxfId="23"/>
    <tableColumn id="27" xr3:uid="{E2BF1C08-B0C1-450B-A5BA-1FC1E7622A4D}" name="PIE" dataDxfId="22"/>
    <tableColumn id="28" xr3:uid="{5B6A6933-7BF2-47AA-A23B-3A247BF8F9DC}" name="GP_RANK" dataDxfId="21"/>
    <tableColumn id="29" xr3:uid="{1FFFDD50-D321-49AC-A2A1-DB14B4A6FBFC}" name="W_RANK" dataDxfId="20"/>
    <tableColumn id="30" xr3:uid="{4AE533C5-04FC-49C4-904C-C5A73840E222}" name="L_RANK" dataDxfId="19"/>
    <tableColumn id="31" xr3:uid="{02C8205F-11A5-4C60-A49B-A27828F47378}" name="W_PCT_RANK" dataDxfId="18"/>
    <tableColumn id="32" xr3:uid="{C5B4A9AC-48E2-4B4F-A0E2-58ECD86BFCBE}" name="MIN_RANK" dataDxfId="17"/>
    <tableColumn id="33" xr3:uid="{62F1CE87-02CB-44E9-A893-2871D510D374}" name="OFF_RATING_RANK" dataDxfId="16"/>
    <tableColumn id="34" xr3:uid="{30ABB7A4-29F6-4CC3-8FBA-9A2590292B68}" name="DEF_RATING_RANK" dataDxfId="15"/>
    <tableColumn id="35" xr3:uid="{E9392D59-8045-443C-B8A3-5A6E15919A84}" name="NET_RATING_RANK" dataDxfId="14"/>
    <tableColumn id="36" xr3:uid="{030E1B6D-7189-4C8A-944C-2527674C8A9F}" name="AST_PCT_RANK" dataDxfId="13"/>
    <tableColumn id="37" xr3:uid="{929CAE05-3C19-407F-A9F2-AD474F4EB1F8}" name="AST_TO_RANK" dataDxfId="12"/>
    <tableColumn id="38" xr3:uid="{3CD19024-9238-495E-9276-F2DB5F632D82}" name="AST_RATIO_RANK" dataDxfId="11"/>
    <tableColumn id="39" xr3:uid="{389F5E25-575C-4876-99DA-82468309C890}" name="OREB_PCT_RANK" dataDxfId="10"/>
    <tableColumn id="40" xr3:uid="{85C2269A-B656-4A50-A364-2A24F5538C4B}" name="DREB_PCT_RANK" dataDxfId="9"/>
    <tableColumn id="41" xr3:uid="{5AC9B7C4-62D3-4AF5-81EE-2A1B2907CC04}" name="REB_PCT_RANK" dataDxfId="8"/>
    <tableColumn id="42" xr3:uid="{C1823407-9DD4-4D2A-98E0-8B847049FD51}" name="TM_TOV_PCT_RANK" dataDxfId="7"/>
    <tableColumn id="43" xr3:uid="{B1AA42B4-BB96-4AB7-BC98-92B8368EEC03}" name="EFG_PCT_RANK" dataDxfId="6"/>
    <tableColumn id="44" xr3:uid="{B3E8F702-862E-4346-AE75-874FD412BA74}" name="TS_PCT_RANK" dataDxfId="5"/>
    <tableColumn id="45" xr3:uid="{E16ABDBE-A098-47C0-BBA6-F7A9B0AB8357}" name="PACE_RANK" dataDxfId="4"/>
    <tableColumn id="46" xr3:uid="{CFA0D660-D798-4CC8-875C-1250D313C21B}" name="PIE_RANK" dataDxfId="3"/>
    <tableColumn id="47" xr3:uid="{1312AF0B-ADC4-4A9B-8F04-84DF7FEA865B}" name="CFID" dataDxfId="2"/>
    <tableColumn id="48" xr3:uid="{3CDCE980-CC23-414A-88DE-A21FE7A7BE79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topLeftCell="A7" workbookViewId="0">
      <selection activeCell="I22" sqref="I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1407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1412</v>
      </c>
      <c r="D3" s="2">
        <v>10</v>
      </c>
      <c r="F3" s="1" t="s">
        <v>1408</v>
      </c>
      <c r="G3" s="2">
        <v>3</v>
      </c>
    </row>
    <row r="4" spans="1:7" x14ac:dyDescent="0.25">
      <c r="A4" s="23"/>
      <c r="B4" s="5" t="s">
        <v>6</v>
      </c>
      <c r="C4" s="11">
        <v>0.47599999999999998</v>
      </c>
      <c r="F4" s="11">
        <v>0.76900000000000002</v>
      </c>
    </row>
    <row r="5" spans="1:7" x14ac:dyDescent="0.25">
      <c r="A5" s="23"/>
      <c r="B5" s="5" t="s">
        <v>7</v>
      </c>
      <c r="C5" s="1" t="s">
        <v>1413</v>
      </c>
      <c r="F5" s="1" t="s">
        <v>1409</v>
      </c>
    </row>
    <row r="6" spans="1:7" x14ac:dyDescent="0.25">
      <c r="A6" s="23"/>
      <c r="B6" s="5" t="s">
        <v>2</v>
      </c>
      <c r="C6" s="1" t="s">
        <v>1414</v>
      </c>
      <c r="F6" s="1" t="s">
        <v>1410</v>
      </c>
    </row>
    <row r="7" spans="1:7" x14ac:dyDescent="0.25">
      <c r="A7" s="23"/>
      <c r="B7" s="5" t="s">
        <v>3</v>
      </c>
      <c r="C7" s="1" t="s">
        <v>1415</v>
      </c>
      <c r="F7" s="1" t="s">
        <v>1411</v>
      </c>
    </row>
    <row r="8" spans="1:7" x14ac:dyDescent="0.25">
      <c r="A8" s="23"/>
      <c r="B8" s="5" t="s">
        <v>0</v>
      </c>
      <c r="C8" s="1" t="s">
        <v>1416</v>
      </c>
      <c r="F8" s="1" t="s">
        <v>1408</v>
      </c>
    </row>
    <row r="9" spans="1:7" x14ac:dyDescent="0.25">
      <c r="A9" s="23"/>
      <c r="B9" s="5" t="s">
        <v>1</v>
      </c>
      <c r="C9" s="1" t="s">
        <v>1417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</v>
      </c>
      <c r="D11" s="3">
        <v>22</v>
      </c>
      <c r="F11" s="9">
        <v>0.48199999999999998</v>
      </c>
      <c r="G11" s="3">
        <v>1</v>
      </c>
    </row>
    <row r="12" spans="1:7" x14ac:dyDescent="0.25">
      <c r="A12" s="23"/>
      <c r="B12" s="14" t="s">
        <v>36</v>
      </c>
      <c r="C12" s="8">
        <v>39.6</v>
      </c>
      <c r="D12" s="3">
        <v>24</v>
      </c>
      <c r="F12" s="8">
        <v>40.200000000000003</v>
      </c>
      <c r="G12" s="3">
        <v>18</v>
      </c>
    </row>
    <row r="13" spans="1:7" x14ac:dyDescent="0.25">
      <c r="A13" s="23"/>
      <c r="B13" s="14" t="s">
        <v>37</v>
      </c>
      <c r="C13" s="8">
        <v>88</v>
      </c>
      <c r="D13" s="3">
        <v>21</v>
      </c>
      <c r="F13" s="8">
        <v>83.2</v>
      </c>
      <c r="G13" s="3">
        <v>27</v>
      </c>
    </row>
    <row r="14" spans="1:7" x14ac:dyDescent="0.25">
      <c r="A14" s="23"/>
      <c r="B14" s="14" t="s">
        <v>27</v>
      </c>
      <c r="C14" s="9">
        <v>0.34899999999999998</v>
      </c>
      <c r="D14" s="3">
        <v>21</v>
      </c>
      <c r="F14" s="9">
        <v>0.39600000000000002</v>
      </c>
      <c r="G14" s="3">
        <v>2</v>
      </c>
    </row>
    <row r="15" spans="1:7" x14ac:dyDescent="0.25">
      <c r="A15" s="23"/>
      <c r="B15" s="14" t="s">
        <v>38</v>
      </c>
      <c r="C15" s="8">
        <v>11.3</v>
      </c>
      <c r="D15" s="3">
        <v>15</v>
      </c>
      <c r="F15" s="8">
        <v>12.8</v>
      </c>
      <c r="G15" s="3">
        <v>10</v>
      </c>
    </row>
    <row r="16" spans="1:7" x14ac:dyDescent="0.25">
      <c r="A16" s="23"/>
      <c r="B16" s="14" t="s">
        <v>39</v>
      </c>
      <c r="C16" s="8">
        <v>32.4</v>
      </c>
      <c r="D16" s="3">
        <v>14</v>
      </c>
      <c r="F16" s="8">
        <v>32.5</v>
      </c>
      <c r="G16" s="3">
        <v>15</v>
      </c>
    </row>
    <row r="17" spans="1:7" x14ac:dyDescent="0.25">
      <c r="A17" s="23"/>
      <c r="B17" s="14" t="s">
        <v>28</v>
      </c>
      <c r="C17" s="9">
        <v>0.69499999999999995</v>
      </c>
      <c r="D17" s="3">
        <v>30</v>
      </c>
      <c r="F17" s="9">
        <v>0.746</v>
      </c>
      <c r="G17" s="3">
        <v>22</v>
      </c>
    </row>
    <row r="18" spans="1:7" x14ac:dyDescent="0.25">
      <c r="A18" s="23"/>
      <c r="B18" s="14" t="s">
        <v>41</v>
      </c>
      <c r="C18" s="8">
        <v>15.1</v>
      </c>
      <c r="D18" s="3">
        <v>29</v>
      </c>
      <c r="F18" s="8">
        <v>19</v>
      </c>
      <c r="G18" s="3">
        <v>13</v>
      </c>
    </row>
    <row r="19" spans="1:7" x14ac:dyDescent="0.25">
      <c r="A19" s="23"/>
      <c r="B19" s="14" t="s">
        <v>40</v>
      </c>
      <c r="C19" s="8">
        <v>21.7</v>
      </c>
      <c r="D19" s="3">
        <v>22</v>
      </c>
      <c r="F19" s="8">
        <v>25.5</v>
      </c>
      <c r="G19" s="3">
        <v>9</v>
      </c>
    </row>
    <row r="20" spans="1:7" x14ac:dyDescent="0.25">
      <c r="A20" s="23"/>
      <c r="B20" s="14" t="s">
        <v>29</v>
      </c>
      <c r="C20" s="8">
        <v>24.3</v>
      </c>
      <c r="D20" s="3">
        <v>17</v>
      </c>
      <c r="F20" s="8">
        <v>26.2</v>
      </c>
      <c r="G20" s="3">
        <v>7</v>
      </c>
    </row>
    <row r="21" spans="1:7" x14ac:dyDescent="0.25">
      <c r="A21" s="23"/>
      <c r="B21" s="14" t="s">
        <v>30</v>
      </c>
      <c r="C21" s="8">
        <v>14.7</v>
      </c>
      <c r="D21" s="3">
        <v>23</v>
      </c>
      <c r="F21" s="8">
        <v>19.2</v>
      </c>
      <c r="G21" s="3">
        <v>30</v>
      </c>
    </row>
    <row r="22" spans="1:7" x14ac:dyDescent="0.25">
      <c r="A22" s="23"/>
      <c r="B22" s="14" t="s">
        <v>32</v>
      </c>
      <c r="C22" s="8">
        <v>46.3</v>
      </c>
      <c r="D22" s="3">
        <v>10</v>
      </c>
      <c r="F22" s="8">
        <v>44.3</v>
      </c>
      <c r="G22" s="3">
        <v>21</v>
      </c>
    </row>
    <row r="23" spans="1:7" x14ac:dyDescent="0.25">
      <c r="A23" s="23"/>
      <c r="B23" s="14" t="s">
        <v>31</v>
      </c>
      <c r="C23" s="8">
        <v>11.2</v>
      </c>
      <c r="D23" s="3">
        <v>7</v>
      </c>
      <c r="F23" s="8">
        <v>8.6</v>
      </c>
      <c r="G23" s="3">
        <v>26</v>
      </c>
    </row>
    <row r="24" spans="1:7" x14ac:dyDescent="0.25">
      <c r="A24" s="23"/>
      <c r="B24" s="14" t="s">
        <v>33</v>
      </c>
      <c r="C24" s="8">
        <v>35.1</v>
      </c>
      <c r="D24" s="3">
        <v>15</v>
      </c>
      <c r="F24" s="8">
        <v>35.700000000000003</v>
      </c>
      <c r="G24" s="3">
        <v>13</v>
      </c>
    </row>
    <row r="25" spans="1:7" x14ac:dyDescent="0.25">
      <c r="A25" s="23"/>
      <c r="B25" s="14" t="s">
        <v>34</v>
      </c>
      <c r="C25" s="8">
        <v>7.6</v>
      </c>
      <c r="D25" s="3">
        <v>14</v>
      </c>
      <c r="F25" s="8">
        <v>9.8000000000000007</v>
      </c>
      <c r="G25" s="3">
        <v>1</v>
      </c>
    </row>
    <row r="26" spans="1:7" x14ac:dyDescent="0.25">
      <c r="A26" s="23"/>
      <c r="B26" s="14" t="s">
        <v>35</v>
      </c>
      <c r="C26" s="8">
        <v>5.5</v>
      </c>
      <c r="D26" s="3">
        <v>4</v>
      </c>
      <c r="F26" s="8">
        <v>5.4</v>
      </c>
      <c r="G26" s="3">
        <v>14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0.441</v>
      </c>
      <c r="D28" s="3">
        <v>2</v>
      </c>
      <c r="F28" s="9">
        <v>0.436</v>
      </c>
      <c r="G28" s="3">
        <v>9</v>
      </c>
    </row>
    <row r="29" spans="1:7" x14ac:dyDescent="0.25">
      <c r="A29" s="23"/>
      <c r="B29" s="18" t="s">
        <v>43</v>
      </c>
      <c r="C29" s="9">
        <v>0.35799999999999998</v>
      </c>
      <c r="D29" s="3">
        <v>17</v>
      </c>
      <c r="F29" s="9">
        <v>0.30099999999999999</v>
      </c>
      <c r="G29" s="3">
        <v>1</v>
      </c>
    </row>
    <row r="30" spans="1:7" x14ac:dyDescent="0.25">
      <c r="A30" s="23"/>
      <c r="B30" s="18" t="s">
        <v>44</v>
      </c>
      <c r="C30" s="8">
        <v>11.9</v>
      </c>
      <c r="D30" s="3">
        <v>21</v>
      </c>
      <c r="F30" s="8">
        <v>11.2</v>
      </c>
      <c r="G30" s="3">
        <v>10</v>
      </c>
    </row>
    <row r="31" spans="1:7" x14ac:dyDescent="0.25">
      <c r="A31" s="23"/>
      <c r="B31" s="17" t="s">
        <v>45</v>
      </c>
      <c r="C31" s="8">
        <v>33.1</v>
      </c>
      <c r="D31" s="3">
        <v>21</v>
      </c>
      <c r="F31" s="8">
        <v>37.299999999999997</v>
      </c>
      <c r="G31" s="3">
        <v>28</v>
      </c>
    </row>
    <row r="32" spans="1:7" x14ac:dyDescent="0.25">
      <c r="A32" s="23"/>
      <c r="B32" s="17" t="s">
        <v>46</v>
      </c>
      <c r="C32" s="8">
        <v>14.1</v>
      </c>
      <c r="D32" s="3">
        <v>13</v>
      </c>
      <c r="F32" s="8">
        <v>18.5</v>
      </c>
      <c r="G32" s="3">
        <v>2</v>
      </c>
    </row>
    <row r="33" spans="1:7" x14ac:dyDescent="0.25">
      <c r="A33" s="23"/>
      <c r="B33" s="17" t="s">
        <v>47</v>
      </c>
      <c r="C33" s="8">
        <v>10.1</v>
      </c>
      <c r="D33" s="3">
        <v>13</v>
      </c>
      <c r="F33" s="8">
        <v>9.4</v>
      </c>
      <c r="G33" s="3">
        <v>8</v>
      </c>
    </row>
    <row r="35" spans="1:7" x14ac:dyDescent="0.25">
      <c r="A35" s="23" t="s">
        <v>60</v>
      </c>
      <c r="B35" s="4" t="s">
        <v>8</v>
      </c>
      <c r="C35" s="8">
        <v>106.7</v>
      </c>
      <c r="D35" s="3">
        <v>26</v>
      </c>
      <c r="F35" s="8">
        <v>108.8</v>
      </c>
      <c r="G35" s="3">
        <v>12</v>
      </c>
    </row>
    <row r="36" spans="1:7" x14ac:dyDescent="0.25">
      <c r="A36" s="23"/>
      <c r="B36" s="4" t="s">
        <v>9</v>
      </c>
      <c r="C36" s="8">
        <v>107.1</v>
      </c>
      <c r="D36" s="3">
        <v>7</v>
      </c>
      <c r="F36" s="8">
        <v>101</v>
      </c>
      <c r="G36" s="3">
        <v>3</v>
      </c>
    </row>
    <row r="37" spans="1:7" x14ac:dyDescent="0.25">
      <c r="A37" s="23"/>
      <c r="B37" s="4" t="s">
        <v>10</v>
      </c>
      <c r="C37" s="8">
        <v>-0.4</v>
      </c>
      <c r="D37" s="3">
        <v>17</v>
      </c>
      <c r="F37" s="8">
        <v>7.8</v>
      </c>
      <c r="G37" s="3">
        <v>3</v>
      </c>
    </row>
    <row r="38" spans="1:7" x14ac:dyDescent="0.25">
      <c r="A38" s="23"/>
      <c r="B38" s="4" t="s">
        <v>11</v>
      </c>
      <c r="C38" s="13">
        <v>98.74</v>
      </c>
      <c r="D38" s="3">
        <v>23</v>
      </c>
      <c r="F38" s="13">
        <v>102.07</v>
      </c>
      <c r="G38" s="3">
        <v>15</v>
      </c>
    </row>
    <row r="39" spans="1:7" x14ac:dyDescent="0.25">
      <c r="A39" s="23"/>
      <c r="B39" s="4" t="s">
        <v>12</v>
      </c>
      <c r="C39" s="10">
        <v>0.51500000000000001</v>
      </c>
      <c r="D39" s="3">
        <v>21</v>
      </c>
      <c r="F39" s="9">
        <v>0.56000000000000005</v>
      </c>
      <c r="G39" s="3">
        <v>1</v>
      </c>
    </row>
    <row r="40" spans="1:7" x14ac:dyDescent="0.25">
      <c r="A40" s="23"/>
      <c r="B40" s="4" t="s">
        <v>13</v>
      </c>
      <c r="C40" s="10">
        <v>0.61199999999999999</v>
      </c>
      <c r="D40" s="3">
        <v>12</v>
      </c>
      <c r="F40" s="9">
        <v>0.65100000000000002</v>
      </c>
      <c r="G40" s="3">
        <v>2</v>
      </c>
    </row>
    <row r="41" spans="1:7" x14ac:dyDescent="0.25">
      <c r="A41" s="23"/>
      <c r="B41" s="4" t="s">
        <v>14</v>
      </c>
      <c r="C41" s="10">
        <v>0.50900000000000001</v>
      </c>
      <c r="D41" s="3">
        <v>6</v>
      </c>
      <c r="F41" s="9">
        <v>0.52800000000000002</v>
      </c>
      <c r="G41" s="3">
        <v>2</v>
      </c>
    </row>
    <row r="42" spans="1:7" x14ac:dyDescent="0.25">
      <c r="A42" s="23"/>
      <c r="B42" s="4" t="s">
        <v>15</v>
      </c>
      <c r="C42" s="10">
        <v>0.29099999999999998</v>
      </c>
      <c r="D42" s="3">
        <v>6</v>
      </c>
      <c r="F42" s="9">
        <v>0.28299999999999997</v>
      </c>
      <c r="G42" s="3">
        <v>9</v>
      </c>
    </row>
    <row r="43" spans="1:7" x14ac:dyDescent="0.25">
      <c r="A43" s="23"/>
      <c r="B43" s="4" t="s">
        <v>16</v>
      </c>
      <c r="C43" s="10">
        <v>0.73099999999999998</v>
      </c>
      <c r="D43" s="3">
        <v>13</v>
      </c>
      <c r="F43" s="9">
        <v>0.747</v>
      </c>
      <c r="G43" s="3">
        <v>6</v>
      </c>
    </row>
    <row r="44" spans="1:7" x14ac:dyDescent="0.25">
      <c r="A44" s="23"/>
      <c r="B44" s="4" t="s">
        <v>17</v>
      </c>
      <c r="C44" s="10">
        <v>0.14899999999999999</v>
      </c>
      <c r="D44" s="3">
        <v>26</v>
      </c>
      <c r="F44" s="9">
        <v>0.186</v>
      </c>
      <c r="G44" s="3">
        <v>30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66.099999999999994</v>
      </c>
      <c r="D46" s="3">
        <v>30</v>
      </c>
      <c r="F46" s="8">
        <v>65.7</v>
      </c>
      <c r="G46" s="3">
        <v>27</v>
      </c>
    </row>
    <row r="47" spans="1:7" x14ac:dyDescent="0.25">
      <c r="A47" s="23"/>
      <c r="B47" s="20" t="s">
        <v>49</v>
      </c>
      <c r="C47" s="8">
        <v>66</v>
      </c>
      <c r="D47" s="3">
        <v>1</v>
      </c>
      <c r="F47" s="8">
        <v>60.3</v>
      </c>
      <c r="G47" s="3">
        <v>2</v>
      </c>
    </row>
    <row r="48" spans="1:7" x14ac:dyDescent="0.25">
      <c r="A48" s="23"/>
      <c r="B48" s="20" t="s">
        <v>50</v>
      </c>
      <c r="C48" s="8">
        <v>0.2</v>
      </c>
      <c r="D48" s="3">
        <v>16</v>
      </c>
      <c r="F48" s="8">
        <v>5.3</v>
      </c>
      <c r="G48" s="3">
        <v>6</v>
      </c>
    </row>
    <row r="49" spans="1:7" x14ac:dyDescent="0.25">
      <c r="A49" s="23"/>
      <c r="B49" s="20" t="s">
        <v>51</v>
      </c>
      <c r="C49" s="8">
        <v>57.2</v>
      </c>
      <c r="D49" s="3">
        <v>17</v>
      </c>
      <c r="F49" s="8">
        <v>56.7</v>
      </c>
      <c r="G49" s="3">
        <v>10</v>
      </c>
    </row>
    <row r="50" spans="1:7" x14ac:dyDescent="0.25">
      <c r="A50" s="23"/>
      <c r="B50" s="20" t="s">
        <v>52</v>
      </c>
      <c r="C50" s="8">
        <v>57.9</v>
      </c>
      <c r="D50" s="3">
        <v>14</v>
      </c>
      <c r="F50" s="8">
        <v>53.4</v>
      </c>
      <c r="G50" s="3">
        <v>9</v>
      </c>
    </row>
    <row r="51" spans="1:7" x14ac:dyDescent="0.25">
      <c r="A51" s="23"/>
      <c r="B51" s="20" t="s">
        <v>53</v>
      </c>
      <c r="C51" s="8">
        <v>-0.8</v>
      </c>
      <c r="D51" s="3">
        <v>14</v>
      </c>
      <c r="F51" s="8">
        <v>3.3</v>
      </c>
      <c r="G51" s="3">
        <v>3</v>
      </c>
    </row>
    <row r="53" spans="1:7" x14ac:dyDescent="0.25">
      <c r="A53" s="23" t="s">
        <v>57</v>
      </c>
      <c r="B53" s="6" t="s">
        <v>18</v>
      </c>
      <c r="C53" s="7">
        <v>15.5</v>
      </c>
      <c r="D53" s="3">
        <v>20</v>
      </c>
      <c r="F53" s="7">
        <v>19.7</v>
      </c>
      <c r="G53" s="3">
        <v>4</v>
      </c>
    </row>
    <row r="54" spans="1:7" x14ac:dyDescent="0.25">
      <c r="A54" s="23"/>
      <c r="B54" s="6" t="s">
        <v>19</v>
      </c>
      <c r="C54" s="7">
        <v>17.100000000000001</v>
      </c>
      <c r="D54" s="3">
        <v>22</v>
      </c>
      <c r="F54" s="7">
        <v>20.399999999999999</v>
      </c>
      <c r="G54" s="3">
        <v>27</v>
      </c>
    </row>
    <row r="55" spans="1:7" x14ac:dyDescent="0.25">
      <c r="A55" s="23"/>
      <c r="B55" s="6" t="s">
        <v>20</v>
      </c>
      <c r="C55" s="7">
        <v>14.1</v>
      </c>
      <c r="D55" s="3">
        <v>7</v>
      </c>
      <c r="F55" s="7">
        <v>11.8</v>
      </c>
      <c r="G55" s="3">
        <v>25</v>
      </c>
    </row>
    <row r="56" spans="1:7" x14ac:dyDescent="0.25">
      <c r="A56" s="23"/>
      <c r="B56" s="6" t="s">
        <v>21</v>
      </c>
      <c r="C56" s="7">
        <v>13.7</v>
      </c>
      <c r="D56" s="3">
        <v>18</v>
      </c>
      <c r="F56" s="7">
        <v>13.2</v>
      </c>
      <c r="G56" s="3">
        <v>16</v>
      </c>
    </row>
    <row r="57" spans="1:7" x14ac:dyDescent="0.25">
      <c r="A57" s="23"/>
      <c r="B57" s="6" t="s">
        <v>22</v>
      </c>
      <c r="C57" s="7">
        <v>9.9</v>
      </c>
      <c r="D57" s="3">
        <v>9.9</v>
      </c>
      <c r="F57" s="7">
        <v>12.4</v>
      </c>
      <c r="G57" s="3">
        <v>12.4</v>
      </c>
    </row>
    <row r="58" spans="1:7" x14ac:dyDescent="0.25">
      <c r="A58" s="23"/>
      <c r="B58" s="6" t="s">
        <v>23</v>
      </c>
      <c r="C58" s="7">
        <v>12.5</v>
      </c>
      <c r="D58" s="3">
        <v>12.5</v>
      </c>
      <c r="F58" s="7">
        <v>12.8</v>
      </c>
      <c r="G58" s="3">
        <v>12.8</v>
      </c>
    </row>
    <row r="59" spans="1:7" x14ac:dyDescent="0.25">
      <c r="A59" s="23"/>
      <c r="B59" s="6" t="s">
        <v>24</v>
      </c>
      <c r="C59" s="7">
        <v>48.9</v>
      </c>
      <c r="D59" s="3">
        <v>16</v>
      </c>
      <c r="F59" s="7">
        <v>47.5</v>
      </c>
      <c r="G59" s="3">
        <v>16</v>
      </c>
    </row>
    <row r="60" spans="1:7" x14ac:dyDescent="0.25">
      <c r="A60" s="23"/>
      <c r="B60" s="6" t="s">
        <v>25</v>
      </c>
      <c r="C60" s="7">
        <v>42.3</v>
      </c>
      <c r="D60" s="3">
        <v>2</v>
      </c>
      <c r="F60" s="7">
        <v>46</v>
      </c>
      <c r="G60" s="3">
        <v>12</v>
      </c>
    </row>
    <row r="62" spans="1:7" x14ac:dyDescent="0.25">
      <c r="A62" s="23" t="s">
        <v>58</v>
      </c>
      <c r="B62" s="21" t="s">
        <v>54</v>
      </c>
      <c r="C62" s="22">
        <v>3.5</v>
      </c>
      <c r="D62" s="3">
        <v>21</v>
      </c>
      <c r="F62" s="22">
        <v>5</v>
      </c>
      <c r="G62" s="3">
        <v>3</v>
      </c>
    </row>
    <row r="63" spans="1:7" x14ac:dyDescent="0.25">
      <c r="A63" s="23"/>
      <c r="B63" s="21" t="s">
        <v>55</v>
      </c>
      <c r="C63" s="3">
        <v>21</v>
      </c>
      <c r="D63" s="3">
        <v>15</v>
      </c>
      <c r="F63" s="3">
        <v>1</v>
      </c>
      <c r="G63" s="3">
        <v>26</v>
      </c>
    </row>
    <row r="64" spans="1:7" x14ac:dyDescent="0.25">
      <c r="A64" s="23"/>
      <c r="B64" s="21" t="s">
        <v>56</v>
      </c>
      <c r="C64" s="3">
        <v>24</v>
      </c>
      <c r="D64" s="3">
        <v>21</v>
      </c>
      <c r="F64" s="3">
        <v>1</v>
      </c>
      <c r="G64" s="3">
        <v>1</v>
      </c>
    </row>
    <row r="65" spans="1:7" x14ac:dyDescent="0.25">
      <c r="A65" s="23"/>
      <c r="B65" s="21" t="s">
        <v>26</v>
      </c>
      <c r="C65" s="9">
        <v>0.39</v>
      </c>
      <c r="D65" s="3">
        <v>28</v>
      </c>
      <c r="F65" s="9">
        <v>0.2</v>
      </c>
      <c r="G65" s="3">
        <v>30</v>
      </c>
    </row>
    <row r="66" spans="1:7" x14ac:dyDescent="0.25">
      <c r="A66" s="23"/>
      <c r="B66" s="21" t="s">
        <v>42</v>
      </c>
      <c r="C66" s="9">
        <v>0.40500000000000003</v>
      </c>
      <c r="D66" s="3">
        <v>7</v>
      </c>
      <c r="F66" s="9">
        <v>0.41199999999999998</v>
      </c>
      <c r="G66" s="3">
        <v>17</v>
      </c>
    </row>
    <row r="67" spans="1:7" x14ac:dyDescent="0.25">
      <c r="A67" s="23"/>
      <c r="B67" s="21" t="s">
        <v>8</v>
      </c>
      <c r="C67" s="8">
        <v>94.7</v>
      </c>
      <c r="D67" s="3">
        <v>30</v>
      </c>
      <c r="F67" s="8">
        <v>84</v>
      </c>
      <c r="G67" s="3">
        <v>29</v>
      </c>
    </row>
    <row r="68" spans="1:7" x14ac:dyDescent="0.25">
      <c r="A68" s="23"/>
      <c r="B68" s="21" t="s">
        <v>9</v>
      </c>
      <c r="C68" s="8">
        <v>99.7</v>
      </c>
      <c r="D68" s="3">
        <v>4</v>
      </c>
      <c r="F68" s="8">
        <v>96</v>
      </c>
      <c r="G68" s="3">
        <v>4</v>
      </c>
    </row>
    <row r="69" spans="1:7" x14ac:dyDescent="0.25">
      <c r="A69" s="23"/>
      <c r="B69" s="21" t="s">
        <v>10</v>
      </c>
      <c r="C69" s="8">
        <v>-5</v>
      </c>
      <c r="D69" s="3">
        <v>22</v>
      </c>
      <c r="F69" s="8">
        <v>-12</v>
      </c>
      <c r="G69" s="3">
        <v>21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8"/>
  <sheetViews>
    <sheetView tabSelected="1" workbookViewId="0">
      <selection activeCell="D13" sqref="D13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1610612748</v>
      </c>
      <c r="B2" s="1" t="s">
        <v>755</v>
      </c>
      <c r="C2" s="1" t="s">
        <v>145</v>
      </c>
      <c r="D2" s="1" t="s">
        <v>1345</v>
      </c>
      <c r="E2" s="1" t="s">
        <v>1335</v>
      </c>
      <c r="F2" s="1" t="s">
        <v>1332</v>
      </c>
      <c r="G2" s="1" t="s">
        <v>763</v>
      </c>
      <c r="H2" s="1" t="s">
        <v>1346</v>
      </c>
      <c r="I2" s="1" t="s">
        <v>1347</v>
      </c>
      <c r="J2" s="1">
        <v>27</v>
      </c>
      <c r="K2" s="1" t="s">
        <v>1327</v>
      </c>
      <c r="L2" s="1" t="s">
        <v>1348</v>
      </c>
      <c r="M2" s="1">
        <v>203086</v>
      </c>
    </row>
    <row r="3" spans="1:13" x14ac:dyDescent="0.25">
      <c r="A3" s="1">
        <v>1610612748</v>
      </c>
      <c r="B3" s="1" t="s">
        <v>755</v>
      </c>
      <c r="C3" s="1" t="s">
        <v>145</v>
      </c>
      <c r="D3" s="1" t="s">
        <v>1349</v>
      </c>
      <c r="E3" s="1" t="s">
        <v>760</v>
      </c>
      <c r="F3" s="1" t="s">
        <v>1350</v>
      </c>
      <c r="G3" s="1" t="s">
        <v>299</v>
      </c>
      <c r="H3" s="1" t="s">
        <v>1325</v>
      </c>
      <c r="I3" s="1" t="s">
        <v>1351</v>
      </c>
      <c r="J3" s="1">
        <v>20</v>
      </c>
      <c r="K3" s="1" t="s">
        <v>757</v>
      </c>
      <c r="L3" s="1" t="s">
        <v>1352</v>
      </c>
      <c r="M3" s="1">
        <v>1629644</v>
      </c>
    </row>
    <row r="4" spans="1:13" x14ac:dyDescent="0.25">
      <c r="A4" s="1">
        <v>1610612748</v>
      </c>
      <c r="B4" s="1" t="s">
        <v>755</v>
      </c>
      <c r="C4" s="1" t="s">
        <v>145</v>
      </c>
      <c r="D4" s="1" t="s">
        <v>1353</v>
      </c>
      <c r="E4" s="1" t="s">
        <v>761</v>
      </c>
      <c r="F4" s="1" t="s">
        <v>762</v>
      </c>
      <c r="G4" s="1" t="s">
        <v>1341</v>
      </c>
      <c r="H4" s="1" t="s">
        <v>1354</v>
      </c>
      <c r="I4" s="1" t="s">
        <v>1355</v>
      </c>
      <c r="J4" s="1">
        <v>22</v>
      </c>
      <c r="K4" s="1" t="s">
        <v>759</v>
      </c>
      <c r="L4" s="1" t="s">
        <v>1356</v>
      </c>
      <c r="M4" s="1">
        <v>1627884</v>
      </c>
    </row>
    <row r="5" spans="1:13" x14ac:dyDescent="0.25">
      <c r="A5" s="1">
        <v>1610612748</v>
      </c>
      <c r="B5" s="1" t="s">
        <v>755</v>
      </c>
      <c r="C5" s="1" t="s">
        <v>145</v>
      </c>
      <c r="D5" s="1" t="s">
        <v>1357</v>
      </c>
      <c r="E5" s="1" t="s">
        <v>1327</v>
      </c>
      <c r="F5" s="1" t="s">
        <v>758</v>
      </c>
      <c r="G5" s="1" t="s">
        <v>256</v>
      </c>
      <c r="H5" s="1" t="s">
        <v>1358</v>
      </c>
      <c r="I5" s="1" t="s">
        <v>1359</v>
      </c>
      <c r="J5" s="1">
        <v>33</v>
      </c>
      <c r="K5" s="1" t="s">
        <v>1340</v>
      </c>
      <c r="L5" s="1" t="s">
        <v>1360</v>
      </c>
      <c r="M5" s="1">
        <v>201609</v>
      </c>
    </row>
    <row r="6" spans="1:13" x14ac:dyDescent="0.25">
      <c r="A6" s="1">
        <v>1610612748</v>
      </c>
      <c r="B6" s="1" t="s">
        <v>755</v>
      </c>
      <c r="C6" s="1" t="s">
        <v>145</v>
      </c>
      <c r="D6" s="1" t="s">
        <v>1361</v>
      </c>
      <c r="E6" s="1" t="s">
        <v>1333</v>
      </c>
      <c r="F6" s="1" t="s">
        <v>1332</v>
      </c>
      <c r="G6" s="1" t="s">
        <v>1362</v>
      </c>
      <c r="H6" s="1" t="s">
        <v>1363</v>
      </c>
      <c r="I6" s="1" t="s">
        <v>1364</v>
      </c>
      <c r="J6" s="1">
        <v>28</v>
      </c>
      <c r="K6" s="1" t="s">
        <v>1336</v>
      </c>
      <c r="L6" s="1" t="s">
        <v>1342</v>
      </c>
      <c r="M6" s="1">
        <v>203482</v>
      </c>
    </row>
    <row r="7" spans="1:13" x14ac:dyDescent="0.25">
      <c r="A7" s="1">
        <v>1610612748</v>
      </c>
      <c r="B7" s="1" t="s">
        <v>755</v>
      </c>
      <c r="C7" s="1" t="s">
        <v>145</v>
      </c>
      <c r="D7" s="1" t="s">
        <v>1365</v>
      </c>
      <c r="E7" s="1" t="s">
        <v>1340</v>
      </c>
      <c r="F7" s="1" t="s">
        <v>758</v>
      </c>
      <c r="G7" s="1" t="s">
        <v>256</v>
      </c>
      <c r="H7" s="1" t="s">
        <v>1354</v>
      </c>
      <c r="I7" s="1" t="s">
        <v>1366</v>
      </c>
      <c r="J7" s="1">
        <v>27</v>
      </c>
      <c r="K7" s="1" t="s">
        <v>1327</v>
      </c>
      <c r="L7" s="1" t="s">
        <v>1367</v>
      </c>
      <c r="M7" s="1">
        <v>203079</v>
      </c>
    </row>
    <row r="8" spans="1:13" x14ac:dyDescent="0.25">
      <c r="A8" s="1">
        <v>1610612748</v>
      </c>
      <c r="B8" s="1" t="s">
        <v>755</v>
      </c>
      <c r="C8" s="1" t="s">
        <v>145</v>
      </c>
      <c r="D8" s="1" t="s">
        <v>1368</v>
      </c>
      <c r="E8" s="1" t="s">
        <v>1326</v>
      </c>
      <c r="F8" s="1" t="s">
        <v>1339</v>
      </c>
      <c r="G8" s="1" t="s">
        <v>337</v>
      </c>
      <c r="H8" s="1" t="s">
        <v>1369</v>
      </c>
      <c r="I8" s="1" t="s">
        <v>1370</v>
      </c>
      <c r="J8" s="1">
        <v>22</v>
      </c>
      <c r="K8" s="1" t="s">
        <v>1331</v>
      </c>
      <c r="L8" s="1" t="s">
        <v>1334</v>
      </c>
      <c r="M8" s="1">
        <v>1628389</v>
      </c>
    </row>
    <row r="9" spans="1:13" x14ac:dyDescent="0.25">
      <c r="A9" s="1">
        <v>1610612748</v>
      </c>
      <c r="B9" s="1" t="s">
        <v>755</v>
      </c>
      <c r="C9" s="1" t="s">
        <v>145</v>
      </c>
      <c r="D9" s="1" t="s">
        <v>1371</v>
      </c>
      <c r="E9" s="1" t="s">
        <v>1329</v>
      </c>
      <c r="F9" s="1" t="s">
        <v>758</v>
      </c>
      <c r="G9" s="1" t="s">
        <v>286</v>
      </c>
      <c r="H9" s="1" t="s">
        <v>1372</v>
      </c>
      <c r="I9" s="1" t="s">
        <v>1373</v>
      </c>
      <c r="J9" s="1">
        <v>19</v>
      </c>
      <c r="K9" s="1" t="s">
        <v>757</v>
      </c>
      <c r="L9" s="1" t="s">
        <v>1334</v>
      </c>
      <c r="M9" s="1">
        <v>1629639</v>
      </c>
    </row>
    <row r="10" spans="1:13" x14ac:dyDescent="0.25">
      <c r="A10" s="1">
        <v>1610612748</v>
      </c>
      <c r="B10" s="1" t="s">
        <v>755</v>
      </c>
      <c r="C10" s="1" t="s">
        <v>145</v>
      </c>
      <c r="D10" s="1" t="s">
        <v>1374</v>
      </c>
      <c r="E10" s="1" t="s">
        <v>1330</v>
      </c>
      <c r="F10" s="1" t="s">
        <v>758</v>
      </c>
      <c r="G10" s="1" t="s">
        <v>227</v>
      </c>
      <c r="H10" s="1" t="s">
        <v>1375</v>
      </c>
      <c r="I10" s="1" t="s">
        <v>1376</v>
      </c>
      <c r="J10" s="1">
        <v>23</v>
      </c>
      <c r="K10" s="1" t="s">
        <v>756</v>
      </c>
      <c r="L10" s="1" t="s">
        <v>1377</v>
      </c>
      <c r="M10" s="1">
        <v>1629133</v>
      </c>
    </row>
    <row r="11" spans="1:13" x14ac:dyDescent="0.25">
      <c r="A11" s="1">
        <v>1610612748</v>
      </c>
      <c r="B11" s="1" t="s">
        <v>755</v>
      </c>
      <c r="C11" s="1" t="s">
        <v>145</v>
      </c>
      <c r="D11" s="1" t="s">
        <v>1378</v>
      </c>
      <c r="E11" s="1" t="s">
        <v>1343</v>
      </c>
      <c r="F11" s="1" t="s">
        <v>762</v>
      </c>
      <c r="G11" s="1" t="s">
        <v>331</v>
      </c>
      <c r="H11" s="1" t="s">
        <v>1363</v>
      </c>
      <c r="I11" s="1" t="s">
        <v>1379</v>
      </c>
      <c r="J11" s="1">
        <v>32</v>
      </c>
      <c r="K11" s="1" t="s">
        <v>1328</v>
      </c>
      <c r="L11" s="1" t="s">
        <v>1380</v>
      </c>
      <c r="M11" s="1">
        <v>201949</v>
      </c>
    </row>
    <row r="12" spans="1:13" x14ac:dyDescent="0.25">
      <c r="A12" s="1">
        <v>1610612748</v>
      </c>
      <c r="B12" s="1" t="s">
        <v>755</v>
      </c>
      <c r="C12" s="1" t="s">
        <v>145</v>
      </c>
      <c r="D12" s="1" t="s">
        <v>1381</v>
      </c>
      <c r="E12" s="1" t="s">
        <v>1382</v>
      </c>
      <c r="F12" s="1" t="s">
        <v>1350</v>
      </c>
      <c r="G12" s="1" t="s">
        <v>1341</v>
      </c>
      <c r="H12" s="1" t="s">
        <v>1383</v>
      </c>
      <c r="I12" s="1" t="s">
        <v>1384</v>
      </c>
      <c r="J12" s="1">
        <v>23</v>
      </c>
      <c r="K12" s="1" t="s">
        <v>760</v>
      </c>
      <c r="L12" s="1" t="s">
        <v>1337</v>
      </c>
      <c r="M12" s="1">
        <v>1626159</v>
      </c>
    </row>
    <row r="13" spans="1:13" x14ac:dyDescent="0.25">
      <c r="A13" s="1">
        <v>1610612748</v>
      </c>
      <c r="B13" s="1" t="s">
        <v>755</v>
      </c>
      <c r="C13" s="1" t="s">
        <v>145</v>
      </c>
      <c r="D13" s="1" t="s">
        <v>1385</v>
      </c>
      <c r="E13" s="1" t="s">
        <v>1386</v>
      </c>
      <c r="F13" s="1" t="s">
        <v>762</v>
      </c>
      <c r="G13" s="1" t="s">
        <v>331</v>
      </c>
      <c r="H13" s="1" t="s">
        <v>1387</v>
      </c>
      <c r="I13" s="1" t="s">
        <v>1388</v>
      </c>
      <c r="J13" s="1">
        <v>30</v>
      </c>
      <c r="K13" s="1" t="s">
        <v>1389</v>
      </c>
      <c r="L13" s="1" t="s">
        <v>1390</v>
      </c>
      <c r="M13" s="1">
        <v>202710</v>
      </c>
    </row>
    <row r="14" spans="1:13" x14ac:dyDescent="0.25">
      <c r="A14" s="1">
        <v>1610612748</v>
      </c>
      <c r="B14" s="1" t="s">
        <v>755</v>
      </c>
      <c r="C14" s="1" t="s">
        <v>145</v>
      </c>
      <c r="D14" s="1" t="s">
        <v>1391</v>
      </c>
      <c r="E14" s="1" t="s">
        <v>1392</v>
      </c>
      <c r="F14" s="1" t="s">
        <v>758</v>
      </c>
      <c r="G14" s="1" t="s">
        <v>227</v>
      </c>
      <c r="H14" s="1" t="s">
        <v>1358</v>
      </c>
      <c r="I14" s="1" t="s">
        <v>1393</v>
      </c>
      <c r="J14" s="1">
        <v>24</v>
      </c>
      <c r="K14" s="1" t="s">
        <v>757</v>
      </c>
      <c r="L14" s="1" t="s">
        <v>1394</v>
      </c>
      <c r="M14" s="1">
        <v>1629134</v>
      </c>
    </row>
    <row r="15" spans="1:13" x14ac:dyDescent="0.25">
      <c r="A15" s="1">
        <v>1610612748</v>
      </c>
      <c r="B15" s="1" t="s">
        <v>755</v>
      </c>
      <c r="C15" s="1" t="s">
        <v>145</v>
      </c>
      <c r="D15" s="1" t="s">
        <v>1395</v>
      </c>
      <c r="E15" s="1" t="s">
        <v>1344</v>
      </c>
      <c r="F15" s="1" t="s">
        <v>762</v>
      </c>
      <c r="G15" s="1" t="s">
        <v>299</v>
      </c>
      <c r="H15" s="1" t="s">
        <v>1338</v>
      </c>
      <c r="I15" s="1" t="s">
        <v>1396</v>
      </c>
      <c r="J15" s="1">
        <v>23</v>
      </c>
      <c r="K15" s="1" t="s">
        <v>757</v>
      </c>
      <c r="L15" s="1" t="s">
        <v>1397</v>
      </c>
      <c r="M15" s="1">
        <v>1629735</v>
      </c>
    </row>
    <row r="16" spans="1:13" x14ac:dyDescent="0.25">
      <c r="A16" s="1">
        <v>1610612748</v>
      </c>
      <c r="B16" s="1" t="s">
        <v>755</v>
      </c>
      <c r="C16" s="1" t="s">
        <v>145</v>
      </c>
      <c r="D16" s="1" t="s">
        <v>1398</v>
      </c>
      <c r="E16" s="1" t="s">
        <v>1399</v>
      </c>
      <c r="F16" s="1" t="s">
        <v>762</v>
      </c>
      <c r="G16" s="1" t="s">
        <v>299</v>
      </c>
      <c r="H16" s="1" t="s">
        <v>1400</v>
      </c>
      <c r="I16" s="1" t="s">
        <v>1401</v>
      </c>
      <c r="J16" s="1">
        <v>39</v>
      </c>
      <c r="K16" s="1" t="s">
        <v>1343</v>
      </c>
      <c r="L16" s="1" t="s">
        <v>1402</v>
      </c>
      <c r="M16" s="1">
        <v>2617</v>
      </c>
    </row>
    <row r="17" spans="1:13" x14ac:dyDescent="0.25">
      <c r="A17" s="1">
        <v>1610612748</v>
      </c>
      <c r="B17" s="1" t="s">
        <v>755</v>
      </c>
      <c r="C17" s="1" t="s">
        <v>145</v>
      </c>
      <c r="D17" s="1" t="s">
        <v>1403</v>
      </c>
      <c r="E17" s="1" t="s">
        <v>1404</v>
      </c>
      <c r="F17" s="1" t="s">
        <v>762</v>
      </c>
      <c r="G17" s="1" t="s">
        <v>331</v>
      </c>
      <c r="H17" s="1" t="s">
        <v>1325</v>
      </c>
      <c r="I17" s="1" t="s">
        <v>1405</v>
      </c>
      <c r="J17" s="1">
        <v>25</v>
      </c>
      <c r="K17" s="1" t="s">
        <v>756</v>
      </c>
      <c r="L17" s="1" t="s">
        <v>1406</v>
      </c>
      <c r="M17" s="1">
        <v>1629130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764</v>
      </c>
      <c r="C2" s="1">
        <v>1610612749</v>
      </c>
      <c r="D2" s="1" t="s">
        <v>177</v>
      </c>
      <c r="E2" s="1" t="s">
        <v>178</v>
      </c>
      <c r="F2" s="1" t="s">
        <v>179</v>
      </c>
      <c r="G2" s="1" t="s">
        <v>791</v>
      </c>
      <c r="H2" s="1">
        <v>1</v>
      </c>
      <c r="I2" s="1" t="s">
        <v>792</v>
      </c>
      <c r="J2" s="1" t="s">
        <v>181</v>
      </c>
      <c r="K2" s="1" t="s">
        <v>793</v>
      </c>
      <c r="L2" s="1">
        <v>1</v>
      </c>
      <c r="M2" s="1">
        <v>60</v>
      </c>
      <c r="N2" s="1">
        <v>22</v>
      </c>
      <c r="O2" s="1">
        <v>0.73199999999999998</v>
      </c>
      <c r="P2" s="1">
        <v>0</v>
      </c>
      <c r="Q2" s="1" t="s">
        <v>794</v>
      </c>
      <c r="R2" s="1" t="s">
        <v>795</v>
      </c>
      <c r="S2" s="1" t="s">
        <v>770</v>
      </c>
      <c r="T2" s="1" t="s">
        <v>193</v>
      </c>
      <c r="U2" s="1" t="s">
        <v>193</v>
      </c>
      <c r="V2" s="1" t="s">
        <v>265</v>
      </c>
      <c r="W2" s="1" t="s">
        <v>339</v>
      </c>
      <c r="X2" s="1" t="s">
        <v>340</v>
      </c>
      <c r="Y2" s="1" t="s">
        <v>796</v>
      </c>
      <c r="Z2" s="1">
        <v>6</v>
      </c>
      <c r="AA2" s="1" t="s">
        <v>188</v>
      </c>
      <c r="AB2" s="1">
        <v>10</v>
      </c>
      <c r="AC2" s="1" t="s">
        <v>797</v>
      </c>
      <c r="AD2" s="1">
        <v>7</v>
      </c>
      <c r="AE2" s="1">
        <v>2</v>
      </c>
      <c r="AF2" s="1">
        <v>-1</v>
      </c>
      <c r="AG2" s="1" t="s">
        <v>207</v>
      </c>
      <c r="AH2" s="1">
        <v>2</v>
      </c>
      <c r="AI2" s="1" t="s">
        <v>222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798</v>
      </c>
      <c r="AT2" s="1" t="s">
        <v>799</v>
      </c>
      <c r="AU2" s="1" t="s">
        <v>161</v>
      </c>
      <c r="AV2" s="1" t="s">
        <v>800</v>
      </c>
      <c r="AW2" s="1" t="s">
        <v>801</v>
      </c>
      <c r="AX2" s="1" t="s">
        <v>186</v>
      </c>
      <c r="AY2" s="1" t="s">
        <v>802</v>
      </c>
      <c r="AZ2" s="1" t="s">
        <v>803</v>
      </c>
      <c r="BA2" s="1" t="s">
        <v>804</v>
      </c>
      <c r="BB2" s="1" t="s">
        <v>805</v>
      </c>
      <c r="BC2" s="1" t="s">
        <v>806</v>
      </c>
      <c r="BD2" s="1" t="s">
        <v>807</v>
      </c>
      <c r="BE2" s="1">
        <v>118.1</v>
      </c>
      <c r="BF2" s="1">
        <v>109.3</v>
      </c>
      <c r="BG2" s="1">
        <v>8.9</v>
      </c>
      <c r="BH2" s="1" t="s">
        <v>791</v>
      </c>
      <c r="BI2" s="1" t="s">
        <v>808</v>
      </c>
      <c r="BJ2" s="1" t="s">
        <v>809</v>
      </c>
      <c r="BK2" s="1" t="s">
        <v>808</v>
      </c>
      <c r="BL2" s="1" t="s">
        <v>810</v>
      </c>
      <c r="BM2" s="1" t="s">
        <v>266</v>
      </c>
      <c r="BN2" s="1" t="s">
        <v>266</v>
      </c>
      <c r="BO2" s="1" t="s">
        <v>216</v>
      </c>
      <c r="BP2" s="1" t="s">
        <v>183</v>
      </c>
      <c r="BQ2" s="1" t="s">
        <v>200</v>
      </c>
      <c r="BR2" s="1" t="s">
        <v>811</v>
      </c>
      <c r="BS2" s="1" t="s">
        <v>228</v>
      </c>
      <c r="BT2" s="1"/>
      <c r="BU2" s="1"/>
      <c r="BV2" s="1"/>
      <c r="BW2" s="1"/>
      <c r="BX2" s="1"/>
      <c r="BY2" s="1" t="s">
        <v>763</v>
      </c>
      <c r="BZ2" s="1" t="s">
        <v>291</v>
      </c>
      <c r="CA2" s="1" t="s">
        <v>253</v>
      </c>
      <c r="CB2" s="1" t="s">
        <v>812</v>
      </c>
      <c r="CC2" s="1" t="s">
        <v>813</v>
      </c>
    </row>
    <row r="3" spans="1:81" x14ac:dyDescent="0.25">
      <c r="A3" s="1" t="s">
        <v>145</v>
      </c>
      <c r="B3" s="1" t="s">
        <v>764</v>
      </c>
      <c r="C3" s="1">
        <v>1610612744</v>
      </c>
      <c r="D3" s="1" t="s">
        <v>399</v>
      </c>
      <c r="E3" s="1" t="s">
        <v>400</v>
      </c>
      <c r="F3" s="1" t="s">
        <v>149</v>
      </c>
      <c r="G3" s="1" t="s">
        <v>765</v>
      </c>
      <c r="H3" s="1">
        <v>1</v>
      </c>
      <c r="I3" s="1" t="s">
        <v>766</v>
      </c>
      <c r="J3" s="1" t="s">
        <v>152</v>
      </c>
      <c r="K3" s="1" t="s">
        <v>767</v>
      </c>
      <c r="L3" s="1">
        <v>1</v>
      </c>
      <c r="M3" s="1">
        <v>57</v>
      </c>
      <c r="N3" s="1">
        <v>25</v>
      </c>
      <c r="O3" s="1">
        <v>0.69499999999999995</v>
      </c>
      <c r="P3" s="1">
        <v>0</v>
      </c>
      <c r="Q3" s="1" t="s">
        <v>768</v>
      </c>
      <c r="R3" s="1" t="s">
        <v>769</v>
      </c>
      <c r="S3" s="1" t="s">
        <v>770</v>
      </c>
      <c r="T3" s="1" t="s">
        <v>184</v>
      </c>
      <c r="U3" s="1" t="s">
        <v>193</v>
      </c>
      <c r="V3" s="1" t="s">
        <v>193</v>
      </c>
      <c r="W3" s="1" t="s">
        <v>319</v>
      </c>
      <c r="X3" s="1" t="s">
        <v>314</v>
      </c>
      <c r="Y3" s="1" t="s">
        <v>771</v>
      </c>
      <c r="Z3" s="1">
        <v>6</v>
      </c>
      <c r="AA3" s="1" t="s">
        <v>188</v>
      </c>
      <c r="AB3" s="1">
        <v>11</v>
      </c>
      <c r="AC3" s="1" t="s">
        <v>772</v>
      </c>
      <c r="AD3" s="1">
        <v>11</v>
      </c>
      <c r="AE3" s="1">
        <v>4</v>
      </c>
      <c r="AF3" s="1">
        <v>5</v>
      </c>
      <c r="AG3" s="1" t="s">
        <v>160</v>
      </c>
      <c r="AH3" s="1">
        <v>-1</v>
      </c>
      <c r="AI3" s="1" t="s">
        <v>207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773</v>
      </c>
      <c r="AT3" s="1" t="s">
        <v>774</v>
      </c>
      <c r="AU3" s="1" t="s">
        <v>232</v>
      </c>
      <c r="AV3" s="1" t="s">
        <v>775</v>
      </c>
      <c r="AW3" s="1" t="s">
        <v>776</v>
      </c>
      <c r="AX3" s="1" t="s">
        <v>185</v>
      </c>
      <c r="AY3" s="1" t="s">
        <v>777</v>
      </c>
      <c r="AZ3" s="1" t="s">
        <v>778</v>
      </c>
      <c r="BA3" s="1" t="s">
        <v>779</v>
      </c>
      <c r="BB3" s="1" t="s">
        <v>780</v>
      </c>
      <c r="BC3" s="1" t="s">
        <v>781</v>
      </c>
      <c r="BD3" s="1" t="s">
        <v>782</v>
      </c>
      <c r="BE3" s="1">
        <v>117.7</v>
      </c>
      <c r="BF3" s="1">
        <v>111.2</v>
      </c>
      <c r="BG3" s="1">
        <v>6.5</v>
      </c>
      <c r="BH3" s="1" t="s">
        <v>783</v>
      </c>
      <c r="BI3" s="1" t="s">
        <v>266</v>
      </c>
      <c r="BJ3" s="1" t="s">
        <v>216</v>
      </c>
      <c r="BK3" s="1" t="s">
        <v>216</v>
      </c>
      <c r="BL3" s="1" t="s">
        <v>765</v>
      </c>
      <c r="BM3" s="1" t="s">
        <v>784</v>
      </c>
      <c r="BN3" s="1" t="s">
        <v>785</v>
      </c>
      <c r="BO3" s="1" t="s">
        <v>786</v>
      </c>
      <c r="BP3" s="1" t="s">
        <v>787</v>
      </c>
      <c r="BQ3" s="1" t="s">
        <v>788</v>
      </c>
      <c r="BR3" s="1" t="s">
        <v>270</v>
      </c>
      <c r="BS3" s="1" t="s">
        <v>198</v>
      </c>
      <c r="BT3" s="1"/>
      <c r="BU3" s="1"/>
      <c r="BV3" s="1"/>
      <c r="BW3" s="1"/>
      <c r="BX3" s="1"/>
      <c r="BY3" s="1" t="s">
        <v>173</v>
      </c>
      <c r="BZ3" s="1" t="s">
        <v>326</v>
      </c>
      <c r="CA3" s="1" t="s">
        <v>261</v>
      </c>
      <c r="CB3" s="1" t="s">
        <v>789</v>
      </c>
      <c r="CC3" s="1" t="s">
        <v>790</v>
      </c>
    </row>
    <row r="4" spans="1:81" x14ac:dyDescent="0.25">
      <c r="A4" s="1" t="s">
        <v>145</v>
      </c>
      <c r="B4" s="1" t="s">
        <v>764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814</v>
      </c>
      <c r="H4" s="1">
        <v>2</v>
      </c>
      <c r="I4" s="1" t="s">
        <v>815</v>
      </c>
      <c r="J4" s="1" t="s">
        <v>203</v>
      </c>
      <c r="K4" s="1" t="s">
        <v>816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817</v>
      </c>
      <c r="R4" s="1" t="s">
        <v>818</v>
      </c>
      <c r="S4" s="1" t="s">
        <v>819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820</v>
      </c>
      <c r="Y4" s="1" t="s">
        <v>821</v>
      </c>
      <c r="Z4" s="1">
        <v>10</v>
      </c>
      <c r="AA4" s="1" t="s">
        <v>797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822</v>
      </c>
      <c r="AT4" s="1" t="s">
        <v>823</v>
      </c>
      <c r="AU4" s="1" t="s">
        <v>185</v>
      </c>
      <c r="AV4" s="1" t="s">
        <v>824</v>
      </c>
      <c r="AW4" s="1" t="s">
        <v>825</v>
      </c>
      <c r="AX4" s="1" t="s">
        <v>157</v>
      </c>
      <c r="AY4" s="1" t="s">
        <v>826</v>
      </c>
      <c r="AZ4" s="1" t="s">
        <v>827</v>
      </c>
      <c r="BA4" s="1" t="s">
        <v>828</v>
      </c>
      <c r="BB4" s="1" t="s">
        <v>829</v>
      </c>
      <c r="BC4" s="1" t="s">
        <v>830</v>
      </c>
      <c r="BD4" s="1" t="s">
        <v>831</v>
      </c>
      <c r="BE4" s="1">
        <v>114.4</v>
      </c>
      <c r="BF4" s="1">
        <v>108.4</v>
      </c>
      <c r="BG4" s="1">
        <v>6.1</v>
      </c>
      <c r="BH4" s="1" t="s">
        <v>814</v>
      </c>
      <c r="BI4" s="1" t="s">
        <v>832</v>
      </c>
      <c r="BJ4" s="1" t="s">
        <v>786</v>
      </c>
      <c r="BK4" s="1" t="s">
        <v>833</v>
      </c>
      <c r="BL4" s="1" t="s">
        <v>783</v>
      </c>
      <c r="BM4" s="1" t="s">
        <v>266</v>
      </c>
      <c r="BN4" s="1" t="s">
        <v>834</v>
      </c>
      <c r="BO4" s="1" t="s">
        <v>266</v>
      </c>
      <c r="BP4" s="1" t="s">
        <v>261</v>
      </c>
      <c r="BQ4" s="1" t="s">
        <v>173</v>
      </c>
      <c r="BR4" s="1" t="s">
        <v>835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836</v>
      </c>
      <c r="CC4" s="1" t="s">
        <v>837</v>
      </c>
    </row>
    <row r="5" spans="1:81" x14ac:dyDescent="0.25">
      <c r="A5" s="1" t="s">
        <v>145</v>
      </c>
      <c r="B5" s="1" t="s">
        <v>764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838</v>
      </c>
      <c r="H5" s="1">
        <v>2</v>
      </c>
      <c r="I5" s="1" t="s">
        <v>839</v>
      </c>
      <c r="J5" s="1" t="s">
        <v>219</v>
      </c>
      <c r="K5" s="1" t="s">
        <v>816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840</v>
      </c>
      <c r="R5" s="1" t="s">
        <v>841</v>
      </c>
      <c r="S5" s="1" t="s">
        <v>842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767</v>
      </c>
      <c r="Y5" s="1" t="s">
        <v>843</v>
      </c>
      <c r="Z5" s="1">
        <v>12</v>
      </c>
      <c r="AA5" s="1" t="s">
        <v>844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845</v>
      </c>
      <c r="AT5" s="1" t="s">
        <v>846</v>
      </c>
      <c r="AU5" s="1" t="s">
        <v>185</v>
      </c>
      <c r="AV5" s="1" t="s">
        <v>847</v>
      </c>
      <c r="AW5" s="1" t="s">
        <v>848</v>
      </c>
      <c r="AX5" s="1" t="s">
        <v>155</v>
      </c>
      <c r="AY5" s="1" t="s">
        <v>849</v>
      </c>
      <c r="AZ5" s="1" t="s">
        <v>850</v>
      </c>
      <c r="BA5" s="1" t="s">
        <v>851</v>
      </c>
      <c r="BB5" s="1" t="s">
        <v>852</v>
      </c>
      <c r="BC5" s="1" t="s">
        <v>853</v>
      </c>
      <c r="BD5" s="1" t="s">
        <v>854</v>
      </c>
      <c r="BE5" s="1">
        <v>110.7</v>
      </c>
      <c r="BF5" s="1">
        <v>106.7</v>
      </c>
      <c r="BG5" s="1">
        <v>4</v>
      </c>
      <c r="BH5" s="1" t="s">
        <v>810</v>
      </c>
      <c r="BI5" s="1" t="s">
        <v>296</v>
      </c>
      <c r="BJ5" s="1" t="s">
        <v>266</v>
      </c>
      <c r="BK5" s="1" t="s">
        <v>296</v>
      </c>
      <c r="BL5" s="1" t="s">
        <v>838</v>
      </c>
      <c r="BM5" s="1" t="s">
        <v>832</v>
      </c>
      <c r="BN5" s="1" t="s">
        <v>784</v>
      </c>
      <c r="BO5" s="1" t="s">
        <v>786</v>
      </c>
      <c r="BP5" s="1" t="s">
        <v>832</v>
      </c>
      <c r="BQ5" s="1" t="s">
        <v>788</v>
      </c>
      <c r="BR5" s="1" t="s">
        <v>835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835</v>
      </c>
      <c r="CA5" s="1" t="s">
        <v>855</v>
      </c>
      <c r="CB5" s="1" t="s">
        <v>856</v>
      </c>
      <c r="CC5" s="1" t="s">
        <v>857</v>
      </c>
    </row>
    <row r="6" spans="1:81" x14ac:dyDescent="0.25">
      <c r="A6" s="1" t="s">
        <v>145</v>
      </c>
      <c r="B6" s="1" t="s">
        <v>764</v>
      </c>
      <c r="C6" s="1">
        <v>1610612757</v>
      </c>
      <c r="D6" s="1" t="s">
        <v>384</v>
      </c>
      <c r="E6" s="1" t="s">
        <v>385</v>
      </c>
      <c r="F6" s="1" t="s">
        <v>149</v>
      </c>
      <c r="G6" s="1" t="s">
        <v>877</v>
      </c>
      <c r="H6" s="1">
        <v>3</v>
      </c>
      <c r="I6" s="1" t="s">
        <v>859</v>
      </c>
      <c r="J6" s="1" t="s">
        <v>219</v>
      </c>
      <c r="K6" s="1" t="s">
        <v>878</v>
      </c>
      <c r="L6" s="1">
        <v>2</v>
      </c>
      <c r="M6" s="1">
        <v>53</v>
      </c>
      <c r="N6" s="1">
        <v>29</v>
      </c>
      <c r="O6" s="1">
        <v>0.64600000000000002</v>
      </c>
      <c r="P6" s="1">
        <v>0</v>
      </c>
      <c r="Q6" s="1" t="s">
        <v>879</v>
      </c>
      <c r="R6" s="1" t="s">
        <v>818</v>
      </c>
      <c r="S6" s="1" t="s">
        <v>880</v>
      </c>
      <c r="T6" s="1" t="s">
        <v>184</v>
      </c>
      <c r="U6" s="1" t="s">
        <v>156</v>
      </c>
      <c r="V6" s="1" t="s">
        <v>259</v>
      </c>
      <c r="W6" s="1" t="s">
        <v>235</v>
      </c>
      <c r="X6" s="1" t="s">
        <v>310</v>
      </c>
      <c r="Y6" s="1" t="s">
        <v>881</v>
      </c>
      <c r="Z6" s="1">
        <v>8</v>
      </c>
      <c r="AA6" s="1" t="s">
        <v>882</v>
      </c>
      <c r="AB6" s="1">
        <v>-6</v>
      </c>
      <c r="AC6" s="1" t="s">
        <v>367</v>
      </c>
      <c r="AD6" s="1">
        <v>6</v>
      </c>
      <c r="AE6" s="1">
        <v>3</v>
      </c>
      <c r="AF6" s="1">
        <v>8</v>
      </c>
      <c r="AG6" s="1" t="s">
        <v>882</v>
      </c>
      <c r="AH6" s="1">
        <v>1</v>
      </c>
      <c r="AI6" s="1" t="s">
        <v>246</v>
      </c>
      <c r="AJ6" s="1">
        <v>3</v>
      </c>
      <c r="AK6" s="1" t="s">
        <v>223</v>
      </c>
      <c r="AL6" s="1">
        <v>4</v>
      </c>
      <c r="AM6" s="1">
        <v>1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883</v>
      </c>
      <c r="AT6" s="1" t="s">
        <v>884</v>
      </c>
      <c r="AU6" s="1" t="s">
        <v>260</v>
      </c>
      <c r="AV6" s="1" t="s">
        <v>885</v>
      </c>
      <c r="AW6" s="1" t="s">
        <v>886</v>
      </c>
      <c r="AX6" s="1" t="s">
        <v>161</v>
      </c>
      <c r="AY6" s="1" t="s">
        <v>887</v>
      </c>
      <c r="AZ6" s="1" t="s">
        <v>888</v>
      </c>
      <c r="BA6" s="1" t="s">
        <v>889</v>
      </c>
      <c r="BB6" s="1" t="s">
        <v>890</v>
      </c>
      <c r="BC6" s="1" t="s">
        <v>891</v>
      </c>
      <c r="BD6" s="1" t="s">
        <v>892</v>
      </c>
      <c r="BE6" s="1">
        <v>114.7</v>
      </c>
      <c r="BF6" s="1">
        <v>110.5</v>
      </c>
      <c r="BG6" s="1">
        <v>4.2</v>
      </c>
      <c r="BH6" s="1" t="s">
        <v>893</v>
      </c>
      <c r="BI6" s="1" t="s">
        <v>176</v>
      </c>
      <c r="BJ6" s="1" t="s">
        <v>216</v>
      </c>
      <c r="BK6" s="1" t="s">
        <v>296</v>
      </c>
      <c r="BL6" s="1" t="s">
        <v>877</v>
      </c>
      <c r="BM6" s="1" t="s">
        <v>410</v>
      </c>
      <c r="BN6" s="1" t="s">
        <v>784</v>
      </c>
      <c r="BO6" s="1" t="s">
        <v>873</v>
      </c>
      <c r="BP6" s="1" t="s">
        <v>233</v>
      </c>
      <c r="BQ6" s="1" t="s">
        <v>256</v>
      </c>
      <c r="BR6" s="1" t="s">
        <v>261</v>
      </c>
      <c r="BS6" s="1" t="s">
        <v>198</v>
      </c>
      <c r="BT6" s="1"/>
      <c r="BU6" s="1"/>
      <c r="BV6" s="1"/>
      <c r="BW6" s="1"/>
      <c r="BX6" s="1"/>
      <c r="BY6" s="1" t="s">
        <v>255</v>
      </c>
      <c r="BZ6" s="1" t="s">
        <v>308</v>
      </c>
      <c r="CA6" s="1" t="s">
        <v>308</v>
      </c>
      <c r="CB6" s="1" t="s">
        <v>894</v>
      </c>
      <c r="CC6" s="1" t="s">
        <v>895</v>
      </c>
    </row>
    <row r="7" spans="1:81" x14ac:dyDescent="0.25">
      <c r="A7" s="1" t="s">
        <v>145</v>
      </c>
      <c r="B7" s="1" t="s">
        <v>764</v>
      </c>
      <c r="C7" s="1">
        <v>1610612755</v>
      </c>
      <c r="D7" s="1" t="s">
        <v>268</v>
      </c>
      <c r="E7" s="1" t="s">
        <v>269</v>
      </c>
      <c r="F7" s="1" t="s">
        <v>179</v>
      </c>
      <c r="G7" s="1" t="s">
        <v>858</v>
      </c>
      <c r="H7" s="1">
        <v>3</v>
      </c>
      <c r="I7" s="1" t="s">
        <v>859</v>
      </c>
      <c r="J7" s="1" t="s">
        <v>203</v>
      </c>
      <c r="K7" s="1" t="s">
        <v>860</v>
      </c>
      <c r="L7" s="1">
        <v>2</v>
      </c>
      <c r="M7" s="1">
        <v>51</v>
      </c>
      <c r="N7" s="1">
        <v>31</v>
      </c>
      <c r="O7" s="1">
        <v>0.622</v>
      </c>
      <c r="P7" s="1">
        <v>0</v>
      </c>
      <c r="Q7" s="1" t="s">
        <v>861</v>
      </c>
      <c r="R7" s="1" t="s">
        <v>862</v>
      </c>
      <c r="S7" s="1" t="s">
        <v>842</v>
      </c>
      <c r="T7" s="1" t="s">
        <v>310</v>
      </c>
      <c r="U7" s="1" t="s">
        <v>193</v>
      </c>
      <c r="V7" s="1" t="s">
        <v>310</v>
      </c>
      <c r="W7" s="1" t="s">
        <v>236</v>
      </c>
      <c r="X7" s="1" t="s">
        <v>863</v>
      </c>
      <c r="Y7" s="1" t="s">
        <v>864</v>
      </c>
      <c r="Z7" s="1">
        <v>10</v>
      </c>
      <c r="AA7" s="1" t="s">
        <v>797</v>
      </c>
      <c r="AB7" s="1">
        <v>-5</v>
      </c>
      <c r="AC7" s="1" t="s">
        <v>272</v>
      </c>
      <c r="AD7" s="1">
        <v>6</v>
      </c>
      <c r="AE7" s="1">
        <v>3</v>
      </c>
      <c r="AF7" s="1">
        <v>1</v>
      </c>
      <c r="AG7" s="1" t="s">
        <v>246</v>
      </c>
      <c r="AH7" s="1">
        <v>-1</v>
      </c>
      <c r="AI7" s="1" t="s">
        <v>207</v>
      </c>
      <c r="AJ7" s="1">
        <v>1</v>
      </c>
      <c r="AK7" s="1" t="s">
        <v>246</v>
      </c>
      <c r="AL7" s="1">
        <v>9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865</v>
      </c>
      <c r="AT7" s="1" t="s">
        <v>866</v>
      </c>
      <c r="AU7" s="1" t="s">
        <v>208</v>
      </c>
      <c r="AV7" s="1" t="s">
        <v>773</v>
      </c>
      <c r="AW7" s="1" t="s">
        <v>867</v>
      </c>
      <c r="AX7" s="1" t="s">
        <v>186</v>
      </c>
      <c r="AY7" s="1" t="s">
        <v>868</v>
      </c>
      <c r="AZ7" s="1" t="s">
        <v>869</v>
      </c>
      <c r="BA7" s="1" t="s">
        <v>870</v>
      </c>
      <c r="BB7" s="1" t="s">
        <v>853</v>
      </c>
      <c r="BC7" s="1" t="s">
        <v>789</v>
      </c>
      <c r="BD7" s="1" t="s">
        <v>871</v>
      </c>
      <c r="BE7" s="1">
        <v>115.2</v>
      </c>
      <c r="BF7" s="1">
        <v>112.5</v>
      </c>
      <c r="BG7" s="1">
        <v>2.7</v>
      </c>
      <c r="BH7" s="1" t="s">
        <v>858</v>
      </c>
      <c r="BI7" s="1" t="s">
        <v>872</v>
      </c>
      <c r="BJ7" s="1" t="s">
        <v>784</v>
      </c>
      <c r="BK7" s="1" t="s">
        <v>873</v>
      </c>
      <c r="BL7" s="1" t="s">
        <v>810</v>
      </c>
      <c r="BM7" s="1" t="s">
        <v>266</v>
      </c>
      <c r="BN7" s="1" t="s">
        <v>216</v>
      </c>
      <c r="BO7" s="1" t="s">
        <v>266</v>
      </c>
      <c r="BP7" s="1" t="s">
        <v>233</v>
      </c>
      <c r="BQ7" s="1" t="s">
        <v>266</v>
      </c>
      <c r="BR7" s="1" t="s">
        <v>270</v>
      </c>
      <c r="BS7" s="1" t="s">
        <v>274</v>
      </c>
      <c r="BT7" s="1"/>
      <c r="BU7" s="1"/>
      <c r="BV7" s="1"/>
      <c r="BW7" s="1"/>
      <c r="BX7" s="1"/>
      <c r="BY7" s="1" t="s">
        <v>343</v>
      </c>
      <c r="BZ7" s="1" t="s">
        <v>832</v>
      </c>
      <c r="CA7" s="1" t="s">
        <v>874</v>
      </c>
      <c r="CB7" s="1" t="s">
        <v>875</v>
      </c>
      <c r="CC7" s="1" t="s">
        <v>876</v>
      </c>
    </row>
    <row r="8" spans="1:81" x14ac:dyDescent="0.25">
      <c r="A8" s="1" t="s">
        <v>145</v>
      </c>
      <c r="B8" s="1" t="s">
        <v>764</v>
      </c>
      <c r="C8" s="1">
        <v>1610612738</v>
      </c>
      <c r="D8" s="1" t="s">
        <v>201</v>
      </c>
      <c r="E8" s="1" t="s">
        <v>202</v>
      </c>
      <c r="F8" s="1" t="s">
        <v>179</v>
      </c>
      <c r="G8" s="1" t="s">
        <v>765</v>
      </c>
      <c r="H8" s="1">
        <v>4</v>
      </c>
      <c r="I8" s="1" t="s">
        <v>859</v>
      </c>
      <c r="J8" s="1" t="s">
        <v>203</v>
      </c>
      <c r="K8" s="1" t="s">
        <v>898</v>
      </c>
      <c r="L8" s="1">
        <v>3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916</v>
      </c>
      <c r="R8" s="1" t="s">
        <v>917</v>
      </c>
      <c r="S8" s="1" t="s">
        <v>880</v>
      </c>
      <c r="T8" s="1" t="s">
        <v>259</v>
      </c>
      <c r="U8" s="1" t="s">
        <v>265</v>
      </c>
      <c r="V8" s="1" t="s">
        <v>259</v>
      </c>
      <c r="W8" s="1" t="s">
        <v>182</v>
      </c>
      <c r="X8" s="1" t="s">
        <v>340</v>
      </c>
      <c r="Y8" s="1" t="s">
        <v>918</v>
      </c>
      <c r="Z8" s="1">
        <v>10</v>
      </c>
      <c r="AA8" s="1" t="s">
        <v>797</v>
      </c>
      <c r="AB8" s="1">
        <v>4</v>
      </c>
      <c r="AC8" s="1" t="s">
        <v>159</v>
      </c>
      <c r="AD8" s="1">
        <v>8</v>
      </c>
      <c r="AE8" s="1">
        <v>4</v>
      </c>
      <c r="AF8" s="1">
        <v>-1</v>
      </c>
      <c r="AG8" s="1" t="s">
        <v>207</v>
      </c>
      <c r="AH8" s="1">
        <v>3</v>
      </c>
      <c r="AI8" s="1" t="s">
        <v>223</v>
      </c>
      <c r="AJ8" s="1">
        <v>1</v>
      </c>
      <c r="AK8" s="1" t="s">
        <v>246</v>
      </c>
      <c r="AL8" s="1">
        <v>11</v>
      </c>
      <c r="AM8" s="1">
        <v>9</v>
      </c>
      <c r="AN8" s="1">
        <v>0</v>
      </c>
      <c r="AO8" s="1">
        <v>0</v>
      </c>
      <c r="AP8" s="1">
        <v>1</v>
      </c>
      <c r="AQ8" s="1">
        <v>0</v>
      </c>
      <c r="AR8" s="1">
        <v>0</v>
      </c>
      <c r="AS8" s="1" t="s">
        <v>919</v>
      </c>
      <c r="AT8" s="1" t="s">
        <v>920</v>
      </c>
      <c r="AU8" s="1" t="s">
        <v>260</v>
      </c>
      <c r="AV8" s="1" t="s">
        <v>921</v>
      </c>
      <c r="AW8" s="1" t="s">
        <v>848</v>
      </c>
      <c r="AX8" s="1" t="s">
        <v>164</v>
      </c>
      <c r="AY8" s="1" t="s">
        <v>922</v>
      </c>
      <c r="AZ8" s="1" t="s">
        <v>923</v>
      </c>
      <c r="BA8" s="1" t="s">
        <v>924</v>
      </c>
      <c r="BB8" s="1" t="s">
        <v>925</v>
      </c>
      <c r="BC8" s="1" t="s">
        <v>807</v>
      </c>
      <c r="BD8" s="1" t="s">
        <v>926</v>
      </c>
      <c r="BE8" s="1">
        <v>112.4</v>
      </c>
      <c r="BF8" s="1">
        <v>108</v>
      </c>
      <c r="BG8" s="1">
        <v>4.4000000000000004</v>
      </c>
      <c r="BH8" s="1" t="s">
        <v>765</v>
      </c>
      <c r="BI8" s="1" t="s">
        <v>811</v>
      </c>
      <c r="BJ8" s="1" t="s">
        <v>808</v>
      </c>
      <c r="BK8" s="1" t="s">
        <v>784</v>
      </c>
      <c r="BL8" s="1" t="s">
        <v>927</v>
      </c>
      <c r="BM8" s="1" t="s">
        <v>323</v>
      </c>
      <c r="BN8" s="1" t="s">
        <v>276</v>
      </c>
      <c r="BO8" s="1" t="s">
        <v>276</v>
      </c>
      <c r="BP8" s="1" t="s">
        <v>233</v>
      </c>
      <c r="BQ8" s="1" t="s">
        <v>316</v>
      </c>
      <c r="BR8" s="1" t="s">
        <v>308</v>
      </c>
      <c r="BS8" s="1" t="s">
        <v>169</v>
      </c>
      <c r="BT8" s="1"/>
      <c r="BU8" s="1"/>
      <c r="BV8" s="1"/>
      <c r="BW8" s="1"/>
      <c r="BX8" s="1"/>
      <c r="BY8" s="1" t="s">
        <v>255</v>
      </c>
      <c r="BZ8" s="1" t="s">
        <v>928</v>
      </c>
      <c r="CA8" s="1" t="s">
        <v>270</v>
      </c>
      <c r="CB8" s="1" t="s">
        <v>875</v>
      </c>
      <c r="CC8" s="1" t="s">
        <v>929</v>
      </c>
    </row>
    <row r="9" spans="1:81" x14ac:dyDescent="0.25">
      <c r="A9" s="1" t="s">
        <v>145</v>
      </c>
      <c r="B9" s="1" t="s">
        <v>764</v>
      </c>
      <c r="C9" s="1">
        <v>1610612745</v>
      </c>
      <c r="D9" s="1" t="s">
        <v>229</v>
      </c>
      <c r="E9" s="1" t="s">
        <v>230</v>
      </c>
      <c r="F9" s="1" t="s">
        <v>149</v>
      </c>
      <c r="G9" s="1" t="s">
        <v>896</v>
      </c>
      <c r="H9" s="1">
        <v>4</v>
      </c>
      <c r="I9" s="1" t="s">
        <v>897</v>
      </c>
      <c r="J9" s="1" t="s">
        <v>231</v>
      </c>
      <c r="K9" s="1" t="s">
        <v>898</v>
      </c>
      <c r="L9" s="1">
        <v>1</v>
      </c>
      <c r="M9" s="1">
        <v>53</v>
      </c>
      <c r="N9" s="1">
        <v>29</v>
      </c>
      <c r="O9" s="1">
        <v>0.64600000000000002</v>
      </c>
      <c r="P9" s="1">
        <v>0</v>
      </c>
      <c r="Q9" s="1" t="s">
        <v>879</v>
      </c>
      <c r="R9" s="1" t="s">
        <v>862</v>
      </c>
      <c r="S9" s="1" t="s">
        <v>899</v>
      </c>
      <c r="T9" s="1" t="s">
        <v>184</v>
      </c>
      <c r="U9" s="1" t="s">
        <v>156</v>
      </c>
      <c r="V9" s="1" t="s">
        <v>193</v>
      </c>
      <c r="W9" s="1" t="s">
        <v>292</v>
      </c>
      <c r="X9" s="1" t="s">
        <v>900</v>
      </c>
      <c r="Y9" s="1" t="s">
        <v>901</v>
      </c>
      <c r="Z9" s="1">
        <v>10</v>
      </c>
      <c r="AA9" s="1" t="s">
        <v>797</v>
      </c>
      <c r="AB9" s="1">
        <v>6</v>
      </c>
      <c r="AC9" s="1" t="s">
        <v>188</v>
      </c>
      <c r="AD9" s="1">
        <v>9</v>
      </c>
      <c r="AE9" s="1">
        <v>4</v>
      </c>
      <c r="AF9" s="1">
        <v>7</v>
      </c>
      <c r="AG9" s="1" t="s">
        <v>902</v>
      </c>
      <c r="AH9" s="1">
        <v>-1</v>
      </c>
      <c r="AI9" s="1" t="s">
        <v>207</v>
      </c>
      <c r="AJ9" s="1">
        <v>-1</v>
      </c>
      <c r="AK9" s="1" t="s">
        <v>207</v>
      </c>
      <c r="AL9" s="1">
        <v>4</v>
      </c>
      <c r="AM9" s="1">
        <v>0</v>
      </c>
      <c r="AN9" s="1">
        <v>0</v>
      </c>
      <c r="AO9" s="1">
        <v>1</v>
      </c>
      <c r="AP9" s="1">
        <v>1</v>
      </c>
      <c r="AQ9" s="1">
        <v>0</v>
      </c>
      <c r="AR9" s="1">
        <v>0</v>
      </c>
      <c r="AS9" s="1" t="s">
        <v>903</v>
      </c>
      <c r="AT9" s="1" t="s">
        <v>904</v>
      </c>
      <c r="AU9" s="1" t="s">
        <v>157</v>
      </c>
      <c r="AV9" s="1" t="s">
        <v>905</v>
      </c>
      <c r="AW9" s="1" t="s">
        <v>906</v>
      </c>
      <c r="AX9" s="1" t="s">
        <v>190</v>
      </c>
      <c r="AY9" s="1" t="s">
        <v>849</v>
      </c>
      <c r="AZ9" s="1" t="s">
        <v>907</v>
      </c>
      <c r="BA9" s="1" t="s">
        <v>828</v>
      </c>
      <c r="BB9" s="1" t="s">
        <v>908</v>
      </c>
      <c r="BC9" s="1" t="s">
        <v>909</v>
      </c>
      <c r="BD9" s="1" t="s">
        <v>910</v>
      </c>
      <c r="BE9" s="1">
        <v>113.9</v>
      </c>
      <c r="BF9" s="1">
        <v>109.1</v>
      </c>
      <c r="BG9" s="1">
        <v>4.8</v>
      </c>
      <c r="BH9" s="1" t="s">
        <v>911</v>
      </c>
      <c r="BI9" s="1" t="s">
        <v>216</v>
      </c>
      <c r="BJ9" s="1" t="s">
        <v>266</v>
      </c>
      <c r="BK9" s="1" t="s">
        <v>296</v>
      </c>
      <c r="BL9" s="1" t="s">
        <v>896</v>
      </c>
      <c r="BM9" s="1" t="s">
        <v>912</v>
      </c>
      <c r="BN9" s="1" t="s">
        <v>833</v>
      </c>
      <c r="BO9" s="1" t="s">
        <v>811</v>
      </c>
      <c r="BP9" s="1" t="s">
        <v>291</v>
      </c>
      <c r="BQ9" s="1" t="s">
        <v>855</v>
      </c>
      <c r="BR9" s="1" t="s">
        <v>183</v>
      </c>
      <c r="BS9" s="1" t="s">
        <v>169</v>
      </c>
      <c r="BT9" s="1"/>
      <c r="BU9" s="1"/>
      <c r="BV9" s="1"/>
      <c r="BW9" s="1"/>
      <c r="BX9" s="1"/>
      <c r="BY9" s="1" t="s">
        <v>913</v>
      </c>
      <c r="BZ9" s="1" t="s">
        <v>835</v>
      </c>
      <c r="CA9" s="1" t="s">
        <v>233</v>
      </c>
      <c r="CB9" s="1" t="s">
        <v>914</v>
      </c>
      <c r="CC9" s="1" t="s">
        <v>915</v>
      </c>
    </row>
    <row r="10" spans="1:81" x14ac:dyDescent="0.25">
      <c r="A10" s="1" t="s">
        <v>145</v>
      </c>
      <c r="B10" s="1" t="s">
        <v>764</v>
      </c>
      <c r="C10" s="1">
        <v>1610612762</v>
      </c>
      <c r="D10" s="1" t="s">
        <v>283</v>
      </c>
      <c r="E10" s="1" t="s">
        <v>284</v>
      </c>
      <c r="F10" s="1" t="s">
        <v>149</v>
      </c>
      <c r="G10" s="1" t="s">
        <v>952</v>
      </c>
      <c r="H10" s="1">
        <v>5</v>
      </c>
      <c r="I10" s="1" t="s">
        <v>859</v>
      </c>
      <c r="J10" s="1" t="s">
        <v>219</v>
      </c>
      <c r="K10" s="1" t="s">
        <v>860</v>
      </c>
      <c r="L10" s="1">
        <v>3</v>
      </c>
      <c r="M10" s="1">
        <v>50</v>
      </c>
      <c r="N10" s="1">
        <v>32</v>
      </c>
      <c r="O10" s="1">
        <v>0.61</v>
      </c>
      <c r="P10" s="1">
        <v>0</v>
      </c>
      <c r="Q10" s="1" t="s">
        <v>953</v>
      </c>
      <c r="R10" s="1" t="s">
        <v>901</v>
      </c>
      <c r="S10" s="1" t="s">
        <v>880</v>
      </c>
      <c r="T10" s="1" t="s">
        <v>184</v>
      </c>
      <c r="U10" s="1" t="s">
        <v>184</v>
      </c>
      <c r="V10" s="1" t="s">
        <v>259</v>
      </c>
      <c r="W10" s="1" t="s">
        <v>164</v>
      </c>
      <c r="X10" s="1" t="s">
        <v>359</v>
      </c>
      <c r="Y10" s="1" t="s">
        <v>954</v>
      </c>
      <c r="Z10" s="1">
        <v>8</v>
      </c>
      <c r="AA10" s="1" t="s">
        <v>882</v>
      </c>
      <c r="AB10" s="1">
        <v>-5</v>
      </c>
      <c r="AC10" s="1" t="s">
        <v>272</v>
      </c>
      <c r="AD10" s="1">
        <v>7</v>
      </c>
      <c r="AE10" s="1">
        <v>4</v>
      </c>
      <c r="AF10" s="1">
        <v>8</v>
      </c>
      <c r="AG10" s="1" t="s">
        <v>882</v>
      </c>
      <c r="AH10" s="1">
        <v>-2</v>
      </c>
      <c r="AI10" s="1" t="s">
        <v>279</v>
      </c>
      <c r="AJ10" s="1">
        <v>-1</v>
      </c>
      <c r="AK10" s="1" t="s">
        <v>207</v>
      </c>
      <c r="AL10" s="1">
        <v>7</v>
      </c>
      <c r="AM10" s="1">
        <v>4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955</v>
      </c>
      <c r="AT10" s="1" t="s">
        <v>956</v>
      </c>
      <c r="AU10" s="1" t="s">
        <v>185</v>
      </c>
      <c r="AV10" s="1" t="s">
        <v>957</v>
      </c>
      <c r="AW10" s="1" t="s">
        <v>958</v>
      </c>
      <c r="AX10" s="1" t="s">
        <v>157</v>
      </c>
      <c r="AY10" s="1" t="s">
        <v>959</v>
      </c>
      <c r="AZ10" s="1" t="s">
        <v>960</v>
      </c>
      <c r="BA10" s="1" t="s">
        <v>961</v>
      </c>
      <c r="BB10" s="1" t="s">
        <v>962</v>
      </c>
      <c r="BC10" s="1" t="s">
        <v>919</v>
      </c>
      <c r="BD10" s="1" t="s">
        <v>963</v>
      </c>
      <c r="BE10" s="1">
        <v>111.7</v>
      </c>
      <c r="BF10" s="1">
        <v>106.5</v>
      </c>
      <c r="BG10" s="1">
        <v>5.3</v>
      </c>
      <c r="BH10" s="1" t="s">
        <v>810</v>
      </c>
      <c r="BI10" s="1" t="s">
        <v>266</v>
      </c>
      <c r="BJ10" s="1" t="s">
        <v>296</v>
      </c>
      <c r="BK10" s="1" t="s">
        <v>296</v>
      </c>
      <c r="BL10" s="1" t="s">
        <v>952</v>
      </c>
      <c r="BM10" s="1" t="s">
        <v>872</v>
      </c>
      <c r="BN10" s="1" t="s">
        <v>784</v>
      </c>
      <c r="BO10" s="1" t="s">
        <v>786</v>
      </c>
      <c r="BP10" s="1" t="s">
        <v>233</v>
      </c>
      <c r="BQ10" s="1" t="s">
        <v>256</v>
      </c>
      <c r="BR10" s="1" t="s">
        <v>233</v>
      </c>
      <c r="BS10" s="1" t="s">
        <v>214</v>
      </c>
      <c r="BT10" s="1"/>
      <c r="BU10" s="1"/>
      <c r="BV10" s="1"/>
      <c r="BW10" s="1"/>
      <c r="BX10" s="1"/>
      <c r="BY10" s="1" t="s">
        <v>249</v>
      </c>
      <c r="BZ10" s="1" t="s">
        <v>964</v>
      </c>
      <c r="CA10" s="1" t="s">
        <v>326</v>
      </c>
      <c r="CB10" s="1" t="s">
        <v>965</v>
      </c>
      <c r="CC10" s="1" t="s">
        <v>966</v>
      </c>
    </row>
    <row r="11" spans="1:81" x14ac:dyDescent="0.25">
      <c r="A11" s="1" t="s">
        <v>145</v>
      </c>
      <c r="B11" s="1" t="s">
        <v>764</v>
      </c>
      <c r="C11" s="1">
        <v>1610612754</v>
      </c>
      <c r="D11" s="1" t="s">
        <v>288</v>
      </c>
      <c r="E11" s="1" t="s">
        <v>289</v>
      </c>
      <c r="F11" s="1" t="s">
        <v>179</v>
      </c>
      <c r="G11" s="1" t="s">
        <v>930</v>
      </c>
      <c r="H11" s="1">
        <v>5</v>
      </c>
      <c r="I11" s="1" t="s">
        <v>859</v>
      </c>
      <c r="J11" s="1" t="s">
        <v>181</v>
      </c>
      <c r="K11" s="1" t="s">
        <v>931</v>
      </c>
      <c r="L11" s="1">
        <v>2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932</v>
      </c>
      <c r="R11" s="1" t="s">
        <v>901</v>
      </c>
      <c r="S11" s="1" t="s">
        <v>933</v>
      </c>
      <c r="T11" s="1" t="s">
        <v>310</v>
      </c>
      <c r="U11" s="1" t="s">
        <v>259</v>
      </c>
      <c r="V11" s="1" t="s">
        <v>320</v>
      </c>
      <c r="W11" s="1" t="s">
        <v>157</v>
      </c>
      <c r="X11" s="1" t="s">
        <v>302</v>
      </c>
      <c r="Y11" s="1" t="s">
        <v>934</v>
      </c>
      <c r="Z11" s="1">
        <v>5</v>
      </c>
      <c r="AA11" s="1" t="s">
        <v>160</v>
      </c>
      <c r="AB11" s="1">
        <v>-10</v>
      </c>
      <c r="AC11" s="1" t="s">
        <v>935</v>
      </c>
      <c r="AD11" s="1">
        <v>7</v>
      </c>
      <c r="AE11" s="1">
        <v>4</v>
      </c>
      <c r="AF11" s="1">
        <v>-2</v>
      </c>
      <c r="AG11" s="1" t="s">
        <v>279</v>
      </c>
      <c r="AH11" s="1">
        <v>2</v>
      </c>
      <c r="AI11" s="1" t="s">
        <v>222</v>
      </c>
      <c r="AJ11" s="1">
        <v>1</v>
      </c>
      <c r="AK11" s="1" t="s">
        <v>246</v>
      </c>
      <c r="AL11" s="1">
        <v>12</v>
      </c>
      <c r="AM11" s="1">
        <v>12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936</v>
      </c>
      <c r="AT11" s="1" t="s">
        <v>937</v>
      </c>
      <c r="AU11" s="1" t="s">
        <v>190</v>
      </c>
      <c r="AV11" s="1" t="s">
        <v>938</v>
      </c>
      <c r="AW11" s="1" t="s">
        <v>939</v>
      </c>
      <c r="AX11" s="1" t="s">
        <v>157</v>
      </c>
      <c r="AY11" s="1" t="s">
        <v>940</v>
      </c>
      <c r="AZ11" s="1" t="s">
        <v>941</v>
      </c>
      <c r="BA11" s="1" t="s">
        <v>942</v>
      </c>
      <c r="BB11" s="1" t="s">
        <v>943</v>
      </c>
      <c r="BC11" s="1" t="s">
        <v>944</v>
      </c>
      <c r="BD11" s="1" t="s">
        <v>945</v>
      </c>
      <c r="BE11" s="1">
        <v>108</v>
      </c>
      <c r="BF11" s="1">
        <v>104.7</v>
      </c>
      <c r="BG11" s="1">
        <v>3.3</v>
      </c>
      <c r="BH11" s="1" t="s">
        <v>930</v>
      </c>
      <c r="BI11" s="1" t="s">
        <v>946</v>
      </c>
      <c r="BJ11" s="1" t="s">
        <v>947</v>
      </c>
      <c r="BK11" s="1" t="s">
        <v>808</v>
      </c>
      <c r="BL11" s="1" t="s">
        <v>948</v>
      </c>
      <c r="BM11" s="1" t="s">
        <v>276</v>
      </c>
      <c r="BN11" s="1" t="s">
        <v>276</v>
      </c>
      <c r="BO11" s="1" t="s">
        <v>276</v>
      </c>
      <c r="BP11" s="1" t="s">
        <v>326</v>
      </c>
      <c r="BQ11" s="1" t="s">
        <v>949</v>
      </c>
      <c r="BR11" s="1" t="s">
        <v>371</v>
      </c>
      <c r="BS11" s="1" t="s">
        <v>228</v>
      </c>
      <c r="BT11" s="1"/>
      <c r="BU11" s="1"/>
      <c r="BV11" s="1"/>
      <c r="BW11" s="1"/>
      <c r="BX11" s="1"/>
      <c r="BY11" s="1" t="s">
        <v>315</v>
      </c>
      <c r="BZ11" s="1" t="s">
        <v>291</v>
      </c>
      <c r="CA11" s="1" t="s">
        <v>183</v>
      </c>
      <c r="CB11" s="1" t="s">
        <v>950</v>
      </c>
      <c r="CC11" s="1" t="s">
        <v>951</v>
      </c>
    </row>
    <row r="12" spans="1:81" x14ac:dyDescent="0.25">
      <c r="A12" s="1" t="s">
        <v>145</v>
      </c>
      <c r="B12" s="1" t="s">
        <v>764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967</v>
      </c>
      <c r="H12" s="1">
        <v>6</v>
      </c>
      <c r="I12" s="1" t="s">
        <v>859</v>
      </c>
      <c r="J12" s="1" t="s">
        <v>219</v>
      </c>
      <c r="K12" s="1" t="s">
        <v>968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916</v>
      </c>
      <c r="R12" s="1" t="s">
        <v>770</v>
      </c>
      <c r="S12" s="1" t="s">
        <v>899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969</v>
      </c>
      <c r="Y12" s="1" t="s">
        <v>970</v>
      </c>
      <c r="Z12" s="1">
        <v>7</v>
      </c>
      <c r="AA12" s="1" t="s">
        <v>902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971</v>
      </c>
      <c r="AT12" s="1" t="s">
        <v>972</v>
      </c>
      <c r="AU12" s="1" t="s">
        <v>186</v>
      </c>
      <c r="AV12" s="1" t="s">
        <v>973</v>
      </c>
      <c r="AW12" s="1" t="s">
        <v>974</v>
      </c>
      <c r="AX12" s="1" t="s">
        <v>157</v>
      </c>
      <c r="AY12" s="1" t="s">
        <v>975</v>
      </c>
      <c r="AZ12" s="1" t="s">
        <v>976</v>
      </c>
      <c r="BA12" s="1" t="s">
        <v>977</v>
      </c>
      <c r="BB12" s="1" t="s">
        <v>978</v>
      </c>
      <c r="BC12" s="1" t="s">
        <v>901</v>
      </c>
      <c r="BD12" s="1" t="s">
        <v>979</v>
      </c>
      <c r="BE12" s="1">
        <v>114.5</v>
      </c>
      <c r="BF12" s="1">
        <v>111.1</v>
      </c>
      <c r="BG12" s="1">
        <v>3.4</v>
      </c>
      <c r="BH12" s="1" t="s">
        <v>911</v>
      </c>
      <c r="BI12" s="1" t="s">
        <v>266</v>
      </c>
      <c r="BJ12" s="1" t="s">
        <v>216</v>
      </c>
      <c r="BK12" s="1" t="s">
        <v>296</v>
      </c>
      <c r="BL12" s="1" t="s">
        <v>967</v>
      </c>
      <c r="BM12" s="1" t="s">
        <v>980</v>
      </c>
      <c r="BN12" s="1" t="s">
        <v>786</v>
      </c>
      <c r="BO12" s="1" t="s">
        <v>946</v>
      </c>
      <c r="BP12" s="1" t="s">
        <v>270</v>
      </c>
      <c r="BQ12" s="1" t="s">
        <v>286</v>
      </c>
      <c r="BR12" s="1" t="s">
        <v>410</v>
      </c>
      <c r="BS12" s="1" t="s">
        <v>981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835</v>
      </c>
      <c r="CB12" s="1" t="s">
        <v>982</v>
      </c>
      <c r="CC12" s="1" t="s">
        <v>983</v>
      </c>
    </row>
    <row r="13" spans="1:81" x14ac:dyDescent="0.25">
      <c r="A13" s="1" t="s">
        <v>145</v>
      </c>
      <c r="B13" s="1" t="s">
        <v>764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877</v>
      </c>
      <c r="H13" s="1">
        <v>6</v>
      </c>
      <c r="I13" s="1" t="s">
        <v>859</v>
      </c>
      <c r="J13" s="1" t="s">
        <v>203</v>
      </c>
      <c r="K13" s="1" t="s">
        <v>860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984</v>
      </c>
      <c r="R13" s="1" t="s">
        <v>985</v>
      </c>
      <c r="S13" s="1" t="s">
        <v>933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986</v>
      </c>
      <c r="Y13" s="1" t="s">
        <v>987</v>
      </c>
      <c r="Z13" s="1">
        <v>9</v>
      </c>
      <c r="AA13" s="1" t="s">
        <v>988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881</v>
      </c>
      <c r="AT13" s="1" t="s">
        <v>989</v>
      </c>
      <c r="AU13" s="1" t="s">
        <v>273</v>
      </c>
      <c r="AV13" s="1" t="s">
        <v>990</v>
      </c>
      <c r="AW13" s="1" t="s">
        <v>991</v>
      </c>
      <c r="AX13" s="1" t="s">
        <v>224</v>
      </c>
      <c r="AY13" s="1" t="s">
        <v>992</v>
      </c>
      <c r="AZ13" s="1" t="s">
        <v>993</v>
      </c>
      <c r="BA13" s="1" t="s">
        <v>994</v>
      </c>
      <c r="BB13" s="1" t="s">
        <v>995</v>
      </c>
      <c r="BC13" s="1" t="s">
        <v>854</v>
      </c>
      <c r="BD13" s="1" t="s">
        <v>996</v>
      </c>
      <c r="BE13" s="1">
        <v>112.2</v>
      </c>
      <c r="BF13" s="1">
        <v>112.3</v>
      </c>
      <c r="BG13" s="1">
        <v>-0.1</v>
      </c>
      <c r="BH13" s="1" t="s">
        <v>877</v>
      </c>
      <c r="BI13" s="1" t="s">
        <v>872</v>
      </c>
      <c r="BJ13" s="1" t="s">
        <v>786</v>
      </c>
      <c r="BK13" s="1" t="s">
        <v>873</v>
      </c>
      <c r="BL13" s="1" t="s">
        <v>997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835</v>
      </c>
      <c r="CB13" s="1" t="s">
        <v>998</v>
      </c>
      <c r="CC13" s="1" t="s">
        <v>999</v>
      </c>
    </row>
    <row r="14" spans="1:81" x14ac:dyDescent="0.25">
      <c r="A14" s="1" t="s">
        <v>145</v>
      </c>
      <c r="B14" s="1" t="s">
        <v>764</v>
      </c>
      <c r="C14" s="1">
        <v>1610612759</v>
      </c>
      <c r="D14" s="1" t="s">
        <v>374</v>
      </c>
      <c r="E14" s="1" t="s">
        <v>375</v>
      </c>
      <c r="F14" s="1" t="s">
        <v>149</v>
      </c>
      <c r="G14" s="1" t="s">
        <v>952</v>
      </c>
      <c r="H14" s="1">
        <v>7</v>
      </c>
      <c r="I14" s="1" t="s">
        <v>859</v>
      </c>
      <c r="J14" s="1" t="s">
        <v>231</v>
      </c>
      <c r="K14" s="1" t="s">
        <v>898</v>
      </c>
      <c r="L14" s="1">
        <v>2</v>
      </c>
      <c r="M14" s="1">
        <v>48</v>
      </c>
      <c r="N14" s="1">
        <v>34</v>
      </c>
      <c r="O14" s="1">
        <v>0.58499999999999996</v>
      </c>
      <c r="P14" s="1">
        <v>0</v>
      </c>
      <c r="Q14" s="1" t="s">
        <v>932</v>
      </c>
      <c r="R14" s="1" t="s">
        <v>818</v>
      </c>
      <c r="S14" s="1" t="s">
        <v>1013</v>
      </c>
      <c r="T14" s="1" t="s">
        <v>259</v>
      </c>
      <c r="U14" s="1" t="s">
        <v>184</v>
      </c>
      <c r="V14" s="1" t="s">
        <v>265</v>
      </c>
      <c r="W14" s="1" t="s">
        <v>153</v>
      </c>
      <c r="X14" s="1" t="s">
        <v>1014</v>
      </c>
      <c r="Y14" s="1" t="s">
        <v>1001</v>
      </c>
      <c r="Z14" s="1">
        <v>11</v>
      </c>
      <c r="AA14" s="1" t="s">
        <v>772</v>
      </c>
      <c r="AB14" s="1">
        <v>-5</v>
      </c>
      <c r="AC14" s="1" t="s">
        <v>272</v>
      </c>
      <c r="AD14" s="1">
        <v>9</v>
      </c>
      <c r="AE14" s="1">
        <v>4</v>
      </c>
      <c r="AF14" s="1">
        <v>2</v>
      </c>
      <c r="AG14" s="1" t="s">
        <v>222</v>
      </c>
      <c r="AH14" s="1">
        <v>2</v>
      </c>
      <c r="AI14" s="1" t="s">
        <v>222</v>
      </c>
      <c r="AJ14" s="1">
        <v>3</v>
      </c>
      <c r="AK14" s="1" t="s">
        <v>223</v>
      </c>
      <c r="AL14" s="1">
        <v>9</v>
      </c>
      <c r="AM14" s="1">
        <v>5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1015</v>
      </c>
      <c r="AT14" s="1" t="s">
        <v>1016</v>
      </c>
      <c r="AU14" s="1" t="s">
        <v>163</v>
      </c>
      <c r="AV14" s="1" t="s">
        <v>1017</v>
      </c>
      <c r="AW14" s="1" t="s">
        <v>1016</v>
      </c>
      <c r="AX14" s="1" t="s">
        <v>164</v>
      </c>
      <c r="AY14" s="1" t="s">
        <v>1018</v>
      </c>
      <c r="AZ14" s="1" t="s">
        <v>1019</v>
      </c>
      <c r="BA14" s="1" t="s">
        <v>1003</v>
      </c>
      <c r="BB14" s="1" t="s">
        <v>773</v>
      </c>
      <c r="BC14" s="1" t="s">
        <v>1020</v>
      </c>
      <c r="BD14" s="1" t="s">
        <v>1021</v>
      </c>
      <c r="BE14" s="1">
        <v>111.7</v>
      </c>
      <c r="BF14" s="1">
        <v>110</v>
      </c>
      <c r="BG14" s="1">
        <v>1.7</v>
      </c>
      <c r="BH14" s="1" t="s">
        <v>1022</v>
      </c>
      <c r="BI14" s="1" t="s">
        <v>266</v>
      </c>
      <c r="BJ14" s="1" t="s">
        <v>296</v>
      </c>
      <c r="BK14" s="1" t="s">
        <v>276</v>
      </c>
      <c r="BL14" s="1" t="s">
        <v>952</v>
      </c>
      <c r="BM14" s="1" t="s">
        <v>786</v>
      </c>
      <c r="BN14" s="1" t="s">
        <v>786</v>
      </c>
      <c r="BO14" s="1" t="s">
        <v>811</v>
      </c>
      <c r="BP14" s="1" t="s">
        <v>261</v>
      </c>
      <c r="BQ14" s="1" t="s">
        <v>398</v>
      </c>
      <c r="BR14" s="1" t="s">
        <v>253</v>
      </c>
      <c r="BS14" s="1" t="s">
        <v>169</v>
      </c>
      <c r="BT14" s="1"/>
      <c r="BU14" s="1"/>
      <c r="BV14" s="1"/>
      <c r="BW14" s="1"/>
      <c r="BX14" s="1"/>
      <c r="BY14" s="1" t="s">
        <v>255</v>
      </c>
      <c r="BZ14" s="1" t="s">
        <v>349</v>
      </c>
      <c r="CA14" s="1" t="s">
        <v>947</v>
      </c>
      <c r="CB14" s="1" t="s">
        <v>1023</v>
      </c>
      <c r="CC14" s="1" t="s">
        <v>837</v>
      </c>
    </row>
    <row r="15" spans="1:81" x14ac:dyDescent="0.25">
      <c r="A15" s="1" t="s">
        <v>145</v>
      </c>
      <c r="B15" s="1" t="s">
        <v>764</v>
      </c>
      <c r="C15" s="1">
        <v>1610612753</v>
      </c>
      <c r="D15" s="1" t="s">
        <v>317</v>
      </c>
      <c r="E15" s="1" t="s">
        <v>318</v>
      </c>
      <c r="F15" s="1" t="s">
        <v>179</v>
      </c>
      <c r="G15" s="1" t="s">
        <v>952</v>
      </c>
      <c r="H15" s="1">
        <v>7</v>
      </c>
      <c r="I15" s="1" t="s">
        <v>1000</v>
      </c>
      <c r="J15" s="1" t="s">
        <v>244</v>
      </c>
      <c r="K15" s="1" t="s">
        <v>898</v>
      </c>
      <c r="L15" s="1">
        <v>1</v>
      </c>
      <c r="M15" s="1">
        <v>42</v>
      </c>
      <c r="N15" s="1">
        <v>40</v>
      </c>
      <c r="O15" s="1">
        <v>0.51200000000000001</v>
      </c>
      <c r="P15" s="1">
        <v>0</v>
      </c>
      <c r="Q15" s="1" t="s">
        <v>984</v>
      </c>
      <c r="R15" s="1" t="s">
        <v>1001</v>
      </c>
      <c r="S15" s="1" t="s">
        <v>1002</v>
      </c>
      <c r="T15" s="1" t="s">
        <v>184</v>
      </c>
      <c r="U15" s="1" t="s">
        <v>156</v>
      </c>
      <c r="V15" s="1" t="s">
        <v>310</v>
      </c>
      <c r="W15" s="1" t="s">
        <v>339</v>
      </c>
      <c r="X15" s="1" t="s">
        <v>340</v>
      </c>
      <c r="Y15" s="1" t="s">
        <v>1003</v>
      </c>
      <c r="Z15" s="1">
        <v>9</v>
      </c>
      <c r="AA15" s="1" t="s">
        <v>988</v>
      </c>
      <c r="AB15" s="1">
        <v>-5</v>
      </c>
      <c r="AC15" s="1" t="s">
        <v>272</v>
      </c>
      <c r="AD15" s="1">
        <v>6</v>
      </c>
      <c r="AE15" s="1">
        <v>4</v>
      </c>
      <c r="AF15" s="1">
        <v>9</v>
      </c>
      <c r="AG15" s="1" t="s">
        <v>988</v>
      </c>
      <c r="AH15" s="1">
        <v>2</v>
      </c>
      <c r="AI15" s="1" t="s">
        <v>222</v>
      </c>
      <c r="AJ15" s="1">
        <v>4</v>
      </c>
      <c r="AK15" s="1" t="s">
        <v>159</v>
      </c>
      <c r="AL15" s="1">
        <v>18</v>
      </c>
      <c r="AM15" s="1">
        <v>0</v>
      </c>
      <c r="AN15" s="1">
        <v>0</v>
      </c>
      <c r="AO15" s="1">
        <v>1</v>
      </c>
      <c r="AP15" s="1">
        <v>1</v>
      </c>
      <c r="AQ15" s="1">
        <v>0</v>
      </c>
      <c r="AR15" s="1">
        <v>0</v>
      </c>
      <c r="AS15" s="1" t="s">
        <v>769</v>
      </c>
      <c r="AT15" s="1" t="s">
        <v>1004</v>
      </c>
      <c r="AU15" s="1" t="s">
        <v>164</v>
      </c>
      <c r="AV15" s="1" t="s">
        <v>1005</v>
      </c>
      <c r="AW15" s="1" t="s">
        <v>1006</v>
      </c>
      <c r="AX15" s="1" t="s">
        <v>185</v>
      </c>
      <c r="AY15" s="1" t="s">
        <v>1007</v>
      </c>
      <c r="AZ15" s="1" t="s">
        <v>1008</v>
      </c>
      <c r="BA15" s="1" t="s">
        <v>1009</v>
      </c>
      <c r="BB15" s="1" t="s">
        <v>1005</v>
      </c>
      <c r="BC15" s="1" t="s">
        <v>917</v>
      </c>
      <c r="BD15" s="1" t="s">
        <v>918</v>
      </c>
      <c r="BE15" s="1">
        <v>107.3</v>
      </c>
      <c r="BF15" s="1">
        <v>106.6</v>
      </c>
      <c r="BG15" s="1">
        <v>0.7</v>
      </c>
      <c r="BH15" s="1" t="s">
        <v>952</v>
      </c>
      <c r="BI15" s="1" t="s">
        <v>873</v>
      </c>
      <c r="BJ15" s="1" t="s">
        <v>946</v>
      </c>
      <c r="BK15" s="1" t="s">
        <v>811</v>
      </c>
      <c r="BL15" s="1" t="s">
        <v>1010</v>
      </c>
      <c r="BM15" s="1" t="s">
        <v>393</v>
      </c>
      <c r="BN15" s="1" t="s">
        <v>323</v>
      </c>
      <c r="BO15" s="1" t="s">
        <v>266</v>
      </c>
      <c r="BP15" s="1" t="s">
        <v>386</v>
      </c>
      <c r="BQ15" s="1" t="s">
        <v>240</v>
      </c>
      <c r="BR15" s="1" t="s">
        <v>270</v>
      </c>
      <c r="BS15" s="1" t="s">
        <v>169</v>
      </c>
      <c r="BT15" s="1"/>
      <c r="BU15" s="1"/>
      <c r="BV15" s="1"/>
      <c r="BW15" s="1"/>
      <c r="BX15" s="1"/>
      <c r="BY15" s="1" t="s">
        <v>345</v>
      </c>
      <c r="BZ15" s="1" t="s">
        <v>980</v>
      </c>
      <c r="CA15" s="1" t="s">
        <v>1011</v>
      </c>
      <c r="CB15" s="1" t="s">
        <v>1012</v>
      </c>
      <c r="CC15" s="1" t="s">
        <v>837</v>
      </c>
    </row>
    <row r="16" spans="1:81" x14ac:dyDescent="0.25">
      <c r="A16" s="1" t="s">
        <v>145</v>
      </c>
      <c r="B16" s="1" t="s">
        <v>764</v>
      </c>
      <c r="C16" s="1">
        <v>1610612746</v>
      </c>
      <c r="D16" s="1" t="s">
        <v>257</v>
      </c>
      <c r="E16" s="1" t="s">
        <v>258</v>
      </c>
      <c r="F16" s="1" t="s">
        <v>149</v>
      </c>
      <c r="G16" s="1" t="s">
        <v>967</v>
      </c>
      <c r="H16" s="1">
        <v>8</v>
      </c>
      <c r="I16" s="1" t="s">
        <v>859</v>
      </c>
      <c r="J16" s="1" t="s">
        <v>152</v>
      </c>
      <c r="K16" s="1" t="s">
        <v>931</v>
      </c>
      <c r="L16" s="1">
        <v>2</v>
      </c>
      <c r="M16" s="1">
        <v>48</v>
      </c>
      <c r="N16" s="1">
        <v>34</v>
      </c>
      <c r="O16" s="1">
        <v>0.58499999999999996</v>
      </c>
      <c r="P16" s="1">
        <v>0</v>
      </c>
      <c r="Q16" s="1" t="s">
        <v>932</v>
      </c>
      <c r="R16" s="1" t="s">
        <v>819</v>
      </c>
      <c r="S16" s="1" t="s">
        <v>899</v>
      </c>
      <c r="T16" s="1" t="s">
        <v>259</v>
      </c>
      <c r="U16" s="1" t="s">
        <v>193</v>
      </c>
      <c r="V16" s="1" t="s">
        <v>259</v>
      </c>
      <c r="W16" s="1" t="s">
        <v>158</v>
      </c>
      <c r="X16" s="1" t="s">
        <v>166</v>
      </c>
      <c r="Y16" s="1" t="s">
        <v>985</v>
      </c>
      <c r="Z16" s="1">
        <v>9</v>
      </c>
      <c r="AA16" s="1" t="s">
        <v>988</v>
      </c>
      <c r="AB16" s="1">
        <v>5</v>
      </c>
      <c r="AC16" s="1" t="s">
        <v>160</v>
      </c>
      <c r="AD16" s="1">
        <v>6</v>
      </c>
      <c r="AE16" s="1">
        <v>5</v>
      </c>
      <c r="AF16" s="1">
        <v>1</v>
      </c>
      <c r="AG16" s="1" t="s">
        <v>246</v>
      </c>
      <c r="AH16" s="1">
        <v>-2</v>
      </c>
      <c r="AI16" s="1" t="s">
        <v>279</v>
      </c>
      <c r="AJ16" s="1">
        <v>1</v>
      </c>
      <c r="AK16" s="1" t="s">
        <v>246</v>
      </c>
      <c r="AL16" s="1">
        <v>9</v>
      </c>
      <c r="AM16" s="1">
        <v>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1005</v>
      </c>
      <c r="AT16" s="1" t="s">
        <v>1039</v>
      </c>
      <c r="AU16" s="1" t="s">
        <v>260</v>
      </c>
      <c r="AV16" s="1" t="s">
        <v>1040</v>
      </c>
      <c r="AW16" s="1" t="s">
        <v>1041</v>
      </c>
      <c r="AX16" s="1" t="s">
        <v>190</v>
      </c>
      <c r="AY16" s="1" t="s">
        <v>1042</v>
      </c>
      <c r="AZ16" s="1" t="s">
        <v>1043</v>
      </c>
      <c r="BA16" s="1" t="s">
        <v>1044</v>
      </c>
      <c r="BB16" s="1" t="s">
        <v>1045</v>
      </c>
      <c r="BC16" s="1" t="s">
        <v>1046</v>
      </c>
      <c r="BD16" s="1" t="s">
        <v>1047</v>
      </c>
      <c r="BE16" s="1">
        <v>115.1</v>
      </c>
      <c r="BF16" s="1">
        <v>114.3</v>
      </c>
      <c r="BG16" s="1">
        <v>0.9</v>
      </c>
      <c r="BH16" s="1" t="s">
        <v>810</v>
      </c>
      <c r="BI16" s="1" t="s">
        <v>266</v>
      </c>
      <c r="BJ16" s="1" t="s">
        <v>296</v>
      </c>
      <c r="BK16" s="1" t="s">
        <v>296</v>
      </c>
      <c r="BL16" s="1" t="s">
        <v>967</v>
      </c>
      <c r="BM16" s="1" t="s">
        <v>1048</v>
      </c>
      <c r="BN16" s="1" t="s">
        <v>947</v>
      </c>
      <c r="BO16" s="1" t="s">
        <v>786</v>
      </c>
      <c r="BP16" s="1" t="s">
        <v>964</v>
      </c>
      <c r="BQ16" s="1" t="s">
        <v>286</v>
      </c>
      <c r="BR16" s="1" t="s">
        <v>1049</v>
      </c>
      <c r="BS16" s="1" t="s">
        <v>282</v>
      </c>
      <c r="BT16" s="1"/>
      <c r="BU16" s="1"/>
      <c r="BV16" s="1"/>
      <c r="BW16" s="1"/>
      <c r="BX16" s="1"/>
      <c r="BY16" s="1" t="s">
        <v>249</v>
      </c>
      <c r="BZ16" s="1" t="s">
        <v>204</v>
      </c>
      <c r="CA16" s="1" t="s">
        <v>337</v>
      </c>
      <c r="CB16" s="1" t="s">
        <v>1050</v>
      </c>
      <c r="CC16" s="1" t="s">
        <v>1051</v>
      </c>
    </row>
    <row r="17" spans="1:81" x14ac:dyDescent="0.25">
      <c r="A17" s="1" t="s">
        <v>145</v>
      </c>
      <c r="B17" s="1" t="s">
        <v>764</v>
      </c>
      <c r="C17" s="1">
        <v>1610612765</v>
      </c>
      <c r="D17" s="1" t="s">
        <v>380</v>
      </c>
      <c r="E17" s="1" t="s">
        <v>381</v>
      </c>
      <c r="F17" s="1" t="s">
        <v>179</v>
      </c>
      <c r="G17" s="1" t="s">
        <v>1024</v>
      </c>
      <c r="H17" s="1">
        <v>8</v>
      </c>
      <c r="I17" s="1" t="s">
        <v>859</v>
      </c>
      <c r="J17" s="1" t="s">
        <v>181</v>
      </c>
      <c r="K17" s="1" t="s">
        <v>860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1025</v>
      </c>
      <c r="R17" s="1" t="s">
        <v>819</v>
      </c>
      <c r="S17" s="1" t="s">
        <v>1026</v>
      </c>
      <c r="T17" s="1" t="s">
        <v>310</v>
      </c>
      <c r="U17" s="1" t="s">
        <v>184</v>
      </c>
      <c r="V17" s="1" t="s">
        <v>320</v>
      </c>
      <c r="W17" s="1" t="s">
        <v>221</v>
      </c>
      <c r="X17" s="1" t="s">
        <v>355</v>
      </c>
      <c r="Y17" s="1" t="s">
        <v>1027</v>
      </c>
      <c r="Z17" s="1">
        <v>11</v>
      </c>
      <c r="AA17" s="1" t="s">
        <v>772</v>
      </c>
      <c r="AB17" s="1">
        <v>-5</v>
      </c>
      <c r="AC17" s="1" t="s">
        <v>272</v>
      </c>
      <c r="AD17" s="1">
        <v>5</v>
      </c>
      <c r="AE17" s="1">
        <v>6</v>
      </c>
      <c r="AF17" s="1">
        <v>1</v>
      </c>
      <c r="AG17" s="1" t="s">
        <v>246</v>
      </c>
      <c r="AH17" s="1">
        <v>1</v>
      </c>
      <c r="AI17" s="1" t="s">
        <v>246</v>
      </c>
      <c r="AJ17" s="1">
        <v>2</v>
      </c>
      <c r="AK17" s="1" t="s">
        <v>222</v>
      </c>
      <c r="AL17" s="1">
        <v>19</v>
      </c>
      <c r="AM17" s="1">
        <v>19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1028</v>
      </c>
      <c r="AT17" s="1" t="s">
        <v>1029</v>
      </c>
      <c r="AU17" s="1" t="s">
        <v>186</v>
      </c>
      <c r="AV17" s="1" t="s">
        <v>881</v>
      </c>
      <c r="AW17" s="1" t="s">
        <v>1030</v>
      </c>
      <c r="AX17" s="1" t="s">
        <v>161</v>
      </c>
      <c r="AY17" s="1" t="s">
        <v>1031</v>
      </c>
      <c r="AZ17" s="1" t="s">
        <v>1032</v>
      </c>
      <c r="BA17" s="1" t="s">
        <v>1033</v>
      </c>
      <c r="BB17" s="1" t="s">
        <v>1034</v>
      </c>
      <c r="BC17" s="1" t="s">
        <v>1035</v>
      </c>
      <c r="BD17" s="1" t="s">
        <v>1036</v>
      </c>
      <c r="BE17" s="1">
        <v>107</v>
      </c>
      <c r="BF17" s="1">
        <v>107.3</v>
      </c>
      <c r="BG17" s="1">
        <v>-0.2</v>
      </c>
      <c r="BH17" s="1" t="s">
        <v>1024</v>
      </c>
      <c r="BI17" s="1" t="s">
        <v>786</v>
      </c>
      <c r="BJ17" s="1" t="s">
        <v>872</v>
      </c>
      <c r="BK17" s="1" t="s">
        <v>946</v>
      </c>
      <c r="BL17" s="1" t="s">
        <v>927</v>
      </c>
      <c r="BM17" s="1" t="s">
        <v>323</v>
      </c>
      <c r="BN17" s="1" t="s">
        <v>276</v>
      </c>
      <c r="BO17" s="1" t="s">
        <v>276</v>
      </c>
      <c r="BP17" s="1" t="s">
        <v>410</v>
      </c>
      <c r="BQ17" s="1" t="s">
        <v>296</v>
      </c>
      <c r="BR17" s="1" t="s">
        <v>811</v>
      </c>
      <c r="BS17" s="1" t="s">
        <v>274</v>
      </c>
      <c r="BT17" s="1"/>
      <c r="BU17" s="1"/>
      <c r="BV17" s="1"/>
      <c r="BW17" s="1"/>
      <c r="BX17" s="1"/>
      <c r="BY17" s="1" t="s">
        <v>249</v>
      </c>
      <c r="BZ17" s="1" t="s">
        <v>855</v>
      </c>
      <c r="CA17" s="1" t="s">
        <v>397</v>
      </c>
      <c r="CB17" s="1" t="s">
        <v>1037</v>
      </c>
      <c r="CC17" s="1" t="s">
        <v>1038</v>
      </c>
    </row>
    <row r="18" spans="1:81" x14ac:dyDescent="0.25">
      <c r="A18" s="1" t="s">
        <v>145</v>
      </c>
      <c r="B18" s="1" t="s">
        <v>764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1065</v>
      </c>
      <c r="H18" s="1">
        <v>9</v>
      </c>
      <c r="I18" s="1" t="s">
        <v>1052</v>
      </c>
      <c r="J18" s="1" t="s">
        <v>152</v>
      </c>
      <c r="K18" s="1" t="s">
        <v>1066</v>
      </c>
      <c r="L18" s="1">
        <v>3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1053</v>
      </c>
      <c r="R18" s="1" t="s">
        <v>1067</v>
      </c>
      <c r="S18" s="1" t="s">
        <v>1026</v>
      </c>
      <c r="T18" s="1" t="s">
        <v>341</v>
      </c>
      <c r="U18" s="1" t="s">
        <v>265</v>
      </c>
      <c r="V18" s="1" t="s">
        <v>320</v>
      </c>
      <c r="W18" s="1" t="s">
        <v>164</v>
      </c>
      <c r="X18" s="1" t="s">
        <v>969</v>
      </c>
      <c r="Y18" s="1" t="s">
        <v>1068</v>
      </c>
      <c r="Z18" s="1">
        <v>7</v>
      </c>
      <c r="AA18" s="1" t="s">
        <v>902</v>
      </c>
      <c r="AB18" s="1">
        <v>-5</v>
      </c>
      <c r="AC18" s="1" t="s">
        <v>272</v>
      </c>
      <c r="AD18" s="1">
        <v>5</v>
      </c>
      <c r="AE18" s="1">
        <v>4</v>
      </c>
      <c r="AF18" s="1">
        <v>-1</v>
      </c>
      <c r="AG18" s="1" t="s">
        <v>207</v>
      </c>
      <c r="AH18" s="1">
        <v>-2</v>
      </c>
      <c r="AI18" s="1" t="s">
        <v>279</v>
      </c>
      <c r="AJ18" s="1">
        <v>-3</v>
      </c>
      <c r="AK18" s="1" t="s">
        <v>301</v>
      </c>
      <c r="AL18" s="1">
        <v>18</v>
      </c>
      <c r="AM18" s="1">
        <v>18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1069</v>
      </c>
      <c r="AT18" s="1" t="s">
        <v>1070</v>
      </c>
      <c r="AU18" s="1" t="s">
        <v>260</v>
      </c>
      <c r="AV18" s="1" t="s">
        <v>1071</v>
      </c>
      <c r="AW18" s="1" t="s">
        <v>1072</v>
      </c>
      <c r="AX18" s="1" t="s">
        <v>339</v>
      </c>
      <c r="AY18" s="1" t="s">
        <v>1073</v>
      </c>
      <c r="AZ18" s="1" t="s">
        <v>1074</v>
      </c>
      <c r="BA18" s="1" t="s">
        <v>1075</v>
      </c>
      <c r="BB18" s="1" t="s">
        <v>1076</v>
      </c>
      <c r="BC18" s="1" t="s">
        <v>1047</v>
      </c>
      <c r="BD18" s="1" t="s">
        <v>1077</v>
      </c>
      <c r="BE18" s="1">
        <v>114.2</v>
      </c>
      <c r="BF18" s="1">
        <v>115.3</v>
      </c>
      <c r="BG18" s="1">
        <v>-1.1000000000000001</v>
      </c>
      <c r="BH18" s="1" t="s">
        <v>1022</v>
      </c>
      <c r="BI18" s="1" t="s">
        <v>398</v>
      </c>
      <c r="BJ18" s="1" t="s">
        <v>296</v>
      </c>
      <c r="BK18" s="1" t="s">
        <v>216</v>
      </c>
      <c r="BL18" s="1" t="s">
        <v>1065</v>
      </c>
      <c r="BM18" s="1" t="s">
        <v>1048</v>
      </c>
      <c r="BN18" s="1" t="s">
        <v>1078</v>
      </c>
      <c r="BO18" s="1" t="s">
        <v>786</v>
      </c>
      <c r="BP18" s="1" t="s">
        <v>928</v>
      </c>
      <c r="BQ18" s="1" t="s">
        <v>276</v>
      </c>
      <c r="BR18" s="1" t="s">
        <v>964</v>
      </c>
      <c r="BS18" s="1" t="s">
        <v>344</v>
      </c>
      <c r="BT18" s="1"/>
      <c r="BU18" s="1"/>
      <c r="BV18" s="1"/>
      <c r="BW18" s="1"/>
      <c r="BX18" s="1"/>
      <c r="BY18" s="1" t="s">
        <v>315</v>
      </c>
      <c r="BZ18" s="1" t="s">
        <v>1011</v>
      </c>
      <c r="CA18" s="1" t="s">
        <v>835</v>
      </c>
      <c r="CB18" s="1" t="s">
        <v>1079</v>
      </c>
      <c r="CC18" s="1" t="s">
        <v>1080</v>
      </c>
    </row>
    <row r="19" spans="1:81" x14ac:dyDescent="0.25">
      <c r="A19" s="1" t="s">
        <v>145</v>
      </c>
      <c r="B19" s="1" t="s">
        <v>764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877</v>
      </c>
      <c r="H19" s="1">
        <v>9</v>
      </c>
      <c r="I19" s="1" t="s">
        <v>1052</v>
      </c>
      <c r="J19" s="1" t="s">
        <v>244</v>
      </c>
      <c r="K19" s="1" t="s">
        <v>898</v>
      </c>
      <c r="L19" s="1">
        <v>2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1053</v>
      </c>
      <c r="R19" s="1" t="s">
        <v>1001</v>
      </c>
      <c r="S19" s="1" t="s">
        <v>1054</v>
      </c>
      <c r="T19" s="1" t="s">
        <v>259</v>
      </c>
      <c r="U19" s="1" t="s">
        <v>265</v>
      </c>
      <c r="V19" s="1" t="s">
        <v>265</v>
      </c>
      <c r="W19" s="1" t="s">
        <v>262</v>
      </c>
      <c r="X19" s="1" t="s">
        <v>878</v>
      </c>
      <c r="Y19" s="1" t="s">
        <v>880</v>
      </c>
      <c r="Z19" s="1">
        <v>5</v>
      </c>
      <c r="AA19" s="1" t="s">
        <v>160</v>
      </c>
      <c r="AB19" s="1">
        <v>-4</v>
      </c>
      <c r="AC19" s="1" t="s">
        <v>263</v>
      </c>
      <c r="AD19" s="1">
        <v>4</v>
      </c>
      <c r="AE19" s="1">
        <v>3</v>
      </c>
      <c r="AF19" s="1">
        <v>-1</v>
      </c>
      <c r="AG19" s="1" t="s">
        <v>207</v>
      </c>
      <c r="AH19" s="1">
        <v>3</v>
      </c>
      <c r="AI19" s="1" t="s">
        <v>223</v>
      </c>
      <c r="AJ19" s="1">
        <v>-1</v>
      </c>
      <c r="AK19" s="1" t="s">
        <v>207</v>
      </c>
      <c r="AL19" s="1">
        <v>21</v>
      </c>
      <c r="AM19" s="1">
        <v>3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1055</v>
      </c>
      <c r="AT19" s="1" t="s">
        <v>1056</v>
      </c>
      <c r="AU19" s="1" t="s">
        <v>190</v>
      </c>
      <c r="AV19" s="1" t="s">
        <v>795</v>
      </c>
      <c r="AW19" s="1" t="s">
        <v>1057</v>
      </c>
      <c r="AX19" s="1" t="s">
        <v>186</v>
      </c>
      <c r="AY19" s="1" t="s">
        <v>1058</v>
      </c>
      <c r="AZ19" s="1" t="s">
        <v>1059</v>
      </c>
      <c r="BA19" s="1" t="s">
        <v>972</v>
      </c>
      <c r="BB19" s="1" t="s">
        <v>1060</v>
      </c>
      <c r="BC19" s="1" t="s">
        <v>1061</v>
      </c>
      <c r="BD19" s="1" t="s">
        <v>1062</v>
      </c>
      <c r="BE19" s="1">
        <v>110.7</v>
      </c>
      <c r="BF19" s="1">
        <v>111.8</v>
      </c>
      <c r="BG19" s="1">
        <v>-1.1000000000000001</v>
      </c>
      <c r="BH19" s="1" t="s">
        <v>877</v>
      </c>
      <c r="BI19" s="1" t="s">
        <v>912</v>
      </c>
      <c r="BJ19" s="1" t="s">
        <v>873</v>
      </c>
      <c r="BK19" s="1" t="s">
        <v>811</v>
      </c>
      <c r="BL19" s="1" t="s">
        <v>1063</v>
      </c>
      <c r="BM19" s="1" t="s">
        <v>393</v>
      </c>
      <c r="BN19" s="1" t="s">
        <v>398</v>
      </c>
      <c r="BO19" s="1" t="s">
        <v>276</v>
      </c>
      <c r="BP19" s="1" t="s">
        <v>299</v>
      </c>
      <c r="BQ19" s="1" t="s">
        <v>388</v>
      </c>
      <c r="BR19" s="1" t="s">
        <v>928</v>
      </c>
      <c r="BS19" s="1" t="s">
        <v>214</v>
      </c>
      <c r="BT19" s="1"/>
      <c r="BU19" s="1"/>
      <c r="BV19" s="1"/>
      <c r="BW19" s="1"/>
      <c r="BX19" s="1"/>
      <c r="BY19" s="1" t="s">
        <v>343</v>
      </c>
      <c r="BZ19" s="1" t="s">
        <v>326</v>
      </c>
      <c r="CA19" s="1" t="s">
        <v>326</v>
      </c>
      <c r="CB19" s="1" t="s">
        <v>1064</v>
      </c>
      <c r="CC19" s="1" t="s">
        <v>983</v>
      </c>
    </row>
    <row r="20" spans="1:81" x14ac:dyDescent="0.25">
      <c r="A20" s="1" t="s">
        <v>145</v>
      </c>
      <c r="B20" s="1" t="s">
        <v>764</v>
      </c>
      <c r="C20" s="1">
        <v>1610612748</v>
      </c>
      <c r="D20" s="1" t="s">
        <v>241</v>
      </c>
      <c r="E20" s="1" t="s">
        <v>242</v>
      </c>
      <c r="F20" s="1" t="s">
        <v>179</v>
      </c>
      <c r="G20" s="1" t="s">
        <v>1095</v>
      </c>
      <c r="H20" s="1">
        <v>10</v>
      </c>
      <c r="I20" s="1" t="s">
        <v>1052</v>
      </c>
      <c r="J20" s="1" t="s">
        <v>244</v>
      </c>
      <c r="K20" s="1" t="s">
        <v>1096</v>
      </c>
      <c r="L20" s="1">
        <v>3</v>
      </c>
      <c r="M20" s="1">
        <v>39</v>
      </c>
      <c r="N20" s="1">
        <v>43</v>
      </c>
      <c r="O20" s="1">
        <v>0.47599999999999998</v>
      </c>
      <c r="P20" s="1">
        <v>0</v>
      </c>
      <c r="Q20" s="1" t="s">
        <v>1053</v>
      </c>
      <c r="R20" s="1" t="s">
        <v>933</v>
      </c>
      <c r="S20" s="1" t="s">
        <v>842</v>
      </c>
      <c r="T20" s="1" t="s">
        <v>310</v>
      </c>
      <c r="U20" s="1" t="s">
        <v>259</v>
      </c>
      <c r="V20" s="1" t="s">
        <v>265</v>
      </c>
      <c r="W20" s="1" t="s">
        <v>186</v>
      </c>
      <c r="X20" s="1" t="s">
        <v>355</v>
      </c>
      <c r="Y20" s="1" t="s">
        <v>1097</v>
      </c>
      <c r="Z20" s="1">
        <v>-6</v>
      </c>
      <c r="AA20" s="1" t="s">
        <v>367</v>
      </c>
      <c r="AB20" s="1">
        <v>4</v>
      </c>
      <c r="AC20" s="1" t="s">
        <v>159</v>
      </c>
      <c r="AD20" s="1">
        <v>5</v>
      </c>
      <c r="AE20" s="1">
        <v>4</v>
      </c>
      <c r="AF20" s="1">
        <v>1</v>
      </c>
      <c r="AG20" s="1" t="s">
        <v>246</v>
      </c>
      <c r="AH20" s="1">
        <v>-4</v>
      </c>
      <c r="AI20" s="1" t="s">
        <v>263</v>
      </c>
      <c r="AJ20" s="1">
        <v>-1</v>
      </c>
      <c r="AK20" s="1" t="s">
        <v>207</v>
      </c>
      <c r="AL20" s="1">
        <v>21</v>
      </c>
      <c r="AM20" s="1">
        <v>3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934</v>
      </c>
      <c r="AT20" s="1" t="s">
        <v>1098</v>
      </c>
      <c r="AU20" s="1" t="s">
        <v>234</v>
      </c>
      <c r="AV20" s="1" t="s">
        <v>1099</v>
      </c>
      <c r="AW20" s="1" t="s">
        <v>1100</v>
      </c>
      <c r="AX20" s="1" t="s">
        <v>260</v>
      </c>
      <c r="AY20" s="1" t="s">
        <v>1101</v>
      </c>
      <c r="AZ20" s="1" t="s">
        <v>1102</v>
      </c>
      <c r="BA20" s="1" t="s">
        <v>1103</v>
      </c>
      <c r="BB20" s="1" t="s">
        <v>1104</v>
      </c>
      <c r="BC20" s="1" t="s">
        <v>1105</v>
      </c>
      <c r="BD20" s="1" t="s">
        <v>1106</v>
      </c>
      <c r="BE20" s="1">
        <v>105.7</v>
      </c>
      <c r="BF20" s="1">
        <v>105.9</v>
      </c>
      <c r="BG20" s="1">
        <v>-0.2</v>
      </c>
      <c r="BH20" s="1" t="s">
        <v>1095</v>
      </c>
      <c r="BI20" s="1" t="s">
        <v>1048</v>
      </c>
      <c r="BJ20" s="1" t="s">
        <v>946</v>
      </c>
      <c r="BK20" s="1" t="s">
        <v>964</v>
      </c>
      <c r="BL20" s="1" t="s">
        <v>1107</v>
      </c>
      <c r="BM20" s="1" t="s">
        <v>323</v>
      </c>
      <c r="BN20" s="1" t="s">
        <v>398</v>
      </c>
      <c r="BO20" s="1" t="s">
        <v>176</v>
      </c>
      <c r="BP20" s="1" t="s">
        <v>326</v>
      </c>
      <c r="BQ20" s="1" t="s">
        <v>1108</v>
      </c>
      <c r="BR20" s="1" t="s">
        <v>233</v>
      </c>
      <c r="BS20" s="1" t="s">
        <v>913</v>
      </c>
      <c r="BT20" s="1"/>
      <c r="BU20" s="1"/>
      <c r="BV20" s="1"/>
      <c r="BW20" s="1"/>
      <c r="BX20" s="1"/>
      <c r="BY20" s="1" t="s">
        <v>295</v>
      </c>
      <c r="BZ20" s="1" t="s">
        <v>363</v>
      </c>
      <c r="CA20" s="1" t="s">
        <v>270</v>
      </c>
      <c r="CB20" s="1" t="s">
        <v>1037</v>
      </c>
      <c r="CC20" s="1" t="s">
        <v>1109</v>
      </c>
    </row>
    <row r="21" spans="1:81" x14ac:dyDescent="0.25">
      <c r="A21" s="1" t="s">
        <v>145</v>
      </c>
      <c r="B21" s="1" t="s">
        <v>764</v>
      </c>
      <c r="C21" s="1">
        <v>1610612747</v>
      </c>
      <c r="D21" s="1" t="s">
        <v>147</v>
      </c>
      <c r="E21" s="1" t="s">
        <v>148</v>
      </c>
      <c r="F21" s="1" t="s">
        <v>149</v>
      </c>
      <c r="G21" s="1" t="s">
        <v>1081</v>
      </c>
      <c r="H21" s="1">
        <v>10</v>
      </c>
      <c r="I21" s="1" t="s">
        <v>1052</v>
      </c>
      <c r="J21" s="1" t="s">
        <v>152</v>
      </c>
      <c r="K21" s="1" t="s">
        <v>968</v>
      </c>
      <c r="L21" s="1">
        <v>4</v>
      </c>
      <c r="M21" s="1">
        <v>37</v>
      </c>
      <c r="N21" s="1">
        <v>45</v>
      </c>
      <c r="O21" s="1">
        <v>0.45100000000000001</v>
      </c>
      <c r="P21" s="1">
        <v>0</v>
      </c>
      <c r="Q21" s="1" t="s">
        <v>1082</v>
      </c>
      <c r="R21" s="1" t="s">
        <v>899</v>
      </c>
      <c r="S21" s="1" t="s">
        <v>1026</v>
      </c>
      <c r="T21" s="1" t="s">
        <v>259</v>
      </c>
      <c r="U21" s="1" t="s">
        <v>310</v>
      </c>
      <c r="V21" s="1" t="s">
        <v>341</v>
      </c>
      <c r="W21" s="1" t="s">
        <v>224</v>
      </c>
      <c r="X21" s="1" t="s">
        <v>273</v>
      </c>
      <c r="Y21" s="1" t="s">
        <v>1013</v>
      </c>
      <c r="Z21" s="1">
        <v>6</v>
      </c>
      <c r="AA21" s="1" t="s">
        <v>188</v>
      </c>
      <c r="AB21" s="1">
        <v>-5</v>
      </c>
      <c r="AC21" s="1" t="s">
        <v>272</v>
      </c>
      <c r="AD21" s="1">
        <v>4</v>
      </c>
      <c r="AE21" s="1">
        <v>5</v>
      </c>
      <c r="AF21" s="1">
        <v>-1</v>
      </c>
      <c r="AG21" s="1" t="s">
        <v>207</v>
      </c>
      <c r="AH21" s="1">
        <v>1</v>
      </c>
      <c r="AI21" s="1" t="s">
        <v>246</v>
      </c>
      <c r="AJ21" s="1">
        <v>-1</v>
      </c>
      <c r="AK21" s="1" t="s">
        <v>207</v>
      </c>
      <c r="AL21" s="1">
        <v>20</v>
      </c>
      <c r="AM21" s="1">
        <v>20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1083</v>
      </c>
      <c r="AT21" s="1" t="s">
        <v>1084</v>
      </c>
      <c r="AU21" s="1" t="s">
        <v>157</v>
      </c>
      <c r="AV21" s="1" t="s">
        <v>1085</v>
      </c>
      <c r="AW21" s="1" t="s">
        <v>1086</v>
      </c>
      <c r="AX21" s="1" t="s">
        <v>157</v>
      </c>
      <c r="AY21" s="1" t="s">
        <v>1087</v>
      </c>
      <c r="AZ21" s="1" t="s">
        <v>1088</v>
      </c>
      <c r="BA21" s="1" t="s">
        <v>1089</v>
      </c>
      <c r="BB21" s="1" t="s">
        <v>1090</v>
      </c>
      <c r="BC21" s="1" t="s">
        <v>1091</v>
      </c>
      <c r="BD21" s="1" t="s">
        <v>1092</v>
      </c>
      <c r="BE21" s="1">
        <v>111.8</v>
      </c>
      <c r="BF21" s="1">
        <v>113.5</v>
      </c>
      <c r="BG21" s="1">
        <v>-1.7</v>
      </c>
      <c r="BH21" s="1" t="s">
        <v>1010</v>
      </c>
      <c r="BI21" s="1" t="s">
        <v>1093</v>
      </c>
      <c r="BJ21" s="1" t="s">
        <v>276</v>
      </c>
      <c r="BK21" s="1" t="s">
        <v>266</v>
      </c>
      <c r="BL21" s="1" t="s">
        <v>1081</v>
      </c>
      <c r="BM21" s="1" t="s">
        <v>1048</v>
      </c>
      <c r="BN21" s="1" t="s">
        <v>980</v>
      </c>
      <c r="BO21" s="1" t="s">
        <v>946</v>
      </c>
      <c r="BP21" s="1" t="s">
        <v>337</v>
      </c>
      <c r="BQ21" s="1" t="s">
        <v>364</v>
      </c>
      <c r="BR21" s="1" t="s">
        <v>386</v>
      </c>
      <c r="BS21" s="1" t="s">
        <v>275</v>
      </c>
      <c r="BT21" s="1"/>
      <c r="BU21" s="1"/>
      <c r="BV21" s="1"/>
      <c r="BW21" s="1"/>
      <c r="BX21" s="1"/>
      <c r="BY21" s="1" t="s">
        <v>305</v>
      </c>
      <c r="BZ21" s="1" t="s">
        <v>253</v>
      </c>
      <c r="CA21" s="1" t="s">
        <v>308</v>
      </c>
      <c r="CB21" s="1" t="s">
        <v>1094</v>
      </c>
      <c r="CC21" s="1" t="s">
        <v>1080</v>
      </c>
    </row>
    <row r="22" spans="1:81" x14ac:dyDescent="0.25">
      <c r="A22" s="1" t="s">
        <v>145</v>
      </c>
      <c r="B22" s="1" t="s">
        <v>764</v>
      </c>
      <c r="C22" s="1">
        <v>1610612750</v>
      </c>
      <c r="D22" s="1" t="s">
        <v>306</v>
      </c>
      <c r="E22" s="1" t="s">
        <v>307</v>
      </c>
      <c r="F22" s="1" t="s">
        <v>149</v>
      </c>
      <c r="G22" s="1" t="s">
        <v>1128</v>
      </c>
      <c r="H22" s="1">
        <v>11</v>
      </c>
      <c r="I22" s="1" t="s">
        <v>1052</v>
      </c>
      <c r="J22" s="1" t="s">
        <v>219</v>
      </c>
      <c r="K22" s="1" t="s">
        <v>1129</v>
      </c>
      <c r="L22" s="1">
        <v>5</v>
      </c>
      <c r="M22" s="1">
        <v>36</v>
      </c>
      <c r="N22" s="1">
        <v>46</v>
      </c>
      <c r="O22" s="1">
        <v>0.439</v>
      </c>
      <c r="P22" s="1">
        <v>0</v>
      </c>
      <c r="Q22" s="1" t="s">
        <v>1130</v>
      </c>
      <c r="R22" s="1" t="s">
        <v>1001</v>
      </c>
      <c r="S22" s="1" t="s">
        <v>1131</v>
      </c>
      <c r="T22" s="1" t="s">
        <v>310</v>
      </c>
      <c r="U22" s="1" t="s">
        <v>310</v>
      </c>
      <c r="V22" s="1" t="s">
        <v>320</v>
      </c>
      <c r="W22" s="1" t="s">
        <v>226</v>
      </c>
      <c r="X22" s="1" t="s">
        <v>281</v>
      </c>
      <c r="Y22" s="1" t="s">
        <v>933</v>
      </c>
      <c r="Z22" s="1">
        <v>6</v>
      </c>
      <c r="AA22" s="1" t="s">
        <v>188</v>
      </c>
      <c r="AB22" s="1">
        <v>-9</v>
      </c>
      <c r="AC22" s="1" t="s">
        <v>1132</v>
      </c>
      <c r="AD22" s="1">
        <v>4</v>
      </c>
      <c r="AE22" s="1">
        <v>5</v>
      </c>
      <c r="AF22" s="1">
        <v>-2</v>
      </c>
      <c r="AG22" s="1" t="s">
        <v>279</v>
      </c>
      <c r="AH22" s="1">
        <v>-1</v>
      </c>
      <c r="AI22" s="1" t="s">
        <v>207</v>
      </c>
      <c r="AJ22" s="1">
        <v>-3</v>
      </c>
      <c r="AK22" s="1" t="s">
        <v>301</v>
      </c>
      <c r="AL22" s="1">
        <v>21</v>
      </c>
      <c r="AM22" s="1">
        <v>18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1133</v>
      </c>
      <c r="AT22" s="1" t="s">
        <v>1134</v>
      </c>
      <c r="AU22" s="1" t="s">
        <v>226</v>
      </c>
      <c r="AV22" s="1" t="s">
        <v>1135</v>
      </c>
      <c r="AW22" s="1" t="s">
        <v>1136</v>
      </c>
      <c r="AX22" s="1" t="s">
        <v>260</v>
      </c>
      <c r="AY22" s="1" t="s">
        <v>1137</v>
      </c>
      <c r="AZ22" s="1" t="s">
        <v>1138</v>
      </c>
      <c r="BA22" s="1" t="s">
        <v>1139</v>
      </c>
      <c r="BB22" s="1" t="s">
        <v>1140</v>
      </c>
      <c r="BC22" s="1" t="s">
        <v>1141</v>
      </c>
      <c r="BD22" s="1" t="s">
        <v>1142</v>
      </c>
      <c r="BE22" s="1">
        <v>112.5</v>
      </c>
      <c r="BF22" s="1">
        <v>114</v>
      </c>
      <c r="BG22" s="1">
        <v>-1.5</v>
      </c>
      <c r="BH22" s="1" t="s">
        <v>927</v>
      </c>
      <c r="BI22" s="1" t="s">
        <v>323</v>
      </c>
      <c r="BJ22" s="1" t="s">
        <v>276</v>
      </c>
      <c r="BK22" s="1" t="s">
        <v>276</v>
      </c>
      <c r="BL22" s="1" t="s">
        <v>1128</v>
      </c>
      <c r="BM22" s="1" t="s">
        <v>386</v>
      </c>
      <c r="BN22" s="1" t="s">
        <v>946</v>
      </c>
      <c r="BO22" s="1" t="s">
        <v>912</v>
      </c>
      <c r="BP22" s="1" t="s">
        <v>291</v>
      </c>
      <c r="BQ22" s="1" t="s">
        <v>388</v>
      </c>
      <c r="BR22" s="1" t="s">
        <v>363</v>
      </c>
      <c r="BS22" s="1" t="s">
        <v>274</v>
      </c>
      <c r="BT22" s="1"/>
      <c r="BU22" s="1"/>
      <c r="BV22" s="1"/>
      <c r="BW22" s="1"/>
      <c r="BX22" s="1"/>
      <c r="BY22" s="1" t="s">
        <v>343</v>
      </c>
      <c r="BZ22" s="1" t="s">
        <v>326</v>
      </c>
      <c r="CA22" s="1" t="s">
        <v>337</v>
      </c>
      <c r="CB22" s="1" t="s">
        <v>1064</v>
      </c>
      <c r="CC22" s="1" t="s">
        <v>1080</v>
      </c>
    </row>
    <row r="23" spans="1:81" x14ac:dyDescent="0.25">
      <c r="A23" s="1" t="s">
        <v>145</v>
      </c>
      <c r="B23" s="1" t="s">
        <v>764</v>
      </c>
      <c r="C23" s="1">
        <v>1610612764</v>
      </c>
      <c r="D23" s="1" t="s">
        <v>357</v>
      </c>
      <c r="E23" s="1" t="s">
        <v>358</v>
      </c>
      <c r="F23" s="1" t="s">
        <v>179</v>
      </c>
      <c r="G23" s="1" t="s">
        <v>1110</v>
      </c>
      <c r="H23" s="1">
        <v>11</v>
      </c>
      <c r="I23" s="1" t="s">
        <v>1052</v>
      </c>
      <c r="J23" s="1" t="s">
        <v>244</v>
      </c>
      <c r="K23" s="1" t="s">
        <v>1096</v>
      </c>
      <c r="L23" s="1">
        <v>4</v>
      </c>
      <c r="M23" s="1">
        <v>32</v>
      </c>
      <c r="N23" s="1">
        <v>50</v>
      </c>
      <c r="O23" s="1">
        <v>0.39</v>
      </c>
      <c r="P23" s="1">
        <v>0</v>
      </c>
      <c r="Q23" s="1" t="s">
        <v>1111</v>
      </c>
      <c r="R23" s="1" t="s">
        <v>899</v>
      </c>
      <c r="S23" s="1" t="s">
        <v>1006</v>
      </c>
      <c r="T23" s="1" t="s">
        <v>320</v>
      </c>
      <c r="U23" s="1" t="s">
        <v>341</v>
      </c>
      <c r="V23" s="1" t="s">
        <v>341</v>
      </c>
      <c r="W23" s="1" t="s">
        <v>264</v>
      </c>
      <c r="X23" s="1" t="s">
        <v>340</v>
      </c>
      <c r="Y23" s="1" t="s">
        <v>1112</v>
      </c>
      <c r="Z23" s="1">
        <v>-6</v>
      </c>
      <c r="AA23" s="1" t="s">
        <v>367</v>
      </c>
      <c r="AB23" s="1">
        <v>-8</v>
      </c>
      <c r="AC23" s="1" t="s">
        <v>1113</v>
      </c>
      <c r="AD23" s="1">
        <v>3</v>
      </c>
      <c r="AE23" s="1">
        <v>5</v>
      </c>
      <c r="AF23" s="1">
        <v>-6</v>
      </c>
      <c r="AG23" s="1" t="s">
        <v>367</v>
      </c>
      <c r="AH23" s="1">
        <v>-1</v>
      </c>
      <c r="AI23" s="1" t="s">
        <v>207</v>
      </c>
      <c r="AJ23" s="1">
        <v>-4</v>
      </c>
      <c r="AK23" s="1" t="s">
        <v>263</v>
      </c>
      <c r="AL23" s="1">
        <v>28</v>
      </c>
      <c r="AM23" s="1">
        <v>10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1114</v>
      </c>
      <c r="AT23" s="1" t="s">
        <v>1115</v>
      </c>
      <c r="AU23" s="1" t="s">
        <v>158</v>
      </c>
      <c r="AV23" s="1" t="s">
        <v>1116</v>
      </c>
      <c r="AW23" s="1" t="s">
        <v>1117</v>
      </c>
      <c r="AX23" s="1" t="s">
        <v>190</v>
      </c>
      <c r="AY23" s="1" t="s">
        <v>1118</v>
      </c>
      <c r="AZ23" s="1" t="s">
        <v>1119</v>
      </c>
      <c r="BA23" s="1" t="s">
        <v>1120</v>
      </c>
      <c r="BB23" s="1" t="s">
        <v>1121</v>
      </c>
      <c r="BC23" s="1" t="s">
        <v>1122</v>
      </c>
      <c r="BD23" s="1" t="s">
        <v>1095</v>
      </c>
      <c r="BE23" s="1">
        <v>114</v>
      </c>
      <c r="BF23" s="1">
        <v>116.9</v>
      </c>
      <c r="BG23" s="1">
        <v>-2.9</v>
      </c>
      <c r="BH23" s="1" t="s">
        <v>1110</v>
      </c>
      <c r="BI23" s="1" t="s">
        <v>1123</v>
      </c>
      <c r="BJ23" s="1" t="s">
        <v>1123</v>
      </c>
      <c r="BK23" s="1" t="s">
        <v>964</v>
      </c>
      <c r="BL23" s="1" t="s">
        <v>997</v>
      </c>
      <c r="BM23" s="1" t="s">
        <v>323</v>
      </c>
      <c r="BN23" s="1" t="s">
        <v>276</v>
      </c>
      <c r="BO23" s="1" t="s">
        <v>323</v>
      </c>
      <c r="BP23" s="1" t="s">
        <v>291</v>
      </c>
      <c r="BQ23" s="1" t="s">
        <v>398</v>
      </c>
      <c r="BR23" s="1" t="s">
        <v>1124</v>
      </c>
      <c r="BS23" s="1" t="s">
        <v>372</v>
      </c>
      <c r="BT23" s="1"/>
      <c r="BU23" s="1"/>
      <c r="BV23" s="1"/>
      <c r="BW23" s="1"/>
      <c r="BX23" s="1"/>
      <c r="BY23" s="1" t="s">
        <v>1125</v>
      </c>
      <c r="BZ23" s="1" t="s">
        <v>928</v>
      </c>
      <c r="CA23" s="1" t="s">
        <v>337</v>
      </c>
      <c r="CB23" s="1" t="s">
        <v>1126</v>
      </c>
      <c r="CC23" s="1" t="s">
        <v>1127</v>
      </c>
    </row>
    <row r="24" spans="1:81" x14ac:dyDescent="0.25">
      <c r="A24" s="1" t="s">
        <v>145</v>
      </c>
      <c r="B24" s="1" t="s">
        <v>764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1143</v>
      </c>
      <c r="H24" s="1">
        <v>12</v>
      </c>
      <c r="I24" s="1" t="s">
        <v>1052</v>
      </c>
      <c r="J24" s="1" t="s">
        <v>231</v>
      </c>
      <c r="K24" s="1" t="s">
        <v>860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1144</v>
      </c>
      <c r="R24" s="1" t="s">
        <v>880</v>
      </c>
      <c r="S24" s="1" t="s">
        <v>1145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1146</v>
      </c>
      <c r="Z24" s="1">
        <v>5</v>
      </c>
      <c r="AA24" s="1" t="s">
        <v>160</v>
      </c>
      <c r="AB24" s="1">
        <v>-9</v>
      </c>
      <c r="AC24" s="1" t="s">
        <v>1132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1147</v>
      </c>
      <c r="AT24" s="1" t="s">
        <v>1148</v>
      </c>
      <c r="AU24" s="1" t="s">
        <v>262</v>
      </c>
      <c r="AV24" s="1" t="s">
        <v>1149</v>
      </c>
      <c r="AW24" s="1" t="s">
        <v>1150</v>
      </c>
      <c r="AX24" s="1" t="s">
        <v>153</v>
      </c>
      <c r="AY24" s="1" t="s">
        <v>924</v>
      </c>
      <c r="AZ24" s="1" t="s">
        <v>1151</v>
      </c>
      <c r="BA24" s="1" t="s">
        <v>1103</v>
      </c>
      <c r="BB24" s="1" t="s">
        <v>1152</v>
      </c>
      <c r="BC24" s="1" t="s">
        <v>1153</v>
      </c>
      <c r="BD24" s="1" t="s">
        <v>1154</v>
      </c>
      <c r="BE24" s="1">
        <v>103.5</v>
      </c>
      <c r="BF24" s="1">
        <v>106.1</v>
      </c>
      <c r="BG24" s="1">
        <v>-2.6</v>
      </c>
      <c r="BH24" s="1" t="s">
        <v>1155</v>
      </c>
      <c r="BI24" s="1" t="s">
        <v>398</v>
      </c>
      <c r="BJ24" s="1" t="s">
        <v>398</v>
      </c>
      <c r="BK24" s="1" t="s">
        <v>398</v>
      </c>
      <c r="BL24" s="1" t="s">
        <v>1143</v>
      </c>
      <c r="BM24" s="1" t="s">
        <v>946</v>
      </c>
      <c r="BN24" s="1" t="s">
        <v>1048</v>
      </c>
      <c r="BO24" s="1" t="s">
        <v>872</v>
      </c>
      <c r="BP24" s="1" t="s">
        <v>1156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835</v>
      </c>
      <c r="CA24" s="1" t="s">
        <v>349</v>
      </c>
      <c r="CB24" s="1" t="s">
        <v>1157</v>
      </c>
      <c r="CC24" s="1" t="s">
        <v>1158</v>
      </c>
    </row>
    <row r="25" spans="1:81" x14ac:dyDescent="0.25">
      <c r="A25" s="1" t="s">
        <v>145</v>
      </c>
      <c r="B25" s="1" t="s">
        <v>764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1159</v>
      </c>
      <c r="H25" s="1">
        <v>12</v>
      </c>
      <c r="I25" s="1" t="s">
        <v>1052</v>
      </c>
      <c r="J25" s="1" t="s">
        <v>244</v>
      </c>
      <c r="K25" s="1" t="s">
        <v>878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1160</v>
      </c>
      <c r="R25" s="1" t="s">
        <v>1002</v>
      </c>
      <c r="S25" s="1" t="s">
        <v>1145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1161</v>
      </c>
      <c r="Y25" s="1" t="s">
        <v>1162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1163</v>
      </c>
      <c r="AT25" s="1" t="s">
        <v>1056</v>
      </c>
      <c r="AU25" s="1" t="s">
        <v>327</v>
      </c>
      <c r="AV25" s="1" t="s">
        <v>871</v>
      </c>
      <c r="AW25" s="1" t="s">
        <v>1164</v>
      </c>
      <c r="AX25" s="1" t="s">
        <v>153</v>
      </c>
      <c r="AY25" s="1" t="s">
        <v>1165</v>
      </c>
      <c r="AZ25" s="1" t="s">
        <v>1166</v>
      </c>
      <c r="BA25" s="1" t="s">
        <v>1167</v>
      </c>
      <c r="BB25" s="1" t="s">
        <v>996</v>
      </c>
      <c r="BC25" s="1" t="s">
        <v>1168</v>
      </c>
      <c r="BD25" s="1" t="s">
        <v>1169</v>
      </c>
      <c r="BE25" s="1">
        <v>113.3</v>
      </c>
      <c r="BF25" s="1">
        <v>119.4</v>
      </c>
      <c r="BG25" s="1">
        <v>-6</v>
      </c>
      <c r="BH25" s="1" t="s">
        <v>1159</v>
      </c>
      <c r="BI25" s="1" t="s">
        <v>1170</v>
      </c>
      <c r="BJ25" s="1" t="s">
        <v>1123</v>
      </c>
      <c r="BK25" s="1" t="s">
        <v>410</v>
      </c>
      <c r="BL25" s="1" t="s">
        <v>997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1171</v>
      </c>
      <c r="BR25" s="1" t="s">
        <v>928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1172</v>
      </c>
      <c r="CC25" s="1" t="s">
        <v>951</v>
      </c>
    </row>
    <row r="26" spans="1:81" x14ac:dyDescent="0.25">
      <c r="A26" s="1" t="s">
        <v>145</v>
      </c>
      <c r="B26" s="1" t="s">
        <v>764</v>
      </c>
      <c r="C26" s="1">
        <v>1610612741</v>
      </c>
      <c r="D26" s="1" t="s">
        <v>346</v>
      </c>
      <c r="E26" s="1" t="s">
        <v>347</v>
      </c>
      <c r="F26" s="1" t="s">
        <v>179</v>
      </c>
      <c r="G26" s="1" t="s">
        <v>1159</v>
      </c>
      <c r="H26" s="1">
        <v>13</v>
      </c>
      <c r="I26" s="1" t="s">
        <v>1052</v>
      </c>
      <c r="J26" s="1" t="s">
        <v>181</v>
      </c>
      <c r="K26" s="1" t="s">
        <v>1186</v>
      </c>
      <c r="L26" s="1">
        <v>4</v>
      </c>
      <c r="M26" s="1">
        <v>22</v>
      </c>
      <c r="N26" s="1">
        <v>60</v>
      </c>
      <c r="O26" s="1">
        <v>0.26800000000000002</v>
      </c>
      <c r="P26" s="1">
        <v>0</v>
      </c>
      <c r="Q26" s="1" t="s">
        <v>1187</v>
      </c>
      <c r="R26" s="1" t="s">
        <v>1056</v>
      </c>
      <c r="S26" s="1" t="s">
        <v>1188</v>
      </c>
      <c r="T26" s="1" t="s">
        <v>320</v>
      </c>
      <c r="U26" s="1" t="s">
        <v>320</v>
      </c>
      <c r="V26" s="1" t="s">
        <v>341</v>
      </c>
      <c r="W26" s="1" t="s">
        <v>208</v>
      </c>
      <c r="X26" s="1" t="s">
        <v>860</v>
      </c>
      <c r="Y26" s="1" t="s">
        <v>1189</v>
      </c>
      <c r="Z26" s="1">
        <v>-11</v>
      </c>
      <c r="AA26" s="1" t="s">
        <v>1190</v>
      </c>
      <c r="AB26" s="1">
        <v>-9</v>
      </c>
      <c r="AC26" s="1" t="s">
        <v>1132</v>
      </c>
      <c r="AD26" s="1">
        <v>3</v>
      </c>
      <c r="AE26" s="1">
        <v>10</v>
      </c>
      <c r="AF26" s="1">
        <v>-5</v>
      </c>
      <c r="AG26" s="1" t="s">
        <v>272</v>
      </c>
      <c r="AH26" s="1">
        <v>-1</v>
      </c>
      <c r="AI26" s="1" t="s">
        <v>207</v>
      </c>
      <c r="AJ26" s="1">
        <v>-3</v>
      </c>
      <c r="AK26" s="1" t="s">
        <v>301</v>
      </c>
      <c r="AL26" s="1">
        <v>38</v>
      </c>
      <c r="AM26" s="1">
        <v>38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1191</v>
      </c>
      <c r="AT26" s="1" t="s">
        <v>1192</v>
      </c>
      <c r="AU26" s="1" t="s">
        <v>158</v>
      </c>
      <c r="AV26" s="1" t="s">
        <v>1193</v>
      </c>
      <c r="AW26" s="1" t="s">
        <v>1194</v>
      </c>
      <c r="AX26" s="1" t="s">
        <v>164</v>
      </c>
      <c r="AY26" s="1" t="s">
        <v>1195</v>
      </c>
      <c r="AZ26" s="1" t="s">
        <v>1196</v>
      </c>
      <c r="BA26" s="1" t="s">
        <v>1197</v>
      </c>
      <c r="BB26" s="1" t="s">
        <v>1198</v>
      </c>
      <c r="BC26" s="1" t="s">
        <v>876</v>
      </c>
      <c r="BD26" s="1" t="s">
        <v>1199</v>
      </c>
      <c r="BE26" s="1">
        <v>104.9</v>
      </c>
      <c r="BF26" s="1">
        <v>113.4</v>
      </c>
      <c r="BG26" s="1">
        <v>-8.4</v>
      </c>
      <c r="BH26" s="1" t="s">
        <v>1159</v>
      </c>
      <c r="BI26" s="1" t="s">
        <v>1170</v>
      </c>
      <c r="BJ26" s="1" t="s">
        <v>402</v>
      </c>
      <c r="BK26" s="1" t="s">
        <v>946</v>
      </c>
      <c r="BL26" s="1" t="s">
        <v>1200</v>
      </c>
      <c r="BM26" s="1" t="s">
        <v>1093</v>
      </c>
      <c r="BN26" s="1" t="s">
        <v>393</v>
      </c>
      <c r="BO26" s="1" t="s">
        <v>398</v>
      </c>
      <c r="BP26" s="1" t="s">
        <v>1201</v>
      </c>
      <c r="BQ26" s="1" t="s">
        <v>276</v>
      </c>
      <c r="BR26" s="1" t="s">
        <v>397</v>
      </c>
      <c r="BS26" s="1" t="s">
        <v>344</v>
      </c>
      <c r="BT26" s="1"/>
      <c r="BU26" s="1"/>
      <c r="BV26" s="1"/>
      <c r="BW26" s="1"/>
      <c r="BX26" s="1"/>
      <c r="BY26" s="1" t="s">
        <v>1202</v>
      </c>
      <c r="BZ26" s="1" t="s">
        <v>1203</v>
      </c>
      <c r="CA26" s="1" t="s">
        <v>363</v>
      </c>
      <c r="CB26" s="1" t="s">
        <v>1204</v>
      </c>
      <c r="CC26" s="1" t="s">
        <v>1127</v>
      </c>
    </row>
    <row r="27" spans="1:81" x14ac:dyDescent="0.25">
      <c r="A27" s="1" t="s">
        <v>145</v>
      </c>
      <c r="B27" s="1" t="s">
        <v>764</v>
      </c>
      <c r="C27" s="1">
        <v>1610612740</v>
      </c>
      <c r="D27" s="1" t="s">
        <v>352</v>
      </c>
      <c r="E27" s="1" t="s">
        <v>353</v>
      </c>
      <c r="F27" s="1" t="s">
        <v>149</v>
      </c>
      <c r="G27" s="1" t="s">
        <v>1095</v>
      </c>
      <c r="H27" s="1">
        <v>13</v>
      </c>
      <c r="I27" s="1" t="s">
        <v>1052</v>
      </c>
      <c r="J27" s="1" t="s">
        <v>231</v>
      </c>
      <c r="K27" s="1" t="s">
        <v>860</v>
      </c>
      <c r="L27" s="1">
        <v>4</v>
      </c>
      <c r="M27" s="1">
        <v>33</v>
      </c>
      <c r="N27" s="1">
        <v>49</v>
      </c>
      <c r="O27" s="1">
        <v>0.40200000000000002</v>
      </c>
      <c r="P27" s="1">
        <v>0</v>
      </c>
      <c r="Q27" s="1" t="s">
        <v>1144</v>
      </c>
      <c r="R27" s="1" t="s">
        <v>933</v>
      </c>
      <c r="S27" s="1" t="s">
        <v>1054</v>
      </c>
      <c r="T27" s="1" t="s">
        <v>341</v>
      </c>
      <c r="U27" s="1" t="s">
        <v>376</v>
      </c>
      <c r="V27" s="1" t="s">
        <v>265</v>
      </c>
      <c r="W27" s="1" t="s">
        <v>190</v>
      </c>
      <c r="X27" s="1" t="s">
        <v>310</v>
      </c>
      <c r="Y27" s="1" t="s">
        <v>1173</v>
      </c>
      <c r="Z27" s="1">
        <v>-8</v>
      </c>
      <c r="AA27" s="1" t="s">
        <v>1113</v>
      </c>
      <c r="AB27" s="1">
        <v>-6</v>
      </c>
      <c r="AC27" s="1" t="s">
        <v>367</v>
      </c>
      <c r="AD27" s="1">
        <v>4</v>
      </c>
      <c r="AE27" s="1">
        <v>6</v>
      </c>
      <c r="AF27" s="1">
        <v>-3</v>
      </c>
      <c r="AG27" s="1" t="s">
        <v>301</v>
      </c>
      <c r="AH27" s="1">
        <v>1</v>
      </c>
      <c r="AI27" s="1" t="s">
        <v>246</v>
      </c>
      <c r="AJ27" s="1">
        <v>-1</v>
      </c>
      <c r="AK27" s="1" t="s">
        <v>207</v>
      </c>
      <c r="AL27" s="1">
        <v>24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1174</v>
      </c>
      <c r="AT27" s="1" t="s">
        <v>1175</v>
      </c>
      <c r="AU27" s="1" t="s">
        <v>190</v>
      </c>
      <c r="AV27" s="1" t="s">
        <v>1176</v>
      </c>
      <c r="AW27" s="1" t="s">
        <v>1177</v>
      </c>
      <c r="AX27" s="1" t="s">
        <v>186</v>
      </c>
      <c r="AY27" s="1" t="s">
        <v>1178</v>
      </c>
      <c r="AZ27" s="1" t="s">
        <v>1179</v>
      </c>
      <c r="BA27" s="1" t="s">
        <v>1180</v>
      </c>
      <c r="BB27" s="1" t="s">
        <v>1181</v>
      </c>
      <c r="BC27" s="1" t="s">
        <v>1182</v>
      </c>
      <c r="BD27" s="1" t="s">
        <v>1183</v>
      </c>
      <c r="BE27" s="1">
        <v>115.4</v>
      </c>
      <c r="BF27" s="1">
        <v>116.8</v>
      </c>
      <c r="BG27" s="1">
        <v>-1.3</v>
      </c>
      <c r="BH27" s="1" t="s">
        <v>1063</v>
      </c>
      <c r="BI27" s="1" t="s">
        <v>398</v>
      </c>
      <c r="BJ27" s="1" t="s">
        <v>276</v>
      </c>
      <c r="BK27" s="1" t="s">
        <v>393</v>
      </c>
      <c r="BL27" s="1" t="s">
        <v>1095</v>
      </c>
      <c r="BM27" s="1" t="s">
        <v>1048</v>
      </c>
      <c r="BN27" s="1" t="s">
        <v>912</v>
      </c>
      <c r="BO27" s="1" t="s">
        <v>872</v>
      </c>
      <c r="BP27" s="1" t="s">
        <v>299</v>
      </c>
      <c r="BQ27" s="1" t="s">
        <v>388</v>
      </c>
      <c r="BR27" s="1" t="s">
        <v>349</v>
      </c>
      <c r="BS27" s="1" t="s">
        <v>282</v>
      </c>
      <c r="BT27" s="1"/>
      <c r="BU27" s="1"/>
      <c r="BV27" s="1"/>
      <c r="BW27" s="1"/>
      <c r="BX27" s="1"/>
      <c r="BY27" s="1" t="s">
        <v>249</v>
      </c>
      <c r="BZ27" s="1" t="s">
        <v>964</v>
      </c>
      <c r="CA27" s="1" t="s">
        <v>337</v>
      </c>
      <c r="CB27" s="1" t="s">
        <v>1184</v>
      </c>
      <c r="CC27" s="1" t="s">
        <v>1185</v>
      </c>
    </row>
    <row r="28" spans="1:81" x14ac:dyDescent="0.25">
      <c r="A28" s="1" t="s">
        <v>145</v>
      </c>
      <c r="B28" s="1" t="s">
        <v>764</v>
      </c>
      <c r="C28" s="1">
        <v>1610612742</v>
      </c>
      <c r="D28" s="1" t="s">
        <v>277</v>
      </c>
      <c r="E28" s="1" t="s">
        <v>278</v>
      </c>
      <c r="F28" s="1" t="s">
        <v>149</v>
      </c>
      <c r="G28" s="1" t="s">
        <v>1221</v>
      </c>
      <c r="H28" s="1">
        <v>14</v>
      </c>
      <c r="I28" s="1" t="s">
        <v>1052</v>
      </c>
      <c r="J28" s="1" t="s">
        <v>231</v>
      </c>
      <c r="K28" s="1" t="s">
        <v>1066</v>
      </c>
      <c r="L28" s="1">
        <v>5</v>
      </c>
      <c r="M28" s="1">
        <v>33</v>
      </c>
      <c r="N28" s="1">
        <v>49</v>
      </c>
      <c r="O28" s="1">
        <v>0.40200000000000002</v>
      </c>
      <c r="P28" s="1">
        <v>0</v>
      </c>
      <c r="Q28" s="1" t="s">
        <v>1144</v>
      </c>
      <c r="R28" s="1" t="s">
        <v>1067</v>
      </c>
      <c r="S28" s="1" t="s">
        <v>1056</v>
      </c>
      <c r="T28" s="1" t="s">
        <v>265</v>
      </c>
      <c r="U28" s="1" t="s">
        <v>341</v>
      </c>
      <c r="V28" s="1" t="s">
        <v>341</v>
      </c>
      <c r="W28" s="1" t="s">
        <v>339</v>
      </c>
      <c r="X28" s="1" t="s">
        <v>314</v>
      </c>
      <c r="Y28" s="1" t="s">
        <v>1222</v>
      </c>
      <c r="Z28" s="1">
        <v>11</v>
      </c>
      <c r="AA28" s="1" t="s">
        <v>772</v>
      </c>
      <c r="AB28" s="1">
        <v>-9</v>
      </c>
      <c r="AC28" s="1" t="s">
        <v>1132</v>
      </c>
      <c r="AD28" s="1">
        <v>4</v>
      </c>
      <c r="AE28" s="1">
        <v>7</v>
      </c>
      <c r="AF28" s="1">
        <v>1</v>
      </c>
      <c r="AG28" s="1" t="s">
        <v>246</v>
      </c>
      <c r="AH28" s="1">
        <v>-1</v>
      </c>
      <c r="AI28" s="1" t="s">
        <v>207</v>
      </c>
      <c r="AJ28" s="1">
        <v>-1</v>
      </c>
      <c r="AK28" s="1" t="s">
        <v>207</v>
      </c>
      <c r="AL28" s="1">
        <v>24</v>
      </c>
      <c r="AM28" s="1">
        <v>20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1223</v>
      </c>
      <c r="AT28" s="1" t="s">
        <v>1086</v>
      </c>
      <c r="AU28" s="1" t="s">
        <v>260</v>
      </c>
      <c r="AV28" s="1" t="s">
        <v>1060</v>
      </c>
      <c r="AW28" s="1" t="s">
        <v>1224</v>
      </c>
      <c r="AX28" s="1" t="s">
        <v>186</v>
      </c>
      <c r="AY28" s="1" t="s">
        <v>1225</v>
      </c>
      <c r="AZ28" s="1" t="s">
        <v>1226</v>
      </c>
      <c r="BA28" s="1" t="s">
        <v>1227</v>
      </c>
      <c r="BB28" s="1" t="s">
        <v>1228</v>
      </c>
      <c r="BC28" s="1" t="s">
        <v>1141</v>
      </c>
      <c r="BD28" s="1" t="s">
        <v>1229</v>
      </c>
      <c r="BE28" s="1">
        <v>108.9</v>
      </c>
      <c r="BF28" s="1">
        <v>110.1</v>
      </c>
      <c r="BG28" s="1">
        <v>-1.3</v>
      </c>
      <c r="BH28" s="1" t="s">
        <v>948</v>
      </c>
      <c r="BI28" s="1" t="s">
        <v>323</v>
      </c>
      <c r="BJ28" s="1" t="s">
        <v>266</v>
      </c>
      <c r="BK28" s="1" t="s">
        <v>276</v>
      </c>
      <c r="BL28" s="1" t="s">
        <v>1221</v>
      </c>
      <c r="BM28" s="1" t="s">
        <v>912</v>
      </c>
      <c r="BN28" s="1" t="s">
        <v>1123</v>
      </c>
      <c r="BO28" s="1" t="s">
        <v>1078</v>
      </c>
      <c r="BP28" s="1" t="s">
        <v>337</v>
      </c>
      <c r="BQ28" s="1" t="s">
        <v>323</v>
      </c>
      <c r="BR28" s="1" t="s">
        <v>1203</v>
      </c>
      <c r="BS28" s="1" t="s">
        <v>239</v>
      </c>
      <c r="BT28" s="1"/>
      <c r="BU28" s="1"/>
      <c r="BV28" s="1"/>
      <c r="BW28" s="1"/>
      <c r="BX28" s="1"/>
      <c r="BY28" s="1" t="s">
        <v>1202</v>
      </c>
      <c r="BZ28" s="1" t="s">
        <v>855</v>
      </c>
      <c r="CA28" s="1" t="s">
        <v>964</v>
      </c>
      <c r="CB28" s="1" t="s">
        <v>1230</v>
      </c>
      <c r="CC28" s="1" t="s">
        <v>1231</v>
      </c>
    </row>
    <row r="29" spans="1:81" x14ac:dyDescent="0.25">
      <c r="A29" s="1" t="s">
        <v>145</v>
      </c>
      <c r="B29" s="1" t="s">
        <v>764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1205</v>
      </c>
      <c r="H29" s="1">
        <v>14</v>
      </c>
      <c r="I29" s="1" t="s">
        <v>1052</v>
      </c>
      <c r="J29" s="1" t="s">
        <v>181</v>
      </c>
      <c r="K29" s="1" t="s">
        <v>1066</v>
      </c>
      <c r="L29" s="1">
        <v>5</v>
      </c>
      <c r="M29" s="1">
        <v>19</v>
      </c>
      <c r="N29" s="1">
        <v>63</v>
      </c>
      <c r="O29" s="1">
        <v>0.23200000000000001</v>
      </c>
      <c r="P29" s="1">
        <v>0</v>
      </c>
      <c r="Q29" s="1" t="s">
        <v>1206</v>
      </c>
      <c r="R29" s="1" t="s">
        <v>1188</v>
      </c>
      <c r="S29" s="1" t="s">
        <v>1207</v>
      </c>
      <c r="T29" s="1" t="s">
        <v>404</v>
      </c>
      <c r="U29" s="1" t="s">
        <v>310</v>
      </c>
      <c r="V29" s="1" t="s">
        <v>404</v>
      </c>
      <c r="W29" s="1" t="s">
        <v>185</v>
      </c>
      <c r="X29" s="1" t="s">
        <v>273</v>
      </c>
      <c r="Y29" s="1" t="s">
        <v>1208</v>
      </c>
      <c r="Z29" s="1">
        <v>-9</v>
      </c>
      <c r="AA29" s="1" t="s">
        <v>1132</v>
      </c>
      <c r="AB29" s="1">
        <v>-11</v>
      </c>
      <c r="AC29" s="1" t="s">
        <v>1190</v>
      </c>
      <c r="AD29" s="1">
        <v>2</v>
      </c>
      <c r="AE29" s="1">
        <v>12</v>
      </c>
      <c r="AF29" s="1">
        <v>-4</v>
      </c>
      <c r="AG29" s="1" t="s">
        <v>263</v>
      </c>
      <c r="AH29" s="1">
        <v>-11</v>
      </c>
      <c r="AI29" s="1" t="s">
        <v>1190</v>
      </c>
      <c r="AJ29" s="1">
        <v>-10</v>
      </c>
      <c r="AK29" s="1" t="s">
        <v>935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857</v>
      </c>
      <c r="AT29" s="1" t="s">
        <v>1209</v>
      </c>
      <c r="AU29" s="1" t="s">
        <v>304</v>
      </c>
      <c r="AV29" s="1" t="s">
        <v>1210</v>
      </c>
      <c r="AW29" s="1" t="s">
        <v>1211</v>
      </c>
      <c r="AX29" s="1" t="s">
        <v>208</v>
      </c>
      <c r="AY29" s="1" t="s">
        <v>1139</v>
      </c>
      <c r="AZ29" s="1" t="s">
        <v>1212</v>
      </c>
      <c r="BA29" s="1" t="s">
        <v>1213</v>
      </c>
      <c r="BB29" s="1" t="s">
        <v>1214</v>
      </c>
      <c r="BC29" s="1" t="s">
        <v>1097</v>
      </c>
      <c r="BD29" s="1" t="s">
        <v>1215</v>
      </c>
      <c r="BE29" s="1">
        <v>104.5</v>
      </c>
      <c r="BF29" s="1">
        <v>114.1</v>
      </c>
      <c r="BG29" s="1">
        <v>-9.6</v>
      </c>
      <c r="BH29" s="1" t="s">
        <v>1205</v>
      </c>
      <c r="BI29" s="1" t="s">
        <v>1123</v>
      </c>
      <c r="BJ29" s="1" t="s">
        <v>1078</v>
      </c>
      <c r="BK29" s="1" t="s">
        <v>1216</v>
      </c>
      <c r="BL29" s="1" t="s">
        <v>1217</v>
      </c>
      <c r="BM29" s="1" t="s">
        <v>1218</v>
      </c>
      <c r="BN29" s="1" t="s">
        <v>393</v>
      </c>
      <c r="BO29" s="1" t="s">
        <v>393</v>
      </c>
      <c r="BP29" s="1" t="s">
        <v>1203</v>
      </c>
      <c r="BQ29" s="1" t="s">
        <v>323</v>
      </c>
      <c r="BR29" s="1" t="s">
        <v>397</v>
      </c>
      <c r="BS29" s="1" t="s">
        <v>334</v>
      </c>
      <c r="BT29" s="1"/>
      <c r="BU29" s="1"/>
      <c r="BV29" s="1"/>
      <c r="BW29" s="1"/>
      <c r="BX29" s="1"/>
      <c r="BY29" s="1" t="s">
        <v>1125</v>
      </c>
      <c r="BZ29" s="1" t="s">
        <v>407</v>
      </c>
      <c r="CA29" s="1" t="s">
        <v>1078</v>
      </c>
      <c r="CB29" s="1" t="s">
        <v>1219</v>
      </c>
      <c r="CC29" s="1" t="s">
        <v>1220</v>
      </c>
    </row>
    <row r="30" spans="1:81" x14ac:dyDescent="0.25">
      <c r="A30" s="1" t="s">
        <v>145</v>
      </c>
      <c r="B30" s="1" t="s">
        <v>764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1232</v>
      </c>
      <c r="H30" s="1">
        <v>15</v>
      </c>
      <c r="I30" s="1" t="s">
        <v>1052</v>
      </c>
      <c r="J30" s="1" t="s">
        <v>203</v>
      </c>
      <c r="K30" s="1" t="s">
        <v>1233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1234</v>
      </c>
      <c r="R30" s="1" t="s">
        <v>1056</v>
      </c>
      <c r="S30" s="1" t="s">
        <v>1235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1236</v>
      </c>
      <c r="Z30" s="1">
        <v>-18</v>
      </c>
      <c r="AA30" s="1" t="s">
        <v>1237</v>
      </c>
      <c r="AB30" s="1">
        <v>-9</v>
      </c>
      <c r="AC30" s="1" t="s">
        <v>1132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1238</v>
      </c>
      <c r="AT30" s="1" t="s">
        <v>1239</v>
      </c>
      <c r="AU30" s="1" t="s">
        <v>327</v>
      </c>
      <c r="AV30" s="1" t="s">
        <v>863</v>
      </c>
      <c r="AW30" s="1" t="s">
        <v>1240</v>
      </c>
      <c r="AX30" s="1" t="s">
        <v>327</v>
      </c>
      <c r="AY30" s="1" t="s">
        <v>1241</v>
      </c>
      <c r="AZ30" s="1" t="s">
        <v>1242</v>
      </c>
      <c r="BA30" s="1" t="s">
        <v>1243</v>
      </c>
      <c r="BB30" s="1" t="s">
        <v>1244</v>
      </c>
      <c r="BC30" s="1" t="s">
        <v>1245</v>
      </c>
      <c r="BD30" s="1" t="s">
        <v>1246</v>
      </c>
      <c r="BE30" s="1">
        <v>104.6</v>
      </c>
      <c r="BF30" s="1">
        <v>113.8</v>
      </c>
      <c r="BG30" s="1">
        <v>-9.1999999999999993</v>
      </c>
      <c r="BH30" s="1" t="s">
        <v>1232</v>
      </c>
      <c r="BI30" s="1" t="s">
        <v>1156</v>
      </c>
      <c r="BJ30" s="1" t="s">
        <v>1247</v>
      </c>
      <c r="BK30" s="1" t="s">
        <v>1123</v>
      </c>
      <c r="BL30" s="1" t="s">
        <v>1200</v>
      </c>
      <c r="BM30" s="1" t="s">
        <v>1218</v>
      </c>
      <c r="BN30" s="1" t="s">
        <v>393</v>
      </c>
      <c r="BO30" s="1" t="s">
        <v>323</v>
      </c>
      <c r="BP30" s="1" t="s">
        <v>1248</v>
      </c>
      <c r="BQ30" s="1" t="s">
        <v>1108</v>
      </c>
      <c r="BR30" s="1" t="s">
        <v>1249</v>
      </c>
      <c r="BS30" s="1" t="s">
        <v>239</v>
      </c>
      <c r="BT30" s="1"/>
      <c r="BU30" s="1"/>
      <c r="BV30" s="1"/>
      <c r="BW30" s="1"/>
      <c r="BX30" s="1"/>
      <c r="BY30" s="1" t="s">
        <v>1202</v>
      </c>
      <c r="BZ30" s="1" t="s">
        <v>349</v>
      </c>
      <c r="CA30" s="1" t="s">
        <v>1250</v>
      </c>
      <c r="CB30" s="1" t="s">
        <v>1251</v>
      </c>
      <c r="CC30" s="1" t="s">
        <v>1252</v>
      </c>
    </row>
    <row r="31" spans="1:81" x14ac:dyDescent="0.25">
      <c r="A31" s="1" t="s">
        <v>145</v>
      </c>
      <c r="B31" s="1" t="s">
        <v>764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1232</v>
      </c>
      <c r="H31" s="1">
        <v>15</v>
      </c>
      <c r="I31" s="1" t="s">
        <v>1052</v>
      </c>
      <c r="J31" s="1" t="s">
        <v>152</v>
      </c>
      <c r="K31" s="1" t="s">
        <v>1186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1206</v>
      </c>
      <c r="R31" s="1" t="s">
        <v>1145</v>
      </c>
      <c r="S31" s="1" t="s">
        <v>1253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1224</v>
      </c>
      <c r="Z31" s="1">
        <v>-6</v>
      </c>
      <c r="AA31" s="1" t="s">
        <v>367</v>
      </c>
      <c r="AB31" s="1">
        <v>-13</v>
      </c>
      <c r="AC31" s="1" t="s">
        <v>1254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1255</v>
      </c>
      <c r="AT31" s="1" t="s">
        <v>1256</v>
      </c>
      <c r="AU31" s="1" t="s">
        <v>327</v>
      </c>
      <c r="AV31" s="1" t="s">
        <v>1257</v>
      </c>
      <c r="AW31" s="1" t="s">
        <v>1258</v>
      </c>
      <c r="AX31" s="1" t="s">
        <v>157</v>
      </c>
      <c r="AY31" s="1" t="s">
        <v>1259</v>
      </c>
      <c r="AZ31" s="1" t="s">
        <v>1260</v>
      </c>
      <c r="BA31" s="1" t="s">
        <v>1261</v>
      </c>
      <c r="BB31" s="1" t="s">
        <v>1262</v>
      </c>
      <c r="BC31" s="1" t="s">
        <v>1263</v>
      </c>
      <c r="BD31" s="1" t="s">
        <v>1264</v>
      </c>
      <c r="BE31" s="1">
        <v>107.5</v>
      </c>
      <c r="BF31" s="1">
        <v>116.8</v>
      </c>
      <c r="BG31" s="1">
        <v>-9.3000000000000007</v>
      </c>
      <c r="BH31" s="1" t="s">
        <v>1265</v>
      </c>
      <c r="BI31" s="1" t="s">
        <v>398</v>
      </c>
      <c r="BJ31" s="1" t="s">
        <v>398</v>
      </c>
      <c r="BK31" s="1" t="s">
        <v>393</v>
      </c>
      <c r="BL31" s="1" t="s">
        <v>1232</v>
      </c>
      <c r="BM31" s="1" t="s">
        <v>1266</v>
      </c>
      <c r="BN31" s="1" t="s">
        <v>402</v>
      </c>
      <c r="BO31" s="1" t="s">
        <v>1123</v>
      </c>
      <c r="BP31" s="1" t="s">
        <v>1201</v>
      </c>
      <c r="BQ31" s="1" t="s">
        <v>1267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1125</v>
      </c>
      <c r="BZ31" s="1" t="s">
        <v>1203</v>
      </c>
      <c r="CA31" s="1" t="s">
        <v>386</v>
      </c>
      <c r="CB31" s="1" t="s">
        <v>1268</v>
      </c>
      <c r="CC31" s="1" t="s">
        <v>1269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1270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1271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1273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1274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1275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1277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1278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1279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1280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1281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1282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1283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1280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1283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1285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1283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1286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1279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1278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1287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1283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1273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1290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1291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1292</v>
      </c>
      <c r="T4" s="1">
        <v>23.7</v>
      </c>
      <c r="U4" s="1" t="s">
        <v>1275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1293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1294</v>
      </c>
      <c r="T5" s="1">
        <v>26</v>
      </c>
      <c r="U5" s="1" t="s">
        <v>1275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1295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1296</v>
      </c>
      <c r="T7" s="1">
        <v>25.7</v>
      </c>
      <c r="U7" s="1" t="s">
        <v>1297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1299</v>
      </c>
      <c r="T8" s="1">
        <v>24.5</v>
      </c>
      <c r="U8" s="1" t="s">
        <v>1300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1301</v>
      </c>
      <c r="T9" s="1">
        <v>24.6</v>
      </c>
      <c r="U9" s="1" t="s">
        <v>1275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1273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1302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1275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1303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1304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1305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1306</v>
      </c>
      <c r="T14" s="1">
        <v>24.1</v>
      </c>
      <c r="U14" s="1" t="s">
        <v>1286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1307</v>
      </c>
      <c r="T15" s="1">
        <v>25</v>
      </c>
      <c r="U15" s="1" t="s">
        <v>1277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1308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1273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1302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1278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1309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1294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1310</v>
      </c>
      <c r="T21" s="1">
        <v>25.6</v>
      </c>
      <c r="U21" s="1" t="s">
        <v>1286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1311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1306</v>
      </c>
      <c r="T22" s="1">
        <v>24.9</v>
      </c>
      <c r="U22" s="1" t="s">
        <v>1312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1300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1313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1314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1315</v>
      </c>
      <c r="T26" s="1">
        <v>23.2</v>
      </c>
      <c r="U26" s="1" t="s">
        <v>1316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1317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1318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1319</v>
      </c>
      <c r="T28" s="1">
        <v>24.7</v>
      </c>
      <c r="U28" s="1" t="s">
        <v>1271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1299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1320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1321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1322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1323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1270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1323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1302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1302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1293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1293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1323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1293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1324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1323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1280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1280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1270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1270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1281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2019-11-22T13:23:07Z</dcterms:modified>
</cp:coreProperties>
</file>