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290C34DE-BA46-442E-ACF6-2C940634540E}" xr6:coauthVersionLast="45" xr6:coauthVersionMax="45" xr10:uidLastSave="{00000000-0000-0000-0000-000000000000}"/>
  <bookViews>
    <workbookView xWindow="5486" yWindow="1157" windowWidth="16457" windowHeight="8520" activeTab="1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<sst xmlns="http://schemas.openxmlformats.org/spreadsheetml/2006/main" count="5930" uniqueCount="1414">
  <si>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</si>
  <si>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</si>
  <si>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</si>
  <si>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</si>
  <si>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</si>
  <si>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</si>
  <si>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</si>
  <si>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</si>
  <si>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</si>
  <si>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</si>
  <si>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</si>
  <si>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</si>
  <si>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</si>
  <si>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</si>
  <si>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</si>
  <si>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</si>
  <si>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</si>
  <si>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</si>
  <si>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</si>
  <si>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</si>
  <si>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</si>
  <si>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</si>
  <si>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</si>
  <si>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</si>
  <si>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</si>
  <si>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</si>
  <si>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</si>
  <si>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</si>
  <si>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</si>
  <si>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</si>
  <si>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</si>
  <si>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</si>
  <si>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</si>
  <si>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</si>
  <si>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</si>
  <si>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</si>
  <si>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</si>
  <si>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</si>
  <si>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</si>
  <si>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</si>
  <si>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</si>
  <si>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</si>
  <si>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</si>
  <si>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</si>
  <si>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</si>
  <si>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</si>
  <si>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</si>
  <si>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</si>
  <si>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</si>
  <si>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</si>
  <si>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</si>
  <si>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</si>
  <si>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</si>
  <si>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</si>
  <si>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</si>
  <si>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</si>
  <si>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</si>
  <si>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</si>
  <si>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</si>
  <si>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</si>
  <si>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</si>
  <si>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</si>
  <si>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</si>
  <si>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</si>
  <si>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</si>
  <si>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</si>
  <si>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</si>
  <si>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</si>
  <si>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</si>
  <si>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</si>
  <si>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</si>
  <si>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</si>
  <si>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</si>
  <si>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</si>
  <si>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</si>
  <si>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</si>
  <si>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</si>
  <si>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</si>
  <si>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</si>
  <si>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</si>
  <si>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</si>
  <si>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</si>
  <si>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</si>
  <si>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</si>
  <si>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</si>
  <si>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</si>
  <si>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</si>
  <si>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</si>
  <si>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</si>
  <si>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</si>
  <si>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</si>
  <si>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</si>
  <si>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</si>
  <si>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</si>
  <si>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</si>
  <si>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</si>
  <si>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</si>
  <si>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</si>
  <si>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</si>
  <si>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</si>
  <si>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</si>
  <si>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</si>
  <si>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</si>
  <si>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</si>
  <si>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</si>
  <si>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</si>
  <si>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</si>
  <si>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</si>
  <si>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</si>
  <si>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</si>
  <si>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</si>
  <si>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</si>
  <si>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</si>
  <si>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</si>
  <si>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</si>
  <si>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</si>
  <si>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</si>
  <si>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</si>
  <si>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</si>
  <si>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</si>
  <si>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</si>
  <si>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</si>
  <si>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</si>
  <si>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</si>
  <si>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</si>
  <si>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</si>
  <si>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</si>
  <si>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</si>
  <si>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</si>
  <si>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</si>
  <si>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</si>
  <si>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</si>
  <si>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</si>
  <si>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</si>
  <si>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</si>
  <si>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</si>
  <si>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</si>
  <si>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</si>
  <si>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</si>
  <si>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</si>
  <si>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</si>
  <si>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</si>
  <si>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</si>
  <si>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</si>
  <si>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</si>
  <si>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</si>
  <si>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</si>
  <si>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</si>
  <si>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</si>
  <si>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</si>
  <si>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</si>
  <si>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</si>
  <si>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</si>
  <si>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</si>
  <si>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</si>
  <si>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</si>
  <si>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</si>
  <si>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</si>
  <si>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</si>
  <si>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</si>
  <si>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</si>
  <si>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</si>
  <si>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</si>
  <si>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</si>
  <si>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</si>
  <si>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</si>
  <si>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</si>
  <si>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</si>
  <si>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</si>
  <si>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</si>
  <si>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</si>
  <si>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</si>
  <si>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</si>
  <si>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</si>
  <si>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</si>
  <si>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</si>
  <si>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</si>
  <si>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</si>
  <si>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</si>
  <si>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</si>
  <si>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</si>
  <si>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</si>
  <si>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</si>
  <si>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</si>
  <si>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</si>
  <si>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</si>
  <si>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</si>
  <si>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</si>
  <si>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</si>
  <si>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</si>
  <si>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</si>
  <si>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</si>
  <si>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</si>
  <si>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</si>
  <si>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</si>
  <si>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</si>
  <si>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</si>
  <si>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</si>
  <si>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</si>
  <si>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</si>
  <si>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</si>
  <si>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</si>
  <si>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</si>
  <si>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</si>
  <si>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</si>
  <si>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</si>
  <si>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</si>
  <si>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</si>
  <si>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</si>
  <si>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</si>
  <si>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</si>
  <si>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</si>
  <si>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</si>
  <si>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</si>
  <si>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</si>
  <si>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</si>
  <si>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</si>
  <si>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</si>
  <si>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</si>
  <si>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</si>
  <si>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</si>
  <si>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</si>
  <si>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</si>
  <si>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</si>
  <si>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</si>
  <si>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</si>
  <si>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</si>
  <si>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</si>
  <si>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</si>
  <si>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</si>
  <si>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</si>
  <si>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</si>
  <si>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</si>
  <si>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</si>
  <si>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</si>
  <si>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</si>
  <si>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</si>
  <si>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</si>
  <si>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</si>
  <si>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</si>
  <si>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</si>
  <si>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</si>
  <si>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</si>
  <si>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</si>
  <si>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</si>
  <si>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</si>
  <si>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</si>
  <si>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</si>
  <si>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</si>
  <si>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</si>
  <si>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</si>
  <si>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</si>
  <si>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</si>
  <si>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</si>
  <si>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</si>
  <si>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</si>
  <si>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</si>
  <si>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</si>
  <si>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</si>
  <si>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</si>
  <si>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</si>
  <si>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</si>
  <si>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</si>
  <si>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</si>
  <si>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</si>
  <si>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</si>
  <si>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</si>
  <si>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</si>
  <si>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</si>
  <si>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</si>
  <si>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</si>
  <si>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</si>
  <si>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</si>
  <si>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</si>
  <si>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</si>
  <si>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</si>
  <si>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</si>
  <si>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</si>
  <si>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</si>
  <si>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</si>
  <si>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</si>
  <si>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</si>
  <si>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</si>
  <si>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</si>
  <si>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</si>
  <si>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</si>
  <si>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</si>
  <si>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</si>
  <si>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</si>
  <si>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</si>
  <si>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</si>
  <si>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</si>
  <si>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</si>
  <si>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</si>
  <si>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</si>
  <si>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</si>
  <si>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</si>
  <si>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</si>
  <si>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</si>
  <si>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</si>
  <si>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</si>
  <si>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</si>
  <si>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</si>
  <si>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</si>
  <si>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</si>
  <si>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</si>
  <si>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</si>
  <si>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</si>
  <si>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</si>
  <si>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</si>
  <si>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</si>
  <si>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</si>
  <si>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</si>
  <si>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</si>
  <si>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</si>
  <si>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</si>
  <si>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</si>
  <si>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</si>
  <si>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</si>
  <si>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</si>
  <si>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</si>
  <si>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</si>
  <si>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</si>
  <si>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</si>
  <si>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</si>
  <si>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</si>
  <si>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</si>
  <si>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</si>
  <si>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</si>
  <si>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</si>
  <si>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</si>
  <si>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</si>
  <si>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</si>
  <si>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</si>
  <si>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</si>
  <si>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</si>
  <si>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</si>
  <si>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</si>
  <si>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</si>
  <si>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</si>
  <si>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</si>
  <si>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</si>
  <si>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</si>
  <si>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</si>
  <si>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</si>
  <si>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</si>
  <si>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</si>
  <si>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</si>
  <si>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</si>
  <si>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</si>
  <si>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</si>
  <si>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</si>
  <si>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</si>
  <si>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</si>
  <si>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</si>
  <si>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</si>
  <si>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</si>
  <si>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</si>
  <si>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</si>
  <si>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</si>
  <si>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</si>
  <si>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</si>
  <si>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</si>
  <si>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</si>
  <si>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</si>
  <si>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</si>
  <si>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</si>
  <si>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</si>
  <si>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</si>
  <si>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</si>
  <si>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</si>
  <si>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</si>
  <si>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</si>
  <si>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</si>
  <si>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</si>
  <si>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</si>
  <si>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</si>
  <si>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</si>
  <si>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</si>
  <si>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</si>
  <si>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</si>
  <si>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</si>
  <si>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</si>
  <si>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</si>
  <si>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</si>
  <si>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</si>
  <si>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</si>
  <si>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</si>
  <si>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</si>
  <si>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</si>
  <si>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</si>
  <si>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</si>
  <si>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</si>
  <si>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</si>
  <si>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</si>
  <si>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</si>
  <si>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</si>
  <si>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</si>
  <si>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</si>
  <si>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</si>
  <si>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</si>
  <si>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</si>
  <si>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</si>
  <si>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</si>
  <si>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</si>
  <si>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</si>
  <si>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</si>
  <si>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</si>
  <si>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</si>
  <si>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</si>
  <si>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</si>
  <si>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</si>
  <si>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</si>
  <si>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</si>
  <si>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</si>
  <si>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</si>
  <si>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</si>
  <si>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</si>
  <si>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</si>
  <si>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</si>
  <si>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</si>
  <si>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</si>
  <si>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</si>
  <si>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</si>
  <si>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</si>
  <si>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</si>
  <si>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</si>
  <si>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</si>
  <si>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</si>
  <si>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</si>
  <si>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</si>
  <si>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</si>
  <si>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</si>
  <si>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</si>
  <si>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</si>
  <si>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</si>
  <si>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</si>
  <si>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</si>
  <si>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</si>
  <si>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</si>
  <si>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</si>
  <si>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</si>
  <si>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</si>
  <si>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</si>
  <si>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</si>
  <si>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</si>
  <si>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</si>
  <si>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</si>
  <si>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</si>
  <si>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</si>
  <si>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</si>
  <si>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</si>
  <si>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</si>
  <si>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</si>
  <si>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</si>
  <si>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</si>
  <si>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</si>
  <si>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</si>
  <si>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</si>
  <si>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</si>
  <si>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</si>
  <si>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</si>
  <si>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</si>
  <si>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</si>
  <si>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</si>
  <si>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</si>
  <si>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</si>
  <si>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</si>
  <si>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</si>
  <si>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</si>
  <si>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</si>
  <si>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</si>
  <si>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</si>
  <si>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</si>
  <si>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</si>
  <si>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</si>
  <si>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</si>
  <si>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</si>
  <si>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</si>
  <si>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</si>
  <si>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</si>
  <si>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</si>
  <si>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</si>
  <si>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</si>
  <si>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</si>
  <si>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</si>
  <si>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</si>
  <si>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</si>
  <si>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</si>
  <si>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</si>
  <si>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</si>
  <si>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</si>
  <si>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</si>
  <si>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</si>
  <si>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</si>
  <si>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</si>
  <si>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</si>
  <si>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</si>
  <si>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</si>
  <si>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</si>
  <si>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</si>
  <si>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</si>
  <si>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</si>
  <si>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</si>
  <si>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</si>
  <si>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</si>
  <si>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</si>
  <si>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</si>
  <si>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</si>
  <si>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</si>
  <si>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</si>
  <si>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</si>
  <si>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</si>
  <si>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</si>
  <si>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</si>
  <si>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</si>
  <si>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</si>
  <si>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</si>
  <si>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</si>
  <si>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</si>
  <si>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</si>
  <si>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</si>
  <si>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</si>
  <si>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</si>
  <si>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</si>
  <si>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</si>
  <si>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</si>
  <si>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</si>
  <si>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</si>
  <si>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</si>
  <si>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</si>
  <si>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</si>
  <si>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</si>
  <si>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</si>
  <si>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</si>
  <si>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</si>
  <si>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</si>
  <si>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</si>
  <si>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</si>
  <si>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</si>
  <si>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</si>
  <si>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</si>
  <si>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</si>
  <si>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</si>
  <si>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</si>
  <si>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</si>
  <si>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</si>
  <si>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</si>
  <si>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</si>
  <si>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</si>
  <si>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</si>
  <si>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</si>
  <si>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</si>
  <si>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</si>
  <si>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</si>
  <si>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</si>
  <si>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</si>
  <si>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</si>
  <si>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</si>
  <si>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</si>
  <si>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</si>
  <si>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</si>
  <si>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</si>
  <si>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</si>
  <si>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</si>
  <si>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</si>
  <si>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</si>
  <si>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</si>
  <si>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</si>
  <si>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</si>
  <si>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</si>
  <si>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</si>
  <si>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</si>
  <si>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</si>
  <si>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</si>
  <si>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</si>
  <si>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</si>
  <si>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</si>
  <si>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</si>
  <si>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</si>
  <si>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</si>
  <si>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</si>
  <si>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</si>
  <si>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</si>
  <si>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</si>
  <si>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</si>
  <si>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</si>
  <si>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</si>
  <si>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</si>
  <si>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</si>
  <si>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</si>
  <si>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</si>
  <si>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</si>
  <si>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</si>
  <si>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</si>
  <si>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</si>
  <si>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</si>
  <si>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</si>
  <si>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</si>
  <si>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</si>
  <si>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</si>
  <si>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</si>
  <si>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</si>
  <si>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</si>
  <si>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</si>
  <si>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</si>
  <si>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</si>
  <si>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</si>
  <si>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</si>
  <si>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</si>
  <si>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</si>
  <si>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</si>
  <si>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</si>
  <si>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</si>
  <si>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</si>
  <si>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</si>
  <si>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</si>
  <si>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</si>
  <si>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</si>
  <si>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</si>
  <si>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</si>
  <si>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</si>
  <si>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</si>
  <si>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</si>
  <si>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</si>
  <si>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</si>
  <si>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</si>
  <si>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</si>
  <si>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</si>
  <si>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</si>
  <si>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</si>
  <si>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</si>
  <si>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</si>
  <si>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</si>
  <si>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</si>
  <si>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</si>
  <si>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</si>
  <si>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</si>
  <si>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</si>
  <si>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</si>
  <si>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</si>
  <si>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</si>
  <si>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</si>
  <si>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</si>
  <si>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</si>
  <si>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</si>
  <si>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</si>
  <si>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</si>
  <si>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</si>
  <si>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</si>
  <si>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</si>
  <si>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</si>
  <si>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</si>
  <si>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</si>
  <si>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</si>
  <si>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</si>
  <si>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</si>
  <si>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</si>
  <si>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</si>
  <si>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</si>
  <si>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</si>
  <si>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</si>
  <si>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</si>
  <si>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</si>
  <si>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</si>
  <si>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</si>
  <si>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</si>
  <si>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</si>
  <si>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</si>
  <si>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</si>
  <si>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</si>
  <si>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</si>
  <si>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</si>
  <si>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</si>
  <si>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</si>
  <si>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</si>
  <si>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</si>
  <si>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</si>
  <si>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</si>
  <si>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</si>
  <si>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</si>
  <si>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</si>
  <si>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</si>
  <si>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</si>
  <si>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</si>
  <si>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</si>
  <si>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</si>
  <si>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</si>
  <si>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</si>
  <si>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</si>
  <si>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</si>
  <si>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</si>
  <si>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</si>
  <si>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</si>
  <si>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</si>
  <si>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</si>
  <si>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</si>
  <si>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</si>
  <si>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</si>
  <si>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</si>
  <si>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</si>
  <si>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</si>
  <si>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</si>
  <si>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</si>
  <si>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</si>
  <si>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</si>
  <si>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</si>
  <si>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</si>
  <si>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</si>
  <si>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</si>
  <si>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</si>
  <si>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</si>
  <si>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</si>
  <si>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</si>
  <si>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</si>
  <si>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</si>
  <si>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</si>
  <si>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</si>
  <si>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</si>
  <si>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</si>
  <si>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</si>
  <si>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</si>
  <si>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</si>
  <si>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</si>
  <si>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</si>
  <si>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</si>
  <si>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</si>
  <si>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</si>
  <si>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</si>
  <si>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</si>
  <si>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</si>
  <si>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</si>
  <si>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</si>
  <si>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</si>
  <si>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</si>
  <si>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</si>
  <si>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</si>
  <si>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</si>
  <si>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</si>
  <si>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</si>
  <si>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</si>
  <si>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</si>
  <si>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</si>
  <si>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</si>
  <si>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</si>
  <si>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</si>
  <si>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</si>
  <si>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</si>
  <si>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</si>
  <si>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</si>
  <si>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</si>
  <si>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</si>
  <si>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</si>
  <si>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</si>
  <si>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</si>
  <si>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</si>
  <si>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</si>
  <si>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</t>
  </si>
  <si>
    <t>4</t>
  </si>
  <si>
    <t>5</t>
  </si>
  <si>
    <t>F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</si>
  <si>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</si>
  <si>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</si>
  <si>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</si>
  <si>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</si>
  <si>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</si>
  <si>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</si>
  <si>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</si>
  <si>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</si>
  <si>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</si>
  <si>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</si>
  <si>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</si>
  <si>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</si>
  <si>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</si>
  <si>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</si>
  <si>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</si>
  <si>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</si>
  <si>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</si>
  <si>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</si>
  <si>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</si>
  <si>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</si>
  <si>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</si>
  <si>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</si>
  <si>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</si>
  <si>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</si>
  <si>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</si>
  <si>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</si>
  <si>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</si>
  <si>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</si>
  <si>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</si>
  <si>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</si>
  <si>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</si>
  <si>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</si>
  <si>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</si>
  <si>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</si>
  <si>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</si>
  <si>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</si>
  <si>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</si>
  <si>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</si>
  <si>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</si>
  <si>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</si>
  <si>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</si>
  <si>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</si>
  <si>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</si>
  <si>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</si>
  <si>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</si>
  <si>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</si>
  <si>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</si>
  <si>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</si>
  <si>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</si>
  <si>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</si>
  <si>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</si>
  <si>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</si>
  <si>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</si>
  <si>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</si>
  <si>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</si>
  <si>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</si>
  <si>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</si>
  <si>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</si>
  <si>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</si>
  <si>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</si>
  <si>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</si>
  <si>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</si>
  <si>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</si>
  <si>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</si>
  <si>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</si>
  <si>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</si>
  <si>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</si>
  <si>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</si>
  <si>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</si>
  <si>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</si>
  <si>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</si>
  <si>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</si>
  <si>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</si>
  <si>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</si>
  <si>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</si>
  <si>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</si>
  <si>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</si>
  <si>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</si>
  <si>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</si>
  <si>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</si>
  <si>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</si>
  <si>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</si>
  <si>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</si>
  <si>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</si>
  <si>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</si>
  <si>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</si>
  <si>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</si>
  <si>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</si>
  <si>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</si>
  <si>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</si>
  <si>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</si>
  <si>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</si>
  <si>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</si>
  <si>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</si>
  <si>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</si>
  <si>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</si>
  <si>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</si>
  <si>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</si>
  <si>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</si>
  <si>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</si>
  <si>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</si>
  <si>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</si>
  <si>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</si>
  <si>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</si>
  <si>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</si>
  <si>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</si>
  <si>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</si>
  <si>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</si>
  <si>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</si>
  <si>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</si>
  <si>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</si>
  <si>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</si>
  <si>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</si>
  <si>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</si>
  <si>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</si>
  <si>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</si>
  <si>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</si>
  <si>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</si>
  <si>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</si>
  <si>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</si>
  <si>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</si>
  <si>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</si>
  <si>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</si>
  <si>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</si>
  <si>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</si>
  <si>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</si>
  <si>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</si>
  <si>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</si>
  <si>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</si>
  <si>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</si>
  <si>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</si>
  <si>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</si>
  <si>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</si>
  <si>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</si>
  <si>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</si>
  <si>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</si>
  <si>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</si>
  <si>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</si>
  <si>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</si>
  <si>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</si>
  <si>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</si>
  <si>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</si>
  <si>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</si>
  <si>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</si>
  <si>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</si>
  <si>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</si>
  <si>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</si>
  <si>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</si>
  <si>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</si>
  <si>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</si>
  <si>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</si>
  <si>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</si>
  <si>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</si>
  <si>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</si>
  <si>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</si>
  <si>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</si>
  <si>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</si>
  <si>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</si>
  <si>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</si>
  <si>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</si>
  <si>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</si>
  <si>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</si>
  <si>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</si>
  <si>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</si>
  <si>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</si>
  <si>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</si>
  <si>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</si>
  <si>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</si>
  <si>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</si>
  <si>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</si>
  <si>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</si>
  <si>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</si>
  <si>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</si>
  <si>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</si>
  <si>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</si>
  <si>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</si>
  <si>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</si>
  <si>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</si>
  <si>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</si>
  <si>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</si>
  <si>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</si>
  <si>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</si>
  <si>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</si>
  <si>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</si>
  <si>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</si>
  <si>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</si>
  <si>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</si>
  <si>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</si>
  <si>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</si>
  <si>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</si>
  <si>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</si>
  <si>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</si>
  <si>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</si>
  <si>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</si>
  <si>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</si>
  <si>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</si>
  <si>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</si>
  <si>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</si>
  <si>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</si>
  <si>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</si>
  <si>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</si>
  <si>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</si>
  <si>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</si>
  <si>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</si>
  <si>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</si>
  <si>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</si>
  <si>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</si>
  <si>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</si>
  <si>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</si>
  <si>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</si>
  <si>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</si>
  <si>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</si>
  <si>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</si>
  <si>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</si>
  <si>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</si>
  <si>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</si>
  <si>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</si>
  <si>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</si>
  <si>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</si>
  <si>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</si>
  <si>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</si>
  <si>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</si>
  <si>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</si>
  <si>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</si>
  <si>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</si>
  <si>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</si>
  <si>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</si>
  <si>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</si>
  <si>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</si>
  <si>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</si>
  <si>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</si>
  <si>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</si>
  <si>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</si>
  <si>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</si>
  <si>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</si>
  <si>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</si>
  <si>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</si>
  <si>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</si>
  <si>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</si>
  <si>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</si>
  <si>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</si>
  <si>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</si>
  <si>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</si>
  <si>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</si>
  <si>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</si>
  <si>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</si>
  <si>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</si>
  <si>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</si>
  <si>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</si>
  <si>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</si>
  <si>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</si>
  <si>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</si>
  <si>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</si>
  <si>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</si>
  <si>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</si>
  <si>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</si>
  <si>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</si>
  <si>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</si>
  <si>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</si>
  <si>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</si>
  <si>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</si>
  <si>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</si>
  <si>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</si>
  <si>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</si>
  <si>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</si>
  <si>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</si>
  <si>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</si>
  <si>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</si>
  <si>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</si>
  <si>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</si>
  <si>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</si>
  <si>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</si>
  <si>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</si>
  <si>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</si>
  <si>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</si>
  <si>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</si>
  <si>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</si>
  <si>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</si>
  <si>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</si>
  <si>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</si>
  <si>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</si>
  <si>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</si>
  <si>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</si>
  <si>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</si>
  <si>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</si>
  <si>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</si>
  <si>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</si>
  <si>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</si>
  <si>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</si>
  <si>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</si>
  <si>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</si>
  <si>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</si>
  <si>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</si>
  <si>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</si>
  <si>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</si>
  <si>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</si>
  <si>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</si>
  <si>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</si>
  <si>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</si>
  <si>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</si>
  <si>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</si>
  <si>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</si>
  <si>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</si>
  <si>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</si>
  <si>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</si>
  <si>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</si>
  <si>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</si>
  <si>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</si>
  <si>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</si>
  <si>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</si>
  <si>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</si>
  <si>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</si>
  <si>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</si>
  <si>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</si>
  <si>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</si>
  <si>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</si>
  <si>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</si>
  <si>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</si>
  <si>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</si>
  <si>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</si>
  <si>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</si>
  <si>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</si>
  <si>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</si>
  <si>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</si>
  <si>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</si>
  <si>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</si>
  <si>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</si>
  <si>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</si>
  <si>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</si>
  <si>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</si>
  <si>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</si>
  <si>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</si>
  <si>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</si>
  <si>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</si>
  <si>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</si>
  <si>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</si>
  <si>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</si>
  <si>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</si>
  <si>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</si>
  <si>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</si>
  <si>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</si>
  <si>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</si>
  <si>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</si>
  <si>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</si>
  <si>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</si>
  <si>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</si>
  <si>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</si>
  <si>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</si>
  <si>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</si>
  <si>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</si>
  <si>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</si>
  <si>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</si>
  <si>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</si>
  <si>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</si>
  <si>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</si>
  <si>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</si>
  <si>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</si>
  <si>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</si>
  <si>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</si>
  <si>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</si>
  <si>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</si>
  <si>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</si>
  <si>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</si>
  <si>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</si>
  <si>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</si>
  <si>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</si>
  <si>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</si>
  <si>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</si>
  <si>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</si>
  <si>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</si>
  <si>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</si>
  <si>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</si>
  <si>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</si>
  <si>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</si>
  <si>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</si>
  <si>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</si>
  <si>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</si>
  <si>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</si>
  <si>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</si>
  <si>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</si>
  <si>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</si>
  <si>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</si>
  <si>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</si>
  <si>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</si>
  <si>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</si>
  <si>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</si>
  <si>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</si>
  <si>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</si>
  <si>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</si>
  <si>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</si>
  <si>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</si>
  <si>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</si>
  <si>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</si>
  <si>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</si>
  <si>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</si>
  <si>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</si>
  <si>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</si>
  <si>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</si>
  <si>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</si>
  <si>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</si>
  <si>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</si>
  <si>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</si>
  <si>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</si>
  <si>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</si>
  <si>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</si>
  <si>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</si>
  <si>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</si>
  <si>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</si>
  <si>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</si>
  <si>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</si>
  <si>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</si>
  <si>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</si>
  <si>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</si>
  <si>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</si>
  <si>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</si>
  <si>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</si>
  <si>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</si>
  <si>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</si>
  <si>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</si>
  <si>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</si>
  <si>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</si>
  <si>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</si>
  <si>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</si>
  <si>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</si>
  <si>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</si>
  <si>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</si>
  <si>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</si>
  <si>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</si>
  <si>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</si>
  <si>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</si>
  <si>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</si>
  <si>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</si>
  <si>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</si>
  <si>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</si>
  <si>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</si>
  <si>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</si>
  <si>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</si>
  <si>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</si>
  <si>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</si>
  <si>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</si>
  <si>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</si>
  <si>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</si>
  <si>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</si>
  <si>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</si>
  <si>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</si>
  <si>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</si>
  <si>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</si>
  <si>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</si>
  <si>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</si>
  <si>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</si>
  <si>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</si>
  <si>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</si>
  <si>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</si>
  <si>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</si>
  <si>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</si>
  <si>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</si>
  <si>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</si>
  <si>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</si>
  <si>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</si>
  <si>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</si>
  <si>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</si>
  <si>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</si>
  <si>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</si>
  <si>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</si>
  <si>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</si>
  <si>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</si>
  <si>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</si>
  <si>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</si>
  <si>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</si>
  <si>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</si>
  <si>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</si>
  <si>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</si>
  <si>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</si>
  <si>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</si>
  <si>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</si>
  <si>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</si>
  <si>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</si>
  <si>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</si>
  <si>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</si>
  <si>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</si>
  <si>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</si>
  <si>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</si>
  <si>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</si>
  <si>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</si>
  <si>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</si>
  <si>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</si>
  <si>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</si>
  <si>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</si>
  <si>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</si>
  <si>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</si>
  <si>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</si>
  <si>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</si>
  <si>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</si>
  <si>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</si>
  <si>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</si>
  <si>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</si>
  <si>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</si>
  <si>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</si>
  <si>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</si>
  <si>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</si>
  <si>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</si>
  <si>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</si>
  <si>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</si>
  <si>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</si>
  <si>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</si>
  <si>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</si>
  <si>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</si>
  <si>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</si>
  <si>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</si>
  <si>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</si>
  <si>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</si>
  <si>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</si>
  <si>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</si>
  <si>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</si>
  <si>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</si>
  <si>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</si>
  <si>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</si>
  <si>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</si>
  <si>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</si>
  <si>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</si>
  <si>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</si>
  <si>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</si>
  <si>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</si>
  <si>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</si>
  <si>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</si>
  <si>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</si>
  <si>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</si>
  <si>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</si>
  <si>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</si>
  <si>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</si>
  <si>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</si>
  <si>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</si>
  <si>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</si>
  <si>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</si>
  <si>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</si>
  <si>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</si>
  <si>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</si>
  <si>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</si>
  <si>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</si>
  <si>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</si>
  <si>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</si>
  <si>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</si>
  <si>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</si>
  <si>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</si>
  <si>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</si>
  <si>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</si>
  <si>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</si>
  <si>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</si>
  <si>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</si>
  <si>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</si>
  <si>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</si>
  <si>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</si>
  <si>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</si>
  <si>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</si>
  <si>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</si>
  <si>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</si>
  <si>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</si>
  <si>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</si>
  <si>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</si>
  <si>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</si>
  <si>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</si>
  <si>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</si>
  <si>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2</t>
  </si>
  <si>
    <t>11</t>
  </si>
  <si>
    <t>G-F</t>
  </si>
  <si>
    <t xml:space="preserve"> </t>
  </si>
  <si>
    <t>7</t>
  </si>
  <si>
    <t>3</t>
  </si>
  <si>
    <t>R</t>
  </si>
  <si>
    <t>240</t>
  </si>
  <si>
    <t>250</t>
  </si>
  <si>
    <t>0</t>
  </si>
  <si>
    <t>9</t>
  </si>
  <si>
    <t>21</t>
  </si>
  <si>
    <t>6</t>
  </si>
  <si>
    <t>43</t>
  </si>
  <si>
    <t>UCLA</t>
  </si>
  <si>
    <t>Carmelo Anthony</t>
  </si>
  <si>
    <t>238</t>
  </si>
  <si>
    <t>MAY 29, 1984</t>
  </si>
  <si>
    <t>16</t>
  </si>
  <si>
    <t>Syracuse</t>
  </si>
  <si>
    <t>Damian Lillard</t>
  </si>
  <si>
    <t>195</t>
  </si>
  <si>
    <t>JUL 15, 1990</t>
  </si>
  <si>
    <t>Weber State</t>
  </si>
  <si>
    <t>Anfernee Simons</t>
  </si>
  <si>
    <t>181</t>
  </si>
  <si>
    <t>JUN 08, 1999</t>
  </si>
  <si>
    <t>Gary Trent Jr.</t>
  </si>
  <si>
    <t>209</t>
  </si>
  <si>
    <t>JAN 18, 1999</t>
  </si>
  <si>
    <t>Duke</t>
  </si>
  <si>
    <t>CJ McCollum</t>
  </si>
  <si>
    <t>190</t>
  </si>
  <si>
    <t>SEP 19, 1991</t>
  </si>
  <si>
    <t>Lehigh</t>
  </si>
  <si>
    <t>Moses Brown</t>
  </si>
  <si>
    <t>C</t>
  </si>
  <si>
    <t>245</t>
  </si>
  <si>
    <t>OCT 13, 1999</t>
  </si>
  <si>
    <t>Rodney Hood</t>
  </si>
  <si>
    <t>208</t>
  </si>
  <si>
    <t>OCT 20, 1992</t>
  </si>
  <si>
    <t>Jaylen Hoard</t>
  </si>
  <si>
    <t>216</t>
  </si>
  <si>
    <t>MAR 30, 1999</t>
  </si>
  <si>
    <t>Wake Forest</t>
  </si>
  <si>
    <t>Nassir Little</t>
  </si>
  <si>
    <t>F-G</t>
  </si>
  <si>
    <t>220</t>
  </si>
  <si>
    <t>FEB 11, 2000</t>
  </si>
  <si>
    <t>North Carolina</t>
  </si>
  <si>
    <t>Skal Labissiere</t>
  </si>
  <si>
    <t>17</t>
  </si>
  <si>
    <t>F-C</t>
  </si>
  <si>
    <t>235</t>
  </si>
  <si>
    <t>MAR 18, 1996</t>
  </si>
  <si>
    <t>Kentucky</t>
  </si>
  <si>
    <t>Hassan Whiteside</t>
  </si>
  <si>
    <t>265</t>
  </si>
  <si>
    <t>JUN 13, 1989</t>
  </si>
  <si>
    <t>Marshall</t>
  </si>
  <si>
    <t>Kent Bazemore</t>
  </si>
  <si>
    <t>24</t>
  </si>
  <si>
    <t>JUL 01, 1989</t>
  </si>
  <si>
    <t>Old Dominion</t>
  </si>
  <si>
    <t>Jusuf Nurkic</t>
  </si>
  <si>
    <t>27</t>
  </si>
  <si>
    <t>290</t>
  </si>
  <si>
    <t>AUG 23, 1994</t>
  </si>
  <si>
    <t>Zach Collins</t>
  </si>
  <si>
    <t>33</t>
  </si>
  <si>
    <t>6-11</t>
  </si>
  <si>
    <t>NOV 19, 1997</t>
  </si>
  <si>
    <t>Gonzaga</t>
  </si>
  <si>
    <t>Anthony Tolliver</t>
  </si>
  <si>
    <t>JUN 01, 1985</t>
  </si>
  <si>
    <t>Creighton</t>
  </si>
  <si>
    <t>Mario Hezonja</t>
  </si>
  <si>
    <t>44</t>
  </si>
  <si>
    <t>FEB 25, 1995</t>
  </si>
  <si>
    <t>Trail Blazers</t>
    <phoneticPr fontId="1"/>
  </si>
  <si>
    <t>5-11</t>
    <phoneticPr fontId="1"/>
  </si>
  <si>
    <t xml:space="preserve">2-8  </t>
    <phoneticPr fontId="1"/>
  </si>
  <si>
    <t xml:space="preserve">1-4  </t>
    <phoneticPr fontId="1"/>
  </si>
  <si>
    <t xml:space="preserve">4-7  </t>
    <phoneticPr fontId="1"/>
  </si>
  <si>
    <t>53-29</t>
    <phoneticPr fontId="1"/>
  </si>
  <si>
    <t xml:space="preserve">8-2  </t>
    <phoneticPr fontId="1"/>
  </si>
  <si>
    <t xml:space="preserve">32-9 </t>
    <phoneticPr fontId="1"/>
  </si>
  <si>
    <t>21-20</t>
    <phoneticPr fontId="1"/>
  </si>
  <si>
    <t>34-23</t>
    <phoneticPr fontId="1"/>
  </si>
  <si>
    <t>19-6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</si>
</sst>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A27FC8-0416-4419-A010-0EC32E444D3D}" name="TableRoster" displayName="TableRoster" ref="A1:M17" totalsRowShown="0" headerRowDxfId="1074">
  <autoFilter ref="A1:M17" xr:uid="{8157EE15-F370-4533-A64D-386224AAA4B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FA06D913-3F43-404F-A3ED-7BB43DCF465A}" name="TeamID" dataDxfId="1087"/>
    <tableColumn id="2" xr3:uid="{A5D49A56-B4F6-4C02-BA98-EF7D1F3CDAA3}" name="SEASON" dataDxfId="1086"/>
    <tableColumn id="3" xr3:uid="{4421CAF0-8525-4D9D-B434-9447B6BAD892}" name="LeagueID" dataDxfId="1085"/>
    <tableColumn id="4" xr3:uid="{CBB00156-9625-4F57-BB8A-A3F45F6EAA8A}" name="PLAYER" dataDxfId="1084"/>
    <tableColumn id="5" xr3:uid="{2466192B-092A-4249-96D3-3EF476C5DDF6}" name="NUM" dataDxfId="1083"/>
    <tableColumn id="6" xr3:uid="{368EE43A-DB5C-4FF8-9F23-32019F931FAB}" name="POSITION" dataDxfId="1082"/>
    <tableColumn id="7" xr3:uid="{E9E819BC-AC7D-4FC1-9734-0E5BA3A95C38}" name="HEIGHT" dataDxfId="1081"/>
    <tableColumn id="8" xr3:uid="{2C07ECFB-1279-4B21-98B2-06DEF27AB035}" name="WEIGHT" dataDxfId="1080"/>
    <tableColumn id="9" xr3:uid="{C57712B8-D697-425C-8E0C-3B7A10091193}" name="BIRTH_DATE" dataDxfId="1079"/>
    <tableColumn id="10" xr3:uid="{93F0B5B7-D254-4C36-BAA5-18AACEF18167}" name="AGE" dataDxfId="1078"/>
    <tableColumn id="11" xr3:uid="{E1D910C1-5203-4856-BDEE-25985B194164}" name="EXP" dataDxfId="1077"/>
    <tableColumn id="12" xr3:uid="{A50A47D0-294E-4EF3-897A-F7E536AFF274}" name="SCHOOL" dataDxfId="1076"/>
    <tableColumn id="13" xr3:uid="{341A355B-6A29-4C0F-A9B2-4A3BBEC2111E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C53885-4440-4380-8AD4-A52ECDF0D5E6}" name="TableStandingsN" displayName="TableStandingsN" ref="A1:CC31" totalsRowShown="0" headerRowDxfId="992">
  <autoFilter ref="A1:CC31" xr:uid="{5948319F-9C0B-4F01-9593-7642975AC9D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512FFD93-1274-4F48-81DB-27EA9A77AD9C}" name="LeagueID" dataDxfId="1073"/>
    <tableColumn id="2" xr3:uid="{403D240E-3DBA-4D7F-B2B2-E3166A06E1C8}" name="SeasonID" dataDxfId="1072"/>
    <tableColumn id="3" xr3:uid="{3E46DB17-E3FC-4B41-8B80-BF7499381C46}" name="TeamID" dataDxfId="1071"/>
    <tableColumn id="4" xr3:uid="{D186CB6F-97BF-4317-BD32-B9475B0C5413}" name="TeamCity" dataDxfId="1070"/>
    <tableColumn id="5" xr3:uid="{F792E73E-F944-40D4-82AE-F41022A07523}" name="TeamName" dataDxfId="1069"/>
    <tableColumn id="6" xr3:uid="{6E6B1CFB-639D-48E7-B630-BDDE2DD85315}" name="Conference" dataDxfId="1068"/>
    <tableColumn id="7" xr3:uid="{B604000D-20F2-4C30-813D-FD42E87F0B52}" name="ConferenceRecord" dataDxfId="1067"/>
    <tableColumn id="8" xr3:uid="{3E6B3B09-0337-494C-B041-D6A20C3A8024}" name="PlayoffRank" dataDxfId="1066"/>
    <tableColumn id="9" xr3:uid="{4C6723A1-0DBC-45F1-B3CB-B3DF2E6CCBD3}" name="ClinchIndicator" dataDxfId="1065"/>
    <tableColumn id="10" xr3:uid="{6E273C05-3063-462F-855F-EE2005496F61}" name="Division" dataDxfId="1064"/>
    <tableColumn id="11" xr3:uid="{62FA91F5-0928-4338-A554-3AED7D69D76C}" name="DivisionRecord" dataDxfId="1063"/>
    <tableColumn id="12" xr3:uid="{453D92E6-AA3E-4280-A301-E36E09E5F782}" name="DivisionRank" dataDxfId="1062"/>
    <tableColumn id="13" xr3:uid="{DCF1645E-9B4D-4372-91D5-6B3DC5208579}" name="WINS" dataDxfId="1061"/>
    <tableColumn id="14" xr3:uid="{C3DD333C-F875-4754-A323-E72297922F76}" name="LOSSES" dataDxfId="1060"/>
    <tableColumn id="15" xr3:uid="{4F831D80-4553-4C99-937F-5336835F0ADF}" name="WinPCT" dataDxfId="1059"/>
    <tableColumn id="16" xr3:uid="{6854E209-CB61-443D-BF75-4F1EBE9C9287}" name="LeagueRank" dataDxfId="1058"/>
    <tableColumn id="17" xr3:uid="{942B7020-B4B6-4218-B939-3EE73FF51CF5}" name="Record" dataDxfId="1057"/>
    <tableColumn id="18" xr3:uid="{A88E26F3-AD02-4836-90E2-F95BDE74F7EB}" name="HOME" dataDxfId="1056"/>
    <tableColumn id="19" xr3:uid="{9F3EBFCA-2478-4A49-89A3-CE5CDCFCDFF0}" name="ROAD" dataDxfId="1055"/>
    <tableColumn id="20" xr3:uid="{E74DA8D7-4C6C-40B5-8A9B-12B8819AB925}" name="L10" dataDxfId="1054"/>
    <tableColumn id="21" xr3:uid="{2F9C7CD4-BE86-4256-93D0-858307750802}" name="Last10Home" dataDxfId="1053"/>
    <tableColumn id="22" xr3:uid="{FEBBEA79-F452-4B81-A167-E7565D204013}" name="Last10Road" dataDxfId="1052"/>
    <tableColumn id="23" xr3:uid="{849AC973-9B72-4886-8B3C-61BE05F13129}" name="OT" dataDxfId="1051"/>
    <tableColumn id="24" xr3:uid="{107636A5-4C4E-4097-B022-31053E520008}" name="ThreePTSOrLess" dataDxfId="1050"/>
    <tableColumn id="25" xr3:uid="{B3F28A02-7192-436E-90D5-DAD9F69097E2}" name="TenPTSOrMore" dataDxfId="1049"/>
    <tableColumn id="26" xr3:uid="{929D558A-C0A0-4529-8670-45BB1A6E57D1}" name="LongHomeStreak" dataDxfId="1048"/>
    <tableColumn id="27" xr3:uid="{2B7B6FBF-5858-4745-8331-5C0209B38721}" name="strLongHomeStreak" dataDxfId="1047"/>
    <tableColumn id="28" xr3:uid="{6A035A03-A3F9-4B4C-842D-DB887998FA61}" name="LongRoadStreak" dataDxfId="1046"/>
    <tableColumn id="29" xr3:uid="{0FD3BD64-8018-4830-87E5-4F10E4AB0809}" name="strLongRoadStreak" dataDxfId="1045"/>
    <tableColumn id="30" xr3:uid="{0E1B8C69-7B75-40BF-9898-0B2E814477C0}" name="LongWinStreak" dataDxfId="1044"/>
    <tableColumn id="31" xr3:uid="{4FAD36F8-399E-41F4-B182-90FB0371FBCE}" name="LongLossStreak" dataDxfId="1043"/>
    <tableColumn id="32" xr3:uid="{131D82FB-6AA6-42DE-8DC8-4F15D0EA752C}" name="CurrentHomeStreak" dataDxfId="1042"/>
    <tableColumn id="33" xr3:uid="{50743B79-E46B-47F3-A845-0730AF91285E}" name="strCurrentHomeStreak" dataDxfId="1041"/>
    <tableColumn id="34" xr3:uid="{43AB8868-8524-44D9-828A-8CAC87800017}" name="CurrentRoadStreak" dataDxfId="1040"/>
    <tableColumn id="35" xr3:uid="{5FE2E924-FE5D-4CB3-8732-E3BADF55F382}" name="strCurrentRoadStreak" dataDxfId="1039"/>
    <tableColumn id="36" xr3:uid="{B31F4B58-7A16-4279-9DBD-ED725477F658}" name="CurrentStreak" dataDxfId="1038"/>
    <tableColumn id="37" xr3:uid="{D63DB9C1-C5BF-47A2-B58C-2A493697B52A}" name="strCurrentStreak" dataDxfId="1037"/>
    <tableColumn id="38" xr3:uid="{1C8A097B-D2D6-4C7A-B9B5-E70697E5FD98}" name="ConferenceGamesBack" dataDxfId="1036"/>
    <tableColumn id="39" xr3:uid="{1F7FA709-8569-47B4-8BCE-1B1305C7ACDB}" name="DivisionGamesBack" dataDxfId="1035"/>
    <tableColumn id="40" xr3:uid="{BE4D7AD4-D62E-4752-8954-433F648BC695}" name="ClinchedConferenceTitle" dataDxfId="1034"/>
    <tableColumn id="41" xr3:uid="{95514968-7E6A-4411-AA46-16DD26598314}" name="ClinchedDivisionTitle" dataDxfId="1033"/>
    <tableColumn id="42" xr3:uid="{71F1407C-9A14-4868-948D-72311FABECBC}" name="ClinchedPlayoffBirth" dataDxfId="1032"/>
    <tableColumn id="43" xr3:uid="{96D1147C-F1CA-4C24-9D81-4D534CA148C2}" name="EliminatedConference" dataDxfId="1031"/>
    <tableColumn id="44" xr3:uid="{32AFEA3C-2ADA-4C02-BF95-EC012627D0E5}" name="EliminatedDivision" dataDxfId="1030"/>
    <tableColumn id="45" xr3:uid="{277B74AA-24DB-4461-AD98-E8827F1E1ECC}" name="AheadAtHalf" dataDxfId="1029"/>
    <tableColumn id="46" xr3:uid="{152E7EA8-CAF0-4E8C-BA03-70059D5A0B52}" name="BehindAtHalf" dataDxfId="1028"/>
    <tableColumn id="47" xr3:uid="{E6CE2EA8-EF62-45E4-8604-2579653F4B4B}" name="TiedAtHalf" dataDxfId="1027"/>
    <tableColumn id="48" xr3:uid="{E6DEC574-4905-48A3-B54F-7548547CAD6A}" name="AheadAtThird" dataDxfId="1026"/>
    <tableColumn id="49" xr3:uid="{45C6DC32-2F15-4FAF-8A16-7E6BE9DB5907}" name="BehindAtThird" dataDxfId="1025"/>
    <tableColumn id="50" xr3:uid="{7CEE0D03-C5D1-44C4-9619-A8BBED99BEA9}" name="TiedAtThird" dataDxfId="1024"/>
    <tableColumn id="51" xr3:uid="{922C2C3C-D3BC-44F5-8064-9F04D6A5A396}" name="Score100PTS" dataDxfId="1023"/>
    <tableColumn id="52" xr3:uid="{F0217CE3-DF2B-452F-A0D9-BB4C53BAB4E4}" name="OppScore100PTS" dataDxfId="1022"/>
    <tableColumn id="53" xr3:uid="{35B9281E-8F8F-4C95-93AD-A86619BB5E7E}" name="OppOver500" dataDxfId="1021"/>
    <tableColumn id="54" xr3:uid="{A6C5D044-795A-4BE2-9D35-0DC4320D7F51}" name="LeadInFGPCT" dataDxfId="1020"/>
    <tableColumn id="55" xr3:uid="{CE617589-4BAE-4121-9249-840636CC5D87}" name="LeadInReb" dataDxfId="1019"/>
    <tableColumn id="56" xr3:uid="{BE899437-4938-41E6-878F-9792F1B7AFDD}" name="FewerTurnovers" dataDxfId="1018"/>
    <tableColumn id="57" xr3:uid="{59953174-2E12-424E-9AF5-CDDF5738E236}" name="PointsPG" dataDxfId="1017"/>
    <tableColumn id="58" xr3:uid="{44842BAB-F31D-4B49-BE4A-1BF4637DA283}" name="OppPointsPG" dataDxfId="1016"/>
    <tableColumn id="59" xr3:uid="{950CB23F-F1FB-407A-9D0A-445B16018BA3}" name="DiffPointsPG" dataDxfId="1015"/>
    <tableColumn id="60" xr3:uid="{AF1C92B8-2B68-4363-BE4B-70931A3EF22D}" name="vsEast" dataDxfId="1014"/>
    <tableColumn id="61" xr3:uid="{19928FA4-1ACB-4818-800B-75A7626F4178}" name="vsAtlantic" dataDxfId="1013"/>
    <tableColumn id="62" xr3:uid="{37CE0DE3-1998-463E-A625-105C8C7604EF}" name="vsCentral" dataDxfId="1012"/>
    <tableColumn id="63" xr3:uid="{F658D718-7FC0-4116-BE0C-015E129567A7}" name="vsSoutheast" dataDxfId="1011"/>
    <tableColumn id="64" xr3:uid="{3E0ADCE8-E362-4169-8A9B-5B91E9924249}" name="vsWest" dataDxfId="1010"/>
    <tableColumn id="65" xr3:uid="{80A5770A-7C02-426F-B2EA-E6AA690DB1A0}" name="vsNorthwest" dataDxfId="1009"/>
    <tableColumn id="66" xr3:uid="{73752300-1136-4429-8803-E3D451F1DEC8}" name="vsPacific" dataDxfId="1008"/>
    <tableColumn id="67" xr3:uid="{E066E4D3-7481-47C3-A7C8-B9D593CC613F}" name="vsSouthwest" dataDxfId="1007"/>
    <tableColumn id="68" xr3:uid="{BEDE02A0-2DE9-4455-B610-26ECA082E192}" name="Jan" dataDxfId="1006"/>
    <tableColumn id="69" xr3:uid="{001B7006-2AEE-42E9-9D23-04C7CB070ADB}" name="Feb" dataDxfId="1005"/>
    <tableColumn id="70" xr3:uid="{34C07039-362C-42DA-92E8-E64538972A34}" name="Mar" dataDxfId="1004"/>
    <tableColumn id="71" xr3:uid="{E2D9BBA1-9435-4C2F-8191-47EB551B7652}" name="Apr" dataDxfId="1003"/>
    <tableColumn id="72" xr3:uid="{D2E9FED6-DCD5-4752-95CC-E9D34072D1CB}" name="May" dataDxfId="1002"/>
    <tableColumn id="73" xr3:uid="{13FB20A6-75F1-476F-8DE6-1ABFD9993A48}" name="Jun" dataDxfId="1001"/>
    <tableColumn id="74" xr3:uid="{5FED716F-3C9F-47E1-AA50-D62CE286AAB1}" name="Jul" dataDxfId="1000"/>
    <tableColumn id="75" xr3:uid="{21E11FD3-C611-4894-A569-A6A2144FE415}" name="Aug" dataDxfId="999"/>
    <tableColumn id="76" xr3:uid="{01538691-316C-4C7D-94AD-6CB96C947F15}" name="Sep" dataDxfId="998"/>
    <tableColumn id="77" xr3:uid="{B78BD418-7E90-4253-9A40-BABC244AEE85}" name="Oct" dataDxfId="997"/>
    <tableColumn id="78" xr3:uid="{BBAA91D0-D83F-4718-8819-EC93A2DCF065}" name="Nov" dataDxfId="996"/>
    <tableColumn id="79" xr3:uid="{192815E0-9229-4316-AA9B-CFC385D10C7D}" name="Dec" dataDxfId="995"/>
    <tableColumn id="80" xr3:uid="{3519F1EE-F170-4391-9332-BF547788C7B3}" name="PreAS" dataDxfId="994"/>
    <tableColumn id="81" xr3:uid="{6B09E3A6-0CF2-4E60-83FD-2E68A8E57257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7A49F51-55C2-491E-B7CE-FD9406DD4DD0}" name="TableBaseN" displayName="TableBaseN" ref="A1:BD31" totalsRowShown="0" headerRowDxfId="853">
  <autoFilter ref="A1:BD31" xr:uid="{99BD2556-538F-4E7E-80C7-C0D0C650D26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73E350C7-A237-4CD3-8831-DABBF982A0A6}" name="TEAM_ID" dataDxfId="909"/>
    <tableColumn id="2" xr3:uid="{88BA4CD8-3675-4BAE-A105-2A30B457AB20}" name="TEAM_NAME" dataDxfId="908"/>
    <tableColumn id="3" xr3:uid="{F33246AE-684A-48B7-AFFA-92E7309C295C}" name="GP" dataDxfId="907"/>
    <tableColumn id="4" xr3:uid="{BC33B2A4-A1A2-423A-90E8-4908161D5A1B}" name="W" dataDxfId="906"/>
    <tableColumn id="5" xr3:uid="{F525E81F-1795-4741-A1BE-38B57326FCB0}" name="L" dataDxfId="905"/>
    <tableColumn id="6" xr3:uid="{EB4F45D0-5D1C-4A98-869D-592F9A73619D}" name="W_PCT" dataDxfId="904"/>
    <tableColumn id="7" xr3:uid="{575AE99D-A9E1-4184-8E2A-A141D4357DA7}" name="MIN" dataDxfId="903"/>
    <tableColumn id="8" xr3:uid="{E62A5DCB-772E-4733-BBE8-C2ED37297868}" name="FGM" dataDxfId="902"/>
    <tableColumn id="9" xr3:uid="{EF7DDD30-6C39-48A7-B070-27A119D28AF5}" name="FGA" dataDxfId="901"/>
    <tableColumn id="10" xr3:uid="{7B1D1797-D933-43C4-A914-25AF0C81E1D6}" name="FG_PCT" dataDxfId="900"/>
    <tableColumn id="11" xr3:uid="{3F527592-17E7-4F54-A8C1-3CCDA27AA721}" name="FG3M" dataDxfId="899"/>
    <tableColumn id="12" xr3:uid="{EE1A30C8-CD85-4900-96F0-72F0115BEFA5}" name="FG3A" dataDxfId="898"/>
    <tableColumn id="13" xr3:uid="{72479824-E732-4494-B76F-C37DFAAE6E93}" name="FG3_PCT" dataDxfId="897"/>
    <tableColumn id="14" xr3:uid="{9060C7BD-E927-4A49-9D9D-14494E39C0CD}" name="FTM" dataDxfId="896"/>
    <tableColumn id="15" xr3:uid="{512BCFE1-E21E-4618-864C-B48EAC87EBE0}" name="FTA" dataDxfId="895"/>
    <tableColumn id="16" xr3:uid="{8D28E161-3330-41F5-8DD3-0D55B1364FDF}" name="FT_PCT" dataDxfId="894"/>
    <tableColumn id="17" xr3:uid="{33CB5969-EE21-40EF-BF3E-A728FFD1D68D}" name="OREB" dataDxfId="893"/>
    <tableColumn id="18" xr3:uid="{5CDC2031-4FBA-4369-B48B-877B2ECAC025}" name="DREB" dataDxfId="892"/>
    <tableColumn id="19" xr3:uid="{7CC45056-4792-40BF-A6FC-1946AC245042}" name="REB" dataDxfId="891"/>
    <tableColumn id="20" xr3:uid="{61EF2BC1-B812-4C61-8F63-00361E90894C}" name="AST" dataDxfId="890"/>
    <tableColumn id="21" xr3:uid="{690A82AE-AF30-48A0-AC14-1A582C071261}" name="TOV" dataDxfId="889"/>
    <tableColumn id="22" xr3:uid="{40A92D21-8BBC-4DA7-B340-01A4906D3B5E}" name="STL" dataDxfId="888"/>
    <tableColumn id="23" xr3:uid="{8721FC34-512A-49DB-8B50-642D9B85A88A}" name="BLK" dataDxfId="887"/>
    <tableColumn id="24" xr3:uid="{4A950755-A9C8-4F80-925D-F7FC12CC8B97}" name="BLKA" dataDxfId="886"/>
    <tableColumn id="25" xr3:uid="{9047BEFF-CA66-4415-9DD8-51FAF56F8DD6}" name="PF" dataDxfId="885"/>
    <tableColumn id="26" xr3:uid="{5AC802DA-0D51-4AC7-9E90-C6D23CADB68F}" name="PFD" dataDxfId="884"/>
    <tableColumn id="27" xr3:uid="{FE476851-4B76-4482-A69D-4785BBE0693D}" name="PTS" dataDxfId="883"/>
    <tableColumn id="28" xr3:uid="{F84E7D80-6B41-44BF-BCD8-CEA3CCB0515F}" name="PLUS_MINUS" dataDxfId="882"/>
    <tableColumn id="29" xr3:uid="{26E61527-BB7B-46F6-806E-A1FACA9D12CD}" name="GP_RANK" dataDxfId="881"/>
    <tableColumn id="30" xr3:uid="{2EA0D6E0-FDD5-4210-A75E-DE6EBD664B2E}" name="W_RANK" dataDxfId="880"/>
    <tableColumn id="31" xr3:uid="{1486881A-DF90-4D01-9C4F-96AB1C40A767}" name="L_RANK" dataDxfId="879"/>
    <tableColumn id="32" xr3:uid="{EB6E4116-4C69-47BB-875C-6FA7D36464CA}" name="W_PCT_RANK" dataDxfId="878"/>
    <tableColumn id="33" xr3:uid="{805D914A-4068-45E7-AD07-A8725EBE7450}" name="MIN_RANK" dataDxfId="877"/>
    <tableColumn id="34" xr3:uid="{9866DA03-B2C5-48DD-B4D3-259D88FFFD8E}" name="FGM_RANK" dataDxfId="876"/>
    <tableColumn id="35" xr3:uid="{2645323C-85D9-49EE-9033-FB9E251ECCFE}" name="FGA_RANK" dataDxfId="875"/>
    <tableColumn id="36" xr3:uid="{3DD893F0-C0E1-4F64-B7A9-B35A914E7D68}" name="FG_PCT_RANK" dataDxfId="874"/>
    <tableColumn id="37" xr3:uid="{EEDDAE6F-945C-4149-9A20-CF095C5DFD10}" name="FG3M_RANK" dataDxfId="873"/>
    <tableColumn id="38" xr3:uid="{FE92B769-0250-4D60-A5BD-468C27A81435}" name="FG3A_RANK" dataDxfId="872"/>
    <tableColumn id="39" xr3:uid="{EF80CCA0-FB12-4E72-BDFE-741D23BF659B}" name="FG3_PCT_RANK" dataDxfId="871"/>
    <tableColumn id="40" xr3:uid="{AD77C021-CDED-437B-BB95-B1A343BF6736}" name="FTM_RANK" dataDxfId="870"/>
    <tableColumn id="41" xr3:uid="{EF6E098B-E142-4EFA-9DF5-EC5D184C83E2}" name="FTA_RANK" dataDxfId="869"/>
    <tableColumn id="42" xr3:uid="{F042540C-1738-4E1D-8C11-E6B0A14D6B6B}" name="FT_PCT_RANK" dataDxfId="868"/>
    <tableColumn id="43" xr3:uid="{0318C3EC-D88A-42DF-A624-6F915AD3AAC2}" name="OREB_RANK" dataDxfId="867"/>
    <tableColumn id="44" xr3:uid="{BEDF666F-B7A7-49FD-9C9A-39C971B5B7E6}" name="DREB_RANK" dataDxfId="866"/>
    <tableColumn id="45" xr3:uid="{51F9CFF6-740C-4DBE-92F0-4F5500C60E6E}" name="REB_RANK" dataDxfId="865"/>
    <tableColumn id="46" xr3:uid="{19723B80-CF94-448C-BA96-DD2EB4804E7A}" name="AST_RANK" dataDxfId="864"/>
    <tableColumn id="47" xr3:uid="{8F64D3DE-2255-4EBD-B5D6-922A29705FA0}" name="TOV_RANK" dataDxfId="863"/>
    <tableColumn id="48" xr3:uid="{63B8F00E-EAED-4F1A-9C8F-3A07859312D1}" name="STL_RANK" dataDxfId="862"/>
    <tableColumn id="49" xr3:uid="{10A90BA3-F33F-4D9E-A552-DF4BE6B09B72}" name="BLK_RANK" dataDxfId="861"/>
    <tableColumn id="50" xr3:uid="{C996C783-0F5C-45A0-89A5-1E4BE41E503E}" name="BLKA_RANK" dataDxfId="860"/>
    <tableColumn id="51" xr3:uid="{FEFACA1F-9B38-4597-85E0-7AC7F43D6298}" name="PF_RANK" dataDxfId="859"/>
    <tableColumn id="52" xr3:uid="{25E90061-5773-4ECD-9003-BB7BA49937A3}" name="PFD_RANK" dataDxfId="858"/>
    <tableColumn id="53" xr3:uid="{778743A7-CAEF-4DAF-9269-414F0760DD84}" name="PTS_RANK" dataDxfId="857"/>
    <tableColumn id="54" xr3:uid="{168E2EF9-F871-4B03-99B2-5DD5DB2CFA98}" name="PLUS_MINUS_RANK" dataDxfId="856"/>
    <tableColumn id="55" xr3:uid="{1085EF00-71DE-4B9D-9475-C623398D9963}" name="CFID" dataDxfId="855"/>
    <tableColumn id="56" xr3:uid="{EC7EE31C-57C2-4BD1-9F2D-FDF9BDA7ACC5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C6BF280-441E-40A4-BF3A-355573B37199}" name="TableAdvancedN" displayName="TableAdvancedN" ref="A1:AV31" totalsRowShown="0" headerRowDxfId="747">
  <autoFilter ref="A1:AV31" xr:uid="{9E51976C-6425-4972-B30F-E32A5666A79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387CC51C-6E73-4D23-A32E-B1A7C2B60629}" name="TEAM_ID" dataDxfId="795"/>
    <tableColumn id="2" xr3:uid="{FDD7ADD3-4592-4251-8C21-523DE31BEE1A}" name="TEAM_NAME" dataDxfId="794"/>
    <tableColumn id="3" xr3:uid="{60236A21-67A5-4672-9AE7-2D325D152454}" name="GP" dataDxfId="793"/>
    <tableColumn id="4" xr3:uid="{982F32E0-638D-4472-B953-5D1330C704B9}" name="W" dataDxfId="792"/>
    <tableColumn id="5" xr3:uid="{A6C939A8-BFE0-413C-990F-406C63035EBD}" name="L" dataDxfId="791"/>
    <tableColumn id="6" xr3:uid="{179EFC48-2343-4DD9-9364-D4707BE134F0}" name="W_PCT" dataDxfId="790"/>
    <tableColumn id="7" xr3:uid="{11C8B224-1488-41A5-A70E-8CD5080008F3}" name="MIN" dataDxfId="789"/>
    <tableColumn id="8" xr3:uid="{52C419C4-D311-4940-B40D-F05455D7B635}" name="E_OFF_RATING" dataDxfId="788"/>
    <tableColumn id="9" xr3:uid="{EBD06C09-30AF-40A3-BACF-48F2E0FEB479}" name="OFF_RATING" dataDxfId="787"/>
    <tableColumn id="10" xr3:uid="{5432D397-536E-4417-812D-71EBE5016C5A}" name="E_DEF_RATING" dataDxfId="786"/>
    <tableColumn id="11" xr3:uid="{B5FBA00F-080E-419F-A891-8D74E7307C60}" name="DEF_RATING" dataDxfId="785"/>
    <tableColumn id="12" xr3:uid="{1D5CCDD9-0D94-4054-9C4B-502885623657}" name="E_NET_RATING" dataDxfId="784"/>
    <tableColumn id="13" xr3:uid="{676EA167-3433-469C-B2E1-0CE3B3EBA492}" name="NET_RATING" dataDxfId="783"/>
    <tableColumn id="14" xr3:uid="{FD83B6C5-5058-4E18-80B9-55E6F61D2159}" name="AST_PCT" dataDxfId="782"/>
    <tableColumn id="15" xr3:uid="{227BD82E-69AE-4792-B45D-C9731BC4810A}" name="AST_TO" dataDxfId="781"/>
    <tableColumn id="16" xr3:uid="{63CB82A0-77DF-4080-BBC1-8E389D3E29E9}" name="AST_RATIO" dataDxfId="780"/>
    <tableColumn id="17" xr3:uid="{EEC80A27-B5FF-43F4-992B-7E0D73D5C461}" name="OREB_PCT" dataDxfId="779"/>
    <tableColumn id="18" xr3:uid="{21412D93-5759-4478-9735-6BCCA17C2634}" name="DREB_PCT" dataDxfId="778"/>
    <tableColumn id="19" xr3:uid="{A7889680-FA58-4EFE-AC6D-0B8223E16649}" name="REB_PCT" dataDxfId="777"/>
    <tableColumn id="20" xr3:uid="{F827E5F3-0E3E-45C6-90D5-8EBA90548C38}" name="TM_TOV_PCT" dataDxfId="776"/>
    <tableColumn id="21" xr3:uid="{BF51769A-8D47-416E-BA9E-FF144969CE9F}" name="EFG_PCT" dataDxfId="775"/>
    <tableColumn id="22" xr3:uid="{AB9A53BA-2421-4EB2-AB61-3954A20640C4}" name="TS_PCT" dataDxfId="774"/>
    <tableColumn id="23" xr3:uid="{3242714D-A324-496E-9031-2E4FD293304F}" name="E_PACE" dataDxfId="773"/>
    <tableColumn id="24" xr3:uid="{245ECF3F-1394-4E6C-864C-06F22BEDBF5F}" name="PACE" dataDxfId="772"/>
    <tableColumn id="25" xr3:uid="{92F2CE6B-19C0-4F93-8E95-F47FFDFC4C72}" name="PACE_PER40" dataDxfId="771"/>
    <tableColumn id="26" xr3:uid="{33E75351-C144-49EE-AFB2-E89FA4C83FBB}" name="POSS" dataDxfId="770"/>
    <tableColumn id="27" xr3:uid="{335D003E-B856-47FD-8D33-2D12A866BCEB}" name="PIE" dataDxfId="769"/>
    <tableColumn id="28" xr3:uid="{26593788-8FC1-4B65-9363-AD09CF23A24F}" name="GP_RANK" dataDxfId="768"/>
    <tableColumn id="29" xr3:uid="{171AED84-A5E2-46F9-8D90-D78CB77A64C1}" name="W_RANK" dataDxfId="767"/>
    <tableColumn id="30" xr3:uid="{A9AA8E72-300D-4357-9FB9-9D8906405075}" name="L_RANK" dataDxfId="766"/>
    <tableColumn id="31" xr3:uid="{7B066620-89EF-41CF-9E21-91C30347AED1}" name="W_PCT_RANK" dataDxfId="765"/>
    <tableColumn id="32" xr3:uid="{E229C1F3-7F85-44F6-B9A6-72218B8ACE87}" name="MIN_RANK" dataDxfId="764"/>
    <tableColumn id="33" xr3:uid="{AB642551-B955-49FD-AC8F-7436F36BE0BF}" name="OFF_RATING_RANK" dataDxfId="763"/>
    <tableColumn id="34" xr3:uid="{46E8354D-22BD-4430-BC0D-7120CC5E67AA}" name="DEF_RATING_RANK" dataDxfId="762"/>
    <tableColumn id="35" xr3:uid="{6937FEE3-64DE-44D5-8725-49B0ADD68957}" name="NET_RATING_RANK" dataDxfId="761"/>
    <tableColumn id="36" xr3:uid="{11AE77C9-BB3B-4DE5-B605-91FAF91E9A83}" name="AST_PCT_RANK" dataDxfId="760"/>
    <tableColumn id="37" xr3:uid="{DF386B36-C0E6-4465-8E99-5FB1CDF9947C}" name="AST_TO_RANK" dataDxfId="759"/>
    <tableColumn id="38" xr3:uid="{C1BB7BEA-872E-4F25-B60D-63AD75A5A764}" name="AST_RATIO_RANK" dataDxfId="758"/>
    <tableColumn id="39" xr3:uid="{1899F536-2A26-41DF-A924-94043D04BA8C}" name="OREB_PCT_RANK" dataDxfId="757"/>
    <tableColumn id="40" xr3:uid="{8F5F40A8-7E56-4527-9BDB-08EA87D38C83}" name="DREB_PCT_RANK" dataDxfId="756"/>
    <tableColumn id="41" xr3:uid="{E941307B-22B1-4A5B-91D9-C21112538AED}" name="REB_PCT_RANK" dataDxfId="755"/>
    <tableColumn id="42" xr3:uid="{199FA0F9-F779-451F-A016-157DF694F162}" name="TM_TOV_PCT_RANK" dataDxfId="754"/>
    <tableColumn id="43" xr3:uid="{A3821141-9ED2-4302-B168-5CAFB9350977}" name="EFG_PCT_RANK" dataDxfId="753"/>
    <tableColumn id="44" xr3:uid="{4D0EBAB5-3CC1-46FA-9F04-45E6996361E6}" name="TS_PCT_RANK" dataDxfId="752"/>
    <tableColumn id="45" xr3:uid="{3DA155FB-A0E6-4654-9F37-9FDEC4480D59}" name="PACE_RANK" dataDxfId="751"/>
    <tableColumn id="46" xr3:uid="{A197726F-B4C4-430F-BDFF-E1385440661F}" name="PIE_RANK" dataDxfId="750"/>
    <tableColumn id="47" xr3:uid="{BA396D31-8C15-4F0C-B8D0-4C6D04895CCB}" name="CFID" dataDxfId="749"/>
    <tableColumn id="48" xr3:uid="{1AF7CF61-3620-4DB1-B1E4-CCCDCD99F35F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AA6447C-7082-4504-9925-9D46FA7600FE}" name="TableAdvancedNStarters" displayName="TableAdvancedNStarters" ref="A1:AV31" totalsRowShown="0" headerRowDxfId="649">
  <autoFilter ref="A1:AV31" xr:uid="{1E7F0C67-3F1B-47A1-891A-BD0F7F877B1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AF5B724-2B81-48F6-BD62-B63B6BCCCC1D}" name="TEAM_ID" dataDxfId="697"/>
    <tableColumn id="2" xr3:uid="{E3EE913B-F6BA-4A29-B3DD-34A0ACF2F8C5}" name="TEAM_NAME" dataDxfId="696"/>
    <tableColumn id="3" xr3:uid="{7B3E21C7-4639-41C8-8E6C-4DD2D4E75640}" name="GP" dataDxfId="695"/>
    <tableColumn id="4" xr3:uid="{57722499-0374-4156-9F72-E62FE3AF7357}" name="W" dataDxfId="694"/>
    <tableColumn id="5" xr3:uid="{53D6A48C-015F-4CD4-88AE-B783D68BA512}" name="L" dataDxfId="693"/>
    <tableColumn id="6" xr3:uid="{AF5A6A4F-3AD4-4C78-ABC4-B4B5199CBA02}" name="W_PCT" dataDxfId="692"/>
    <tableColumn id="7" xr3:uid="{7E3DDC6E-4501-412A-9DFF-7CBD47080ABC}" name="MIN" dataDxfId="691"/>
    <tableColumn id="8" xr3:uid="{032E9CCC-A492-4DDC-9C42-CA3D0211D7A1}" name="E_OFF_RATING" dataDxfId="690"/>
    <tableColumn id="9" xr3:uid="{A0117946-A63E-4B2B-9B2C-B96BF2CAB05A}" name="OFF_RATING" dataDxfId="689"/>
    <tableColumn id="10" xr3:uid="{22557603-9943-4744-A7ED-12DA18691C76}" name="E_DEF_RATING" dataDxfId="688"/>
    <tableColumn id="11" xr3:uid="{9412F2E5-C2E3-4BF2-A369-D84C302D3057}" name="DEF_RATING" dataDxfId="687"/>
    <tableColumn id="12" xr3:uid="{76C71530-6D2D-4ED3-8DB5-C7ADCF2902E1}" name="E_NET_RATING" dataDxfId="686"/>
    <tableColumn id="13" xr3:uid="{57E4040C-1F97-4712-8721-BF0080A5F2DD}" name="NET_RATING" dataDxfId="685"/>
    <tableColumn id="14" xr3:uid="{2F226B79-A6DA-49B6-B8D9-B57457F4E8E2}" name="AST_PCT" dataDxfId="684"/>
    <tableColumn id="15" xr3:uid="{F554C44D-3BA8-4B2B-AE2B-A47B98095E86}" name="AST_TO" dataDxfId="683"/>
    <tableColumn id="16" xr3:uid="{DA293B3D-7684-4CE4-81BE-57DC63E73F94}" name="AST_RATIO" dataDxfId="682"/>
    <tableColumn id="17" xr3:uid="{2C29D5DA-524D-41C2-AB53-2D4C126FF1F4}" name="OREB_PCT" dataDxfId="681"/>
    <tableColumn id="18" xr3:uid="{75CA092F-C201-4476-978A-23A6E6ECB79A}" name="DREB_PCT" dataDxfId="680"/>
    <tableColumn id="19" xr3:uid="{1CCB326F-78FB-4C71-8D17-DD12C569E3B9}" name="REB_PCT" dataDxfId="679"/>
    <tableColumn id="20" xr3:uid="{E1260928-7857-4AE2-A2C0-736210878456}" name="TM_TOV_PCT" dataDxfId="678"/>
    <tableColumn id="21" xr3:uid="{B37E37B2-4917-45CA-8D65-0855B25B778D}" name="EFG_PCT" dataDxfId="677"/>
    <tableColumn id="22" xr3:uid="{B713F23F-D87B-4CED-BE5C-9BB4AD82DD49}" name="TS_PCT" dataDxfId="676"/>
    <tableColumn id="23" xr3:uid="{9CD52E7B-D8DA-456A-8AAF-293F4E320140}" name="E_PACE" dataDxfId="675"/>
    <tableColumn id="24" xr3:uid="{17392257-CCEE-4514-9D77-8DFBC694869E}" name="PACE" dataDxfId="674"/>
    <tableColumn id="25" xr3:uid="{1799247B-E161-4BA1-A19E-DAACF17A0013}" name="PACE_PER40" dataDxfId="673"/>
    <tableColumn id="26" xr3:uid="{17DB6D77-F275-42EB-A251-451EB5A56C57}" name="POSS" dataDxfId="672"/>
    <tableColumn id="27" xr3:uid="{2F0E63B4-73AE-4AD2-8675-9F361C1C2C7A}" name="PIE" dataDxfId="671"/>
    <tableColumn id="28" xr3:uid="{123FAC45-5297-4863-9553-C09D877B0F3A}" name="GP_RANK" dataDxfId="670"/>
    <tableColumn id="29" xr3:uid="{2FDDC6E9-2535-4B4D-A414-5F10D6861CF7}" name="W_RANK" dataDxfId="669"/>
    <tableColumn id="30" xr3:uid="{5900BB07-7F64-4BC1-8714-2724978D1EE3}" name="L_RANK" dataDxfId="668"/>
    <tableColumn id="31" xr3:uid="{17A09EE7-BDC5-445C-A010-B6C516928E09}" name="W_PCT_RANK" dataDxfId="667"/>
    <tableColumn id="32" xr3:uid="{CE8F9891-62F2-417F-A9C8-9C288A88FF0E}" name="MIN_RANK" dataDxfId="666"/>
    <tableColumn id="33" xr3:uid="{AA9B0E7C-1091-4B45-A5ED-209AB2D4B6E5}" name="OFF_RATING_RANK" dataDxfId="665"/>
    <tableColumn id="34" xr3:uid="{63D58B88-C5FC-405D-A99F-585D8D55AF54}" name="DEF_RATING_RANK" dataDxfId="664"/>
    <tableColumn id="35" xr3:uid="{0D3972FB-CE13-4142-A211-EDC3E4AEF16D}" name="NET_RATING_RANK" dataDxfId="663"/>
    <tableColumn id="36" xr3:uid="{92074C8E-9F33-40D8-97D1-96AE9DA26495}" name="AST_PCT_RANK" dataDxfId="662"/>
    <tableColumn id="37" xr3:uid="{D5667CDB-77A9-4CD5-9DCA-38C771E8512A}" name="AST_TO_RANK" dataDxfId="661"/>
    <tableColumn id="38" xr3:uid="{B8C93ED8-5302-4B28-92FF-E96165718BF8}" name="AST_RATIO_RANK" dataDxfId="660"/>
    <tableColumn id="39" xr3:uid="{E46FD943-9A00-4F7C-AB76-2624CB8D681F}" name="OREB_PCT_RANK" dataDxfId="659"/>
    <tableColumn id="40" xr3:uid="{67F5B63C-3B21-4130-975E-8F6C76C514EF}" name="DREB_PCT_RANK" dataDxfId="658"/>
    <tableColumn id="41" xr3:uid="{3DBBD955-1F90-4126-9AB0-DFE53EC00D0D}" name="REB_PCT_RANK" dataDxfId="657"/>
    <tableColumn id="42" xr3:uid="{357E2CD0-8D28-4E4A-804C-BE8E0A0DF50E}" name="TM_TOV_PCT_RANK" dataDxfId="656"/>
    <tableColumn id="43" xr3:uid="{70428AE2-0065-4940-A324-D195F1A439EE}" name="EFG_PCT_RANK" dataDxfId="655"/>
    <tableColumn id="44" xr3:uid="{B49A9933-4B39-482F-BAE2-3609645CF52D}" name="TS_PCT_RANK" dataDxfId="654"/>
    <tableColumn id="45" xr3:uid="{20981AA8-2677-4660-89E4-05D2CB336D9A}" name="PACE_RANK" dataDxfId="653"/>
    <tableColumn id="46" xr3:uid="{E3BECAF3-21AC-41AC-811D-3F8B8A5CDF9A}" name="PIE_RANK" dataDxfId="652"/>
    <tableColumn id="47" xr3:uid="{04A0306C-B108-4866-A3BB-8B392119E70E}" name="CFID" dataDxfId="651"/>
    <tableColumn id="48" xr3:uid="{6552F7E7-B0E0-4B40-B59E-507F5D96ED9A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83B7246-B62D-443A-95B2-59DFA98CAB96}" name="TableAdvancedNBench" displayName="TableAdvancedNBench" ref="A1:AV31" totalsRowShown="0" headerRowDxfId="551">
  <autoFilter ref="A1:AV31" xr:uid="{522F4F79-ADFA-4317-8513-E3DA757FC2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A8FD129F-079F-4381-B374-80037C0DF82F}" name="TEAM_ID" dataDxfId="599"/>
    <tableColumn id="2" xr3:uid="{92F2A138-3632-4EAB-8AC0-EAA5E94AF063}" name="TEAM_NAME" dataDxfId="598"/>
    <tableColumn id="3" xr3:uid="{686B1EE7-E76F-4617-BF7A-E2FCBFD13456}" name="GP" dataDxfId="597"/>
    <tableColumn id="4" xr3:uid="{5F70E09D-634B-404A-9503-D9186E070511}" name="W" dataDxfId="596"/>
    <tableColumn id="5" xr3:uid="{060BF3E2-F22A-4914-A92C-1A07EA26D7CB}" name="L" dataDxfId="595"/>
    <tableColumn id="6" xr3:uid="{46612CD7-382E-4665-B16D-63E3F9B21F44}" name="W_PCT" dataDxfId="594"/>
    <tableColumn id="7" xr3:uid="{A83FC61F-B845-4B17-8D1E-6669EDC0FC5D}" name="MIN" dataDxfId="593"/>
    <tableColumn id="8" xr3:uid="{A0B805F4-4786-4FFA-ADC8-2BD7DFE41224}" name="E_OFF_RATING" dataDxfId="592"/>
    <tableColumn id="9" xr3:uid="{78A07031-E4B6-40FE-A1C2-664A75373EC7}" name="OFF_RATING" dataDxfId="591"/>
    <tableColumn id="10" xr3:uid="{BD465BAE-D1F7-4472-8ACE-4C290E939722}" name="E_DEF_RATING" dataDxfId="590"/>
    <tableColumn id="11" xr3:uid="{D8D1B064-A942-4A06-BA11-841090600CE2}" name="DEF_RATING" dataDxfId="589"/>
    <tableColumn id="12" xr3:uid="{79D3F061-ECDB-452E-8A1A-0C966B43B1C0}" name="E_NET_RATING" dataDxfId="588"/>
    <tableColumn id="13" xr3:uid="{9A784F86-6620-452A-9670-A96A78FD3CB9}" name="NET_RATING" dataDxfId="587"/>
    <tableColumn id="14" xr3:uid="{8EBCA2F6-0582-4578-B67F-5B4E9A079A3D}" name="AST_PCT" dataDxfId="586"/>
    <tableColumn id="15" xr3:uid="{90562D11-1BCE-47DB-8049-0790F2F90F43}" name="AST_TO" dataDxfId="585"/>
    <tableColumn id="16" xr3:uid="{3253704A-5B49-4D0C-964F-0C203B6D4F63}" name="AST_RATIO" dataDxfId="584"/>
    <tableColumn id="17" xr3:uid="{669A069C-6F6C-433C-9141-DCBA0CF984D4}" name="OREB_PCT" dataDxfId="583"/>
    <tableColumn id="18" xr3:uid="{438B0047-BAE5-4C37-BFAB-F2BBA73743B0}" name="DREB_PCT" dataDxfId="582"/>
    <tableColumn id="19" xr3:uid="{2E8EF50F-BF7C-4A7A-842B-4253E9E8BB9C}" name="REB_PCT" dataDxfId="581"/>
    <tableColumn id="20" xr3:uid="{EA5E2EB2-2132-407D-A496-ADED6DAF9698}" name="TM_TOV_PCT" dataDxfId="580"/>
    <tableColumn id="21" xr3:uid="{4FDAD1D2-D108-4B4B-9E09-8B2CBFBD1B22}" name="EFG_PCT" dataDxfId="579"/>
    <tableColumn id="22" xr3:uid="{81ECA578-E8B9-4772-A70E-BBF52987B812}" name="TS_PCT" dataDxfId="578"/>
    <tableColumn id="23" xr3:uid="{0E902074-AF57-4150-8622-9FD0AEBFAA47}" name="E_PACE" dataDxfId="577"/>
    <tableColumn id="24" xr3:uid="{596F3E87-6C80-4372-B535-1CB1B867DD0E}" name="PACE" dataDxfId="576"/>
    <tableColumn id="25" xr3:uid="{45687696-CDD7-4BC3-AD3E-BAEA771C79CE}" name="PACE_PER40" dataDxfId="575"/>
    <tableColumn id="26" xr3:uid="{7A33F4B0-6CF4-4C1B-AE04-4ADEAB9A2962}" name="POSS" dataDxfId="574"/>
    <tableColumn id="27" xr3:uid="{B354DFB9-6AFB-4740-B902-E9D5ED9789E1}" name="PIE" dataDxfId="573"/>
    <tableColumn id="28" xr3:uid="{C4770C6F-6484-4AB1-A424-AEA93630B35F}" name="GP_RANK" dataDxfId="572"/>
    <tableColumn id="29" xr3:uid="{65EE679C-22F9-449F-9EB4-4DD4B98CF5C3}" name="W_RANK" dataDxfId="571"/>
    <tableColumn id="30" xr3:uid="{18674CE8-7CD2-4834-8AD9-9368C03E0BD4}" name="L_RANK" dataDxfId="570"/>
    <tableColumn id="31" xr3:uid="{C757FD64-E8A3-43D1-9AD4-EA9C8B9DFD1F}" name="W_PCT_RANK" dataDxfId="569"/>
    <tableColumn id="32" xr3:uid="{1A558C7B-E058-4174-BE4C-C56216ACA8AD}" name="MIN_RANK" dataDxfId="568"/>
    <tableColumn id="33" xr3:uid="{0567DB6A-B692-44EC-8191-1209BEB8DD8D}" name="OFF_RATING_RANK" dataDxfId="567"/>
    <tableColumn id="34" xr3:uid="{266546DC-E7AD-4851-BA6E-5FCC3DDA96CE}" name="DEF_RATING_RANK" dataDxfId="566"/>
    <tableColumn id="35" xr3:uid="{D61DA51E-7089-4239-B3DA-DAA2C8422C62}" name="NET_RATING_RANK" dataDxfId="565"/>
    <tableColumn id="36" xr3:uid="{41076C6C-5460-4D72-ACAE-E3625DA27AF3}" name="AST_PCT_RANK" dataDxfId="564"/>
    <tableColumn id="37" xr3:uid="{5ECAEF51-3F9C-4DA4-A386-FE776D20FFD4}" name="AST_TO_RANK" dataDxfId="563"/>
    <tableColumn id="38" xr3:uid="{FDF18AA4-B22A-4370-BE96-46726CC46F2E}" name="AST_RATIO_RANK" dataDxfId="562"/>
    <tableColumn id="39" xr3:uid="{52460BBC-12F1-43CD-9A77-48BE0DDADCFC}" name="OREB_PCT_RANK" dataDxfId="561"/>
    <tableColumn id="40" xr3:uid="{3D07BDB5-3998-4DEB-A574-55FA30C68863}" name="DREB_PCT_RANK" dataDxfId="560"/>
    <tableColumn id="41" xr3:uid="{67CE5ACE-8494-4A56-A8C7-31F7C4D94DFD}" name="REB_PCT_RANK" dataDxfId="559"/>
    <tableColumn id="42" xr3:uid="{862A9B58-F40B-41BF-B4C7-1013D64DE5A4}" name="TM_TOV_PCT_RANK" dataDxfId="558"/>
    <tableColumn id="43" xr3:uid="{2F381931-2D12-419F-96D9-22B2D30CD2EB}" name="EFG_PCT_RANK" dataDxfId="557"/>
    <tableColumn id="44" xr3:uid="{69E212C8-A58A-4352-A448-741797DB32A6}" name="TS_PCT_RANK" dataDxfId="556"/>
    <tableColumn id="45" xr3:uid="{436C7896-510A-4619-9AC7-244F9BF8F30F}" name="PACE_RANK" dataDxfId="555"/>
    <tableColumn id="46" xr3:uid="{F308A747-83C0-4926-8542-7A780FAC347C}" name="PIE_RANK" dataDxfId="554"/>
    <tableColumn id="47" xr3:uid="{68A1212C-49A4-405C-8C2D-E4A20EB5DB99}" name="CFID" dataDxfId="553"/>
    <tableColumn id="48" xr3:uid="{28149C51-C848-4BBA-85C7-D82FE9F5BF7E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CCCF3AA-6770-46B1-973F-1E6EB3393A8B}" name="TableMiscN" displayName="TableMiscN" ref="A1:AD31" totalsRowShown="0" headerRowDxfId="471">
  <autoFilter ref="A1:AD31" xr:uid="{2B156F19-8C6D-4EDB-A9BA-1C438C0A34B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9D7FB173-87D0-409D-A5F2-40D72FDE9F9E}" name="TEAM_ID" dataDxfId="501"/>
    <tableColumn id="2" xr3:uid="{88BC0D34-C7D1-4BD2-9F35-F1482D49BF07}" name="TEAM_NAME" dataDxfId="500"/>
    <tableColumn id="3" xr3:uid="{812B413A-600B-484B-8021-0E663CBB0CBE}" name="GP" dataDxfId="499"/>
    <tableColumn id="4" xr3:uid="{7EA46392-9A3C-4C72-AF11-4DDC1A58C696}" name="W" dataDxfId="498"/>
    <tableColumn id="5" xr3:uid="{D2E8E936-9229-4D41-BBC8-C32DB1F8AA00}" name="L" dataDxfId="497"/>
    <tableColumn id="6" xr3:uid="{48DC87B9-7225-4C6D-BB05-9215D202C143}" name="W_PCT" dataDxfId="496"/>
    <tableColumn id="7" xr3:uid="{EDE6DB9F-3224-44C5-A145-484041CBC5C6}" name="MIN" dataDxfId="495"/>
    <tableColumn id="8" xr3:uid="{E6FCD928-FE57-45AE-9E85-4BDDA5163587}" name="PTS_OFF_TOV" dataDxfId="494"/>
    <tableColumn id="9" xr3:uid="{F7722C68-377A-453B-96A2-4A59FE9B70D8}" name="PTS_2ND_CHANCE" dataDxfId="493"/>
    <tableColumn id="10" xr3:uid="{8CB6D98C-5DE2-43B5-99F4-D380D6CEE936}" name="PTS_FB" dataDxfId="492"/>
    <tableColumn id="11" xr3:uid="{BC7E2B2C-CA1F-4DDC-A00D-58E4C96421AD}" name="PTS_PAINT" dataDxfId="491"/>
    <tableColumn id="12" xr3:uid="{E42D51D0-575E-4C3A-AA41-D3879CA3D441}" name="OPP_PTS_OFF_TOV" dataDxfId="490"/>
    <tableColumn id="13" xr3:uid="{B706B291-B3CF-43CD-8711-58A3CAE7BA2A}" name="OPP_PTS_2ND_CHANCE" dataDxfId="489"/>
    <tableColumn id="14" xr3:uid="{FFB913A4-F8AD-4BF3-8659-1C1B116DEE0F}" name="OPP_PTS_FB" dataDxfId="488"/>
    <tableColumn id="15" xr3:uid="{58F50816-D14F-47B1-BFDD-819B6DC3883F}" name="OPP_PTS_PAINT" dataDxfId="487"/>
    <tableColumn id="16" xr3:uid="{03E83FF8-E088-4F77-B272-968A2C0E6EF4}" name="GP_RANK" dataDxfId="486"/>
    <tableColumn id="17" xr3:uid="{83F49F7D-98DA-4102-96E8-D018A78958AE}" name="W_RANK" dataDxfId="485"/>
    <tableColumn id="18" xr3:uid="{5FA5807D-9D82-4F91-B798-F1041F6AE941}" name="L_RANK" dataDxfId="484"/>
    <tableColumn id="19" xr3:uid="{5D6AD050-8EE8-411C-A746-D177D3F17D90}" name="W_PCT_RANK" dataDxfId="483"/>
    <tableColumn id="20" xr3:uid="{D5791010-CA73-431E-A829-3047DFF636DC}" name="MIN_RANK" dataDxfId="482"/>
    <tableColumn id="21" xr3:uid="{A8A6D6AD-1244-4BA8-9900-C6E0EE7050E7}" name="PTS_OFF_TOV_RANK" dataDxfId="481"/>
    <tableColumn id="22" xr3:uid="{0D6C7AB5-6D8D-40E4-8D83-3904FA9A4C63}" name="PTS_2ND_CHANCE_RANK" dataDxfId="480"/>
    <tableColumn id="23" xr3:uid="{39BF0032-BDD6-4454-A7E4-8B46A13B585F}" name="PTS_FB_RANK" dataDxfId="479"/>
    <tableColumn id="24" xr3:uid="{C5CEA3DF-72D7-4265-9C5A-DCE8A8F58E14}" name="PTS_PAINT_RANK" dataDxfId="478"/>
    <tableColumn id="25" xr3:uid="{154115D7-592F-45E7-8A59-9847FAD4ED26}" name="OPP_PTS_OFF_TOV_RANK" dataDxfId="477"/>
    <tableColumn id="26" xr3:uid="{9DC140EA-705D-4824-934F-00E778573E7F}" name="OPP_PTS_2ND_CHANCE_RANK" dataDxfId="476"/>
    <tableColumn id="27" xr3:uid="{BB47C345-D0F0-419F-A34D-E60B19EA3DE5}" name="OPP_PTS_FB_RANK" dataDxfId="475"/>
    <tableColumn id="28" xr3:uid="{25812828-3DC9-4E35-B5B7-D9FA7E3CF647}" name="OPP_PTS_PAINT_RANK" dataDxfId="474"/>
    <tableColumn id="29" xr3:uid="{A5026673-E486-4F40-A0CB-2294FC9FA82D}" name="CFID" dataDxfId="473"/>
    <tableColumn id="30" xr3:uid="{2D9F30C4-941E-460C-969B-CD305BAAE082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E7AACA9-7F01-465C-9964-031E2F89FD22}" name="TableOppBaseN" displayName="TableOppBaseN" ref="A1:BD31" totalsRowShown="0" headerRowDxfId="383">
  <autoFilter ref="A1:BD31" xr:uid="{7507BA45-EED8-47BE-9F88-9F149D32DEC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672E5388-9F30-4EF5-9015-F64DD4997716}" name="TEAM_ID" dataDxfId="439"/>
    <tableColumn id="2" xr3:uid="{3249F773-8273-4215-8A5E-E701DC6418BA}" name="TEAM_NAME" dataDxfId="438"/>
    <tableColumn id="3" xr3:uid="{3A3E0A95-FB10-4D8A-832D-39827BE1898A}" name="GP" dataDxfId="437"/>
    <tableColumn id="4" xr3:uid="{0F837ABA-FFC9-48D5-AB02-02F265594338}" name="W" dataDxfId="436"/>
    <tableColumn id="5" xr3:uid="{A950830F-BF87-4F8B-A0AB-ECD82FBF5A15}" name="L" dataDxfId="435"/>
    <tableColumn id="6" xr3:uid="{13448F2E-EB9D-4979-92D2-AEE5DB19AA86}" name="W_PCT" dataDxfId="434"/>
    <tableColumn id="7" xr3:uid="{E8C09602-6D7A-4DB8-BCA9-3465CD19F8A6}" name="MIN" dataDxfId="433"/>
    <tableColumn id="8" xr3:uid="{5729B9F1-F4E6-40EF-8A84-D8CC5B397A6E}" name="OPP_FGM" dataDxfId="432"/>
    <tableColumn id="9" xr3:uid="{02740B4B-BD74-4A65-8254-9BDD2A6F0359}" name="OPP_FGA" dataDxfId="431"/>
    <tableColumn id="10" xr3:uid="{7EAF4D52-CA99-4673-BB51-95F4A00BEB7E}" name="OPP_FG_PCT" dataDxfId="430"/>
    <tableColumn id="11" xr3:uid="{88E871DD-85CA-439A-8C90-D7390D200810}" name="OPP_FG3M" dataDxfId="429"/>
    <tableColumn id="12" xr3:uid="{87F2A0BD-D170-45E7-90FF-9B3048274B2A}" name="OPP_FG3A" dataDxfId="428"/>
    <tableColumn id="13" xr3:uid="{C3527371-A058-48F8-9745-CDF70A183DCB}" name="OPP_FG3_PCT" dataDxfId="427"/>
    <tableColumn id="14" xr3:uid="{1CF97B7A-A175-4CB8-98D0-7B2879F56D0D}" name="OPP_FTM" dataDxfId="426"/>
    <tableColumn id="15" xr3:uid="{BC7FAE7F-E659-400D-88F7-23D40176DEBB}" name="OPP_FTA" dataDxfId="425"/>
    <tableColumn id="16" xr3:uid="{54A0985F-9656-497B-AE2D-A2DAB0F343D8}" name="OPP_FT_PCT" dataDxfId="424"/>
    <tableColumn id="17" xr3:uid="{A45093EA-1802-4746-9B31-2042876C32A7}" name="OPP_OREB" dataDxfId="423"/>
    <tableColumn id="18" xr3:uid="{2F71E198-7619-49A8-80CA-15F09710B45F}" name="OPP_DREB" dataDxfId="422"/>
    <tableColumn id="19" xr3:uid="{699B948D-0507-4769-BE63-FCEF61B2F2E2}" name="OPP_REB" dataDxfId="421"/>
    <tableColumn id="20" xr3:uid="{92986A63-95E5-4998-A576-0AEF0A45D6DF}" name="OPP_AST" dataDxfId="420"/>
    <tableColumn id="21" xr3:uid="{315C2562-191F-4815-87E0-E7D24ED2D4FC}" name="OPP_TOV" dataDxfId="419"/>
    <tableColumn id="22" xr3:uid="{C9F3FC5C-943B-45FE-AAD2-C6BE52A5C4D2}" name="OPP_STL" dataDxfId="418"/>
    <tableColumn id="23" xr3:uid="{73A88089-B4BB-4147-9058-078D6F2201E5}" name="OPP_BLK" dataDxfId="417"/>
    <tableColumn id="24" xr3:uid="{70251C1E-8D05-44CA-A7D2-F82FB3055F50}" name="OPP_BLKA" dataDxfId="416"/>
    <tableColumn id="25" xr3:uid="{F15749AE-074F-4775-A1BF-31433AD7E9C1}" name="OPP_PF" dataDxfId="415"/>
    <tableColumn id="26" xr3:uid="{B12D1C06-5038-4377-848B-BC2F8BAD26AF}" name="OPP_PFD" dataDxfId="414"/>
    <tableColumn id="27" xr3:uid="{4FEB2DCB-98D1-4229-9E5D-D7BCB22D5B4D}" name="OPP_PTS" dataDxfId="413"/>
    <tableColumn id="28" xr3:uid="{7C6054FE-D6E7-4485-A97A-AE62ED49218D}" name="PLUS_MINUS" dataDxfId="412"/>
    <tableColumn id="29" xr3:uid="{5B36F2BE-8851-4660-9AE8-C16AA48E1E8B}" name="GP_RANK" dataDxfId="411"/>
    <tableColumn id="30" xr3:uid="{FA888B47-9AB4-41B3-9D56-4165DFBF168F}" name="W_RANK" dataDxfId="410"/>
    <tableColumn id="31" xr3:uid="{C4B9E02C-B014-4F0A-9663-61B5D20698FC}" name="L_RANK" dataDxfId="409"/>
    <tableColumn id="32" xr3:uid="{5C6E98E8-F8A7-4023-8218-6A945591822E}" name="W_PCT_RANK" dataDxfId="408"/>
    <tableColumn id="33" xr3:uid="{6866D34D-74B9-48D8-9EE8-6EBD82ECABB2}" name="MIN_RANK" dataDxfId="407"/>
    <tableColumn id="34" xr3:uid="{E8A4C16C-D231-4E6B-89A6-6015C1F39CCE}" name="OPP_FGM_RANK" dataDxfId="406"/>
    <tableColumn id="35" xr3:uid="{572DCDA4-730C-4FC8-AA3E-F065BB224BCA}" name="OPP_FGA_RANK" dataDxfId="405"/>
    <tableColumn id="36" xr3:uid="{771C7186-30C1-466B-8745-FE0F33D6CC54}" name="OPP_FG_PCT_RANK" dataDxfId="404"/>
    <tableColumn id="37" xr3:uid="{585CD700-F65D-445F-808F-E0DD761796AE}" name="OPP_FG3M_RANK" dataDxfId="403"/>
    <tableColumn id="38" xr3:uid="{A4DFF113-23CC-4F80-B81F-2532D1404088}" name="OPP_FG3A_RANK" dataDxfId="402"/>
    <tableColumn id="39" xr3:uid="{B645A58A-4C84-4EEF-AEB2-B112BADFC27E}" name="OPP_FG3_PCT_RANK" dataDxfId="401"/>
    <tableColumn id="40" xr3:uid="{AA8B328F-00CC-4857-8C1A-52DEA7770B77}" name="OPP_FTM_RANK" dataDxfId="400"/>
    <tableColumn id="41" xr3:uid="{32CD1416-1810-40FE-A99D-CE3C639D43DE}" name="OPP_FTA_RANK" dataDxfId="399"/>
    <tableColumn id="42" xr3:uid="{C8857020-88D5-4E31-AAA4-A031F1ED2AB8}" name="OPP_FT_PCT_RANK" dataDxfId="398"/>
    <tableColumn id="43" xr3:uid="{D46D6D83-6101-41F7-9542-246B11F7F8E7}" name="OPP_OREB_RANK" dataDxfId="397"/>
    <tableColumn id="44" xr3:uid="{53F13FB0-9F8A-4B9C-B886-79F7FEB74B85}" name="OPP_DREB_RANK" dataDxfId="396"/>
    <tableColumn id="45" xr3:uid="{60883215-DA03-4847-A4C5-E96186822F02}" name="OPP_REB_RANK" dataDxfId="395"/>
    <tableColumn id="46" xr3:uid="{9943A926-0AEB-4E95-BAEF-9C2716231295}" name="OPP_AST_RANK" dataDxfId="394"/>
    <tableColumn id="47" xr3:uid="{A206F755-C860-49B8-8246-711014F09385}" name="OPP_TOV_RANK" dataDxfId="393"/>
    <tableColumn id="48" xr3:uid="{24351C4F-4070-4AFA-A2FD-D1AFD6ED5971}" name="OPP_STL_RANK" dataDxfId="392"/>
    <tableColumn id="49" xr3:uid="{238A14C3-620B-4AD0-A51D-A699F310BD9F}" name="OPP_BLK_RANK" dataDxfId="391"/>
    <tableColumn id="50" xr3:uid="{CB63B9FA-3559-4693-AB98-4CD0B9F16511}" name="OPP_BLKA_RANK" dataDxfId="390"/>
    <tableColumn id="51" xr3:uid="{F7ABDB50-2BA3-4C79-BE86-E50952156528}" name="OPP_PF_RANK" dataDxfId="389"/>
    <tableColumn id="52" xr3:uid="{32EE29E6-514C-4B15-B680-C7E8DAFB2458}" name="OPP_PFD_RANK" dataDxfId="388"/>
    <tableColumn id="53" xr3:uid="{BDD77542-0C4C-4B30-93FF-788B1BACA959}" name="OPP_PTS_RANK" dataDxfId="387"/>
    <tableColumn id="54" xr3:uid="{6E854327-D6EE-40F1-BEA0-9DB7C1905575}" name="PLUS_MINUS_RANK" dataDxfId="386"/>
    <tableColumn id="55" xr3:uid="{4512941B-2F36-45A7-9404-43B7AFDFD8E5}" name="CFID" dataDxfId="385"/>
    <tableColumn id="56" xr3:uid="{86508EC0-928B-45A1-84F0-AA00C90503C6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D35312E-7079-49E8-9129-958FAEBF6371}" name="TableClutchBaseN" displayName="TableClutchBaseN" ref="A1:BD31" totalsRowShown="0" headerRowDxfId="269">
  <autoFilter ref="A1:BD31" xr:uid="{7090A6BA-F2D6-4777-801A-29D77D19156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ACC90E6B-51E2-4548-A9DF-77B25D1BD3F6}" name="TEAM_ID" dataDxfId="325"/>
    <tableColumn id="2" xr3:uid="{BBE77421-2517-47D6-A234-348183308634}" name="TEAM_NAME" dataDxfId="324"/>
    <tableColumn id="3" xr3:uid="{A1CB661D-AADB-43E6-B9EB-4E597DAEABA2}" name="GP" dataDxfId="323"/>
    <tableColumn id="4" xr3:uid="{CA2F286C-792E-47AD-9295-0ED8BD53DEA6}" name="W" dataDxfId="322"/>
    <tableColumn id="5" xr3:uid="{04BBF2A4-36E9-4F13-B81C-1FBD057C02D4}" name="L" dataDxfId="321"/>
    <tableColumn id="6" xr3:uid="{F95A95D9-913A-4453-9106-C7DB6A02DA36}" name="W_PCT" dataDxfId="320"/>
    <tableColumn id="7" xr3:uid="{09C14A3A-C334-4282-BE31-2CB0CDE9989F}" name="MIN" dataDxfId="319"/>
    <tableColumn id="8" xr3:uid="{43A2CA8F-05DB-44C4-9740-D994E22B23CA}" name="FGM" dataDxfId="318"/>
    <tableColumn id="9" xr3:uid="{58F39103-0095-4ACA-B7F3-5C6307515DC1}" name="FGA" dataDxfId="317"/>
    <tableColumn id="10" xr3:uid="{6BF50BC3-7B0F-4F83-9E30-EA4A07D2CC8C}" name="FG_PCT" dataDxfId="316"/>
    <tableColumn id="11" xr3:uid="{55EA68FD-E014-4799-87E6-5E514A83EBB8}" name="FG3M" dataDxfId="315"/>
    <tableColumn id="12" xr3:uid="{72646547-8133-4498-8958-418C5E510770}" name="FG3A" dataDxfId="314"/>
    <tableColumn id="13" xr3:uid="{FB6B27D6-5DFD-4F02-9CA9-4D6A7F9125A3}" name="FG3_PCT" dataDxfId="313"/>
    <tableColumn id="14" xr3:uid="{CC6EA806-F38C-4DB4-A6EC-758D81CA1202}" name="FTM" dataDxfId="312"/>
    <tableColumn id="15" xr3:uid="{77D82E79-ED2C-4020-84E3-D230E74E49F8}" name="FTA" dataDxfId="311"/>
    <tableColumn id="16" xr3:uid="{976D8567-418C-4953-A769-6D295641AF46}" name="FT_PCT" dataDxfId="310"/>
    <tableColumn id="17" xr3:uid="{D4AE14FF-443E-4B54-BEDE-6CC3F0FF9306}" name="OREB" dataDxfId="309"/>
    <tableColumn id="18" xr3:uid="{6B59CC38-55C6-4DB9-AD7A-CA53221D6EE7}" name="DREB" dataDxfId="308"/>
    <tableColumn id="19" xr3:uid="{0929700E-449B-4F3A-9F44-9D6AA6C87F99}" name="REB" dataDxfId="307"/>
    <tableColumn id="20" xr3:uid="{C009EFA5-349F-4672-B72B-4ECF044BDD7C}" name="AST" dataDxfId="306"/>
    <tableColumn id="21" xr3:uid="{26A6627E-C242-4CBC-A7DB-CA833F525F39}" name="TOV" dataDxfId="305"/>
    <tableColumn id="22" xr3:uid="{ED049D93-719C-46AF-8FDF-FE848C862882}" name="STL" dataDxfId="304"/>
    <tableColumn id="23" xr3:uid="{667D59FE-F7F4-4075-A396-99FA2E29215B}" name="BLK" dataDxfId="303"/>
    <tableColumn id="24" xr3:uid="{20A36134-01A6-49A1-9DB0-7ABD56D3EB95}" name="BLKA" dataDxfId="302"/>
    <tableColumn id="25" xr3:uid="{4702CBB9-B824-48B7-ACA5-C778E22748D2}" name="PF" dataDxfId="301"/>
    <tableColumn id="26" xr3:uid="{361BC2A9-7DD2-41D1-892B-103389F7A1E2}" name="PFD" dataDxfId="300"/>
    <tableColumn id="27" xr3:uid="{853DA501-F002-4940-8A2F-CA88A789856B}" name="PTS" dataDxfId="299"/>
    <tableColumn id="28" xr3:uid="{66B14781-0B2D-4C57-A076-D998574A091F}" name="PLUS_MINUS" dataDxfId="298"/>
    <tableColumn id="29" xr3:uid="{7749084D-5164-42FB-8159-6F80FA51EE84}" name="GP_RANK" dataDxfId="297"/>
    <tableColumn id="30" xr3:uid="{5FE214D9-3539-47F4-A539-057F604A1EF2}" name="W_RANK" dataDxfId="296"/>
    <tableColumn id="31" xr3:uid="{F758420A-A4F7-4CDA-9BD4-D2F396E9308F}" name="L_RANK" dataDxfId="295"/>
    <tableColumn id="32" xr3:uid="{276C4512-7D21-4382-8488-D876F4631F57}" name="W_PCT_RANK" dataDxfId="294"/>
    <tableColumn id="33" xr3:uid="{FED72E13-191E-4F36-BED0-DE4CFA3BC4FE}" name="MIN_RANK" dataDxfId="293"/>
    <tableColumn id="34" xr3:uid="{627F183A-F7C9-4346-98DA-7F2BD312BBBC}" name="FGM_RANK" dataDxfId="292"/>
    <tableColumn id="35" xr3:uid="{FEB0212B-1E43-4D8B-A8EE-84D1FEC9F153}" name="FGA_RANK" dataDxfId="291"/>
    <tableColumn id="36" xr3:uid="{801CE07D-9DB8-403E-88A1-C72F89AF563B}" name="FG_PCT_RANK" dataDxfId="290"/>
    <tableColumn id="37" xr3:uid="{34312C5E-A79A-4CEA-B3F8-94CCF5069935}" name="FG3M_RANK" dataDxfId="289"/>
    <tableColumn id="38" xr3:uid="{AAA79631-CD6F-4B08-83CF-1CE21CFA0806}" name="FG3A_RANK" dataDxfId="288"/>
    <tableColumn id="39" xr3:uid="{C33B903F-EB2D-4801-84C7-B3358E29E8A5}" name="FG3_PCT_RANK" dataDxfId="287"/>
    <tableColumn id="40" xr3:uid="{70176AE5-9098-4E25-B8BB-7C28D220231A}" name="FTM_RANK" dataDxfId="286"/>
    <tableColumn id="41" xr3:uid="{70F6848C-B219-4A80-87AB-8D8F079CB6DF}" name="FTA_RANK" dataDxfId="285"/>
    <tableColumn id="42" xr3:uid="{31BEE822-4A80-413D-A51B-F7D38689816E}" name="FT_PCT_RANK" dataDxfId="284"/>
    <tableColumn id="43" xr3:uid="{848F5E0E-FFFB-478E-A852-AF4CA1104130}" name="OREB_RANK" dataDxfId="283"/>
    <tableColumn id="44" xr3:uid="{7B0AA511-5F38-4779-8B1A-3B498D36222F}" name="DREB_RANK" dataDxfId="282"/>
    <tableColumn id="45" xr3:uid="{8B51BE66-0A99-4BB6-B975-4DC99BC96B71}" name="REB_RANK" dataDxfId="281"/>
    <tableColumn id="46" xr3:uid="{4E34B13B-59A4-4323-AA09-E55FB14A02EC}" name="AST_RANK" dataDxfId="280"/>
    <tableColumn id="47" xr3:uid="{575D3A99-5D63-423F-94EB-A1381AF4D488}" name="TOV_RANK" dataDxfId="279"/>
    <tableColumn id="48" xr3:uid="{A143083D-18F2-475E-B8AE-557EE8E204AC}" name="STL_RANK" dataDxfId="278"/>
    <tableColumn id="49" xr3:uid="{7C873239-477A-4E88-8111-B77D4CAC714B}" name="BLK_RANK" dataDxfId="277"/>
    <tableColumn id="50" xr3:uid="{5BC8093F-0A8D-49F3-9A86-8FD479118FE3}" name="BLKA_RANK" dataDxfId="276"/>
    <tableColumn id="51" xr3:uid="{73A10BE7-8DCF-4709-974B-E799BC368F07}" name="PF_RANK" dataDxfId="275"/>
    <tableColumn id="52" xr3:uid="{8998F317-1EAE-4B4E-B548-FC80CC8C6082}" name="PFD_RANK" dataDxfId="274"/>
    <tableColumn id="53" xr3:uid="{2FFB2C5A-A23D-45FC-86A1-14BF3F6017DE}" name="PTS_RANK" dataDxfId="273"/>
    <tableColumn id="54" xr3:uid="{148C35A0-957E-4988-833C-7D092D63D081}" name="PLUS_MINUS_RANK" dataDxfId="272"/>
    <tableColumn id="55" xr3:uid="{F5D6F89D-8C2F-453C-9C44-29D6BFD69B5D}" name="CFID" dataDxfId="271"/>
    <tableColumn id="56" xr3:uid="{0FA61EC2-4F3A-4A79-A3E1-AF426DDBD31E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10BD081-82BE-4CB8-880C-592F4EB92FB3}" name="TableClutchOpponentN" displayName="TableClutchOpponentN" ref="A1:BD31" totalsRowShown="0" headerRowDxfId="155">
  <autoFilter ref="A1:BD31" xr:uid="{61B11D2F-1A09-4CD6-A267-C142C3B3CB0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AE6958FF-AF19-418F-A1CB-0B45AB3D47C8}" name="TEAM_ID" dataDxfId="211"/>
    <tableColumn id="2" xr3:uid="{3897EEB1-29CD-4A6A-A098-ECA08EE9144D}" name="TEAM_NAME" dataDxfId="210"/>
    <tableColumn id="3" xr3:uid="{E2ECFE8B-861D-4A51-BBEE-2B7A01B4B8A3}" name="GP" dataDxfId="209"/>
    <tableColumn id="4" xr3:uid="{043BEACE-2488-4329-AE89-DF9ED9D4503D}" name="W" dataDxfId="208"/>
    <tableColumn id="5" xr3:uid="{24DA6F51-5AE1-4BF2-9FC5-C7649EDD5A9C}" name="L" dataDxfId="207"/>
    <tableColumn id="6" xr3:uid="{450C40D6-2D3D-486E-8B98-A00AACC47FDB}" name="W_PCT" dataDxfId="206"/>
    <tableColumn id="7" xr3:uid="{15E9ED13-F352-4EDB-9D31-96B816A01E2D}" name="MIN" dataDxfId="205"/>
    <tableColumn id="8" xr3:uid="{14C19A41-77E9-444F-B910-DA544330C6EE}" name="OPP_FGM" dataDxfId="204"/>
    <tableColumn id="9" xr3:uid="{C35595BB-BE6A-4A9D-8338-A37FEEECDAAA}" name="OPP_FGA" dataDxfId="203"/>
    <tableColumn id="10" xr3:uid="{68C0CB97-26C5-4AA8-A247-00CD8C95679E}" name="OPP_FG_PCT" dataDxfId="202"/>
    <tableColumn id="11" xr3:uid="{CAC6BD3A-3076-49B0-B694-E3A431C6D86F}" name="OPP_FG3M" dataDxfId="201"/>
    <tableColumn id="12" xr3:uid="{ED730DF0-C8BE-4711-A27A-0A7C495CA3C9}" name="OPP_FG3A" dataDxfId="200"/>
    <tableColumn id="13" xr3:uid="{F8BDEA6F-05FD-4B5B-8CDF-531796427B62}" name="OPP_FG3_PCT" dataDxfId="199"/>
    <tableColumn id="14" xr3:uid="{CB345B59-E9AA-4F60-93DC-2B210AB5D59C}" name="OPP_FTM" dataDxfId="198"/>
    <tableColumn id="15" xr3:uid="{4A393CFA-F29C-493C-BF2A-3D34E885441E}" name="OPP_FTA" dataDxfId="197"/>
    <tableColumn id="16" xr3:uid="{B03CA0B0-8FE1-4DF8-AD2B-2D2D5F49A70A}" name="OPP_FT_PCT" dataDxfId="196"/>
    <tableColumn id="17" xr3:uid="{D9879C95-C5CC-4AD8-94FB-0FC5E627C5AF}" name="OPP_OREB" dataDxfId="195"/>
    <tableColumn id="18" xr3:uid="{634E66B0-BABD-4B7F-85BA-D2A6D60586AA}" name="OPP_DREB" dataDxfId="194"/>
    <tableColumn id="19" xr3:uid="{0DF90C31-40A5-431D-9D45-7114574944E4}" name="OPP_REB" dataDxfId="193"/>
    <tableColumn id="20" xr3:uid="{05E4D49B-E5A8-4BE7-A984-6E193CF4546F}" name="OPP_AST" dataDxfId="192"/>
    <tableColumn id="21" xr3:uid="{238A5E53-AA78-402F-847E-ED4875C85BAC}" name="OPP_TOV" dataDxfId="191"/>
    <tableColumn id="22" xr3:uid="{15FC6979-D232-4231-90DA-B355B5489A6F}" name="OPP_STL" dataDxfId="190"/>
    <tableColumn id="23" xr3:uid="{B941F488-37BF-416F-8E69-6FCAB8CC5641}" name="OPP_BLK" dataDxfId="189"/>
    <tableColumn id="24" xr3:uid="{2BAE7E5A-6AFB-4AFB-A060-FAFBBB5F1320}" name="OPP_BLKA" dataDxfId="188"/>
    <tableColumn id="25" xr3:uid="{03C37DFC-D07C-4138-85E0-9BE887CA4BF3}" name="OPP_PF" dataDxfId="187"/>
    <tableColumn id="26" xr3:uid="{D8C79D89-77A3-405D-A285-77A0AA9317BF}" name="OPP_PFD" dataDxfId="186"/>
    <tableColumn id="27" xr3:uid="{D420081C-A5E7-40BC-9B5C-03E908F5BBE4}" name="OPP_PTS" dataDxfId="185"/>
    <tableColumn id="28" xr3:uid="{9EF437D0-B271-4C98-9421-659646DD1822}" name="PLUS_MINUS" dataDxfId="184"/>
    <tableColumn id="29" xr3:uid="{048579DC-8D0F-4C1B-8D9C-CABEC83DA7AA}" name="GP_RANK" dataDxfId="183"/>
    <tableColumn id="30" xr3:uid="{BF7EA40A-2DAD-44FA-BA71-6D9B6D4A251F}" name="W_RANK" dataDxfId="182"/>
    <tableColumn id="31" xr3:uid="{CF60280B-6A29-49FD-BDC2-534D46EC53C3}" name="L_RANK" dataDxfId="181"/>
    <tableColumn id="32" xr3:uid="{8F79571C-F4F1-495E-8C70-DD16267569AB}" name="W_PCT_RANK" dataDxfId="180"/>
    <tableColumn id="33" xr3:uid="{7B3C237A-DF34-4DD9-8413-F30177F01A90}" name="MIN_RANK" dataDxfId="179"/>
    <tableColumn id="34" xr3:uid="{68179DB9-5532-490A-81A1-8F326F524312}" name="OPP_FGM_RANK" dataDxfId="178"/>
    <tableColumn id="35" xr3:uid="{F13B2F25-3DBF-4B45-BC84-17B09F92191C}" name="OPP_FGA_RANK" dataDxfId="177"/>
    <tableColumn id="36" xr3:uid="{1DE694A2-1171-4F97-A015-F21DD80C252A}" name="OPP_FG_PCT_RANK" dataDxfId="176"/>
    <tableColumn id="37" xr3:uid="{8F91F4A5-9DAD-4EDA-A43C-ED34481E5B4D}" name="OPP_FG3M_RANK" dataDxfId="175"/>
    <tableColumn id="38" xr3:uid="{8D2C3596-E0D7-4D17-B6DD-0E742B841954}" name="OPP_FG3A_RANK" dataDxfId="174"/>
    <tableColumn id="39" xr3:uid="{0A05B8D9-408E-4A3E-930B-89F1D1DED5CB}" name="OPP_FG3_PCT_RANK" dataDxfId="173"/>
    <tableColumn id="40" xr3:uid="{CDD1112B-9297-4031-A103-6DE7A3706B81}" name="OPP_FTM_RANK" dataDxfId="172"/>
    <tableColumn id="41" xr3:uid="{B5642183-01EA-44F3-AD59-E716B1D163A1}" name="OPP_FTA_RANK" dataDxfId="171"/>
    <tableColumn id="42" xr3:uid="{88A71E8C-4445-4532-83F7-362130E136F7}" name="OPP_FT_PCT_RANK" dataDxfId="170"/>
    <tableColumn id="43" xr3:uid="{6599234A-AD88-4CE9-99F0-6DBF532C6DFE}" name="OPP_OREB_RANK" dataDxfId="169"/>
    <tableColumn id="44" xr3:uid="{2436F796-4468-4978-BF61-BA4AFD79A404}" name="OPP_DREB_RANK" dataDxfId="168"/>
    <tableColumn id="45" xr3:uid="{9DC497DF-ECDF-4128-B2AC-B4E8ECBDA6AD}" name="OPP_REB_RANK" dataDxfId="167"/>
    <tableColumn id="46" xr3:uid="{B4ADA0F7-A069-4D60-AD42-B30CFE9CD891}" name="OPP_AST_RANK" dataDxfId="166"/>
    <tableColumn id="47" xr3:uid="{FD3F40A6-9E8D-431A-A234-4EA13602E07F}" name="OPP_TOV_RANK" dataDxfId="165"/>
    <tableColumn id="48" xr3:uid="{82A8B55F-F4E9-4B2D-9FCC-F4B4EAF7E4C2}" name="OPP_STL_RANK" dataDxfId="164"/>
    <tableColumn id="49" xr3:uid="{99982948-F13F-4885-AF5E-04283F097FA6}" name="OPP_BLK_RANK" dataDxfId="163"/>
    <tableColumn id="50" xr3:uid="{88177722-3504-442D-9046-7E825473AF28}" name="OPP_BLKA_RANK" dataDxfId="162"/>
    <tableColumn id="51" xr3:uid="{BB7EF422-BFE1-4AC1-93EA-D4544023DC30}" name="OPP_PF_RANK" dataDxfId="161"/>
    <tableColumn id="52" xr3:uid="{7CD10B2C-EA8C-4F70-BFC0-69FDCC736B55}" name="OPP_PFD_RANK" dataDxfId="160"/>
    <tableColumn id="53" xr3:uid="{A0C56724-86D9-47BF-B866-078CB051DFD2}" name="OPP_PTS_RANK" dataDxfId="159"/>
    <tableColumn id="54" xr3:uid="{88B57823-25BC-4DD9-B980-0BFBB66C14A4}" name="PLUS_MINUS_RANK" dataDxfId="158"/>
    <tableColumn id="55" xr3:uid="{8678DD6D-3581-45F2-884A-AB69EB067A57}" name="CFID" dataDxfId="157"/>
    <tableColumn id="56" xr3:uid="{B787CACE-FA2F-47DB-A8D1-61DE56ABC291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C3EB915-E17B-42DF-8992-2F8516BAF78A}" name="TableClutchAdvancedN" displayName="TableClutchAdvancedN" ref="A1:AV31" totalsRowShown="0" headerRowDxfId="49">
  <autoFilter ref="A1:AV31" xr:uid="{DC961204-6193-49E0-A34B-F9A734E0746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A37EBEB1-9F2B-47FC-ABF4-EA348F0C0B8B}" name="TEAM_ID" dataDxfId="97"/>
    <tableColumn id="2" xr3:uid="{8E344700-C6A0-4518-BB06-F4988F90E4DF}" name="TEAM_NAME" dataDxfId="96"/>
    <tableColumn id="3" xr3:uid="{B1A80E20-8568-463B-9DD8-D902D9A8C7A7}" name="GP" dataDxfId="95"/>
    <tableColumn id="4" xr3:uid="{51FC0BEA-151C-4854-86BA-20DBE677D783}" name="W" dataDxfId="94"/>
    <tableColumn id="5" xr3:uid="{73001D99-8E00-4B1A-8B40-54DE67416CEE}" name="L" dataDxfId="93"/>
    <tableColumn id="6" xr3:uid="{03F2E340-99F1-4532-A7BF-28BF5F4508E9}" name="W_PCT" dataDxfId="92"/>
    <tableColumn id="7" xr3:uid="{382EBF27-FBBC-494D-92F0-E7933E4BAD26}" name="MIN" dataDxfId="91"/>
    <tableColumn id="8" xr3:uid="{B28C3612-44BB-4F1D-AA5F-04C0B1C39EB9}" name="E_OFF_RATING" dataDxfId="90"/>
    <tableColumn id="9" xr3:uid="{67E23AE1-960D-4CB9-AC14-34603E39B76F}" name="OFF_RATING" dataDxfId="89"/>
    <tableColumn id="10" xr3:uid="{FDC19099-F94C-4DBE-A386-A4D021A91235}" name="E_DEF_RATING" dataDxfId="88"/>
    <tableColumn id="11" xr3:uid="{A2D6E6BF-7762-4D24-ADBC-A3BCB582231C}" name="DEF_RATING" dataDxfId="87"/>
    <tableColumn id="12" xr3:uid="{F3065E39-3DAD-4EA5-B8DE-8C8762836C15}" name="E_NET_RATING" dataDxfId="86"/>
    <tableColumn id="13" xr3:uid="{6681B5DE-185A-448D-A596-AEE1C9C46D30}" name="NET_RATING" dataDxfId="85"/>
    <tableColumn id="14" xr3:uid="{CE0CEADC-401D-486D-8E8C-BDF669791DFF}" name="AST_PCT" dataDxfId="84"/>
    <tableColumn id="15" xr3:uid="{FF97C71E-C757-4A94-8F13-E6AFF60411D8}" name="AST_TO" dataDxfId="83"/>
    <tableColumn id="16" xr3:uid="{E4D16306-A25A-4A99-A6B0-777FC22211AE}" name="AST_RATIO" dataDxfId="82"/>
    <tableColumn id="17" xr3:uid="{FAA4F43D-6D99-47C9-8738-D09C42480534}" name="OREB_PCT" dataDxfId="81"/>
    <tableColumn id="18" xr3:uid="{1BFBFCCF-79CD-4479-8FD3-FB281C3B2931}" name="DREB_PCT" dataDxfId="80"/>
    <tableColumn id="19" xr3:uid="{0D18024A-13EC-4732-9303-332B9AE8613A}" name="REB_PCT" dataDxfId="79"/>
    <tableColumn id="20" xr3:uid="{0BF9BE89-24B7-4D15-9F34-8AEFB783DA31}" name="TM_TOV_PCT" dataDxfId="78"/>
    <tableColumn id="21" xr3:uid="{13EB3984-EA91-4E95-A14A-87C7E0DD00D0}" name="EFG_PCT" dataDxfId="77"/>
    <tableColumn id="22" xr3:uid="{35C02803-F7F1-438D-9AF4-9501C41570C7}" name="TS_PCT" dataDxfId="76"/>
    <tableColumn id="23" xr3:uid="{848CF23D-775C-48C8-B42D-3016FCE946E0}" name="E_PACE" dataDxfId="75"/>
    <tableColumn id="24" xr3:uid="{F042CB21-E695-405E-96DB-49AF17F37560}" name="PACE" dataDxfId="74"/>
    <tableColumn id="25" xr3:uid="{B007E7EF-3843-45B4-933F-2003ECDDD695}" name="PACE_PER40" dataDxfId="73"/>
    <tableColumn id="26" xr3:uid="{7F8AD7F8-DE9C-4807-A247-7583033AFC6F}" name="POSS" dataDxfId="72"/>
    <tableColumn id="27" xr3:uid="{CEABBC66-1887-4F16-B215-402F452F05EC}" name="PIE" dataDxfId="71"/>
    <tableColumn id="28" xr3:uid="{DE47EA69-782F-4B03-8256-912879B1010C}" name="GP_RANK" dataDxfId="70"/>
    <tableColumn id="29" xr3:uid="{FAF13564-B65A-42ED-899B-B54C73B68AB7}" name="W_RANK" dataDxfId="69"/>
    <tableColumn id="30" xr3:uid="{F64F0CD9-4560-4BA7-9125-2EED15E1BB0A}" name="L_RANK" dataDxfId="68"/>
    <tableColumn id="31" xr3:uid="{0B68A97B-DB8D-4612-99D6-B45C2A19AAF6}" name="W_PCT_RANK" dataDxfId="67"/>
    <tableColumn id="32" xr3:uid="{E07DA289-7DAD-498A-AB4D-3B040B13C4CF}" name="MIN_RANK" dataDxfId="66"/>
    <tableColumn id="33" xr3:uid="{1CFDA253-8486-44D2-91E9-59FCE2B2B5B0}" name="OFF_RATING_RANK" dataDxfId="65"/>
    <tableColumn id="34" xr3:uid="{EB6B7C83-571A-4CC3-AB93-9DD2C5DC85B6}" name="DEF_RATING_RANK" dataDxfId="64"/>
    <tableColumn id="35" xr3:uid="{3715FC7D-B14E-4EB2-968F-62B8D4D81EB5}" name="NET_RATING_RANK" dataDxfId="63"/>
    <tableColumn id="36" xr3:uid="{16BD2B28-5479-4870-B81F-873E5AB250B9}" name="AST_PCT_RANK" dataDxfId="62"/>
    <tableColumn id="37" xr3:uid="{C24BE8A9-091F-48A8-9D40-7EFC929B44B3}" name="AST_TO_RANK" dataDxfId="61"/>
    <tableColumn id="38" xr3:uid="{ACB27DE5-5CC0-4EB0-94EA-2CC73915B257}" name="AST_RATIO_RANK" dataDxfId="60"/>
    <tableColumn id="39" xr3:uid="{6B8D7128-3CD2-43C3-A081-648CD4DF1B0B}" name="OREB_PCT_RANK" dataDxfId="59"/>
    <tableColumn id="40" xr3:uid="{044EA29F-2233-4489-B40F-222B60C423A3}" name="DREB_PCT_RANK" dataDxfId="58"/>
    <tableColumn id="41" xr3:uid="{892667D3-CC00-4C16-8985-BFD537B69263}" name="REB_PCT_RANK" dataDxfId="57"/>
    <tableColumn id="42" xr3:uid="{3CA5573E-C6ED-4217-9F9F-ACB02CBBF8E1}" name="TM_TOV_PCT_RANK" dataDxfId="56"/>
    <tableColumn id="43" xr3:uid="{84425949-DDF0-44E4-8913-1859B6A8D1F5}" name="EFG_PCT_RANK" dataDxfId="55"/>
    <tableColumn id="44" xr3:uid="{99CB902C-2865-4E4A-82B6-195FA1ACB3D2}" name="TS_PCT_RANK" dataDxfId="54"/>
    <tableColumn id="45" xr3:uid="{0EFA04DC-5ADD-4812-9E44-8C2B16CB0DA4}" name="PACE_RANK" dataDxfId="53"/>
    <tableColumn id="46" xr3:uid="{C7051933-027B-4AE6-B571-926D4917AF51}" name="PIE_RANK" dataDxfId="52"/>
    <tableColumn id="47" xr3:uid="{3C7A9577-1B72-42D5-982A-E397CB35CEA5}" name="CFID" dataDxfId="51"/>
    <tableColumn id="48" xr3:uid="{CB28B427-5F99-49AC-A2A2-905B7AA67682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0AE55E-6987-4974-8ACB-D62C19049521}" name="TableStandingsN1" displayName="TableStandingsN1" ref="A1:CC31" totalsRowShown="0" headerRowDxfId="910">
  <autoFilter ref="A1:CC31" xr:uid="{1C322260-B012-4A4B-8280-CD2C19051CE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56FAE4A5-341D-4C0A-B9AC-2350D9553473}" name="LeagueID" dataDxfId="991"/>
    <tableColumn id="2" xr3:uid="{132B33CD-D4CF-437D-B911-7624418A9F4A}" name="SeasonID" dataDxfId="990"/>
    <tableColumn id="3" xr3:uid="{51C7807F-398F-4AF9-ADD8-D6F4152BE25B}" name="TeamID" dataDxfId="989"/>
    <tableColumn id="4" xr3:uid="{91FE7A3E-458F-46AB-8741-613AC180AB6F}" name="TeamCity" dataDxfId="988"/>
    <tableColumn id="5" xr3:uid="{A91CC275-42F1-4510-93A6-727ED47631FF}" name="TeamName" dataDxfId="987"/>
    <tableColumn id="6" xr3:uid="{148E023E-B911-45F0-B298-B0D18D3A40E1}" name="Conference" dataDxfId="986"/>
    <tableColumn id="7" xr3:uid="{DCBC6F5D-4DCC-4F9F-A52F-AC725132A820}" name="ConferenceRecord" dataDxfId="985"/>
    <tableColumn id="8" xr3:uid="{812C442D-B108-4AB3-A17C-749900B1B8A3}" name="PlayoffRank" dataDxfId="984"/>
    <tableColumn id="9" xr3:uid="{C9CC74DC-EAF3-4A63-9009-2D9E56DE0B12}" name="ClinchIndicator" dataDxfId="983"/>
    <tableColumn id="10" xr3:uid="{B0178660-188B-494A-A80A-F38BE0F7676E}" name="Division" dataDxfId="982"/>
    <tableColumn id="11" xr3:uid="{58AFAA49-631D-4B08-9D25-42BAB9DF28F9}" name="DivisionRecord" dataDxfId="981"/>
    <tableColumn id="12" xr3:uid="{6CC121CC-CB7B-4EC1-B2CA-F1ACB7D6014A}" name="DivisionRank" dataDxfId="980"/>
    <tableColumn id="13" xr3:uid="{5C6E9EC4-B866-4EF4-A3C4-29BBDC22740D}" name="WINS" dataDxfId="979"/>
    <tableColumn id="14" xr3:uid="{CEF097C6-5F7D-41BA-8D37-C0D89A308C81}" name="LOSSES" dataDxfId="978"/>
    <tableColumn id="15" xr3:uid="{EB4D3C50-EC14-42A6-8B4F-5B832B5738F1}" name="WinPCT" dataDxfId="977"/>
    <tableColumn id="16" xr3:uid="{33F5F164-D6EB-4670-9C1E-62C5BA2139A2}" name="LeagueRank" dataDxfId="976"/>
    <tableColumn id="17" xr3:uid="{79BF33CA-73A8-40A9-9AC2-509228C7F95D}" name="Record" dataDxfId="975"/>
    <tableColumn id="18" xr3:uid="{EE84A87F-940B-44DA-9D7A-972F9371C447}" name="HOME" dataDxfId="974"/>
    <tableColumn id="19" xr3:uid="{DC0C8E74-4438-4D42-8841-206D310A6F46}" name="ROAD" dataDxfId="973"/>
    <tableColumn id="20" xr3:uid="{56BA7E4B-6470-4B84-B87F-D17CF2D35C3A}" name="L10" dataDxfId="972"/>
    <tableColumn id="21" xr3:uid="{21A0FE57-FF77-4EDF-8DCE-FFF413793A06}" name="Last10Home" dataDxfId="971"/>
    <tableColumn id="22" xr3:uid="{84B89155-E820-4FAB-8FB9-57C9F85BAD46}" name="Last10Road" dataDxfId="970"/>
    <tableColumn id="23" xr3:uid="{4C5810BA-481F-4D3F-97D4-B1B4C2878751}" name="OT" dataDxfId="969"/>
    <tableColumn id="24" xr3:uid="{C65E1EA9-E527-45FD-BBC5-24467B95D03D}" name="ThreePTSOrLess" dataDxfId="968"/>
    <tableColumn id="25" xr3:uid="{6B919DED-E656-4309-8AC9-24D9FEEACF8B}" name="TenPTSOrMore" dataDxfId="967"/>
    <tableColumn id="26" xr3:uid="{48F9A79E-5051-4F89-A882-E413535EFB8D}" name="LongHomeStreak" dataDxfId="966"/>
    <tableColumn id="27" xr3:uid="{C8E2D6E3-88EF-4C5E-8A5A-B13BB4B8736A}" name="strLongHomeStreak" dataDxfId="965"/>
    <tableColumn id="28" xr3:uid="{972E9791-6E22-4796-A6D8-DF67F30FB7E1}" name="LongRoadStreak" dataDxfId="964"/>
    <tableColumn id="29" xr3:uid="{DDBD3D04-7DD7-451B-A150-797DB2424C35}" name="strLongRoadStreak" dataDxfId="963"/>
    <tableColumn id="30" xr3:uid="{3C71C38F-8F34-42B5-8017-674109CEB995}" name="LongWinStreak" dataDxfId="962"/>
    <tableColumn id="31" xr3:uid="{A9041BAF-1888-4336-BE1C-5F519AADFBFF}" name="LongLossStreak" dataDxfId="961"/>
    <tableColumn id="32" xr3:uid="{F478CF99-2868-4D47-AF65-5A939C3E045C}" name="CurrentHomeStreak" dataDxfId="960"/>
    <tableColumn id="33" xr3:uid="{F361CF4D-A8F8-4C37-8018-D1C68BB15C39}" name="strCurrentHomeStreak" dataDxfId="959"/>
    <tableColumn id="34" xr3:uid="{F7B32FA5-CDEE-4C34-90AB-44C4A5823401}" name="CurrentRoadStreak" dataDxfId="958"/>
    <tableColumn id="35" xr3:uid="{EDA2CAE0-A693-40AC-9371-CA8657E5EAE8}" name="strCurrentRoadStreak" dataDxfId="957"/>
    <tableColumn id="36" xr3:uid="{FA87D235-E840-4692-B6B3-0948756F4DB2}" name="CurrentStreak" dataDxfId="956"/>
    <tableColumn id="37" xr3:uid="{A4910A2C-A31F-4BCA-8DCE-91F06F9392FD}" name="strCurrentStreak" dataDxfId="955"/>
    <tableColumn id="38" xr3:uid="{2D43592F-9E40-49CA-86D7-90438CF5F0B3}" name="ConferenceGamesBack" dataDxfId="954"/>
    <tableColumn id="39" xr3:uid="{BB0D9A07-DA7E-4FCF-A46F-AFAEBE99158E}" name="DivisionGamesBack" dataDxfId="953"/>
    <tableColumn id="40" xr3:uid="{21E47C64-E072-49AA-952B-C299536BE572}" name="ClinchedConferenceTitle" dataDxfId="952"/>
    <tableColumn id="41" xr3:uid="{A280E1A4-A929-4BE1-A2A6-4E9E34050EEE}" name="ClinchedDivisionTitle" dataDxfId="951"/>
    <tableColumn id="42" xr3:uid="{DA25D144-74A3-4684-8A08-2DCAA0BFB5B2}" name="ClinchedPlayoffBirth" dataDxfId="950"/>
    <tableColumn id="43" xr3:uid="{3E681521-5EF0-46C9-AC70-C36E1D31E64E}" name="EliminatedConference" dataDxfId="949"/>
    <tableColumn id="44" xr3:uid="{4ED98074-DDAF-45ED-9338-655A0A3E911D}" name="EliminatedDivision" dataDxfId="948"/>
    <tableColumn id="45" xr3:uid="{0B6FB64E-5BC1-4018-BE63-A2EE257CAE41}" name="AheadAtHalf" dataDxfId="947"/>
    <tableColumn id="46" xr3:uid="{921F3324-38F2-49F4-B9A7-851ED93FA2D4}" name="BehindAtHalf" dataDxfId="946"/>
    <tableColumn id="47" xr3:uid="{6E9425F5-83A6-4373-B0E7-A83D3DF802A9}" name="TiedAtHalf" dataDxfId="945"/>
    <tableColumn id="48" xr3:uid="{6BD6B061-CC44-4B01-96F0-514B59883B0F}" name="AheadAtThird" dataDxfId="944"/>
    <tableColumn id="49" xr3:uid="{C5B0832D-86C0-45B0-A788-D5B351D2C439}" name="BehindAtThird" dataDxfId="943"/>
    <tableColumn id="50" xr3:uid="{BDB51B4C-C977-4F81-ACFD-C65E5CACE5E8}" name="TiedAtThird" dataDxfId="942"/>
    <tableColumn id="51" xr3:uid="{6C2AA1E8-F1EE-4E00-AA83-298A9B3EE981}" name="Score100PTS" dataDxfId="941"/>
    <tableColumn id="52" xr3:uid="{F779F1B2-EC70-4000-B71E-4005ADB8D078}" name="OppScore100PTS" dataDxfId="940"/>
    <tableColumn id="53" xr3:uid="{024DBAD3-BE5D-47A6-973F-1A560CCBBE0F}" name="OppOver500" dataDxfId="939"/>
    <tableColumn id="54" xr3:uid="{5ED2949F-CC77-477F-96D9-BFF07DC62331}" name="LeadInFGPCT" dataDxfId="938"/>
    <tableColumn id="55" xr3:uid="{2F4F789C-F2FC-465F-ABB4-A88740F2BCBC}" name="LeadInReb" dataDxfId="937"/>
    <tableColumn id="56" xr3:uid="{E2A69AF5-B03F-48CB-BC7D-B7AC5C801DE6}" name="FewerTurnovers" dataDxfId="936"/>
    <tableColumn id="57" xr3:uid="{C79AC8F1-F934-4EA4-9852-BDCD8AB1EAE7}" name="PointsPG" dataDxfId="935"/>
    <tableColumn id="58" xr3:uid="{22458830-1F72-47EE-A15F-58B1558B5BA2}" name="OppPointsPG" dataDxfId="934"/>
    <tableColumn id="59" xr3:uid="{A87CA95F-9348-4699-A0FF-BFF24894EA6C}" name="DiffPointsPG" dataDxfId="933"/>
    <tableColumn id="60" xr3:uid="{EF957347-793E-4500-8DBA-D3FC6C7203D1}" name="vsEast" dataDxfId="932"/>
    <tableColumn id="61" xr3:uid="{4249BFB4-E5EC-4408-BFE5-7ABCD8C64386}" name="vsAtlantic" dataDxfId="931"/>
    <tableColumn id="62" xr3:uid="{13632C1A-0B2B-4EF2-A127-2E1D39E2468D}" name="vsCentral" dataDxfId="930"/>
    <tableColumn id="63" xr3:uid="{81A4873E-AF81-4677-A9C5-A611453462D1}" name="vsSoutheast" dataDxfId="929"/>
    <tableColumn id="64" xr3:uid="{8E4E052A-6B3F-45AD-979A-6E75EE305317}" name="vsWest" dataDxfId="928"/>
    <tableColumn id="65" xr3:uid="{8DED504B-617C-4C88-AF8D-9B9F8E2BF0CF}" name="vsNorthwest" dataDxfId="927"/>
    <tableColumn id="66" xr3:uid="{064EBFFD-6F01-45AB-A563-76205C3A68B2}" name="vsPacific" dataDxfId="926"/>
    <tableColumn id="67" xr3:uid="{F923B72B-5F09-4128-9614-23C68E40C8F3}" name="vsSouthwest" dataDxfId="925"/>
    <tableColumn id="68" xr3:uid="{852E3590-147C-45B7-850C-A51DEF7DC852}" name="Jan" dataDxfId="924"/>
    <tableColumn id="69" xr3:uid="{64EFE58B-96D1-4E7D-A74B-4A777AAF63CF}" name="Feb" dataDxfId="923"/>
    <tableColumn id="70" xr3:uid="{0ABB6BA0-0260-47FF-ADA7-64AB15259B7F}" name="Mar" dataDxfId="922"/>
    <tableColumn id="71" xr3:uid="{33753C51-617F-47E3-8B31-70B5C53BDD1A}" name="Apr" dataDxfId="921"/>
    <tableColumn id="72" xr3:uid="{D378A4BB-FBEF-468E-80B3-678EBAE34263}" name="May" dataDxfId="920"/>
    <tableColumn id="73" xr3:uid="{1171B148-F888-421B-9141-6541E5324EC7}" name="Jun" dataDxfId="919"/>
    <tableColumn id="74" xr3:uid="{B5BA501A-1F0F-4F1C-B410-8BF204F99E49}" name="Jul" dataDxfId="918"/>
    <tableColumn id="75" xr3:uid="{196CA902-38C3-498A-BDB5-6C54D63E4BDF}" name="Aug" dataDxfId="917"/>
    <tableColumn id="76" xr3:uid="{DAE52B54-6731-4705-9E38-93290FC1EE8F}" name="Sep" dataDxfId="916"/>
    <tableColumn id="77" xr3:uid="{12EC3DA6-9359-4C5F-8E1A-FF871204FD3B}" name="Oct" dataDxfId="915"/>
    <tableColumn id="78" xr3:uid="{87A54D3F-852C-4247-8823-0B38FC2589E8}" name="Nov" dataDxfId="914"/>
    <tableColumn id="79" xr3:uid="{269BE932-72C6-4B20-A31A-43A6E601D45F}" name="Dec" dataDxfId="913"/>
    <tableColumn id="80" xr3:uid="{D10B8CA1-5B18-4922-8948-D45AA38D507F}" name="PreAS" dataDxfId="912"/>
    <tableColumn id="81" xr3:uid="{8E6B5B6A-9DA9-466F-A6A5-838D938D0E49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486356-E065-424A-95C0-3C49F37AB5D2}" name="TableBaseN1" displayName="TableBaseN1" ref="A1:BD31" totalsRowShown="0" headerRowDxfId="796">
  <autoFilter ref="A1:BD31" xr:uid="{0D147B0F-E68E-48BD-9BC6-B71ABC3979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1703C56E-4734-4EDC-919C-264BFCD5AA5E}" name="TEAM_ID" dataDxfId="852"/>
    <tableColumn id="2" xr3:uid="{A8C5D63F-7E42-4BB0-888E-556BA0D86153}" name="TEAM_NAME" dataDxfId="851"/>
    <tableColumn id="3" xr3:uid="{D79BE366-01C1-4EB4-9F23-1F279FD149F8}" name="GP" dataDxfId="850"/>
    <tableColumn id="4" xr3:uid="{B1A8FF6F-7A73-491C-AF6C-93C35756668E}" name="W" dataDxfId="849"/>
    <tableColumn id="5" xr3:uid="{FBE6AAAF-0525-43AB-A904-5C81A31F3E37}" name="L" dataDxfId="848"/>
    <tableColumn id="6" xr3:uid="{96E42685-C9AF-4880-8577-5DED36CC9970}" name="W_PCT" dataDxfId="847"/>
    <tableColumn id="7" xr3:uid="{00D58518-0477-486D-BDB7-638C05F79278}" name="MIN" dataDxfId="846"/>
    <tableColumn id="8" xr3:uid="{A8A61DAC-49A7-4B2C-BC0A-7BFC6D47321E}" name="FGM" dataDxfId="845"/>
    <tableColumn id="9" xr3:uid="{2DAE1725-C4D3-4000-962E-E550519529DC}" name="FGA" dataDxfId="844"/>
    <tableColumn id="10" xr3:uid="{0ACCAD76-2E82-4CEC-A771-72D731152619}" name="FG_PCT" dataDxfId="843"/>
    <tableColumn id="11" xr3:uid="{D6FA98C6-50F0-4CB6-A3B2-D564BD62C58A}" name="FG3M" dataDxfId="842"/>
    <tableColumn id="12" xr3:uid="{02B9CD2E-0952-40AC-8288-BE4EA105E814}" name="FG3A" dataDxfId="841"/>
    <tableColumn id="13" xr3:uid="{D7E29057-5EF4-4058-B33B-44C5D4724BA3}" name="FG3_PCT" dataDxfId="840"/>
    <tableColumn id="14" xr3:uid="{77334F5B-1ABC-42DE-B5FE-6153BAE3E960}" name="FTM" dataDxfId="839"/>
    <tableColumn id="15" xr3:uid="{ADA88DC1-09AB-499E-9366-B2A386902C04}" name="FTA" dataDxfId="838"/>
    <tableColumn id="16" xr3:uid="{BFA37178-7BF8-4B35-BB7F-81810949B5DB}" name="FT_PCT" dataDxfId="837"/>
    <tableColumn id="17" xr3:uid="{B39B8238-CE7F-4CF0-9BD6-D3A694DB4F9C}" name="OREB" dataDxfId="836"/>
    <tableColumn id="18" xr3:uid="{8B0E5EF6-CCFF-42D4-B330-0102EA86A7AA}" name="DREB" dataDxfId="835"/>
    <tableColumn id="19" xr3:uid="{B9741779-B58E-4BE2-AA5A-219FA59CB5B5}" name="REB" dataDxfId="834"/>
    <tableColumn id="20" xr3:uid="{1A33083E-5A47-468D-A1E2-BF701FB895A7}" name="AST" dataDxfId="833"/>
    <tableColumn id="21" xr3:uid="{C7E43BB2-77CE-456B-8135-621D6F3693C5}" name="TOV" dataDxfId="832"/>
    <tableColumn id="22" xr3:uid="{BD3A1A0E-2222-4876-8AE5-37DDD0C59205}" name="STL" dataDxfId="831"/>
    <tableColumn id="23" xr3:uid="{ECAA53AD-DB48-4C3F-BEF7-6DE6BD6DFEA1}" name="BLK" dataDxfId="830"/>
    <tableColumn id="24" xr3:uid="{25FFB87B-3CE4-4142-95BE-661CD4E70C3A}" name="BLKA" dataDxfId="829"/>
    <tableColumn id="25" xr3:uid="{E9E981FC-5794-4BE8-ABB5-63E6D7069D1F}" name="PF" dataDxfId="828"/>
    <tableColumn id="26" xr3:uid="{7D93EF5C-5D49-4FB4-A0E0-58DC677AF2C0}" name="PFD" dataDxfId="827"/>
    <tableColumn id="27" xr3:uid="{E1C3B7B8-6D04-4A9B-9F77-38F8C521391B}" name="PTS" dataDxfId="826"/>
    <tableColumn id="28" xr3:uid="{F20E9ACF-2384-474A-A14A-6261380C5F34}" name="PLUS_MINUS" dataDxfId="825"/>
    <tableColumn id="29" xr3:uid="{F32861BD-C6A9-4FA1-A472-8A9974E8692C}" name="GP_RANK" dataDxfId="824"/>
    <tableColumn id="30" xr3:uid="{30C38C7C-A03F-4F81-80AD-626D81CA0613}" name="W_RANK" dataDxfId="823"/>
    <tableColumn id="31" xr3:uid="{B859836B-38EA-4B12-97CF-57245AF72673}" name="L_RANK" dataDxfId="822"/>
    <tableColumn id="32" xr3:uid="{F1E1C1F6-0F38-4AB5-853F-788FF87F33B7}" name="W_PCT_RANK" dataDxfId="821"/>
    <tableColumn id="33" xr3:uid="{784234A1-12FD-4C90-9C32-B7147AA4A520}" name="MIN_RANK" dataDxfId="820"/>
    <tableColumn id="34" xr3:uid="{90CD7289-83C3-4049-8DCE-7436A5088B0D}" name="FGM_RANK" dataDxfId="819"/>
    <tableColumn id="35" xr3:uid="{99210371-75F7-4B8E-92BC-336E4B3AEAE6}" name="FGA_RANK" dataDxfId="818"/>
    <tableColumn id="36" xr3:uid="{DA00F898-CCD1-4051-9A0F-60977FC0BBA4}" name="FG_PCT_RANK" dataDxfId="817"/>
    <tableColumn id="37" xr3:uid="{16F1B557-7D80-4F31-BD99-7B3EED4FA490}" name="FG3M_RANK" dataDxfId="816"/>
    <tableColumn id="38" xr3:uid="{798D2748-B85A-4F84-887B-3C0B50123988}" name="FG3A_RANK" dataDxfId="815"/>
    <tableColumn id="39" xr3:uid="{A95A1768-7926-4202-8EAA-DE0939BF808A}" name="FG3_PCT_RANK" dataDxfId="814"/>
    <tableColumn id="40" xr3:uid="{166C90DC-2357-48D6-95A7-AB61D63B4A9D}" name="FTM_RANK" dataDxfId="813"/>
    <tableColumn id="41" xr3:uid="{0C6514B1-66A9-4BEA-A3AA-4E91863F86A5}" name="FTA_RANK" dataDxfId="812"/>
    <tableColumn id="42" xr3:uid="{92133F07-717E-495A-9F66-A4A2E75EC851}" name="FT_PCT_RANK" dataDxfId="811"/>
    <tableColumn id="43" xr3:uid="{8F34C3CB-C5A6-4B1E-8F90-FEFEADDB823A}" name="OREB_RANK" dataDxfId="810"/>
    <tableColumn id="44" xr3:uid="{C2F01C0F-5637-4D70-B0CE-612D4F559EA7}" name="DREB_RANK" dataDxfId="809"/>
    <tableColumn id="45" xr3:uid="{99BADE13-011A-41EC-B041-91B3B61E6864}" name="REB_RANK" dataDxfId="808"/>
    <tableColumn id="46" xr3:uid="{5F05E855-4D9E-4F33-B5D1-F4B6A428FAD8}" name="AST_RANK" dataDxfId="807"/>
    <tableColumn id="47" xr3:uid="{7079E3E9-A886-4CF2-BCF4-4FFB258CDE59}" name="TOV_RANK" dataDxfId="806"/>
    <tableColumn id="48" xr3:uid="{E54F8FF5-4AFA-42EE-BF18-F9F35C9E913F}" name="STL_RANK" dataDxfId="805"/>
    <tableColumn id="49" xr3:uid="{49D40A51-D641-42B9-900B-4BDE341113CD}" name="BLK_RANK" dataDxfId="804"/>
    <tableColumn id="50" xr3:uid="{F0005900-2899-4329-99AE-7F4F63634AE1}" name="BLKA_RANK" dataDxfId="803"/>
    <tableColumn id="51" xr3:uid="{67D6ADC5-857E-4F62-BA00-768858166951}" name="PF_RANK" dataDxfId="802"/>
    <tableColumn id="52" xr3:uid="{3BC4FDA2-5F5A-486E-A040-EDC4AA0B6416}" name="PFD_RANK" dataDxfId="801"/>
    <tableColumn id="53" xr3:uid="{367932A9-330B-4844-AD46-E8FCD058BB85}" name="PTS_RANK" dataDxfId="800"/>
    <tableColumn id="54" xr3:uid="{09CF5CD8-FF55-412A-A06A-027E3198CE7E}" name="PLUS_MINUS_RANK" dataDxfId="799"/>
    <tableColumn id="55" xr3:uid="{7D5CE7FE-6B7C-4445-809C-BA4FABF8C10F}" name="CFID" dataDxfId="798"/>
    <tableColumn id="56" xr3:uid="{76505B67-9FCC-4164-994E-419737FFC5AF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ADA4F56-36F4-48BE-AD61-A56582BEF8A1}" name="TableAdvancedN1" displayName="TableAdvancedN1" ref="A1:AV31" totalsRowShown="0" headerRowDxfId="698">
  <autoFilter ref="A1:AV31" xr:uid="{901E1B81-D28E-4DD2-BC3F-6DDA79E2BF3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CECF7E42-74B3-45F5-AD7C-F50FCF50858C}" name="TEAM_ID" dataDxfId="746"/>
    <tableColumn id="2" xr3:uid="{B7DDBDA3-4098-446B-A80B-5D0F5D54EA8D}" name="TEAM_NAME" dataDxfId="745"/>
    <tableColumn id="3" xr3:uid="{3B33C0D3-9C2C-4CFA-86AB-BDDF803B7CFB}" name="GP" dataDxfId="744"/>
    <tableColumn id="4" xr3:uid="{D72917E4-6157-4092-B468-FEC88F464AFC}" name="W" dataDxfId="743"/>
    <tableColumn id="5" xr3:uid="{1C530BA2-B747-411F-88E1-DD76026095C2}" name="L" dataDxfId="742"/>
    <tableColumn id="6" xr3:uid="{E9D9ED93-8ABB-498C-B466-D66ADD08FA34}" name="W_PCT" dataDxfId="741"/>
    <tableColumn id="7" xr3:uid="{0980D153-B1D4-4741-A3C2-A9C5A04F1B4C}" name="MIN" dataDxfId="740"/>
    <tableColumn id="8" xr3:uid="{A77A288B-3F3E-4D15-80A1-34E4B521C6DC}" name="E_OFF_RATING" dataDxfId="739"/>
    <tableColumn id="9" xr3:uid="{31385666-7377-4E3A-878B-0561AE196B91}" name="OFF_RATING" dataDxfId="738"/>
    <tableColumn id="10" xr3:uid="{18C2E52C-BE4B-477B-8F0A-CBC40F71B774}" name="E_DEF_RATING" dataDxfId="737"/>
    <tableColumn id="11" xr3:uid="{E54EBE1D-EA58-47DD-BD3B-CF650C3A5150}" name="DEF_RATING" dataDxfId="736"/>
    <tableColumn id="12" xr3:uid="{A151FC00-BF6B-4F7C-9C1D-CBC62A135C58}" name="E_NET_RATING" dataDxfId="735"/>
    <tableColumn id="13" xr3:uid="{38F2B8F1-B1BB-42F1-94A8-9B97BCC37CCD}" name="NET_RATING" dataDxfId="734"/>
    <tableColumn id="14" xr3:uid="{13D57B2C-C838-4345-B186-9DFA46D47552}" name="AST_PCT" dataDxfId="733"/>
    <tableColumn id="15" xr3:uid="{B9D6C916-F3D3-4903-9C6B-25FD3B9F34CC}" name="AST_TO" dataDxfId="732"/>
    <tableColumn id="16" xr3:uid="{9FBD623C-0906-4A02-8BC4-EB429DB92818}" name="AST_RATIO" dataDxfId="731"/>
    <tableColumn id="17" xr3:uid="{C9CB1242-A005-4F7E-8DE0-BF0D788DD9FE}" name="OREB_PCT" dataDxfId="730"/>
    <tableColumn id="18" xr3:uid="{78C11136-30B6-4CA1-A0FF-50F5B8AF5D76}" name="DREB_PCT" dataDxfId="729"/>
    <tableColumn id="19" xr3:uid="{16321CBB-4C5E-4D81-BE3B-6D56242B441E}" name="REB_PCT" dataDxfId="728"/>
    <tableColumn id="20" xr3:uid="{7DE53375-DAA9-44C6-BC16-F37FB709982B}" name="TM_TOV_PCT" dataDxfId="727"/>
    <tableColumn id="21" xr3:uid="{4D78881F-D598-4A03-B149-DF8337136A5F}" name="EFG_PCT" dataDxfId="726"/>
    <tableColumn id="22" xr3:uid="{EE5AE93D-49C3-45D0-A29E-837010A00DA9}" name="TS_PCT" dataDxfId="725"/>
    <tableColumn id="23" xr3:uid="{8CFEE3B8-9C2D-4185-914D-065B8D68178C}" name="E_PACE" dataDxfId="724"/>
    <tableColumn id="24" xr3:uid="{74519FBB-8DF2-421E-914B-88F9C77C3A92}" name="PACE" dataDxfId="723"/>
    <tableColumn id="25" xr3:uid="{A295F90C-2E0A-45F3-94B1-FA24F2D04E0C}" name="PACE_PER40" dataDxfId="722"/>
    <tableColumn id="26" xr3:uid="{815FA2FF-B739-49F3-8B16-64D7C54F5572}" name="POSS" dataDxfId="721"/>
    <tableColumn id="27" xr3:uid="{5AD41DD6-C80D-49EB-9693-CBE447E91937}" name="PIE" dataDxfId="720"/>
    <tableColumn id="28" xr3:uid="{292B52C6-F1CF-4894-9F0D-D08514587671}" name="GP_RANK" dataDxfId="719"/>
    <tableColumn id="29" xr3:uid="{8A951F53-8B6A-483F-9EA0-FE8B46AA2A0E}" name="W_RANK" dataDxfId="718"/>
    <tableColumn id="30" xr3:uid="{EABCBF5E-E4D1-4B21-8EBE-78EC30C52239}" name="L_RANK" dataDxfId="717"/>
    <tableColumn id="31" xr3:uid="{187F31D1-0B39-4146-B746-F6FC352B6106}" name="W_PCT_RANK" dataDxfId="716"/>
    <tableColumn id="32" xr3:uid="{8297629C-8540-4287-9E2B-C4D85CA29E4D}" name="MIN_RANK" dataDxfId="715"/>
    <tableColumn id="33" xr3:uid="{C0E13684-B669-4F2C-9A7B-2B8B18062388}" name="OFF_RATING_RANK" dataDxfId="714"/>
    <tableColumn id="34" xr3:uid="{43F45C5C-69AB-4985-882E-9B7AFA53FFBF}" name="DEF_RATING_RANK" dataDxfId="713"/>
    <tableColumn id="35" xr3:uid="{E823E5BB-751E-4B68-A69A-737B47C43DA9}" name="NET_RATING_RANK" dataDxfId="712"/>
    <tableColumn id="36" xr3:uid="{3BA89862-E5A6-4ED1-83E7-50175F4D4AA9}" name="AST_PCT_RANK" dataDxfId="711"/>
    <tableColumn id="37" xr3:uid="{899F1633-EC69-4BA4-A762-5596C8E7DB95}" name="AST_TO_RANK" dataDxfId="710"/>
    <tableColumn id="38" xr3:uid="{81C5B006-7EA0-43E1-8572-A5F67C782F5F}" name="AST_RATIO_RANK" dataDxfId="709"/>
    <tableColumn id="39" xr3:uid="{DE2491F1-6449-4DC4-837E-A3025E4FC525}" name="OREB_PCT_RANK" dataDxfId="708"/>
    <tableColumn id="40" xr3:uid="{AA91D19F-1C77-4421-BF2E-7A9A9A513081}" name="DREB_PCT_RANK" dataDxfId="707"/>
    <tableColumn id="41" xr3:uid="{871A2B31-8D0E-4D43-9074-901466C3F632}" name="REB_PCT_RANK" dataDxfId="706"/>
    <tableColumn id="42" xr3:uid="{6A742577-1CB7-4033-A945-598A89098344}" name="TM_TOV_PCT_RANK" dataDxfId="705"/>
    <tableColumn id="43" xr3:uid="{4C21C483-AC71-473C-BDF1-CD869BB66683}" name="EFG_PCT_RANK" dataDxfId="704"/>
    <tableColumn id="44" xr3:uid="{A4FCEB27-4131-4732-B9D7-21CCFA3B97A0}" name="TS_PCT_RANK" dataDxfId="703"/>
    <tableColumn id="45" xr3:uid="{291819B1-555F-4DB9-80D9-40F08017DF32}" name="PACE_RANK" dataDxfId="702"/>
    <tableColumn id="46" xr3:uid="{FF70E78C-0C71-4ECA-993C-CEC66D1B0109}" name="PIE_RANK" dataDxfId="701"/>
    <tableColumn id="47" xr3:uid="{C41FDB0C-395F-42DD-8424-20843CA4B4A0}" name="CFID" dataDxfId="700"/>
    <tableColumn id="48" xr3:uid="{632CAD54-3153-4BE3-B66B-073E6E4DC27D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83136B-E4FB-4774-9B39-B89CB00488A8}" name="TableAdvancedN1Starters" displayName="TableAdvancedN1Starters" ref="A1:AV31" totalsRowShown="0" headerRowDxfId="600">
  <autoFilter ref="A1:AV31" xr:uid="{50F44083-6E69-489E-80B2-6D9DBD5382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D36FBC69-36FF-441F-BA34-C6955D00D4D7}" name="TEAM_ID" dataDxfId="648"/>
    <tableColumn id="2" xr3:uid="{BA7BB383-CADC-4A9C-80CE-A3509C90E7BE}" name="TEAM_NAME" dataDxfId="647"/>
    <tableColumn id="3" xr3:uid="{54E0E9CE-CD53-420F-B6CD-B28410B04776}" name="GP" dataDxfId="646"/>
    <tableColumn id="4" xr3:uid="{381C69CB-7F8B-416F-B52A-AA365A60AC5B}" name="W" dataDxfId="645"/>
    <tableColumn id="5" xr3:uid="{478BB53E-97AD-4D6D-8DB1-7FD1027D3F6B}" name="L" dataDxfId="644"/>
    <tableColumn id="6" xr3:uid="{C16F93D3-ABCD-4271-A487-AE36FB74B9BD}" name="W_PCT" dataDxfId="643"/>
    <tableColumn id="7" xr3:uid="{71596034-8D11-4652-B802-16A72244BBC3}" name="MIN" dataDxfId="642"/>
    <tableColumn id="8" xr3:uid="{2EAD17FD-A05C-4CBE-A9BA-E0E09F12E748}" name="E_OFF_RATING" dataDxfId="641"/>
    <tableColumn id="9" xr3:uid="{08FD00D3-A268-4984-9BE0-9E299BEFDA59}" name="OFF_RATING" dataDxfId="640"/>
    <tableColumn id="10" xr3:uid="{8E3FB85D-5EAA-48D0-9D52-1A054CAA6B4B}" name="E_DEF_RATING" dataDxfId="639"/>
    <tableColumn id="11" xr3:uid="{208BC505-683B-49CC-9D8E-9FB06F1774C0}" name="DEF_RATING" dataDxfId="638"/>
    <tableColumn id="12" xr3:uid="{4FD2E479-A102-4B29-A2B4-09482C7654F0}" name="E_NET_RATING" dataDxfId="637"/>
    <tableColumn id="13" xr3:uid="{8AF77D82-26EE-4E35-A1DD-AA4C30BDA833}" name="NET_RATING" dataDxfId="636"/>
    <tableColumn id="14" xr3:uid="{D87B5D2D-FAB4-4D65-8E96-EF297094542F}" name="AST_PCT" dataDxfId="635"/>
    <tableColumn id="15" xr3:uid="{7C4C9D9F-97A7-4BFA-B296-9BBDD66F66D3}" name="AST_TO" dataDxfId="634"/>
    <tableColumn id="16" xr3:uid="{63CACE0D-B4C9-46F0-8110-CC83346D63C6}" name="AST_RATIO" dataDxfId="633"/>
    <tableColumn id="17" xr3:uid="{53948F92-011C-4292-8C17-D78995829D91}" name="OREB_PCT" dataDxfId="632"/>
    <tableColumn id="18" xr3:uid="{244CABC1-6153-4DD6-A28D-5E3394DBCA0D}" name="DREB_PCT" dataDxfId="631"/>
    <tableColumn id="19" xr3:uid="{19BB23C9-1409-4A54-82DE-64539BCB222D}" name="REB_PCT" dataDxfId="630"/>
    <tableColumn id="20" xr3:uid="{2C1AB7F1-7958-42A2-A5C6-BD8D05C35D54}" name="TM_TOV_PCT" dataDxfId="629"/>
    <tableColumn id="21" xr3:uid="{7878AB83-035D-4DF2-A6A3-9ECA15D89F32}" name="EFG_PCT" dataDxfId="628"/>
    <tableColumn id="22" xr3:uid="{D0D9F111-A01B-410A-B679-92FCAD4BBB4C}" name="TS_PCT" dataDxfId="627"/>
    <tableColumn id="23" xr3:uid="{467B4A6A-78FC-4BC5-8433-28A01A862D91}" name="E_PACE" dataDxfId="626"/>
    <tableColumn id="24" xr3:uid="{14A2E6EA-0C59-405C-AB23-728027D692B0}" name="PACE" dataDxfId="625"/>
    <tableColumn id="25" xr3:uid="{816C2286-DE17-4D6E-8936-D96B116912EA}" name="PACE_PER40" dataDxfId="624"/>
    <tableColumn id="26" xr3:uid="{6903F7BE-B653-4A2B-A20A-3D50A2EDBEA4}" name="POSS" dataDxfId="623"/>
    <tableColumn id="27" xr3:uid="{128C9512-994C-48B3-92AB-99053DFA511B}" name="PIE" dataDxfId="622"/>
    <tableColumn id="28" xr3:uid="{92F34757-F022-4BC3-89B4-8F050F1DB4E1}" name="GP_RANK" dataDxfId="621"/>
    <tableColumn id="29" xr3:uid="{4E85065A-554D-4E76-B026-402B34EDE07F}" name="W_RANK" dataDxfId="620"/>
    <tableColumn id="30" xr3:uid="{E828BD94-C1A1-4C3F-91E7-12FC46EDAE24}" name="L_RANK" dataDxfId="619"/>
    <tableColumn id="31" xr3:uid="{108F1A34-B6C5-430D-9A8E-5F1361FE75CA}" name="W_PCT_RANK" dataDxfId="618"/>
    <tableColumn id="32" xr3:uid="{5E244F91-146A-4B87-8DA5-33A0F12A0D54}" name="MIN_RANK" dataDxfId="617"/>
    <tableColumn id="33" xr3:uid="{D32400E8-F676-4222-A360-1F0F40FBE744}" name="OFF_RATING_RANK" dataDxfId="616"/>
    <tableColumn id="34" xr3:uid="{C5638884-9ADA-452B-8D0C-19F049882F26}" name="DEF_RATING_RANK" dataDxfId="615"/>
    <tableColumn id="35" xr3:uid="{0D8FB91B-BB3B-40B6-AA3B-F3C7328C93C3}" name="NET_RATING_RANK" dataDxfId="614"/>
    <tableColumn id="36" xr3:uid="{BAEF6A54-402D-4F5D-8690-E80DCA2BBCA1}" name="AST_PCT_RANK" dataDxfId="613"/>
    <tableColumn id="37" xr3:uid="{881C9E3D-07D3-4994-A4A9-4271F94CE5A3}" name="AST_TO_RANK" dataDxfId="612"/>
    <tableColumn id="38" xr3:uid="{EF9EACBE-0653-4466-948C-3B919FEAEC7C}" name="AST_RATIO_RANK" dataDxfId="611"/>
    <tableColumn id="39" xr3:uid="{51F706FD-B2A7-471F-8707-5A3C09423BA8}" name="OREB_PCT_RANK" dataDxfId="610"/>
    <tableColumn id="40" xr3:uid="{66472E20-7FBC-4FDA-ADC5-00B55D092C98}" name="DREB_PCT_RANK" dataDxfId="609"/>
    <tableColumn id="41" xr3:uid="{9D0D4381-E9F1-40A2-98C5-4BDEA8FA304B}" name="REB_PCT_RANK" dataDxfId="608"/>
    <tableColumn id="42" xr3:uid="{889E4CC8-A1AE-475F-9FBE-6C6150C23125}" name="TM_TOV_PCT_RANK" dataDxfId="607"/>
    <tableColumn id="43" xr3:uid="{E9D52A5F-57DD-4DC7-98A4-9F40E93FC344}" name="EFG_PCT_RANK" dataDxfId="606"/>
    <tableColumn id="44" xr3:uid="{EC508E30-8C9F-43B2-9BBF-424487E83F0B}" name="TS_PCT_RANK" dataDxfId="605"/>
    <tableColumn id="45" xr3:uid="{A4608A1B-3E4C-44D0-9F0E-DDBED3E1A3F9}" name="PACE_RANK" dataDxfId="604"/>
    <tableColumn id="46" xr3:uid="{13587E01-7B4D-4053-A09F-F1E2545908CB}" name="PIE_RANK" dataDxfId="603"/>
    <tableColumn id="47" xr3:uid="{B1A26373-4D4F-4D7E-80AE-F290D020F8AE}" name="CFID" dataDxfId="602"/>
    <tableColumn id="48" xr3:uid="{CE5B16A5-B3EB-4D19-84D5-CD9013D7B578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91531FA-A77B-424B-BE45-6A83DF6DBC9A}" name="TableAdvancedN1Bench" displayName="TableAdvancedN1Bench" ref="A1:AV31" totalsRowShown="0" headerRowDxfId="502">
  <autoFilter ref="A1:AV31" xr:uid="{D746AD64-BBA4-452D-BDDD-D681BC40B6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ED75B667-F1A0-412D-97E0-8BDFC20696E1}" name="TEAM_ID" dataDxfId="550"/>
    <tableColumn id="2" xr3:uid="{8C714AA7-5BF4-47F2-9441-C4D6BE534B0F}" name="TEAM_NAME" dataDxfId="549"/>
    <tableColumn id="3" xr3:uid="{D2B94AB7-916F-48F4-889B-66C274E914C6}" name="GP" dataDxfId="548"/>
    <tableColumn id="4" xr3:uid="{2FB71687-8E07-4712-BE46-D8837DD89C5E}" name="W" dataDxfId="547"/>
    <tableColumn id="5" xr3:uid="{CF36592F-5809-42A7-98B0-87DED12A8772}" name="L" dataDxfId="546"/>
    <tableColumn id="6" xr3:uid="{731161EE-8843-4702-968C-449EF7BEA6BD}" name="W_PCT" dataDxfId="545"/>
    <tableColumn id="7" xr3:uid="{62E029E5-90CE-49D3-AFE6-80C62734DFFD}" name="MIN" dataDxfId="544"/>
    <tableColumn id="8" xr3:uid="{E19A11C0-3E62-4FA9-AFCF-389DA679D5C4}" name="E_OFF_RATING" dataDxfId="543"/>
    <tableColumn id="9" xr3:uid="{8B227AC5-7C47-4FF2-88BF-B93036CCC20B}" name="OFF_RATING" dataDxfId="542"/>
    <tableColumn id="10" xr3:uid="{D6CCDD06-8D1C-4797-89EA-0BDA63B4D050}" name="E_DEF_RATING" dataDxfId="541"/>
    <tableColumn id="11" xr3:uid="{B471BB56-D88D-4281-A3E5-181386B705E4}" name="DEF_RATING" dataDxfId="540"/>
    <tableColumn id="12" xr3:uid="{499F89EE-3EB7-49D5-A250-B3C076382968}" name="E_NET_RATING" dataDxfId="539"/>
    <tableColumn id="13" xr3:uid="{90AAF3E8-415D-4CDE-ADF2-3071E83EB35C}" name="NET_RATING" dataDxfId="538"/>
    <tableColumn id="14" xr3:uid="{DCB20C0A-9481-4803-887A-52D32E5A367D}" name="AST_PCT" dataDxfId="537"/>
    <tableColumn id="15" xr3:uid="{D71D0D11-277F-46E8-89C2-52CF6A960156}" name="AST_TO" dataDxfId="536"/>
    <tableColumn id="16" xr3:uid="{411B354D-694F-476E-B3F7-A0A4C79D1816}" name="AST_RATIO" dataDxfId="535"/>
    <tableColumn id="17" xr3:uid="{2A22EED6-530D-4FAE-AB2C-4D0B6A5106AB}" name="OREB_PCT" dataDxfId="534"/>
    <tableColumn id="18" xr3:uid="{0AAC5A1A-E72D-4F16-A523-76770709AC2D}" name="DREB_PCT" dataDxfId="533"/>
    <tableColumn id="19" xr3:uid="{5BDD529B-892E-42F7-BE70-88833F5AEFD9}" name="REB_PCT" dataDxfId="532"/>
    <tableColumn id="20" xr3:uid="{6BE686D2-9605-43CD-B883-EAEE1A7B6B62}" name="TM_TOV_PCT" dataDxfId="531"/>
    <tableColumn id="21" xr3:uid="{EEE6B78C-47FE-49CD-B2A2-E564B8D70C69}" name="EFG_PCT" dataDxfId="530"/>
    <tableColumn id="22" xr3:uid="{B86C7BAE-DFE5-438B-83F7-6E7EF5ECD1BC}" name="TS_PCT" dataDxfId="529"/>
    <tableColumn id="23" xr3:uid="{912706F6-E4B0-4726-8B8C-8FDF820AE6EA}" name="E_PACE" dataDxfId="528"/>
    <tableColumn id="24" xr3:uid="{AC43FCC7-B10C-451D-8E69-093C67BAB423}" name="PACE" dataDxfId="527"/>
    <tableColumn id="25" xr3:uid="{F8989010-41C6-42C6-A3BC-92F03BABAE4D}" name="PACE_PER40" dataDxfId="526"/>
    <tableColumn id="26" xr3:uid="{E37F2E97-FC61-4B00-95B6-D01822504F40}" name="POSS" dataDxfId="525"/>
    <tableColumn id="27" xr3:uid="{A4CD8C7D-4343-4C4D-B730-CC98468B663C}" name="PIE" dataDxfId="524"/>
    <tableColumn id="28" xr3:uid="{D6FC914A-56C2-4E1E-8069-7D5BDF2AA4FE}" name="GP_RANK" dataDxfId="523"/>
    <tableColumn id="29" xr3:uid="{57A56FCD-EB29-4122-8D3B-367C3DAE0035}" name="W_RANK" dataDxfId="522"/>
    <tableColumn id="30" xr3:uid="{119B72D6-225A-4245-B0CD-166A33277FEA}" name="L_RANK" dataDxfId="521"/>
    <tableColumn id="31" xr3:uid="{01DA3695-7E5F-481C-8F37-2878EDB87F5C}" name="W_PCT_RANK" dataDxfId="520"/>
    <tableColumn id="32" xr3:uid="{E98AA700-9EEF-4C36-8F6B-426FC571863E}" name="MIN_RANK" dataDxfId="519"/>
    <tableColumn id="33" xr3:uid="{3FA26CCA-55CC-445F-9A15-5ED6BFFC9436}" name="OFF_RATING_RANK" dataDxfId="518"/>
    <tableColumn id="34" xr3:uid="{F4D65626-1BFE-411C-8B21-F97ECE14F023}" name="DEF_RATING_RANK" dataDxfId="517"/>
    <tableColumn id="35" xr3:uid="{FA753C4F-F131-4931-99F1-BFE8A2D83069}" name="NET_RATING_RANK" dataDxfId="516"/>
    <tableColumn id="36" xr3:uid="{943A5466-84B4-411F-B98B-93740B7D241B}" name="AST_PCT_RANK" dataDxfId="515"/>
    <tableColumn id="37" xr3:uid="{EDD7BC47-E960-4A3F-B7F6-4A3288E67CBC}" name="AST_TO_RANK" dataDxfId="514"/>
    <tableColumn id="38" xr3:uid="{C7573C5E-FB36-4001-B1AB-0874C31B488F}" name="AST_RATIO_RANK" dataDxfId="513"/>
    <tableColumn id="39" xr3:uid="{5B7B0D0A-4BB4-4FB5-9895-EF029776A6FB}" name="OREB_PCT_RANK" dataDxfId="512"/>
    <tableColumn id="40" xr3:uid="{91C549B9-BCD1-4E1A-B9D6-97840FE58DD6}" name="DREB_PCT_RANK" dataDxfId="511"/>
    <tableColumn id="41" xr3:uid="{7706E500-C1EB-4547-A11D-AD6F14DB1F5A}" name="REB_PCT_RANK" dataDxfId="510"/>
    <tableColumn id="42" xr3:uid="{4B67F9F9-E56A-41BB-BF11-0E785BCD5454}" name="TM_TOV_PCT_RANK" dataDxfId="509"/>
    <tableColumn id="43" xr3:uid="{C2B7B095-62CC-4734-861D-BD2A1DE01A25}" name="EFG_PCT_RANK" dataDxfId="508"/>
    <tableColumn id="44" xr3:uid="{38680677-2C9E-452A-8113-9D0D4BBFD8FC}" name="TS_PCT_RANK" dataDxfId="507"/>
    <tableColumn id="45" xr3:uid="{0847F78B-68B1-4549-9F1B-D33CD447E9F8}" name="PACE_RANK" dataDxfId="506"/>
    <tableColumn id="46" xr3:uid="{69A0C313-7D05-4127-B277-220E39B032DD}" name="PIE_RANK" dataDxfId="505"/>
    <tableColumn id="47" xr3:uid="{9C76A960-0922-465B-8896-6974DB90D9A8}" name="CFID" dataDxfId="504"/>
    <tableColumn id="48" xr3:uid="{F5B45769-B0B4-480A-9DE8-3C18B1567113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8823CA-FAE4-4DA3-89EE-D51DBDDEAE98}" name="TableMiscN1" displayName="TableMiscN1" ref="A1:AD31" totalsRowShown="0" headerRowDxfId="440">
  <autoFilter ref="A1:AD31" xr:uid="{70B4CCF8-4D9A-4BC2-80F4-5093351A5BA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552EAD08-F596-4BF9-B45E-3564A67F665E}" name="TEAM_ID" dataDxfId="470"/>
    <tableColumn id="2" xr3:uid="{70F6A187-DDA8-49CD-9E71-EFAA1A729124}" name="TEAM_NAME" dataDxfId="469"/>
    <tableColumn id="3" xr3:uid="{6378D0FA-978E-4245-84C1-7998CA9BF7C6}" name="GP" dataDxfId="468"/>
    <tableColumn id="4" xr3:uid="{DA9260AC-CFE2-40A5-9F7D-D45E3E29FAC9}" name="W" dataDxfId="467"/>
    <tableColumn id="5" xr3:uid="{61129CA4-6AB6-41E7-A9C4-610039471EF6}" name="L" dataDxfId="466"/>
    <tableColumn id="6" xr3:uid="{6ECE681F-0F43-41AC-AE9D-A64756C432EE}" name="W_PCT" dataDxfId="465"/>
    <tableColumn id="7" xr3:uid="{C46D8620-4EFA-4829-BF0B-DC65DB510E8D}" name="MIN" dataDxfId="464"/>
    <tableColumn id="8" xr3:uid="{99E45E0E-6892-40BC-86D2-C6E26370743C}" name="PTS_OFF_TOV" dataDxfId="463"/>
    <tableColumn id="9" xr3:uid="{1C824319-236D-4271-9173-0E846FDB428A}" name="PTS_2ND_CHANCE" dataDxfId="462"/>
    <tableColumn id="10" xr3:uid="{8895357E-0C11-4AFD-B00B-25537FBBBD8A}" name="PTS_FB" dataDxfId="461"/>
    <tableColumn id="11" xr3:uid="{2DFACC19-CBD4-4F63-8DB7-3F574A40B691}" name="PTS_PAINT" dataDxfId="460"/>
    <tableColumn id="12" xr3:uid="{BFF8F488-0D91-4327-91CB-311C2C61AF0C}" name="OPP_PTS_OFF_TOV" dataDxfId="459"/>
    <tableColumn id="13" xr3:uid="{F59DFA36-E4E0-4100-89B1-07384D7DCE33}" name="OPP_PTS_2ND_CHANCE" dataDxfId="458"/>
    <tableColumn id="14" xr3:uid="{096B2A29-74F7-46C4-BAAA-7527A555AECD}" name="OPP_PTS_FB" dataDxfId="457"/>
    <tableColumn id="15" xr3:uid="{9A745B0F-257B-419B-9582-368F63844EDD}" name="OPP_PTS_PAINT" dataDxfId="456"/>
    <tableColumn id="16" xr3:uid="{A546AD24-47A0-4159-823A-2F32BAC81140}" name="GP_RANK" dataDxfId="455"/>
    <tableColumn id="17" xr3:uid="{04E267C9-B6CD-4345-992D-4A1148430958}" name="W_RANK" dataDxfId="454"/>
    <tableColumn id="18" xr3:uid="{6E090C53-FB37-449B-AE1C-BF3360A06F56}" name="L_RANK" dataDxfId="453"/>
    <tableColumn id="19" xr3:uid="{A60682FB-139C-4CE9-9784-28E1AC8FBCAF}" name="W_PCT_RANK" dataDxfId="452"/>
    <tableColumn id="20" xr3:uid="{61FA8216-53B0-4643-8607-EEB3B10F9E37}" name="MIN_RANK" dataDxfId="451"/>
    <tableColumn id="21" xr3:uid="{FE838EF6-2596-4AED-9975-8884D43F2D30}" name="PTS_OFF_TOV_RANK" dataDxfId="450"/>
    <tableColumn id="22" xr3:uid="{C80EEF1E-6DDA-428F-9CE3-2085EE65745E}" name="PTS_2ND_CHANCE_RANK" dataDxfId="449"/>
    <tableColumn id="23" xr3:uid="{DF1B6781-3782-406D-BD29-122BC86865D6}" name="PTS_FB_RANK" dataDxfId="448"/>
    <tableColumn id="24" xr3:uid="{E1054DC9-FCCC-48AD-A3E8-4B6426ED55FF}" name="PTS_PAINT_RANK" dataDxfId="447"/>
    <tableColumn id="25" xr3:uid="{29722106-129D-46F1-9D06-C3458E00197F}" name="OPP_PTS_OFF_TOV_RANK" dataDxfId="446"/>
    <tableColumn id="26" xr3:uid="{ED2B82EC-EFEA-4EBA-94A5-1972F318B746}" name="OPP_PTS_2ND_CHANCE_RANK" dataDxfId="445"/>
    <tableColumn id="27" xr3:uid="{9103B55B-37AF-4EDC-8930-028C26A3BDAC}" name="OPP_PTS_FB_RANK" dataDxfId="444"/>
    <tableColumn id="28" xr3:uid="{9516E1F9-1468-4C0F-9728-A65CCFA0598C}" name="OPP_PTS_PAINT_RANK" dataDxfId="443"/>
    <tableColumn id="29" xr3:uid="{7D922F51-5608-4A25-8A96-634715CA58DE}" name="CFID" dataDxfId="442"/>
    <tableColumn id="30" xr3:uid="{87C877A2-940F-4B9D-947A-489E15280869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90AB3E-FC56-45C0-811E-EDC50CFFF68B}" name="TableOppBaseN1" displayName="TableOppBaseN1" ref="A1:BD31" totalsRowShown="0" headerRowDxfId="326">
  <autoFilter ref="A1:BD31" xr:uid="{B7C6172C-7604-4915-A49E-7B2642E631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4A39A7EC-42D9-41CD-AA80-FDD6A547F1B3}" name="TEAM_ID" dataDxfId="382"/>
    <tableColumn id="2" xr3:uid="{2C5148F2-893B-445B-AB1A-C21C4CCCAC9E}" name="TEAM_NAME" dataDxfId="381"/>
    <tableColumn id="3" xr3:uid="{5DC65709-9E6F-4CC4-9B8D-7C3256208DF5}" name="GP" dataDxfId="380"/>
    <tableColumn id="4" xr3:uid="{962241BA-C5F4-41F8-92AB-A98E10E05501}" name="W" dataDxfId="379"/>
    <tableColumn id="5" xr3:uid="{EDB15BC7-C1D0-4D41-B4E1-03EEE1B13EA4}" name="L" dataDxfId="378"/>
    <tableColumn id="6" xr3:uid="{7D722AA2-8CE3-4054-A1BE-496EA9EDC91A}" name="W_PCT" dataDxfId="377"/>
    <tableColumn id="7" xr3:uid="{C5A171F8-D50A-4DE2-B7E6-2882969DAF47}" name="MIN" dataDxfId="376"/>
    <tableColumn id="8" xr3:uid="{E1A5DCE9-6C6C-4FAB-AECE-D3BA0B66FCC9}" name="OPP_FGM" dataDxfId="375"/>
    <tableColumn id="9" xr3:uid="{BEF7C34A-818F-40B1-A5B8-70B1547FC1C8}" name="OPP_FGA" dataDxfId="374"/>
    <tableColumn id="10" xr3:uid="{22020FB9-0ABB-47A4-B7AE-4CA13387263E}" name="OPP_FG_PCT" dataDxfId="373"/>
    <tableColumn id="11" xr3:uid="{F1CCB30F-23A6-4DBD-8F47-CA9DE708DB1C}" name="OPP_FG3M" dataDxfId="372"/>
    <tableColumn id="12" xr3:uid="{90DD4187-C34D-4664-A5E1-A7A2ABC23817}" name="OPP_FG3A" dataDxfId="371"/>
    <tableColumn id="13" xr3:uid="{A2E91102-338D-42F8-BD4D-D48E932D4AB0}" name="OPP_FG3_PCT" dataDxfId="370"/>
    <tableColumn id="14" xr3:uid="{85FEE0DD-EE4B-4CE2-92D5-08B60B9CC849}" name="OPP_FTM" dataDxfId="369"/>
    <tableColumn id="15" xr3:uid="{332EDD39-3E0E-47CE-862B-519B5A869ED9}" name="OPP_FTA" dataDxfId="368"/>
    <tableColumn id="16" xr3:uid="{42B0E22C-B586-44CA-9515-7814340FE1B0}" name="OPP_FT_PCT" dataDxfId="367"/>
    <tableColumn id="17" xr3:uid="{E4EB3EDB-4D1C-4AD3-9E68-6A57A2CD3113}" name="OPP_OREB" dataDxfId="366"/>
    <tableColumn id="18" xr3:uid="{3EF5B4FC-E312-4AC8-AB33-EFC5FFDB0898}" name="OPP_DREB" dataDxfId="365"/>
    <tableColumn id="19" xr3:uid="{A588FBCE-8DCE-4ECD-9C48-C5B0AF52AEF8}" name="OPP_REB" dataDxfId="364"/>
    <tableColumn id="20" xr3:uid="{E088ED17-2190-490E-9FEB-4C6502D9E39E}" name="OPP_AST" dataDxfId="363"/>
    <tableColumn id="21" xr3:uid="{A84B7390-B835-417C-9423-3671C8359475}" name="OPP_TOV" dataDxfId="362"/>
    <tableColumn id="22" xr3:uid="{6C43CAEC-0F58-4DE3-BAD9-B57AA2CA5909}" name="OPP_STL" dataDxfId="361"/>
    <tableColumn id="23" xr3:uid="{28E4DD5C-EA95-4A98-829A-860AFA61D2FD}" name="OPP_BLK" dataDxfId="360"/>
    <tableColumn id="24" xr3:uid="{4240A205-8E17-4BEA-9C94-1D9FB62ACC03}" name="OPP_BLKA" dataDxfId="359"/>
    <tableColumn id="25" xr3:uid="{E9504CB6-F839-4B3E-B487-F6B8B82E8710}" name="OPP_PF" dataDxfId="358"/>
    <tableColumn id="26" xr3:uid="{CCDCE33D-B46A-4873-93FE-91981AD2B91B}" name="OPP_PFD" dataDxfId="357"/>
    <tableColumn id="27" xr3:uid="{ABFFFC43-30AD-4C31-B905-B4E44227799F}" name="OPP_PTS" dataDxfId="356"/>
    <tableColumn id="28" xr3:uid="{2124897E-3935-42FB-99D0-647A88968521}" name="PLUS_MINUS" dataDxfId="355"/>
    <tableColumn id="29" xr3:uid="{7C1E7BCB-63CA-4643-B5BE-114A95F03995}" name="GP_RANK" dataDxfId="354"/>
    <tableColumn id="30" xr3:uid="{07AEB590-1315-4995-A503-93FD9A3E35DE}" name="W_RANK" dataDxfId="353"/>
    <tableColumn id="31" xr3:uid="{2A3E6592-2835-4D0F-BF83-99C210A871C4}" name="L_RANK" dataDxfId="352"/>
    <tableColumn id="32" xr3:uid="{711FFD39-5018-4A4C-87DE-5FD6D2EAB91A}" name="W_PCT_RANK" dataDxfId="351"/>
    <tableColumn id="33" xr3:uid="{35FEB33D-608C-4644-9F62-66FCD7519DF8}" name="MIN_RANK" dataDxfId="350"/>
    <tableColumn id="34" xr3:uid="{68FF2853-096B-4E92-AE1B-FFCE6AB0C825}" name="OPP_FGM_RANK" dataDxfId="349"/>
    <tableColumn id="35" xr3:uid="{670AF02F-9603-40DE-A6B8-4E2714D790D6}" name="OPP_FGA_RANK" dataDxfId="348"/>
    <tableColumn id="36" xr3:uid="{102FE269-3732-4F45-9B27-4F8A882F1CE9}" name="OPP_FG_PCT_RANK" dataDxfId="347"/>
    <tableColumn id="37" xr3:uid="{F093DC30-AFCE-4085-8B91-8C54869AEB21}" name="OPP_FG3M_RANK" dataDxfId="346"/>
    <tableColumn id="38" xr3:uid="{D3D347F6-AE36-4123-A61D-86F75ACE2E44}" name="OPP_FG3A_RANK" dataDxfId="345"/>
    <tableColumn id="39" xr3:uid="{CFEAB641-AF51-47A2-A41E-634402BA0A3A}" name="OPP_FG3_PCT_RANK" dataDxfId="344"/>
    <tableColumn id="40" xr3:uid="{22A8DB03-7AC5-49A5-9AA6-23E01CADA50B}" name="OPP_FTM_RANK" dataDxfId="343"/>
    <tableColumn id="41" xr3:uid="{C910E8C9-9C88-44C5-902E-94E199AA77AC}" name="OPP_FTA_RANK" dataDxfId="342"/>
    <tableColumn id="42" xr3:uid="{DE2D9B15-6C36-4D37-9358-6FC20D273652}" name="OPP_FT_PCT_RANK" dataDxfId="341"/>
    <tableColumn id="43" xr3:uid="{03512C23-09A0-4FFD-A143-D6C1A35FE231}" name="OPP_OREB_RANK" dataDxfId="340"/>
    <tableColumn id="44" xr3:uid="{2E705F12-6FF2-4780-91D6-628F7EE65880}" name="OPP_DREB_RANK" dataDxfId="339"/>
    <tableColumn id="45" xr3:uid="{2C2B5BC3-119B-4172-A20D-C8CF89634668}" name="OPP_REB_RANK" dataDxfId="338"/>
    <tableColumn id="46" xr3:uid="{22253FB7-3781-4DF4-991A-062D98C923D3}" name="OPP_AST_RANK" dataDxfId="337"/>
    <tableColumn id="47" xr3:uid="{D3D2B494-B47E-4E1D-8216-E35C11CDCB21}" name="OPP_TOV_RANK" dataDxfId="336"/>
    <tableColumn id="48" xr3:uid="{09D8CC02-BCED-4423-9348-5FA80080A165}" name="OPP_STL_RANK" dataDxfId="335"/>
    <tableColumn id="49" xr3:uid="{543E370D-EA38-4529-A598-4600D2916F7F}" name="OPP_BLK_RANK" dataDxfId="334"/>
    <tableColumn id="50" xr3:uid="{42F4EB20-F6CC-4391-998C-C7DB92142F44}" name="OPP_BLKA_RANK" dataDxfId="333"/>
    <tableColumn id="51" xr3:uid="{4ED23A21-A6DD-4681-85DA-E30CB813ECFF}" name="OPP_PF_RANK" dataDxfId="332"/>
    <tableColumn id="52" xr3:uid="{17518A51-E4F6-49BC-86E3-47B98435BB26}" name="OPP_PFD_RANK" dataDxfId="331"/>
    <tableColumn id="53" xr3:uid="{2D95F2A3-DCC7-4C78-A079-6651C7404D7F}" name="OPP_PTS_RANK" dataDxfId="330"/>
    <tableColumn id="54" xr3:uid="{E7B2003E-89BB-4964-B65C-82AFA06999FA}" name="PLUS_MINUS_RANK" dataDxfId="329"/>
    <tableColumn id="55" xr3:uid="{F94F2CBA-0EF7-4219-AF75-621AF5028ED1}" name="CFID" dataDxfId="328"/>
    <tableColumn id="56" xr3:uid="{010A7FDB-E7C1-4C08-8D88-3E4B2B94D305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FB977E8-BAD0-44D5-A229-883B53B63869}" name="TableClutchBaseN1" displayName="TableClutchBaseN1" ref="A1:BD31" totalsRowShown="0" headerRowDxfId="212">
  <autoFilter ref="A1:BD31" xr:uid="{82CA49BC-0984-4180-83A9-B3D4FC4A887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4270B1A2-2530-4DD5-94C3-B925A80F10B0}" name="TEAM_ID" dataDxfId="268"/>
    <tableColumn id="2" xr3:uid="{946D50C2-D045-428D-9AEE-6A219D860965}" name="TEAM_NAME" dataDxfId="267"/>
    <tableColumn id="3" xr3:uid="{FCF55B40-05E3-447F-B893-469FEE044CC2}" name="GP" dataDxfId="266"/>
    <tableColumn id="4" xr3:uid="{5C961DCD-4429-4F15-86F0-1D5F7271DD18}" name="W" dataDxfId="265"/>
    <tableColumn id="5" xr3:uid="{542747DA-DC6D-40C9-913D-BC510BE9ED3F}" name="L" dataDxfId="264"/>
    <tableColumn id="6" xr3:uid="{189D69B0-C35A-483C-9FD6-DD121F996321}" name="W_PCT" dataDxfId="263"/>
    <tableColumn id="7" xr3:uid="{452B9FDC-F15A-435A-B2DC-74BFB286BC13}" name="MIN" dataDxfId="262"/>
    <tableColumn id="8" xr3:uid="{B8B11358-7C31-42C9-BAD7-40F638F5CC69}" name="FGM" dataDxfId="261"/>
    <tableColumn id="9" xr3:uid="{D560DC6E-C88B-45AE-83D9-1F46DC765D3F}" name="FGA" dataDxfId="260"/>
    <tableColumn id="10" xr3:uid="{83CE6384-5A7D-4C9A-B55C-4DB909104DB5}" name="FG_PCT" dataDxfId="259"/>
    <tableColumn id="11" xr3:uid="{6F461204-A6C7-45DC-8A78-C3A1534F177E}" name="FG3M" dataDxfId="258"/>
    <tableColumn id="12" xr3:uid="{97AA317B-4D9C-45D2-9276-450459AEC7EE}" name="FG3A" dataDxfId="257"/>
    <tableColumn id="13" xr3:uid="{C3BBB3AC-6268-44AE-8A3B-694296108BDF}" name="FG3_PCT" dataDxfId="256"/>
    <tableColumn id="14" xr3:uid="{C1CAA39B-CF21-4C7D-A627-3940D140B42A}" name="FTM" dataDxfId="255"/>
    <tableColumn id="15" xr3:uid="{B48441CC-D10F-4211-97BF-0F8FA3E67593}" name="FTA" dataDxfId="254"/>
    <tableColumn id="16" xr3:uid="{96C4D0C4-0D7A-4342-98A0-6212C76C40D7}" name="FT_PCT" dataDxfId="253"/>
    <tableColumn id="17" xr3:uid="{16137258-CD68-484B-8D44-6207DA6B6010}" name="OREB" dataDxfId="252"/>
    <tableColumn id="18" xr3:uid="{871F4C4B-181F-4F38-9B55-F084FF3B7883}" name="DREB" dataDxfId="251"/>
    <tableColumn id="19" xr3:uid="{9F1D7DC4-62BC-469B-A74F-B4E38E65B354}" name="REB" dataDxfId="250"/>
    <tableColumn id="20" xr3:uid="{C5FC543B-8EB2-4E71-88D6-56632588B999}" name="AST" dataDxfId="249"/>
    <tableColumn id="21" xr3:uid="{B3212521-B916-46D1-9995-434BD4996574}" name="TOV" dataDxfId="248"/>
    <tableColumn id="22" xr3:uid="{A7DF25AA-C7E9-4C34-9CF5-76C82DD14DA3}" name="STL" dataDxfId="247"/>
    <tableColumn id="23" xr3:uid="{9AA2BCEB-B474-4083-86B0-707336DE988B}" name="BLK" dataDxfId="246"/>
    <tableColumn id="24" xr3:uid="{A24480ED-2F4C-4218-8BAE-8199AB5FFD40}" name="BLKA" dataDxfId="245"/>
    <tableColumn id="25" xr3:uid="{35C79D67-9195-4D49-A95B-EF8D491E9E25}" name="PF" dataDxfId="244"/>
    <tableColumn id="26" xr3:uid="{6F37EE10-8649-4E04-9B97-ADB0F97B5C98}" name="PFD" dataDxfId="243"/>
    <tableColumn id="27" xr3:uid="{10F88933-B31A-4312-8BDD-106F81D31BD5}" name="PTS" dataDxfId="242"/>
    <tableColumn id="28" xr3:uid="{05B989DF-04CB-4484-B22D-518C23CB12B4}" name="PLUS_MINUS" dataDxfId="241"/>
    <tableColumn id="29" xr3:uid="{AFEF32F6-2793-4721-A2CB-97CE57624781}" name="GP_RANK" dataDxfId="240"/>
    <tableColumn id="30" xr3:uid="{08BF8285-5BA1-4FFC-A354-0743D17FE519}" name="W_RANK" dataDxfId="239"/>
    <tableColumn id="31" xr3:uid="{8BA3C5AD-B726-437B-84C4-D335547A6321}" name="L_RANK" dataDxfId="238"/>
    <tableColumn id="32" xr3:uid="{90C40796-A0F3-4BBD-8A17-98766D53092D}" name="W_PCT_RANK" dataDxfId="237"/>
    <tableColumn id="33" xr3:uid="{80403AA3-1054-4827-99F3-7495D18D1C07}" name="MIN_RANK" dataDxfId="236"/>
    <tableColumn id="34" xr3:uid="{8F32C448-CD66-4DDA-B6C8-50C4595FCD79}" name="FGM_RANK" dataDxfId="235"/>
    <tableColumn id="35" xr3:uid="{81DFBF90-606A-4133-8112-FA4576EC8122}" name="FGA_RANK" dataDxfId="234"/>
    <tableColumn id="36" xr3:uid="{00926FA3-F96D-42BC-A917-C96709217216}" name="FG_PCT_RANK" dataDxfId="233"/>
    <tableColumn id="37" xr3:uid="{B828A979-FD81-4206-8CF8-524FAFE7A391}" name="FG3M_RANK" dataDxfId="232"/>
    <tableColumn id="38" xr3:uid="{D81B8666-2FC2-468A-B864-2A2DD7F05CEE}" name="FG3A_RANK" dataDxfId="231"/>
    <tableColumn id="39" xr3:uid="{14329427-8641-44FB-BCDF-5CF6E9D2BEEA}" name="FG3_PCT_RANK" dataDxfId="230"/>
    <tableColumn id="40" xr3:uid="{F49D5AC1-E7FF-4601-ADE4-59CB72610E17}" name="FTM_RANK" dataDxfId="229"/>
    <tableColumn id="41" xr3:uid="{E5638479-FF20-4C5C-A31C-015FD62A7198}" name="FTA_RANK" dataDxfId="228"/>
    <tableColumn id="42" xr3:uid="{1D098F8A-5EBD-4E34-877D-3EA268413174}" name="FT_PCT_RANK" dataDxfId="227"/>
    <tableColumn id="43" xr3:uid="{258085BB-6BBA-4F85-8A80-1ADF95F0A80A}" name="OREB_RANK" dataDxfId="226"/>
    <tableColumn id="44" xr3:uid="{73C4E9AE-3BE0-45CE-903F-9BAB90B19307}" name="DREB_RANK" dataDxfId="225"/>
    <tableColumn id="45" xr3:uid="{5C17F488-1F56-44F8-B59B-BAAB63A2F81E}" name="REB_RANK" dataDxfId="224"/>
    <tableColumn id="46" xr3:uid="{1CFDE4BA-8B1E-4877-85AF-F9D4EDC848F2}" name="AST_RANK" dataDxfId="223"/>
    <tableColumn id="47" xr3:uid="{B8FAB15F-E884-4E54-BEFA-3C641925CA1B}" name="TOV_RANK" dataDxfId="222"/>
    <tableColumn id="48" xr3:uid="{35E06780-2FDA-4ED0-A4A1-47DE72B75075}" name="STL_RANK" dataDxfId="221"/>
    <tableColumn id="49" xr3:uid="{DC36CEBF-475F-4236-B36F-57A34D6EFB04}" name="BLK_RANK" dataDxfId="220"/>
    <tableColumn id="50" xr3:uid="{4A4FA7B4-7572-4671-AB7F-F021AA121691}" name="BLKA_RANK" dataDxfId="219"/>
    <tableColumn id="51" xr3:uid="{70EBC4B3-EA9D-43E3-AE92-532B9B2343B7}" name="PF_RANK" dataDxfId="218"/>
    <tableColumn id="52" xr3:uid="{FB36F7BA-7EBB-48F7-A1D0-5BE89C764E30}" name="PFD_RANK" dataDxfId="217"/>
    <tableColumn id="53" xr3:uid="{118D7056-100D-4B92-BCB6-456F52941D3A}" name="PTS_RANK" dataDxfId="216"/>
    <tableColumn id="54" xr3:uid="{F9F97F7A-E154-4D32-9FA8-8F4C25B7325B}" name="PLUS_MINUS_RANK" dataDxfId="215"/>
    <tableColumn id="55" xr3:uid="{D2FDE5A3-AAFB-4A8D-AA38-CAE8BE473322}" name="CFID" dataDxfId="214"/>
    <tableColumn id="56" xr3:uid="{F610F5F1-0F5E-4832-B39A-DE70E51E5578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A233E03-F76A-41AD-82F4-AE786C521616}" name="TableClutchOpponentN1" displayName="TableClutchOpponentN1" ref="A1:BD31" totalsRowShown="0" headerRowDxfId="98">
  <autoFilter ref="A1:BD31" xr:uid="{CBF93961-1FA0-42C6-9D39-468A11E7CC3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871EAD7-D1F0-4B9C-A737-4EA63A119121}" name="TEAM_ID" dataDxfId="154"/>
    <tableColumn id="2" xr3:uid="{CFB60EA4-4615-4847-BA8C-3AD8EB985685}" name="TEAM_NAME" dataDxfId="153"/>
    <tableColumn id="3" xr3:uid="{1F3A9A5A-32DB-4C0C-828A-066ECEA4D165}" name="GP" dataDxfId="152"/>
    <tableColumn id="4" xr3:uid="{83EE9B63-6381-4782-A474-9163E907CA64}" name="W" dataDxfId="151"/>
    <tableColumn id="5" xr3:uid="{B598020A-E5F0-4509-8C65-59697DACF848}" name="L" dataDxfId="150"/>
    <tableColumn id="6" xr3:uid="{DAEF54C0-7AF2-4E66-BAF8-AB492CDECD09}" name="W_PCT" dataDxfId="149"/>
    <tableColumn id="7" xr3:uid="{1372E9A8-7BB3-4376-A3B0-8D7EEC6CEBC3}" name="MIN" dataDxfId="148"/>
    <tableColumn id="8" xr3:uid="{F459CF42-F115-4DD8-B48E-46EC73763CB1}" name="OPP_FGM" dataDxfId="147"/>
    <tableColumn id="9" xr3:uid="{6C5E24E2-0CAB-4418-91CF-63E29126601E}" name="OPP_FGA" dataDxfId="146"/>
    <tableColumn id="10" xr3:uid="{999E81C4-592A-46C4-B4BF-38B68F23BCC5}" name="OPP_FG_PCT" dataDxfId="145"/>
    <tableColumn id="11" xr3:uid="{6C939FBA-872F-48DF-BF5F-5DE0D71212F1}" name="OPP_FG3M" dataDxfId="144"/>
    <tableColumn id="12" xr3:uid="{527F7DD1-17C1-405F-A06C-2E114BC1A283}" name="OPP_FG3A" dataDxfId="143"/>
    <tableColumn id="13" xr3:uid="{1ED3811B-10AF-48A5-B04F-3A35CEE61CDD}" name="OPP_FG3_PCT" dataDxfId="142"/>
    <tableColumn id="14" xr3:uid="{AD066335-B6AD-4982-91E1-C2A53A8AEAF7}" name="OPP_FTM" dataDxfId="141"/>
    <tableColumn id="15" xr3:uid="{E005E770-85B8-414D-BD51-330B3393C06E}" name="OPP_FTA" dataDxfId="140"/>
    <tableColumn id="16" xr3:uid="{04C4EC4E-8503-46CF-BE69-901ED5B965D9}" name="OPP_FT_PCT" dataDxfId="139"/>
    <tableColumn id="17" xr3:uid="{CC06A36E-2973-4E02-B5B3-F3E3F7B85D61}" name="OPP_OREB" dataDxfId="138"/>
    <tableColumn id="18" xr3:uid="{AB565386-B3DF-4E69-9B85-52A50FAD998E}" name="OPP_DREB" dataDxfId="137"/>
    <tableColumn id="19" xr3:uid="{FA4888DD-D707-41FF-BF91-1F1F9142FA66}" name="OPP_REB" dataDxfId="136"/>
    <tableColumn id="20" xr3:uid="{2A31BA64-0409-4927-8926-D29CE8F614BF}" name="OPP_AST" dataDxfId="135"/>
    <tableColumn id="21" xr3:uid="{830FD54B-D496-4C40-9C95-061498D1A7AF}" name="OPP_TOV" dataDxfId="134"/>
    <tableColumn id="22" xr3:uid="{610793E7-BF7F-4DE2-88AA-4EBC0B8E1D76}" name="OPP_STL" dataDxfId="133"/>
    <tableColumn id="23" xr3:uid="{59B1B871-2E6A-4971-9327-0C7F23B57366}" name="OPP_BLK" dataDxfId="132"/>
    <tableColumn id="24" xr3:uid="{74407827-0454-478A-AACC-89FAFF506210}" name="OPP_BLKA" dataDxfId="131"/>
    <tableColumn id="25" xr3:uid="{C9550DC3-1736-4BAD-8F44-61F1243860F4}" name="OPP_PF" dataDxfId="130"/>
    <tableColumn id="26" xr3:uid="{B5DCF020-28E5-4E7A-A565-E329749886A9}" name="OPP_PFD" dataDxfId="129"/>
    <tableColumn id="27" xr3:uid="{B2962756-E5BA-4D5C-B3FE-1C12B77C5FF7}" name="OPP_PTS" dataDxfId="128"/>
    <tableColumn id="28" xr3:uid="{D667E022-998A-4CC6-BD0D-E419FAC56237}" name="PLUS_MINUS" dataDxfId="127"/>
    <tableColumn id="29" xr3:uid="{607A4647-CF93-4688-A28A-90B7D3021927}" name="GP_RANK" dataDxfId="126"/>
    <tableColumn id="30" xr3:uid="{69651C0F-A915-4A6D-9235-A313C4E8D5D2}" name="W_RANK" dataDxfId="125"/>
    <tableColumn id="31" xr3:uid="{AF290A19-DD56-4745-8F75-E389329C3E08}" name="L_RANK" dataDxfId="124"/>
    <tableColumn id="32" xr3:uid="{5C4B47D7-D8B8-44F4-A71D-80C57F27044E}" name="W_PCT_RANK" dataDxfId="123"/>
    <tableColumn id="33" xr3:uid="{189CC3D7-06D7-45EA-B1E2-C027668824CC}" name="MIN_RANK" dataDxfId="122"/>
    <tableColumn id="34" xr3:uid="{F5B4A161-3020-48FE-8057-B7FCE4259372}" name="OPP_FGM_RANK" dataDxfId="121"/>
    <tableColumn id="35" xr3:uid="{1C4FA846-61E9-463B-9DB6-F0EDA04C1C56}" name="OPP_FGA_RANK" dataDxfId="120"/>
    <tableColumn id="36" xr3:uid="{49BDBFDE-9E15-4201-AD65-2FFE4E549667}" name="OPP_FG_PCT_RANK" dataDxfId="119"/>
    <tableColumn id="37" xr3:uid="{CE755D75-2F2E-4F24-9AF6-DD53D2BFCEC2}" name="OPP_FG3M_RANK" dataDxfId="118"/>
    <tableColumn id="38" xr3:uid="{33497F84-9B82-4BB4-BA0F-1F83FA48DE0A}" name="OPP_FG3A_RANK" dataDxfId="117"/>
    <tableColumn id="39" xr3:uid="{093821CF-46D3-47E8-AEE1-19A42F9D2EC9}" name="OPP_FG3_PCT_RANK" dataDxfId="116"/>
    <tableColumn id="40" xr3:uid="{F993629B-0FF7-4AB3-9591-D4835684C5FC}" name="OPP_FTM_RANK" dataDxfId="115"/>
    <tableColumn id="41" xr3:uid="{C179DF19-1E65-4A57-B2E5-2238549FA28F}" name="OPP_FTA_RANK" dataDxfId="114"/>
    <tableColumn id="42" xr3:uid="{171A5EF1-F127-43AE-941D-5A0F0697913B}" name="OPP_FT_PCT_RANK" dataDxfId="113"/>
    <tableColumn id="43" xr3:uid="{B77C2BCA-DF6C-4D4E-8005-6005A79E6636}" name="OPP_OREB_RANK" dataDxfId="112"/>
    <tableColumn id="44" xr3:uid="{CB0B65AE-C8AD-4AD0-A012-18456B537E71}" name="OPP_DREB_RANK" dataDxfId="111"/>
    <tableColumn id="45" xr3:uid="{0607CD94-0357-4741-86EA-09C2099AB03A}" name="OPP_REB_RANK" dataDxfId="110"/>
    <tableColumn id="46" xr3:uid="{ABEB2497-AD61-4578-8606-8D69E9DF7176}" name="OPP_AST_RANK" dataDxfId="109"/>
    <tableColumn id="47" xr3:uid="{18767E02-85AB-41FD-8F84-8435CB45F69A}" name="OPP_TOV_RANK" dataDxfId="108"/>
    <tableColumn id="48" xr3:uid="{09AA64A4-4B40-460D-B0AC-188064696EE3}" name="OPP_STL_RANK" dataDxfId="107"/>
    <tableColumn id="49" xr3:uid="{C403D5B9-1C5A-4C9C-A74A-22095F17803C}" name="OPP_BLK_RANK" dataDxfId="106"/>
    <tableColumn id="50" xr3:uid="{A784D878-F7C4-456D-B2B7-3C3F626FE91D}" name="OPP_BLKA_RANK" dataDxfId="105"/>
    <tableColumn id="51" xr3:uid="{FABE33CA-BFB3-435A-9318-EF3B0674D54D}" name="OPP_PF_RANK" dataDxfId="104"/>
    <tableColumn id="52" xr3:uid="{1F0F6BDD-2867-450A-969C-4C7EBEAE4632}" name="OPP_PFD_RANK" dataDxfId="103"/>
    <tableColumn id="53" xr3:uid="{B7326BF4-38EE-4012-8EEC-91A3EF7A34C0}" name="OPP_PTS_RANK" dataDxfId="102"/>
    <tableColumn id="54" xr3:uid="{9A39B23F-C58C-4651-B4AA-75C150F2EEAE}" name="PLUS_MINUS_RANK" dataDxfId="101"/>
    <tableColumn id="55" xr3:uid="{1BF1A3C8-2F2B-40C5-8DCC-58361AAE5A14}" name="CFID" dataDxfId="100"/>
    <tableColumn id="56" xr3:uid="{B7D6672D-DB0D-438E-BEAC-1CA4BDEC3C7C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68FED70-3D5C-43E4-89F3-575FF2B981B1}" name="TableClutchAdvancedN1" displayName="TableClutchAdvancedN1" ref="A1:AV31" totalsRowShown="0" headerRowDxfId="0">
  <autoFilter ref="A1:AV31" xr:uid="{9C1BA92C-3D5E-4D68-846A-1CA0BC5869A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91708DF-21A0-4618-80C5-050C526E5F0F}" name="TEAM_ID" dataDxfId="48"/>
    <tableColumn id="2" xr3:uid="{74525212-9131-454C-8318-A856A14444B3}" name="TEAM_NAME" dataDxfId="47"/>
    <tableColumn id="3" xr3:uid="{0416A67A-36EC-4086-B8E2-F6778685BAA8}" name="GP" dataDxfId="46"/>
    <tableColumn id="4" xr3:uid="{7983D465-0C3F-44B1-9ABE-8781CFAFE603}" name="W" dataDxfId="45"/>
    <tableColumn id="5" xr3:uid="{A4F6C56B-F56A-44DD-B5C8-C8F51D486B84}" name="L" dataDxfId="44"/>
    <tableColumn id="6" xr3:uid="{A7B69A7B-9430-48FF-A37A-EF69AA1ED882}" name="W_PCT" dataDxfId="43"/>
    <tableColumn id="7" xr3:uid="{D4258046-BCCA-4125-8DA2-C2E9CFAE6EEF}" name="MIN" dataDxfId="42"/>
    <tableColumn id="8" xr3:uid="{38972D23-9F38-40EF-82BB-30D5D4C0C267}" name="E_OFF_RATING" dataDxfId="41"/>
    <tableColumn id="9" xr3:uid="{E14B52A1-DEF3-43FE-A1BF-CAE549E86AD8}" name="OFF_RATING" dataDxfId="40"/>
    <tableColumn id="10" xr3:uid="{D48988A6-D5F1-4C19-8668-F78EA730EE02}" name="E_DEF_RATING" dataDxfId="39"/>
    <tableColumn id="11" xr3:uid="{CC94FC93-2126-4A9C-8E89-E043026213C8}" name="DEF_RATING" dataDxfId="38"/>
    <tableColumn id="12" xr3:uid="{1ADC569E-117F-4A1D-AF6E-3DBB2BAC5C35}" name="E_NET_RATING" dataDxfId="37"/>
    <tableColumn id="13" xr3:uid="{31738C7D-A80F-40C8-9893-17945C31F7C8}" name="NET_RATING" dataDxfId="36"/>
    <tableColumn id="14" xr3:uid="{CDC26F43-E925-490A-B9D6-F1F38E0EE92C}" name="AST_PCT" dataDxfId="35"/>
    <tableColumn id="15" xr3:uid="{4D44FE67-A453-476B-B0F3-856FCA22CBBB}" name="AST_TO" dataDxfId="34"/>
    <tableColumn id="16" xr3:uid="{EF87CBDD-B1AE-46CE-B8FA-A9E813D7E65F}" name="AST_RATIO" dataDxfId="33"/>
    <tableColumn id="17" xr3:uid="{66E4A098-93E5-49BE-A764-01B9A7AED3E9}" name="OREB_PCT" dataDxfId="32"/>
    <tableColumn id="18" xr3:uid="{63CF234A-558E-459E-8392-BDA60FA18597}" name="DREB_PCT" dataDxfId="31"/>
    <tableColumn id="19" xr3:uid="{3DAD9078-C398-410D-9C15-B628031FE850}" name="REB_PCT" dataDxfId="30"/>
    <tableColumn id="20" xr3:uid="{09767E1F-17C7-4493-8C1C-4D1A5C688C5B}" name="TM_TOV_PCT" dataDxfId="29"/>
    <tableColumn id="21" xr3:uid="{12086D5E-4D5E-4B0D-927C-353EEFFF8D1F}" name="EFG_PCT" dataDxfId="28"/>
    <tableColumn id="22" xr3:uid="{35FFE9F6-5F31-4942-93A5-01B601295B28}" name="TS_PCT" dataDxfId="27"/>
    <tableColumn id="23" xr3:uid="{DA1A6D1F-E126-426A-9592-F15558CF0F07}" name="E_PACE" dataDxfId="26"/>
    <tableColumn id="24" xr3:uid="{E95EFED9-F9ED-413C-86AC-0FD91E5384A3}" name="PACE" dataDxfId="25"/>
    <tableColumn id="25" xr3:uid="{AE29E6E6-3C49-449E-AA30-739F0D0589B4}" name="PACE_PER40" dataDxfId="24"/>
    <tableColumn id="26" xr3:uid="{FB82D9C3-0C81-48C9-BD3A-1C545441DB8C}" name="POSS" dataDxfId="23"/>
    <tableColumn id="27" xr3:uid="{E7A2157D-CB31-43ED-860D-5CBD38D04160}" name="PIE" dataDxfId="22"/>
    <tableColumn id="28" xr3:uid="{90DFD895-E57A-4197-A7AD-CE8616615FB8}" name="GP_RANK" dataDxfId="21"/>
    <tableColumn id="29" xr3:uid="{3DB84050-7ACA-4E6E-B953-180B87D20DE1}" name="W_RANK" dataDxfId="20"/>
    <tableColumn id="30" xr3:uid="{3D023E40-2C9D-49F6-8D15-8874C1634F8A}" name="L_RANK" dataDxfId="19"/>
    <tableColumn id="31" xr3:uid="{7FCE8558-29CE-4031-BE20-B96CC919BA51}" name="W_PCT_RANK" dataDxfId="18"/>
    <tableColumn id="32" xr3:uid="{42557F9A-DCB2-4CB6-AE8C-9FE925C9E2C5}" name="MIN_RANK" dataDxfId="17"/>
    <tableColumn id="33" xr3:uid="{B6162886-DB37-4CBC-B2F2-2B0195334B90}" name="OFF_RATING_RANK" dataDxfId="16"/>
    <tableColumn id="34" xr3:uid="{707C8AB2-4140-44F3-85B4-3638B148A26F}" name="DEF_RATING_RANK" dataDxfId="15"/>
    <tableColumn id="35" xr3:uid="{B48633D3-2182-4420-9092-0412E8F28091}" name="NET_RATING_RANK" dataDxfId="14"/>
    <tableColumn id="36" xr3:uid="{06BF0F4E-F13C-452E-B979-2DBB9385FD55}" name="AST_PCT_RANK" dataDxfId="13"/>
    <tableColumn id="37" xr3:uid="{176E1126-F8F0-463E-8C86-7ACF3DBF8C29}" name="AST_TO_RANK" dataDxfId="12"/>
    <tableColumn id="38" xr3:uid="{F9A092BD-D463-4D6C-B842-AD3F74D52463}" name="AST_RATIO_RANK" dataDxfId="11"/>
    <tableColumn id="39" xr3:uid="{5D997E7A-5FF2-4FDB-B388-1903D625449C}" name="OREB_PCT_RANK" dataDxfId="10"/>
    <tableColumn id="40" xr3:uid="{739DAC87-0211-4A99-AA12-27DBE3454B48}" name="DREB_PCT_RANK" dataDxfId="9"/>
    <tableColumn id="41" xr3:uid="{653748E2-26CE-4ED4-A16F-53BFD098E82F}" name="REB_PCT_RANK" dataDxfId="8"/>
    <tableColumn id="42" xr3:uid="{5DEAA5C6-AB0C-4782-905C-B9E020486A12}" name="TM_TOV_PCT_RANK" dataDxfId="7"/>
    <tableColumn id="43" xr3:uid="{C1579528-FAE4-4C63-ADBD-7890B92DB2CF}" name="EFG_PCT_RANK" dataDxfId="6"/>
    <tableColumn id="44" xr3:uid="{DBEA2324-383D-4C32-A016-B11A41E113EE}" name="TS_PCT_RANK" dataDxfId="5"/>
    <tableColumn id="45" xr3:uid="{F32BAA53-0B00-453B-87B6-E085EB01AD7C}" name="PACE_RANK" dataDxfId="4"/>
    <tableColumn id="46" xr3:uid="{B4F1D3CF-2251-486F-9015-094A19178E5D}" name="PIE_RANK" dataDxfId="3"/>
    <tableColumn id="47" xr3:uid="{57A7EDAC-1E72-4323-9DD7-C3720C13140B}" name="CFID" dataDxfId="2"/>
    <tableColumn id="48" xr3:uid="{9DB50782-A37D-4C12-B246-45C9EAE5296B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abSelected="1" topLeftCell="A28" workbookViewId="0">
      <selection activeCell="C22" sqref="C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1403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1408</v>
      </c>
      <c r="D3" s="2">
        <v>3</v>
      </c>
      <c r="F3" s="1" t="s">
        <v>1404</v>
      </c>
      <c r="G3" s="2">
        <v>14</v>
      </c>
    </row>
    <row r="4" spans="1:7" x14ac:dyDescent="0.25">
      <c r="A4" s="23"/>
      <c r="B4" s="5" t="s">
        <v>6</v>
      </c>
      <c r="C4" s="11">
        <v>0.64600000000000002</v>
      </c>
      <c r="F4" s="11">
        <v>0.313</v>
      </c>
    </row>
    <row r="5" spans="1:7" x14ac:dyDescent="0.25">
      <c r="A5" s="23"/>
      <c r="B5" s="5" t="s">
        <v>7</v>
      </c>
      <c r="C5" s="1" t="s">
        <v>1409</v>
      </c>
      <c r="F5" s="1" t="s">
        <v>1405</v>
      </c>
    </row>
    <row r="6" spans="1:7" x14ac:dyDescent="0.25">
      <c r="A6" s="23"/>
      <c r="B6" s="5" t="s">
        <v>2</v>
      </c>
      <c r="C6" s="1" t="s">
        <v>1410</v>
      </c>
      <c r="F6" s="1" t="s">
        <v>1406</v>
      </c>
    </row>
    <row r="7" spans="1:7" x14ac:dyDescent="0.25">
      <c r="A7" s="23"/>
      <c r="B7" s="5" t="s">
        <v>3</v>
      </c>
      <c r="C7" s="1" t="s">
        <v>1411</v>
      </c>
      <c r="F7" s="1" t="s">
        <v>1407</v>
      </c>
    </row>
    <row r="8" spans="1:7" x14ac:dyDescent="0.25">
      <c r="A8" s="23"/>
      <c r="B8" s="5" t="s">
        <v>0</v>
      </c>
      <c r="C8" s="1" t="s">
        <v>1412</v>
      </c>
      <c r="F8" s="1" t="s">
        <v>1404</v>
      </c>
    </row>
    <row r="9" spans="1:7" x14ac:dyDescent="0.25">
      <c r="A9" s="23"/>
      <c r="B9" s="5" t="s">
        <v>1</v>
      </c>
      <c r="C9" s="1" t="s">
        <v>1413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0.46700000000000003</v>
      </c>
      <c r="D11" s="3">
        <v>12</v>
      </c>
      <c r="F11" s="9">
        <v>0.443</v>
      </c>
      <c r="G11" s="3">
        <v>20</v>
      </c>
    </row>
    <row r="12" spans="1:7" x14ac:dyDescent="0.25">
      <c r="A12" s="23"/>
      <c r="B12" s="14" t="s">
        <v>36</v>
      </c>
      <c r="C12" s="8">
        <v>42.3</v>
      </c>
      <c r="D12" s="3">
        <v>7</v>
      </c>
      <c r="F12" s="8">
        <v>41.3</v>
      </c>
      <c r="G12" s="3">
        <v>10</v>
      </c>
    </row>
    <row r="13" spans="1:7" x14ac:dyDescent="0.25">
      <c r="A13" s="23"/>
      <c r="B13" s="14" t="s">
        <v>37</v>
      </c>
      <c r="C13" s="8">
        <v>90.6</v>
      </c>
      <c r="D13" s="3">
        <v>7</v>
      </c>
      <c r="F13" s="8">
        <v>93.1</v>
      </c>
      <c r="G13" s="3">
        <v>3</v>
      </c>
    </row>
    <row r="14" spans="1:7" x14ac:dyDescent="0.25">
      <c r="A14" s="23"/>
      <c r="B14" s="14" t="s">
        <v>27</v>
      </c>
      <c r="C14" s="9">
        <v>0.35899999999999999</v>
      </c>
      <c r="D14" s="3">
        <v>9</v>
      </c>
      <c r="F14" s="9">
        <v>0.36899999999999999</v>
      </c>
      <c r="G14" s="3">
        <v>9</v>
      </c>
    </row>
    <row r="15" spans="1:7" x14ac:dyDescent="0.25">
      <c r="A15" s="23"/>
      <c r="B15" s="14" t="s">
        <v>38</v>
      </c>
      <c r="C15" s="8">
        <v>11</v>
      </c>
      <c r="D15" s="3">
        <v>17</v>
      </c>
      <c r="F15" s="8">
        <v>12.6</v>
      </c>
      <c r="G15" s="3">
        <v>12</v>
      </c>
    </row>
    <row r="16" spans="1:7" x14ac:dyDescent="0.25">
      <c r="A16" s="23"/>
      <c r="B16" s="14" t="s">
        <v>39</v>
      </c>
      <c r="C16" s="8">
        <v>30.7</v>
      </c>
      <c r="D16" s="3">
        <v>18</v>
      </c>
      <c r="F16" s="8">
        <v>34.299999999999997</v>
      </c>
      <c r="G16" s="3">
        <v>14</v>
      </c>
    </row>
    <row r="17" spans="1:7" x14ac:dyDescent="0.25">
      <c r="A17" s="23"/>
      <c r="B17" s="14" t="s">
        <v>28</v>
      </c>
      <c r="C17" s="9">
        <v>0.81399999999999995</v>
      </c>
      <c r="D17" s="3">
        <v>2</v>
      </c>
      <c r="F17" s="9">
        <v>0.81299999999999994</v>
      </c>
      <c r="G17" s="3">
        <v>5</v>
      </c>
    </row>
    <row r="18" spans="1:7" x14ac:dyDescent="0.25">
      <c r="A18" s="23"/>
      <c r="B18" s="14" t="s">
        <v>41</v>
      </c>
      <c r="C18" s="8">
        <v>19</v>
      </c>
      <c r="D18" s="3">
        <v>5</v>
      </c>
      <c r="F18" s="8">
        <v>17.899999999999999</v>
      </c>
      <c r="G18" s="3">
        <v>18</v>
      </c>
    </row>
    <row r="19" spans="1:7" x14ac:dyDescent="0.25">
      <c r="A19" s="23"/>
      <c r="B19" s="14" t="s">
        <v>40</v>
      </c>
      <c r="C19" s="8">
        <v>23.3</v>
      </c>
      <c r="D19" s="3">
        <v>13</v>
      </c>
      <c r="F19" s="8">
        <v>22</v>
      </c>
      <c r="G19" s="3">
        <v>22</v>
      </c>
    </row>
    <row r="20" spans="1:7" x14ac:dyDescent="0.25">
      <c r="A20" s="23"/>
      <c r="B20" s="14" t="s">
        <v>29</v>
      </c>
      <c r="C20" s="8">
        <v>23</v>
      </c>
      <c r="D20" s="3">
        <v>25</v>
      </c>
      <c r="F20" s="8">
        <v>19.5</v>
      </c>
      <c r="G20" s="3">
        <v>29</v>
      </c>
    </row>
    <row r="21" spans="1:7" x14ac:dyDescent="0.25">
      <c r="A21" s="23"/>
      <c r="B21" s="14" t="s">
        <v>30</v>
      </c>
      <c r="C21" s="8">
        <v>13.8</v>
      </c>
      <c r="D21" s="3">
        <v>11</v>
      </c>
      <c r="F21" s="8">
        <v>14.4</v>
      </c>
      <c r="G21" s="3">
        <v>7</v>
      </c>
    </row>
    <row r="22" spans="1:7" x14ac:dyDescent="0.25">
      <c r="A22" s="23"/>
      <c r="B22" s="14" t="s">
        <v>32</v>
      </c>
      <c r="C22" s="8">
        <v>48</v>
      </c>
      <c r="D22" s="3">
        <v>3</v>
      </c>
      <c r="F22" s="8">
        <v>46.1</v>
      </c>
      <c r="G22" s="3">
        <v>15</v>
      </c>
    </row>
    <row r="23" spans="1:7" x14ac:dyDescent="0.25">
      <c r="A23" s="23"/>
      <c r="B23" s="14" t="s">
        <v>31</v>
      </c>
      <c r="C23" s="8">
        <v>11.8</v>
      </c>
      <c r="D23" s="3">
        <v>3</v>
      </c>
      <c r="F23" s="8">
        <v>10.5</v>
      </c>
      <c r="G23" s="3">
        <v>14</v>
      </c>
    </row>
    <row r="24" spans="1:7" x14ac:dyDescent="0.25">
      <c r="A24" s="23"/>
      <c r="B24" s="14" t="s">
        <v>33</v>
      </c>
      <c r="C24" s="8">
        <v>36.200000000000003</v>
      </c>
      <c r="D24" s="3">
        <v>7</v>
      </c>
      <c r="F24" s="8">
        <v>35.6</v>
      </c>
      <c r="G24" s="3">
        <v>15</v>
      </c>
    </row>
    <row r="25" spans="1:7" x14ac:dyDescent="0.25">
      <c r="A25" s="23"/>
      <c r="B25" s="14" t="s">
        <v>34</v>
      </c>
      <c r="C25" s="8">
        <v>6.7</v>
      </c>
      <c r="D25" s="3">
        <v>25</v>
      </c>
      <c r="F25" s="8">
        <v>5.9</v>
      </c>
      <c r="G25" s="3">
        <v>29</v>
      </c>
    </row>
    <row r="26" spans="1:7" x14ac:dyDescent="0.25">
      <c r="A26" s="23"/>
      <c r="B26" s="14" t="s">
        <v>35</v>
      </c>
      <c r="C26" s="8">
        <v>5</v>
      </c>
      <c r="D26" s="3">
        <v>16</v>
      </c>
      <c r="F26" s="8">
        <v>6.1</v>
      </c>
      <c r="G26" s="3">
        <v>5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0.45700000000000002</v>
      </c>
      <c r="D28" s="3">
        <v>13</v>
      </c>
      <c r="F28" s="9">
        <v>0.44500000000000001</v>
      </c>
      <c r="G28" s="3">
        <v>11</v>
      </c>
    </row>
    <row r="29" spans="1:7" x14ac:dyDescent="0.25">
      <c r="A29" s="23"/>
      <c r="B29" s="18" t="s">
        <v>43</v>
      </c>
      <c r="C29" s="9">
        <v>0.35899999999999999</v>
      </c>
      <c r="D29" s="3">
        <v>20</v>
      </c>
      <c r="F29" s="9">
        <v>0.34599999999999997</v>
      </c>
      <c r="G29" s="3">
        <v>10</v>
      </c>
    </row>
    <row r="30" spans="1:7" x14ac:dyDescent="0.25">
      <c r="A30" s="23"/>
      <c r="B30" s="18" t="s">
        <v>44</v>
      </c>
      <c r="C30" s="8">
        <v>10.7</v>
      </c>
      <c r="D30" s="3">
        <v>8</v>
      </c>
      <c r="F30" s="8">
        <v>11.6</v>
      </c>
      <c r="G30" s="3">
        <v>15</v>
      </c>
    </row>
    <row r="31" spans="1:7" x14ac:dyDescent="0.25">
      <c r="A31" s="23"/>
      <c r="B31" s="17" t="s">
        <v>45</v>
      </c>
      <c r="C31" s="8">
        <v>29.8</v>
      </c>
      <c r="D31" s="3">
        <v>3</v>
      </c>
      <c r="F31" s="8">
        <v>33.4</v>
      </c>
      <c r="G31" s="3">
        <v>14</v>
      </c>
    </row>
    <row r="32" spans="1:7" x14ac:dyDescent="0.25">
      <c r="A32" s="23"/>
      <c r="B32" s="17" t="s">
        <v>46</v>
      </c>
      <c r="C32" s="8">
        <v>12.4</v>
      </c>
      <c r="D32" s="3">
        <v>29</v>
      </c>
      <c r="F32" s="8">
        <v>14.3</v>
      </c>
      <c r="G32" s="3">
        <v>26</v>
      </c>
    </row>
    <row r="33" spans="1:7" x14ac:dyDescent="0.25">
      <c r="A33" s="23"/>
      <c r="B33" s="17" t="s">
        <v>47</v>
      </c>
      <c r="C33" s="8">
        <v>10.3</v>
      </c>
      <c r="D33" s="3">
        <v>15</v>
      </c>
      <c r="F33" s="8">
        <v>12.5</v>
      </c>
      <c r="G33" s="3">
        <v>29</v>
      </c>
    </row>
    <row r="35" spans="1:7" x14ac:dyDescent="0.25">
      <c r="A35" s="23" t="s">
        <v>60</v>
      </c>
      <c r="B35" s="4" t="s">
        <v>8</v>
      </c>
      <c r="C35" s="8">
        <v>113.7</v>
      </c>
      <c r="D35" s="3">
        <v>3</v>
      </c>
      <c r="F35" s="8">
        <v>108.5</v>
      </c>
      <c r="G35" s="3">
        <v>13</v>
      </c>
    </row>
    <row r="36" spans="1:7" x14ac:dyDescent="0.25">
      <c r="A36" s="23"/>
      <c r="B36" s="4" t="s">
        <v>9</v>
      </c>
      <c r="C36" s="8">
        <v>109.5</v>
      </c>
      <c r="D36" s="3">
        <v>16</v>
      </c>
      <c r="F36" s="8">
        <v>111.5</v>
      </c>
      <c r="G36" s="3">
        <v>22</v>
      </c>
    </row>
    <row r="37" spans="1:7" x14ac:dyDescent="0.25">
      <c r="A37" s="23"/>
      <c r="B37" s="4" t="s">
        <v>10</v>
      </c>
      <c r="C37" s="8">
        <v>4.2</v>
      </c>
      <c r="D37" s="3">
        <v>7</v>
      </c>
      <c r="F37" s="8">
        <v>-3.1</v>
      </c>
      <c r="G37" s="3">
        <v>22</v>
      </c>
    </row>
    <row r="38" spans="1:7" x14ac:dyDescent="0.25">
      <c r="A38" s="23"/>
      <c r="B38" s="4" t="s">
        <v>11</v>
      </c>
      <c r="C38" s="13">
        <v>99.96</v>
      </c>
      <c r="D38" s="3">
        <v>18</v>
      </c>
      <c r="F38" s="13">
        <v>103.73</v>
      </c>
      <c r="G38" s="3">
        <v>10</v>
      </c>
    </row>
    <row r="39" spans="1:7" x14ac:dyDescent="0.25">
      <c r="A39" s="23"/>
      <c r="B39" s="4" t="s">
        <v>12</v>
      </c>
      <c r="C39" s="10">
        <v>0.52800000000000002</v>
      </c>
      <c r="D39" s="3">
        <v>13</v>
      </c>
      <c r="F39" s="9">
        <v>0.51100000000000001</v>
      </c>
      <c r="G39" s="3">
        <v>21</v>
      </c>
    </row>
    <row r="40" spans="1:7" x14ac:dyDescent="0.25">
      <c r="A40" s="23"/>
      <c r="B40" s="4" t="s">
        <v>13</v>
      </c>
      <c r="C40" s="10">
        <v>0.54400000000000004</v>
      </c>
      <c r="D40" s="3">
        <v>27</v>
      </c>
      <c r="F40" s="9">
        <v>0.47299999999999998</v>
      </c>
      <c r="G40" s="3">
        <v>30</v>
      </c>
    </row>
    <row r="41" spans="1:7" x14ac:dyDescent="0.25">
      <c r="A41" s="23"/>
      <c r="B41" s="4" t="s">
        <v>14</v>
      </c>
      <c r="C41" s="10">
        <v>0.52600000000000002</v>
      </c>
      <c r="D41" s="3">
        <v>1</v>
      </c>
      <c r="F41" s="9">
        <v>0.48199999999999998</v>
      </c>
      <c r="G41" s="3">
        <v>28</v>
      </c>
    </row>
    <row r="42" spans="1:7" x14ac:dyDescent="0.25">
      <c r="A42" s="23"/>
      <c r="B42" s="4" t="s">
        <v>15</v>
      </c>
      <c r="C42" s="10">
        <v>0.308</v>
      </c>
      <c r="D42" s="3">
        <v>2</v>
      </c>
      <c r="F42" s="9">
        <v>0.26700000000000002</v>
      </c>
      <c r="G42" s="3">
        <v>20</v>
      </c>
    </row>
    <row r="43" spans="1:7" x14ac:dyDescent="0.25">
      <c r="A43" s="23"/>
      <c r="B43" s="4" t="s">
        <v>16</v>
      </c>
      <c r="C43" s="10">
        <v>0.73899999999999999</v>
      </c>
      <c r="D43" s="3">
        <v>8</v>
      </c>
      <c r="F43" s="9">
        <v>0.69499999999999995</v>
      </c>
      <c r="G43" s="3">
        <v>30</v>
      </c>
    </row>
    <row r="44" spans="1:7" x14ac:dyDescent="0.25">
      <c r="A44" s="23"/>
      <c r="B44" s="4" t="s">
        <v>17</v>
      </c>
      <c r="C44" s="10">
        <v>0.13700000000000001</v>
      </c>
      <c r="D44" s="3">
        <v>12</v>
      </c>
      <c r="F44" s="9">
        <v>0.13800000000000001</v>
      </c>
      <c r="G44" s="3">
        <v>7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82.8</v>
      </c>
      <c r="D46" s="3">
        <v>2</v>
      </c>
      <c r="F46" s="8">
        <v>75.7</v>
      </c>
      <c r="G46" s="3">
        <v>5</v>
      </c>
    </row>
    <row r="47" spans="1:7" x14ac:dyDescent="0.25">
      <c r="A47" s="23"/>
      <c r="B47" s="20" t="s">
        <v>49</v>
      </c>
      <c r="C47" s="8">
        <v>76.900000000000006</v>
      </c>
      <c r="D47" s="3">
        <v>27</v>
      </c>
      <c r="F47" s="8">
        <v>75.2</v>
      </c>
      <c r="G47" s="3">
        <v>27</v>
      </c>
    </row>
    <row r="48" spans="1:7" x14ac:dyDescent="0.25">
      <c r="A48" s="23"/>
      <c r="B48" s="20" t="s">
        <v>50</v>
      </c>
      <c r="C48" s="8">
        <v>5.9</v>
      </c>
      <c r="D48" s="3">
        <v>3</v>
      </c>
      <c r="F48" s="8">
        <v>0.5</v>
      </c>
      <c r="G48" s="3">
        <v>16</v>
      </c>
    </row>
    <row r="49" spans="1:7" x14ac:dyDescent="0.25">
      <c r="A49" s="23"/>
      <c r="B49" s="20" t="s">
        <v>51</v>
      </c>
      <c r="C49" s="8">
        <v>63.9</v>
      </c>
      <c r="D49" s="3">
        <v>3</v>
      </c>
      <c r="F49" s="8">
        <v>50.9</v>
      </c>
      <c r="G49" s="3">
        <v>25</v>
      </c>
    </row>
    <row r="50" spans="1:7" x14ac:dyDescent="0.25">
      <c r="A50" s="23"/>
      <c r="B50" s="20" t="s">
        <v>52</v>
      </c>
      <c r="C50" s="8">
        <v>65.5</v>
      </c>
      <c r="D50" s="3">
        <v>29</v>
      </c>
      <c r="F50" s="8">
        <v>56.2</v>
      </c>
      <c r="G50" s="3">
        <v>18</v>
      </c>
    </row>
    <row r="51" spans="1:7" x14ac:dyDescent="0.25">
      <c r="A51" s="23"/>
      <c r="B51" s="20" t="s">
        <v>53</v>
      </c>
      <c r="C51" s="8">
        <v>-1.6</v>
      </c>
      <c r="D51" s="3">
        <v>21</v>
      </c>
      <c r="F51" s="8">
        <v>-5.3</v>
      </c>
      <c r="G51" s="3">
        <v>29</v>
      </c>
    </row>
    <row r="53" spans="1:7" x14ac:dyDescent="0.25">
      <c r="A53" s="23" t="s">
        <v>57</v>
      </c>
      <c r="B53" s="6" t="s">
        <v>18</v>
      </c>
      <c r="C53" s="7">
        <v>15</v>
      </c>
      <c r="D53" s="3">
        <v>26</v>
      </c>
      <c r="F53" s="7">
        <v>14.4</v>
      </c>
      <c r="G53" s="3">
        <v>30</v>
      </c>
    </row>
    <row r="54" spans="1:7" x14ac:dyDescent="0.25">
      <c r="A54" s="23"/>
      <c r="B54" s="6" t="s">
        <v>19</v>
      </c>
      <c r="C54" s="7">
        <v>15.3</v>
      </c>
      <c r="D54" s="3">
        <v>9</v>
      </c>
      <c r="F54" s="7">
        <v>16.100000000000001</v>
      </c>
      <c r="G54" s="3">
        <v>5</v>
      </c>
    </row>
    <row r="55" spans="1:7" x14ac:dyDescent="0.25">
      <c r="A55" s="23"/>
      <c r="B55" s="6" t="s">
        <v>20</v>
      </c>
      <c r="C55" s="7">
        <v>15</v>
      </c>
      <c r="D55" s="3">
        <v>4</v>
      </c>
      <c r="F55" s="7">
        <v>12.9</v>
      </c>
      <c r="G55" s="3">
        <v>16</v>
      </c>
    </row>
    <row r="56" spans="1:7" x14ac:dyDescent="0.25">
      <c r="A56" s="23"/>
      <c r="B56" s="6" t="s">
        <v>21</v>
      </c>
      <c r="C56" s="7">
        <v>13.7</v>
      </c>
      <c r="D56" s="3">
        <v>20</v>
      </c>
      <c r="F56" s="7">
        <v>16.899999999999999</v>
      </c>
      <c r="G56" s="3">
        <v>30</v>
      </c>
    </row>
    <row r="57" spans="1:7" x14ac:dyDescent="0.25">
      <c r="A57" s="23"/>
      <c r="B57" s="6" t="s">
        <v>22</v>
      </c>
      <c r="C57" s="7">
        <v>11</v>
      </c>
      <c r="D57" s="3">
        <v>11</v>
      </c>
      <c r="F57" s="7">
        <v>14.3</v>
      </c>
      <c r="G57" s="3">
        <v>14.3</v>
      </c>
    </row>
    <row r="58" spans="1:7" x14ac:dyDescent="0.25">
      <c r="A58" s="23"/>
      <c r="B58" s="6" t="s">
        <v>23</v>
      </c>
      <c r="C58" s="7">
        <v>14.1</v>
      </c>
      <c r="D58" s="3">
        <v>14.1</v>
      </c>
      <c r="F58" s="7">
        <v>14</v>
      </c>
      <c r="G58" s="3">
        <v>14</v>
      </c>
    </row>
    <row r="59" spans="1:7" x14ac:dyDescent="0.25">
      <c r="A59" s="23"/>
      <c r="B59" s="6" t="s">
        <v>24</v>
      </c>
      <c r="C59" s="7">
        <v>49.3</v>
      </c>
      <c r="D59" s="3">
        <v>15</v>
      </c>
      <c r="F59" s="7">
        <v>42.4</v>
      </c>
      <c r="G59" s="3">
        <v>28</v>
      </c>
    </row>
    <row r="60" spans="1:7" x14ac:dyDescent="0.25">
      <c r="A60" s="23"/>
      <c r="B60" s="6" t="s">
        <v>25</v>
      </c>
      <c r="C60" s="7">
        <v>47.8</v>
      </c>
      <c r="D60" s="3">
        <v>12</v>
      </c>
      <c r="F60" s="7">
        <v>49.4</v>
      </c>
      <c r="G60" s="3">
        <v>19</v>
      </c>
    </row>
    <row r="62" spans="1:7" x14ac:dyDescent="0.25">
      <c r="A62" s="23" t="s">
        <v>58</v>
      </c>
      <c r="B62" s="21" t="s">
        <v>54</v>
      </c>
      <c r="C62" s="22">
        <v>3.3</v>
      </c>
      <c r="D62" s="3">
        <v>23</v>
      </c>
      <c r="F62" s="22">
        <v>3.8</v>
      </c>
      <c r="G62" s="3">
        <v>15</v>
      </c>
    </row>
    <row r="63" spans="1:7" x14ac:dyDescent="0.25">
      <c r="A63" s="23"/>
      <c r="B63" s="21" t="s">
        <v>55</v>
      </c>
      <c r="C63" s="3">
        <v>25</v>
      </c>
      <c r="D63" s="3">
        <v>4</v>
      </c>
      <c r="F63" s="3">
        <v>4</v>
      </c>
      <c r="G63" s="3">
        <v>12</v>
      </c>
    </row>
    <row r="64" spans="1:7" x14ac:dyDescent="0.25">
      <c r="A64" s="23"/>
      <c r="B64" s="21" t="s">
        <v>56</v>
      </c>
      <c r="C64" s="3">
        <v>17</v>
      </c>
      <c r="D64" s="3">
        <v>8</v>
      </c>
      <c r="F64" s="3">
        <v>6</v>
      </c>
      <c r="G64" s="3">
        <v>27</v>
      </c>
    </row>
    <row r="65" spans="1:7" x14ac:dyDescent="0.25">
      <c r="A65" s="23"/>
      <c r="B65" s="21" t="s">
        <v>26</v>
      </c>
      <c r="C65" s="9">
        <v>0.42799999999999999</v>
      </c>
      <c r="D65" s="3">
        <v>17</v>
      </c>
      <c r="F65" s="9">
        <v>0.438</v>
      </c>
      <c r="G65" s="3">
        <v>10</v>
      </c>
    </row>
    <row r="66" spans="1:7" x14ac:dyDescent="0.25">
      <c r="A66" s="23"/>
      <c r="B66" s="21" t="s">
        <v>42</v>
      </c>
      <c r="C66" s="9">
        <v>0.39600000000000002</v>
      </c>
      <c r="D66" s="3">
        <v>3</v>
      </c>
      <c r="F66" s="9">
        <v>0.5</v>
      </c>
      <c r="G66" s="3">
        <v>28</v>
      </c>
    </row>
    <row r="67" spans="1:7" x14ac:dyDescent="0.25">
      <c r="A67" s="23"/>
      <c r="B67" s="21" t="s">
        <v>8</v>
      </c>
      <c r="C67" s="8">
        <v>115.1</v>
      </c>
      <c r="D67" s="3">
        <v>3</v>
      </c>
      <c r="F67" s="8">
        <v>116.9</v>
      </c>
      <c r="G67" s="3">
        <v>9</v>
      </c>
    </row>
    <row r="68" spans="1:7" x14ac:dyDescent="0.25">
      <c r="A68" s="23"/>
      <c r="B68" s="21" t="s">
        <v>9</v>
      </c>
      <c r="C68" s="8">
        <v>108.5</v>
      </c>
      <c r="D68" s="3">
        <v>15</v>
      </c>
      <c r="F68" s="8">
        <v>125</v>
      </c>
      <c r="G68" s="3">
        <v>27</v>
      </c>
    </row>
    <row r="69" spans="1:7" x14ac:dyDescent="0.25">
      <c r="A69" s="23"/>
      <c r="B69" s="21" t="s">
        <v>10</v>
      </c>
      <c r="C69" s="8">
        <v>6.6</v>
      </c>
      <c r="D69" s="3">
        <v>6</v>
      </c>
      <c r="F69" s="8">
        <v>-8.1</v>
      </c>
      <c r="G69" s="3">
        <v>19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9"/>
  <sheetViews>
    <sheetView workbookViewId="0">
      <selection activeCell="D6" sqref="D6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1610612757</v>
      </c>
      <c r="B2" s="1" t="s">
        <v>755</v>
      </c>
      <c r="C2" s="1" t="s">
        <v>145</v>
      </c>
      <c r="D2" s="1" t="s">
        <v>1338</v>
      </c>
      <c r="E2" s="1" t="s">
        <v>145</v>
      </c>
      <c r="F2" s="1" t="s">
        <v>760</v>
      </c>
      <c r="G2" s="1" t="s">
        <v>299</v>
      </c>
      <c r="H2" s="1" t="s">
        <v>1339</v>
      </c>
      <c r="I2" s="1" t="s">
        <v>1340</v>
      </c>
      <c r="J2" s="1">
        <v>35</v>
      </c>
      <c r="K2" s="1" t="s">
        <v>1341</v>
      </c>
      <c r="L2" s="1" t="s">
        <v>1342</v>
      </c>
      <c r="M2" s="1">
        <v>2546</v>
      </c>
    </row>
    <row r="3" spans="1:13" x14ac:dyDescent="0.25">
      <c r="A3" s="1">
        <v>1610612757</v>
      </c>
      <c r="B3" s="1" t="s">
        <v>755</v>
      </c>
      <c r="C3" s="1" t="s">
        <v>145</v>
      </c>
      <c r="D3" s="1" t="s">
        <v>1343</v>
      </c>
      <c r="E3" s="1" t="s">
        <v>1332</v>
      </c>
      <c r="F3" s="1" t="s">
        <v>757</v>
      </c>
      <c r="G3" s="1" t="s">
        <v>227</v>
      </c>
      <c r="H3" s="1" t="s">
        <v>1344</v>
      </c>
      <c r="I3" s="1" t="s">
        <v>1345</v>
      </c>
      <c r="J3" s="1">
        <v>29</v>
      </c>
      <c r="K3" s="1" t="s">
        <v>1327</v>
      </c>
      <c r="L3" s="1" t="s">
        <v>1346</v>
      </c>
      <c r="M3" s="1">
        <v>203081</v>
      </c>
    </row>
    <row r="4" spans="1:13" x14ac:dyDescent="0.25">
      <c r="A4" s="1">
        <v>1610612757</v>
      </c>
      <c r="B4" s="1" t="s">
        <v>755</v>
      </c>
      <c r="C4" s="1" t="s">
        <v>145</v>
      </c>
      <c r="D4" s="1" t="s">
        <v>1347</v>
      </c>
      <c r="E4" s="1" t="s">
        <v>756</v>
      </c>
      <c r="F4" s="1" t="s">
        <v>757</v>
      </c>
      <c r="G4" s="1" t="s">
        <v>256</v>
      </c>
      <c r="H4" s="1" t="s">
        <v>1348</v>
      </c>
      <c r="I4" s="1" t="s">
        <v>1349</v>
      </c>
      <c r="J4" s="1">
        <v>20</v>
      </c>
      <c r="K4" s="1" t="s">
        <v>756</v>
      </c>
      <c r="L4" s="1" t="s">
        <v>1326</v>
      </c>
      <c r="M4" s="1">
        <v>1629014</v>
      </c>
    </row>
    <row r="5" spans="1:13" x14ac:dyDescent="0.25">
      <c r="A5" s="1">
        <v>1610612757</v>
      </c>
      <c r="B5" s="1" t="s">
        <v>755</v>
      </c>
      <c r="C5" s="1" t="s">
        <v>145</v>
      </c>
      <c r="D5" s="1" t="s">
        <v>1350</v>
      </c>
      <c r="E5" s="1" t="s">
        <v>1323</v>
      </c>
      <c r="F5" s="1" t="s">
        <v>1325</v>
      </c>
      <c r="G5" s="1" t="s">
        <v>286</v>
      </c>
      <c r="H5" s="1" t="s">
        <v>1351</v>
      </c>
      <c r="I5" s="1" t="s">
        <v>1352</v>
      </c>
      <c r="J5" s="1">
        <v>20</v>
      </c>
      <c r="K5" s="1" t="s">
        <v>756</v>
      </c>
      <c r="L5" s="1" t="s">
        <v>1353</v>
      </c>
      <c r="M5" s="1">
        <v>1629018</v>
      </c>
    </row>
    <row r="6" spans="1:13" x14ac:dyDescent="0.25">
      <c r="A6" s="1">
        <v>1610612757</v>
      </c>
      <c r="B6" s="1" t="s">
        <v>755</v>
      </c>
      <c r="C6" s="1" t="s">
        <v>145</v>
      </c>
      <c r="D6" s="1" t="s">
        <v>1354</v>
      </c>
      <c r="E6" s="1" t="s">
        <v>1328</v>
      </c>
      <c r="F6" s="1" t="s">
        <v>757</v>
      </c>
      <c r="G6" s="1" t="s">
        <v>256</v>
      </c>
      <c r="H6" s="1" t="s">
        <v>1355</v>
      </c>
      <c r="I6" s="1" t="s">
        <v>1356</v>
      </c>
      <c r="J6" s="1">
        <v>28</v>
      </c>
      <c r="K6" s="1" t="s">
        <v>1335</v>
      </c>
      <c r="L6" s="1" t="s">
        <v>1357</v>
      </c>
      <c r="M6" s="1">
        <v>203468</v>
      </c>
    </row>
    <row r="7" spans="1:13" x14ac:dyDescent="0.25">
      <c r="A7" s="1">
        <v>1610612757</v>
      </c>
      <c r="B7" s="1" t="s">
        <v>755</v>
      </c>
      <c r="C7" s="1" t="s">
        <v>145</v>
      </c>
      <c r="D7" s="1" t="s">
        <v>1358</v>
      </c>
      <c r="E7" s="1" t="s">
        <v>758</v>
      </c>
      <c r="F7" s="1" t="s">
        <v>1359</v>
      </c>
      <c r="G7" s="1" t="s">
        <v>194</v>
      </c>
      <c r="H7" s="1" t="s">
        <v>1360</v>
      </c>
      <c r="I7" s="1" t="s">
        <v>1361</v>
      </c>
      <c r="J7" s="1">
        <v>20</v>
      </c>
      <c r="K7" s="1" t="s">
        <v>1329</v>
      </c>
      <c r="L7" s="1" t="s">
        <v>1337</v>
      </c>
      <c r="M7" s="1">
        <v>1629650</v>
      </c>
    </row>
    <row r="8" spans="1:13" x14ac:dyDescent="0.25">
      <c r="A8" s="1">
        <v>1610612757</v>
      </c>
      <c r="B8" s="1" t="s">
        <v>755</v>
      </c>
      <c r="C8" s="1" t="s">
        <v>145</v>
      </c>
      <c r="D8" s="1" t="s">
        <v>1362</v>
      </c>
      <c r="E8" s="1" t="s">
        <v>759</v>
      </c>
      <c r="F8" s="1" t="s">
        <v>1325</v>
      </c>
      <c r="G8" s="1" t="s">
        <v>299</v>
      </c>
      <c r="H8" s="1" t="s">
        <v>1363</v>
      </c>
      <c r="I8" s="1" t="s">
        <v>1364</v>
      </c>
      <c r="J8" s="1">
        <v>27</v>
      </c>
      <c r="K8" s="1" t="s">
        <v>759</v>
      </c>
      <c r="L8" s="1" t="s">
        <v>1353</v>
      </c>
      <c r="M8" s="1">
        <v>203918</v>
      </c>
    </row>
    <row r="9" spans="1:13" x14ac:dyDescent="0.25">
      <c r="A9" s="1">
        <v>1610612757</v>
      </c>
      <c r="B9" s="1" t="s">
        <v>755</v>
      </c>
      <c r="C9" s="1" t="s">
        <v>145</v>
      </c>
      <c r="D9" s="1" t="s">
        <v>1365</v>
      </c>
      <c r="E9" s="1" t="s">
        <v>1335</v>
      </c>
      <c r="F9" s="1" t="s">
        <v>760</v>
      </c>
      <c r="G9" s="1" t="s">
        <v>299</v>
      </c>
      <c r="H9" s="1" t="s">
        <v>1366</v>
      </c>
      <c r="I9" s="1" t="s">
        <v>1367</v>
      </c>
      <c r="J9" s="1">
        <v>20</v>
      </c>
      <c r="K9" s="1" t="s">
        <v>1329</v>
      </c>
      <c r="L9" s="1" t="s">
        <v>1368</v>
      </c>
      <c r="M9" s="1">
        <v>1629658</v>
      </c>
    </row>
    <row r="10" spans="1:13" x14ac:dyDescent="0.25">
      <c r="A10" s="1">
        <v>1610612757</v>
      </c>
      <c r="B10" s="1" t="s">
        <v>755</v>
      </c>
      <c r="C10" s="1" t="s">
        <v>145</v>
      </c>
      <c r="D10" s="1" t="s">
        <v>1369</v>
      </c>
      <c r="E10" s="1" t="s">
        <v>1333</v>
      </c>
      <c r="F10" s="1" t="s">
        <v>1370</v>
      </c>
      <c r="G10" s="1" t="s">
        <v>286</v>
      </c>
      <c r="H10" s="1" t="s">
        <v>1371</v>
      </c>
      <c r="I10" s="1" t="s">
        <v>1372</v>
      </c>
      <c r="J10" s="1">
        <v>19</v>
      </c>
      <c r="K10" s="1" t="s">
        <v>1329</v>
      </c>
      <c r="L10" s="1" t="s">
        <v>1373</v>
      </c>
      <c r="M10" s="1">
        <v>1629642</v>
      </c>
    </row>
    <row r="11" spans="1:13" x14ac:dyDescent="0.25">
      <c r="A11" s="1">
        <v>1610612757</v>
      </c>
      <c r="B11" s="1" t="s">
        <v>755</v>
      </c>
      <c r="C11" s="1" t="s">
        <v>145</v>
      </c>
      <c r="D11" s="1" t="s">
        <v>1374</v>
      </c>
      <c r="E11" s="1" t="s">
        <v>1375</v>
      </c>
      <c r="F11" s="1" t="s">
        <v>1376</v>
      </c>
      <c r="G11" s="1" t="s">
        <v>410</v>
      </c>
      <c r="H11" s="1" t="s">
        <v>1377</v>
      </c>
      <c r="I11" s="1" t="s">
        <v>1378</v>
      </c>
      <c r="J11" s="1">
        <v>23</v>
      </c>
      <c r="K11" s="1" t="s">
        <v>1328</v>
      </c>
      <c r="L11" s="1" t="s">
        <v>1379</v>
      </c>
      <c r="M11" s="1">
        <v>1627746</v>
      </c>
    </row>
    <row r="12" spans="1:13" x14ac:dyDescent="0.25">
      <c r="A12" s="1">
        <v>1610612757</v>
      </c>
      <c r="B12" s="1" t="s">
        <v>755</v>
      </c>
      <c r="C12" s="1" t="s">
        <v>145</v>
      </c>
      <c r="D12" s="1" t="s">
        <v>1380</v>
      </c>
      <c r="E12" s="1" t="s">
        <v>1334</v>
      </c>
      <c r="F12" s="1" t="s">
        <v>1359</v>
      </c>
      <c r="G12" s="1" t="s">
        <v>761</v>
      </c>
      <c r="H12" s="1" t="s">
        <v>1381</v>
      </c>
      <c r="I12" s="1" t="s">
        <v>1382</v>
      </c>
      <c r="J12" s="1">
        <v>30</v>
      </c>
      <c r="K12" s="1" t="s">
        <v>1327</v>
      </c>
      <c r="L12" s="1" t="s">
        <v>1383</v>
      </c>
      <c r="M12" s="1">
        <v>202355</v>
      </c>
    </row>
    <row r="13" spans="1:13" x14ac:dyDescent="0.25">
      <c r="A13" s="1">
        <v>1610612757</v>
      </c>
      <c r="B13" s="1" t="s">
        <v>755</v>
      </c>
      <c r="C13" s="1" t="s">
        <v>145</v>
      </c>
      <c r="D13" s="1" t="s">
        <v>1384</v>
      </c>
      <c r="E13" s="1" t="s">
        <v>1385</v>
      </c>
      <c r="F13" s="1" t="s">
        <v>1325</v>
      </c>
      <c r="G13" s="1" t="s">
        <v>266</v>
      </c>
      <c r="H13" s="1" t="s">
        <v>1344</v>
      </c>
      <c r="I13" s="1" t="s">
        <v>1386</v>
      </c>
      <c r="J13" s="1">
        <v>30</v>
      </c>
      <c r="K13" s="1" t="s">
        <v>1327</v>
      </c>
      <c r="L13" s="1" t="s">
        <v>1387</v>
      </c>
      <c r="M13" s="1">
        <v>203145</v>
      </c>
    </row>
    <row r="14" spans="1:13" x14ac:dyDescent="0.25">
      <c r="A14" s="1">
        <v>1610612757</v>
      </c>
      <c r="B14" s="1" t="s">
        <v>755</v>
      </c>
      <c r="C14" s="1" t="s">
        <v>145</v>
      </c>
      <c r="D14" s="1" t="s">
        <v>1388</v>
      </c>
      <c r="E14" s="1" t="s">
        <v>1389</v>
      </c>
      <c r="F14" s="1" t="s">
        <v>1359</v>
      </c>
      <c r="G14" s="1" t="s">
        <v>761</v>
      </c>
      <c r="H14" s="1" t="s">
        <v>1390</v>
      </c>
      <c r="I14" s="1" t="s">
        <v>1391</v>
      </c>
      <c r="J14" s="1">
        <v>25</v>
      </c>
      <c r="K14" s="1" t="s">
        <v>759</v>
      </c>
      <c r="L14" s="1" t="s">
        <v>1326</v>
      </c>
      <c r="M14" s="1">
        <v>203994</v>
      </c>
    </row>
    <row r="15" spans="1:13" x14ac:dyDescent="0.25">
      <c r="A15" s="1">
        <v>1610612757</v>
      </c>
      <c r="B15" s="1" t="s">
        <v>755</v>
      </c>
      <c r="C15" s="1" t="s">
        <v>145</v>
      </c>
      <c r="D15" s="1" t="s">
        <v>1392</v>
      </c>
      <c r="E15" s="1" t="s">
        <v>1393</v>
      </c>
      <c r="F15" s="1" t="s">
        <v>1376</v>
      </c>
      <c r="G15" s="1" t="s">
        <v>1394</v>
      </c>
      <c r="H15" s="1" t="s">
        <v>1331</v>
      </c>
      <c r="I15" s="1" t="s">
        <v>1395</v>
      </c>
      <c r="J15" s="1">
        <v>22</v>
      </c>
      <c r="K15" s="1" t="s">
        <v>1323</v>
      </c>
      <c r="L15" s="1" t="s">
        <v>1396</v>
      </c>
      <c r="M15" s="1">
        <v>1628380</v>
      </c>
    </row>
    <row r="16" spans="1:13" x14ac:dyDescent="0.25">
      <c r="A16" s="1">
        <v>1610612757</v>
      </c>
      <c r="B16" s="1" t="s">
        <v>755</v>
      </c>
      <c r="C16" s="1" t="s">
        <v>145</v>
      </c>
      <c r="D16" s="1" t="s">
        <v>1397</v>
      </c>
      <c r="E16" s="1" t="s">
        <v>1336</v>
      </c>
      <c r="F16" s="1" t="s">
        <v>760</v>
      </c>
      <c r="G16" s="1" t="s">
        <v>299</v>
      </c>
      <c r="H16" s="1" t="s">
        <v>1330</v>
      </c>
      <c r="I16" s="1" t="s">
        <v>1398</v>
      </c>
      <c r="J16" s="1">
        <v>34</v>
      </c>
      <c r="K16" s="1" t="s">
        <v>1324</v>
      </c>
      <c r="L16" s="1" t="s">
        <v>1399</v>
      </c>
      <c r="M16" s="1">
        <v>201229</v>
      </c>
    </row>
    <row r="17" spans="1:13" x14ac:dyDescent="0.25">
      <c r="A17" s="1">
        <v>1610612757</v>
      </c>
      <c r="B17" s="1" t="s">
        <v>755</v>
      </c>
      <c r="C17" s="1" t="s">
        <v>145</v>
      </c>
      <c r="D17" s="1" t="s">
        <v>1400</v>
      </c>
      <c r="E17" s="1" t="s">
        <v>1401</v>
      </c>
      <c r="F17" s="1" t="s">
        <v>1370</v>
      </c>
      <c r="G17" s="1" t="s">
        <v>299</v>
      </c>
      <c r="H17" s="1" t="s">
        <v>1371</v>
      </c>
      <c r="I17" s="1" t="s">
        <v>1402</v>
      </c>
      <c r="J17" s="1">
        <v>24</v>
      </c>
      <c r="K17" s="1" t="s">
        <v>758</v>
      </c>
      <c r="L17" s="1" t="s">
        <v>1326</v>
      </c>
      <c r="M17" s="1">
        <v>1626209</v>
      </c>
    </row>
    <row r="18" spans="1:1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1610612747</v>
      </c>
      <c r="D2" s="1" t="s">
        <v>147</v>
      </c>
      <c r="E2" s="1" t="s">
        <v>148</v>
      </c>
      <c r="F2" s="1" t="s">
        <v>149</v>
      </c>
      <c r="G2" s="1" t="s">
        <v>150</v>
      </c>
      <c r="H2" s="1">
        <v>1</v>
      </c>
      <c r="I2" s="1" t="s">
        <v>151</v>
      </c>
      <c r="J2" s="1" t="s">
        <v>152</v>
      </c>
      <c r="K2" s="1" t="s">
        <v>153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154</v>
      </c>
      <c r="R2" s="1" t="s">
        <v>150</v>
      </c>
      <c r="S2" s="1" t="s">
        <v>155</v>
      </c>
      <c r="T2" s="1" t="s">
        <v>156</v>
      </c>
      <c r="U2" s="1" t="s">
        <v>150</v>
      </c>
      <c r="V2" s="1" t="s">
        <v>155</v>
      </c>
      <c r="W2" s="1" t="s">
        <v>157</v>
      </c>
      <c r="X2" s="1" t="s">
        <v>157</v>
      </c>
      <c r="Y2" s="1" t="s">
        <v>158</v>
      </c>
      <c r="Z2" s="1">
        <v>4</v>
      </c>
      <c r="AA2" s="1" t="s">
        <v>159</v>
      </c>
      <c r="AB2" s="1">
        <v>4</v>
      </c>
      <c r="AC2" s="1" t="s">
        <v>159</v>
      </c>
      <c r="AD2" s="1">
        <v>7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5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156</v>
      </c>
      <c r="AT2" s="1" t="s">
        <v>153</v>
      </c>
      <c r="AU2" s="1" t="s">
        <v>161</v>
      </c>
      <c r="AV2" s="1" t="s">
        <v>162</v>
      </c>
      <c r="AW2" s="1" t="s">
        <v>163</v>
      </c>
      <c r="AX2" s="1" t="s">
        <v>164</v>
      </c>
      <c r="AY2" s="1" t="s">
        <v>165</v>
      </c>
      <c r="AZ2" s="1" t="s">
        <v>166</v>
      </c>
      <c r="BA2" s="1" t="s">
        <v>166</v>
      </c>
      <c r="BB2" s="1" t="s">
        <v>167</v>
      </c>
      <c r="BC2" s="1" t="s">
        <v>156</v>
      </c>
      <c r="BD2" s="1" t="s">
        <v>168</v>
      </c>
      <c r="BE2" s="1">
        <v>110.9</v>
      </c>
      <c r="BF2" s="1">
        <v>101.1</v>
      </c>
      <c r="BG2" s="1">
        <v>9.8000000000000007</v>
      </c>
      <c r="BH2" s="1" t="s">
        <v>169</v>
      </c>
      <c r="BI2" s="1" t="s">
        <v>170</v>
      </c>
      <c r="BJ2" s="1" t="s">
        <v>171</v>
      </c>
      <c r="BK2" s="1" t="s">
        <v>172</v>
      </c>
      <c r="BL2" s="1" t="s">
        <v>173</v>
      </c>
      <c r="BM2" s="1" t="s">
        <v>174</v>
      </c>
      <c r="BN2" s="1" t="s">
        <v>175</v>
      </c>
      <c r="BO2" s="1" t="s">
        <v>172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175</v>
      </c>
      <c r="BZ2" s="1" t="s">
        <v>176</v>
      </c>
      <c r="CA2" s="1"/>
      <c r="CB2" s="1" t="s">
        <v>154</v>
      </c>
      <c r="CC2" s="1"/>
    </row>
    <row r="3" spans="1:81" x14ac:dyDescent="0.25">
      <c r="A3" s="1" t="s">
        <v>145</v>
      </c>
      <c r="B3" s="1" t="s">
        <v>146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180</v>
      </c>
      <c r="H3" s="1">
        <v>1</v>
      </c>
      <c r="I3" s="1" t="s">
        <v>151</v>
      </c>
      <c r="J3" s="1" t="s">
        <v>181</v>
      </c>
      <c r="K3" s="1" t="s">
        <v>182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183</v>
      </c>
      <c r="R3" s="1" t="s">
        <v>155</v>
      </c>
      <c r="S3" s="1" t="s">
        <v>184</v>
      </c>
      <c r="T3" s="1" t="s">
        <v>156</v>
      </c>
      <c r="U3" s="1" t="s">
        <v>155</v>
      </c>
      <c r="V3" s="1" t="s">
        <v>184</v>
      </c>
      <c r="W3" s="1" t="s">
        <v>185</v>
      </c>
      <c r="X3" s="1" t="s">
        <v>186</v>
      </c>
      <c r="Y3" s="1" t="s">
        <v>187</v>
      </c>
      <c r="Z3" s="1">
        <v>4</v>
      </c>
      <c r="AA3" s="1" t="s">
        <v>159</v>
      </c>
      <c r="AB3" s="1">
        <v>4</v>
      </c>
      <c r="AC3" s="1" t="s">
        <v>159</v>
      </c>
      <c r="AD3" s="1">
        <v>6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6</v>
      </c>
      <c r="AK3" s="1" t="s">
        <v>188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184</v>
      </c>
      <c r="AT3" s="1" t="s">
        <v>155</v>
      </c>
      <c r="AU3" s="1" t="s">
        <v>161</v>
      </c>
      <c r="AV3" s="1" t="s">
        <v>189</v>
      </c>
      <c r="AW3" s="1" t="s">
        <v>190</v>
      </c>
      <c r="AX3" s="1" t="s">
        <v>161</v>
      </c>
      <c r="AY3" s="1" t="s">
        <v>191</v>
      </c>
      <c r="AZ3" s="1" t="s">
        <v>192</v>
      </c>
      <c r="BA3" s="1" t="s">
        <v>193</v>
      </c>
      <c r="BB3" s="1" t="s">
        <v>189</v>
      </c>
      <c r="BC3" s="1" t="s">
        <v>167</v>
      </c>
      <c r="BD3" s="1" t="s">
        <v>155</v>
      </c>
      <c r="BE3" s="1">
        <v>120.8</v>
      </c>
      <c r="BF3" s="1">
        <v>111.5</v>
      </c>
      <c r="BG3" s="1">
        <v>9.3000000000000007</v>
      </c>
      <c r="BH3" s="1" t="s">
        <v>194</v>
      </c>
      <c r="BI3" s="1" t="s">
        <v>195</v>
      </c>
      <c r="BJ3" s="1" t="s">
        <v>196</v>
      </c>
      <c r="BK3" s="1" t="s">
        <v>197</v>
      </c>
      <c r="BL3" s="1" t="s">
        <v>198</v>
      </c>
      <c r="BM3" s="1" t="s">
        <v>175</v>
      </c>
      <c r="BN3" s="1" t="s">
        <v>171</v>
      </c>
      <c r="BO3" s="1" t="s">
        <v>171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199</v>
      </c>
      <c r="BZ3" s="1" t="s">
        <v>200</v>
      </c>
      <c r="CA3" s="1"/>
      <c r="CB3" s="1" t="s">
        <v>183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1610612745</v>
      </c>
      <c r="D6" s="1" t="s">
        <v>229</v>
      </c>
      <c r="E6" s="1" t="s">
        <v>230</v>
      </c>
      <c r="F6" s="1" t="s">
        <v>149</v>
      </c>
      <c r="G6" s="1" t="s">
        <v>150</v>
      </c>
      <c r="H6" s="1">
        <v>3</v>
      </c>
      <c r="I6" s="1" t="s">
        <v>151</v>
      </c>
      <c r="J6" s="1" t="s">
        <v>231</v>
      </c>
      <c r="K6" s="1" t="s">
        <v>232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233</v>
      </c>
      <c r="R6" s="1" t="s">
        <v>187</v>
      </c>
      <c r="S6" s="1" t="s">
        <v>234</v>
      </c>
      <c r="T6" s="1" t="s">
        <v>184</v>
      </c>
      <c r="U6" s="1" t="s">
        <v>187</v>
      </c>
      <c r="V6" s="1" t="s">
        <v>234</v>
      </c>
      <c r="W6" s="1" t="s">
        <v>161</v>
      </c>
      <c r="X6" s="1" t="s">
        <v>163</v>
      </c>
      <c r="Y6" s="1" t="s">
        <v>235</v>
      </c>
      <c r="Z6" s="1">
        <v>6</v>
      </c>
      <c r="AA6" s="1" t="s">
        <v>188</v>
      </c>
      <c r="AB6" s="1">
        <v>4</v>
      </c>
      <c r="AC6" s="1" t="s">
        <v>159</v>
      </c>
      <c r="AD6" s="1">
        <v>8</v>
      </c>
      <c r="AE6" s="1">
        <v>2</v>
      </c>
      <c r="AF6" s="1">
        <v>6</v>
      </c>
      <c r="AG6" s="1" t="s">
        <v>188</v>
      </c>
      <c r="AH6" s="1">
        <v>-1</v>
      </c>
      <c r="AI6" s="1" t="s">
        <v>207</v>
      </c>
      <c r="AJ6" s="1">
        <v>-1</v>
      </c>
      <c r="AK6" s="1" t="s">
        <v>207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236</v>
      </c>
      <c r="AU6" s="1" t="s">
        <v>157</v>
      </c>
      <c r="AV6" s="1" t="s">
        <v>156</v>
      </c>
      <c r="AW6" s="1" t="s">
        <v>236</v>
      </c>
      <c r="AX6" s="1" t="s">
        <v>161</v>
      </c>
      <c r="AY6" s="1" t="s">
        <v>237</v>
      </c>
      <c r="AZ6" s="1" t="s">
        <v>238</v>
      </c>
      <c r="BA6" s="1" t="s">
        <v>226</v>
      </c>
      <c r="BB6" s="1" t="s">
        <v>205</v>
      </c>
      <c r="BC6" s="1" t="s">
        <v>187</v>
      </c>
      <c r="BD6" s="1" t="s">
        <v>187</v>
      </c>
      <c r="BE6" s="1">
        <v>117.9</v>
      </c>
      <c r="BF6" s="1">
        <v>113.1</v>
      </c>
      <c r="BG6" s="1">
        <v>4.7</v>
      </c>
      <c r="BH6" s="1" t="s">
        <v>239</v>
      </c>
      <c r="BI6" s="1" t="s">
        <v>170</v>
      </c>
      <c r="BJ6" s="1" t="s">
        <v>197</v>
      </c>
      <c r="BK6" s="1" t="s">
        <v>195</v>
      </c>
      <c r="BL6" s="1" t="s">
        <v>173</v>
      </c>
      <c r="BM6" s="1" t="s">
        <v>175</v>
      </c>
      <c r="BN6" s="1" t="s">
        <v>174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175</v>
      </c>
      <c r="BZ6" s="1" t="s">
        <v>240</v>
      </c>
      <c r="CA6" s="1"/>
      <c r="CB6" s="1" t="s">
        <v>233</v>
      </c>
      <c r="CC6" s="1"/>
    </row>
    <row r="7" spans="1:81" x14ac:dyDescent="0.25">
      <c r="A7" s="1" t="s">
        <v>145</v>
      </c>
      <c r="B7" s="1" t="s">
        <v>146</v>
      </c>
      <c r="C7" s="1">
        <v>1610612748</v>
      </c>
      <c r="D7" s="1" t="s">
        <v>241</v>
      </c>
      <c r="E7" s="1" t="s">
        <v>242</v>
      </c>
      <c r="F7" s="1" t="s">
        <v>179</v>
      </c>
      <c r="G7" s="1" t="s">
        <v>243</v>
      </c>
      <c r="H7" s="1">
        <v>3</v>
      </c>
      <c r="I7" s="1" t="s">
        <v>151</v>
      </c>
      <c r="J7" s="1" t="s">
        <v>244</v>
      </c>
      <c r="K7" s="1" t="s">
        <v>163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220</v>
      </c>
      <c r="R7" s="1" t="s">
        <v>243</v>
      </c>
      <c r="S7" s="1" t="s">
        <v>245</v>
      </c>
      <c r="T7" s="1" t="s">
        <v>184</v>
      </c>
      <c r="U7" s="1" t="s">
        <v>243</v>
      </c>
      <c r="V7" s="1" t="s">
        <v>245</v>
      </c>
      <c r="W7" s="1" t="s">
        <v>157</v>
      </c>
      <c r="X7" s="1" t="s">
        <v>161</v>
      </c>
      <c r="Y7" s="1" t="s">
        <v>180</v>
      </c>
      <c r="Z7" s="1">
        <v>6</v>
      </c>
      <c r="AA7" s="1" t="s">
        <v>188</v>
      </c>
      <c r="AB7" s="1">
        <v>1</v>
      </c>
      <c r="AC7" s="1" t="s">
        <v>246</v>
      </c>
      <c r="AD7" s="1">
        <v>4</v>
      </c>
      <c r="AE7" s="1">
        <v>1</v>
      </c>
      <c r="AF7" s="1">
        <v>6</v>
      </c>
      <c r="AG7" s="1" t="s">
        <v>188</v>
      </c>
      <c r="AH7" s="1">
        <v>1</v>
      </c>
      <c r="AI7" s="1" t="s">
        <v>246</v>
      </c>
      <c r="AJ7" s="1">
        <v>4</v>
      </c>
      <c r="AK7" s="1" t="s">
        <v>159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224</v>
      </c>
      <c r="AU7" s="1" t="s">
        <v>161</v>
      </c>
      <c r="AV7" s="1" t="s">
        <v>150</v>
      </c>
      <c r="AW7" s="1" t="s">
        <v>224</v>
      </c>
      <c r="AX7" s="1" t="s">
        <v>161</v>
      </c>
      <c r="AY7" s="1" t="s">
        <v>210</v>
      </c>
      <c r="AZ7" s="1" t="s">
        <v>166</v>
      </c>
      <c r="BA7" s="1" t="s">
        <v>206</v>
      </c>
      <c r="BB7" s="1" t="s">
        <v>210</v>
      </c>
      <c r="BC7" s="1" t="s">
        <v>247</v>
      </c>
      <c r="BD7" s="1" t="s">
        <v>208</v>
      </c>
      <c r="BE7" s="1">
        <v>112.2</v>
      </c>
      <c r="BF7" s="1">
        <v>103.7</v>
      </c>
      <c r="BG7" s="1">
        <v>8.5</v>
      </c>
      <c r="BH7" s="1" t="s">
        <v>248</v>
      </c>
      <c r="BI7" s="1" t="s">
        <v>215</v>
      </c>
      <c r="BJ7" s="1" t="s">
        <v>196</v>
      </c>
      <c r="BK7" s="1" t="s">
        <v>174</v>
      </c>
      <c r="BL7" s="1" t="s">
        <v>249</v>
      </c>
      <c r="BM7" s="1" t="s">
        <v>250</v>
      </c>
      <c r="BN7" s="1" t="s">
        <v>195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169</v>
      </c>
      <c r="BZ7" s="1" t="s">
        <v>227</v>
      </c>
      <c r="CA7" s="1"/>
      <c r="CB7" s="1" t="s">
        <v>220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262</v>
      </c>
      <c r="H22" s="1">
        <v>11</v>
      </c>
      <c r="I22" s="1" t="s">
        <v>151</v>
      </c>
      <c r="J22" s="1" t="s">
        <v>244</v>
      </c>
      <c r="K22" s="1" t="s">
        <v>185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351</v>
      </c>
      <c r="R22" s="1" t="s">
        <v>236</v>
      </c>
      <c r="S22" s="1" t="s">
        <v>300</v>
      </c>
      <c r="T22" s="1" t="s">
        <v>341</v>
      </c>
      <c r="U22" s="1" t="s">
        <v>236</v>
      </c>
      <c r="V22" s="1" t="s">
        <v>300</v>
      </c>
      <c r="W22" s="1" t="s">
        <v>161</v>
      </c>
      <c r="X22" s="1" t="s">
        <v>164</v>
      </c>
      <c r="Y22" s="1" t="s">
        <v>226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1</v>
      </c>
      <c r="AE22" s="1">
        <v>3</v>
      </c>
      <c r="AF22" s="1">
        <v>1</v>
      </c>
      <c r="AG22" s="1" t="s">
        <v>246</v>
      </c>
      <c r="AH22" s="1">
        <v>-1</v>
      </c>
      <c r="AI22" s="1" t="s">
        <v>207</v>
      </c>
      <c r="AJ22" s="1">
        <v>1</v>
      </c>
      <c r="AK22" s="1" t="s">
        <v>246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153</v>
      </c>
      <c r="AT22" s="1" t="s">
        <v>328</v>
      </c>
      <c r="AU22" s="1" t="s">
        <v>185</v>
      </c>
      <c r="AV22" s="1" t="s">
        <v>155</v>
      </c>
      <c r="AW22" s="1" t="s">
        <v>359</v>
      </c>
      <c r="AX22" s="1" t="s">
        <v>161</v>
      </c>
      <c r="AY22" s="1" t="s">
        <v>360</v>
      </c>
      <c r="AZ22" s="1" t="s">
        <v>320</v>
      </c>
      <c r="BA22" s="1" t="s">
        <v>304</v>
      </c>
      <c r="BB22" s="1" t="s">
        <v>254</v>
      </c>
      <c r="BC22" s="1" t="s">
        <v>186</v>
      </c>
      <c r="BD22" s="1" t="s">
        <v>264</v>
      </c>
      <c r="BE22" s="1">
        <v>119.7</v>
      </c>
      <c r="BF22" s="1">
        <v>121.1</v>
      </c>
      <c r="BG22" s="1">
        <v>-1.4</v>
      </c>
      <c r="BH22" s="1" t="s">
        <v>344</v>
      </c>
      <c r="BI22" s="1" t="s">
        <v>170</v>
      </c>
      <c r="BJ22" s="1" t="s">
        <v>267</v>
      </c>
      <c r="BK22" s="1" t="s">
        <v>170</v>
      </c>
      <c r="BL22" s="1" t="s">
        <v>295</v>
      </c>
      <c r="BM22" s="1" t="s">
        <v>197</v>
      </c>
      <c r="BN22" s="1" t="s">
        <v>215</v>
      </c>
      <c r="BO22" s="1" t="s">
        <v>282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305</v>
      </c>
      <c r="CA22" s="1"/>
      <c r="CB22" s="1" t="s">
        <v>351</v>
      </c>
      <c r="CC22" s="1"/>
    </row>
    <row r="23" spans="1:81" x14ac:dyDescent="0.25">
      <c r="A23" s="1" t="s">
        <v>145</v>
      </c>
      <c r="B23" s="1" t="s">
        <v>146</v>
      </c>
      <c r="C23" s="1">
        <v>1610612763</v>
      </c>
      <c r="D23" s="1" t="s">
        <v>361</v>
      </c>
      <c r="E23" s="1" t="s">
        <v>362</v>
      </c>
      <c r="F23" s="1" t="s">
        <v>149</v>
      </c>
      <c r="G23" s="1" t="s">
        <v>333</v>
      </c>
      <c r="H23" s="1">
        <v>11</v>
      </c>
      <c r="I23" s="1" t="s">
        <v>151</v>
      </c>
      <c r="J23" s="1" t="s">
        <v>231</v>
      </c>
      <c r="K23" s="1" t="s">
        <v>190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363</v>
      </c>
      <c r="R23" s="1" t="s">
        <v>333</v>
      </c>
      <c r="S23" s="1" t="s">
        <v>236</v>
      </c>
      <c r="T23" s="1" t="s">
        <v>310</v>
      </c>
      <c r="U23" s="1" t="s">
        <v>333</v>
      </c>
      <c r="V23" s="1" t="s">
        <v>236</v>
      </c>
      <c r="W23" s="1" t="s">
        <v>157</v>
      </c>
      <c r="X23" s="1" t="s">
        <v>232</v>
      </c>
      <c r="Y23" s="1" t="s">
        <v>328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3</v>
      </c>
      <c r="AE23" s="1">
        <v>3</v>
      </c>
      <c r="AF23" s="1">
        <v>-2</v>
      </c>
      <c r="AG23" s="1" t="s">
        <v>279</v>
      </c>
      <c r="AH23" s="1">
        <v>2</v>
      </c>
      <c r="AI23" s="1" t="s">
        <v>222</v>
      </c>
      <c r="AJ23" s="1">
        <v>-2</v>
      </c>
      <c r="AK23" s="1" t="s">
        <v>279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245</v>
      </c>
      <c r="AT23" s="1" t="s">
        <v>328</v>
      </c>
      <c r="AU23" s="1" t="s">
        <v>161</v>
      </c>
      <c r="AV23" s="1" t="s">
        <v>224</v>
      </c>
      <c r="AW23" s="1" t="s">
        <v>341</v>
      </c>
      <c r="AX23" s="1" t="s">
        <v>161</v>
      </c>
      <c r="AY23" s="1" t="s">
        <v>340</v>
      </c>
      <c r="AZ23" s="1" t="s">
        <v>342</v>
      </c>
      <c r="BA23" s="1" t="s">
        <v>310</v>
      </c>
      <c r="BB23" s="1" t="s">
        <v>158</v>
      </c>
      <c r="BC23" s="1" t="s">
        <v>245</v>
      </c>
      <c r="BD23" s="1" t="s">
        <v>208</v>
      </c>
      <c r="BE23" s="1">
        <v>109</v>
      </c>
      <c r="BF23" s="1">
        <v>118.4</v>
      </c>
      <c r="BG23" s="1">
        <v>-9.4</v>
      </c>
      <c r="BH23" s="1" t="s">
        <v>275</v>
      </c>
      <c r="BI23" s="1" t="s">
        <v>171</v>
      </c>
      <c r="BJ23" s="1" t="s">
        <v>170</v>
      </c>
      <c r="BK23" s="1" t="s">
        <v>267</v>
      </c>
      <c r="BL23" s="1" t="s">
        <v>364</v>
      </c>
      <c r="BM23" s="1" t="s">
        <v>197</v>
      </c>
      <c r="BN23" s="1" t="s">
        <v>356</v>
      </c>
      <c r="BO23" s="1" t="s">
        <v>267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323</v>
      </c>
      <c r="CA23" s="1"/>
      <c r="CB23" s="1" t="s">
        <v>363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1610612759</v>
      </c>
      <c r="D26" s="1" t="s">
        <v>374</v>
      </c>
      <c r="E26" s="1" t="s">
        <v>375</v>
      </c>
      <c r="F26" s="1" t="s">
        <v>149</v>
      </c>
      <c r="G26" s="1" t="s">
        <v>333</v>
      </c>
      <c r="H26" s="1">
        <v>13</v>
      </c>
      <c r="I26" s="1" t="s">
        <v>151</v>
      </c>
      <c r="J26" s="1" t="s">
        <v>231</v>
      </c>
      <c r="K26" s="1" t="s">
        <v>164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349</v>
      </c>
      <c r="R26" s="1" t="s">
        <v>254</v>
      </c>
      <c r="S26" s="1" t="s">
        <v>328</v>
      </c>
      <c r="T26" s="1" t="s">
        <v>376</v>
      </c>
      <c r="U26" s="1" t="s">
        <v>254</v>
      </c>
      <c r="V26" s="1" t="s">
        <v>328</v>
      </c>
      <c r="W26" s="1" t="s">
        <v>161</v>
      </c>
      <c r="X26" s="1" t="s">
        <v>260</v>
      </c>
      <c r="Y26" s="1" t="s">
        <v>190</v>
      </c>
      <c r="Z26" s="1">
        <v>3</v>
      </c>
      <c r="AA26" s="1" t="s">
        <v>223</v>
      </c>
      <c r="AB26" s="1">
        <v>-5</v>
      </c>
      <c r="AC26" s="1" t="s">
        <v>272</v>
      </c>
      <c r="AD26" s="1">
        <v>3</v>
      </c>
      <c r="AE26" s="1">
        <v>7</v>
      </c>
      <c r="AF26" s="1">
        <v>-3</v>
      </c>
      <c r="AG26" s="1" t="s">
        <v>301</v>
      </c>
      <c r="AH26" s="1">
        <v>-5</v>
      </c>
      <c r="AI26" s="1" t="s">
        <v>272</v>
      </c>
      <c r="AJ26" s="1">
        <v>-7</v>
      </c>
      <c r="AK26" s="1" t="s">
        <v>377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157</v>
      </c>
      <c r="AV26" s="1" t="s">
        <v>245</v>
      </c>
      <c r="AW26" s="1" t="s">
        <v>332</v>
      </c>
      <c r="AX26" s="1" t="s">
        <v>161</v>
      </c>
      <c r="AY26" s="1" t="s">
        <v>303</v>
      </c>
      <c r="AZ26" s="1" t="s">
        <v>378</v>
      </c>
      <c r="BA26" s="1" t="s">
        <v>309</v>
      </c>
      <c r="BB26" s="1" t="s">
        <v>245</v>
      </c>
      <c r="BC26" s="1" t="s">
        <v>265</v>
      </c>
      <c r="BD26" s="1" t="s">
        <v>262</v>
      </c>
      <c r="BE26" s="1">
        <v>113.5</v>
      </c>
      <c r="BF26" s="1">
        <v>116.2</v>
      </c>
      <c r="BG26" s="1">
        <v>-2.7</v>
      </c>
      <c r="BH26" s="1" t="s">
        <v>274</v>
      </c>
      <c r="BI26" s="1" t="s">
        <v>195</v>
      </c>
      <c r="BJ26" s="1" t="s">
        <v>215</v>
      </c>
      <c r="BK26" s="1" t="s">
        <v>282</v>
      </c>
      <c r="BL26" s="1" t="s">
        <v>364</v>
      </c>
      <c r="BM26" s="1" t="s">
        <v>199</v>
      </c>
      <c r="BN26" s="1" t="s">
        <v>267</v>
      </c>
      <c r="BO26" s="1" t="s">
        <v>250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175</v>
      </c>
      <c r="BZ26" s="1" t="s">
        <v>379</v>
      </c>
      <c r="CA26" s="1"/>
      <c r="CB26" s="1" t="s">
        <v>349</v>
      </c>
      <c r="CC26" s="1"/>
    </row>
    <row r="27" spans="1:81" x14ac:dyDescent="0.25">
      <c r="A27" s="1" t="s">
        <v>145</v>
      </c>
      <c r="B27" s="1" t="s">
        <v>146</v>
      </c>
      <c r="C27" s="1">
        <v>1610612765</v>
      </c>
      <c r="D27" s="1" t="s">
        <v>380</v>
      </c>
      <c r="E27" s="1" t="s">
        <v>381</v>
      </c>
      <c r="F27" s="1" t="s">
        <v>179</v>
      </c>
      <c r="G27" s="1" t="s">
        <v>382</v>
      </c>
      <c r="H27" s="1">
        <v>13</v>
      </c>
      <c r="I27" s="1" t="s">
        <v>151</v>
      </c>
      <c r="J27" s="1" t="s">
        <v>181</v>
      </c>
      <c r="K27" s="1" t="s">
        <v>236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371</v>
      </c>
      <c r="R27" s="1" t="s">
        <v>226</v>
      </c>
      <c r="S27" s="1" t="s">
        <v>332</v>
      </c>
      <c r="T27" s="1" t="s">
        <v>320</v>
      </c>
      <c r="U27" s="1" t="s">
        <v>226</v>
      </c>
      <c r="V27" s="1" t="s">
        <v>332</v>
      </c>
      <c r="W27" s="1" t="s">
        <v>161</v>
      </c>
      <c r="X27" s="1" t="s">
        <v>186</v>
      </c>
      <c r="Y27" s="1" t="s">
        <v>262</v>
      </c>
      <c r="Z27" s="1">
        <v>3</v>
      </c>
      <c r="AA27" s="1" t="s">
        <v>223</v>
      </c>
      <c r="AB27" s="1">
        <v>-7</v>
      </c>
      <c r="AC27" s="1" t="s">
        <v>377</v>
      </c>
      <c r="AD27" s="1">
        <v>1</v>
      </c>
      <c r="AE27" s="1">
        <v>5</v>
      </c>
      <c r="AF27" s="1">
        <v>-1</v>
      </c>
      <c r="AG27" s="1" t="s">
        <v>207</v>
      </c>
      <c r="AH27" s="1">
        <v>-7</v>
      </c>
      <c r="AI27" s="1" t="s">
        <v>377</v>
      </c>
      <c r="AJ27" s="1">
        <v>-5</v>
      </c>
      <c r="AK27" s="1" t="s">
        <v>272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161</v>
      </c>
      <c r="AV27" s="1" t="s">
        <v>232</v>
      </c>
      <c r="AW27" s="1" t="s">
        <v>368</v>
      </c>
      <c r="AX27" s="1" t="s">
        <v>164</v>
      </c>
      <c r="AY27" s="1" t="s">
        <v>360</v>
      </c>
      <c r="AZ27" s="1" t="s">
        <v>350</v>
      </c>
      <c r="BA27" s="1" t="s">
        <v>328</v>
      </c>
      <c r="BB27" s="1" t="s">
        <v>226</v>
      </c>
      <c r="BC27" s="1" t="s">
        <v>264</v>
      </c>
      <c r="BD27" s="1" t="s">
        <v>190</v>
      </c>
      <c r="BE27" s="1">
        <v>107.3</v>
      </c>
      <c r="BF27" s="1">
        <v>112</v>
      </c>
      <c r="BG27" s="1">
        <v>-4.7</v>
      </c>
      <c r="BH27" s="1" t="s">
        <v>383</v>
      </c>
      <c r="BI27" s="1" t="s">
        <v>199</v>
      </c>
      <c r="BJ27" s="1" t="s">
        <v>275</v>
      </c>
      <c r="BK27" s="1" t="s">
        <v>372</v>
      </c>
      <c r="BL27" s="1" t="s">
        <v>170</v>
      </c>
      <c r="BM27" s="1" t="s">
        <v>170</v>
      </c>
      <c r="BN27" s="1" t="s">
        <v>215</v>
      </c>
      <c r="BO27" s="1" t="s">
        <v>215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275</v>
      </c>
      <c r="BZ27" s="1" t="s">
        <v>373</v>
      </c>
      <c r="CA27" s="1"/>
      <c r="CB27" s="1" t="s">
        <v>371</v>
      </c>
      <c r="CC27" s="1"/>
    </row>
    <row r="28" spans="1:81" x14ac:dyDescent="0.25">
      <c r="A28" s="1" t="s">
        <v>145</v>
      </c>
      <c r="B28" s="1" t="s">
        <v>146</v>
      </c>
      <c r="C28" s="1">
        <v>1610612757</v>
      </c>
      <c r="D28" s="1" t="s">
        <v>384</v>
      </c>
      <c r="E28" s="1" t="s">
        <v>385</v>
      </c>
      <c r="F28" s="1" t="s">
        <v>149</v>
      </c>
      <c r="G28" s="1" t="s">
        <v>312</v>
      </c>
      <c r="H28" s="1">
        <v>14</v>
      </c>
      <c r="I28" s="1" t="s">
        <v>151</v>
      </c>
      <c r="J28" s="1" t="s">
        <v>219</v>
      </c>
      <c r="K28" s="1" t="s">
        <v>186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386</v>
      </c>
      <c r="R28" s="1" t="s">
        <v>262</v>
      </c>
      <c r="S28" s="1" t="s">
        <v>312</v>
      </c>
      <c r="T28" s="1" t="s">
        <v>320</v>
      </c>
      <c r="U28" s="1" t="s">
        <v>262</v>
      </c>
      <c r="V28" s="1" t="s">
        <v>341</v>
      </c>
      <c r="W28" s="1" t="s">
        <v>157</v>
      </c>
      <c r="X28" s="1" t="s">
        <v>224</v>
      </c>
      <c r="Y28" s="1" t="s">
        <v>224</v>
      </c>
      <c r="Z28" s="1">
        <v>-3</v>
      </c>
      <c r="AA28" s="1" t="s">
        <v>301</v>
      </c>
      <c r="AB28" s="1">
        <v>-3</v>
      </c>
      <c r="AC28" s="1" t="s">
        <v>301</v>
      </c>
      <c r="AD28" s="1">
        <v>2</v>
      </c>
      <c r="AE28" s="1">
        <v>4</v>
      </c>
      <c r="AF28" s="1">
        <v>-1</v>
      </c>
      <c r="AG28" s="1" t="s">
        <v>207</v>
      </c>
      <c r="AH28" s="1">
        <v>-3</v>
      </c>
      <c r="AI28" s="1" t="s">
        <v>301</v>
      </c>
      <c r="AJ28" s="1">
        <v>-3</v>
      </c>
      <c r="AK28" s="1" t="s">
        <v>301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309</v>
      </c>
      <c r="AT28" s="1" t="s">
        <v>328</v>
      </c>
      <c r="AU28" s="1" t="s">
        <v>157</v>
      </c>
      <c r="AV28" s="1" t="s">
        <v>339</v>
      </c>
      <c r="AW28" s="1" t="s">
        <v>320</v>
      </c>
      <c r="AX28" s="1" t="s">
        <v>163</v>
      </c>
      <c r="AY28" s="1" t="s">
        <v>378</v>
      </c>
      <c r="AZ28" s="1" t="s">
        <v>387</v>
      </c>
      <c r="BA28" s="1" t="s">
        <v>332</v>
      </c>
      <c r="BB28" s="1" t="s">
        <v>235</v>
      </c>
      <c r="BC28" s="1" t="s">
        <v>153</v>
      </c>
      <c r="BD28" s="1" t="s">
        <v>304</v>
      </c>
      <c r="BE28" s="1">
        <v>113</v>
      </c>
      <c r="BF28" s="1">
        <v>116.7</v>
      </c>
      <c r="BG28" s="1">
        <v>-3.7</v>
      </c>
      <c r="BH28" s="1" t="s">
        <v>344</v>
      </c>
      <c r="BI28" s="1" t="s">
        <v>356</v>
      </c>
      <c r="BJ28" s="1" t="s">
        <v>170</v>
      </c>
      <c r="BK28" s="1" t="s">
        <v>171</v>
      </c>
      <c r="BL28" s="1" t="s">
        <v>388</v>
      </c>
      <c r="BM28" s="1" t="s">
        <v>195</v>
      </c>
      <c r="BN28" s="1" t="s">
        <v>282</v>
      </c>
      <c r="BO28" s="1" t="s">
        <v>275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228</v>
      </c>
      <c r="BZ28" s="1" t="s">
        <v>379</v>
      </c>
      <c r="CA28" s="1"/>
      <c r="CB28" s="1" t="s">
        <v>386</v>
      </c>
      <c r="CC28" s="1"/>
    </row>
    <row r="29" spans="1:81" x14ac:dyDescent="0.25">
      <c r="A29" s="1" t="s">
        <v>145</v>
      </c>
      <c r="B29" s="1" t="s">
        <v>146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382</v>
      </c>
      <c r="H29" s="1">
        <v>14</v>
      </c>
      <c r="I29" s="1" t="s">
        <v>151</v>
      </c>
      <c r="J29" s="1" t="s">
        <v>181</v>
      </c>
      <c r="K29" s="1" t="s">
        <v>224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371</v>
      </c>
      <c r="R29" s="1" t="s">
        <v>292</v>
      </c>
      <c r="S29" s="1" t="s">
        <v>311</v>
      </c>
      <c r="T29" s="1" t="s">
        <v>320</v>
      </c>
      <c r="U29" s="1" t="s">
        <v>292</v>
      </c>
      <c r="V29" s="1" t="s">
        <v>311</v>
      </c>
      <c r="W29" s="1" t="s">
        <v>161</v>
      </c>
      <c r="X29" s="1" t="s">
        <v>185</v>
      </c>
      <c r="Y29" s="1" t="s">
        <v>333</v>
      </c>
      <c r="Z29" s="1">
        <v>-4</v>
      </c>
      <c r="AA29" s="1" t="s">
        <v>263</v>
      </c>
      <c r="AB29" s="1">
        <v>-3</v>
      </c>
      <c r="AC29" s="1" t="s">
        <v>301</v>
      </c>
      <c r="AD29" s="1">
        <v>2</v>
      </c>
      <c r="AE29" s="1">
        <v>5</v>
      </c>
      <c r="AF29" s="1">
        <v>-4</v>
      </c>
      <c r="AG29" s="1" t="s">
        <v>263</v>
      </c>
      <c r="AH29" s="1">
        <v>-3</v>
      </c>
      <c r="AI29" s="1" t="s">
        <v>301</v>
      </c>
      <c r="AJ29" s="1">
        <v>-5</v>
      </c>
      <c r="AK29" s="1" t="s">
        <v>272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232</v>
      </c>
      <c r="AT29" s="1" t="s">
        <v>391</v>
      </c>
      <c r="AU29" s="1" t="s">
        <v>161</v>
      </c>
      <c r="AV29" s="1" t="s">
        <v>232</v>
      </c>
      <c r="AW29" s="1" t="s">
        <v>391</v>
      </c>
      <c r="AX29" s="1" t="s">
        <v>161</v>
      </c>
      <c r="AY29" s="1" t="s">
        <v>271</v>
      </c>
      <c r="AZ29" s="1" t="s">
        <v>320</v>
      </c>
      <c r="BA29" s="1" t="s">
        <v>392</v>
      </c>
      <c r="BB29" s="1" t="s">
        <v>153</v>
      </c>
      <c r="BC29" s="1" t="s">
        <v>153</v>
      </c>
      <c r="BD29" s="1" t="s">
        <v>292</v>
      </c>
      <c r="BE29" s="1">
        <v>104.1</v>
      </c>
      <c r="BF29" s="1">
        <v>109.9</v>
      </c>
      <c r="BG29" s="1">
        <v>-5.8</v>
      </c>
      <c r="BH29" s="1" t="s">
        <v>383</v>
      </c>
      <c r="BI29" s="1" t="s">
        <v>344</v>
      </c>
      <c r="BJ29" s="1" t="s">
        <v>199</v>
      </c>
      <c r="BK29" s="1" t="s">
        <v>282</v>
      </c>
      <c r="BL29" s="1" t="s">
        <v>170</v>
      </c>
      <c r="BM29" s="1" t="s">
        <v>215</v>
      </c>
      <c r="BN29" s="1" t="s">
        <v>215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199</v>
      </c>
      <c r="BZ29" s="1" t="s">
        <v>393</v>
      </c>
      <c r="CA29" s="1"/>
      <c r="CB29" s="1" t="s">
        <v>371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762</v>
      </c>
      <c r="C2" s="1">
        <v>1610612744</v>
      </c>
      <c r="D2" s="1" t="s">
        <v>399</v>
      </c>
      <c r="E2" s="1" t="s">
        <v>400</v>
      </c>
      <c r="F2" s="1" t="s">
        <v>149</v>
      </c>
      <c r="G2" s="1" t="s">
        <v>763</v>
      </c>
      <c r="H2" s="1">
        <v>1</v>
      </c>
      <c r="I2" s="1" t="s">
        <v>764</v>
      </c>
      <c r="J2" s="1" t="s">
        <v>152</v>
      </c>
      <c r="K2" s="1" t="s">
        <v>765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766</v>
      </c>
      <c r="R2" s="1" t="s">
        <v>767</v>
      </c>
      <c r="S2" s="1" t="s">
        <v>768</v>
      </c>
      <c r="T2" s="1" t="s">
        <v>184</v>
      </c>
      <c r="U2" s="1" t="s">
        <v>193</v>
      </c>
      <c r="V2" s="1" t="s">
        <v>193</v>
      </c>
      <c r="W2" s="1" t="s">
        <v>319</v>
      </c>
      <c r="X2" s="1" t="s">
        <v>314</v>
      </c>
      <c r="Y2" s="1" t="s">
        <v>769</v>
      </c>
      <c r="Z2" s="1">
        <v>6</v>
      </c>
      <c r="AA2" s="1" t="s">
        <v>188</v>
      </c>
      <c r="AB2" s="1">
        <v>11</v>
      </c>
      <c r="AC2" s="1" t="s">
        <v>770</v>
      </c>
      <c r="AD2" s="1">
        <v>11</v>
      </c>
      <c r="AE2" s="1">
        <v>4</v>
      </c>
      <c r="AF2" s="1">
        <v>5</v>
      </c>
      <c r="AG2" s="1" t="s">
        <v>160</v>
      </c>
      <c r="AH2" s="1">
        <v>-1</v>
      </c>
      <c r="AI2" s="1" t="s">
        <v>207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771</v>
      </c>
      <c r="AT2" s="1" t="s">
        <v>772</v>
      </c>
      <c r="AU2" s="1" t="s">
        <v>232</v>
      </c>
      <c r="AV2" s="1" t="s">
        <v>773</v>
      </c>
      <c r="AW2" s="1" t="s">
        <v>774</v>
      </c>
      <c r="AX2" s="1" t="s">
        <v>185</v>
      </c>
      <c r="AY2" s="1" t="s">
        <v>775</v>
      </c>
      <c r="AZ2" s="1" t="s">
        <v>776</v>
      </c>
      <c r="BA2" s="1" t="s">
        <v>777</v>
      </c>
      <c r="BB2" s="1" t="s">
        <v>778</v>
      </c>
      <c r="BC2" s="1" t="s">
        <v>779</v>
      </c>
      <c r="BD2" s="1" t="s">
        <v>780</v>
      </c>
      <c r="BE2" s="1">
        <v>117.7</v>
      </c>
      <c r="BF2" s="1">
        <v>111.2</v>
      </c>
      <c r="BG2" s="1">
        <v>6.5</v>
      </c>
      <c r="BH2" s="1" t="s">
        <v>781</v>
      </c>
      <c r="BI2" s="1" t="s">
        <v>266</v>
      </c>
      <c r="BJ2" s="1" t="s">
        <v>216</v>
      </c>
      <c r="BK2" s="1" t="s">
        <v>216</v>
      </c>
      <c r="BL2" s="1" t="s">
        <v>763</v>
      </c>
      <c r="BM2" s="1" t="s">
        <v>782</v>
      </c>
      <c r="BN2" s="1" t="s">
        <v>783</v>
      </c>
      <c r="BO2" s="1" t="s">
        <v>784</v>
      </c>
      <c r="BP2" s="1" t="s">
        <v>785</v>
      </c>
      <c r="BQ2" s="1" t="s">
        <v>786</v>
      </c>
      <c r="BR2" s="1" t="s">
        <v>270</v>
      </c>
      <c r="BS2" s="1" t="s">
        <v>198</v>
      </c>
      <c r="BT2" s="1"/>
      <c r="BU2" s="1"/>
      <c r="BV2" s="1"/>
      <c r="BW2" s="1"/>
      <c r="BX2" s="1"/>
      <c r="BY2" s="1" t="s">
        <v>173</v>
      </c>
      <c r="BZ2" s="1" t="s">
        <v>326</v>
      </c>
      <c r="CA2" s="1" t="s">
        <v>261</v>
      </c>
      <c r="CB2" s="1" t="s">
        <v>787</v>
      </c>
      <c r="CC2" s="1" t="s">
        <v>788</v>
      </c>
    </row>
    <row r="3" spans="1:81" x14ac:dyDescent="0.25">
      <c r="A3" s="1" t="s">
        <v>145</v>
      </c>
      <c r="B3" s="1" t="s">
        <v>762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789</v>
      </c>
      <c r="H3" s="1">
        <v>1</v>
      </c>
      <c r="I3" s="1" t="s">
        <v>790</v>
      </c>
      <c r="J3" s="1" t="s">
        <v>181</v>
      </c>
      <c r="K3" s="1" t="s">
        <v>791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792</v>
      </c>
      <c r="R3" s="1" t="s">
        <v>793</v>
      </c>
      <c r="S3" s="1" t="s">
        <v>768</v>
      </c>
      <c r="T3" s="1" t="s">
        <v>193</v>
      </c>
      <c r="U3" s="1" t="s">
        <v>193</v>
      </c>
      <c r="V3" s="1" t="s">
        <v>265</v>
      </c>
      <c r="W3" s="1" t="s">
        <v>339</v>
      </c>
      <c r="X3" s="1" t="s">
        <v>340</v>
      </c>
      <c r="Y3" s="1" t="s">
        <v>794</v>
      </c>
      <c r="Z3" s="1">
        <v>6</v>
      </c>
      <c r="AA3" s="1" t="s">
        <v>188</v>
      </c>
      <c r="AB3" s="1">
        <v>10</v>
      </c>
      <c r="AC3" s="1" t="s">
        <v>795</v>
      </c>
      <c r="AD3" s="1">
        <v>7</v>
      </c>
      <c r="AE3" s="1">
        <v>2</v>
      </c>
      <c r="AF3" s="1">
        <v>-1</v>
      </c>
      <c r="AG3" s="1" t="s">
        <v>207</v>
      </c>
      <c r="AH3" s="1">
        <v>2</v>
      </c>
      <c r="AI3" s="1" t="s">
        <v>222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796</v>
      </c>
      <c r="AT3" s="1" t="s">
        <v>797</v>
      </c>
      <c r="AU3" s="1" t="s">
        <v>161</v>
      </c>
      <c r="AV3" s="1" t="s">
        <v>798</v>
      </c>
      <c r="AW3" s="1" t="s">
        <v>799</v>
      </c>
      <c r="AX3" s="1" t="s">
        <v>186</v>
      </c>
      <c r="AY3" s="1" t="s">
        <v>800</v>
      </c>
      <c r="AZ3" s="1" t="s">
        <v>801</v>
      </c>
      <c r="BA3" s="1" t="s">
        <v>802</v>
      </c>
      <c r="BB3" s="1" t="s">
        <v>803</v>
      </c>
      <c r="BC3" s="1" t="s">
        <v>804</v>
      </c>
      <c r="BD3" s="1" t="s">
        <v>805</v>
      </c>
      <c r="BE3" s="1">
        <v>118.1</v>
      </c>
      <c r="BF3" s="1">
        <v>109.3</v>
      </c>
      <c r="BG3" s="1">
        <v>8.9</v>
      </c>
      <c r="BH3" s="1" t="s">
        <v>789</v>
      </c>
      <c r="BI3" s="1" t="s">
        <v>806</v>
      </c>
      <c r="BJ3" s="1" t="s">
        <v>807</v>
      </c>
      <c r="BK3" s="1" t="s">
        <v>806</v>
      </c>
      <c r="BL3" s="1" t="s">
        <v>808</v>
      </c>
      <c r="BM3" s="1" t="s">
        <v>266</v>
      </c>
      <c r="BN3" s="1" t="s">
        <v>266</v>
      </c>
      <c r="BO3" s="1" t="s">
        <v>216</v>
      </c>
      <c r="BP3" s="1" t="s">
        <v>183</v>
      </c>
      <c r="BQ3" s="1" t="s">
        <v>200</v>
      </c>
      <c r="BR3" s="1" t="s">
        <v>809</v>
      </c>
      <c r="BS3" s="1" t="s">
        <v>228</v>
      </c>
      <c r="BT3" s="1"/>
      <c r="BU3" s="1"/>
      <c r="BV3" s="1"/>
      <c r="BW3" s="1"/>
      <c r="BX3" s="1"/>
      <c r="BY3" s="1" t="s">
        <v>761</v>
      </c>
      <c r="BZ3" s="1" t="s">
        <v>291</v>
      </c>
      <c r="CA3" s="1" t="s">
        <v>253</v>
      </c>
      <c r="CB3" s="1" t="s">
        <v>810</v>
      </c>
      <c r="CC3" s="1" t="s">
        <v>811</v>
      </c>
    </row>
    <row r="4" spans="1:81" x14ac:dyDescent="0.25">
      <c r="A4" s="1" t="s">
        <v>145</v>
      </c>
      <c r="B4" s="1" t="s">
        <v>762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812</v>
      </c>
      <c r="H4" s="1">
        <v>2</v>
      </c>
      <c r="I4" s="1" t="s">
        <v>813</v>
      </c>
      <c r="J4" s="1" t="s">
        <v>203</v>
      </c>
      <c r="K4" s="1" t="s">
        <v>814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815</v>
      </c>
      <c r="R4" s="1" t="s">
        <v>816</v>
      </c>
      <c r="S4" s="1" t="s">
        <v>817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818</v>
      </c>
      <c r="Y4" s="1" t="s">
        <v>819</v>
      </c>
      <c r="Z4" s="1">
        <v>10</v>
      </c>
      <c r="AA4" s="1" t="s">
        <v>795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820</v>
      </c>
      <c r="AT4" s="1" t="s">
        <v>821</v>
      </c>
      <c r="AU4" s="1" t="s">
        <v>185</v>
      </c>
      <c r="AV4" s="1" t="s">
        <v>822</v>
      </c>
      <c r="AW4" s="1" t="s">
        <v>823</v>
      </c>
      <c r="AX4" s="1" t="s">
        <v>157</v>
      </c>
      <c r="AY4" s="1" t="s">
        <v>824</v>
      </c>
      <c r="AZ4" s="1" t="s">
        <v>825</v>
      </c>
      <c r="BA4" s="1" t="s">
        <v>826</v>
      </c>
      <c r="BB4" s="1" t="s">
        <v>827</v>
      </c>
      <c r="BC4" s="1" t="s">
        <v>828</v>
      </c>
      <c r="BD4" s="1" t="s">
        <v>829</v>
      </c>
      <c r="BE4" s="1">
        <v>114.4</v>
      </c>
      <c r="BF4" s="1">
        <v>108.4</v>
      </c>
      <c r="BG4" s="1">
        <v>6.1</v>
      </c>
      <c r="BH4" s="1" t="s">
        <v>812</v>
      </c>
      <c r="BI4" s="1" t="s">
        <v>830</v>
      </c>
      <c r="BJ4" s="1" t="s">
        <v>784</v>
      </c>
      <c r="BK4" s="1" t="s">
        <v>831</v>
      </c>
      <c r="BL4" s="1" t="s">
        <v>781</v>
      </c>
      <c r="BM4" s="1" t="s">
        <v>266</v>
      </c>
      <c r="BN4" s="1" t="s">
        <v>832</v>
      </c>
      <c r="BO4" s="1" t="s">
        <v>266</v>
      </c>
      <c r="BP4" s="1" t="s">
        <v>261</v>
      </c>
      <c r="BQ4" s="1" t="s">
        <v>173</v>
      </c>
      <c r="BR4" s="1" t="s">
        <v>833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834</v>
      </c>
      <c r="CC4" s="1" t="s">
        <v>835</v>
      </c>
    </row>
    <row r="5" spans="1:81" x14ac:dyDescent="0.25">
      <c r="A5" s="1" t="s">
        <v>145</v>
      </c>
      <c r="B5" s="1" t="s">
        <v>762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836</v>
      </c>
      <c r="H5" s="1">
        <v>2</v>
      </c>
      <c r="I5" s="1" t="s">
        <v>837</v>
      </c>
      <c r="J5" s="1" t="s">
        <v>219</v>
      </c>
      <c r="K5" s="1" t="s">
        <v>814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838</v>
      </c>
      <c r="R5" s="1" t="s">
        <v>839</v>
      </c>
      <c r="S5" s="1" t="s">
        <v>840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765</v>
      </c>
      <c r="Y5" s="1" t="s">
        <v>841</v>
      </c>
      <c r="Z5" s="1">
        <v>12</v>
      </c>
      <c r="AA5" s="1" t="s">
        <v>842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843</v>
      </c>
      <c r="AT5" s="1" t="s">
        <v>844</v>
      </c>
      <c r="AU5" s="1" t="s">
        <v>185</v>
      </c>
      <c r="AV5" s="1" t="s">
        <v>845</v>
      </c>
      <c r="AW5" s="1" t="s">
        <v>846</v>
      </c>
      <c r="AX5" s="1" t="s">
        <v>155</v>
      </c>
      <c r="AY5" s="1" t="s">
        <v>847</v>
      </c>
      <c r="AZ5" s="1" t="s">
        <v>848</v>
      </c>
      <c r="BA5" s="1" t="s">
        <v>849</v>
      </c>
      <c r="BB5" s="1" t="s">
        <v>850</v>
      </c>
      <c r="BC5" s="1" t="s">
        <v>851</v>
      </c>
      <c r="BD5" s="1" t="s">
        <v>852</v>
      </c>
      <c r="BE5" s="1">
        <v>110.7</v>
      </c>
      <c r="BF5" s="1">
        <v>106.7</v>
      </c>
      <c r="BG5" s="1">
        <v>4</v>
      </c>
      <c r="BH5" s="1" t="s">
        <v>808</v>
      </c>
      <c r="BI5" s="1" t="s">
        <v>296</v>
      </c>
      <c r="BJ5" s="1" t="s">
        <v>266</v>
      </c>
      <c r="BK5" s="1" t="s">
        <v>296</v>
      </c>
      <c r="BL5" s="1" t="s">
        <v>836</v>
      </c>
      <c r="BM5" s="1" t="s">
        <v>830</v>
      </c>
      <c r="BN5" s="1" t="s">
        <v>782</v>
      </c>
      <c r="BO5" s="1" t="s">
        <v>784</v>
      </c>
      <c r="BP5" s="1" t="s">
        <v>830</v>
      </c>
      <c r="BQ5" s="1" t="s">
        <v>786</v>
      </c>
      <c r="BR5" s="1" t="s">
        <v>833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833</v>
      </c>
      <c r="CA5" s="1" t="s">
        <v>853</v>
      </c>
      <c r="CB5" s="1" t="s">
        <v>854</v>
      </c>
      <c r="CC5" s="1" t="s">
        <v>855</v>
      </c>
    </row>
    <row r="6" spans="1:81" x14ac:dyDescent="0.25">
      <c r="A6" s="1" t="s">
        <v>145</v>
      </c>
      <c r="B6" s="1" t="s">
        <v>762</v>
      </c>
      <c r="C6" s="1">
        <v>1610612755</v>
      </c>
      <c r="D6" s="1" t="s">
        <v>268</v>
      </c>
      <c r="E6" s="1" t="s">
        <v>269</v>
      </c>
      <c r="F6" s="1" t="s">
        <v>179</v>
      </c>
      <c r="G6" s="1" t="s">
        <v>856</v>
      </c>
      <c r="H6" s="1">
        <v>3</v>
      </c>
      <c r="I6" s="1" t="s">
        <v>857</v>
      </c>
      <c r="J6" s="1" t="s">
        <v>203</v>
      </c>
      <c r="K6" s="1" t="s">
        <v>858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859</v>
      </c>
      <c r="R6" s="1" t="s">
        <v>860</v>
      </c>
      <c r="S6" s="1" t="s">
        <v>840</v>
      </c>
      <c r="T6" s="1" t="s">
        <v>310</v>
      </c>
      <c r="U6" s="1" t="s">
        <v>193</v>
      </c>
      <c r="V6" s="1" t="s">
        <v>310</v>
      </c>
      <c r="W6" s="1" t="s">
        <v>236</v>
      </c>
      <c r="X6" s="1" t="s">
        <v>861</v>
      </c>
      <c r="Y6" s="1" t="s">
        <v>862</v>
      </c>
      <c r="Z6" s="1">
        <v>10</v>
      </c>
      <c r="AA6" s="1" t="s">
        <v>795</v>
      </c>
      <c r="AB6" s="1">
        <v>-5</v>
      </c>
      <c r="AC6" s="1" t="s">
        <v>272</v>
      </c>
      <c r="AD6" s="1">
        <v>6</v>
      </c>
      <c r="AE6" s="1">
        <v>3</v>
      </c>
      <c r="AF6" s="1">
        <v>1</v>
      </c>
      <c r="AG6" s="1" t="s">
        <v>246</v>
      </c>
      <c r="AH6" s="1">
        <v>-1</v>
      </c>
      <c r="AI6" s="1" t="s">
        <v>207</v>
      </c>
      <c r="AJ6" s="1">
        <v>1</v>
      </c>
      <c r="AK6" s="1" t="s">
        <v>246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863</v>
      </c>
      <c r="AT6" s="1" t="s">
        <v>864</v>
      </c>
      <c r="AU6" s="1" t="s">
        <v>208</v>
      </c>
      <c r="AV6" s="1" t="s">
        <v>771</v>
      </c>
      <c r="AW6" s="1" t="s">
        <v>865</v>
      </c>
      <c r="AX6" s="1" t="s">
        <v>186</v>
      </c>
      <c r="AY6" s="1" t="s">
        <v>866</v>
      </c>
      <c r="AZ6" s="1" t="s">
        <v>867</v>
      </c>
      <c r="BA6" s="1" t="s">
        <v>868</v>
      </c>
      <c r="BB6" s="1" t="s">
        <v>851</v>
      </c>
      <c r="BC6" s="1" t="s">
        <v>787</v>
      </c>
      <c r="BD6" s="1" t="s">
        <v>869</v>
      </c>
      <c r="BE6" s="1">
        <v>115.2</v>
      </c>
      <c r="BF6" s="1">
        <v>112.5</v>
      </c>
      <c r="BG6" s="1">
        <v>2.7</v>
      </c>
      <c r="BH6" s="1" t="s">
        <v>856</v>
      </c>
      <c r="BI6" s="1" t="s">
        <v>870</v>
      </c>
      <c r="BJ6" s="1" t="s">
        <v>782</v>
      </c>
      <c r="BK6" s="1" t="s">
        <v>871</v>
      </c>
      <c r="BL6" s="1" t="s">
        <v>808</v>
      </c>
      <c r="BM6" s="1" t="s">
        <v>266</v>
      </c>
      <c r="BN6" s="1" t="s">
        <v>216</v>
      </c>
      <c r="BO6" s="1" t="s">
        <v>266</v>
      </c>
      <c r="BP6" s="1" t="s">
        <v>233</v>
      </c>
      <c r="BQ6" s="1" t="s">
        <v>266</v>
      </c>
      <c r="BR6" s="1" t="s">
        <v>270</v>
      </c>
      <c r="BS6" s="1" t="s">
        <v>274</v>
      </c>
      <c r="BT6" s="1"/>
      <c r="BU6" s="1"/>
      <c r="BV6" s="1"/>
      <c r="BW6" s="1"/>
      <c r="BX6" s="1"/>
      <c r="BY6" s="1" t="s">
        <v>343</v>
      </c>
      <c r="BZ6" s="1" t="s">
        <v>830</v>
      </c>
      <c r="CA6" s="1" t="s">
        <v>872</v>
      </c>
      <c r="CB6" s="1" t="s">
        <v>873</v>
      </c>
      <c r="CC6" s="1" t="s">
        <v>874</v>
      </c>
    </row>
    <row r="7" spans="1:81" x14ac:dyDescent="0.25">
      <c r="A7" s="1" t="s">
        <v>145</v>
      </c>
      <c r="B7" s="1" t="s">
        <v>762</v>
      </c>
      <c r="C7" s="1">
        <v>1610612757</v>
      </c>
      <c r="D7" s="1" t="s">
        <v>384</v>
      </c>
      <c r="E7" s="1" t="s">
        <v>385</v>
      </c>
      <c r="F7" s="1" t="s">
        <v>149</v>
      </c>
      <c r="G7" s="1" t="s">
        <v>875</v>
      </c>
      <c r="H7" s="1">
        <v>3</v>
      </c>
      <c r="I7" s="1" t="s">
        <v>857</v>
      </c>
      <c r="J7" s="1" t="s">
        <v>219</v>
      </c>
      <c r="K7" s="1" t="s">
        <v>876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877</v>
      </c>
      <c r="R7" s="1" t="s">
        <v>816</v>
      </c>
      <c r="S7" s="1" t="s">
        <v>878</v>
      </c>
      <c r="T7" s="1" t="s">
        <v>184</v>
      </c>
      <c r="U7" s="1" t="s">
        <v>156</v>
      </c>
      <c r="V7" s="1" t="s">
        <v>259</v>
      </c>
      <c r="W7" s="1" t="s">
        <v>235</v>
      </c>
      <c r="X7" s="1" t="s">
        <v>310</v>
      </c>
      <c r="Y7" s="1" t="s">
        <v>879</v>
      </c>
      <c r="Z7" s="1">
        <v>8</v>
      </c>
      <c r="AA7" s="1" t="s">
        <v>880</v>
      </c>
      <c r="AB7" s="1">
        <v>-6</v>
      </c>
      <c r="AC7" s="1" t="s">
        <v>367</v>
      </c>
      <c r="AD7" s="1">
        <v>6</v>
      </c>
      <c r="AE7" s="1">
        <v>3</v>
      </c>
      <c r="AF7" s="1">
        <v>8</v>
      </c>
      <c r="AG7" s="1" t="s">
        <v>880</v>
      </c>
      <c r="AH7" s="1">
        <v>1</v>
      </c>
      <c r="AI7" s="1" t="s">
        <v>246</v>
      </c>
      <c r="AJ7" s="1">
        <v>3</v>
      </c>
      <c r="AK7" s="1" t="s">
        <v>223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881</v>
      </c>
      <c r="AT7" s="1" t="s">
        <v>882</v>
      </c>
      <c r="AU7" s="1" t="s">
        <v>260</v>
      </c>
      <c r="AV7" s="1" t="s">
        <v>883</v>
      </c>
      <c r="AW7" s="1" t="s">
        <v>884</v>
      </c>
      <c r="AX7" s="1" t="s">
        <v>161</v>
      </c>
      <c r="AY7" s="1" t="s">
        <v>885</v>
      </c>
      <c r="AZ7" s="1" t="s">
        <v>886</v>
      </c>
      <c r="BA7" s="1" t="s">
        <v>887</v>
      </c>
      <c r="BB7" s="1" t="s">
        <v>888</v>
      </c>
      <c r="BC7" s="1" t="s">
        <v>889</v>
      </c>
      <c r="BD7" s="1" t="s">
        <v>890</v>
      </c>
      <c r="BE7" s="1">
        <v>114.7</v>
      </c>
      <c r="BF7" s="1">
        <v>110.5</v>
      </c>
      <c r="BG7" s="1">
        <v>4.2</v>
      </c>
      <c r="BH7" s="1" t="s">
        <v>891</v>
      </c>
      <c r="BI7" s="1" t="s">
        <v>176</v>
      </c>
      <c r="BJ7" s="1" t="s">
        <v>216</v>
      </c>
      <c r="BK7" s="1" t="s">
        <v>296</v>
      </c>
      <c r="BL7" s="1" t="s">
        <v>875</v>
      </c>
      <c r="BM7" s="1" t="s">
        <v>410</v>
      </c>
      <c r="BN7" s="1" t="s">
        <v>782</v>
      </c>
      <c r="BO7" s="1" t="s">
        <v>871</v>
      </c>
      <c r="BP7" s="1" t="s">
        <v>233</v>
      </c>
      <c r="BQ7" s="1" t="s">
        <v>256</v>
      </c>
      <c r="BR7" s="1" t="s">
        <v>261</v>
      </c>
      <c r="BS7" s="1" t="s">
        <v>198</v>
      </c>
      <c r="BT7" s="1"/>
      <c r="BU7" s="1"/>
      <c r="BV7" s="1"/>
      <c r="BW7" s="1"/>
      <c r="BX7" s="1"/>
      <c r="BY7" s="1" t="s">
        <v>255</v>
      </c>
      <c r="BZ7" s="1" t="s">
        <v>308</v>
      </c>
      <c r="CA7" s="1" t="s">
        <v>308</v>
      </c>
      <c r="CB7" s="1" t="s">
        <v>892</v>
      </c>
      <c r="CC7" s="1" t="s">
        <v>893</v>
      </c>
    </row>
    <row r="8" spans="1:81" x14ac:dyDescent="0.25">
      <c r="A8" s="1" t="s">
        <v>145</v>
      </c>
      <c r="B8" s="1" t="s">
        <v>762</v>
      </c>
      <c r="C8" s="1">
        <v>1610612745</v>
      </c>
      <c r="D8" s="1" t="s">
        <v>229</v>
      </c>
      <c r="E8" s="1" t="s">
        <v>230</v>
      </c>
      <c r="F8" s="1" t="s">
        <v>149</v>
      </c>
      <c r="G8" s="1" t="s">
        <v>894</v>
      </c>
      <c r="H8" s="1">
        <v>4</v>
      </c>
      <c r="I8" s="1" t="s">
        <v>895</v>
      </c>
      <c r="J8" s="1" t="s">
        <v>231</v>
      </c>
      <c r="K8" s="1" t="s">
        <v>896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877</v>
      </c>
      <c r="R8" s="1" t="s">
        <v>860</v>
      </c>
      <c r="S8" s="1" t="s">
        <v>897</v>
      </c>
      <c r="T8" s="1" t="s">
        <v>184</v>
      </c>
      <c r="U8" s="1" t="s">
        <v>156</v>
      </c>
      <c r="V8" s="1" t="s">
        <v>193</v>
      </c>
      <c r="W8" s="1" t="s">
        <v>292</v>
      </c>
      <c r="X8" s="1" t="s">
        <v>898</v>
      </c>
      <c r="Y8" s="1" t="s">
        <v>899</v>
      </c>
      <c r="Z8" s="1">
        <v>10</v>
      </c>
      <c r="AA8" s="1" t="s">
        <v>795</v>
      </c>
      <c r="AB8" s="1">
        <v>6</v>
      </c>
      <c r="AC8" s="1" t="s">
        <v>188</v>
      </c>
      <c r="AD8" s="1">
        <v>9</v>
      </c>
      <c r="AE8" s="1">
        <v>4</v>
      </c>
      <c r="AF8" s="1">
        <v>7</v>
      </c>
      <c r="AG8" s="1" t="s">
        <v>900</v>
      </c>
      <c r="AH8" s="1">
        <v>-1</v>
      </c>
      <c r="AI8" s="1" t="s">
        <v>207</v>
      </c>
      <c r="AJ8" s="1">
        <v>-1</v>
      </c>
      <c r="AK8" s="1" t="s">
        <v>207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901</v>
      </c>
      <c r="AT8" s="1" t="s">
        <v>902</v>
      </c>
      <c r="AU8" s="1" t="s">
        <v>157</v>
      </c>
      <c r="AV8" s="1" t="s">
        <v>903</v>
      </c>
      <c r="AW8" s="1" t="s">
        <v>904</v>
      </c>
      <c r="AX8" s="1" t="s">
        <v>190</v>
      </c>
      <c r="AY8" s="1" t="s">
        <v>847</v>
      </c>
      <c r="AZ8" s="1" t="s">
        <v>905</v>
      </c>
      <c r="BA8" s="1" t="s">
        <v>826</v>
      </c>
      <c r="BB8" s="1" t="s">
        <v>906</v>
      </c>
      <c r="BC8" s="1" t="s">
        <v>907</v>
      </c>
      <c r="BD8" s="1" t="s">
        <v>908</v>
      </c>
      <c r="BE8" s="1">
        <v>113.9</v>
      </c>
      <c r="BF8" s="1">
        <v>109.1</v>
      </c>
      <c r="BG8" s="1">
        <v>4.8</v>
      </c>
      <c r="BH8" s="1" t="s">
        <v>909</v>
      </c>
      <c r="BI8" s="1" t="s">
        <v>216</v>
      </c>
      <c r="BJ8" s="1" t="s">
        <v>266</v>
      </c>
      <c r="BK8" s="1" t="s">
        <v>296</v>
      </c>
      <c r="BL8" s="1" t="s">
        <v>894</v>
      </c>
      <c r="BM8" s="1" t="s">
        <v>910</v>
      </c>
      <c r="BN8" s="1" t="s">
        <v>831</v>
      </c>
      <c r="BO8" s="1" t="s">
        <v>809</v>
      </c>
      <c r="BP8" s="1" t="s">
        <v>291</v>
      </c>
      <c r="BQ8" s="1" t="s">
        <v>853</v>
      </c>
      <c r="BR8" s="1" t="s">
        <v>183</v>
      </c>
      <c r="BS8" s="1" t="s">
        <v>169</v>
      </c>
      <c r="BT8" s="1"/>
      <c r="BU8" s="1"/>
      <c r="BV8" s="1"/>
      <c r="BW8" s="1"/>
      <c r="BX8" s="1"/>
      <c r="BY8" s="1" t="s">
        <v>911</v>
      </c>
      <c r="BZ8" s="1" t="s">
        <v>833</v>
      </c>
      <c r="CA8" s="1" t="s">
        <v>233</v>
      </c>
      <c r="CB8" s="1" t="s">
        <v>912</v>
      </c>
      <c r="CC8" s="1" t="s">
        <v>913</v>
      </c>
    </row>
    <row r="9" spans="1:81" x14ac:dyDescent="0.25">
      <c r="A9" s="1" t="s">
        <v>145</v>
      </c>
      <c r="B9" s="1" t="s">
        <v>762</v>
      </c>
      <c r="C9" s="1">
        <v>1610612738</v>
      </c>
      <c r="D9" s="1" t="s">
        <v>201</v>
      </c>
      <c r="E9" s="1" t="s">
        <v>202</v>
      </c>
      <c r="F9" s="1" t="s">
        <v>179</v>
      </c>
      <c r="G9" s="1" t="s">
        <v>763</v>
      </c>
      <c r="H9" s="1">
        <v>4</v>
      </c>
      <c r="I9" s="1" t="s">
        <v>857</v>
      </c>
      <c r="J9" s="1" t="s">
        <v>203</v>
      </c>
      <c r="K9" s="1" t="s">
        <v>896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914</v>
      </c>
      <c r="R9" s="1" t="s">
        <v>915</v>
      </c>
      <c r="S9" s="1" t="s">
        <v>878</v>
      </c>
      <c r="T9" s="1" t="s">
        <v>259</v>
      </c>
      <c r="U9" s="1" t="s">
        <v>265</v>
      </c>
      <c r="V9" s="1" t="s">
        <v>259</v>
      </c>
      <c r="W9" s="1" t="s">
        <v>182</v>
      </c>
      <c r="X9" s="1" t="s">
        <v>340</v>
      </c>
      <c r="Y9" s="1" t="s">
        <v>916</v>
      </c>
      <c r="Z9" s="1">
        <v>10</v>
      </c>
      <c r="AA9" s="1" t="s">
        <v>795</v>
      </c>
      <c r="AB9" s="1">
        <v>4</v>
      </c>
      <c r="AC9" s="1" t="s">
        <v>159</v>
      </c>
      <c r="AD9" s="1">
        <v>8</v>
      </c>
      <c r="AE9" s="1">
        <v>4</v>
      </c>
      <c r="AF9" s="1">
        <v>-1</v>
      </c>
      <c r="AG9" s="1" t="s">
        <v>207</v>
      </c>
      <c r="AH9" s="1">
        <v>3</v>
      </c>
      <c r="AI9" s="1" t="s">
        <v>223</v>
      </c>
      <c r="AJ9" s="1">
        <v>1</v>
      </c>
      <c r="AK9" s="1" t="s">
        <v>246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917</v>
      </c>
      <c r="AT9" s="1" t="s">
        <v>918</v>
      </c>
      <c r="AU9" s="1" t="s">
        <v>260</v>
      </c>
      <c r="AV9" s="1" t="s">
        <v>919</v>
      </c>
      <c r="AW9" s="1" t="s">
        <v>846</v>
      </c>
      <c r="AX9" s="1" t="s">
        <v>164</v>
      </c>
      <c r="AY9" s="1" t="s">
        <v>920</v>
      </c>
      <c r="AZ9" s="1" t="s">
        <v>921</v>
      </c>
      <c r="BA9" s="1" t="s">
        <v>922</v>
      </c>
      <c r="BB9" s="1" t="s">
        <v>923</v>
      </c>
      <c r="BC9" s="1" t="s">
        <v>805</v>
      </c>
      <c r="BD9" s="1" t="s">
        <v>924</v>
      </c>
      <c r="BE9" s="1">
        <v>112.4</v>
      </c>
      <c r="BF9" s="1">
        <v>108</v>
      </c>
      <c r="BG9" s="1">
        <v>4.4000000000000004</v>
      </c>
      <c r="BH9" s="1" t="s">
        <v>763</v>
      </c>
      <c r="BI9" s="1" t="s">
        <v>809</v>
      </c>
      <c r="BJ9" s="1" t="s">
        <v>806</v>
      </c>
      <c r="BK9" s="1" t="s">
        <v>782</v>
      </c>
      <c r="BL9" s="1" t="s">
        <v>925</v>
      </c>
      <c r="BM9" s="1" t="s">
        <v>323</v>
      </c>
      <c r="BN9" s="1" t="s">
        <v>276</v>
      </c>
      <c r="BO9" s="1" t="s">
        <v>276</v>
      </c>
      <c r="BP9" s="1" t="s">
        <v>233</v>
      </c>
      <c r="BQ9" s="1" t="s">
        <v>316</v>
      </c>
      <c r="BR9" s="1" t="s">
        <v>308</v>
      </c>
      <c r="BS9" s="1" t="s">
        <v>169</v>
      </c>
      <c r="BT9" s="1"/>
      <c r="BU9" s="1"/>
      <c r="BV9" s="1"/>
      <c r="BW9" s="1"/>
      <c r="BX9" s="1"/>
      <c r="BY9" s="1" t="s">
        <v>255</v>
      </c>
      <c r="BZ9" s="1" t="s">
        <v>926</v>
      </c>
      <c r="CA9" s="1" t="s">
        <v>270</v>
      </c>
      <c r="CB9" s="1" t="s">
        <v>873</v>
      </c>
      <c r="CC9" s="1" t="s">
        <v>927</v>
      </c>
    </row>
    <row r="10" spans="1:81" x14ac:dyDescent="0.25">
      <c r="A10" s="1" t="s">
        <v>145</v>
      </c>
      <c r="B10" s="1" t="s">
        <v>762</v>
      </c>
      <c r="C10" s="1">
        <v>1610612754</v>
      </c>
      <c r="D10" s="1" t="s">
        <v>288</v>
      </c>
      <c r="E10" s="1" t="s">
        <v>289</v>
      </c>
      <c r="F10" s="1" t="s">
        <v>179</v>
      </c>
      <c r="G10" s="1" t="s">
        <v>928</v>
      </c>
      <c r="H10" s="1">
        <v>5</v>
      </c>
      <c r="I10" s="1" t="s">
        <v>857</v>
      </c>
      <c r="J10" s="1" t="s">
        <v>181</v>
      </c>
      <c r="K10" s="1" t="s">
        <v>929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930</v>
      </c>
      <c r="R10" s="1" t="s">
        <v>899</v>
      </c>
      <c r="S10" s="1" t="s">
        <v>931</v>
      </c>
      <c r="T10" s="1" t="s">
        <v>310</v>
      </c>
      <c r="U10" s="1" t="s">
        <v>259</v>
      </c>
      <c r="V10" s="1" t="s">
        <v>320</v>
      </c>
      <c r="W10" s="1" t="s">
        <v>157</v>
      </c>
      <c r="X10" s="1" t="s">
        <v>302</v>
      </c>
      <c r="Y10" s="1" t="s">
        <v>932</v>
      </c>
      <c r="Z10" s="1">
        <v>5</v>
      </c>
      <c r="AA10" s="1" t="s">
        <v>160</v>
      </c>
      <c r="AB10" s="1">
        <v>-10</v>
      </c>
      <c r="AC10" s="1" t="s">
        <v>933</v>
      </c>
      <c r="AD10" s="1">
        <v>7</v>
      </c>
      <c r="AE10" s="1">
        <v>4</v>
      </c>
      <c r="AF10" s="1">
        <v>-2</v>
      </c>
      <c r="AG10" s="1" t="s">
        <v>279</v>
      </c>
      <c r="AH10" s="1">
        <v>2</v>
      </c>
      <c r="AI10" s="1" t="s">
        <v>222</v>
      </c>
      <c r="AJ10" s="1">
        <v>1</v>
      </c>
      <c r="AK10" s="1" t="s">
        <v>246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934</v>
      </c>
      <c r="AT10" s="1" t="s">
        <v>935</v>
      </c>
      <c r="AU10" s="1" t="s">
        <v>190</v>
      </c>
      <c r="AV10" s="1" t="s">
        <v>936</v>
      </c>
      <c r="AW10" s="1" t="s">
        <v>937</v>
      </c>
      <c r="AX10" s="1" t="s">
        <v>157</v>
      </c>
      <c r="AY10" s="1" t="s">
        <v>938</v>
      </c>
      <c r="AZ10" s="1" t="s">
        <v>939</v>
      </c>
      <c r="BA10" s="1" t="s">
        <v>940</v>
      </c>
      <c r="BB10" s="1" t="s">
        <v>941</v>
      </c>
      <c r="BC10" s="1" t="s">
        <v>942</v>
      </c>
      <c r="BD10" s="1" t="s">
        <v>943</v>
      </c>
      <c r="BE10" s="1">
        <v>108</v>
      </c>
      <c r="BF10" s="1">
        <v>104.7</v>
      </c>
      <c r="BG10" s="1">
        <v>3.3</v>
      </c>
      <c r="BH10" s="1" t="s">
        <v>928</v>
      </c>
      <c r="BI10" s="1" t="s">
        <v>944</v>
      </c>
      <c r="BJ10" s="1" t="s">
        <v>945</v>
      </c>
      <c r="BK10" s="1" t="s">
        <v>806</v>
      </c>
      <c r="BL10" s="1" t="s">
        <v>946</v>
      </c>
      <c r="BM10" s="1" t="s">
        <v>276</v>
      </c>
      <c r="BN10" s="1" t="s">
        <v>276</v>
      </c>
      <c r="BO10" s="1" t="s">
        <v>276</v>
      </c>
      <c r="BP10" s="1" t="s">
        <v>326</v>
      </c>
      <c r="BQ10" s="1" t="s">
        <v>947</v>
      </c>
      <c r="BR10" s="1" t="s">
        <v>371</v>
      </c>
      <c r="BS10" s="1" t="s">
        <v>228</v>
      </c>
      <c r="BT10" s="1"/>
      <c r="BU10" s="1"/>
      <c r="BV10" s="1"/>
      <c r="BW10" s="1"/>
      <c r="BX10" s="1"/>
      <c r="BY10" s="1" t="s">
        <v>315</v>
      </c>
      <c r="BZ10" s="1" t="s">
        <v>291</v>
      </c>
      <c r="CA10" s="1" t="s">
        <v>183</v>
      </c>
      <c r="CB10" s="1" t="s">
        <v>948</v>
      </c>
      <c r="CC10" s="1" t="s">
        <v>949</v>
      </c>
    </row>
    <row r="11" spans="1:81" x14ac:dyDescent="0.25">
      <c r="A11" s="1" t="s">
        <v>145</v>
      </c>
      <c r="B11" s="1" t="s">
        <v>762</v>
      </c>
      <c r="C11" s="1">
        <v>1610612762</v>
      </c>
      <c r="D11" s="1" t="s">
        <v>283</v>
      </c>
      <c r="E11" s="1" t="s">
        <v>284</v>
      </c>
      <c r="F11" s="1" t="s">
        <v>149</v>
      </c>
      <c r="G11" s="1" t="s">
        <v>950</v>
      </c>
      <c r="H11" s="1">
        <v>5</v>
      </c>
      <c r="I11" s="1" t="s">
        <v>857</v>
      </c>
      <c r="J11" s="1" t="s">
        <v>219</v>
      </c>
      <c r="K11" s="1" t="s">
        <v>858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951</v>
      </c>
      <c r="R11" s="1" t="s">
        <v>899</v>
      </c>
      <c r="S11" s="1" t="s">
        <v>878</v>
      </c>
      <c r="T11" s="1" t="s">
        <v>184</v>
      </c>
      <c r="U11" s="1" t="s">
        <v>184</v>
      </c>
      <c r="V11" s="1" t="s">
        <v>259</v>
      </c>
      <c r="W11" s="1" t="s">
        <v>164</v>
      </c>
      <c r="X11" s="1" t="s">
        <v>359</v>
      </c>
      <c r="Y11" s="1" t="s">
        <v>952</v>
      </c>
      <c r="Z11" s="1">
        <v>8</v>
      </c>
      <c r="AA11" s="1" t="s">
        <v>880</v>
      </c>
      <c r="AB11" s="1">
        <v>-5</v>
      </c>
      <c r="AC11" s="1" t="s">
        <v>272</v>
      </c>
      <c r="AD11" s="1">
        <v>7</v>
      </c>
      <c r="AE11" s="1">
        <v>4</v>
      </c>
      <c r="AF11" s="1">
        <v>8</v>
      </c>
      <c r="AG11" s="1" t="s">
        <v>880</v>
      </c>
      <c r="AH11" s="1">
        <v>-2</v>
      </c>
      <c r="AI11" s="1" t="s">
        <v>279</v>
      </c>
      <c r="AJ11" s="1">
        <v>-1</v>
      </c>
      <c r="AK11" s="1" t="s">
        <v>207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953</v>
      </c>
      <c r="AT11" s="1" t="s">
        <v>954</v>
      </c>
      <c r="AU11" s="1" t="s">
        <v>185</v>
      </c>
      <c r="AV11" s="1" t="s">
        <v>955</v>
      </c>
      <c r="AW11" s="1" t="s">
        <v>956</v>
      </c>
      <c r="AX11" s="1" t="s">
        <v>157</v>
      </c>
      <c r="AY11" s="1" t="s">
        <v>957</v>
      </c>
      <c r="AZ11" s="1" t="s">
        <v>958</v>
      </c>
      <c r="BA11" s="1" t="s">
        <v>959</v>
      </c>
      <c r="BB11" s="1" t="s">
        <v>960</v>
      </c>
      <c r="BC11" s="1" t="s">
        <v>917</v>
      </c>
      <c r="BD11" s="1" t="s">
        <v>961</v>
      </c>
      <c r="BE11" s="1">
        <v>111.7</v>
      </c>
      <c r="BF11" s="1">
        <v>106.5</v>
      </c>
      <c r="BG11" s="1">
        <v>5.3</v>
      </c>
      <c r="BH11" s="1" t="s">
        <v>808</v>
      </c>
      <c r="BI11" s="1" t="s">
        <v>266</v>
      </c>
      <c r="BJ11" s="1" t="s">
        <v>296</v>
      </c>
      <c r="BK11" s="1" t="s">
        <v>296</v>
      </c>
      <c r="BL11" s="1" t="s">
        <v>950</v>
      </c>
      <c r="BM11" s="1" t="s">
        <v>870</v>
      </c>
      <c r="BN11" s="1" t="s">
        <v>782</v>
      </c>
      <c r="BO11" s="1" t="s">
        <v>784</v>
      </c>
      <c r="BP11" s="1" t="s">
        <v>233</v>
      </c>
      <c r="BQ11" s="1" t="s">
        <v>256</v>
      </c>
      <c r="BR11" s="1" t="s">
        <v>233</v>
      </c>
      <c r="BS11" s="1" t="s">
        <v>214</v>
      </c>
      <c r="BT11" s="1"/>
      <c r="BU11" s="1"/>
      <c r="BV11" s="1"/>
      <c r="BW11" s="1"/>
      <c r="BX11" s="1"/>
      <c r="BY11" s="1" t="s">
        <v>249</v>
      </c>
      <c r="BZ11" s="1" t="s">
        <v>962</v>
      </c>
      <c r="CA11" s="1" t="s">
        <v>326</v>
      </c>
      <c r="CB11" s="1" t="s">
        <v>963</v>
      </c>
      <c r="CC11" s="1" t="s">
        <v>964</v>
      </c>
    </row>
    <row r="12" spans="1:81" x14ac:dyDescent="0.25">
      <c r="A12" s="1" t="s">
        <v>145</v>
      </c>
      <c r="B12" s="1" t="s">
        <v>762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965</v>
      </c>
      <c r="H12" s="1">
        <v>6</v>
      </c>
      <c r="I12" s="1" t="s">
        <v>857</v>
      </c>
      <c r="J12" s="1" t="s">
        <v>219</v>
      </c>
      <c r="K12" s="1" t="s">
        <v>966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914</v>
      </c>
      <c r="R12" s="1" t="s">
        <v>768</v>
      </c>
      <c r="S12" s="1" t="s">
        <v>897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967</v>
      </c>
      <c r="Y12" s="1" t="s">
        <v>968</v>
      </c>
      <c r="Z12" s="1">
        <v>7</v>
      </c>
      <c r="AA12" s="1" t="s">
        <v>900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969</v>
      </c>
      <c r="AT12" s="1" t="s">
        <v>970</v>
      </c>
      <c r="AU12" s="1" t="s">
        <v>186</v>
      </c>
      <c r="AV12" s="1" t="s">
        <v>971</v>
      </c>
      <c r="AW12" s="1" t="s">
        <v>972</v>
      </c>
      <c r="AX12" s="1" t="s">
        <v>157</v>
      </c>
      <c r="AY12" s="1" t="s">
        <v>973</v>
      </c>
      <c r="AZ12" s="1" t="s">
        <v>974</v>
      </c>
      <c r="BA12" s="1" t="s">
        <v>975</v>
      </c>
      <c r="BB12" s="1" t="s">
        <v>976</v>
      </c>
      <c r="BC12" s="1" t="s">
        <v>899</v>
      </c>
      <c r="BD12" s="1" t="s">
        <v>977</v>
      </c>
      <c r="BE12" s="1">
        <v>114.5</v>
      </c>
      <c r="BF12" s="1">
        <v>111.1</v>
      </c>
      <c r="BG12" s="1">
        <v>3.4</v>
      </c>
      <c r="BH12" s="1" t="s">
        <v>909</v>
      </c>
      <c r="BI12" s="1" t="s">
        <v>266</v>
      </c>
      <c r="BJ12" s="1" t="s">
        <v>216</v>
      </c>
      <c r="BK12" s="1" t="s">
        <v>296</v>
      </c>
      <c r="BL12" s="1" t="s">
        <v>965</v>
      </c>
      <c r="BM12" s="1" t="s">
        <v>978</v>
      </c>
      <c r="BN12" s="1" t="s">
        <v>784</v>
      </c>
      <c r="BO12" s="1" t="s">
        <v>944</v>
      </c>
      <c r="BP12" s="1" t="s">
        <v>270</v>
      </c>
      <c r="BQ12" s="1" t="s">
        <v>286</v>
      </c>
      <c r="BR12" s="1" t="s">
        <v>410</v>
      </c>
      <c r="BS12" s="1" t="s">
        <v>979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833</v>
      </c>
      <c r="CB12" s="1" t="s">
        <v>980</v>
      </c>
      <c r="CC12" s="1" t="s">
        <v>981</v>
      </c>
    </row>
    <row r="13" spans="1:81" x14ac:dyDescent="0.25">
      <c r="A13" s="1" t="s">
        <v>145</v>
      </c>
      <c r="B13" s="1" t="s">
        <v>762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875</v>
      </c>
      <c r="H13" s="1">
        <v>6</v>
      </c>
      <c r="I13" s="1" t="s">
        <v>857</v>
      </c>
      <c r="J13" s="1" t="s">
        <v>203</v>
      </c>
      <c r="K13" s="1" t="s">
        <v>858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982</v>
      </c>
      <c r="R13" s="1" t="s">
        <v>983</v>
      </c>
      <c r="S13" s="1" t="s">
        <v>931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984</v>
      </c>
      <c r="Y13" s="1" t="s">
        <v>985</v>
      </c>
      <c r="Z13" s="1">
        <v>9</v>
      </c>
      <c r="AA13" s="1" t="s">
        <v>986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879</v>
      </c>
      <c r="AT13" s="1" t="s">
        <v>987</v>
      </c>
      <c r="AU13" s="1" t="s">
        <v>273</v>
      </c>
      <c r="AV13" s="1" t="s">
        <v>988</v>
      </c>
      <c r="AW13" s="1" t="s">
        <v>989</v>
      </c>
      <c r="AX13" s="1" t="s">
        <v>224</v>
      </c>
      <c r="AY13" s="1" t="s">
        <v>990</v>
      </c>
      <c r="AZ13" s="1" t="s">
        <v>991</v>
      </c>
      <c r="BA13" s="1" t="s">
        <v>992</v>
      </c>
      <c r="BB13" s="1" t="s">
        <v>993</v>
      </c>
      <c r="BC13" s="1" t="s">
        <v>852</v>
      </c>
      <c r="BD13" s="1" t="s">
        <v>994</v>
      </c>
      <c r="BE13" s="1">
        <v>112.2</v>
      </c>
      <c r="BF13" s="1">
        <v>112.3</v>
      </c>
      <c r="BG13" s="1">
        <v>-0.1</v>
      </c>
      <c r="BH13" s="1" t="s">
        <v>875</v>
      </c>
      <c r="BI13" s="1" t="s">
        <v>870</v>
      </c>
      <c r="BJ13" s="1" t="s">
        <v>784</v>
      </c>
      <c r="BK13" s="1" t="s">
        <v>871</v>
      </c>
      <c r="BL13" s="1" t="s">
        <v>995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833</v>
      </c>
      <c r="CB13" s="1" t="s">
        <v>996</v>
      </c>
      <c r="CC13" s="1" t="s">
        <v>997</v>
      </c>
    </row>
    <row r="14" spans="1:81" x14ac:dyDescent="0.25">
      <c r="A14" s="1" t="s">
        <v>145</v>
      </c>
      <c r="B14" s="1" t="s">
        <v>762</v>
      </c>
      <c r="C14" s="1">
        <v>1610612753</v>
      </c>
      <c r="D14" s="1" t="s">
        <v>317</v>
      </c>
      <c r="E14" s="1" t="s">
        <v>318</v>
      </c>
      <c r="F14" s="1" t="s">
        <v>179</v>
      </c>
      <c r="G14" s="1" t="s">
        <v>950</v>
      </c>
      <c r="H14" s="1">
        <v>7</v>
      </c>
      <c r="I14" s="1" t="s">
        <v>998</v>
      </c>
      <c r="J14" s="1" t="s">
        <v>244</v>
      </c>
      <c r="K14" s="1" t="s">
        <v>896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982</v>
      </c>
      <c r="R14" s="1" t="s">
        <v>999</v>
      </c>
      <c r="S14" s="1" t="s">
        <v>1000</v>
      </c>
      <c r="T14" s="1" t="s">
        <v>184</v>
      </c>
      <c r="U14" s="1" t="s">
        <v>156</v>
      </c>
      <c r="V14" s="1" t="s">
        <v>310</v>
      </c>
      <c r="W14" s="1" t="s">
        <v>339</v>
      </c>
      <c r="X14" s="1" t="s">
        <v>340</v>
      </c>
      <c r="Y14" s="1" t="s">
        <v>1001</v>
      </c>
      <c r="Z14" s="1">
        <v>9</v>
      </c>
      <c r="AA14" s="1" t="s">
        <v>986</v>
      </c>
      <c r="AB14" s="1">
        <v>-5</v>
      </c>
      <c r="AC14" s="1" t="s">
        <v>272</v>
      </c>
      <c r="AD14" s="1">
        <v>6</v>
      </c>
      <c r="AE14" s="1">
        <v>4</v>
      </c>
      <c r="AF14" s="1">
        <v>9</v>
      </c>
      <c r="AG14" s="1" t="s">
        <v>986</v>
      </c>
      <c r="AH14" s="1">
        <v>2</v>
      </c>
      <c r="AI14" s="1" t="s">
        <v>222</v>
      </c>
      <c r="AJ14" s="1">
        <v>4</v>
      </c>
      <c r="AK14" s="1" t="s">
        <v>159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767</v>
      </c>
      <c r="AT14" s="1" t="s">
        <v>1002</v>
      </c>
      <c r="AU14" s="1" t="s">
        <v>164</v>
      </c>
      <c r="AV14" s="1" t="s">
        <v>1003</v>
      </c>
      <c r="AW14" s="1" t="s">
        <v>1004</v>
      </c>
      <c r="AX14" s="1" t="s">
        <v>185</v>
      </c>
      <c r="AY14" s="1" t="s">
        <v>1005</v>
      </c>
      <c r="AZ14" s="1" t="s">
        <v>1006</v>
      </c>
      <c r="BA14" s="1" t="s">
        <v>1007</v>
      </c>
      <c r="BB14" s="1" t="s">
        <v>1003</v>
      </c>
      <c r="BC14" s="1" t="s">
        <v>915</v>
      </c>
      <c r="BD14" s="1" t="s">
        <v>916</v>
      </c>
      <c r="BE14" s="1">
        <v>107.3</v>
      </c>
      <c r="BF14" s="1">
        <v>106.6</v>
      </c>
      <c r="BG14" s="1">
        <v>0.7</v>
      </c>
      <c r="BH14" s="1" t="s">
        <v>950</v>
      </c>
      <c r="BI14" s="1" t="s">
        <v>871</v>
      </c>
      <c r="BJ14" s="1" t="s">
        <v>944</v>
      </c>
      <c r="BK14" s="1" t="s">
        <v>809</v>
      </c>
      <c r="BL14" s="1" t="s">
        <v>1008</v>
      </c>
      <c r="BM14" s="1" t="s">
        <v>393</v>
      </c>
      <c r="BN14" s="1" t="s">
        <v>323</v>
      </c>
      <c r="BO14" s="1" t="s">
        <v>266</v>
      </c>
      <c r="BP14" s="1" t="s">
        <v>386</v>
      </c>
      <c r="BQ14" s="1" t="s">
        <v>240</v>
      </c>
      <c r="BR14" s="1" t="s">
        <v>270</v>
      </c>
      <c r="BS14" s="1" t="s">
        <v>169</v>
      </c>
      <c r="BT14" s="1"/>
      <c r="BU14" s="1"/>
      <c r="BV14" s="1"/>
      <c r="BW14" s="1"/>
      <c r="BX14" s="1"/>
      <c r="BY14" s="1" t="s">
        <v>345</v>
      </c>
      <c r="BZ14" s="1" t="s">
        <v>978</v>
      </c>
      <c r="CA14" s="1" t="s">
        <v>1009</v>
      </c>
      <c r="CB14" s="1" t="s">
        <v>1010</v>
      </c>
      <c r="CC14" s="1" t="s">
        <v>835</v>
      </c>
    </row>
    <row r="15" spans="1:81" x14ac:dyDescent="0.25">
      <c r="A15" s="1" t="s">
        <v>145</v>
      </c>
      <c r="B15" s="1" t="s">
        <v>762</v>
      </c>
      <c r="C15" s="1">
        <v>1610612759</v>
      </c>
      <c r="D15" s="1" t="s">
        <v>374</v>
      </c>
      <c r="E15" s="1" t="s">
        <v>375</v>
      </c>
      <c r="F15" s="1" t="s">
        <v>149</v>
      </c>
      <c r="G15" s="1" t="s">
        <v>950</v>
      </c>
      <c r="H15" s="1">
        <v>7</v>
      </c>
      <c r="I15" s="1" t="s">
        <v>857</v>
      </c>
      <c r="J15" s="1" t="s">
        <v>231</v>
      </c>
      <c r="K15" s="1" t="s">
        <v>896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930</v>
      </c>
      <c r="R15" s="1" t="s">
        <v>816</v>
      </c>
      <c r="S15" s="1" t="s">
        <v>1011</v>
      </c>
      <c r="T15" s="1" t="s">
        <v>259</v>
      </c>
      <c r="U15" s="1" t="s">
        <v>184</v>
      </c>
      <c r="V15" s="1" t="s">
        <v>265</v>
      </c>
      <c r="W15" s="1" t="s">
        <v>153</v>
      </c>
      <c r="X15" s="1" t="s">
        <v>1012</v>
      </c>
      <c r="Y15" s="1" t="s">
        <v>999</v>
      </c>
      <c r="Z15" s="1">
        <v>11</v>
      </c>
      <c r="AA15" s="1" t="s">
        <v>770</v>
      </c>
      <c r="AB15" s="1">
        <v>-5</v>
      </c>
      <c r="AC15" s="1" t="s">
        <v>272</v>
      </c>
      <c r="AD15" s="1">
        <v>9</v>
      </c>
      <c r="AE15" s="1">
        <v>4</v>
      </c>
      <c r="AF15" s="1">
        <v>2</v>
      </c>
      <c r="AG15" s="1" t="s">
        <v>222</v>
      </c>
      <c r="AH15" s="1">
        <v>2</v>
      </c>
      <c r="AI15" s="1" t="s">
        <v>222</v>
      </c>
      <c r="AJ15" s="1">
        <v>3</v>
      </c>
      <c r="AK15" s="1" t="s">
        <v>223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1013</v>
      </c>
      <c r="AT15" s="1" t="s">
        <v>1014</v>
      </c>
      <c r="AU15" s="1" t="s">
        <v>163</v>
      </c>
      <c r="AV15" s="1" t="s">
        <v>1015</v>
      </c>
      <c r="AW15" s="1" t="s">
        <v>1014</v>
      </c>
      <c r="AX15" s="1" t="s">
        <v>164</v>
      </c>
      <c r="AY15" s="1" t="s">
        <v>1016</v>
      </c>
      <c r="AZ15" s="1" t="s">
        <v>1017</v>
      </c>
      <c r="BA15" s="1" t="s">
        <v>1001</v>
      </c>
      <c r="BB15" s="1" t="s">
        <v>771</v>
      </c>
      <c r="BC15" s="1" t="s">
        <v>1018</v>
      </c>
      <c r="BD15" s="1" t="s">
        <v>1019</v>
      </c>
      <c r="BE15" s="1">
        <v>111.7</v>
      </c>
      <c r="BF15" s="1">
        <v>110</v>
      </c>
      <c r="BG15" s="1">
        <v>1.7</v>
      </c>
      <c r="BH15" s="1" t="s">
        <v>1020</v>
      </c>
      <c r="BI15" s="1" t="s">
        <v>266</v>
      </c>
      <c r="BJ15" s="1" t="s">
        <v>296</v>
      </c>
      <c r="BK15" s="1" t="s">
        <v>276</v>
      </c>
      <c r="BL15" s="1" t="s">
        <v>950</v>
      </c>
      <c r="BM15" s="1" t="s">
        <v>784</v>
      </c>
      <c r="BN15" s="1" t="s">
        <v>784</v>
      </c>
      <c r="BO15" s="1" t="s">
        <v>809</v>
      </c>
      <c r="BP15" s="1" t="s">
        <v>261</v>
      </c>
      <c r="BQ15" s="1" t="s">
        <v>398</v>
      </c>
      <c r="BR15" s="1" t="s">
        <v>253</v>
      </c>
      <c r="BS15" s="1" t="s">
        <v>169</v>
      </c>
      <c r="BT15" s="1"/>
      <c r="BU15" s="1"/>
      <c r="BV15" s="1"/>
      <c r="BW15" s="1"/>
      <c r="BX15" s="1"/>
      <c r="BY15" s="1" t="s">
        <v>255</v>
      </c>
      <c r="BZ15" s="1" t="s">
        <v>349</v>
      </c>
      <c r="CA15" s="1" t="s">
        <v>945</v>
      </c>
      <c r="CB15" s="1" t="s">
        <v>1021</v>
      </c>
      <c r="CC15" s="1" t="s">
        <v>835</v>
      </c>
    </row>
    <row r="16" spans="1:81" x14ac:dyDescent="0.25">
      <c r="A16" s="1" t="s">
        <v>145</v>
      </c>
      <c r="B16" s="1" t="s">
        <v>762</v>
      </c>
      <c r="C16" s="1">
        <v>1610612765</v>
      </c>
      <c r="D16" s="1" t="s">
        <v>380</v>
      </c>
      <c r="E16" s="1" t="s">
        <v>381</v>
      </c>
      <c r="F16" s="1" t="s">
        <v>179</v>
      </c>
      <c r="G16" s="1" t="s">
        <v>1022</v>
      </c>
      <c r="H16" s="1">
        <v>8</v>
      </c>
      <c r="I16" s="1" t="s">
        <v>857</v>
      </c>
      <c r="J16" s="1" t="s">
        <v>181</v>
      </c>
      <c r="K16" s="1" t="s">
        <v>858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1023</v>
      </c>
      <c r="R16" s="1" t="s">
        <v>817</v>
      </c>
      <c r="S16" s="1" t="s">
        <v>1024</v>
      </c>
      <c r="T16" s="1" t="s">
        <v>310</v>
      </c>
      <c r="U16" s="1" t="s">
        <v>184</v>
      </c>
      <c r="V16" s="1" t="s">
        <v>320</v>
      </c>
      <c r="W16" s="1" t="s">
        <v>221</v>
      </c>
      <c r="X16" s="1" t="s">
        <v>355</v>
      </c>
      <c r="Y16" s="1" t="s">
        <v>1025</v>
      </c>
      <c r="Z16" s="1">
        <v>11</v>
      </c>
      <c r="AA16" s="1" t="s">
        <v>770</v>
      </c>
      <c r="AB16" s="1">
        <v>-5</v>
      </c>
      <c r="AC16" s="1" t="s">
        <v>272</v>
      </c>
      <c r="AD16" s="1">
        <v>5</v>
      </c>
      <c r="AE16" s="1">
        <v>6</v>
      </c>
      <c r="AF16" s="1">
        <v>1</v>
      </c>
      <c r="AG16" s="1" t="s">
        <v>246</v>
      </c>
      <c r="AH16" s="1">
        <v>1</v>
      </c>
      <c r="AI16" s="1" t="s">
        <v>246</v>
      </c>
      <c r="AJ16" s="1">
        <v>2</v>
      </c>
      <c r="AK16" s="1" t="s">
        <v>222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1026</v>
      </c>
      <c r="AT16" s="1" t="s">
        <v>1027</v>
      </c>
      <c r="AU16" s="1" t="s">
        <v>186</v>
      </c>
      <c r="AV16" s="1" t="s">
        <v>879</v>
      </c>
      <c r="AW16" s="1" t="s">
        <v>1028</v>
      </c>
      <c r="AX16" s="1" t="s">
        <v>161</v>
      </c>
      <c r="AY16" s="1" t="s">
        <v>1029</v>
      </c>
      <c r="AZ16" s="1" t="s">
        <v>1030</v>
      </c>
      <c r="BA16" s="1" t="s">
        <v>1031</v>
      </c>
      <c r="BB16" s="1" t="s">
        <v>1032</v>
      </c>
      <c r="BC16" s="1" t="s">
        <v>1033</v>
      </c>
      <c r="BD16" s="1" t="s">
        <v>1034</v>
      </c>
      <c r="BE16" s="1">
        <v>107</v>
      </c>
      <c r="BF16" s="1">
        <v>107.3</v>
      </c>
      <c r="BG16" s="1">
        <v>-0.2</v>
      </c>
      <c r="BH16" s="1" t="s">
        <v>1022</v>
      </c>
      <c r="BI16" s="1" t="s">
        <v>784</v>
      </c>
      <c r="BJ16" s="1" t="s">
        <v>870</v>
      </c>
      <c r="BK16" s="1" t="s">
        <v>944</v>
      </c>
      <c r="BL16" s="1" t="s">
        <v>925</v>
      </c>
      <c r="BM16" s="1" t="s">
        <v>323</v>
      </c>
      <c r="BN16" s="1" t="s">
        <v>276</v>
      </c>
      <c r="BO16" s="1" t="s">
        <v>276</v>
      </c>
      <c r="BP16" s="1" t="s">
        <v>410</v>
      </c>
      <c r="BQ16" s="1" t="s">
        <v>296</v>
      </c>
      <c r="BR16" s="1" t="s">
        <v>809</v>
      </c>
      <c r="BS16" s="1" t="s">
        <v>274</v>
      </c>
      <c r="BT16" s="1"/>
      <c r="BU16" s="1"/>
      <c r="BV16" s="1"/>
      <c r="BW16" s="1"/>
      <c r="BX16" s="1"/>
      <c r="BY16" s="1" t="s">
        <v>249</v>
      </c>
      <c r="BZ16" s="1" t="s">
        <v>853</v>
      </c>
      <c r="CA16" s="1" t="s">
        <v>397</v>
      </c>
      <c r="CB16" s="1" t="s">
        <v>1035</v>
      </c>
      <c r="CC16" s="1" t="s">
        <v>1036</v>
      </c>
    </row>
    <row r="17" spans="1:81" x14ac:dyDescent="0.25">
      <c r="A17" s="1" t="s">
        <v>145</v>
      </c>
      <c r="B17" s="1" t="s">
        <v>762</v>
      </c>
      <c r="C17" s="1">
        <v>1610612746</v>
      </c>
      <c r="D17" s="1" t="s">
        <v>257</v>
      </c>
      <c r="E17" s="1" t="s">
        <v>258</v>
      </c>
      <c r="F17" s="1" t="s">
        <v>149</v>
      </c>
      <c r="G17" s="1" t="s">
        <v>965</v>
      </c>
      <c r="H17" s="1">
        <v>8</v>
      </c>
      <c r="I17" s="1" t="s">
        <v>857</v>
      </c>
      <c r="J17" s="1" t="s">
        <v>152</v>
      </c>
      <c r="K17" s="1" t="s">
        <v>929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930</v>
      </c>
      <c r="R17" s="1" t="s">
        <v>817</v>
      </c>
      <c r="S17" s="1" t="s">
        <v>897</v>
      </c>
      <c r="T17" s="1" t="s">
        <v>259</v>
      </c>
      <c r="U17" s="1" t="s">
        <v>193</v>
      </c>
      <c r="V17" s="1" t="s">
        <v>259</v>
      </c>
      <c r="W17" s="1" t="s">
        <v>158</v>
      </c>
      <c r="X17" s="1" t="s">
        <v>166</v>
      </c>
      <c r="Y17" s="1" t="s">
        <v>983</v>
      </c>
      <c r="Z17" s="1">
        <v>9</v>
      </c>
      <c r="AA17" s="1" t="s">
        <v>986</v>
      </c>
      <c r="AB17" s="1">
        <v>5</v>
      </c>
      <c r="AC17" s="1" t="s">
        <v>160</v>
      </c>
      <c r="AD17" s="1">
        <v>6</v>
      </c>
      <c r="AE17" s="1">
        <v>5</v>
      </c>
      <c r="AF17" s="1">
        <v>1</v>
      </c>
      <c r="AG17" s="1" t="s">
        <v>246</v>
      </c>
      <c r="AH17" s="1">
        <v>-2</v>
      </c>
      <c r="AI17" s="1" t="s">
        <v>279</v>
      </c>
      <c r="AJ17" s="1">
        <v>1</v>
      </c>
      <c r="AK17" s="1" t="s">
        <v>246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1003</v>
      </c>
      <c r="AT17" s="1" t="s">
        <v>1037</v>
      </c>
      <c r="AU17" s="1" t="s">
        <v>260</v>
      </c>
      <c r="AV17" s="1" t="s">
        <v>1038</v>
      </c>
      <c r="AW17" s="1" t="s">
        <v>1039</v>
      </c>
      <c r="AX17" s="1" t="s">
        <v>190</v>
      </c>
      <c r="AY17" s="1" t="s">
        <v>1040</v>
      </c>
      <c r="AZ17" s="1" t="s">
        <v>1041</v>
      </c>
      <c r="BA17" s="1" t="s">
        <v>1042</v>
      </c>
      <c r="BB17" s="1" t="s">
        <v>1043</v>
      </c>
      <c r="BC17" s="1" t="s">
        <v>1044</v>
      </c>
      <c r="BD17" s="1" t="s">
        <v>1045</v>
      </c>
      <c r="BE17" s="1">
        <v>115.1</v>
      </c>
      <c r="BF17" s="1">
        <v>114.3</v>
      </c>
      <c r="BG17" s="1">
        <v>0.9</v>
      </c>
      <c r="BH17" s="1" t="s">
        <v>808</v>
      </c>
      <c r="BI17" s="1" t="s">
        <v>266</v>
      </c>
      <c r="BJ17" s="1" t="s">
        <v>296</v>
      </c>
      <c r="BK17" s="1" t="s">
        <v>296</v>
      </c>
      <c r="BL17" s="1" t="s">
        <v>965</v>
      </c>
      <c r="BM17" s="1" t="s">
        <v>1046</v>
      </c>
      <c r="BN17" s="1" t="s">
        <v>945</v>
      </c>
      <c r="BO17" s="1" t="s">
        <v>784</v>
      </c>
      <c r="BP17" s="1" t="s">
        <v>962</v>
      </c>
      <c r="BQ17" s="1" t="s">
        <v>286</v>
      </c>
      <c r="BR17" s="1" t="s">
        <v>1047</v>
      </c>
      <c r="BS17" s="1" t="s">
        <v>282</v>
      </c>
      <c r="BT17" s="1"/>
      <c r="BU17" s="1"/>
      <c r="BV17" s="1"/>
      <c r="BW17" s="1"/>
      <c r="BX17" s="1"/>
      <c r="BY17" s="1" t="s">
        <v>249</v>
      </c>
      <c r="BZ17" s="1" t="s">
        <v>204</v>
      </c>
      <c r="CA17" s="1" t="s">
        <v>337</v>
      </c>
      <c r="CB17" s="1" t="s">
        <v>1048</v>
      </c>
      <c r="CC17" s="1" t="s">
        <v>1049</v>
      </c>
    </row>
    <row r="18" spans="1:81" x14ac:dyDescent="0.25">
      <c r="A18" s="1" t="s">
        <v>145</v>
      </c>
      <c r="B18" s="1" t="s">
        <v>762</v>
      </c>
      <c r="C18" s="1">
        <v>1610612766</v>
      </c>
      <c r="D18" s="1" t="s">
        <v>335</v>
      </c>
      <c r="E18" s="1" t="s">
        <v>336</v>
      </c>
      <c r="F18" s="1" t="s">
        <v>179</v>
      </c>
      <c r="G18" s="1" t="s">
        <v>875</v>
      </c>
      <c r="H18" s="1">
        <v>9</v>
      </c>
      <c r="I18" s="1" t="s">
        <v>1050</v>
      </c>
      <c r="J18" s="1" t="s">
        <v>244</v>
      </c>
      <c r="K18" s="1" t="s">
        <v>896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1051</v>
      </c>
      <c r="R18" s="1" t="s">
        <v>999</v>
      </c>
      <c r="S18" s="1" t="s">
        <v>1052</v>
      </c>
      <c r="T18" s="1" t="s">
        <v>259</v>
      </c>
      <c r="U18" s="1" t="s">
        <v>265</v>
      </c>
      <c r="V18" s="1" t="s">
        <v>265</v>
      </c>
      <c r="W18" s="1" t="s">
        <v>262</v>
      </c>
      <c r="X18" s="1" t="s">
        <v>876</v>
      </c>
      <c r="Y18" s="1" t="s">
        <v>878</v>
      </c>
      <c r="Z18" s="1">
        <v>5</v>
      </c>
      <c r="AA18" s="1" t="s">
        <v>160</v>
      </c>
      <c r="AB18" s="1">
        <v>-4</v>
      </c>
      <c r="AC18" s="1" t="s">
        <v>263</v>
      </c>
      <c r="AD18" s="1">
        <v>4</v>
      </c>
      <c r="AE18" s="1">
        <v>3</v>
      </c>
      <c r="AF18" s="1">
        <v>-1</v>
      </c>
      <c r="AG18" s="1" t="s">
        <v>207</v>
      </c>
      <c r="AH18" s="1">
        <v>3</v>
      </c>
      <c r="AI18" s="1" t="s">
        <v>223</v>
      </c>
      <c r="AJ18" s="1">
        <v>-1</v>
      </c>
      <c r="AK18" s="1" t="s">
        <v>207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1053</v>
      </c>
      <c r="AT18" s="1" t="s">
        <v>1054</v>
      </c>
      <c r="AU18" s="1" t="s">
        <v>190</v>
      </c>
      <c r="AV18" s="1" t="s">
        <v>793</v>
      </c>
      <c r="AW18" s="1" t="s">
        <v>1055</v>
      </c>
      <c r="AX18" s="1" t="s">
        <v>186</v>
      </c>
      <c r="AY18" s="1" t="s">
        <v>1056</v>
      </c>
      <c r="AZ18" s="1" t="s">
        <v>1057</v>
      </c>
      <c r="BA18" s="1" t="s">
        <v>970</v>
      </c>
      <c r="BB18" s="1" t="s">
        <v>1058</v>
      </c>
      <c r="BC18" s="1" t="s">
        <v>1059</v>
      </c>
      <c r="BD18" s="1" t="s">
        <v>1060</v>
      </c>
      <c r="BE18" s="1">
        <v>110.7</v>
      </c>
      <c r="BF18" s="1">
        <v>111.8</v>
      </c>
      <c r="BG18" s="1">
        <v>-1.1000000000000001</v>
      </c>
      <c r="BH18" s="1" t="s">
        <v>875</v>
      </c>
      <c r="BI18" s="1" t="s">
        <v>910</v>
      </c>
      <c r="BJ18" s="1" t="s">
        <v>871</v>
      </c>
      <c r="BK18" s="1" t="s">
        <v>809</v>
      </c>
      <c r="BL18" s="1" t="s">
        <v>1061</v>
      </c>
      <c r="BM18" s="1" t="s">
        <v>393</v>
      </c>
      <c r="BN18" s="1" t="s">
        <v>398</v>
      </c>
      <c r="BO18" s="1" t="s">
        <v>276</v>
      </c>
      <c r="BP18" s="1" t="s">
        <v>299</v>
      </c>
      <c r="BQ18" s="1" t="s">
        <v>388</v>
      </c>
      <c r="BR18" s="1" t="s">
        <v>926</v>
      </c>
      <c r="BS18" s="1" t="s">
        <v>214</v>
      </c>
      <c r="BT18" s="1"/>
      <c r="BU18" s="1"/>
      <c r="BV18" s="1"/>
      <c r="BW18" s="1"/>
      <c r="BX18" s="1"/>
      <c r="BY18" s="1" t="s">
        <v>343</v>
      </c>
      <c r="BZ18" s="1" t="s">
        <v>326</v>
      </c>
      <c r="CA18" s="1" t="s">
        <v>326</v>
      </c>
      <c r="CB18" s="1" t="s">
        <v>1062</v>
      </c>
      <c r="CC18" s="1" t="s">
        <v>981</v>
      </c>
    </row>
    <row r="19" spans="1:81" x14ac:dyDescent="0.25">
      <c r="A19" s="1" t="s">
        <v>145</v>
      </c>
      <c r="B19" s="1" t="s">
        <v>762</v>
      </c>
      <c r="C19" s="1">
        <v>1610612758</v>
      </c>
      <c r="D19" s="1" t="s">
        <v>329</v>
      </c>
      <c r="E19" s="1" t="s">
        <v>330</v>
      </c>
      <c r="F19" s="1" t="s">
        <v>149</v>
      </c>
      <c r="G19" s="1" t="s">
        <v>1063</v>
      </c>
      <c r="H19" s="1">
        <v>9</v>
      </c>
      <c r="I19" s="1" t="s">
        <v>1050</v>
      </c>
      <c r="J19" s="1" t="s">
        <v>152</v>
      </c>
      <c r="K19" s="1" t="s">
        <v>1064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1051</v>
      </c>
      <c r="R19" s="1" t="s">
        <v>1065</v>
      </c>
      <c r="S19" s="1" t="s">
        <v>1024</v>
      </c>
      <c r="T19" s="1" t="s">
        <v>341</v>
      </c>
      <c r="U19" s="1" t="s">
        <v>265</v>
      </c>
      <c r="V19" s="1" t="s">
        <v>320</v>
      </c>
      <c r="W19" s="1" t="s">
        <v>164</v>
      </c>
      <c r="X19" s="1" t="s">
        <v>967</v>
      </c>
      <c r="Y19" s="1" t="s">
        <v>1066</v>
      </c>
      <c r="Z19" s="1">
        <v>7</v>
      </c>
      <c r="AA19" s="1" t="s">
        <v>900</v>
      </c>
      <c r="AB19" s="1">
        <v>-5</v>
      </c>
      <c r="AC19" s="1" t="s">
        <v>272</v>
      </c>
      <c r="AD19" s="1">
        <v>5</v>
      </c>
      <c r="AE19" s="1">
        <v>4</v>
      </c>
      <c r="AF19" s="1">
        <v>-1</v>
      </c>
      <c r="AG19" s="1" t="s">
        <v>207</v>
      </c>
      <c r="AH19" s="1">
        <v>-2</v>
      </c>
      <c r="AI19" s="1" t="s">
        <v>279</v>
      </c>
      <c r="AJ19" s="1">
        <v>-3</v>
      </c>
      <c r="AK19" s="1" t="s">
        <v>301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1067</v>
      </c>
      <c r="AT19" s="1" t="s">
        <v>1068</v>
      </c>
      <c r="AU19" s="1" t="s">
        <v>260</v>
      </c>
      <c r="AV19" s="1" t="s">
        <v>1069</v>
      </c>
      <c r="AW19" s="1" t="s">
        <v>1070</v>
      </c>
      <c r="AX19" s="1" t="s">
        <v>339</v>
      </c>
      <c r="AY19" s="1" t="s">
        <v>1071</v>
      </c>
      <c r="AZ19" s="1" t="s">
        <v>1072</v>
      </c>
      <c r="BA19" s="1" t="s">
        <v>1073</v>
      </c>
      <c r="BB19" s="1" t="s">
        <v>1074</v>
      </c>
      <c r="BC19" s="1" t="s">
        <v>1045</v>
      </c>
      <c r="BD19" s="1" t="s">
        <v>1075</v>
      </c>
      <c r="BE19" s="1">
        <v>114.2</v>
      </c>
      <c r="BF19" s="1">
        <v>115.3</v>
      </c>
      <c r="BG19" s="1">
        <v>-1.1000000000000001</v>
      </c>
      <c r="BH19" s="1" t="s">
        <v>1020</v>
      </c>
      <c r="BI19" s="1" t="s">
        <v>398</v>
      </c>
      <c r="BJ19" s="1" t="s">
        <v>296</v>
      </c>
      <c r="BK19" s="1" t="s">
        <v>216</v>
      </c>
      <c r="BL19" s="1" t="s">
        <v>1063</v>
      </c>
      <c r="BM19" s="1" t="s">
        <v>1046</v>
      </c>
      <c r="BN19" s="1" t="s">
        <v>1076</v>
      </c>
      <c r="BO19" s="1" t="s">
        <v>784</v>
      </c>
      <c r="BP19" s="1" t="s">
        <v>926</v>
      </c>
      <c r="BQ19" s="1" t="s">
        <v>276</v>
      </c>
      <c r="BR19" s="1" t="s">
        <v>962</v>
      </c>
      <c r="BS19" s="1" t="s">
        <v>344</v>
      </c>
      <c r="BT19" s="1"/>
      <c r="BU19" s="1"/>
      <c r="BV19" s="1"/>
      <c r="BW19" s="1"/>
      <c r="BX19" s="1"/>
      <c r="BY19" s="1" t="s">
        <v>315</v>
      </c>
      <c r="BZ19" s="1" t="s">
        <v>1009</v>
      </c>
      <c r="CA19" s="1" t="s">
        <v>833</v>
      </c>
      <c r="CB19" s="1" t="s">
        <v>1077</v>
      </c>
      <c r="CC19" s="1" t="s">
        <v>1078</v>
      </c>
    </row>
    <row r="20" spans="1:81" x14ac:dyDescent="0.25">
      <c r="A20" s="1" t="s">
        <v>145</v>
      </c>
      <c r="B20" s="1" t="s">
        <v>762</v>
      </c>
      <c r="C20" s="1">
        <v>1610612747</v>
      </c>
      <c r="D20" s="1" t="s">
        <v>147</v>
      </c>
      <c r="E20" s="1" t="s">
        <v>148</v>
      </c>
      <c r="F20" s="1" t="s">
        <v>149</v>
      </c>
      <c r="G20" s="1" t="s">
        <v>1079</v>
      </c>
      <c r="H20" s="1">
        <v>10</v>
      </c>
      <c r="I20" s="1" t="s">
        <v>1050</v>
      </c>
      <c r="J20" s="1" t="s">
        <v>152</v>
      </c>
      <c r="K20" s="1" t="s">
        <v>966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1080</v>
      </c>
      <c r="R20" s="1" t="s">
        <v>897</v>
      </c>
      <c r="S20" s="1" t="s">
        <v>1024</v>
      </c>
      <c r="T20" s="1" t="s">
        <v>259</v>
      </c>
      <c r="U20" s="1" t="s">
        <v>310</v>
      </c>
      <c r="V20" s="1" t="s">
        <v>341</v>
      </c>
      <c r="W20" s="1" t="s">
        <v>224</v>
      </c>
      <c r="X20" s="1" t="s">
        <v>273</v>
      </c>
      <c r="Y20" s="1" t="s">
        <v>1011</v>
      </c>
      <c r="Z20" s="1">
        <v>6</v>
      </c>
      <c r="AA20" s="1" t="s">
        <v>188</v>
      </c>
      <c r="AB20" s="1">
        <v>-5</v>
      </c>
      <c r="AC20" s="1" t="s">
        <v>272</v>
      </c>
      <c r="AD20" s="1">
        <v>4</v>
      </c>
      <c r="AE20" s="1">
        <v>5</v>
      </c>
      <c r="AF20" s="1">
        <v>-1</v>
      </c>
      <c r="AG20" s="1" t="s">
        <v>207</v>
      </c>
      <c r="AH20" s="1">
        <v>1</v>
      </c>
      <c r="AI20" s="1" t="s">
        <v>246</v>
      </c>
      <c r="AJ20" s="1">
        <v>-1</v>
      </c>
      <c r="AK20" s="1" t="s">
        <v>207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1081</v>
      </c>
      <c r="AT20" s="1" t="s">
        <v>1082</v>
      </c>
      <c r="AU20" s="1" t="s">
        <v>157</v>
      </c>
      <c r="AV20" s="1" t="s">
        <v>1083</v>
      </c>
      <c r="AW20" s="1" t="s">
        <v>1084</v>
      </c>
      <c r="AX20" s="1" t="s">
        <v>157</v>
      </c>
      <c r="AY20" s="1" t="s">
        <v>1085</v>
      </c>
      <c r="AZ20" s="1" t="s">
        <v>1086</v>
      </c>
      <c r="BA20" s="1" t="s">
        <v>1087</v>
      </c>
      <c r="BB20" s="1" t="s">
        <v>1088</v>
      </c>
      <c r="BC20" s="1" t="s">
        <v>1089</v>
      </c>
      <c r="BD20" s="1" t="s">
        <v>1090</v>
      </c>
      <c r="BE20" s="1">
        <v>111.8</v>
      </c>
      <c r="BF20" s="1">
        <v>113.5</v>
      </c>
      <c r="BG20" s="1">
        <v>-1.7</v>
      </c>
      <c r="BH20" s="1" t="s">
        <v>1008</v>
      </c>
      <c r="BI20" s="1" t="s">
        <v>1091</v>
      </c>
      <c r="BJ20" s="1" t="s">
        <v>276</v>
      </c>
      <c r="BK20" s="1" t="s">
        <v>266</v>
      </c>
      <c r="BL20" s="1" t="s">
        <v>1079</v>
      </c>
      <c r="BM20" s="1" t="s">
        <v>1046</v>
      </c>
      <c r="BN20" s="1" t="s">
        <v>978</v>
      </c>
      <c r="BO20" s="1" t="s">
        <v>944</v>
      </c>
      <c r="BP20" s="1" t="s">
        <v>337</v>
      </c>
      <c r="BQ20" s="1" t="s">
        <v>364</v>
      </c>
      <c r="BR20" s="1" t="s">
        <v>386</v>
      </c>
      <c r="BS20" s="1" t="s">
        <v>275</v>
      </c>
      <c r="BT20" s="1"/>
      <c r="BU20" s="1"/>
      <c r="BV20" s="1"/>
      <c r="BW20" s="1"/>
      <c r="BX20" s="1"/>
      <c r="BY20" s="1" t="s">
        <v>305</v>
      </c>
      <c r="BZ20" s="1" t="s">
        <v>253</v>
      </c>
      <c r="CA20" s="1" t="s">
        <v>308</v>
      </c>
      <c r="CB20" s="1" t="s">
        <v>1092</v>
      </c>
      <c r="CC20" s="1" t="s">
        <v>1078</v>
      </c>
    </row>
    <row r="21" spans="1:81" x14ac:dyDescent="0.25">
      <c r="A21" s="1" t="s">
        <v>145</v>
      </c>
      <c r="B21" s="1" t="s">
        <v>762</v>
      </c>
      <c r="C21" s="1">
        <v>1610612748</v>
      </c>
      <c r="D21" s="1" t="s">
        <v>241</v>
      </c>
      <c r="E21" s="1" t="s">
        <v>242</v>
      </c>
      <c r="F21" s="1" t="s">
        <v>179</v>
      </c>
      <c r="G21" s="1" t="s">
        <v>1093</v>
      </c>
      <c r="H21" s="1">
        <v>10</v>
      </c>
      <c r="I21" s="1" t="s">
        <v>1050</v>
      </c>
      <c r="J21" s="1" t="s">
        <v>244</v>
      </c>
      <c r="K21" s="1" t="s">
        <v>1094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1051</v>
      </c>
      <c r="R21" s="1" t="s">
        <v>931</v>
      </c>
      <c r="S21" s="1" t="s">
        <v>840</v>
      </c>
      <c r="T21" s="1" t="s">
        <v>310</v>
      </c>
      <c r="U21" s="1" t="s">
        <v>259</v>
      </c>
      <c r="V21" s="1" t="s">
        <v>265</v>
      </c>
      <c r="W21" s="1" t="s">
        <v>186</v>
      </c>
      <c r="X21" s="1" t="s">
        <v>355</v>
      </c>
      <c r="Y21" s="1" t="s">
        <v>1095</v>
      </c>
      <c r="Z21" s="1">
        <v>-6</v>
      </c>
      <c r="AA21" s="1" t="s">
        <v>367</v>
      </c>
      <c r="AB21" s="1">
        <v>4</v>
      </c>
      <c r="AC21" s="1" t="s">
        <v>159</v>
      </c>
      <c r="AD21" s="1">
        <v>5</v>
      </c>
      <c r="AE21" s="1">
        <v>4</v>
      </c>
      <c r="AF21" s="1">
        <v>1</v>
      </c>
      <c r="AG21" s="1" t="s">
        <v>246</v>
      </c>
      <c r="AH21" s="1">
        <v>-4</v>
      </c>
      <c r="AI21" s="1" t="s">
        <v>263</v>
      </c>
      <c r="AJ21" s="1">
        <v>-1</v>
      </c>
      <c r="AK21" s="1" t="s">
        <v>207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932</v>
      </c>
      <c r="AT21" s="1" t="s">
        <v>1096</v>
      </c>
      <c r="AU21" s="1" t="s">
        <v>234</v>
      </c>
      <c r="AV21" s="1" t="s">
        <v>1097</v>
      </c>
      <c r="AW21" s="1" t="s">
        <v>1098</v>
      </c>
      <c r="AX21" s="1" t="s">
        <v>260</v>
      </c>
      <c r="AY21" s="1" t="s">
        <v>1099</v>
      </c>
      <c r="AZ21" s="1" t="s">
        <v>1100</v>
      </c>
      <c r="BA21" s="1" t="s">
        <v>1101</v>
      </c>
      <c r="BB21" s="1" t="s">
        <v>1102</v>
      </c>
      <c r="BC21" s="1" t="s">
        <v>1103</v>
      </c>
      <c r="BD21" s="1" t="s">
        <v>1104</v>
      </c>
      <c r="BE21" s="1">
        <v>105.7</v>
      </c>
      <c r="BF21" s="1">
        <v>105.9</v>
      </c>
      <c r="BG21" s="1">
        <v>-0.2</v>
      </c>
      <c r="BH21" s="1" t="s">
        <v>1093</v>
      </c>
      <c r="BI21" s="1" t="s">
        <v>1046</v>
      </c>
      <c r="BJ21" s="1" t="s">
        <v>944</v>
      </c>
      <c r="BK21" s="1" t="s">
        <v>962</v>
      </c>
      <c r="BL21" s="1" t="s">
        <v>1105</v>
      </c>
      <c r="BM21" s="1" t="s">
        <v>323</v>
      </c>
      <c r="BN21" s="1" t="s">
        <v>398</v>
      </c>
      <c r="BO21" s="1" t="s">
        <v>176</v>
      </c>
      <c r="BP21" s="1" t="s">
        <v>326</v>
      </c>
      <c r="BQ21" s="1" t="s">
        <v>1106</v>
      </c>
      <c r="BR21" s="1" t="s">
        <v>233</v>
      </c>
      <c r="BS21" s="1" t="s">
        <v>911</v>
      </c>
      <c r="BT21" s="1"/>
      <c r="BU21" s="1"/>
      <c r="BV21" s="1"/>
      <c r="BW21" s="1"/>
      <c r="BX21" s="1"/>
      <c r="BY21" s="1" t="s">
        <v>295</v>
      </c>
      <c r="BZ21" s="1" t="s">
        <v>363</v>
      </c>
      <c r="CA21" s="1" t="s">
        <v>270</v>
      </c>
      <c r="CB21" s="1" t="s">
        <v>1035</v>
      </c>
      <c r="CC21" s="1" t="s">
        <v>1107</v>
      </c>
    </row>
    <row r="22" spans="1:81" x14ac:dyDescent="0.25">
      <c r="A22" s="1" t="s">
        <v>145</v>
      </c>
      <c r="B22" s="1" t="s">
        <v>762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1108</v>
      </c>
      <c r="H22" s="1">
        <v>11</v>
      </c>
      <c r="I22" s="1" t="s">
        <v>1050</v>
      </c>
      <c r="J22" s="1" t="s">
        <v>244</v>
      </c>
      <c r="K22" s="1" t="s">
        <v>1094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1109</v>
      </c>
      <c r="R22" s="1" t="s">
        <v>897</v>
      </c>
      <c r="S22" s="1" t="s">
        <v>1004</v>
      </c>
      <c r="T22" s="1" t="s">
        <v>320</v>
      </c>
      <c r="U22" s="1" t="s">
        <v>341</v>
      </c>
      <c r="V22" s="1" t="s">
        <v>341</v>
      </c>
      <c r="W22" s="1" t="s">
        <v>264</v>
      </c>
      <c r="X22" s="1" t="s">
        <v>340</v>
      </c>
      <c r="Y22" s="1" t="s">
        <v>1110</v>
      </c>
      <c r="Z22" s="1">
        <v>-6</v>
      </c>
      <c r="AA22" s="1" t="s">
        <v>367</v>
      </c>
      <c r="AB22" s="1">
        <v>-8</v>
      </c>
      <c r="AC22" s="1" t="s">
        <v>1111</v>
      </c>
      <c r="AD22" s="1">
        <v>3</v>
      </c>
      <c r="AE22" s="1">
        <v>5</v>
      </c>
      <c r="AF22" s="1">
        <v>-6</v>
      </c>
      <c r="AG22" s="1" t="s">
        <v>367</v>
      </c>
      <c r="AH22" s="1">
        <v>-1</v>
      </c>
      <c r="AI22" s="1" t="s">
        <v>207</v>
      </c>
      <c r="AJ22" s="1">
        <v>-4</v>
      </c>
      <c r="AK22" s="1" t="s">
        <v>263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1112</v>
      </c>
      <c r="AT22" s="1" t="s">
        <v>1113</v>
      </c>
      <c r="AU22" s="1" t="s">
        <v>158</v>
      </c>
      <c r="AV22" s="1" t="s">
        <v>1114</v>
      </c>
      <c r="AW22" s="1" t="s">
        <v>1115</v>
      </c>
      <c r="AX22" s="1" t="s">
        <v>190</v>
      </c>
      <c r="AY22" s="1" t="s">
        <v>1116</v>
      </c>
      <c r="AZ22" s="1" t="s">
        <v>1117</v>
      </c>
      <c r="BA22" s="1" t="s">
        <v>1118</v>
      </c>
      <c r="BB22" s="1" t="s">
        <v>1119</v>
      </c>
      <c r="BC22" s="1" t="s">
        <v>1120</v>
      </c>
      <c r="BD22" s="1" t="s">
        <v>1093</v>
      </c>
      <c r="BE22" s="1">
        <v>114</v>
      </c>
      <c r="BF22" s="1">
        <v>116.9</v>
      </c>
      <c r="BG22" s="1">
        <v>-2.9</v>
      </c>
      <c r="BH22" s="1" t="s">
        <v>1108</v>
      </c>
      <c r="BI22" s="1" t="s">
        <v>1121</v>
      </c>
      <c r="BJ22" s="1" t="s">
        <v>1121</v>
      </c>
      <c r="BK22" s="1" t="s">
        <v>962</v>
      </c>
      <c r="BL22" s="1" t="s">
        <v>995</v>
      </c>
      <c r="BM22" s="1" t="s">
        <v>323</v>
      </c>
      <c r="BN22" s="1" t="s">
        <v>276</v>
      </c>
      <c r="BO22" s="1" t="s">
        <v>323</v>
      </c>
      <c r="BP22" s="1" t="s">
        <v>291</v>
      </c>
      <c r="BQ22" s="1" t="s">
        <v>398</v>
      </c>
      <c r="BR22" s="1" t="s">
        <v>1122</v>
      </c>
      <c r="BS22" s="1" t="s">
        <v>372</v>
      </c>
      <c r="BT22" s="1"/>
      <c r="BU22" s="1"/>
      <c r="BV22" s="1"/>
      <c r="BW22" s="1"/>
      <c r="BX22" s="1"/>
      <c r="BY22" s="1" t="s">
        <v>1123</v>
      </c>
      <c r="BZ22" s="1" t="s">
        <v>926</v>
      </c>
      <c r="CA22" s="1" t="s">
        <v>337</v>
      </c>
      <c r="CB22" s="1" t="s">
        <v>1124</v>
      </c>
      <c r="CC22" s="1" t="s">
        <v>1125</v>
      </c>
    </row>
    <row r="23" spans="1:81" x14ac:dyDescent="0.25">
      <c r="A23" s="1" t="s">
        <v>145</v>
      </c>
      <c r="B23" s="1" t="s">
        <v>762</v>
      </c>
      <c r="C23" s="1">
        <v>1610612750</v>
      </c>
      <c r="D23" s="1" t="s">
        <v>306</v>
      </c>
      <c r="E23" s="1" t="s">
        <v>307</v>
      </c>
      <c r="F23" s="1" t="s">
        <v>149</v>
      </c>
      <c r="G23" s="1" t="s">
        <v>1126</v>
      </c>
      <c r="H23" s="1">
        <v>11</v>
      </c>
      <c r="I23" s="1" t="s">
        <v>1050</v>
      </c>
      <c r="J23" s="1" t="s">
        <v>219</v>
      </c>
      <c r="K23" s="1" t="s">
        <v>1127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1128</v>
      </c>
      <c r="R23" s="1" t="s">
        <v>999</v>
      </c>
      <c r="S23" s="1" t="s">
        <v>1129</v>
      </c>
      <c r="T23" s="1" t="s">
        <v>310</v>
      </c>
      <c r="U23" s="1" t="s">
        <v>310</v>
      </c>
      <c r="V23" s="1" t="s">
        <v>320</v>
      </c>
      <c r="W23" s="1" t="s">
        <v>226</v>
      </c>
      <c r="X23" s="1" t="s">
        <v>281</v>
      </c>
      <c r="Y23" s="1" t="s">
        <v>931</v>
      </c>
      <c r="Z23" s="1">
        <v>6</v>
      </c>
      <c r="AA23" s="1" t="s">
        <v>188</v>
      </c>
      <c r="AB23" s="1">
        <v>-9</v>
      </c>
      <c r="AC23" s="1" t="s">
        <v>1130</v>
      </c>
      <c r="AD23" s="1">
        <v>4</v>
      </c>
      <c r="AE23" s="1">
        <v>5</v>
      </c>
      <c r="AF23" s="1">
        <v>-2</v>
      </c>
      <c r="AG23" s="1" t="s">
        <v>279</v>
      </c>
      <c r="AH23" s="1">
        <v>-1</v>
      </c>
      <c r="AI23" s="1" t="s">
        <v>207</v>
      </c>
      <c r="AJ23" s="1">
        <v>-3</v>
      </c>
      <c r="AK23" s="1" t="s">
        <v>301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1131</v>
      </c>
      <c r="AT23" s="1" t="s">
        <v>1132</v>
      </c>
      <c r="AU23" s="1" t="s">
        <v>226</v>
      </c>
      <c r="AV23" s="1" t="s">
        <v>1133</v>
      </c>
      <c r="AW23" s="1" t="s">
        <v>1134</v>
      </c>
      <c r="AX23" s="1" t="s">
        <v>260</v>
      </c>
      <c r="AY23" s="1" t="s">
        <v>1135</v>
      </c>
      <c r="AZ23" s="1" t="s">
        <v>1136</v>
      </c>
      <c r="BA23" s="1" t="s">
        <v>1137</v>
      </c>
      <c r="BB23" s="1" t="s">
        <v>1138</v>
      </c>
      <c r="BC23" s="1" t="s">
        <v>1139</v>
      </c>
      <c r="BD23" s="1" t="s">
        <v>1140</v>
      </c>
      <c r="BE23" s="1">
        <v>112.5</v>
      </c>
      <c r="BF23" s="1">
        <v>114</v>
      </c>
      <c r="BG23" s="1">
        <v>-1.5</v>
      </c>
      <c r="BH23" s="1" t="s">
        <v>925</v>
      </c>
      <c r="BI23" s="1" t="s">
        <v>323</v>
      </c>
      <c r="BJ23" s="1" t="s">
        <v>276</v>
      </c>
      <c r="BK23" s="1" t="s">
        <v>276</v>
      </c>
      <c r="BL23" s="1" t="s">
        <v>1126</v>
      </c>
      <c r="BM23" s="1" t="s">
        <v>386</v>
      </c>
      <c r="BN23" s="1" t="s">
        <v>944</v>
      </c>
      <c r="BO23" s="1" t="s">
        <v>910</v>
      </c>
      <c r="BP23" s="1" t="s">
        <v>291</v>
      </c>
      <c r="BQ23" s="1" t="s">
        <v>388</v>
      </c>
      <c r="BR23" s="1" t="s">
        <v>363</v>
      </c>
      <c r="BS23" s="1" t="s">
        <v>274</v>
      </c>
      <c r="BT23" s="1"/>
      <c r="BU23" s="1"/>
      <c r="BV23" s="1"/>
      <c r="BW23" s="1"/>
      <c r="BX23" s="1"/>
      <c r="BY23" s="1" t="s">
        <v>343</v>
      </c>
      <c r="BZ23" s="1" t="s">
        <v>326</v>
      </c>
      <c r="CA23" s="1" t="s">
        <v>337</v>
      </c>
      <c r="CB23" s="1" t="s">
        <v>1062</v>
      </c>
      <c r="CC23" s="1" t="s">
        <v>1078</v>
      </c>
    </row>
    <row r="24" spans="1:81" x14ac:dyDescent="0.25">
      <c r="A24" s="1" t="s">
        <v>145</v>
      </c>
      <c r="B24" s="1" t="s">
        <v>762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1141</v>
      </c>
      <c r="H24" s="1">
        <v>12</v>
      </c>
      <c r="I24" s="1" t="s">
        <v>1050</v>
      </c>
      <c r="J24" s="1" t="s">
        <v>231</v>
      </c>
      <c r="K24" s="1" t="s">
        <v>858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1142</v>
      </c>
      <c r="R24" s="1" t="s">
        <v>878</v>
      </c>
      <c r="S24" s="1" t="s">
        <v>1143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1144</v>
      </c>
      <c r="Z24" s="1">
        <v>5</v>
      </c>
      <c r="AA24" s="1" t="s">
        <v>160</v>
      </c>
      <c r="AB24" s="1">
        <v>-9</v>
      </c>
      <c r="AC24" s="1" t="s">
        <v>1130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1145</v>
      </c>
      <c r="AT24" s="1" t="s">
        <v>1146</v>
      </c>
      <c r="AU24" s="1" t="s">
        <v>262</v>
      </c>
      <c r="AV24" s="1" t="s">
        <v>1147</v>
      </c>
      <c r="AW24" s="1" t="s">
        <v>1148</v>
      </c>
      <c r="AX24" s="1" t="s">
        <v>153</v>
      </c>
      <c r="AY24" s="1" t="s">
        <v>922</v>
      </c>
      <c r="AZ24" s="1" t="s">
        <v>1149</v>
      </c>
      <c r="BA24" s="1" t="s">
        <v>1101</v>
      </c>
      <c r="BB24" s="1" t="s">
        <v>1150</v>
      </c>
      <c r="BC24" s="1" t="s">
        <v>1151</v>
      </c>
      <c r="BD24" s="1" t="s">
        <v>1152</v>
      </c>
      <c r="BE24" s="1">
        <v>103.5</v>
      </c>
      <c r="BF24" s="1">
        <v>106.1</v>
      </c>
      <c r="BG24" s="1">
        <v>-2.6</v>
      </c>
      <c r="BH24" s="1" t="s">
        <v>1153</v>
      </c>
      <c r="BI24" s="1" t="s">
        <v>398</v>
      </c>
      <c r="BJ24" s="1" t="s">
        <v>398</v>
      </c>
      <c r="BK24" s="1" t="s">
        <v>398</v>
      </c>
      <c r="BL24" s="1" t="s">
        <v>1141</v>
      </c>
      <c r="BM24" s="1" t="s">
        <v>944</v>
      </c>
      <c r="BN24" s="1" t="s">
        <v>1046</v>
      </c>
      <c r="BO24" s="1" t="s">
        <v>870</v>
      </c>
      <c r="BP24" s="1" t="s">
        <v>1154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833</v>
      </c>
      <c r="CA24" s="1" t="s">
        <v>349</v>
      </c>
      <c r="CB24" s="1" t="s">
        <v>1155</v>
      </c>
      <c r="CC24" s="1" t="s">
        <v>1156</v>
      </c>
    </row>
    <row r="25" spans="1:81" x14ac:dyDescent="0.25">
      <c r="A25" s="1" t="s">
        <v>145</v>
      </c>
      <c r="B25" s="1" t="s">
        <v>762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1157</v>
      </c>
      <c r="H25" s="1">
        <v>12</v>
      </c>
      <c r="I25" s="1" t="s">
        <v>1050</v>
      </c>
      <c r="J25" s="1" t="s">
        <v>244</v>
      </c>
      <c r="K25" s="1" t="s">
        <v>876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1158</v>
      </c>
      <c r="R25" s="1" t="s">
        <v>1000</v>
      </c>
      <c r="S25" s="1" t="s">
        <v>1143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1159</v>
      </c>
      <c r="Y25" s="1" t="s">
        <v>1160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1161</v>
      </c>
      <c r="AT25" s="1" t="s">
        <v>1054</v>
      </c>
      <c r="AU25" s="1" t="s">
        <v>327</v>
      </c>
      <c r="AV25" s="1" t="s">
        <v>869</v>
      </c>
      <c r="AW25" s="1" t="s">
        <v>1162</v>
      </c>
      <c r="AX25" s="1" t="s">
        <v>153</v>
      </c>
      <c r="AY25" s="1" t="s">
        <v>1163</v>
      </c>
      <c r="AZ25" s="1" t="s">
        <v>1164</v>
      </c>
      <c r="BA25" s="1" t="s">
        <v>1165</v>
      </c>
      <c r="BB25" s="1" t="s">
        <v>994</v>
      </c>
      <c r="BC25" s="1" t="s">
        <v>1166</v>
      </c>
      <c r="BD25" s="1" t="s">
        <v>1167</v>
      </c>
      <c r="BE25" s="1">
        <v>113.3</v>
      </c>
      <c r="BF25" s="1">
        <v>119.4</v>
      </c>
      <c r="BG25" s="1">
        <v>-6</v>
      </c>
      <c r="BH25" s="1" t="s">
        <v>1157</v>
      </c>
      <c r="BI25" s="1" t="s">
        <v>1168</v>
      </c>
      <c r="BJ25" s="1" t="s">
        <v>1121</v>
      </c>
      <c r="BK25" s="1" t="s">
        <v>410</v>
      </c>
      <c r="BL25" s="1" t="s">
        <v>995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1169</v>
      </c>
      <c r="BR25" s="1" t="s">
        <v>926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1170</v>
      </c>
      <c r="CC25" s="1" t="s">
        <v>949</v>
      </c>
    </row>
    <row r="26" spans="1:81" x14ac:dyDescent="0.25">
      <c r="A26" s="1" t="s">
        <v>145</v>
      </c>
      <c r="B26" s="1" t="s">
        <v>762</v>
      </c>
      <c r="C26" s="1">
        <v>1610612740</v>
      </c>
      <c r="D26" s="1" t="s">
        <v>352</v>
      </c>
      <c r="E26" s="1" t="s">
        <v>353</v>
      </c>
      <c r="F26" s="1" t="s">
        <v>149</v>
      </c>
      <c r="G26" s="1" t="s">
        <v>1093</v>
      </c>
      <c r="H26" s="1">
        <v>13</v>
      </c>
      <c r="I26" s="1" t="s">
        <v>1050</v>
      </c>
      <c r="J26" s="1" t="s">
        <v>231</v>
      </c>
      <c r="K26" s="1" t="s">
        <v>858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1142</v>
      </c>
      <c r="R26" s="1" t="s">
        <v>931</v>
      </c>
      <c r="S26" s="1" t="s">
        <v>1052</v>
      </c>
      <c r="T26" s="1" t="s">
        <v>341</v>
      </c>
      <c r="U26" s="1" t="s">
        <v>376</v>
      </c>
      <c r="V26" s="1" t="s">
        <v>265</v>
      </c>
      <c r="W26" s="1" t="s">
        <v>190</v>
      </c>
      <c r="X26" s="1" t="s">
        <v>310</v>
      </c>
      <c r="Y26" s="1" t="s">
        <v>1171</v>
      </c>
      <c r="Z26" s="1">
        <v>-8</v>
      </c>
      <c r="AA26" s="1" t="s">
        <v>1111</v>
      </c>
      <c r="AB26" s="1">
        <v>-6</v>
      </c>
      <c r="AC26" s="1" t="s">
        <v>367</v>
      </c>
      <c r="AD26" s="1">
        <v>4</v>
      </c>
      <c r="AE26" s="1">
        <v>6</v>
      </c>
      <c r="AF26" s="1">
        <v>-3</v>
      </c>
      <c r="AG26" s="1" t="s">
        <v>301</v>
      </c>
      <c r="AH26" s="1">
        <v>1</v>
      </c>
      <c r="AI26" s="1" t="s">
        <v>246</v>
      </c>
      <c r="AJ26" s="1">
        <v>-1</v>
      </c>
      <c r="AK26" s="1" t="s">
        <v>207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1172</v>
      </c>
      <c r="AT26" s="1" t="s">
        <v>1173</v>
      </c>
      <c r="AU26" s="1" t="s">
        <v>190</v>
      </c>
      <c r="AV26" s="1" t="s">
        <v>1174</v>
      </c>
      <c r="AW26" s="1" t="s">
        <v>1175</v>
      </c>
      <c r="AX26" s="1" t="s">
        <v>186</v>
      </c>
      <c r="AY26" s="1" t="s">
        <v>1176</v>
      </c>
      <c r="AZ26" s="1" t="s">
        <v>1177</v>
      </c>
      <c r="BA26" s="1" t="s">
        <v>1178</v>
      </c>
      <c r="BB26" s="1" t="s">
        <v>1179</v>
      </c>
      <c r="BC26" s="1" t="s">
        <v>1180</v>
      </c>
      <c r="BD26" s="1" t="s">
        <v>1181</v>
      </c>
      <c r="BE26" s="1">
        <v>115.4</v>
      </c>
      <c r="BF26" s="1">
        <v>116.8</v>
      </c>
      <c r="BG26" s="1">
        <v>-1.3</v>
      </c>
      <c r="BH26" s="1" t="s">
        <v>1061</v>
      </c>
      <c r="BI26" s="1" t="s">
        <v>398</v>
      </c>
      <c r="BJ26" s="1" t="s">
        <v>276</v>
      </c>
      <c r="BK26" s="1" t="s">
        <v>393</v>
      </c>
      <c r="BL26" s="1" t="s">
        <v>1093</v>
      </c>
      <c r="BM26" s="1" t="s">
        <v>1046</v>
      </c>
      <c r="BN26" s="1" t="s">
        <v>910</v>
      </c>
      <c r="BO26" s="1" t="s">
        <v>870</v>
      </c>
      <c r="BP26" s="1" t="s">
        <v>299</v>
      </c>
      <c r="BQ26" s="1" t="s">
        <v>388</v>
      </c>
      <c r="BR26" s="1" t="s">
        <v>349</v>
      </c>
      <c r="BS26" s="1" t="s">
        <v>282</v>
      </c>
      <c r="BT26" s="1"/>
      <c r="BU26" s="1"/>
      <c r="BV26" s="1"/>
      <c r="BW26" s="1"/>
      <c r="BX26" s="1"/>
      <c r="BY26" s="1" t="s">
        <v>249</v>
      </c>
      <c r="BZ26" s="1" t="s">
        <v>962</v>
      </c>
      <c r="CA26" s="1" t="s">
        <v>337</v>
      </c>
      <c r="CB26" s="1" t="s">
        <v>1182</v>
      </c>
      <c r="CC26" s="1" t="s">
        <v>1183</v>
      </c>
    </row>
    <row r="27" spans="1:81" x14ac:dyDescent="0.25">
      <c r="A27" s="1" t="s">
        <v>145</v>
      </c>
      <c r="B27" s="1" t="s">
        <v>762</v>
      </c>
      <c r="C27" s="1">
        <v>1610612741</v>
      </c>
      <c r="D27" s="1" t="s">
        <v>346</v>
      </c>
      <c r="E27" s="1" t="s">
        <v>347</v>
      </c>
      <c r="F27" s="1" t="s">
        <v>179</v>
      </c>
      <c r="G27" s="1" t="s">
        <v>1157</v>
      </c>
      <c r="H27" s="1">
        <v>13</v>
      </c>
      <c r="I27" s="1" t="s">
        <v>1050</v>
      </c>
      <c r="J27" s="1" t="s">
        <v>181</v>
      </c>
      <c r="K27" s="1" t="s">
        <v>1184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1185</v>
      </c>
      <c r="R27" s="1" t="s">
        <v>1054</v>
      </c>
      <c r="S27" s="1" t="s">
        <v>1186</v>
      </c>
      <c r="T27" s="1" t="s">
        <v>320</v>
      </c>
      <c r="U27" s="1" t="s">
        <v>320</v>
      </c>
      <c r="V27" s="1" t="s">
        <v>341</v>
      </c>
      <c r="W27" s="1" t="s">
        <v>208</v>
      </c>
      <c r="X27" s="1" t="s">
        <v>858</v>
      </c>
      <c r="Y27" s="1" t="s">
        <v>1187</v>
      </c>
      <c r="Z27" s="1">
        <v>-11</v>
      </c>
      <c r="AA27" s="1" t="s">
        <v>1188</v>
      </c>
      <c r="AB27" s="1">
        <v>-9</v>
      </c>
      <c r="AC27" s="1" t="s">
        <v>1130</v>
      </c>
      <c r="AD27" s="1">
        <v>3</v>
      </c>
      <c r="AE27" s="1">
        <v>10</v>
      </c>
      <c r="AF27" s="1">
        <v>-5</v>
      </c>
      <c r="AG27" s="1" t="s">
        <v>272</v>
      </c>
      <c r="AH27" s="1">
        <v>-1</v>
      </c>
      <c r="AI27" s="1" t="s">
        <v>207</v>
      </c>
      <c r="AJ27" s="1">
        <v>-3</v>
      </c>
      <c r="AK27" s="1" t="s">
        <v>301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1189</v>
      </c>
      <c r="AT27" s="1" t="s">
        <v>1190</v>
      </c>
      <c r="AU27" s="1" t="s">
        <v>158</v>
      </c>
      <c r="AV27" s="1" t="s">
        <v>1191</v>
      </c>
      <c r="AW27" s="1" t="s">
        <v>1192</v>
      </c>
      <c r="AX27" s="1" t="s">
        <v>164</v>
      </c>
      <c r="AY27" s="1" t="s">
        <v>1193</v>
      </c>
      <c r="AZ27" s="1" t="s">
        <v>1194</v>
      </c>
      <c r="BA27" s="1" t="s">
        <v>1195</v>
      </c>
      <c r="BB27" s="1" t="s">
        <v>1196</v>
      </c>
      <c r="BC27" s="1" t="s">
        <v>874</v>
      </c>
      <c r="BD27" s="1" t="s">
        <v>1197</v>
      </c>
      <c r="BE27" s="1">
        <v>104.9</v>
      </c>
      <c r="BF27" s="1">
        <v>113.4</v>
      </c>
      <c r="BG27" s="1">
        <v>-8.4</v>
      </c>
      <c r="BH27" s="1" t="s">
        <v>1157</v>
      </c>
      <c r="BI27" s="1" t="s">
        <v>1168</v>
      </c>
      <c r="BJ27" s="1" t="s">
        <v>402</v>
      </c>
      <c r="BK27" s="1" t="s">
        <v>944</v>
      </c>
      <c r="BL27" s="1" t="s">
        <v>1198</v>
      </c>
      <c r="BM27" s="1" t="s">
        <v>1091</v>
      </c>
      <c r="BN27" s="1" t="s">
        <v>393</v>
      </c>
      <c r="BO27" s="1" t="s">
        <v>398</v>
      </c>
      <c r="BP27" s="1" t="s">
        <v>1199</v>
      </c>
      <c r="BQ27" s="1" t="s">
        <v>276</v>
      </c>
      <c r="BR27" s="1" t="s">
        <v>397</v>
      </c>
      <c r="BS27" s="1" t="s">
        <v>344</v>
      </c>
      <c r="BT27" s="1"/>
      <c r="BU27" s="1"/>
      <c r="BV27" s="1"/>
      <c r="BW27" s="1"/>
      <c r="BX27" s="1"/>
      <c r="BY27" s="1" t="s">
        <v>1200</v>
      </c>
      <c r="BZ27" s="1" t="s">
        <v>1201</v>
      </c>
      <c r="CA27" s="1" t="s">
        <v>363</v>
      </c>
      <c r="CB27" s="1" t="s">
        <v>1202</v>
      </c>
      <c r="CC27" s="1" t="s">
        <v>1125</v>
      </c>
    </row>
    <row r="28" spans="1:81" x14ac:dyDescent="0.25">
      <c r="A28" s="1" t="s">
        <v>145</v>
      </c>
      <c r="B28" s="1" t="s">
        <v>762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1203</v>
      </c>
      <c r="H28" s="1">
        <v>14</v>
      </c>
      <c r="I28" s="1" t="s">
        <v>1050</v>
      </c>
      <c r="J28" s="1" t="s">
        <v>181</v>
      </c>
      <c r="K28" s="1" t="s">
        <v>1064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1204</v>
      </c>
      <c r="R28" s="1" t="s">
        <v>1186</v>
      </c>
      <c r="S28" s="1" t="s">
        <v>1205</v>
      </c>
      <c r="T28" s="1" t="s">
        <v>404</v>
      </c>
      <c r="U28" s="1" t="s">
        <v>310</v>
      </c>
      <c r="V28" s="1" t="s">
        <v>404</v>
      </c>
      <c r="W28" s="1" t="s">
        <v>185</v>
      </c>
      <c r="X28" s="1" t="s">
        <v>273</v>
      </c>
      <c r="Y28" s="1" t="s">
        <v>1206</v>
      </c>
      <c r="Z28" s="1">
        <v>-9</v>
      </c>
      <c r="AA28" s="1" t="s">
        <v>1130</v>
      </c>
      <c r="AB28" s="1">
        <v>-11</v>
      </c>
      <c r="AC28" s="1" t="s">
        <v>1188</v>
      </c>
      <c r="AD28" s="1">
        <v>2</v>
      </c>
      <c r="AE28" s="1">
        <v>12</v>
      </c>
      <c r="AF28" s="1">
        <v>-4</v>
      </c>
      <c r="AG28" s="1" t="s">
        <v>263</v>
      </c>
      <c r="AH28" s="1">
        <v>-11</v>
      </c>
      <c r="AI28" s="1" t="s">
        <v>1188</v>
      </c>
      <c r="AJ28" s="1">
        <v>-10</v>
      </c>
      <c r="AK28" s="1" t="s">
        <v>933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855</v>
      </c>
      <c r="AT28" s="1" t="s">
        <v>1207</v>
      </c>
      <c r="AU28" s="1" t="s">
        <v>304</v>
      </c>
      <c r="AV28" s="1" t="s">
        <v>1208</v>
      </c>
      <c r="AW28" s="1" t="s">
        <v>1209</v>
      </c>
      <c r="AX28" s="1" t="s">
        <v>208</v>
      </c>
      <c r="AY28" s="1" t="s">
        <v>1137</v>
      </c>
      <c r="AZ28" s="1" t="s">
        <v>1210</v>
      </c>
      <c r="BA28" s="1" t="s">
        <v>1211</v>
      </c>
      <c r="BB28" s="1" t="s">
        <v>1212</v>
      </c>
      <c r="BC28" s="1" t="s">
        <v>1095</v>
      </c>
      <c r="BD28" s="1" t="s">
        <v>1213</v>
      </c>
      <c r="BE28" s="1">
        <v>104.5</v>
      </c>
      <c r="BF28" s="1">
        <v>114.1</v>
      </c>
      <c r="BG28" s="1">
        <v>-9.6</v>
      </c>
      <c r="BH28" s="1" t="s">
        <v>1203</v>
      </c>
      <c r="BI28" s="1" t="s">
        <v>1121</v>
      </c>
      <c r="BJ28" s="1" t="s">
        <v>1076</v>
      </c>
      <c r="BK28" s="1" t="s">
        <v>1214</v>
      </c>
      <c r="BL28" s="1" t="s">
        <v>1215</v>
      </c>
      <c r="BM28" s="1" t="s">
        <v>1216</v>
      </c>
      <c r="BN28" s="1" t="s">
        <v>393</v>
      </c>
      <c r="BO28" s="1" t="s">
        <v>393</v>
      </c>
      <c r="BP28" s="1" t="s">
        <v>1201</v>
      </c>
      <c r="BQ28" s="1" t="s">
        <v>323</v>
      </c>
      <c r="BR28" s="1" t="s">
        <v>397</v>
      </c>
      <c r="BS28" s="1" t="s">
        <v>334</v>
      </c>
      <c r="BT28" s="1"/>
      <c r="BU28" s="1"/>
      <c r="BV28" s="1"/>
      <c r="BW28" s="1"/>
      <c r="BX28" s="1"/>
      <c r="BY28" s="1" t="s">
        <v>1123</v>
      </c>
      <c r="BZ28" s="1" t="s">
        <v>407</v>
      </c>
      <c r="CA28" s="1" t="s">
        <v>1076</v>
      </c>
      <c r="CB28" s="1" t="s">
        <v>1217</v>
      </c>
      <c r="CC28" s="1" t="s">
        <v>1218</v>
      </c>
    </row>
    <row r="29" spans="1:81" x14ac:dyDescent="0.25">
      <c r="A29" s="1" t="s">
        <v>145</v>
      </c>
      <c r="B29" s="1" t="s">
        <v>762</v>
      </c>
      <c r="C29" s="1">
        <v>1610612742</v>
      </c>
      <c r="D29" s="1" t="s">
        <v>277</v>
      </c>
      <c r="E29" s="1" t="s">
        <v>278</v>
      </c>
      <c r="F29" s="1" t="s">
        <v>149</v>
      </c>
      <c r="G29" s="1" t="s">
        <v>1219</v>
      </c>
      <c r="H29" s="1">
        <v>14</v>
      </c>
      <c r="I29" s="1" t="s">
        <v>1050</v>
      </c>
      <c r="J29" s="1" t="s">
        <v>231</v>
      </c>
      <c r="K29" s="1" t="s">
        <v>1064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1142</v>
      </c>
      <c r="R29" s="1" t="s">
        <v>1065</v>
      </c>
      <c r="S29" s="1" t="s">
        <v>1054</v>
      </c>
      <c r="T29" s="1" t="s">
        <v>265</v>
      </c>
      <c r="U29" s="1" t="s">
        <v>341</v>
      </c>
      <c r="V29" s="1" t="s">
        <v>341</v>
      </c>
      <c r="W29" s="1" t="s">
        <v>339</v>
      </c>
      <c r="X29" s="1" t="s">
        <v>314</v>
      </c>
      <c r="Y29" s="1" t="s">
        <v>1220</v>
      </c>
      <c r="Z29" s="1">
        <v>11</v>
      </c>
      <c r="AA29" s="1" t="s">
        <v>770</v>
      </c>
      <c r="AB29" s="1">
        <v>-9</v>
      </c>
      <c r="AC29" s="1" t="s">
        <v>1130</v>
      </c>
      <c r="AD29" s="1">
        <v>4</v>
      </c>
      <c r="AE29" s="1">
        <v>7</v>
      </c>
      <c r="AF29" s="1">
        <v>1</v>
      </c>
      <c r="AG29" s="1" t="s">
        <v>246</v>
      </c>
      <c r="AH29" s="1">
        <v>-1</v>
      </c>
      <c r="AI29" s="1" t="s">
        <v>207</v>
      </c>
      <c r="AJ29" s="1">
        <v>-1</v>
      </c>
      <c r="AK29" s="1" t="s">
        <v>207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1221</v>
      </c>
      <c r="AT29" s="1" t="s">
        <v>1084</v>
      </c>
      <c r="AU29" s="1" t="s">
        <v>260</v>
      </c>
      <c r="AV29" s="1" t="s">
        <v>1058</v>
      </c>
      <c r="AW29" s="1" t="s">
        <v>1222</v>
      </c>
      <c r="AX29" s="1" t="s">
        <v>186</v>
      </c>
      <c r="AY29" s="1" t="s">
        <v>1223</v>
      </c>
      <c r="AZ29" s="1" t="s">
        <v>1224</v>
      </c>
      <c r="BA29" s="1" t="s">
        <v>1225</v>
      </c>
      <c r="BB29" s="1" t="s">
        <v>1226</v>
      </c>
      <c r="BC29" s="1" t="s">
        <v>1139</v>
      </c>
      <c r="BD29" s="1" t="s">
        <v>1227</v>
      </c>
      <c r="BE29" s="1">
        <v>108.9</v>
      </c>
      <c r="BF29" s="1">
        <v>110.1</v>
      </c>
      <c r="BG29" s="1">
        <v>-1.3</v>
      </c>
      <c r="BH29" s="1" t="s">
        <v>946</v>
      </c>
      <c r="BI29" s="1" t="s">
        <v>323</v>
      </c>
      <c r="BJ29" s="1" t="s">
        <v>266</v>
      </c>
      <c r="BK29" s="1" t="s">
        <v>276</v>
      </c>
      <c r="BL29" s="1" t="s">
        <v>1219</v>
      </c>
      <c r="BM29" s="1" t="s">
        <v>910</v>
      </c>
      <c r="BN29" s="1" t="s">
        <v>1121</v>
      </c>
      <c r="BO29" s="1" t="s">
        <v>1076</v>
      </c>
      <c r="BP29" s="1" t="s">
        <v>337</v>
      </c>
      <c r="BQ29" s="1" t="s">
        <v>323</v>
      </c>
      <c r="BR29" s="1" t="s">
        <v>1201</v>
      </c>
      <c r="BS29" s="1" t="s">
        <v>239</v>
      </c>
      <c r="BT29" s="1"/>
      <c r="BU29" s="1"/>
      <c r="BV29" s="1"/>
      <c r="BW29" s="1"/>
      <c r="BX29" s="1"/>
      <c r="BY29" s="1" t="s">
        <v>1200</v>
      </c>
      <c r="BZ29" s="1" t="s">
        <v>853</v>
      </c>
      <c r="CA29" s="1" t="s">
        <v>962</v>
      </c>
      <c r="CB29" s="1" t="s">
        <v>1228</v>
      </c>
      <c r="CC29" s="1" t="s">
        <v>1229</v>
      </c>
    </row>
    <row r="30" spans="1:81" x14ac:dyDescent="0.25">
      <c r="A30" s="1" t="s">
        <v>145</v>
      </c>
      <c r="B30" s="1" t="s">
        <v>762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1230</v>
      </c>
      <c r="H30" s="1">
        <v>15</v>
      </c>
      <c r="I30" s="1" t="s">
        <v>1050</v>
      </c>
      <c r="J30" s="1" t="s">
        <v>203</v>
      </c>
      <c r="K30" s="1" t="s">
        <v>1231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1232</v>
      </c>
      <c r="R30" s="1" t="s">
        <v>1054</v>
      </c>
      <c r="S30" s="1" t="s">
        <v>1233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1234</v>
      </c>
      <c r="Z30" s="1">
        <v>-18</v>
      </c>
      <c r="AA30" s="1" t="s">
        <v>1235</v>
      </c>
      <c r="AB30" s="1">
        <v>-9</v>
      </c>
      <c r="AC30" s="1" t="s">
        <v>1130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1236</v>
      </c>
      <c r="AT30" s="1" t="s">
        <v>1237</v>
      </c>
      <c r="AU30" s="1" t="s">
        <v>327</v>
      </c>
      <c r="AV30" s="1" t="s">
        <v>861</v>
      </c>
      <c r="AW30" s="1" t="s">
        <v>1238</v>
      </c>
      <c r="AX30" s="1" t="s">
        <v>327</v>
      </c>
      <c r="AY30" s="1" t="s">
        <v>1239</v>
      </c>
      <c r="AZ30" s="1" t="s">
        <v>1240</v>
      </c>
      <c r="BA30" s="1" t="s">
        <v>1241</v>
      </c>
      <c r="BB30" s="1" t="s">
        <v>1242</v>
      </c>
      <c r="BC30" s="1" t="s">
        <v>1243</v>
      </c>
      <c r="BD30" s="1" t="s">
        <v>1244</v>
      </c>
      <c r="BE30" s="1">
        <v>104.6</v>
      </c>
      <c r="BF30" s="1">
        <v>113.8</v>
      </c>
      <c r="BG30" s="1">
        <v>-9.1999999999999993</v>
      </c>
      <c r="BH30" s="1" t="s">
        <v>1230</v>
      </c>
      <c r="BI30" s="1" t="s">
        <v>1154</v>
      </c>
      <c r="BJ30" s="1" t="s">
        <v>1245</v>
      </c>
      <c r="BK30" s="1" t="s">
        <v>1121</v>
      </c>
      <c r="BL30" s="1" t="s">
        <v>1198</v>
      </c>
      <c r="BM30" s="1" t="s">
        <v>1216</v>
      </c>
      <c r="BN30" s="1" t="s">
        <v>393</v>
      </c>
      <c r="BO30" s="1" t="s">
        <v>323</v>
      </c>
      <c r="BP30" s="1" t="s">
        <v>1246</v>
      </c>
      <c r="BQ30" s="1" t="s">
        <v>1106</v>
      </c>
      <c r="BR30" s="1" t="s">
        <v>1247</v>
      </c>
      <c r="BS30" s="1" t="s">
        <v>239</v>
      </c>
      <c r="BT30" s="1"/>
      <c r="BU30" s="1"/>
      <c r="BV30" s="1"/>
      <c r="BW30" s="1"/>
      <c r="BX30" s="1"/>
      <c r="BY30" s="1" t="s">
        <v>1200</v>
      </c>
      <c r="BZ30" s="1" t="s">
        <v>349</v>
      </c>
      <c r="CA30" s="1" t="s">
        <v>1248</v>
      </c>
      <c r="CB30" s="1" t="s">
        <v>1249</v>
      </c>
      <c r="CC30" s="1" t="s">
        <v>1250</v>
      </c>
    </row>
    <row r="31" spans="1:81" x14ac:dyDescent="0.25">
      <c r="A31" s="1" t="s">
        <v>145</v>
      </c>
      <c r="B31" s="1" t="s">
        <v>762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1230</v>
      </c>
      <c r="H31" s="1">
        <v>15</v>
      </c>
      <c r="I31" s="1" t="s">
        <v>1050</v>
      </c>
      <c r="J31" s="1" t="s">
        <v>152</v>
      </c>
      <c r="K31" s="1" t="s">
        <v>1184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1204</v>
      </c>
      <c r="R31" s="1" t="s">
        <v>1143</v>
      </c>
      <c r="S31" s="1" t="s">
        <v>1251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1222</v>
      </c>
      <c r="Z31" s="1">
        <v>-6</v>
      </c>
      <c r="AA31" s="1" t="s">
        <v>367</v>
      </c>
      <c r="AB31" s="1">
        <v>-13</v>
      </c>
      <c r="AC31" s="1" t="s">
        <v>1252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1253</v>
      </c>
      <c r="AT31" s="1" t="s">
        <v>1254</v>
      </c>
      <c r="AU31" s="1" t="s">
        <v>327</v>
      </c>
      <c r="AV31" s="1" t="s">
        <v>1255</v>
      </c>
      <c r="AW31" s="1" t="s">
        <v>1256</v>
      </c>
      <c r="AX31" s="1" t="s">
        <v>157</v>
      </c>
      <c r="AY31" s="1" t="s">
        <v>1257</v>
      </c>
      <c r="AZ31" s="1" t="s">
        <v>1258</v>
      </c>
      <c r="BA31" s="1" t="s">
        <v>1259</v>
      </c>
      <c r="BB31" s="1" t="s">
        <v>1260</v>
      </c>
      <c r="BC31" s="1" t="s">
        <v>1261</v>
      </c>
      <c r="BD31" s="1" t="s">
        <v>1262</v>
      </c>
      <c r="BE31" s="1">
        <v>107.5</v>
      </c>
      <c r="BF31" s="1">
        <v>116.8</v>
      </c>
      <c r="BG31" s="1">
        <v>-9.3000000000000007</v>
      </c>
      <c r="BH31" s="1" t="s">
        <v>1263</v>
      </c>
      <c r="BI31" s="1" t="s">
        <v>398</v>
      </c>
      <c r="BJ31" s="1" t="s">
        <v>398</v>
      </c>
      <c r="BK31" s="1" t="s">
        <v>393</v>
      </c>
      <c r="BL31" s="1" t="s">
        <v>1230</v>
      </c>
      <c r="BM31" s="1" t="s">
        <v>1264</v>
      </c>
      <c r="BN31" s="1" t="s">
        <v>402</v>
      </c>
      <c r="BO31" s="1" t="s">
        <v>1121</v>
      </c>
      <c r="BP31" s="1" t="s">
        <v>1199</v>
      </c>
      <c r="BQ31" s="1" t="s">
        <v>1265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1123</v>
      </c>
      <c r="BZ31" s="1" t="s">
        <v>1201</v>
      </c>
      <c r="CA31" s="1" t="s">
        <v>386</v>
      </c>
      <c r="CB31" s="1" t="s">
        <v>1266</v>
      </c>
      <c r="CC31" s="1" t="s">
        <v>1267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1268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1269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1270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1271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1272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1273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1274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1275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1276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1277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1278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1279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1280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1281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1278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1282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1281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1283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1281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1284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1277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1276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1270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1285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1281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1286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1287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1271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1288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1289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1290</v>
      </c>
      <c r="T4" s="1">
        <v>23.7</v>
      </c>
      <c r="U4" s="1" t="s">
        <v>1273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1291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1292</v>
      </c>
      <c r="T5" s="1">
        <v>26</v>
      </c>
      <c r="U5" s="1" t="s">
        <v>1273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1293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1294</v>
      </c>
      <c r="T7" s="1">
        <v>25.7</v>
      </c>
      <c r="U7" s="1" t="s">
        <v>1295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1296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1297</v>
      </c>
      <c r="T8" s="1">
        <v>24.5</v>
      </c>
      <c r="U8" s="1" t="s">
        <v>1298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1299</v>
      </c>
      <c r="T9" s="1">
        <v>24.6</v>
      </c>
      <c r="U9" s="1" t="s">
        <v>1273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1271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1300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1273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1301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1302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1303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1304</v>
      </c>
      <c r="T14" s="1">
        <v>24.1</v>
      </c>
      <c r="U14" s="1" t="s">
        <v>1284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1305</v>
      </c>
      <c r="T15" s="1">
        <v>25</v>
      </c>
      <c r="U15" s="1" t="s">
        <v>1275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1306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1271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1300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1276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1307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1292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1308</v>
      </c>
      <c r="T21" s="1">
        <v>25.6</v>
      </c>
      <c r="U21" s="1" t="s">
        <v>1284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1309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1304</v>
      </c>
      <c r="T22" s="1">
        <v>24.9</v>
      </c>
      <c r="U22" s="1" t="s">
        <v>1310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1298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1311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1312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1313</v>
      </c>
      <c r="T26" s="1">
        <v>23.2</v>
      </c>
      <c r="U26" s="1" t="s">
        <v>1314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1315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1316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1317</v>
      </c>
      <c r="T28" s="1">
        <v>24.7</v>
      </c>
      <c r="U28" s="1" t="s">
        <v>1269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1297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1318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1319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1320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1321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1268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1270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1321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1300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1300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1270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1270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1291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1291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1321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1291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1322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1321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1278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1278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1268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1268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1270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1279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2019-11-22T13:40:53Z</dcterms:modified>
</cp:coreProperties>
</file>