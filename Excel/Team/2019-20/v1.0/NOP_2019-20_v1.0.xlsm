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55AFEF11-169D-49A1-A580-0F09ECF13CFA}" xr6:coauthVersionLast="45" xr6:coauthVersionMax="45" xr10:uidLastSave="{00000000-0000-0000-0000-000000000000}"/>
  <bookViews>
    <workbookView xWindow="4911" yWindow="1174" windowWidth="16458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<sst xmlns="http://schemas.openxmlformats.org/spreadsheetml/2006/main" count="5940" uniqueCount="1414">
  <si>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</si>
  <si>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</si>
  <si>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</si>
  <si>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</si>
  <si>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</si>
  <si>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</si>
  <si>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</si>
  <si>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</si>
  <si>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</si>
  <si>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</si>
  <si>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</si>
  <si>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</si>
  <si>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</si>
  <si>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</si>
  <si>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</si>
  <si>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</si>
  <si>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</si>
  <si>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</si>
  <si>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</si>
  <si>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</si>
  <si>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</si>
  <si>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</si>
  <si>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</si>
  <si>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</si>
  <si>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</si>
  <si>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</si>
  <si>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</si>
  <si>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</si>
  <si>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</si>
  <si>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</si>
  <si>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</si>
  <si>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</si>
  <si>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</si>
  <si>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</si>
  <si>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</si>
  <si>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</si>
  <si>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</si>
  <si>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</si>
  <si>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</si>
  <si>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</si>
  <si>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</si>
  <si>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</si>
  <si>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</si>
  <si>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</si>
  <si>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</si>
  <si>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</si>
  <si>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</si>
  <si>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</si>
  <si>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</si>
  <si>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</si>
  <si>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</si>
  <si>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</si>
  <si>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</si>
  <si>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</si>
  <si>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</si>
  <si>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</si>
  <si>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</si>
  <si>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</si>
  <si>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</si>
  <si>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</si>
  <si>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</si>
  <si>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</si>
  <si>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</si>
  <si>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</si>
  <si>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</si>
  <si>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</si>
  <si>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</si>
  <si>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</si>
  <si>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</si>
  <si>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</si>
  <si>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</si>
  <si>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</si>
  <si>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</si>
  <si>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</si>
  <si>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</si>
  <si>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</si>
  <si>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</si>
  <si>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</si>
  <si>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</si>
  <si>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</si>
  <si>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</si>
  <si>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</si>
  <si>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</si>
  <si>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</si>
  <si>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</si>
  <si>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</si>
  <si>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</si>
  <si>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</si>
  <si>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</si>
  <si>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</si>
  <si>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</si>
  <si>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</si>
  <si>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</si>
  <si>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</si>
  <si>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</si>
  <si>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</si>
  <si>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</si>
  <si>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</si>
  <si>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</si>
  <si>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</si>
  <si>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</si>
  <si>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</si>
  <si>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</si>
  <si>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</si>
  <si>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</si>
  <si>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</si>
  <si>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</si>
  <si>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</si>
  <si>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</si>
  <si>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</si>
  <si>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</si>
  <si>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</si>
  <si>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</si>
  <si>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</si>
  <si>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</si>
  <si>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</si>
  <si>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</si>
  <si>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</si>
  <si>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</si>
  <si>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</si>
  <si>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</si>
  <si>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</si>
  <si>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</si>
  <si>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</si>
  <si>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</si>
  <si>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</si>
  <si>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</si>
  <si>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</si>
  <si>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</si>
  <si>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</si>
  <si>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</si>
  <si>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</si>
  <si>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</si>
  <si>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</si>
  <si>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</si>
  <si>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</si>
  <si>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</si>
  <si>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</si>
  <si>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</si>
  <si>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</si>
  <si>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</si>
  <si>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</si>
  <si>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</si>
  <si>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</si>
  <si>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</si>
  <si>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</si>
  <si>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</si>
  <si>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</si>
  <si>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</si>
  <si>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</si>
  <si>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</si>
  <si>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</si>
  <si>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</si>
  <si>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</si>
  <si>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</si>
  <si>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</si>
  <si>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</si>
  <si>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</si>
  <si>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</si>
  <si>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</si>
  <si>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</si>
  <si>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</si>
  <si>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</si>
  <si>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</si>
  <si>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</si>
  <si>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</si>
  <si>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</si>
  <si>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</si>
  <si>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</si>
  <si>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</si>
  <si>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</si>
  <si>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</si>
  <si>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</si>
  <si>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</si>
  <si>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</si>
  <si>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</si>
  <si>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</si>
  <si>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</si>
  <si>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</si>
  <si>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</si>
  <si>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</si>
  <si>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</si>
  <si>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</si>
  <si>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</si>
  <si>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</si>
  <si>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</si>
  <si>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</si>
  <si>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</si>
  <si>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</si>
  <si>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</si>
  <si>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</si>
  <si>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</si>
  <si>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</si>
  <si>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</si>
  <si>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</si>
  <si>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</si>
  <si>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</si>
  <si>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</si>
  <si>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</si>
  <si>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</si>
  <si>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</si>
  <si>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</si>
  <si>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</si>
  <si>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</si>
  <si>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</si>
  <si>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</si>
  <si>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</si>
  <si>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</si>
  <si>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</si>
  <si>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</si>
  <si>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</si>
  <si>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</si>
  <si>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</si>
  <si>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</si>
  <si>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</si>
  <si>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</si>
  <si>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</si>
  <si>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</si>
  <si>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</si>
  <si>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</si>
  <si>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</si>
  <si>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</si>
  <si>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</si>
  <si>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</si>
  <si>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</si>
  <si>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</si>
  <si>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</si>
  <si>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</si>
  <si>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</si>
  <si>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</si>
  <si>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</si>
  <si>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</si>
  <si>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</si>
  <si>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</si>
  <si>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</si>
  <si>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</si>
  <si>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</si>
  <si>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</si>
  <si>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</si>
  <si>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</si>
  <si>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</si>
  <si>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</si>
  <si>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</si>
  <si>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</si>
  <si>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</si>
  <si>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</si>
  <si>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</si>
  <si>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</si>
  <si>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</si>
  <si>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</si>
  <si>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</si>
  <si>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</si>
  <si>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</si>
  <si>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</si>
  <si>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</si>
  <si>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</si>
  <si>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</si>
  <si>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</si>
  <si>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</si>
  <si>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</si>
  <si>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</si>
  <si>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</si>
  <si>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</si>
  <si>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</si>
  <si>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</si>
  <si>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</si>
  <si>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</si>
  <si>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</si>
  <si>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</si>
  <si>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</si>
  <si>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</si>
  <si>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</si>
  <si>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</si>
  <si>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</si>
  <si>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</si>
  <si>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</si>
  <si>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</si>
  <si>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</si>
  <si>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</si>
  <si>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</si>
  <si>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</si>
  <si>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</si>
  <si>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</si>
  <si>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</si>
  <si>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</si>
  <si>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</si>
  <si>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</si>
  <si>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</si>
  <si>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</si>
  <si>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</si>
  <si>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</si>
  <si>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</si>
  <si>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</si>
  <si>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</si>
  <si>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</si>
  <si>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</si>
  <si>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</si>
  <si>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</si>
  <si>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</si>
  <si>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</si>
  <si>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</si>
  <si>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</si>
  <si>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</si>
  <si>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</si>
  <si>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</si>
  <si>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</si>
  <si>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</si>
  <si>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</si>
  <si>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</si>
  <si>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</si>
  <si>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</si>
  <si>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</si>
  <si>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</si>
  <si>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</si>
  <si>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</si>
  <si>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</si>
  <si>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</si>
  <si>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</si>
  <si>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</si>
  <si>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</si>
  <si>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</si>
  <si>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</si>
  <si>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</si>
  <si>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</si>
  <si>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</si>
  <si>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</si>
  <si>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</si>
  <si>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</si>
  <si>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</si>
  <si>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</si>
  <si>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</si>
  <si>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</si>
  <si>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</si>
  <si>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</si>
  <si>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</si>
  <si>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</si>
  <si>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</si>
  <si>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</si>
  <si>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</si>
  <si>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</si>
  <si>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</si>
  <si>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</si>
  <si>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</si>
  <si>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</si>
  <si>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</si>
  <si>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</si>
  <si>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</si>
  <si>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</si>
  <si>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</si>
  <si>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</si>
  <si>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</si>
  <si>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</si>
  <si>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</si>
  <si>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</si>
  <si>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</si>
  <si>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</si>
  <si>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</si>
  <si>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</si>
  <si>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</si>
  <si>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</si>
  <si>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</si>
  <si>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</si>
  <si>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</si>
  <si>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</si>
  <si>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</si>
  <si>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</si>
  <si>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</si>
  <si>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</si>
  <si>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</si>
  <si>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</si>
  <si>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</si>
  <si>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</si>
  <si>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</si>
  <si>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</si>
  <si>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</si>
  <si>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</si>
  <si>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</si>
  <si>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</si>
  <si>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</si>
  <si>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</si>
  <si>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</si>
  <si>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</si>
  <si>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</si>
  <si>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</si>
  <si>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</si>
  <si>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</si>
  <si>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</si>
  <si>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</si>
  <si>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</si>
  <si>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</si>
  <si>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</si>
  <si>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</si>
  <si>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</si>
  <si>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</si>
  <si>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</si>
  <si>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</si>
  <si>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</si>
  <si>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</si>
  <si>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</si>
  <si>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</si>
  <si>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</si>
  <si>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</si>
  <si>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</si>
  <si>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</si>
  <si>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</si>
  <si>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</si>
  <si>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</si>
  <si>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</si>
  <si>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</si>
  <si>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</si>
  <si>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</si>
  <si>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</si>
  <si>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</si>
  <si>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</si>
  <si>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</si>
  <si>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</si>
  <si>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</si>
  <si>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</si>
  <si>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</si>
  <si>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</si>
  <si>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</si>
  <si>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</si>
  <si>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</si>
  <si>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</si>
  <si>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</si>
  <si>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</si>
  <si>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</si>
  <si>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</si>
  <si>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</si>
  <si>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</si>
  <si>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</si>
  <si>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</si>
  <si>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</si>
  <si>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</si>
  <si>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</si>
  <si>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</si>
  <si>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</si>
  <si>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</si>
  <si>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</si>
  <si>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</si>
  <si>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</si>
  <si>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</si>
  <si>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</si>
  <si>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</si>
  <si>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</si>
  <si>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</si>
  <si>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</si>
  <si>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</si>
  <si>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</si>
  <si>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</si>
  <si>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</si>
  <si>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</si>
  <si>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</si>
  <si>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</si>
  <si>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</si>
  <si>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</si>
  <si>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</si>
  <si>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</si>
  <si>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</si>
  <si>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</si>
  <si>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</si>
  <si>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</si>
  <si>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</si>
  <si>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</si>
  <si>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</si>
  <si>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</si>
  <si>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</si>
  <si>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</si>
  <si>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</si>
  <si>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</si>
  <si>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</si>
  <si>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</si>
  <si>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</si>
  <si>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</si>
  <si>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</si>
  <si>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</si>
  <si>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</si>
  <si>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</si>
  <si>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</si>
  <si>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</si>
  <si>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</si>
  <si>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</si>
  <si>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</si>
  <si>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</si>
  <si>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</si>
  <si>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</si>
  <si>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</si>
  <si>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</si>
  <si>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</si>
  <si>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</si>
  <si>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</si>
  <si>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</si>
  <si>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</si>
  <si>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</si>
  <si>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</si>
  <si>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</si>
  <si>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</si>
  <si>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</si>
  <si>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</si>
  <si>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</si>
  <si>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</si>
  <si>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</si>
  <si>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</si>
  <si>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</si>
  <si>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</si>
  <si>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</si>
  <si>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</si>
  <si>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</si>
  <si>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</si>
  <si>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</si>
  <si>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</si>
  <si>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</si>
  <si>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</si>
  <si>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</si>
  <si>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</si>
  <si>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</si>
  <si>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</si>
  <si>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</si>
  <si>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</si>
  <si>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</si>
  <si>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</si>
  <si>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</si>
  <si>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</si>
  <si>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</si>
  <si>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</si>
  <si>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</si>
  <si>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</si>
  <si>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</si>
  <si>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</si>
  <si>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</si>
  <si>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</si>
  <si>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</si>
  <si>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</si>
  <si>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</si>
  <si>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</si>
  <si>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</si>
  <si>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</si>
  <si>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</si>
  <si>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</si>
  <si>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</si>
  <si>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</si>
  <si>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</si>
  <si>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</si>
  <si>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</si>
  <si>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</si>
  <si>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</si>
  <si>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</si>
  <si>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</si>
  <si>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</si>
  <si>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</si>
  <si>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</si>
  <si>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</si>
  <si>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</si>
  <si>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</si>
  <si>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</si>
  <si>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</si>
  <si>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</si>
  <si>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</si>
  <si>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</si>
  <si>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</si>
  <si>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</si>
  <si>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</si>
  <si>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</si>
  <si>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</si>
  <si>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</si>
  <si>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</si>
  <si>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</si>
  <si>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</si>
  <si>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</si>
  <si>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</si>
  <si>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</si>
  <si>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</si>
  <si>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</si>
  <si>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</si>
  <si>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</si>
  <si>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</si>
  <si>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</si>
  <si>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</si>
  <si>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</si>
  <si>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</si>
  <si>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</si>
  <si>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</si>
  <si>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</si>
  <si>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</si>
  <si>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</si>
  <si>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</si>
  <si>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</si>
  <si>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</si>
  <si>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</si>
  <si>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</si>
  <si>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</si>
  <si>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</si>
  <si>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</si>
  <si>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</si>
  <si>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</si>
  <si>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</si>
  <si>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</si>
  <si>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</si>
  <si>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</si>
  <si>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</si>
  <si>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</si>
  <si>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</si>
  <si>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</si>
  <si>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</si>
  <si>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</si>
  <si>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</si>
  <si>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</si>
  <si>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</si>
  <si>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</si>
  <si>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</si>
  <si>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</si>
  <si>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</si>
  <si>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</si>
  <si>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</si>
  <si>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</si>
  <si>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</si>
  <si>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</si>
  <si>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</si>
  <si>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</si>
  <si>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</si>
  <si>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</si>
  <si>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</si>
  <si>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</si>
  <si>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</si>
  <si>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</si>
  <si>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</si>
  <si>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</si>
  <si>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</si>
  <si>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</si>
  <si>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</si>
  <si>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</si>
  <si>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</si>
  <si>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</si>
  <si>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</si>
  <si>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</si>
  <si>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</si>
  <si>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</si>
  <si>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</si>
  <si>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</si>
  <si>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</si>
  <si>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</si>
  <si>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</si>
  <si>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</si>
  <si>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</si>
  <si>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</si>
  <si>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</si>
  <si>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</si>
  <si>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</si>
  <si>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</si>
  <si>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</si>
  <si>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</si>
  <si>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</si>
  <si>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</si>
  <si>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</si>
  <si>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</si>
  <si>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</si>
  <si>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</si>
  <si>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</si>
  <si>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</si>
  <si>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</si>
  <si>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</si>
  <si>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</si>
  <si>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</si>
  <si>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</si>
  <si>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</si>
  <si>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</si>
  <si>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</si>
  <si>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</si>
  <si>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</si>
  <si>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</si>
  <si>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</si>
  <si>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</si>
  <si>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</si>
  <si>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</si>
  <si>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</si>
  <si>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</si>
  <si>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</si>
  <si>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</si>
  <si>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</si>
  <si>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</si>
  <si>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</si>
  <si>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</si>
  <si>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</si>
  <si>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</si>
  <si>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</si>
  <si>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</si>
  <si>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</si>
  <si>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</si>
  <si>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</si>
  <si>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</si>
  <si>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</si>
  <si>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</si>
  <si>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</si>
  <si>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</si>
  <si>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</si>
  <si>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</si>
  <si>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</si>
  <si>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</si>
  <si>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</si>
  <si>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</si>
  <si>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</si>
  <si>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</si>
  <si>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</si>
  <si>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</si>
  <si>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</si>
  <si>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</si>
  <si>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</si>
  <si>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</si>
  <si>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</si>
  <si>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</si>
  <si>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</si>
  <si>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</si>
  <si>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</si>
  <si>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</si>
  <si>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</si>
  <si>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</si>
  <si>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</si>
  <si>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</si>
  <si>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</si>
  <si>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</si>
  <si>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</si>
  <si>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</si>
  <si>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</si>
  <si>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</si>
  <si>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</si>
  <si>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</si>
  <si>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</si>
  <si>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</si>
  <si>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</si>
  <si>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</si>
  <si>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</si>
  <si>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</si>
  <si>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</si>
  <si>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</si>
  <si>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</si>
  <si>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</si>
  <si>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</si>
  <si>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</si>
  <si>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</si>
  <si>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</si>
  <si>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</si>
  <si>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</si>
  <si>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</si>
  <si>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</si>
  <si>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</si>
  <si>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</si>
  <si>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</si>
  <si>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</si>
  <si>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</si>
  <si>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</si>
  <si>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</si>
  <si>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</si>
  <si>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</si>
  <si>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</si>
  <si>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</si>
  <si>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</si>
  <si>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</si>
  <si>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</si>
  <si>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</si>
  <si>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</si>
  <si>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</si>
  <si>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210</t>
  </si>
  <si>
    <t>9</t>
  </si>
  <si>
    <t>3</t>
  </si>
  <si>
    <t>4</t>
  </si>
  <si>
    <t>8</t>
  </si>
  <si>
    <t>5</t>
  </si>
  <si>
    <t>6-6</t>
  </si>
  <si>
    <t>F</t>
  </si>
  <si>
    <t>11</t>
  </si>
  <si>
    <t>220</t>
  </si>
  <si>
    <t>225</t>
  </si>
  <si>
    <t>0</t>
  </si>
  <si>
    <t>Duke</t>
  </si>
  <si>
    <t>20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</si>
  <si>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</si>
  <si>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</si>
  <si>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</si>
  <si>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</si>
  <si>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</si>
  <si>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</si>
  <si>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</si>
  <si>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</si>
  <si>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</si>
  <si>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</si>
  <si>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</si>
  <si>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</si>
  <si>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</si>
  <si>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</si>
  <si>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</si>
  <si>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</si>
  <si>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</si>
  <si>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</si>
  <si>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</si>
  <si>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</si>
  <si>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</si>
  <si>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</si>
  <si>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</si>
  <si>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</si>
  <si>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</si>
  <si>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</si>
  <si>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</si>
  <si>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</si>
  <si>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</si>
  <si>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</si>
  <si>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</si>
  <si>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</si>
  <si>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</si>
  <si>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</si>
  <si>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</si>
  <si>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</si>
  <si>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</si>
  <si>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</si>
  <si>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</si>
  <si>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</si>
  <si>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</si>
  <si>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</si>
  <si>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</si>
  <si>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</si>
  <si>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</si>
  <si>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</si>
  <si>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</si>
  <si>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</si>
  <si>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</si>
  <si>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</si>
  <si>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</si>
  <si>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</si>
  <si>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</si>
  <si>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</si>
  <si>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</si>
  <si>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</si>
  <si>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</si>
  <si>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</si>
  <si>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</si>
  <si>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</si>
  <si>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</si>
  <si>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</si>
  <si>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</si>
  <si>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</si>
  <si>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</si>
  <si>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</si>
  <si>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</si>
  <si>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</si>
  <si>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</si>
  <si>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</si>
  <si>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</si>
  <si>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</si>
  <si>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</si>
  <si>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</si>
  <si>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</si>
  <si>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</si>
  <si>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</si>
  <si>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</si>
  <si>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</si>
  <si>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</si>
  <si>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</si>
  <si>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</si>
  <si>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</si>
  <si>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</si>
  <si>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</si>
  <si>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</si>
  <si>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</si>
  <si>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</si>
  <si>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</si>
  <si>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</si>
  <si>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</si>
  <si>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</si>
  <si>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</si>
  <si>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</si>
  <si>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</si>
  <si>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</si>
  <si>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</si>
  <si>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</si>
  <si>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</si>
  <si>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</si>
  <si>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</si>
  <si>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</si>
  <si>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</si>
  <si>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</si>
  <si>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</si>
  <si>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</si>
  <si>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</si>
  <si>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</si>
  <si>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</si>
  <si>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</si>
  <si>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</si>
  <si>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</si>
  <si>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</si>
  <si>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</si>
  <si>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</si>
  <si>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</si>
  <si>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</si>
  <si>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</si>
  <si>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</si>
  <si>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</si>
  <si>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</si>
  <si>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</si>
  <si>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</si>
  <si>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</si>
  <si>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</si>
  <si>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</si>
  <si>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</si>
  <si>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</si>
  <si>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</si>
  <si>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</si>
  <si>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</si>
  <si>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</si>
  <si>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</si>
  <si>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</si>
  <si>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</si>
  <si>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</si>
  <si>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</si>
  <si>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</si>
  <si>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</si>
  <si>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</si>
  <si>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</si>
  <si>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</si>
  <si>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</si>
  <si>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</si>
  <si>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</si>
  <si>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</si>
  <si>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</si>
  <si>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</si>
  <si>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</si>
  <si>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</si>
  <si>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</si>
  <si>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</si>
  <si>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</si>
  <si>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</si>
  <si>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</si>
  <si>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</si>
  <si>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</si>
  <si>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</si>
  <si>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</si>
  <si>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</si>
  <si>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</si>
  <si>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</si>
  <si>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</si>
  <si>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</si>
  <si>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</si>
  <si>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</si>
  <si>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</si>
  <si>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</si>
  <si>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</si>
  <si>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</si>
  <si>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</si>
  <si>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</si>
  <si>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</si>
  <si>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</si>
  <si>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</si>
  <si>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</si>
  <si>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</si>
  <si>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</si>
  <si>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</si>
  <si>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</si>
  <si>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</si>
  <si>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</si>
  <si>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</si>
  <si>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</si>
  <si>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</si>
  <si>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</si>
  <si>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</si>
  <si>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</si>
  <si>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</si>
  <si>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</si>
  <si>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</si>
  <si>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</si>
  <si>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</si>
  <si>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</si>
  <si>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</si>
  <si>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</si>
  <si>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</si>
  <si>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</si>
  <si>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</si>
  <si>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</si>
  <si>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</si>
  <si>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</si>
  <si>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</si>
  <si>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</si>
  <si>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</si>
  <si>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</si>
  <si>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</si>
  <si>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</si>
  <si>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</si>
  <si>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</si>
  <si>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</si>
  <si>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</si>
  <si>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</si>
  <si>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</si>
  <si>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</si>
  <si>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</si>
  <si>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</si>
  <si>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</si>
  <si>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</si>
  <si>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</si>
  <si>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</si>
  <si>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</si>
  <si>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</si>
  <si>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</si>
  <si>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</si>
  <si>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</si>
  <si>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</si>
  <si>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</si>
  <si>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</si>
  <si>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</si>
  <si>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</si>
  <si>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</si>
  <si>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</si>
  <si>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</si>
  <si>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</si>
  <si>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</si>
  <si>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</si>
  <si>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</si>
  <si>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</si>
  <si>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</si>
  <si>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</si>
  <si>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</si>
  <si>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</si>
  <si>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</si>
  <si>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</si>
  <si>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</si>
  <si>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</si>
  <si>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</si>
  <si>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</si>
  <si>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</si>
  <si>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</si>
  <si>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</si>
  <si>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</si>
  <si>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</si>
  <si>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</si>
  <si>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</si>
  <si>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</si>
  <si>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</si>
  <si>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</si>
  <si>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</si>
  <si>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</si>
  <si>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</si>
  <si>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</si>
  <si>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</si>
  <si>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</si>
  <si>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</si>
  <si>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</si>
  <si>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</si>
  <si>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</si>
  <si>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</si>
  <si>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</si>
  <si>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</si>
  <si>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</si>
  <si>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</si>
  <si>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</si>
  <si>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</si>
  <si>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</si>
  <si>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</si>
  <si>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</si>
  <si>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</si>
  <si>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</si>
  <si>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</si>
  <si>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</si>
  <si>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</si>
  <si>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</si>
  <si>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</si>
  <si>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</si>
  <si>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</si>
  <si>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</si>
  <si>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</si>
  <si>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</si>
  <si>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</si>
  <si>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</si>
  <si>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</si>
  <si>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</si>
  <si>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</si>
  <si>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</si>
  <si>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</si>
  <si>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</si>
  <si>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</si>
  <si>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</si>
  <si>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</si>
  <si>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</si>
  <si>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</si>
  <si>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</si>
  <si>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</si>
  <si>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</si>
  <si>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</si>
  <si>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</si>
  <si>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</si>
  <si>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</si>
  <si>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</si>
  <si>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</si>
  <si>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</si>
  <si>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</si>
  <si>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</si>
  <si>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</si>
  <si>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</si>
  <si>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</si>
  <si>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</si>
  <si>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</si>
  <si>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</si>
  <si>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</si>
  <si>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</si>
  <si>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</si>
  <si>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</si>
  <si>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</si>
  <si>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</si>
  <si>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</si>
  <si>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</si>
  <si>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</si>
  <si>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</si>
  <si>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</si>
  <si>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</si>
  <si>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</si>
  <si>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</si>
  <si>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</si>
  <si>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</si>
  <si>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</si>
  <si>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</si>
  <si>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</si>
  <si>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</si>
  <si>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</si>
  <si>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</si>
  <si>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</si>
  <si>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</si>
  <si>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</si>
  <si>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</si>
  <si>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</si>
  <si>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</si>
  <si>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</si>
  <si>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</si>
  <si>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</si>
  <si>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</si>
  <si>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</si>
  <si>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</si>
  <si>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</si>
  <si>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</si>
  <si>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</si>
  <si>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</si>
  <si>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</si>
  <si>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</si>
  <si>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</si>
  <si>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</si>
  <si>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</si>
  <si>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</si>
  <si>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</si>
  <si>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</si>
  <si>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</si>
  <si>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</si>
  <si>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</si>
  <si>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</si>
  <si>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</si>
  <si>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</si>
  <si>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</si>
  <si>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</si>
  <si>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</si>
  <si>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</si>
  <si>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</si>
  <si>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</si>
  <si>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</si>
  <si>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</si>
  <si>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</si>
  <si>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</si>
  <si>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</si>
  <si>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</si>
  <si>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</si>
  <si>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</si>
  <si>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</si>
  <si>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</si>
  <si>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</si>
  <si>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</si>
  <si>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</si>
  <si>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</si>
  <si>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</si>
  <si>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</si>
  <si>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</si>
  <si>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</si>
  <si>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</si>
  <si>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</si>
  <si>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</si>
  <si>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</si>
  <si>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</si>
  <si>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</si>
  <si>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</si>
  <si>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</si>
  <si>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</si>
  <si>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</si>
  <si>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</si>
  <si>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</si>
  <si>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</si>
  <si>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</si>
  <si>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</si>
  <si>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</si>
  <si>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</si>
  <si>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</si>
  <si>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</si>
  <si>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</si>
  <si>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</si>
  <si>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</si>
  <si>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</si>
  <si>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</si>
  <si>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</si>
  <si>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</si>
  <si>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</si>
  <si>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</si>
  <si>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</si>
  <si>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</si>
  <si>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</si>
  <si>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</si>
  <si>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</si>
  <si>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</si>
  <si>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</si>
  <si>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</si>
  <si>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</si>
  <si>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</si>
  <si>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</si>
  <si>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</si>
  <si>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</si>
  <si>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</si>
  <si>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</si>
  <si>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</si>
  <si>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</si>
  <si>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</si>
  <si>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</si>
  <si>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</si>
  <si>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</si>
  <si>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</si>
  <si>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</si>
  <si>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</si>
  <si>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</si>
  <si>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</si>
  <si>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</si>
  <si>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</si>
  <si>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</si>
  <si>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</si>
  <si>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</si>
  <si>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</si>
  <si>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</si>
  <si>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</si>
  <si>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</si>
  <si>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</si>
  <si>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</si>
  <si>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</si>
  <si>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</si>
  <si>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</si>
  <si>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</si>
  <si>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</si>
  <si>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</si>
  <si>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</si>
  <si>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</si>
  <si>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</si>
  <si>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</si>
  <si>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</si>
  <si>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</si>
  <si>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</si>
  <si>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</si>
  <si>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</si>
  <si>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</si>
  <si>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</si>
  <si>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</si>
  <si>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</si>
  <si>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</si>
  <si>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</si>
  <si>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</si>
  <si>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</si>
  <si>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</si>
  <si>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</si>
  <si>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</si>
  <si>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</si>
  <si>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</si>
  <si>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</si>
  <si>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</si>
  <si>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</si>
  <si>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</si>
  <si>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</si>
  <si>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</si>
  <si>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</si>
  <si>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</si>
  <si>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</si>
  <si>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</si>
  <si>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</si>
  <si>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</si>
  <si>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</si>
  <si>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</si>
  <si>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</si>
  <si>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</si>
  <si>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</si>
  <si>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</si>
  <si>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</si>
  <si>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</si>
  <si>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</si>
  <si>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</si>
  <si>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</si>
  <si>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</si>
  <si>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</si>
  <si>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</si>
  <si>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</si>
  <si>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</si>
  <si>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</si>
  <si>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</si>
  <si>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</si>
  <si>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</si>
  <si>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</si>
  <si>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</si>
  <si>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</si>
  <si>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</si>
  <si>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</si>
  <si>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</si>
  <si>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</si>
  <si>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</si>
  <si>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</si>
  <si>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</si>
  <si>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</si>
  <si>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</si>
  <si>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</si>
  <si>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</si>
  <si>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</si>
  <si>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</si>
  <si>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</si>
  <si>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</si>
  <si>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</si>
  <si>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</si>
  <si>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</si>
  <si>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</si>
  <si>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</si>
  <si>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</si>
  <si>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</si>
  <si>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</si>
  <si>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</si>
  <si>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</si>
  <si>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</si>
  <si>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</si>
  <si>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</si>
  <si>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</si>
  <si>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</si>
  <si>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</si>
  <si>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</si>
  <si>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</si>
  <si>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</si>
  <si>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</si>
  <si>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</si>
  <si>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200</t>
  </si>
  <si>
    <t>Purdue</t>
  </si>
  <si>
    <t xml:space="preserve"> </t>
  </si>
  <si>
    <t>236</t>
  </si>
  <si>
    <t>205</t>
  </si>
  <si>
    <t>C-F</t>
  </si>
  <si>
    <t>45</t>
  </si>
  <si>
    <t>Louisiana State</t>
  </si>
  <si>
    <t>Nickeil Alexander-Walker</t>
  </si>
  <si>
    <t>SEP 02, 1998</t>
  </si>
  <si>
    <t>Virginia Tech</t>
  </si>
  <si>
    <t>Zion Williamson</t>
  </si>
  <si>
    <t>284</t>
  </si>
  <si>
    <t>JUL 06, 2000</t>
  </si>
  <si>
    <t>Lonzo Ball</t>
  </si>
  <si>
    <t>190</t>
  </si>
  <si>
    <t>OCT 27, 1997</t>
  </si>
  <si>
    <t>UCLA</t>
  </si>
  <si>
    <t>Josh Hart</t>
  </si>
  <si>
    <t>215</t>
  </si>
  <si>
    <t>MAR 06, 1995</t>
  </si>
  <si>
    <t>Villanova</t>
  </si>
  <si>
    <t>JJ Redick</t>
  </si>
  <si>
    <t>JUN 24, 1984</t>
  </si>
  <si>
    <t>13</t>
  </si>
  <si>
    <t>Josh Gray</t>
  </si>
  <si>
    <t>180</t>
  </si>
  <si>
    <t>SEP 09, 1993</t>
  </si>
  <si>
    <t>Jahlil Okafor</t>
  </si>
  <si>
    <t>270</t>
  </si>
  <si>
    <t>DEC 15, 1995</t>
  </si>
  <si>
    <t>Jaxson Hayes</t>
  </si>
  <si>
    <t>10</t>
  </si>
  <si>
    <t>6-11</t>
  </si>
  <si>
    <t>MAY 23, 2000</t>
  </si>
  <si>
    <t>Texas</t>
  </si>
  <si>
    <t>Jrue Holiday</t>
  </si>
  <si>
    <t>JUN 12, 1990</t>
  </si>
  <si>
    <t>Brandon Ingram</t>
  </si>
  <si>
    <t>14</t>
  </si>
  <si>
    <t>SEP 02, 1997</t>
  </si>
  <si>
    <t>Frank Jackson</t>
  </si>
  <si>
    <t>15</t>
  </si>
  <si>
    <t>MAY 04, 1998</t>
  </si>
  <si>
    <t>Nicolo Melli</t>
  </si>
  <si>
    <t>JAN 26, 1991</t>
  </si>
  <si>
    <t>Darius Miller</t>
  </si>
  <si>
    <t>21</t>
  </si>
  <si>
    <t>MAR 21, 1990</t>
  </si>
  <si>
    <t>Kentucky</t>
  </si>
  <si>
    <t>Derrick Favors</t>
  </si>
  <si>
    <t>22</t>
  </si>
  <si>
    <t>265</t>
  </si>
  <si>
    <t>JUL 15, 1991</t>
  </si>
  <si>
    <t>Georgia Tech</t>
  </si>
  <si>
    <t>Kenrich Williams</t>
  </si>
  <si>
    <t>34</t>
  </si>
  <si>
    <t>DEC 02, 1994</t>
  </si>
  <si>
    <t>Texas Christian</t>
  </si>
  <si>
    <t>Zylan Cheatham</t>
  </si>
  <si>
    <t>NOV 17, 1995</t>
  </si>
  <si>
    <t>Arizona State</t>
  </si>
  <si>
    <t>E'Twaun Moore</t>
  </si>
  <si>
    <t>55</t>
  </si>
  <si>
    <t>191</t>
  </si>
  <si>
    <t>FEB 25, 1989</t>
  </si>
  <si>
    <t>Pelicans</t>
    <phoneticPr fontId="1"/>
  </si>
  <si>
    <t>6-9</t>
    <phoneticPr fontId="1"/>
  </si>
  <si>
    <t xml:space="preserve">5-5  </t>
    <phoneticPr fontId="1"/>
  </si>
  <si>
    <t xml:space="preserve">4-4  </t>
    <phoneticPr fontId="1"/>
  </si>
  <si>
    <t xml:space="preserve">2-5  </t>
    <phoneticPr fontId="1"/>
  </si>
  <si>
    <t>33-49</t>
    <phoneticPr fontId="1"/>
  </si>
  <si>
    <t xml:space="preserve">3-7  </t>
    <phoneticPr fontId="1"/>
  </si>
  <si>
    <t>19-22</t>
    <phoneticPr fontId="1"/>
  </si>
  <si>
    <t>14-27</t>
    <phoneticPr fontId="1"/>
  </si>
  <si>
    <t>26-33</t>
    <phoneticPr fontId="1"/>
  </si>
  <si>
    <t>7-16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</si>
</sst>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AC0D06-9041-4F28-B599-7C2EE27E2E8A}" name="TableRoster" displayName="TableRoster" ref="A1:M18" totalsRowShown="0" headerRowDxfId="1074">
  <autoFilter ref="A1:M18" xr:uid="{E86DDC0C-4C47-41ED-A9E5-4282D3F544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BBE2FE49-A535-4B8B-9FD2-A7600D3A7E62}" name="TeamID" dataDxfId="1087"/>
    <tableColumn id="2" xr3:uid="{15E6DDE0-2357-4866-8516-CCA9BE843C38}" name="SEASON" dataDxfId="1086"/>
    <tableColumn id="3" xr3:uid="{1E57C220-9B8E-4D18-899C-EE1CD40D404B}" name="LeagueID" dataDxfId="1085"/>
    <tableColumn id="4" xr3:uid="{86A982C3-A272-42CB-A833-A367E09519B1}" name="PLAYER" dataDxfId="1084"/>
    <tableColumn id="5" xr3:uid="{AC2C5B08-9CEE-482F-B39E-D7645783408F}" name="NUM" dataDxfId="1083"/>
    <tableColumn id="6" xr3:uid="{BF567DD3-5B1B-493D-935A-E52F2224864D}" name="POSITION" dataDxfId="1082"/>
    <tableColumn id="7" xr3:uid="{45330DAA-055B-43FD-9DEA-FF4E449652BC}" name="HEIGHT" dataDxfId="1081"/>
    <tableColumn id="8" xr3:uid="{31998B69-8651-4556-8592-7FB0F168DFDB}" name="WEIGHT" dataDxfId="1080"/>
    <tableColumn id="9" xr3:uid="{91E83DF4-BBBE-40E8-8513-AD30F3991F81}" name="BIRTH_DATE" dataDxfId="1079"/>
    <tableColumn id="10" xr3:uid="{72633487-4086-408B-B811-6976C2AD754B}" name="AGE" dataDxfId="1078"/>
    <tableColumn id="11" xr3:uid="{5C55B9A5-4481-430E-9483-1A1B893D61C5}" name="EXP" dataDxfId="1077"/>
    <tableColumn id="12" xr3:uid="{BAD325DD-5740-45F1-AB66-D67E82A5F45C}" name="SCHOOL" dataDxfId="1076"/>
    <tableColumn id="13" xr3:uid="{A5185234-FACB-4CD7-811C-50872F929DE2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859F7E-4F87-47EA-90C0-0501FF17BC89}" name="TableStandingsN" displayName="TableStandingsN" ref="A1:CC31" totalsRowShown="0" headerRowDxfId="992">
  <autoFilter ref="A1:CC31" xr:uid="{7D198BA3-0F63-4F73-8FD0-2D6475FBB3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125515AA-E4A1-4E9B-900A-55CC58DB792D}" name="LeagueID" dataDxfId="1073"/>
    <tableColumn id="2" xr3:uid="{9E26C798-E00C-4465-9C0D-3A932371D9A6}" name="SeasonID" dataDxfId="1072"/>
    <tableColumn id="3" xr3:uid="{FB6F7BB0-6062-48F7-8A61-1363A6A7FE5B}" name="TeamID" dataDxfId="1071"/>
    <tableColumn id="4" xr3:uid="{B6C7D711-EF1E-4AE2-8C4F-31CC1A5960B5}" name="TeamCity" dataDxfId="1070"/>
    <tableColumn id="5" xr3:uid="{D816D7FA-436E-4487-8C20-AEF17871BC72}" name="TeamName" dataDxfId="1069"/>
    <tableColumn id="6" xr3:uid="{362A3E96-56FD-4206-B9C4-48036C31481E}" name="Conference" dataDxfId="1068"/>
    <tableColumn id="7" xr3:uid="{028662EC-4F3F-4A04-8B07-56D26FD8EDB2}" name="ConferenceRecord" dataDxfId="1067"/>
    <tableColumn id="8" xr3:uid="{C1A85568-B1E2-4803-8BDB-CC0962ECBA73}" name="PlayoffRank" dataDxfId="1066"/>
    <tableColumn id="9" xr3:uid="{1C54ECD9-B3CA-495C-BCD0-EDC339493390}" name="ClinchIndicator" dataDxfId="1065"/>
    <tableColumn id="10" xr3:uid="{64A6DDC9-A504-41A6-AE4F-CA29BEDD4786}" name="Division" dataDxfId="1064"/>
    <tableColumn id="11" xr3:uid="{AE05BCB0-D620-4433-BA20-275ECE4C2AE1}" name="DivisionRecord" dataDxfId="1063"/>
    <tableColumn id="12" xr3:uid="{6E1883EF-12A5-432B-BECB-C9EFFED02664}" name="DivisionRank" dataDxfId="1062"/>
    <tableColumn id="13" xr3:uid="{4871DF49-3DD6-4D1E-B2AC-9979C06150B6}" name="WINS" dataDxfId="1061"/>
    <tableColumn id="14" xr3:uid="{E14269F3-2739-4327-A4B2-019FF6E0667A}" name="LOSSES" dataDxfId="1060"/>
    <tableColumn id="15" xr3:uid="{55A382A1-2B02-4E0A-8CC8-6FFD0B43C7DE}" name="WinPCT" dataDxfId="1059"/>
    <tableColumn id="16" xr3:uid="{F8874490-12B0-4D39-B3D6-EA24E31A83D0}" name="LeagueRank" dataDxfId="1058"/>
    <tableColumn id="17" xr3:uid="{2C3D6B63-C603-438D-B24C-018E401D1D16}" name="Record" dataDxfId="1057"/>
    <tableColumn id="18" xr3:uid="{F7229931-C0DA-4733-8650-F5F2A86D397E}" name="HOME" dataDxfId="1056"/>
    <tableColumn id="19" xr3:uid="{90E7F1A9-CCA3-4B93-8A23-F940FB11EC3A}" name="ROAD" dataDxfId="1055"/>
    <tableColumn id="20" xr3:uid="{F983FACA-2455-4DE2-B41C-09D740CB4A14}" name="L10" dataDxfId="1054"/>
    <tableColumn id="21" xr3:uid="{F85418BE-69E9-4CA2-8808-61B56D555087}" name="Last10Home" dataDxfId="1053"/>
    <tableColumn id="22" xr3:uid="{8773C49B-DD64-4801-B7DC-BF697CEEE563}" name="Last10Road" dataDxfId="1052"/>
    <tableColumn id="23" xr3:uid="{59565C08-B448-44E4-BE9C-E86B972FABB1}" name="OT" dataDxfId="1051"/>
    <tableColumn id="24" xr3:uid="{D31AD94B-A845-45F6-B936-6D473B801163}" name="ThreePTSOrLess" dataDxfId="1050"/>
    <tableColumn id="25" xr3:uid="{230C1C43-48B9-42FF-B35B-147B6230103C}" name="TenPTSOrMore" dataDxfId="1049"/>
    <tableColumn id="26" xr3:uid="{264D6BA4-5071-4358-A361-35561C02C244}" name="LongHomeStreak" dataDxfId="1048"/>
    <tableColumn id="27" xr3:uid="{735BA3EC-BBFF-4178-8E2B-7CF66A3E7BE0}" name="strLongHomeStreak" dataDxfId="1047"/>
    <tableColumn id="28" xr3:uid="{7FF949CB-65C7-4573-B7A9-320E69D41FF5}" name="LongRoadStreak" dataDxfId="1046"/>
    <tableColumn id="29" xr3:uid="{E27D0273-159F-4CB4-9734-99BC197B3F1F}" name="strLongRoadStreak" dataDxfId="1045"/>
    <tableColumn id="30" xr3:uid="{C8AAB41B-BA32-4883-A7D2-789196EF020C}" name="LongWinStreak" dataDxfId="1044"/>
    <tableColumn id="31" xr3:uid="{82971637-F278-4B0D-8B7B-25873E42B498}" name="LongLossStreak" dataDxfId="1043"/>
    <tableColumn id="32" xr3:uid="{B52C4854-D7D7-40B9-93EB-4A39DC834463}" name="CurrentHomeStreak" dataDxfId="1042"/>
    <tableColumn id="33" xr3:uid="{6312A931-9503-474C-8B3E-04B595055B9A}" name="strCurrentHomeStreak" dataDxfId="1041"/>
    <tableColumn id="34" xr3:uid="{711CFF0A-38F5-49AC-993D-2231725EF2EB}" name="CurrentRoadStreak" dataDxfId="1040"/>
    <tableColumn id="35" xr3:uid="{013CB6C9-157D-4EF8-A173-158739C97FD3}" name="strCurrentRoadStreak" dataDxfId="1039"/>
    <tableColumn id="36" xr3:uid="{C872A4DF-3AE9-48DD-9CB8-0FB9859F5F05}" name="CurrentStreak" dataDxfId="1038"/>
    <tableColumn id="37" xr3:uid="{EE8C403A-FFAC-4123-A8F7-24C0DFDD405C}" name="strCurrentStreak" dataDxfId="1037"/>
    <tableColumn id="38" xr3:uid="{631B648C-DEAF-469D-A64E-986D147AD370}" name="ConferenceGamesBack" dataDxfId="1036"/>
    <tableColumn id="39" xr3:uid="{F957986C-933C-4BD1-8D4E-1B5AF8B9628E}" name="DivisionGamesBack" dataDxfId="1035"/>
    <tableColumn id="40" xr3:uid="{05912B70-F657-49C8-8C82-628B7368E86A}" name="ClinchedConferenceTitle" dataDxfId="1034"/>
    <tableColumn id="41" xr3:uid="{32D41C99-088E-4FF7-8D99-F52508C0B0CB}" name="ClinchedDivisionTitle" dataDxfId="1033"/>
    <tableColumn id="42" xr3:uid="{B1F8CD94-D600-4842-8641-6AFDE1C5F6D9}" name="ClinchedPlayoffBirth" dataDxfId="1032"/>
    <tableColumn id="43" xr3:uid="{0B817CEE-6786-447C-96E2-CDF773740635}" name="EliminatedConference" dataDxfId="1031"/>
    <tableColumn id="44" xr3:uid="{B38718F4-90C0-42CD-A8EA-C4507CDB46AE}" name="EliminatedDivision" dataDxfId="1030"/>
    <tableColumn id="45" xr3:uid="{6FCD6716-383A-4F37-B349-98A9E760B254}" name="AheadAtHalf" dataDxfId="1029"/>
    <tableColumn id="46" xr3:uid="{4D6A98F2-64DC-4DAA-9546-9173E648F047}" name="BehindAtHalf" dataDxfId="1028"/>
    <tableColumn id="47" xr3:uid="{C3402753-830D-4F76-A7A8-7A596DB2B4D2}" name="TiedAtHalf" dataDxfId="1027"/>
    <tableColumn id="48" xr3:uid="{AB43E704-6DC8-4543-AE42-24F97EB0B2AF}" name="AheadAtThird" dataDxfId="1026"/>
    <tableColumn id="49" xr3:uid="{47942B54-B4BF-466A-BD48-9BC34CFD6099}" name="BehindAtThird" dataDxfId="1025"/>
    <tableColumn id="50" xr3:uid="{00B6083D-A2D6-4F7E-BD7B-A3EA429CB9D4}" name="TiedAtThird" dataDxfId="1024"/>
    <tableColumn id="51" xr3:uid="{D3ED7408-272C-4325-9840-80419CDBF7A5}" name="Score100PTS" dataDxfId="1023"/>
    <tableColumn id="52" xr3:uid="{56F69DDC-B750-4DCD-9C74-247943201BDD}" name="OppScore100PTS" dataDxfId="1022"/>
    <tableColumn id="53" xr3:uid="{1185C780-0F65-4AD1-B3C4-184EDFDED610}" name="OppOver500" dataDxfId="1021"/>
    <tableColumn id="54" xr3:uid="{723BA97B-8F94-4316-824F-37728116180D}" name="LeadInFGPCT" dataDxfId="1020"/>
    <tableColumn id="55" xr3:uid="{DF6372A1-0B53-467A-B61E-C273DAEFD1D0}" name="LeadInReb" dataDxfId="1019"/>
    <tableColumn id="56" xr3:uid="{C7E9A2DA-A77C-40B0-994C-18044B14F1DB}" name="FewerTurnovers" dataDxfId="1018"/>
    <tableColumn id="57" xr3:uid="{92BFC332-7E7A-40F4-AA6E-7D449CCF68D4}" name="PointsPG" dataDxfId="1017"/>
    <tableColumn id="58" xr3:uid="{2031C092-D01C-4F8E-B057-4E0B28C301BD}" name="OppPointsPG" dataDxfId="1016"/>
    <tableColumn id="59" xr3:uid="{DAEA7EB2-6494-47A0-A06A-EC6940DA0897}" name="DiffPointsPG" dataDxfId="1015"/>
    <tableColumn id="60" xr3:uid="{904A9D24-C969-4916-8650-EB06B2CE463A}" name="vsEast" dataDxfId="1014"/>
    <tableColumn id="61" xr3:uid="{21F5C57F-8370-47B9-96C3-7EBBE844A408}" name="vsAtlantic" dataDxfId="1013"/>
    <tableColumn id="62" xr3:uid="{118272C0-9D0F-4633-95B4-67EDDB70F659}" name="vsCentral" dataDxfId="1012"/>
    <tableColumn id="63" xr3:uid="{87E66841-4BC0-4A5C-8D43-C667504BAEE0}" name="vsSoutheast" dataDxfId="1011"/>
    <tableColumn id="64" xr3:uid="{ACCB1653-2A8D-46B5-977C-ED855BFAB1CB}" name="vsWest" dataDxfId="1010"/>
    <tableColumn id="65" xr3:uid="{AE25E892-1C03-464C-B4DC-AB9310214D79}" name="vsNorthwest" dataDxfId="1009"/>
    <tableColumn id="66" xr3:uid="{D245F02D-3A2F-400C-9DFF-224B848C8AFE}" name="vsPacific" dataDxfId="1008"/>
    <tableColumn id="67" xr3:uid="{3CAB1A25-75F9-4DFB-AFB8-B1F7DDD81F64}" name="vsSouthwest" dataDxfId="1007"/>
    <tableColumn id="68" xr3:uid="{EAE98A9E-1BCB-44AC-B961-28FFFB1D5CA8}" name="Jan" dataDxfId="1006"/>
    <tableColumn id="69" xr3:uid="{FF357344-EF16-4903-9F28-E38A57832696}" name="Feb" dataDxfId="1005"/>
    <tableColumn id="70" xr3:uid="{24DD8839-E60C-41AE-806B-CD1BBAA54CE4}" name="Mar" dataDxfId="1004"/>
    <tableColumn id="71" xr3:uid="{0906BEB8-B04C-4724-AC88-A869EC3BA4A1}" name="Apr" dataDxfId="1003"/>
    <tableColumn id="72" xr3:uid="{B2607DA6-7994-4ECA-A279-8830F4600ECC}" name="May" dataDxfId="1002"/>
    <tableColumn id="73" xr3:uid="{F9AE9F32-1E11-492E-BFD2-FFC83220B4B8}" name="Jun" dataDxfId="1001"/>
    <tableColumn id="74" xr3:uid="{B901C5EC-D9EB-4CF2-8124-2BA65726F231}" name="Jul" dataDxfId="1000"/>
    <tableColumn id="75" xr3:uid="{A33D44BD-9D02-4692-8F60-6EAF75297127}" name="Aug" dataDxfId="999"/>
    <tableColumn id="76" xr3:uid="{5BF99829-0F1A-416B-9D14-784FBE8B0D03}" name="Sep" dataDxfId="998"/>
    <tableColumn id="77" xr3:uid="{6E7D1BD3-ABF4-4B7A-8B74-61A9EE52C615}" name="Oct" dataDxfId="997"/>
    <tableColumn id="78" xr3:uid="{3CDBC154-ACE1-44C5-B2F4-CCC013940B95}" name="Nov" dataDxfId="996"/>
    <tableColumn id="79" xr3:uid="{D5D13C54-4335-4B72-A052-A60F1BAB2FF7}" name="Dec" dataDxfId="995"/>
    <tableColumn id="80" xr3:uid="{5A5E9066-3F9C-4209-AF70-EB4ABA10A98E}" name="PreAS" dataDxfId="994"/>
    <tableColumn id="81" xr3:uid="{A2659D9F-80BD-4F02-B6C2-04496A7F3DBA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66B0AF-1111-42DB-A6F5-C3F90DF55C66}" name="TableBaseN" displayName="TableBaseN" ref="A1:BD31" totalsRowShown="0" headerRowDxfId="853">
  <autoFilter ref="A1:BD31" xr:uid="{54E9B317-51C0-4564-A5D3-E6966E67C9F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6206367-DDAE-4F29-8B47-2DABB2538852}" name="TEAM_ID" dataDxfId="909"/>
    <tableColumn id="2" xr3:uid="{C78BD7DA-38FE-4D8A-85AF-AC277A5F741F}" name="TEAM_NAME" dataDxfId="908"/>
    <tableColumn id="3" xr3:uid="{653F741D-4327-4529-B5A7-C3D29FDFEF46}" name="GP" dataDxfId="907"/>
    <tableColumn id="4" xr3:uid="{301D97E3-6C90-42E7-BB9F-F13B54D357B6}" name="W" dataDxfId="906"/>
    <tableColumn id="5" xr3:uid="{0982AE86-F92F-42AD-BEAF-C8F04E047E4F}" name="L" dataDxfId="905"/>
    <tableColumn id="6" xr3:uid="{28A3432A-D439-4F85-B8DE-76519CECF7BD}" name="W_PCT" dataDxfId="904"/>
    <tableColumn id="7" xr3:uid="{2A1F7A5E-B30D-4E48-B4C1-E840918CE1A9}" name="MIN" dataDxfId="903"/>
    <tableColumn id="8" xr3:uid="{2ED91E85-671A-4783-AEDA-B9B416C6A110}" name="FGM" dataDxfId="902"/>
    <tableColumn id="9" xr3:uid="{2FC0DF3E-9902-4618-BEB8-46F1E38312E2}" name="FGA" dataDxfId="901"/>
    <tableColumn id="10" xr3:uid="{30BA4EFE-6BB5-40D9-999D-9A79791C901F}" name="FG_PCT" dataDxfId="900"/>
    <tableColumn id="11" xr3:uid="{EC3D3EED-C57B-4E3E-BD48-35DD5ABF7FC7}" name="FG3M" dataDxfId="899"/>
    <tableColumn id="12" xr3:uid="{971211E8-4B90-43A9-8387-02F39CF8EC59}" name="FG3A" dataDxfId="898"/>
    <tableColumn id="13" xr3:uid="{C33F8E60-EF6A-4FE0-BA6D-1BD9306A4E7F}" name="FG3_PCT" dataDxfId="897"/>
    <tableColumn id="14" xr3:uid="{397C4A18-92E7-4648-8962-1C83CA992679}" name="FTM" dataDxfId="896"/>
    <tableColumn id="15" xr3:uid="{1DEBB02D-589E-4B43-8AC9-F7A6D6374BFC}" name="FTA" dataDxfId="895"/>
    <tableColumn id="16" xr3:uid="{D00211C7-EB06-4A8E-85F3-010F055D0A20}" name="FT_PCT" dataDxfId="894"/>
    <tableColumn id="17" xr3:uid="{17C87F60-1AD6-43FD-9314-C593CB0792B7}" name="OREB" dataDxfId="893"/>
    <tableColumn id="18" xr3:uid="{D93CA588-E434-448F-A905-B7E03E7F45F1}" name="DREB" dataDxfId="892"/>
    <tableColumn id="19" xr3:uid="{791D1188-D86E-4342-BCEC-94FE03BB9EB7}" name="REB" dataDxfId="891"/>
    <tableColumn id="20" xr3:uid="{730EE288-12CE-40D1-8DE0-B82C00E3C41C}" name="AST" dataDxfId="890"/>
    <tableColumn id="21" xr3:uid="{5A4746E0-37CB-421A-B0A8-15B25A9BCAD4}" name="TOV" dataDxfId="889"/>
    <tableColumn id="22" xr3:uid="{6993B6E4-BDE1-4263-81AC-ABBFABE82C1F}" name="STL" dataDxfId="888"/>
    <tableColumn id="23" xr3:uid="{7F025C73-F418-45F1-ABA6-B0820CFCD4AA}" name="BLK" dataDxfId="887"/>
    <tableColumn id="24" xr3:uid="{ED12AFAC-EF46-4C92-AF2E-9CB2358236AE}" name="BLKA" dataDxfId="886"/>
    <tableColumn id="25" xr3:uid="{6F85B196-60A4-4DCB-8C26-BFFCDD08A1C1}" name="PF" dataDxfId="885"/>
    <tableColumn id="26" xr3:uid="{7D16CD90-4854-47C5-9B04-9BAC9B6B2F84}" name="PFD" dataDxfId="884"/>
    <tableColumn id="27" xr3:uid="{D7B427B0-5241-4DDA-964E-7768DADFE058}" name="PTS" dataDxfId="883"/>
    <tableColumn id="28" xr3:uid="{9F56BCC2-9316-41E7-B98C-7D7872DF08B1}" name="PLUS_MINUS" dataDxfId="882"/>
    <tableColumn id="29" xr3:uid="{F7B6D197-F3FA-4D45-91A8-339A330A806B}" name="GP_RANK" dataDxfId="881"/>
    <tableColumn id="30" xr3:uid="{707249F2-51DF-49C0-BDB9-BFA391C1657F}" name="W_RANK" dataDxfId="880"/>
    <tableColumn id="31" xr3:uid="{1BD3A278-1B01-46C3-9595-84B0AE028022}" name="L_RANK" dataDxfId="879"/>
    <tableColumn id="32" xr3:uid="{49004CDE-E294-4B70-99F7-E6A832B802F2}" name="W_PCT_RANK" dataDxfId="878"/>
    <tableColumn id="33" xr3:uid="{DD4913E3-E33D-40CC-9DE7-AB6DDA9644B9}" name="MIN_RANK" dataDxfId="877"/>
    <tableColumn id="34" xr3:uid="{5BB735D9-AC30-4071-873B-48B106BAE2B0}" name="FGM_RANK" dataDxfId="876"/>
    <tableColumn id="35" xr3:uid="{9BF37DA8-5FFE-4490-97E7-2D2825BD5F7E}" name="FGA_RANK" dataDxfId="875"/>
    <tableColumn id="36" xr3:uid="{AA181691-9E11-41AD-BE5B-D981193E9FDD}" name="FG_PCT_RANK" dataDxfId="874"/>
    <tableColumn id="37" xr3:uid="{46766916-6042-47CF-B738-8585FF1F2336}" name="FG3M_RANK" dataDxfId="873"/>
    <tableColumn id="38" xr3:uid="{7ABA1E4C-05E7-452C-96A3-3DD8DD717BBF}" name="FG3A_RANK" dataDxfId="872"/>
    <tableColumn id="39" xr3:uid="{2DA855F1-7739-4231-BE8D-70C556DB2C68}" name="FG3_PCT_RANK" dataDxfId="871"/>
    <tableColumn id="40" xr3:uid="{8B74B6C0-4444-4406-BD5D-14ABEB4E5D8C}" name="FTM_RANK" dataDxfId="870"/>
    <tableColumn id="41" xr3:uid="{BA0990A1-94CB-43E8-B561-BD5234C9DBCB}" name="FTA_RANK" dataDxfId="869"/>
    <tableColumn id="42" xr3:uid="{8817B369-CCB2-44A6-A0E1-958B97D01A7F}" name="FT_PCT_RANK" dataDxfId="868"/>
    <tableColumn id="43" xr3:uid="{FBCC164B-4536-4789-B239-B69D62113F6F}" name="OREB_RANK" dataDxfId="867"/>
    <tableColumn id="44" xr3:uid="{87437B98-BF2C-426D-BBE3-56E590EB781C}" name="DREB_RANK" dataDxfId="866"/>
    <tableColumn id="45" xr3:uid="{5B55B16B-1D6D-47B8-87E0-893765FF7105}" name="REB_RANK" dataDxfId="865"/>
    <tableColumn id="46" xr3:uid="{F0602321-CDD2-4B2C-BC1E-8D60730F829F}" name="AST_RANK" dataDxfId="864"/>
    <tableColumn id="47" xr3:uid="{AA0EA42E-0C50-4E23-9ACE-15FD8FE240BA}" name="TOV_RANK" dataDxfId="863"/>
    <tableColumn id="48" xr3:uid="{0C1607E1-227B-4AEB-A320-8388C008C396}" name="STL_RANK" dataDxfId="862"/>
    <tableColumn id="49" xr3:uid="{AA9D40CB-90CF-4C9C-A4C5-D3B9CE684A62}" name="BLK_RANK" dataDxfId="861"/>
    <tableColumn id="50" xr3:uid="{C7FA8A17-1F8B-43F7-BE52-2F89EE9E97D1}" name="BLKA_RANK" dataDxfId="860"/>
    <tableColumn id="51" xr3:uid="{F7003ECD-0C71-4D56-B780-41795AED148E}" name="PF_RANK" dataDxfId="859"/>
    <tableColumn id="52" xr3:uid="{51CD02EE-1D1C-4427-BEB4-E7DC865283CC}" name="PFD_RANK" dataDxfId="858"/>
    <tableColumn id="53" xr3:uid="{167F290B-40A4-4439-9B4D-8268EF7A64E5}" name="PTS_RANK" dataDxfId="857"/>
    <tableColumn id="54" xr3:uid="{6497E327-C28D-420E-AEBB-9B072E25C335}" name="PLUS_MINUS_RANK" dataDxfId="856"/>
    <tableColumn id="55" xr3:uid="{691CC8BF-CA00-47F2-8E96-AC088635428E}" name="CFID" dataDxfId="855"/>
    <tableColumn id="56" xr3:uid="{5DF7BA93-1609-489C-BDA2-D9403790AB28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B25981-796E-41C3-99D0-87F2CE0523E6}" name="TableAdvancedN" displayName="TableAdvancedN" ref="A1:AV31" totalsRowShown="0" headerRowDxfId="747">
  <autoFilter ref="A1:AV31" xr:uid="{AD4AF361-698E-4678-81A7-88820721AB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9F4BC76-52D1-4637-AEC8-CBEB1D3E5683}" name="TEAM_ID" dataDxfId="795"/>
    <tableColumn id="2" xr3:uid="{5C583DC7-6AA5-439F-8550-4975B6BB5F1E}" name="TEAM_NAME" dataDxfId="794"/>
    <tableColumn id="3" xr3:uid="{98BA7556-0482-4044-A793-545ADBF159C8}" name="GP" dataDxfId="793"/>
    <tableColumn id="4" xr3:uid="{F6502710-85A4-43BB-9A94-6963A14B2729}" name="W" dataDxfId="792"/>
    <tableColumn id="5" xr3:uid="{E2C6DC8D-BB8E-4045-88AA-97D9DF769D25}" name="L" dataDxfId="791"/>
    <tableColumn id="6" xr3:uid="{08521470-CB97-42AD-9800-6DAE77982F0D}" name="W_PCT" dataDxfId="790"/>
    <tableColumn id="7" xr3:uid="{DA42EA90-93FB-4761-A9D9-E33E17A4B3DA}" name="MIN" dataDxfId="789"/>
    <tableColumn id="8" xr3:uid="{BEBC6F48-E60D-4AE2-8C27-3BD819D2D7E3}" name="E_OFF_RATING" dataDxfId="788"/>
    <tableColumn id="9" xr3:uid="{FA2229B4-B03D-4B20-93BC-FBB5EF6BD968}" name="OFF_RATING" dataDxfId="787"/>
    <tableColumn id="10" xr3:uid="{49C4E2DB-38C7-4CD4-80EF-CEE5E5DA374B}" name="E_DEF_RATING" dataDxfId="786"/>
    <tableColumn id="11" xr3:uid="{D1F7B7F6-A490-472C-8FE0-958F09B35926}" name="DEF_RATING" dataDxfId="785"/>
    <tableColumn id="12" xr3:uid="{0056055A-D93A-4C4B-9077-C1767819AF76}" name="E_NET_RATING" dataDxfId="784"/>
    <tableColumn id="13" xr3:uid="{17E5F1DC-94F2-484F-8343-9211804932FF}" name="NET_RATING" dataDxfId="783"/>
    <tableColumn id="14" xr3:uid="{648A8A3A-A8CF-48D4-A775-2EC1B61C14FD}" name="AST_PCT" dataDxfId="782"/>
    <tableColumn id="15" xr3:uid="{F1F789EF-BF13-46AB-AE8A-CBB90697C5A5}" name="AST_TO" dataDxfId="781"/>
    <tableColumn id="16" xr3:uid="{FE754955-8C09-4629-A6BA-D4D85B628BBD}" name="AST_RATIO" dataDxfId="780"/>
    <tableColumn id="17" xr3:uid="{9D5F7F7E-211C-406B-94E4-A082C457976F}" name="OREB_PCT" dataDxfId="779"/>
    <tableColumn id="18" xr3:uid="{781977FC-2B30-4F7D-A6D5-791BD64ADD8D}" name="DREB_PCT" dataDxfId="778"/>
    <tableColumn id="19" xr3:uid="{7973FB30-86EA-485E-AC58-B35226DF4BB1}" name="REB_PCT" dataDxfId="777"/>
    <tableColumn id="20" xr3:uid="{8E930AA4-4233-4793-B3FB-81C80C326153}" name="TM_TOV_PCT" dataDxfId="776"/>
    <tableColumn id="21" xr3:uid="{177AA9E2-9836-41C8-A5B5-F92B605F8AD8}" name="EFG_PCT" dataDxfId="775"/>
    <tableColumn id="22" xr3:uid="{25CD8B4C-7471-4888-8C55-B13D46F5519A}" name="TS_PCT" dataDxfId="774"/>
    <tableColumn id="23" xr3:uid="{C6545074-6C43-4AEC-8033-6A41691872DA}" name="E_PACE" dataDxfId="773"/>
    <tableColumn id="24" xr3:uid="{7C1FE239-F834-493A-AB6B-973FB1565F5E}" name="PACE" dataDxfId="772"/>
    <tableColumn id="25" xr3:uid="{24278436-5C34-47B6-9735-70A3C300EF91}" name="PACE_PER40" dataDxfId="771"/>
    <tableColumn id="26" xr3:uid="{DD7A2AAC-0220-4641-9C2B-563462E4407E}" name="POSS" dataDxfId="770"/>
    <tableColumn id="27" xr3:uid="{5E594D38-0BA8-4136-B3F6-2C03FCE18CC7}" name="PIE" dataDxfId="769"/>
    <tableColumn id="28" xr3:uid="{B182F45E-8DC4-4C04-B4DB-666C9CD89C77}" name="GP_RANK" dataDxfId="768"/>
    <tableColumn id="29" xr3:uid="{74626F96-E31A-4399-B3F1-8151B43E21F9}" name="W_RANK" dataDxfId="767"/>
    <tableColumn id="30" xr3:uid="{C52BC243-A790-47BA-865B-548E4D374B53}" name="L_RANK" dataDxfId="766"/>
    <tableColumn id="31" xr3:uid="{7D1BFAA5-6CD9-4C65-B7F5-1EE6CA108F9B}" name="W_PCT_RANK" dataDxfId="765"/>
    <tableColumn id="32" xr3:uid="{24EF79ED-D81A-4B06-AF34-920F777A7EA2}" name="MIN_RANK" dataDxfId="764"/>
    <tableColumn id="33" xr3:uid="{51BDCA83-018F-4BEA-AB55-D5F0E3124D20}" name="OFF_RATING_RANK" dataDxfId="763"/>
    <tableColumn id="34" xr3:uid="{C75D2758-429D-4225-83A4-1D64EF7D03B3}" name="DEF_RATING_RANK" dataDxfId="762"/>
    <tableColumn id="35" xr3:uid="{CE90DE32-45BF-40B1-AC59-12280DAD71ED}" name="NET_RATING_RANK" dataDxfId="761"/>
    <tableColumn id="36" xr3:uid="{1154C808-7888-45B5-B02B-FA18D10296FF}" name="AST_PCT_RANK" dataDxfId="760"/>
    <tableColumn id="37" xr3:uid="{7333F76C-4BA5-4F88-BAB0-AE5DD9C66B0B}" name="AST_TO_RANK" dataDxfId="759"/>
    <tableColumn id="38" xr3:uid="{62FF33F6-C98F-4228-86F0-B012DB20B069}" name="AST_RATIO_RANK" dataDxfId="758"/>
    <tableColumn id="39" xr3:uid="{B12BD5F6-53A3-4FB9-9EE0-8DA56206949E}" name="OREB_PCT_RANK" dataDxfId="757"/>
    <tableColumn id="40" xr3:uid="{4AEED072-AEA0-41F9-8E00-26F5C604DDD5}" name="DREB_PCT_RANK" dataDxfId="756"/>
    <tableColumn id="41" xr3:uid="{15EA0297-F75E-4782-9326-CFCD5F0F2A43}" name="REB_PCT_RANK" dataDxfId="755"/>
    <tableColumn id="42" xr3:uid="{B94EC27D-4EF2-489C-8C93-ED1AF0B5C579}" name="TM_TOV_PCT_RANK" dataDxfId="754"/>
    <tableColumn id="43" xr3:uid="{0AA05B95-7A50-4B06-9071-99A12113CFC4}" name="EFG_PCT_RANK" dataDxfId="753"/>
    <tableColumn id="44" xr3:uid="{8F675DC3-F75E-4AB8-AB1A-4D516BB53D55}" name="TS_PCT_RANK" dataDxfId="752"/>
    <tableColumn id="45" xr3:uid="{A4557D00-4901-4E14-8AC9-5AC92D4487D0}" name="PACE_RANK" dataDxfId="751"/>
    <tableColumn id="46" xr3:uid="{8D758DE5-62B9-455A-A913-7214E1A687B2}" name="PIE_RANK" dataDxfId="750"/>
    <tableColumn id="47" xr3:uid="{F17019AB-F431-4220-A5AA-E42D8F0BEE6F}" name="CFID" dataDxfId="749"/>
    <tableColumn id="48" xr3:uid="{B9985293-CB3C-4373-9743-60C4D26A925C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A602E4-73DB-46E2-9E42-865A70B029ED}" name="TableAdvancedNStarters" displayName="TableAdvancedNStarters" ref="A1:AV31" totalsRowShown="0" headerRowDxfId="649">
  <autoFilter ref="A1:AV31" xr:uid="{33A32648-A5D8-4195-9EC2-310A734D05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9242C82-AA0F-415E-90B5-AD2E44DB8023}" name="TEAM_ID" dataDxfId="697"/>
    <tableColumn id="2" xr3:uid="{4A8E4D8A-D0A3-4FE7-BB12-2A1253165A32}" name="TEAM_NAME" dataDxfId="696"/>
    <tableColumn id="3" xr3:uid="{2FDEC83D-F375-4106-98F1-1D2C725B9FDB}" name="GP" dataDxfId="695"/>
    <tableColumn id="4" xr3:uid="{E25BA00A-2E4B-4993-96A7-4383FD45856D}" name="W" dataDxfId="694"/>
    <tableColumn id="5" xr3:uid="{8E13FADB-9CBE-489F-A0AA-7F43082C5E60}" name="L" dataDxfId="693"/>
    <tableColumn id="6" xr3:uid="{3FCA514A-827F-4F25-ADC6-0A27D03D0D6A}" name="W_PCT" dataDxfId="692"/>
    <tableColumn id="7" xr3:uid="{01602CC9-772D-4B1C-B91F-05010B159CBF}" name="MIN" dataDxfId="691"/>
    <tableColumn id="8" xr3:uid="{1AD79CC1-09E3-4363-AEA2-F0BCD467F4E1}" name="E_OFF_RATING" dataDxfId="690"/>
    <tableColumn id="9" xr3:uid="{F1D179F4-F33A-4553-A80C-E717242A53CB}" name="OFF_RATING" dataDxfId="689"/>
    <tableColumn id="10" xr3:uid="{84F67805-147A-4092-BA32-9EA375710EB3}" name="E_DEF_RATING" dataDxfId="688"/>
    <tableColumn id="11" xr3:uid="{4938BE98-A0D3-439B-BE30-AD7046016CA6}" name="DEF_RATING" dataDxfId="687"/>
    <tableColumn id="12" xr3:uid="{1AB497EA-40CE-4470-8825-DBCDAFCFE968}" name="E_NET_RATING" dataDxfId="686"/>
    <tableColumn id="13" xr3:uid="{CC430B78-A1E6-4A4C-B393-7ABD78E17CE2}" name="NET_RATING" dataDxfId="685"/>
    <tableColumn id="14" xr3:uid="{EB888164-A04A-4E12-AC69-7187A4DD3C4D}" name="AST_PCT" dataDxfId="684"/>
    <tableColumn id="15" xr3:uid="{EC2B45CF-04F4-44FA-A19D-7B3EF599B006}" name="AST_TO" dataDxfId="683"/>
    <tableColumn id="16" xr3:uid="{6DFD1FBD-B65A-44D5-9D1D-59FDF500137E}" name="AST_RATIO" dataDxfId="682"/>
    <tableColumn id="17" xr3:uid="{334BAA5F-9BEE-4EBE-B935-6111FCD807C5}" name="OREB_PCT" dataDxfId="681"/>
    <tableColumn id="18" xr3:uid="{F7599553-C0E0-4119-BC8D-9C33087E1784}" name="DREB_PCT" dataDxfId="680"/>
    <tableColumn id="19" xr3:uid="{4C014CDE-2802-436A-AD4F-8E607A748E0D}" name="REB_PCT" dataDxfId="679"/>
    <tableColumn id="20" xr3:uid="{D6DC239D-D0A9-4732-B5F5-FFC73D1537C7}" name="TM_TOV_PCT" dataDxfId="678"/>
    <tableColumn id="21" xr3:uid="{62CB8BA4-6C28-44D4-967D-1151450E526B}" name="EFG_PCT" dataDxfId="677"/>
    <tableColumn id="22" xr3:uid="{9A746A1E-C3F7-4846-BD14-244A73BCDAE1}" name="TS_PCT" dataDxfId="676"/>
    <tableColumn id="23" xr3:uid="{DEB5B141-B070-458E-A9B0-22631F5DD06B}" name="E_PACE" dataDxfId="675"/>
    <tableColumn id="24" xr3:uid="{1B1A6285-1FC7-4EB5-8AD5-B98242867042}" name="PACE" dataDxfId="674"/>
    <tableColumn id="25" xr3:uid="{ED4E7A3F-704B-4D85-8B04-D6737BB476F5}" name="PACE_PER40" dataDxfId="673"/>
    <tableColumn id="26" xr3:uid="{A346675F-1C36-45F8-BD28-1ABDA2BC53BF}" name="POSS" dataDxfId="672"/>
    <tableColumn id="27" xr3:uid="{76373971-6254-4DAC-9C23-5BE25F40F849}" name="PIE" dataDxfId="671"/>
    <tableColumn id="28" xr3:uid="{28807579-4EA4-42CA-A92D-5CEA9F17B36C}" name="GP_RANK" dataDxfId="670"/>
    <tableColumn id="29" xr3:uid="{4B355EB1-2A7B-4B58-BA22-15C2E2B855BE}" name="W_RANK" dataDxfId="669"/>
    <tableColumn id="30" xr3:uid="{BA85D810-5784-4A83-B100-49902AF628A6}" name="L_RANK" dataDxfId="668"/>
    <tableColumn id="31" xr3:uid="{57CA61E7-D18D-4733-8561-1B28038964AD}" name="W_PCT_RANK" dataDxfId="667"/>
    <tableColumn id="32" xr3:uid="{596D7DC9-7EC1-420C-9901-32195728CD06}" name="MIN_RANK" dataDxfId="666"/>
    <tableColumn id="33" xr3:uid="{A3BFBFBC-B31B-4CF2-9B87-11ECB8C07743}" name="OFF_RATING_RANK" dataDxfId="665"/>
    <tableColumn id="34" xr3:uid="{5DCA9902-D363-44DF-B7BA-C2E5206AC625}" name="DEF_RATING_RANK" dataDxfId="664"/>
    <tableColumn id="35" xr3:uid="{BA707713-D979-4A94-8323-0DA760C759A6}" name="NET_RATING_RANK" dataDxfId="663"/>
    <tableColumn id="36" xr3:uid="{58509622-CAD9-4BFA-AC81-4166C668A971}" name="AST_PCT_RANK" dataDxfId="662"/>
    <tableColumn id="37" xr3:uid="{04C96B2F-FA10-44E0-AE20-90EA06D5CC13}" name="AST_TO_RANK" dataDxfId="661"/>
    <tableColumn id="38" xr3:uid="{6A619AEF-2170-4CD7-AA34-8BB6852F2315}" name="AST_RATIO_RANK" dataDxfId="660"/>
    <tableColumn id="39" xr3:uid="{C5C4DF65-EE3C-45CF-A1A4-A40119841FB0}" name="OREB_PCT_RANK" dataDxfId="659"/>
    <tableColumn id="40" xr3:uid="{78942285-1612-421E-B89A-F29287EA962C}" name="DREB_PCT_RANK" dataDxfId="658"/>
    <tableColumn id="41" xr3:uid="{1A4EF8E8-47A0-4E0D-AA58-7949B163132D}" name="REB_PCT_RANK" dataDxfId="657"/>
    <tableColumn id="42" xr3:uid="{A1DDBF89-EEF7-4B69-B9F7-53C197479F47}" name="TM_TOV_PCT_RANK" dataDxfId="656"/>
    <tableColumn id="43" xr3:uid="{837E8137-1324-4FD6-964D-215E5E393708}" name="EFG_PCT_RANK" dataDxfId="655"/>
    <tableColumn id="44" xr3:uid="{DBBEBEB5-406E-4432-B7DA-BF16F68B9880}" name="TS_PCT_RANK" dataDxfId="654"/>
    <tableColumn id="45" xr3:uid="{5511CB09-B18E-4505-B07F-13994267CAD5}" name="PACE_RANK" dataDxfId="653"/>
    <tableColumn id="46" xr3:uid="{116D3DB9-B609-4B8D-8586-D4B33D63CF8D}" name="PIE_RANK" dataDxfId="652"/>
    <tableColumn id="47" xr3:uid="{C15E27F2-D5AB-42FD-A84A-A8899892175B}" name="CFID" dataDxfId="651"/>
    <tableColumn id="48" xr3:uid="{03FD8F91-9A82-4F18-B7C6-56094D27C3F6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DDE236-3113-4AF9-A513-D43DED2F1C5A}" name="TableAdvancedNBench" displayName="TableAdvancedNBench" ref="A1:AV31" totalsRowShown="0" headerRowDxfId="551">
  <autoFilter ref="A1:AV31" xr:uid="{02A5136C-9688-4604-87CC-88306FC083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A01350D-BF50-47A4-97E9-BD9DC6FE04FF}" name="TEAM_ID" dataDxfId="599"/>
    <tableColumn id="2" xr3:uid="{0D10A64E-04FC-4EB4-B31C-C46092DDFC6E}" name="TEAM_NAME" dataDxfId="598"/>
    <tableColumn id="3" xr3:uid="{F8974B43-8E0A-4C7C-AB9C-C3F3BE620F59}" name="GP" dataDxfId="597"/>
    <tableColumn id="4" xr3:uid="{31D7A69F-7BDA-46FB-B456-D1AD9F47DFBB}" name="W" dataDxfId="596"/>
    <tableColumn id="5" xr3:uid="{913FFC73-5C2A-48D6-912F-2B99E006593B}" name="L" dataDxfId="595"/>
    <tableColumn id="6" xr3:uid="{295D3C7A-F7C5-4A8F-9010-C59B6AAD3C9E}" name="W_PCT" dataDxfId="594"/>
    <tableColumn id="7" xr3:uid="{38AD4BAD-45D1-44D6-91DD-E5DD1B161679}" name="MIN" dataDxfId="593"/>
    <tableColumn id="8" xr3:uid="{C791A445-CC68-4167-8CC2-BB40F2CBE665}" name="E_OFF_RATING" dataDxfId="592"/>
    <tableColumn id="9" xr3:uid="{0B48AED5-CC5A-4463-A702-1CD43202F4E7}" name="OFF_RATING" dataDxfId="591"/>
    <tableColumn id="10" xr3:uid="{B45AD927-B584-4EC7-95B8-64669956D7C8}" name="E_DEF_RATING" dataDxfId="590"/>
    <tableColumn id="11" xr3:uid="{232E7731-6470-4EEC-AD2A-4DCD768B9B69}" name="DEF_RATING" dataDxfId="589"/>
    <tableColumn id="12" xr3:uid="{39C4F825-69E4-41B0-BDFD-53ACAC713609}" name="E_NET_RATING" dataDxfId="588"/>
    <tableColumn id="13" xr3:uid="{1BAD74F1-D1A6-4B1A-8749-B5C91CC0710F}" name="NET_RATING" dataDxfId="587"/>
    <tableColumn id="14" xr3:uid="{4D8F8527-89BA-49F0-8151-E63D01428C49}" name="AST_PCT" dataDxfId="586"/>
    <tableColumn id="15" xr3:uid="{CB7A106D-8923-42B7-A930-4DD6EBB1B6BA}" name="AST_TO" dataDxfId="585"/>
    <tableColumn id="16" xr3:uid="{45D594FC-1A6E-4CA5-8DD9-1BCA745B08FC}" name="AST_RATIO" dataDxfId="584"/>
    <tableColumn id="17" xr3:uid="{8239E7F5-D82E-4186-B2F6-F11142C4EB4B}" name="OREB_PCT" dataDxfId="583"/>
    <tableColumn id="18" xr3:uid="{1FF9CD6C-78B6-45B5-A0DC-C68AA8E9CD4A}" name="DREB_PCT" dataDxfId="582"/>
    <tableColumn id="19" xr3:uid="{4F9B689B-7185-488E-9529-59A0711B6959}" name="REB_PCT" dataDxfId="581"/>
    <tableColumn id="20" xr3:uid="{4FB3C953-7266-447A-827F-BCAA7F95E4C0}" name="TM_TOV_PCT" dataDxfId="580"/>
    <tableColumn id="21" xr3:uid="{EB2D2739-B2C4-4140-8954-9EE84B89A96A}" name="EFG_PCT" dataDxfId="579"/>
    <tableColumn id="22" xr3:uid="{2AC580E3-4BAF-450F-9157-B76E2D965296}" name="TS_PCT" dataDxfId="578"/>
    <tableColumn id="23" xr3:uid="{FB665242-C6D5-42FC-9413-55517FBBEDF2}" name="E_PACE" dataDxfId="577"/>
    <tableColumn id="24" xr3:uid="{54E45FF7-D70D-41C8-B926-C34CF3D42915}" name="PACE" dataDxfId="576"/>
    <tableColumn id="25" xr3:uid="{CBE2439F-9BBC-4932-8D79-432EDA8C5262}" name="PACE_PER40" dataDxfId="575"/>
    <tableColumn id="26" xr3:uid="{D160BBD9-B663-4843-8269-0CF4627C35FB}" name="POSS" dataDxfId="574"/>
    <tableColumn id="27" xr3:uid="{B61FB549-3EEF-4ED8-8046-02F9E2F2F1DF}" name="PIE" dataDxfId="573"/>
    <tableColumn id="28" xr3:uid="{DF4EDD61-3E01-49B3-A3BC-08CBCD23FF1F}" name="GP_RANK" dataDxfId="572"/>
    <tableColumn id="29" xr3:uid="{6C3574A6-1BEC-4E4B-BECC-DEB3C0E9B2B4}" name="W_RANK" dataDxfId="571"/>
    <tableColumn id="30" xr3:uid="{89BBADB5-338D-41C4-B62D-749A3127159E}" name="L_RANK" dataDxfId="570"/>
    <tableColumn id="31" xr3:uid="{2EB3B3CB-F4D9-45FC-834B-5F46D971D277}" name="W_PCT_RANK" dataDxfId="569"/>
    <tableColumn id="32" xr3:uid="{BB9402AF-10AD-4F6B-AE1C-32737528274D}" name="MIN_RANK" dataDxfId="568"/>
    <tableColumn id="33" xr3:uid="{C7F47D50-1734-461C-AE07-43693AD1D5D6}" name="OFF_RATING_RANK" dataDxfId="567"/>
    <tableColumn id="34" xr3:uid="{4A103966-80A9-4FC1-BD47-11D792A55F95}" name="DEF_RATING_RANK" dataDxfId="566"/>
    <tableColumn id="35" xr3:uid="{B6C068D7-E1F2-4250-9A91-7800954A892B}" name="NET_RATING_RANK" dataDxfId="565"/>
    <tableColumn id="36" xr3:uid="{19B954B2-FA03-45CF-86AC-6BAE670025AE}" name="AST_PCT_RANK" dataDxfId="564"/>
    <tableColumn id="37" xr3:uid="{8581EEF2-B19E-4521-8449-34B41E49AFD4}" name="AST_TO_RANK" dataDxfId="563"/>
    <tableColumn id="38" xr3:uid="{B7312BDA-A683-49A1-A67D-BBD51687F335}" name="AST_RATIO_RANK" dataDxfId="562"/>
    <tableColumn id="39" xr3:uid="{582A60E8-C5F7-4735-90AA-25D9CF4AB0EB}" name="OREB_PCT_RANK" dataDxfId="561"/>
    <tableColumn id="40" xr3:uid="{BBC85334-D627-4447-A371-BE461684C35E}" name="DREB_PCT_RANK" dataDxfId="560"/>
    <tableColumn id="41" xr3:uid="{29732922-CCA8-4C38-BF6B-5D070BEA9CC7}" name="REB_PCT_RANK" dataDxfId="559"/>
    <tableColumn id="42" xr3:uid="{D4E3661A-CF03-48CA-A855-AD0FCF94E6D7}" name="TM_TOV_PCT_RANK" dataDxfId="558"/>
    <tableColumn id="43" xr3:uid="{80F6A388-524E-418F-9B0B-00D270B588B4}" name="EFG_PCT_RANK" dataDxfId="557"/>
    <tableColumn id="44" xr3:uid="{AAC7E7EB-5578-4383-80AC-8B283E9F0104}" name="TS_PCT_RANK" dataDxfId="556"/>
    <tableColumn id="45" xr3:uid="{F940D8BC-D64A-4293-92E3-53D21DA3E264}" name="PACE_RANK" dataDxfId="555"/>
    <tableColumn id="46" xr3:uid="{545CDCDE-1B31-461E-81DC-C6C85E01505A}" name="PIE_RANK" dataDxfId="554"/>
    <tableColumn id="47" xr3:uid="{646D124A-0F38-40DC-AE71-C3DDCB08F823}" name="CFID" dataDxfId="553"/>
    <tableColumn id="48" xr3:uid="{47B5A680-51D7-422A-AD23-816BE95FA980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01F3A3-5ECE-4306-B4A9-4B7D663F13C1}" name="TableMiscN" displayName="TableMiscN" ref="A1:AD31" totalsRowShown="0" headerRowDxfId="471">
  <autoFilter ref="A1:AD31" xr:uid="{DC9E3D8E-4A77-4073-AA36-8A9C840613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E7F7691-AC1C-4609-9F20-09ADC957A693}" name="TEAM_ID" dataDxfId="501"/>
    <tableColumn id="2" xr3:uid="{95F34221-AB6F-4357-9363-93F644A0286B}" name="TEAM_NAME" dataDxfId="500"/>
    <tableColumn id="3" xr3:uid="{CC207B52-60B1-4367-873D-D4C8A9689103}" name="GP" dataDxfId="499"/>
    <tableColumn id="4" xr3:uid="{5522C649-D6BD-49CF-B37C-94DA3C78B2C7}" name="W" dataDxfId="498"/>
    <tableColumn id="5" xr3:uid="{2C0684EA-B887-4825-83FC-013E45A21649}" name="L" dataDxfId="497"/>
    <tableColumn id="6" xr3:uid="{11C1C6B8-4420-4E16-8908-F09FB80FBE9E}" name="W_PCT" dataDxfId="496"/>
    <tableColumn id="7" xr3:uid="{41C1C22C-7CBF-430C-8224-B87A868C1534}" name="MIN" dataDxfId="495"/>
    <tableColumn id="8" xr3:uid="{95089B67-5315-4110-9967-99FFFC374FFD}" name="PTS_OFF_TOV" dataDxfId="494"/>
    <tableColumn id="9" xr3:uid="{8A889748-2DBC-439D-9EDE-629A187523B6}" name="PTS_2ND_CHANCE" dataDxfId="493"/>
    <tableColumn id="10" xr3:uid="{ABBAD550-69B1-4968-BC1B-72391BC5060A}" name="PTS_FB" dataDxfId="492"/>
    <tableColumn id="11" xr3:uid="{E542C7D4-BB33-44C4-830D-551D832162E6}" name="PTS_PAINT" dataDxfId="491"/>
    <tableColumn id="12" xr3:uid="{64B04E4A-D71E-4620-93F0-ADF9F0E2A068}" name="OPP_PTS_OFF_TOV" dataDxfId="490"/>
    <tableColumn id="13" xr3:uid="{3F5480B5-2F2B-4A93-A538-162DD6A084CC}" name="OPP_PTS_2ND_CHANCE" dataDxfId="489"/>
    <tableColumn id="14" xr3:uid="{F0D5E5A0-B16F-41E9-AEEE-3D985F3DC627}" name="OPP_PTS_FB" dataDxfId="488"/>
    <tableColumn id="15" xr3:uid="{401C5B71-DEBA-45D2-8660-2C7B0F6B16B4}" name="OPP_PTS_PAINT" dataDxfId="487"/>
    <tableColumn id="16" xr3:uid="{94425822-92D8-4F41-AB9E-A03F6712EFF7}" name="GP_RANK" dataDxfId="486"/>
    <tableColumn id="17" xr3:uid="{EDD3ED37-A7FB-4C8B-BE42-74361C463D8C}" name="W_RANK" dataDxfId="485"/>
    <tableColumn id="18" xr3:uid="{C6072FF6-32B1-45D5-9980-7F2E35B72EA6}" name="L_RANK" dataDxfId="484"/>
    <tableColumn id="19" xr3:uid="{9279C2E1-9A9F-4D4B-B5D9-04B1A3F765CE}" name="W_PCT_RANK" dataDxfId="483"/>
    <tableColumn id="20" xr3:uid="{AFC7B689-313D-4C86-AF6A-FD30158ECE62}" name="MIN_RANK" dataDxfId="482"/>
    <tableColumn id="21" xr3:uid="{82C3443A-A2E6-4017-816C-6B8E8ECC43EA}" name="PTS_OFF_TOV_RANK" dataDxfId="481"/>
    <tableColumn id="22" xr3:uid="{4F8E5D96-3B88-43E3-990E-BE8675BD256C}" name="PTS_2ND_CHANCE_RANK" dataDxfId="480"/>
    <tableColumn id="23" xr3:uid="{870C284F-7FC0-4073-BAA3-BBEA95AD2BFC}" name="PTS_FB_RANK" dataDxfId="479"/>
    <tableColumn id="24" xr3:uid="{4D498C96-5BA3-4EDA-9C15-289D2D653BA3}" name="PTS_PAINT_RANK" dataDxfId="478"/>
    <tableColumn id="25" xr3:uid="{55CA2F48-CEE7-409B-8274-ECF714FC3F3B}" name="OPP_PTS_OFF_TOV_RANK" dataDxfId="477"/>
    <tableColumn id="26" xr3:uid="{D67334C6-A1B8-4855-9FD8-F9128AAB3E4A}" name="OPP_PTS_2ND_CHANCE_RANK" dataDxfId="476"/>
    <tableColumn id="27" xr3:uid="{50F4E4CE-FEEC-4772-9494-36DDB8FF6FC0}" name="OPP_PTS_FB_RANK" dataDxfId="475"/>
    <tableColumn id="28" xr3:uid="{759B3A80-4540-412A-BF98-A59F72725307}" name="OPP_PTS_PAINT_RANK" dataDxfId="474"/>
    <tableColumn id="29" xr3:uid="{79FA3B73-047D-4FFA-91E8-3B23A5403548}" name="CFID" dataDxfId="473"/>
    <tableColumn id="30" xr3:uid="{1AC959A6-CEC2-4B49-BCFB-A681459C387E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D67ADD-AEA0-4FD0-B908-659B071B38B9}" name="TableOppBaseN" displayName="TableOppBaseN" ref="A1:BD31" totalsRowShown="0" headerRowDxfId="383">
  <autoFilter ref="A1:BD31" xr:uid="{18A946E6-2B38-4770-9B9A-3BAA108ECA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42CA50C-4042-45AC-A121-BBF48190F7DB}" name="TEAM_ID" dataDxfId="439"/>
    <tableColumn id="2" xr3:uid="{10AAF851-1D97-4D9F-A161-1246B7FB6DDB}" name="TEAM_NAME" dataDxfId="438"/>
    <tableColumn id="3" xr3:uid="{120F149C-350F-432F-B432-AC1501BF4AEA}" name="GP" dataDxfId="437"/>
    <tableColumn id="4" xr3:uid="{68531E86-11F3-44D2-BFB7-C316E7AFD830}" name="W" dataDxfId="436"/>
    <tableColumn id="5" xr3:uid="{4C068D48-D414-4C0C-8B6E-9BE6CB7F7CEC}" name="L" dataDxfId="435"/>
    <tableColumn id="6" xr3:uid="{62C40593-8A30-4166-BF85-B0A0B18ECDC7}" name="W_PCT" dataDxfId="434"/>
    <tableColumn id="7" xr3:uid="{34A41D72-111D-46DD-B0AE-12D57E24C3CC}" name="MIN" dataDxfId="433"/>
    <tableColumn id="8" xr3:uid="{07DE4AC5-E035-4E53-A26C-B3F9A9198D1F}" name="OPP_FGM" dataDxfId="432"/>
    <tableColumn id="9" xr3:uid="{E4955877-DBE8-4290-BB41-E25E5E1EC346}" name="OPP_FGA" dataDxfId="431"/>
    <tableColumn id="10" xr3:uid="{4D068B7F-46C8-4BBD-B9B3-AAAF02B5AA7F}" name="OPP_FG_PCT" dataDxfId="430"/>
    <tableColumn id="11" xr3:uid="{AA7AB327-D704-4CD6-94EB-A176BE91F72A}" name="OPP_FG3M" dataDxfId="429"/>
    <tableColumn id="12" xr3:uid="{9F490A29-5E5A-4463-BE33-9CC095FDD31A}" name="OPP_FG3A" dataDxfId="428"/>
    <tableColumn id="13" xr3:uid="{A546E68E-3317-43D4-9DC1-AAEE7FDFF5A7}" name="OPP_FG3_PCT" dataDxfId="427"/>
    <tableColumn id="14" xr3:uid="{E7C33F69-C6E1-4AC0-AD9F-E94BE3C77C19}" name="OPP_FTM" dataDxfId="426"/>
    <tableColumn id="15" xr3:uid="{27D9C2D4-140F-456F-8FA5-A926C9549844}" name="OPP_FTA" dataDxfId="425"/>
    <tableColumn id="16" xr3:uid="{147BD77D-4378-49A7-A3B3-3C9367D1259C}" name="OPP_FT_PCT" dataDxfId="424"/>
    <tableColumn id="17" xr3:uid="{BBF132E7-EE10-4451-BD2A-7A16EB80EA94}" name="OPP_OREB" dataDxfId="423"/>
    <tableColumn id="18" xr3:uid="{7C8BF993-5A74-4822-AC50-E2DECEDC1F5F}" name="OPP_DREB" dataDxfId="422"/>
    <tableColumn id="19" xr3:uid="{988E92C3-5C76-49CE-8C2D-6C6E6EE034A8}" name="OPP_REB" dataDxfId="421"/>
    <tableColumn id="20" xr3:uid="{8E6CF61A-32D3-42DB-BB0D-339C78A6133D}" name="OPP_AST" dataDxfId="420"/>
    <tableColumn id="21" xr3:uid="{52F60DDC-DA65-47E8-AE2D-48F24AFF331D}" name="OPP_TOV" dataDxfId="419"/>
    <tableColumn id="22" xr3:uid="{50F66E1D-B95D-45C8-8FC8-EAA2AF571795}" name="OPP_STL" dataDxfId="418"/>
    <tableColumn id="23" xr3:uid="{19C07B48-A6C9-45D1-BA71-D37302D7B4BE}" name="OPP_BLK" dataDxfId="417"/>
    <tableColumn id="24" xr3:uid="{6885804E-2B9D-4660-AFFD-A12EE6002C38}" name="OPP_BLKA" dataDxfId="416"/>
    <tableColumn id="25" xr3:uid="{6378AE73-5468-4080-9D5F-348224D5C0D9}" name="OPP_PF" dataDxfId="415"/>
    <tableColumn id="26" xr3:uid="{8D770D8F-D2F1-4BCD-B82F-0003677D50D6}" name="OPP_PFD" dataDxfId="414"/>
    <tableColumn id="27" xr3:uid="{E3DA7F86-3DC5-42E6-A6FF-EAE57DDC7937}" name="OPP_PTS" dataDxfId="413"/>
    <tableColumn id="28" xr3:uid="{6A9BFFDF-FAD9-43FC-A8F5-0AF69B977834}" name="PLUS_MINUS" dataDxfId="412"/>
    <tableColumn id="29" xr3:uid="{3F6BA52F-3702-4BEC-853E-B05B6291C8B4}" name="GP_RANK" dataDxfId="411"/>
    <tableColumn id="30" xr3:uid="{133F4C45-17AC-42A8-A659-5427E1DF6E9D}" name="W_RANK" dataDxfId="410"/>
    <tableColumn id="31" xr3:uid="{5CBCC8DF-9A69-4D12-A9EA-4E740F28127C}" name="L_RANK" dataDxfId="409"/>
    <tableColumn id="32" xr3:uid="{A866FF2A-10F1-4998-B649-627ADA5CA037}" name="W_PCT_RANK" dataDxfId="408"/>
    <tableColumn id="33" xr3:uid="{304B0570-CE31-417A-AD1E-E7877E622F02}" name="MIN_RANK" dataDxfId="407"/>
    <tableColumn id="34" xr3:uid="{8B2979E1-5AF5-4AA4-9185-1167971D4ECF}" name="OPP_FGM_RANK" dataDxfId="406"/>
    <tableColumn id="35" xr3:uid="{7CF71E53-A1A2-4093-825C-9C98FE037D2F}" name="OPP_FGA_RANK" dataDxfId="405"/>
    <tableColumn id="36" xr3:uid="{67F1AAF4-A7A4-4F78-8548-5821E3D8EF8E}" name="OPP_FG_PCT_RANK" dataDxfId="404"/>
    <tableColumn id="37" xr3:uid="{8DFE7AF1-A1D9-46F6-8D4A-EEA9B335B7FE}" name="OPP_FG3M_RANK" dataDxfId="403"/>
    <tableColumn id="38" xr3:uid="{6C604D8D-D58A-4D41-A0BA-2E9C7D22F277}" name="OPP_FG3A_RANK" dataDxfId="402"/>
    <tableColumn id="39" xr3:uid="{C81F1398-ACBE-41C1-BB4C-03DBA2ADA564}" name="OPP_FG3_PCT_RANK" dataDxfId="401"/>
    <tableColumn id="40" xr3:uid="{9150F827-D088-457E-908B-A80345B4FFA4}" name="OPP_FTM_RANK" dataDxfId="400"/>
    <tableColumn id="41" xr3:uid="{2688CD3D-4EA5-4F18-A0C2-A2C9F0097FEF}" name="OPP_FTA_RANK" dataDxfId="399"/>
    <tableColumn id="42" xr3:uid="{07AB39CA-CF90-4B3B-A7CA-6191073B42D8}" name="OPP_FT_PCT_RANK" dataDxfId="398"/>
    <tableColumn id="43" xr3:uid="{FE2B4538-BB1D-4E65-AA31-1A37FD21139F}" name="OPP_OREB_RANK" dataDxfId="397"/>
    <tableColumn id="44" xr3:uid="{82DD0BC2-C59B-478E-B22D-9D87C19FC8A5}" name="OPP_DREB_RANK" dataDxfId="396"/>
    <tableColumn id="45" xr3:uid="{D25EEF7F-97D0-4780-B578-96D5F1EC996A}" name="OPP_REB_RANK" dataDxfId="395"/>
    <tableColumn id="46" xr3:uid="{9E6A2C4C-7683-4095-929C-B1A16B7BD390}" name="OPP_AST_RANK" dataDxfId="394"/>
    <tableColumn id="47" xr3:uid="{18647E24-BB5B-4092-8DAD-0965C527A77A}" name="OPP_TOV_RANK" dataDxfId="393"/>
    <tableColumn id="48" xr3:uid="{7F9949B4-C197-4FD1-887E-A3291C5B8081}" name="OPP_STL_RANK" dataDxfId="392"/>
    <tableColumn id="49" xr3:uid="{925BC3B4-6A13-42D3-A1BD-161257B0458D}" name="OPP_BLK_RANK" dataDxfId="391"/>
    <tableColumn id="50" xr3:uid="{2A9711B0-EA33-4483-A05F-1795B21E91A6}" name="OPP_BLKA_RANK" dataDxfId="390"/>
    <tableColumn id="51" xr3:uid="{5F3FAD7D-9EF1-43C8-AC82-97EF23018411}" name="OPP_PF_RANK" dataDxfId="389"/>
    <tableColumn id="52" xr3:uid="{A3DE5DE2-2846-4C7F-9350-27814A41E669}" name="OPP_PFD_RANK" dataDxfId="388"/>
    <tableColumn id="53" xr3:uid="{9D0C1218-F34E-4D66-B056-0E7C1664AE97}" name="OPP_PTS_RANK" dataDxfId="387"/>
    <tableColumn id="54" xr3:uid="{CD5BB01E-2AF9-4EC6-815A-A91A3A9F28C9}" name="PLUS_MINUS_RANK" dataDxfId="386"/>
    <tableColumn id="55" xr3:uid="{3D6F6BD3-C100-4E25-958C-54E9F76B4D99}" name="CFID" dataDxfId="385"/>
    <tableColumn id="56" xr3:uid="{80A49E13-052E-4CC4-B15A-E26F0E0072C4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870FAA2-A078-4668-8AD5-E678796CF5C5}" name="TableClutchBaseN" displayName="TableClutchBaseN" ref="A1:BD31" totalsRowShown="0" headerRowDxfId="269">
  <autoFilter ref="A1:BD31" xr:uid="{1AD36935-9957-424B-B38F-103B38E68D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D2E1259-4B37-4CF0-8AB0-C66C8D75E98E}" name="TEAM_ID" dataDxfId="325"/>
    <tableColumn id="2" xr3:uid="{A574994C-EFE9-437E-9422-AFDF3DFB517D}" name="TEAM_NAME" dataDxfId="324"/>
    <tableColumn id="3" xr3:uid="{0F313396-60DA-4C88-A70A-F493FBC544A6}" name="GP" dataDxfId="323"/>
    <tableColumn id="4" xr3:uid="{E43AA392-4BD8-4E1E-A96D-34A085ABE0CA}" name="W" dataDxfId="322"/>
    <tableColumn id="5" xr3:uid="{3722BD77-B078-433B-B189-54E536C530C0}" name="L" dataDxfId="321"/>
    <tableColumn id="6" xr3:uid="{CD34CD2C-179A-46D6-B0FD-E95C959608DA}" name="W_PCT" dataDxfId="320"/>
    <tableColumn id="7" xr3:uid="{B8DFAC17-7A69-4788-B19D-53E49FCE689D}" name="MIN" dataDxfId="319"/>
    <tableColumn id="8" xr3:uid="{C8780E87-6EAC-4C0E-B1EE-AF3B2A7F3E2A}" name="FGM" dataDxfId="318"/>
    <tableColumn id="9" xr3:uid="{22BC56D2-688E-4487-B2D6-866DDBD8098D}" name="FGA" dataDxfId="317"/>
    <tableColumn id="10" xr3:uid="{9ADB41D2-A42C-46FB-A99A-F65F2E497B55}" name="FG_PCT" dataDxfId="316"/>
    <tableColumn id="11" xr3:uid="{9BC582FB-986D-45C9-A98F-CCDF13434046}" name="FG3M" dataDxfId="315"/>
    <tableColumn id="12" xr3:uid="{9C544CA4-E61D-4746-9631-F1AEA1AD0881}" name="FG3A" dataDxfId="314"/>
    <tableColumn id="13" xr3:uid="{6E611C9C-6D9E-491C-BC9B-75F5086FB3E9}" name="FG3_PCT" dataDxfId="313"/>
    <tableColumn id="14" xr3:uid="{0A0DB9DD-BD52-46E7-93D6-654375229ABD}" name="FTM" dataDxfId="312"/>
    <tableColumn id="15" xr3:uid="{B8539B43-8732-4A8E-B301-981DE627384E}" name="FTA" dataDxfId="311"/>
    <tableColumn id="16" xr3:uid="{D15D219D-1EFE-441F-8A12-D69188B943B3}" name="FT_PCT" dataDxfId="310"/>
    <tableColumn id="17" xr3:uid="{E20BA44F-7421-4C62-9ACD-8A964F93AD4D}" name="OREB" dataDxfId="309"/>
    <tableColumn id="18" xr3:uid="{2F204C00-AC90-4A8B-AA32-1C5D339C646D}" name="DREB" dataDxfId="308"/>
    <tableColumn id="19" xr3:uid="{AD13C78E-B8DD-466A-BA17-07D3CD643FA4}" name="REB" dataDxfId="307"/>
    <tableColumn id="20" xr3:uid="{5A571180-A5FC-415B-B30C-72E7C405FD8D}" name="AST" dataDxfId="306"/>
    <tableColumn id="21" xr3:uid="{2A2B4D3E-228E-4197-9455-F944F0811517}" name="TOV" dataDxfId="305"/>
    <tableColumn id="22" xr3:uid="{6E5B37BD-5928-4A24-88AC-E9EF3027B697}" name="STL" dataDxfId="304"/>
    <tableColumn id="23" xr3:uid="{5C4B2B60-08F9-4166-BEFE-DEEF4D09821F}" name="BLK" dataDxfId="303"/>
    <tableColumn id="24" xr3:uid="{E259457A-A19B-410D-8FA4-9C79872B84BF}" name="BLKA" dataDxfId="302"/>
    <tableColumn id="25" xr3:uid="{13DACE1D-C61B-4D0C-BD3F-72508BFCEBF8}" name="PF" dataDxfId="301"/>
    <tableColumn id="26" xr3:uid="{13270D89-4A2F-42FE-A7B7-3C9BAB91AB88}" name="PFD" dataDxfId="300"/>
    <tableColumn id="27" xr3:uid="{7DCA93B3-AB14-4613-93BE-D5E517DEB12E}" name="PTS" dataDxfId="299"/>
    <tableColumn id="28" xr3:uid="{4FD0A174-0740-48B1-A97B-C58C1C962B9A}" name="PLUS_MINUS" dataDxfId="298"/>
    <tableColumn id="29" xr3:uid="{6AFCBFAB-E214-4077-8413-BD2CEFCDA0AF}" name="GP_RANK" dataDxfId="297"/>
    <tableColumn id="30" xr3:uid="{302AA8F9-7DFC-4EFA-A4FC-4488E6B24ADD}" name="W_RANK" dataDxfId="296"/>
    <tableColumn id="31" xr3:uid="{F48958A9-7D80-43BC-95AD-E0A90ACEFB61}" name="L_RANK" dataDxfId="295"/>
    <tableColumn id="32" xr3:uid="{A6D05D43-0323-4050-9E19-7A2342276D96}" name="W_PCT_RANK" dataDxfId="294"/>
    <tableColumn id="33" xr3:uid="{142BE8C7-949A-4383-943A-1B51A81D9114}" name="MIN_RANK" dataDxfId="293"/>
    <tableColumn id="34" xr3:uid="{05418AC3-250C-4FB4-95AC-7763E6C26D6F}" name="FGM_RANK" dataDxfId="292"/>
    <tableColumn id="35" xr3:uid="{9718C582-42DC-4557-8EFC-8FF9A757AF2D}" name="FGA_RANK" dataDxfId="291"/>
    <tableColumn id="36" xr3:uid="{BC2D781D-164A-4DEF-B330-C22263C2A7E4}" name="FG_PCT_RANK" dataDxfId="290"/>
    <tableColumn id="37" xr3:uid="{752FA9C3-41ED-415D-96B9-0C86FCACC281}" name="FG3M_RANK" dataDxfId="289"/>
    <tableColumn id="38" xr3:uid="{EACFD550-FE42-4018-8838-48A78C8A33EF}" name="FG3A_RANK" dataDxfId="288"/>
    <tableColumn id="39" xr3:uid="{70EB2D32-3070-43D1-96CC-F2385D807C90}" name="FG3_PCT_RANK" dataDxfId="287"/>
    <tableColumn id="40" xr3:uid="{45A004DC-053D-458A-8A81-7666C9B6BDD2}" name="FTM_RANK" dataDxfId="286"/>
    <tableColumn id="41" xr3:uid="{242834B3-BC39-41BD-9409-CB445DE3C958}" name="FTA_RANK" dataDxfId="285"/>
    <tableColumn id="42" xr3:uid="{F9104845-D7CD-459F-BEE6-3204DF962631}" name="FT_PCT_RANK" dataDxfId="284"/>
    <tableColumn id="43" xr3:uid="{BD13C49A-B0DB-4E13-9980-C02FB6AE6D28}" name="OREB_RANK" dataDxfId="283"/>
    <tableColumn id="44" xr3:uid="{65271676-88B5-42DF-B9E4-BF5A6A912D4A}" name="DREB_RANK" dataDxfId="282"/>
    <tableColumn id="45" xr3:uid="{B43BC0A0-CB36-4AA6-853E-931663062A22}" name="REB_RANK" dataDxfId="281"/>
    <tableColumn id="46" xr3:uid="{369F5EBB-D399-4EED-8211-EF151CA4ED20}" name="AST_RANK" dataDxfId="280"/>
    <tableColumn id="47" xr3:uid="{31798BD1-2548-4AB1-8909-31318C838A40}" name="TOV_RANK" dataDxfId="279"/>
    <tableColumn id="48" xr3:uid="{3D6C3E01-FB28-45E9-AC70-86E14D2C33CC}" name="STL_RANK" dataDxfId="278"/>
    <tableColumn id="49" xr3:uid="{23730F51-21DB-4010-B29E-30C64512D371}" name="BLK_RANK" dataDxfId="277"/>
    <tableColumn id="50" xr3:uid="{991BD95D-6ABE-4BFD-AA1E-DECCB42E3A47}" name="BLKA_RANK" dataDxfId="276"/>
    <tableColumn id="51" xr3:uid="{648CE0A8-6B69-4B52-B41C-8DBCC0FA45AA}" name="PF_RANK" dataDxfId="275"/>
    <tableColumn id="52" xr3:uid="{321BDC46-5F1E-45A7-BB4E-7E0941875CBE}" name="PFD_RANK" dataDxfId="274"/>
    <tableColumn id="53" xr3:uid="{88E177E1-1AFC-4337-A394-71E5B2BB83AE}" name="PTS_RANK" dataDxfId="273"/>
    <tableColumn id="54" xr3:uid="{6CC2771F-01FF-4F44-BE30-A62D29197501}" name="PLUS_MINUS_RANK" dataDxfId="272"/>
    <tableColumn id="55" xr3:uid="{517C0461-FA14-4330-BE45-92D130731D32}" name="CFID" dataDxfId="271"/>
    <tableColumn id="56" xr3:uid="{42468161-ACDE-40A7-9BA2-058CBBC0FB0D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B3B0C7F-C85F-4BF6-A536-E8D0F95D86BF}" name="TableClutchOpponentN" displayName="TableClutchOpponentN" ref="A1:BD31" totalsRowShown="0" headerRowDxfId="155">
  <autoFilter ref="A1:BD31" xr:uid="{3FAB3A2D-F26B-4876-A9A5-A4127E6FD3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408DF7F-55D8-4E27-85F8-462E0931C1F7}" name="TEAM_ID" dataDxfId="211"/>
    <tableColumn id="2" xr3:uid="{62D5384F-6925-4278-996B-72F72607C9D1}" name="TEAM_NAME" dataDxfId="210"/>
    <tableColumn id="3" xr3:uid="{5AE2C843-925E-46AA-B351-B1D261466161}" name="GP" dataDxfId="209"/>
    <tableColumn id="4" xr3:uid="{90840466-8A54-4E7F-8C2C-3A8B242F0D5A}" name="W" dataDxfId="208"/>
    <tableColumn id="5" xr3:uid="{310E768C-7101-4C77-850F-FB4078D8B171}" name="L" dataDxfId="207"/>
    <tableColumn id="6" xr3:uid="{3FE8AEEC-D09B-40B4-A219-1DB398F4A0FC}" name="W_PCT" dataDxfId="206"/>
    <tableColumn id="7" xr3:uid="{7C3353CC-A445-4D95-8EE6-7BD41F83B92F}" name="MIN" dataDxfId="205"/>
    <tableColumn id="8" xr3:uid="{6D3EAAE2-8A00-4B77-A74F-CBDA521F4513}" name="OPP_FGM" dataDxfId="204"/>
    <tableColumn id="9" xr3:uid="{6D84D844-1B18-4692-B775-AC32B68D0224}" name="OPP_FGA" dataDxfId="203"/>
    <tableColumn id="10" xr3:uid="{A800F6EF-F764-4F67-98CD-C981289F085E}" name="OPP_FG_PCT" dataDxfId="202"/>
    <tableColumn id="11" xr3:uid="{E9D99BC1-4D8D-4BC2-9172-B970C09A0504}" name="OPP_FG3M" dataDxfId="201"/>
    <tableColumn id="12" xr3:uid="{AFA31FE4-1488-437B-B0E5-13CB015DEAC8}" name="OPP_FG3A" dataDxfId="200"/>
    <tableColumn id="13" xr3:uid="{8D36B0EE-26C6-4B88-8C75-563618D8A661}" name="OPP_FG3_PCT" dataDxfId="199"/>
    <tableColumn id="14" xr3:uid="{A0A678CA-E6E5-4A9F-81BC-7B17D79086B7}" name="OPP_FTM" dataDxfId="198"/>
    <tableColumn id="15" xr3:uid="{4D5CBDF1-C991-4951-AACE-8A5896334DFE}" name="OPP_FTA" dataDxfId="197"/>
    <tableColumn id="16" xr3:uid="{D18D91EB-41AB-47F7-8FE8-C1D211A10178}" name="OPP_FT_PCT" dataDxfId="196"/>
    <tableColumn id="17" xr3:uid="{7C39506B-9897-4B0D-A7E6-BA9553208FC3}" name="OPP_OREB" dataDxfId="195"/>
    <tableColumn id="18" xr3:uid="{292E6702-4C7B-4F89-8D8F-AB7A6C502C77}" name="OPP_DREB" dataDxfId="194"/>
    <tableColumn id="19" xr3:uid="{84C3E6A6-94BF-41E1-BE91-6C09518E17F5}" name="OPP_REB" dataDxfId="193"/>
    <tableColumn id="20" xr3:uid="{F49DF61C-A976-4E73-A79A-92A30040D13B}" name="OPP_AST" dataDxfId="192"/>
    <tableColumn id="21" xr3:uid="{247917D9-05D7-4E65-B07C-7E16B1969F50}" name="OPP_TOV" dataDxfId="191"/>
    <tableColumn id="22" xr3:uid="{75D5B80F-E4EB-4F92-9C83-583708E3C417}" name="OPP_STL" dataDxfId="190"/>
    <tableColumn id="23" xr3:uid="{71C17B9B-B702-4127-9162-158F65BC7221}" name="OPP_BLK" dataDxfId="189"/>
    <tableColumn id="24" xr3:uid="{3EF5F5F5-8F55-4EC3-B300-0447735F0B35}" name="OPP_BLKA" dataDxfId="188"/>
    <tableColumn id="25" xr3:uid="{E9A12DDF-DBC4-4D52-9009-25EC46DEA700}" name="OPP_PF" dataDxfId="187"/>
    <tableColumn id="26" xr3:uid="{A8F336D8-105F-42A0-8725-181D178E420F}" name="OPP_PFD" dataDxfId="186"/>
    <tableColumn id="27" xr3:uid="{77C1EC06-E5F3-4946-B932-459BF93974FD}" name="OPP_PTS" dataDxfId="185"/>
    <tableColumn id="28" xr3:uid="{DF81C7A6-6B44-4DCA-9AB2-061F31D61F14}" name="PLUS_MINUS" dataDxfId="184"/>
    <tableColumn id="29" xr3:uid="{5695BD47-B3EB-4D9E-B4A9-DD5F76D814D0}" name="GP_RANK" dataDxfId="183"/>
    <tableColumn id="30" xr3:uid="{BCDCBABB-82F1-48FB-9204-E60613633683}" name="W_RANK" dataDxfId="182"/>
    <tableColumn id="31" xr3:uid="{8C4BC86D-A444-40FA-80D6-CC109B834735}" name="L_RANK" dataDxfId="181"/>
    <tableColumn id="32" xr3:uid="{95454DB0-1619-4268-8389-DED5B0D7BE65}" name="W_PCT_RANK" dataDxfId="180"/>
    <tableColumn id="33" xr3:uid="{25C60988-E74B-4F71-8A6B-2B1F6A003732}" name="MIN_RANK" dataDxfId="179"/>
    <tableColumn id="34" xr3:uid="{85C77083-ADE9-46C1-B558-9136235CBE00}" name="OPP_FGM_RANK" dataDxfId="178"/>
    <tableColumn id="35" xr3:uid="{D803647B-24BA-489A-BE26-D985D791B061}" name="OPP_FGA_RANK" dataDxfId="177"/>
    <tableColumn id="36" xr3:uid="{535CB498-CF23-4E06-B6C6-216E9817573C}" name="OPP_FG_PCT_RANK" dataDxfId="176"/>
    <tableColumn id="37" xr3:uid="{454109AF-C906-4177-88CA-44D8C57C1E60}" name="OPP_FG3M_RANK" dataDxfId="175"/>
    <tableColumn id="38" xr3:uid="{8195897E-ED04-41E8-9E8E-7B6DC00FD41F}" name="OPP_FG3A_RANK" dataDxfId="174"/>
    <tableColumn id="39" xr3:uid="{E0EED767-F0F5-4A31-AB9F-6A6CED70B39A}" name="OPP_FG3_PCT_RANK" dataDxfId="173"/>
    <tableColumn id="40" xr3:uid="{395B9B31-DE7E-4743-BF8B-1A2DD7E28C6A}" name="OPP_FTM_RANK" dataDxfId="172"/>
    <tableColumn id="41" xr3:uid="{AA6AF3F8-9A0A-4600-BE06-D41FA6C1E789}" name="OPP_FTA_RANK" dataDxfId="171"/>
    <tableColumn id="42" xr3:uid="{59F46379-CBD6-4AAA-A8FE-BCFE7C33E01B}" name="OPP_FT_PCT_RANK" dataDxfId="170"/>
    <tableColumn id="43" xr3:uid="{DD397C56-8499-477A-8FDE-6DCEA77D9596}" name="OPP_OREB_RANK" dataDxfId="169"/>
    <tableColumn id="44" xr3:uid="{C2C22511-4F7F-42E8-9611-85262D6D03CC}" name="OPP_DREB_RANK" dataDxfId="168"/>
    <tableColumn id="45" xr3:uid="{BBAA80EC-6138-4FDB-8B5D-6A0F7114CD1F}" name="OPP_REB_RANK" dataDxfId="167"/>
    <tableColumn id="46" xr3:uid="{DD78D8F1-196F-424C-ADDE-51B3F0D68658}" name="OPP_AST_RANK" dataDxfId="166"/>
    <tableColumn id="47" xr3:uid="{F53EC201-6760-44C4-9646-A4023E6C52EB}" name="OPP_TOV_RANK" dataDxfId="165"/>
    <tableColumn id="48" xr3:uid="{A32BB274-5E91-4493-8B27-2120D5EC732E}" name="OPP_STL_RANK" dataDxfId="164"/>
    <tableColumn id="49" xr3:uid="{A84A9E58-FBF5-4F06-AF20-1E326EFF20F3}" name="OPP_BLK_RANK" dataDxfId="163"/>
    <tableColumn id="50" xr3:uid="{A033F70D-EA4F-4DC4-872B-8494835EC7D1}" name="OPP_BLKA_RANK" dataDxfId="162"/>
    <tableColumn id="51" xr3:uid="{555DAC2E-D70F-490A-AC76-F3CBAD3C2F92}" name="OPP_PF_RANK" dataDxfId="161"/>
    <tableColumn id="52" xr3:uid="{D64AFF59-56F9-424C-B6E2-04F42396FA72}" name="OPP_PFD_RANK" dataDxfId="160"/>
    <tableColumn id="53" xr3:uid="{51B90E1A-8C1E-441B-903F-841CFD7C6C55}" name="OPP_PTS_RANK" dataDxfId="159"/>
    <tableColumn id="54" xr3:uid="{6943A3E5-50CE-4811-B77C-DE1573A48D3E}" name="PLUS_MINUS_RANK" dataDxfId="158"/>
    <tableColumn id="55" xr3:uid="{D7AACE79-B1A6-4B70-9978-A1775CCBF65A}" name="CFID" dataDxfId="157"/>
    <tableColumn id="56" xr3:uid="{A2404332-ECA8-41F8-9A82-EE77779A3099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3283E5-5FC8-48DB-922E-5A94E0C5D4B1}" name="TableClutchAdvancedN" displayName="TableClutchAdvancedN" ref="A1:AV31" totalsRowShown="0" headerRowDxfId="49">
  <autoFilter ref="A1:AV31" xr:uid="{5EF12414-0AE4-44C8-A78B-5254E1488B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18B5356-12B9-46A2-8704-6FF5CDE56E18}" name="TEAM_ID" dataDxfId="97"/>
    <tableColumn id="2" xr3:uid="{AC4939BA-3225-49E6-BBB5-E6831185E1F7}" name="TEAM_NAME" dataDxfId="96"/>
    <tableColumn id="3" xr3:uid="{F703ABD2-D553-4EBB-835F-D80BFB3F0C0F}" name="GP" dataDxfId="95"/>
    <tableColumn id="4" xr3:uid="{6F07B5C2-E5D5-4CA3-AEC7-ABE0ED0CBE45}" name="W" dataDxfId="94"/>
    <tableColumn id="5" xr3:uid="{D004AD28-157E-4315-994B-BA8DC1BFD6B8}" name="L" dataDxfId="93"/>
    <tableColumn id="6" xr3:uid="{55D3E4C0-F4E3-4637-9555-27EECFC64262}" name="W_PCT" dataDxfId="92"/>
    <tableColumn id="7" xr3:uid="{9895736E-908F-439A-B4FC-7248C362FEB6}" name="MIN" dataDxfId="91"/>
    <tableColumn id="8" xr3:uid="{C518E3BF-CDAA-46CC-87F6-0C6B277F5A35}" name="E_OFF_RATING" dataDxfId="90"/>
    <tableColumn id="9" xr3:uid="{50E6E9D3-F251-48F3-A942-F32A00660D6F}" name="OFF_RATING" dataDxfId="89"/>
    <tableColumn id="10" xr3:uid="{E94E7CB1-9F56-4D65-8756-D5BFE566C662}" name="E_DEF_RATING" dataDxfId="88"/>
    <tableColumn id="11" xr3:uid="{D5F3E1D4-A58D-4186-B06B-6C5A2E9098DA}" name="DEF_RATING" dataDxfId="87"/>
    <tableColumn id="12" xr3:uid="{02AD4C26-CD7C-4D9A-A30C-1A6091361DD2}" name="E_NET_RATING" dataDxfId="86"/>
    <tableColumn id="13" xr3:uid="{8C47787F-B6AF-4891-BCE9-8F01D9B091B7}" name="NET_RATING" dataDxfId="85"/>
    <tableColumn id="14" xr3:uid="{DEF81CD7-57D8-4C0F-B02F-A4A8B0DE747F}" name="AST_PCT" dataDxfId="84"/>
    <tableColumn id="15" xr3:uid="{B8C79D74-4BB7-48B4-A505-82ADCED6B2B7}" name="AST_TO" dataDxfId="83"/>
    <tableColumn id="16" xr3:uid="{7D0BA91F-47CA-4FAF-9FB5-FBAADBC489F0}" name="AST_RATIO" dataDxfId="82"/>
    <tableColumn id="17" xr3:uid="{6F2BCF53-F351-4FBC-A5BC-99D11336FD6F}" name="OREB_PCT" dataDxfId="81"/>
    <tableColumn id="18" xr3:uid="{CE7EF25D-11DA-4761-88FA-594146E0FE5A}" name="DREB_PCT" dataDxfId="80"/>
    <tableColumn id="19" xr3:uid="{195BB0C6-86D3-4A3E-B235-BB2628881203}" name="REB_PCT" dataDxfId="79"/>
    <tableColumn id="20" xr3:uid="{11E83069-8483-4451-9337-7F485B188018}" name="TM_TOV_PCT" dataDxfId="78"/>
    <tableColumn id="21" xr3:uid="{18859264-1444-49AD-B01D-E18E04873E54}" name="EFG_PCT" dataDxfId="77"/>
    <tableColumn id="22" xr3:uid="{C16E8B76-DEDE-47F9-89FA-AB7AC3590E6C}" name="TS_PCT" dataDxfId="76"/>
    <tableColumn id="23" xr3:uid="{89C190DF-1CA2-4C4F-8F01-F3AE9E2B266E}" name="E_PACE" dataDxfId="75"/>
    <tableColumn id="24" xr3:uid="{97F95B9E-9C5B-443B-8D06-BCF226234456}" name="PACE" dataDxfId="74"/>
    <tableColumn id="25" xr3:uid="{50728669-1D09-4172-BDE7-D7EC9CA27872}" name="PACE_PER40" dataDxfId="73"/>
    <tableColumn id="26" xr3:uid="{7F293E80-6F1E-45A4-BC82-3AF57CA4932A}" name="POSS" dataDxfId="72"/>
    <tableColumn id="27" xr3:uid="{EBB92650-C287-4B54-A81A-E2D49DF53174}" name="PIE" dataDxfId="71"/>
    <tableColumn id="28" xr3:uid="{9EE55434-20BA-4EB0-A51C-F26163569ECB}" name="GP_RANK" dataDxfId="70"/>
    <tableColumn id="29" xr3:uid="{72288D6A-DECD-4E0B-8C8D-A88A925113C3}" name="W_RANK" dataDxfId="69"/>
    <tableColumn id="30" xr3:uid="{21987450-46F1-4C45-81FC-61C1AD933D2F}" name="L_RANK" dataDxfId="68"/>
    <tableColumn id="31" xr3:uid="{6B0E873F-54B7-45C3-8254-ECADC9B8F809}" name="W_PCT_RANK" dataDxfId="67"/>
    <tableColumn id="32" xr3:uid="{B9898AAC-C02A-4DCB-B1AF-EEE3A513193C}" name="MIN_RANK" dataDxfId="66"/>
    <tableColumn id="33" xr3:uid="{A76DCA94-8F4F-4991-BD8A-8CC298E563D5}" name="OFF_RATING_RANK" dataDxfId="65"/>
    <tableColumn id="34" xr3:uid="{8BCC73C0-1770-4235-A017-C2C166B3E428}" name="DEF_RATING_RANK" dataDxfId="64"/>
    <tableColumn id="35" xr3:uid="{099DF624-28AE-4C78-B590-821111328ECF}" name="NET_RATING_RANK" dataDxfId="63"/>
    <tableColumn id="36" xr3:uid="{C60715BA-F7E2-43B7-8C15-86B72ED81552}" name="AST_PCT_RANK" dataDxfId="62"/>
    <tableColumn id="37" xr3:uid="{FB5E52F2-613E-471D-A27D-247EE169D66F}" name="AST_TO_RANK" dataDxfId="61"/>
    <tableColumn id="38" xr3:uid="{C564447D-FE89-4DA0-B8AC-C955F955189D}" name="AST_RATIO_RANK" dataDxfId="60"/>
    <tableColumn id="39" xr3:uid="{C12C9B01-4C84-447D-8579-01D75852B7A9}" name="OREB_PCT_RANK" dataDxfId="59"/>
    <tableColumn id="40" xr3:uid="{E428088C-B47C-451F-A8A2-1E7B7838B922}" name="DREB_PCT_RANK" dataDxfId="58"/>
    <tableColumn id="41" xr3:uid="{2B84A725-AEC1-495B-83F2-54316DE7043B}" name="REB_PCT_RANK" dataDxfId="57"/>
    <tableColumn id="42" xr3:uid="{08DBB91D-B133-4679-8796-0FAF1570C008}" name="TM_TOV_PCT_RANK" dataDxfId="56"/>
    <tableColumn id="43" xr3:uid="{FC5A57C8-9421-47EF-BF1C-6738D011A1A3}" name="EFG_PCT_RANK" dataDxfId="55"/>
    <tableColumn id="44" xr3:uid="{5BDE93E5-F4D6-4697-BDE2-5C402A70D32C}" name="TS_PCT_RANK" dataDxfId="54"/>
    <tableColumn id="45" xr3:uid="{C91B3B98-471E-4EF9-B298-9977E015FAD1}" name="PACE_RANK" dataDxfId="53"/>
    <tableColumn id="46" xr3:uid="{8F25DF17-25C9-48AA-B535-EE5A2F13AC39}" name="PIE_RANK" dataDxfId="52"/>
    <tableColumn id="47" xr3:uid="{5A7A16E2-534E-4B97-8AB8-F7E5971C4D56}" name="CFID" dataDxfId="51"/>
    <tableColumn id="48" xr3:uid="{9D3E90CD-C31F-46C7-9CB6-BB35D061E452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8F6105-23DF-4552-B374-BE99CCFB290A}" name="TableStandingsN1" displayName="TableStandingsN1" ref="A1:CC31" totalsRowShown="0" headerRowDxfId="910">
  <autoFilter ref="A1:CC31" xr:uid="{578331C0-FED8-4AEB-B91D-34963821C95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625F5098-E44A-4AC3-8AC3-C159A6C17C45}" name="LeagueID" dataDxfId="991"/>
    <tableColumn id="2" xr3:uid="{B1C3C766-2A59-48D7-A426-14F3C9C91486}" name="SeasonID" dataDxfId="990"/>
    <tableColumn id="3" xr3:uid="{CEE7C6F2-B2FB-4B99-9D35-7BEBE0DD45A5}" name="TeamID" dataDxfId="989"/>
    <tableColumn id="4" xr3:uid="{576B82F1-3E97-457A-841C-41C5133F9C18}" name="TeamCity" dataDxfId="988"/>
    <tableColumn id="5" xr3:uid="{7BFBA674-D5EF-4291-BAB5-A0960DE919E0}" name="TeamName" dataDxfId="987"/>
    <tableColumn id="6" xr3:uid="{2159E076-4D52-4CAB-9A0C-56C2C55F5848}" name="Conference" dataDxfId="986"/>
    <tableColumn id="7" xr3:uid="{3E0F8150-831F-430C-82BB-57BBD5CF4542}" name="ConferenceRecord" dataDxfId="985"/>
    <tableColumn id="8" xr3:uid="{E8CEE2F1-E91C-44C6-B55A-872564AFA2FB}" name="PlayoffRank" dataDxfId="984"/>
    <tableColumn id="9" xr3:uid="{9681E840-5CC0-4884-B607-F9C8503F20EF}" name="ClinchIndicator" dataDxfId="983"/>
    <tableColumn id="10" xr3:uid="{37FA6F77-6A96-48B2-8C2E-590FCF01F6E4}" name="Division" dataDxfId="982"/>
    <tableColumn id="11" xr3:uid="{FB48C5AA-8CA5-4D00-8F37-5D355E6CB4C1}" name="DivisionRecord" dataDxfId="981"/>
    <tableColumn id="12" xr3:uid="{00DB8D85-FD53-4527-8B9F-C638D376D81D}" name="DivisionRank" dataDxfId="980"/>
    <tableColumn id="13" xr3:uid="{72719CD5-C5C0-4BE9-BCF0-B80164C14DA9}" name="WINS" dataDxfId="979"/>
    <tableColumn id="14" xr3:uid="{88E05074-E4AC-42C8-A133-BAD52C1DB4DC}" name="LOSSES" dataDxfId="978"/>
    <tableColumn id="15" xr3:uid="{F403EC27-8A99-4002-8EFB-E99B077273E0}" name="WinPCT" dataDxfId="977"/>
    <tableColumn id="16" xr3:uid="{565A8C07-167F-46C5-B61A-F62FE5F4F218}" name="LeagueRank" dataDxfId="976"/>
    <tableColumn id="17" xr3:uid="{D9BA2EB6-7BF5-4B7D-80F8-36A385592CBE}" name="Record" dataDxfId="975"/>
    <tableColumn id="18" xr3:uid="{77D68EEF-C226-444E-99F3-A4171EF5E353}" name="HOME" dataDxfId="974"/>
    <tableColumn id="19" xr3:uid="{6598A627-03B6-4BAC-BBFF-325234BEF885}" name="ROAD" dataDxfId="973"/>
    <tableColumn id="20" xr3:uid="{F3271D1C-D924-4A13-9F8B-50A15085A1FC}" name="L10" dataDxfId="972"/>
    <tableColumn id="21" xr3:uid="{5E682CEF-BBFD-4097-AC37-10876F654B6B}" name="Last10Home" dataDxfId="971"/>
    <tableColumn id="22" xr3:uid="{F9F6AFB9-750A-481B-B524-07574C58E41A}" name="Last10Road" dataDxfId="970"/>
    <tableColumn id="23" xr3:uid="{22DD6984-DA45-4A4B-BE39-E49968FC631C}" name="OT" dataDxfId="969"/>
    <tableColumn id="24" xr3:uid="{C51AE97D-BAB3-4F46-96AD-9EFDF5FC515A}" name="ThreePTSOrLess" dataDxfId="968"/>
    <tableColumn id="25" xr3:uid="{2091E751-9286-4F9B-874B-0BF6D61A96CC}" name="TenPTSOrMore" dataDxfId="967"/>
    <tableColumn id="26" xr3:uid="{D95B4F1B-47DC-481B-8030-212F8D374C50}" name="LongHomeStreak" dataDxfId="966"/>
    <tableColumn id="27" xr3:uid="{9DE6FD9F-4554-42AD-8259-74CF615E60AC}" name="strLongHomeStreak" dataDxfId="965"/>
    <tableColumn id="28" xr3:uid="{79A5E7E4-7AA0-4C14-A2CA-40B7684E6A6C}" name="LongRoadStreak" dataDxfId="964"/>
    <tableColumn id="29" xr3:uid="{19EF44FE-BBCB-4919-8BAD-28A98C5FB1BD}" name="strLongRoadStreak" dataDxfId="963"/>
    <tableColumn id="30" xr3:uid="{445EDB88-2F35-4034-8814-3D3F00A05695}" name="LongWinStreak" dataDxfId="962"/>
    <tableColumn id="31" xr3:uid="{CE2DB90D-F44B-4844-95A0-272CD717A90D}" name="LongLossStreak" dataDxfId="961"/>
    <tableColumn id="32" xr3:uid="{2BDE1251-95D0-4741-A98B-9A2492963A79}" name="CurrentHomeStreak" dataDxfId="960"/>
    <tableColumn id="33" xr3:uid="{D09F5E4F-B8A5-4F07-951E-D86013FCAC36}" name="strCurrentHomeStreak" dataDxfId="959"/>
    <tableColumn id="34" xr3:uid="{51EF40FD-C169-4FC1-AA85-24592CCF2185}" name="CurrentRoadStreak" dataDxfId="958"/>
    <tableColumn id="35" xr3:uid="{EC53D5FD-B830-453F-9E1A-1301C78E0817}" name="strCurrentRoadStreak" dataDxfId="957"/>
    <tableColumn id="36" xr3:uid="{1815CB0B-CA66-4B59-A0E2-4FF2ED08EB86}" name="CurrentStreak" dataDxfId="956"/>
    <tableColumn id="37" xr3:uid="{1A7FA28F-33B6-43D7-B304-0B4C5787A4B1}" name="strCurrentStreak" dataDxfId="955"/>
    <tableColumn id="38" xr3:uid="{5BECF110-1B70-45DF-B4BB-749CC19FCC1E}" name="ConferenceGamesBack" dataDxfId="954"/>
    <tableColumn id="39" xr3:uid="{3F3EE226-141B-4EF3-9240-0789AC3FDE78}" name="DivisionGamesBack" dataDxfId="953"/>
    <tableColumn id="40" xr3:uid="{6E8CE3EB-2CEC-42BA-8106-3338AAC1CD94}" name="ClinchedConferenceTitle" dataDxfId="952"/>
    <tableColumn id="41" xr3:uid="{A8608042-CF3F-4D6E-9E8A-C1B548E8520E}" name="ClinchedDivisionTitle" dataDxfId="951"/>
    <tableColumn id="42" xr3:uid="{C36E245A-0786-4546-A5CF-9E47E83F1DD1}" name="ClinchedPlayoffBirth" dataDxfId="950"/>
    <tableColumn id="43" xr3:uid="{ADF254E0-752B-4920-A867-A625F40A1DC6}" name="EliminatedConference" dataDxfId="949"/>
    <tableColumn id="44" xr3:uid="{F3F0D414-7B74-4942-9AAF-B6106685DBDB}" name="EliminatedDivision" dataDxfId="948"/>
    <tableColumn id="45" xr3:uid="{2A4AF108-78D9-4EE9-BCA4-2066C1659115}" name="AheadAtHalf" dataDxfId="947"/>
    <tableColumn id="46" xr3:uid="{ABB84B90-FEF8-4FB4-8EF7-55E92F7855AA}" name="BehindAtHalf" dataDxfId="946"/>
    <tableColumn id="47" xr3:uid="{BA4D1C9F-3CD9-47E1-B41A-99256A59D9DA}" name="TiedAtHalf" dataDxfId="945"/>
    <tableColumn id="48" xr3:uid="{C56CBC07-106D-4677-8251-387C75648E19}" name="AheadAtThird" dataDxfId="944"/>
    <tableColumn id="49" xr3:uid="{3AB8E317-9E1B-4058-84E0-6E091D3A6832}" name="BehindAtThird" dataDxfId="943"/>
    <tableColumn id="50" xr3:uid="{B5005E06-C882-4907-82E5-8A965CC375A6}" name="TiedAtThird" dataDxfId="942"/>
    <tableColumn id="51" xr3:uid="{FDD03541-34DB-4046-A8F4-CF9E1B74E897}" name="Score100PTS" dataDxfId="941"/>
    <tableColumn id="52" xr3:uid="{EC11DE91-5F35-4B2C-B4C6-1EB5DD1547EB}" name="OppScore100PTS" dataDxfId="940"/>
    <tableColumn id="53" xr3:uid="{C87C37EE-F0E0-463D-AC5A-2503F6AE5B3A}" name="OppOver500" dataDxfId="939"/>
    <tableColumn id="54" xr3:uid="{5C9B46E0-3B14-449A-BBA8-5BB794D010AD}" name="LeadInFGPCT" dataDxfId="938"/>
    <tableColumn id="55" xr3:uid="{0630A793-B7D7-47D1-B34B-C4B0C0660A6E}" name="LeadInReb" dataDxfId="937"/>
    <tableColumn id="56" xr3:uid="{0DB14954-8AC9-4C0E-A8F5-5AE7B35CDB50}" name="FewerTurnovers" dataDxfId="936"/>
    <tableColumn id="57" xr3:uid="{7C745E29-87DE-40BA-9666-EECF0B8EBE10}" name="PointsPG" dataDxfId="935"/>
    <tableColumn id="58" xr3:uid="{988157AE-43C3-4D51-996E-A806E2359D9A}" name="OppPointsPG" dataDxfId="934"/>
    <tableColumn id="59" xr3:uid="{766BD444-F08E-4BF5-8972-3D2213EE7C39}" name="DiffPointsPG" dataDxfId="933"/>
    <tableColumn id="60" xr3:uid="{2C8DD047-DAFF-4123-A2C1-549019D5C108}" name="vsEast" dataDxfId="932"/>
    <tableColumn id="61" xr3:uid="{6764A7B3-816F-42F2-BBCE-6DBDD037A1EE}" name="vsAtlantic" dataDxfId="931"/>
    <tableColumn id="62" xr3:uid="{7353BD53-6A87-417D-8774-968DECD84B6F}" name="vsCentral" dataDxfId="930"/>
    <tableColumn id="63" xr3:uid="{C4D487B5-D4F1-49B3-A43F-E43FD9AE2E61}" name="vsSoutheast" dataDxfId="929"/>
    <tableColumn id="64" xr3:uid="{7E4393F7-5038-41E6-A1EE-B938C4C7E176}" name="vsWest" dataDxfId="928"/>
    <tableColumn id="65" xr3:uid="{C9CE5A2C-E8B0-44AD-97CC-29CF6CE20F1C}" name="vsNorthwest" dataDxfId="927"/>
    <tableColumn id="66" xr3:uid="{D1290564-2F50-4D16-AB48-24FD528E6DEC}" name="vsPacific" dataDxfId="926"/>
    <tableColumn id="67" xr3:uid="{2EB17532-8FFB-4EFC-92C7-DD9785474EAD}" name="vsSouthwest" dataDxfId="925"/>
    <tableColumn id="68" xr3:uid="{6D20C6A5-668E-45EA-B81A-744F3897C4E0}" name="Jan" dataDxfId="924"/>
    <tableColumn id="69" xr3:uid="{313E9FB0-EF5E-4E29-B0C7-5AF57F796CFD}" name="Feb" dataDxfId="923"/>
    <tableColumn id="70" xr3:uid="{0B319C4B-0E4A-4BD6-9267-161A594392DB}" name="Mar" dataDxfId="922"/>
    <tableColumn id="71" xr3:uid="{D2C5B807-E0A9-4C24-911C-68D218C9FE42}" name="Apr" dataDxfId="921"/>
    <tableColumn id="72" xr3:uid="{08525BE0-FAFF-4663-BFE6-03928CEE9276}" name="May" dataDxfId="920"/>
    <tableColumn id="73" xr3:uid="{D1344CCE-6219-47E9-8D88-2BD4A9449C3E}" name="Jun" dataDxfId="919"/>
    <tableColumn id="74" xr3:uid="{95938C67-6B2A-4654-89BE-B8230B28F352}" name="Jul" dataDxfId="918"/>
    <tableColumn id="75" xr3:uid="{145899B1-C3A0-4653-8679-3A3CD50A79A1}" name="Aug" dataDxfId="917"/>
    <tableColumn id="76" xr3:uid="{8C0B4EC7-FADA-4E97-8347-99C23CFB4011}" name="Sep" dataDxfId="916"/>
    <tableColumn id="77" xr3:uid="{E77D05CB-6F6F-4096-9E1A-9870977DB607}" name="Oct" dataDxfId="915"/>
    <tableColumn id="78" xr3:uid="{DCFB942B-A4D5-476E-9239-2B39BAC6D65A}" name="Nov" dataDxfId="914"/>
    <tableColumn id="79" xr3:uid="{19ED3B20-2E0F-4ABC-8CE8-526C777D5295}" name="Dec" dataDxfId="913"/>
    <tableColumn id="80" xr3:uid="{3E7AD300-5A8A-41E2-B528-3E9D70B4F9B7}" name="PreAS" dataDxfId="912"/>
    <tableColumn id="81" xr3:uid="{FB835772-C8EB-4BDA-A797-531E95099FD2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032038-895C-472D-97EA-372F9B952DCE}" name="TableBaseN1" displayName="TableBaseN1" ref="A1:BD31" totalsRowShown="0" headerRowDxfId="796">
  <autoFilter ref="A1:BD31" xr:uid="{40248584-01FE-42D7-805D-A9B6D9B00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12EF9E2-0D61-47BA-B807-50C3CE5E7682}" name="TEAM_ID" dataDxfId="852"/>
    <tableColumn id="2" xr3:uid="{05A1BD77-D1C1-476B-9788-5BD45B37E650}" name="TEAM_NAME" dataDxfId="851"/>
    <tableColumn id="3" xr3:uid="{05B25234-3F61-46D7-B7F1-89667BB72CB1}" name="GP" dataDxfId="850"/>
    <tableColumn id="4" xr3:uid="{B50F3A2F-AECC-40F5-9D74-6499F4AC34F0}" name="W" dataDxfId="849"/>
    <tableColumn id="5" xr3:uid="{320A17CC-3F5A-462F-A41C-7123FD55FFF2}" name="L" dataDxfId="848"/>
    <tableColumn id="6" xr3:uid="{E9BF9234-724B-4275-A1C7-07189051BD09}" name="W_PCT" dataDxfId="847"/>
    <tableColumn id="7" xr3:uid="{6C4D6472-16D3-4B83-AA65-CCA9B2B931E9}" name="MIN" dataDxfId="846"/>
    <tableColumn id="8" xr3:uid="{487A91C6-F3F2-47DE-B6AF-F06F44FD3044}" name="FGM" dataDxfId="845"/>
    <tableColumn id="9" xr3:uid="{124FC2D9-3104-4485-B9D0-7B77AB572257}" name="FGA" dataDxfId="844"/>
    <tableColumn id="10" xr3:uid="{EEC05BB8-DE3E-4CCD-85C4-1530F39E8609}" name="FG_PCT" dataDxfId="843"/>
    <tableColumn id="11" xr3:uid="{E47F2D31-2322-4341-8E54-68EDE8168BC1}" name="FG3M" dataDxfId="842"/>
    <tableColumn id="12" xr3:uid="{A28A1507-1583-4529-9774-FC7140A33D0E}" name="FG3A" dataDxfId="841"/>
    <tableColumn id="13" xr3:uid="{6E798D5B-626E-4DE8-ACE5-F7CE0547DD3A}" name="FG3_PCT" dataDxfId="840"/>
    <tableColumn id="14" xr3:uid="{F79EB81D-85CF-4B01-8F61-5813BF26119B}" name="FTM" dataDxfId="839"/>
    <tableColumn id="15" xr3:uid="{9A08C464-C1F2-412C-BB0A-316F5814932F}" name="FTA" dataDxfId="838"/>
    <tableColumn id="16" xr3:uid="{2B80CA83-3668-4691-B8E2-CE77B80BA99E}" name="FT_PCT" dataDxfId="837"/>
    <tableColumn id="17" xr3:uid="{F2E6B150-F224-4524-96CB-3EFE942C2D00}" name="OREB" dataDxfId="836"/>
    <tableColumn id="18" xr3:uid="{3FD23BA0-42C2-428F-956F-4F5E6762C623}" name="DREB" dataDxfId="835"/>
    <tableColumn id="19" xr3:uid="{09C53D3C-B6B9-4272-8FCE-E35741A8353B}" name="REB" dataDxfId="834"/>
    <tableColumn id="20" xr3:uid="{762D4404-F9EE-4D1E-8B92-6FB9C17AD231}" name="AST" dataDxfId="833"/>
    <tableColumn id="21" xr3:uid="{295FF673-118B-4207-8BC3-86C848C02646}" name="TOV" dataDxfId="832"/>
    <tableColumn id="22" xr3:uid="{B4726C48-76E1-496E-A2ED-B105ECBA6AB5}" name="STL" dataDxfId="831"/>
    <tableColumn id="23" xr3:uid="{EA51FE39-1DE2-484C-AE60-ACE88C4AC47C}" name="BLK" dataDxfId="830"/>
    <tableColumn id="24" xr3:uid="{0E483EF1-3B9C-4187-9D0D-D8814236D518}" name="BLKA" dataDxfId="829"/>
    <tableColumn id="25" xr3:uid="{0EDDD54F-68EE-48F3-97CF-6EE294BB6F8D}" name="PF" dataDxfId="828"/>
    <tableColumn id="26" xr3:uid="{04C0A0A8-747A-4D6E-B755-BBAA8029626E}" name="PFD" dataDxfId="827"/>
    <tableColumn id="27" xr3:uid="{0AB9855A-7ECC-43C5-BF26-16D480F9CD02}" name="PTS" dataDxfId="826"/>
    <tableColumn id="28" xr3:uid="{F2595180-2195-45F4-8DDB-8A0232B12C28}" name="PLUS_MINUS" dataDxfId="825"/>
    <tableColumn id="29" xr3:uid="{29C59DEE-F633-41BF-B2F4-DB177DDC3C9D}" name="GP_RANK" dataDxfId="824"/>
    <tableColumn id="30" xr3:uid="{C59C9543-3209-4641-8389-C51E9941D5C8}" name="W_RANK" dataDxfId="823"/>
    <tableColumn id="31" xr3:uid="{EF0CCD18-D67E-495F-9540-B696445E39C0}" name="L_RANK" dataDxfId="822"/>
    <tableColumn id="32" xr3:uid="{69C08856-399E-4FCE-9DBA-69BD31DEE495}" name="W_PCT_RANK" dataDxfId="821"/>
    <tableColumn id="33" xr3:uid="{3945593D-AE6C-4BC7-A8BA-9B0F2986CA8F}" name="MIN_RANK" dataDxfId="820"/>
    <tableColumn id="34" xr3:uid="{DBC4C931-7744-48D9-A79C-85FD50EA65F7}" name="FGM_RANK" dataDxfId="819"/>
    <tableColumn id="35" xr3:uid="{60827A49-34DE-4EB3-A404-A76DA578F365}" name="FGA_RANK" dataDxfId="818"/>
    <tableColumn id="36" xr3:uid="{F6838F03-CC60-46F0-B5F8-6E98F3144B3E}" name="FG_PCT_RANK" dataDxfId="817"/>
    <tableColumn id="37" xr3:uid="{5CD0F05D-026F-4C17-95E6-022F33CAAB35}" name="FG3M_RANK" dataDxfId="816"/>
    <tableColumn id="38" xr3:uid="{0320BDF3-F1EA-4FF0-9739-03F0AB4908BC}" name="FG3A_RANK" dataDxfId="815"/>
    <tableColumn id="39" xr3:uid="{6E102832-EDF7-4F14-9508-009DE813EF13}" name="FG3_PCT_RANK" dataDxfId="814"/>
    <tableColumn id="40" xr3:uid="{17A0D7EB-1151-49F3-8D2B-48676A7249C3}" name="FTM_RANK" dataDxfId="813"/>
    <tableColumn id="41" xr3:uid="{6582E735-8BCE-4AB4-85F4-734F53A3F1B4}" name="FTA_RANK" dataDxfId="812"/>
    <tableColumn id="42" xr3:uid="{36C1B36F-63BD-4B7A-B94F-AED2FC5387F7}" name="FT_PCT_RANK" dataDxfId="811"/>
    <tableColumn id="43" xr3:uid="{1CC0549D-41D1-4CDF-9486-4E66D850F217}" name="OREB_RANK" dataDxfId="810"/>
    <tableColumn id="44" xr3:uid="{94D03DFA-0601-4F8A-9D4C-ACF649A8F307}" name="DREB_RANK" dataDxfId="809"/>
    <tableColumn id="45" xr3:uid="{CD8B7890-0FAA-407C-A425-3FD1002AC278}" name="REB_RANK" dataDxfId="808"/>
    <tableColumn id="46" xr3:uid="{A945EF00-E51F-4EF4-A29A-B13771443721}" name="AST_RANK" dataDxfId="807"/>
    <tableColumn id="47" xr3:uid="{74BEB85F-C256-40E8-9AF0-F4CAD4F1DDE8}" name="TOV_RANK" dataDxfId="806"/>
    <tableColumn id="48" xr3:uid="{BC226ABF-7621-4D2E-9717-41C1CB91B234}" name="STL_RANK" dataDxfId="805"/>
    <tableColumn id="49" xr3:uid="{6F559AEC-52CD-427C-9F66-10BE581CF4DB}" name="BLK_RANK" dataDxfId="804"/>
    <tableColumn id="50" xr3:uid="{30261258-50FA-4BED-9A72-94C0A9A3B633}" name="BLKA_RANK" dataDxfId="803"/>
    <tableColumn id="51" xr3:uid="{24356590-A014-4E3B-AC12-1D0FE1DD0779}" name="PF_RANK" dataDxfId="802"/>
    <tableColumn id="52" xr3:uid="{42E8166A-48D0-4F28-9C3B-E9F5E2524516}" name="PFD_RANK" dataDxfId="801"/>
    <tableColumn id="53" xr3:uid="{9CA2621A-D2CE-413A-81BB-D09F500D86D9}" name="PTS_RANK" dataDxfId="800"/>
    <tableColumn id="54" xr3:uid="{E2558B49-B554-4335-A999-F1101DD694A8}" name="PLUS_MINUS_RANK" dataDxfId="799"/>
    <tableColumn id="55" xr3:uid="{F01B1015-EAA9-4632-A590-3CA832E07417}" name="CFID" dataDxfId="798"/>
    <tableColumn id="56" xr3:uid="{6586AA4A-A596-454C-A360-485C7D57E9B0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D96EA12-8307-4613-8F93-24329BAC4ED8}" name="TableAdvancedN1" displayName="TableAdvancedN1" ref="A1:AV31" totalsRowShown="0" headerRowDxfId="698">
  <autoFilter ref="A1:AV31" xr:uid="{D0B42A71-B43F-45C5-8D28-DBBC9AC19B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E508592-C69F-4530-B4A7-3E268251327E}" name="TEAM_ID" dataDxfId="746"/>
    <tableColumn id="2" xr3:uid="{4D12C93E-CD4F-4F3D-9178-FCD5842BD630}" name="TEAM_NAME" dataDxfId="745"/>
    <tableColumn id="3" xr3:uid="{527185BC-9737-49E1-86CB-04C03E087AD0}" name="GP" dataDxfId="744"/>
    <tableColumn id="4" xr3:uid="{EFD2D7EC-FD83-488D-AE68-545B1B98B186}" name="W" dataDxfId="743"/>
    <tableColumn id="5" xr3:uid="{80D05BAD-D179-4D27-9BE0-F5F843B3CA9A}" name="L" dataDxfId="742"/>
    <tableColumn id="6" xr3:uid="{5E132260-D598-4DD2-8924-99C0CFD8F5C3}" name="W_PCT" dataDxfId="741"/>
    <tableColumn id="7" xr3:uid="{9D5567EA-F888-4541-BB58-789C29579314}" name="MIN" dataDxfId="740"/>
    <tableColumn id="8" xr3:uid="{1D1A2FAB-1D05-4097-9286-6A73DD429099}" name="E_OFF_RATING" dataDxfId="739"/>
    <tableColumn id="9" xr3:uid="{45ECFD73-0D74-45D9-9DD8-739D64891DB6}" name="OFF_RATING" dataDxfId="738"/>
    <tableColumn id="10" xr3:uid="{4B2DAA48-9C9E-4506-8DFB-25DAC63DD014}" name="E_DEF_RATING" dataDxfId="737"/>
    <tableColumn id="11" xr3:uid="{B2C01D41-B7B3-46EE-9733-99C4C5BFCC55}" name="DEF_RATING" dataDxfId="736"/>
    <tableColumn id="12" xr3:uid="{56CE64AD-5D63-497C-934D-A492DA9F1D9A}" name="E_NET_RATING" dataDxfId="735"/>
    <tableColumn id="13" xr3:uid="{B68B1845-579C-4346-97A7-52D705E268E8}" name="NET_RATING" dataDxfId="734"/>
    <tableColumn id="14" xr3:uid="{96B47F61-397B-4042-AB6B-605B5D9D734B}" name="AST_PCT" dataDxfId="733"/>
    <tableColumn id="15" xr3:uid="{D960560C-638C-48D4-98AB-C4BD004CB0DA}" name="AST_TO" dataDxfId="732"/>
    <tableColumn id="16" xr3:uid="{22B4765B-0622-4C00-9942-31C317993F79}" name="AST_RATIO" dataDxfId="731"/>
    <tableColumn id="17" xr3:uid="{729C0F6A-8840-4A2D-98CC-34996302FE1A}" name="OREB_PCT" dataDxfId="730"/>
    <tableColumn id="18" xr3:uid="{15365049-E02C-4382-A806-E86BBF5AF0E3}" name="DREB_PCT" dataDxfId="729"/>
    <tableColumn id="19" xr3:uid="{493ED3C9-257C-44BF-A9D2-14AE64DD7721}" name="REB_PCT" dataDxfId="728"/>
    <tableColumn id="20" xr3:uid="{3573134E-62B1-4A5B-AB84-7B2704AC804B}" name="TM_TOV_PCT" dataDxfId="727"/>
    <tableColumn id="21" xr3:uid="{4A49C337-7450-4873-B89C-03249B4E46E7}" name="EFG_PCT" dataDxfId="726"/>
    <tableColumn id="22" xr3:uid="{EB0C41DC-B21A-496A-B907-C00EA2B99630}" name="TS_PCT" dataDxfId="725"/>
    <tableColumn id="23" xr3:uid="{11BFF7DD-3C1B-444F-A602-FFE25711D972}" name="E_PACE" dataDxfId="724"/>
    <tableColumn id="24" xr3:uid="{8E60D40E-B9D9-4698-B57B-276DEDDD6A20}" name="PACE" dataDxfId="723"/>
    <tableColumn id="25" xr3:uid="{98FA66F4-03C2-43D7-A93A-6072BC1737F8}" name="PACE_PER40" dataDxfId="722"/>
    <tableColumn id="26" xr3:uid="{2F8EE9EC-98EE-489E-8D62-36D1A7076EB8}" name="POSS" dataDxfId="721"/>
    <tableColumn id="27" xr3:uid="{A14E41D4-6A01-43E1-997A-999D79282F24}" name="PIE" dataDxfId="720"/>
    <tableColumn id="28" xr3:uid="{67EAA55E-3C42-4C4F-B81D-9EF7B570A8A6}" name="GP_RANK" dataDxfId="719"/>
    <tableColumn id="29" xr3:uid="{7CFE6059-6A54-49BE-8995-E02EE3FCCC0E}" name="W_RANK" dataDxfId="718"/>
    <tableColumn id="30" xr3:uid="{FB49AE6E-DA14-4D25-8A7F-ED0335B7490E}" name="L_RANK" dataDxfId="717"/>
    <tableColumn id="31" xr3:uid="{A4C6249E-619E-4AA7-A9C6-84B88D42A7E3}" name="W_PCT_RANK" dataDxfId="716"/>
    <tableColumn id="32" xr3:uid="{9640CD4F-4435-45D7-BC92-E6989F4A3371}" name="MIN_RANK" dataDxfId="715"/>
    <tableColumn id="33" xr3:uid="{99F0F449-6423-4AE3-A35C-957B4F406543}" name="OFF_RATING_RANK" dataDxfId="714"/>
    <tableColumn id="34" xr3:uid="{27722D01-7130-4C4D-89D3-52C016CAA24F}" name="DEF_RATING_RANK" dataDxfId="713"/>
    <tableColumn id="35" xr3:uid="{2AE408E8-E531-468D-B919-279A54FB215C}" name="NET_RATING_RANK" dataDxfId="712"/>
    <tableColumn id="36" xr3:uid="{B83D220C-CA4D-4970-B6D3-87D18C7DCD48}" name="AST_PCT_RANK" dataDxfId="711"/>
    <tableColumn id="37" xr3:uid="{AE3E2AAA-9591-4907-AB34-430B1FFFBC1D}" name="AST_TO_RANK" dataDxfId="710"/>
    <tableColumn id="38" xr3:uid="{6F98587F-2EE1-4531-8DD9-B9BFCFAD0F9D}" name="AST_RATIO_RANK" dataDxfId="709"/>
    <tableColumn id="39" xr3:uid="{CB608A10-C505-46AA-9656-8EA4859C4594}" name="OREB_PCT_RANK" dataDxfId="708"/>
    <tableColumn id="40" xr3:uid="{8F8E4BC9-9B31-4618-A184-A709676FE95F}" name="DREB_PCT_RANK" dataDxfId="707"/>
    <tableColumn id="41" xr3:uid="{BAAC7BE0-0236-460D-92EC-8250996596DD}" name="REB_PCT_RANK" dataDxfId="706"/>
    <tableColumn id="42" xr3:uid="{8034FFFD-8234-46C5-86B9-C194EB8AC358}" name="TM_TOV_PCT_RANK" dataDxfId="705"/>
    <tableColumn id="43" xr3:uid="{ECD5BB48-F3CF-4BDD-A2FE-CAD7A59489B6}" name="EFG_PCT_RANK" dataDxfId="704"/>
    <tableColumn id="44" xr3:uid="{50AD9A3E-7825-44DB-9CF6-4984968AE3C2}" name="TS_PCT_RANK" dataDxfId="703"/>
    <tableColumn id="45" xr3:uid="{5D2BECA0-FA40-45FE-90D1-0679ECC477DE}" name="PACE_RANK" dataDxfId="702"/>
    <tableColumn id="46" xr3:uid="{47F2F61D-7B3B-4D73-B785-F19D75F5678B}" name="PIE_RANK" dataDxfId="701"/>
    <tableColumn id="47" xr3:uid="{96528A90-1134-4E30-ACFC-D12C757FA0A0}" name="CFID" dataDxfId="700"/>
    <tableColumn id="48" xr3:uid="{D62DCD3C-2291-4075-8C3C-11359A016A1B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036D03-3E5E-4908-8D4B-3F0CF9776474}" name="TableAdvancedN1Starters" displayName="TableAdvancedN1Starters" ref="A1:AV31" totalsRowShown="0" headerRowDxfId="600">
  <autoFilter ref="A1:AV31" xr:uid="{A0607F34-65B7-48EC-9B9B-7C23EB0A0E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AF531F0-2610-44DC-9DAC-9C4013DECDC5}" name="TEAM_ID" dataDxfId="648"/>
    <tableColumn id="2" xr3:uid="{0EB0ED75-4084-48A2-A2EB-0B514A109D3C}" name="TEAM_NAME" dataDxfId="647"/>
    <tableColumn id="3" xr3:uid="{00448422-603A-4CB5-9D42-056CF89FC166}" name="GP" dataDxfId="646"/>
    <tableColumn id="4" xr3:uid="{23651F03-2922-4264-9B69-5F1FCE086E3A}" name="W" dataDxfId="645"/>
    <tableColumn id="5" xr3:uid="{D906EC22-9026-4382-A8CF-02893849E855}" name="L" dataDxfId="644"/>
    <tableColumn id="6" xr3:uid="{97583560-F60C-43E7-9F7E-25D91BCE2B3C}" name="W_PCT" dataDxfId="643"/>
    <tableColumn id="7" xr3:uid="{B9F38085-6275-4AEB-89F5-542C0EECA6D6}" name="MIN" dataDxfId="642"/>
    <tableColumn id="8" xr3:uid="{5DF98E00-3CC3-436B-8C2F-E814497CA3F5}" name="E_OFF_RATING" dataDxfId="641"/>
    <tableColumn id="9" xr3:uid="{C715540A-2F80-48C4-AB5D-5C61B6B160EF}" name="OFF_RATING" dataDxfId="640"/>
    <tableColumn id="10" xr3:uid="{41BE4760-D9DA-40B9-93B7-A049BA8512ED}" name="E_DEF_RATING" dataDxfId="639"/>
    <tableColumn id="11" xr3:uid="{20252331-F08D-4243-9549-10F6B0E000D5}" name="DEF_RATING" dataDxfId="638"/>
    <tableColumn id="12" xr3:uid="{92F05055-F62E-4E7E-8F76-7F7B4DBF3C22}" name="E_NET_RATING" dataDxfId="637"/>
    <tableColumn id="13" xr3:uid="{0C77C76B-32DA-4432-98E6-CDCF1C0A6456}" name="NET_RATING" dataDxfId="636"/>
    <tableColumn id="14" xr3:uid="{517771FC-6D68-413A-8F4F-0DB24ACDC62E}" name="AST_PCT" dataDxfId="635"/>
    <tableColumn id="15" xr3:uid="{F7BC515B-48F4-4903-B2F7-2E69E974F2ED}" name="AST_TO" dataDxfId="634"/>
    <tableColumn id="16" xr3:uid="{2E7A6A7C-5963-4804-A0A0-BE1545424E4F}" name="AST_RATIO" dataDxfId="633"/>
    <tableColumn id="17" xr3:uid="{F91B3486-AFFD-438A-B251-04AD8F934B50}" name="OREB_PCT" dataDxfId="632"/>
    <tableColumn id="18" xr3:uid="{D85A4BA4-BD47-44E4-A86B-ACD20492B319}" name="DREB_PCT" dataDxfId="631"/>
    <tableColumn id="19" xr3:uid="{DF9F7D70-6485-4F14-8B9A-2E03022C69FC}" name="REB_PCT" dataDxfId="630"/>
    <tableColumn id="20" xr3:uid="{20985977-5278-414C-A1F5-95DEAA818970}" name="TM_TOV_PCT" dataDxfId="629"/>
    <tableColumn id="21" xr3:uid="{E46A0FD0-0B76-44AC-9BD7-22205F65B818}" name="EFG_PCT" dataDxfId="628"/>
    <tableColumn id="22" xr3:uid="{C98FEF4F-AA78-47F0-B7A7-8C09BA87B1E1}" name="TS_PCT" dataDxfId="627"/>
    <tableColumn id="23" xr3:uid="{F9DBF785-2841-4CBD-B2B0-11AE6124ACB5}" name="E_PACE" dataDxfId="626"/>
    <tableColumn id="24" xr3:uid="{B1F7049F-F1CF-4049-B606-5E5514A2F8E6}" name="PACE" dataDxfId="625"/>
    <tableColumn id="25" xr3:uid="{BB076D4D-BD90-40A7-B7DC-D8C2074AA4EF}" name="PACE_PER40" dataDxfId="624"/>
    <tableColumn id="26" xr3:uid="{36538724-C0AB-438A-912B-D481FA5C1FC4}" name="POSS" dataDxfId="623"/>
    <tableColumn id="27" xr3:uid="{6EFB4EA3-B982-49AC-8C81-AAEF11DB3130}" name="PIE" dataDxfId="622"/>
    <tableColumn id="28" xr3:uid="{0F91C49B-6BE0-4585-B293-1A218289149E}" name="GP_RANK" dataDxfId="621"/>
    <tableColumn id="29" xr3:uid="{027D33D2-9595-4622-A8F5-AFAA3B155928}" name="W_RANK" dataDxfId="620"/>
    <tableColumn id="30" xr3:uid="{DAF67350-D6B9-4A5F-84A3-C20A444B3C6E}" name="L_RANK" dataDxfId="619"/>
    <tableColumn id="31" xr3:uid="{76F711C9-6619-4182-BA84-336D24E9871C}" name="W_PCT_RANK" dataDxfId="618"/>
    <tableColumn id="32" xr3:uid="{6EEE3B7E-36F6-4E7D-9E68-053914CAE91E}" name="MIN_RANK" dataDxfId="617"/>
    <tableColumn id="33" xr3:uid="{B6F296C0-6546-4BA1-ACFE-2A34007CF42E}" name="OFF_RATING_RANK" dataDxfId="616"/>
    <tableColumn id="34" xr3:uid="{06CB2B34-DD35-4AA5-BF33-8F0D5AF44A30}" name="DEF_RATING_RANK" dataDxfId="615"/>
    <tableColumn id="35" xr3:uid="{84FDE01F-9B24-4918-B98E-FE54D9F88137}" name="NET_RATING_RANK" dataDxfId="614"/>
    <tableColumn id="36" xr3:uid="{314203D9-E170-4358-A192-2F7796E6BA7E}" name="AST_PCT_RANK" dataDxfId="613"/>
    <tableColumn id="37" xr3:uid="{AF8D9D57-803C-43CF-8393-63D258AB3851}" name="AST_TO_RANK" dataDxfId="612"/>
    <tableColumn id="38" xr3:uid="{0F0BF476-0655-4D16-A22D-11490FE8D863}" name="AST_RATIO_RANK" dataDxfId="611"/>
    <tableColumn id="39" xr3:uid="{2F832DA9-4F10-4FAF-9C55-373C2EF595C3}" name="OREB_PCT_RANK" dataDxfId="610"/>
    <tableColumn id="40" xr3:uid="{330DC4FA-997A-44DC-AEDD-0CB0F1A18F54}" name="DREB_PCT_RANK" dataDxfId="609"/>
    <tableColumn id="41" xr3:uid="{AEF68553-072B-496D-9BC6-593397DAF95B}" name="REB_PCT_RANK" dataDxfId="608"/>
    <tableColumn id="42" xr3:uid="{A35C2763-A3EA-412B-A298-58CDFB7A069E}" name="TM_TOV_PCT_RANK" dataDxfId="607"/>
    <tableColumn id="43" xr3:uid="{B4E619B1-73AF-41D6-B88F-411FE2E2BD34}" name="EFG_PCT_RANK" dataDxfId="606"/>
    <tableColumn id="44" xr3:uid="{E752DDAC-BE77-4689-BE6B-B276A2EAEA98}" name="TS_PCT_RANK" dataDxfId="605"/>
    <tableColumn id="45" xr3:uid="{127CA054-32D3-40E8-8BB8-12CEBE2EE6A4}" name="PACE_RANK" dataDxfId="604"/>
    <tableColumn id="46" xr3:uid="{1569CFBA-DBFE-4EF5-BFB9-F7E0F9C48ED8}" name="PIE_RANK" dataDxfId="603"/>
    <tableColumn id="47" xr3:uid="{8EF22563-2A4C-418B-9A64-923BB8ADF66C}" name="CFID" dataDxfId="602"/>
    <tableColumn id="48" xr3:uid="{405A53D9-00D2-455B-9B72-D458C9685FDD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9ABD0A-2C04-4CDA-A82E-E13F228AF1C3}" name="TableAdvancedN1Bench" displayName="TableAdvancedN1Bench" ref="A1:AV31" totalsRowShown="0" headerRowDxfId="502">
  <autoFilter ref="A1:AV31" xr:uid="{B2921E32-7F34-4369-A98A-285D8BA9142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A3C55F5-EC55-44A1-BF4B-D40637391BAD}" name="TEAM_ID" dataDxfId="550"/>
    <tableColumn id="2" xr3:uid="{080097D4-8EED-4523-8478-3FA8D1C3F9A6}" name="TEAM_NAME" dataDxfId="549"/>
    <tableColumn id="3" xr3:uid="{8A4E3EBB-E7F3-4DCF-99CD-B122B6BAFBC2}" name="GP" dataDxfId="548"/>
    <tableColumn id="4" xr3:uid="{696626EA-F7EB-48FF-9513-4239E57AFA08}" name="W" dataDxfId="547"/>
    <tableColumn id="5" xr3:uid="{2A5A3488-5CB9-43FD-B1F7-6B4A4C7CC87B}" name="L" dataDxfId="546"/>
    <tableColumn id="6" xr3:uid="{AA230068-3D2D-4F74-BD50-51222AA7C958}" name="W_PCT" dataDxfId="545"/>
    <tableColumn id="7" xr3:uid="{A24C53DB-54C0-4D65-922F-A99E742A829C}" name="MIN" dataDxfId="544"/>
    <tableColumn id="8" xr3:uid="{0DF32CEE-A3EA-405D-AF88-E82D409EB55E}" name="E_OFF_RATING" dataDxfId="543"/>
    <tableColumn id="9" xr3:uid="{FCA4EC51-40F5-4206-B2E5-3CBFCD07627B}" name="OFF_RATING" dataDxfId="542"/>
    <tableColumn id="10" xr3:uid="{359F7F56-12A1-4E82-B0A2-5A9CBCD11CFA}" name="E_DEF_RATING" dataDxfId="541"/>
    <tableColumn id="11" xr3:uid="{F8E7E1EE-E833-4C69-8D4F-87BF491A5559}" name="DEF_RATING" dataDxfId="540"/>
    <tableColumn id="12" xr3:uid="{72FD8F4C-96C2-4EB3-8A22-AFFB443992C1}" name="E_NET_RATING" dataDxfId="539"/>
    <tableColumn id="13" xr3:uid="{39063811-DE3A-40FB-99AF-D1BDE85FBF74}" name="NET_RATING" dataDxfId="538"/>
    <tableColumn id="14" xr3:uid="{2C89CEF4-347C-4256-A2D9-C0B43FE01ADF}" name="AST_PCT" dataDxfId="537"/>
    <tableColumn id="15" xr3:uid="{0D0F5160-9F30-4C8D-AB34-FEC1962A994C}" name="AST_TO" dataDxfId="536"/>
    <tableColumn id="16" xr3:uid="{A8374B21-8AC1-440D-AB3E-F02F177802C5}" name="AST_RATIO" dataDxfId="535"/>
    <tableColumn id="17" xr3:uid="{86220EF4-3D75-48C0-94F3-2AECF9AC229C}" name="OREB_PCT" dataDxfId="534"/>
    <tableColumn id="18" xr3:uid="{06F6AD96-B6A9-4CF3-90AB-1C0579437185}" name="DREB_PCT" dataDxfId="533"/>
    <tableColumn id="19" xr3:uid="{AC6A7EA3-355D-4382-9116-70F05E0511B2}" name="REB_PCT" dataDxfId="532"/>
    <tableColumn id="20" xr3:uid="{922E1AC4-8446-400A-8EE4-065316C5AE7B}" name="TM_TOV_PCT" dataDxfId="531"/>
    <tableColumn id="21" xr3:uid="{83A1B0EB-7A57-410E-AEE2-A3ACFAB0C005}" name="EFG_PCT" dataDxfId="530"/>
    <tableColumn id="22" xr3:uid="{CBF66F99-77B1-4D75-904A-0AB0AD6EE8FF}" name="TS_PCT" dataDxfId="529"/>
    <tableColumn id="23" xr3:uid="{0DC844A5-D37E-4943-8FD7-6956AF41D681}" name="E_PACE" dataDxfId="528"/>
    <tableColumn id="24" xr3:uid="{3ACF9D37-9A68-41DF-8F76-B42AAC19C7E0}" name="PACE" dataDxfId="527"/>
    <tableColumn id="25" xr3:uid="{483F785C-00C8-4F53-9E93-7C9CCF6F95AC}" name="PACE_PER40" dataDxfId="526"/>
    <tableColumn id="26" xr3:uid="{1D8B5D97-7B5B-42C6-951C-5C48C746DB0F}" name="POSS" dataDxfId="525"/>
    <tableColumn id="27" xr3:uid="{019DF4FF-8D00-4E19-9ACF-D4593CB52533}" name="PIE" dataDxfId="524"/>
    <tableColumn id="28" xr3:uid="{A71CB8FE-F7CF-4DDC-B191-F270FB19C617}" name="GP_RANK" dataDxfId="523"/>
    <tableColumn id="29" xr3:uid="{802D09B7-10AB-4180-A686-BF05D3711D3A}" name="W_RANK" dataDxfId="522"/>
    <tableColumn id="30" xr3:uid="{91B85829-4457-432A-AC66-9B502024B267}" name="L_RANK" dataDxfId="521"/>
    <tableColumn id="31" xr3:uid="{7F73FCD6-213C-49D2-923F-5D8F51967609}" name="W_PCT_RANK" dataDxfId="520"/>
    <tableColumn id="32" xr3:uid="{3A9ADBE1-9043-4C27-8A5A-B640F33EAC93}" name="MIN_RANK" dataDxfId="519"/>
    <tableColumn id="33" xr3:uid="{9254EE47-D18C-40AB-A26E-9FDA4330A431}" name="OFF_RATING_RANK" dataDxfId="518"/>
    <tableColumn id="34" xr3:uid="{117C511A-F80A-4B2B-80E5-9154D1CD3041}" name="DEF_RATING_RANK" dataDxfId="517"/>
    <tableColumn id="35" xr3:uid="{FDA6F54D-615A-4577-B338-ED3DBAEF083C}" name="NET_RATING_RANK" dataDxfId="516"/>
    <tableColumn id="36" xr3:uid="{1EE6CB27-950D-48FC-87EF-95A283762979}" name="AST_PCT_RANK" dataDxfId="515"/>
    <tableColumn id="37" xr3:uid="{FA55E850-FD79-44E3-978A-16A6FDAE6C06}" name="AST_TO_RANK" dataDxfId="514"/>
    <tableColumn id="38" xr3:uid="{E1BFD2C8-DA18-49FE-B37D-627852D68BAF}" name="AST_RATIO_RANK" dataDxfId="513"/>
    <tableColumn id="39" xr3:uid="{43205312-1285-415A-B579-7F0CB3529897}" name="OREB_PCT_RANK" dataDxfId="512"/>
    <tableColumn id="40" xr3:uid="{CE7FD182-7958-448F-8042-47090FE55AA8}" name="DREB_PCT_RANK" dataDxfId="511"/>
    <tableColumn id="41" xr3:uid="{181A9A94-03E2-4F9F-8CC6-8B9DB93F5AEE}" name="REB_PCT_RANK" dataDxfId="510"/>
    <tableColumn id="42" xr3:uid="{B49E2A42-8F3B-4E07-9A08-0B76E2A7B72D}" name="TM_TOV_PCT_RANK" dataDxfId="509"/>
    <tableColumn id="43" xr3:uid="{08C98D66-2D99-45DF-9A5F-796ED039DD1B}" name="EFG_PCT_RANK" dataDxfId="508"/>
    <tableColumn id="44" xr3:uid="{BFFFFA2A-195B-4697-8EF0-0EC53DFA307D}" name="TS_PCT_RANK" dataDxfId="507"/>
    <tableColumn id="45" xr3:uid="{DC60B8C5-0A45-4F2E-87B4-57B1840098EB}" name="PACE_RANK" dataDxfId="506"/>
    <tableColumn id="46" xr3:uid="{2C49A6EB-F44C-42B7-9919-78306CA94EBC}" name="PIE_RANK" dataDxfId="505"/>
    <tableColumn id="47" xr3:uid="{75F546A3-3094-4653-8C3E-97E229AE9D25}" name="CFID" dataDxfId="504"/>
    <tableColumn id="48" xr3:uid="{FC03CE96-CB7B-49C3-9EF6-6BB8795C1177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63B8E89-0D97-4AAA-882F-C86D29FC2C98}" name="TableMiscN1" displayName="TableMiscN1" ref="A1:AD31" totalsRowShown="0" headerRowDxfId="440">
  <autoFilter ref="A1:AD31" xr:uid="{11E94E1B-E753-4A68-A76E-8A15BD2241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9FCED41E-3859-4E37-9C31-61AED21FAD9F}" name="TEAM_ID" dataDxfId="470"/>
    <tableColumn id="2" xr3:uid="{08670DF3-FC5A-4940-81E8-9BBCA17F7589}" name="TEAM_NAME" dataDxfId="469"/>
    <tableColumn id="3" xr3:uid="{ECD2F0CF-BB01-4B95-A3D3-D08765F8B2F0}" name="GP" dataDxfId="468"/>
    <tableColumn id="4" xr3:uid="{71DB94D4-6722-489E-AB68-213BC61A1FE6}" name="W" dataDxfId="467"/>
    <tableColumn id="5" xr3:uid="{1C0FF224-A659-4758-8333-4B418792DA8E}" name="L" dataDxfId="466"/>
    <tableColumn id="6" xr3:uid="{A7EB85FF-505A-425E-8AAC-4FF95CE4B92D}" name="W_PCT" dataDxfId="465"/>
    <tableColumn id="7" xr3:uid="{7BFE8098-AC78-4005-932A-561FA4C0774F}" name="MIN" dataDxfId="464"/>
    <tableColumn id="8" xr3:uid="{5C733752-37DC-45A8-9AA6-945F0995CE50}" name="PTS_OFF_TOV" dataDxfId="463"/>
    <tableColumn id="9" xr3:uid="{91E02BB6-CC59-4E45-9A20-548F71DA2428}" name="PTS_2ND_CHANCE" dataDxfId="462"/>
    <tableColumn id="10" xr3:uid="{1F3231EB-536C-43E0-A5F2-DB6114269BD7}" name="PTS_FB" dataDxfId="461"/>
    <tableColumn id="11" xr3:uid="{CE1D8119-5421-4957-9045-D57379229F08}" name="PTS_PAINT" dataDxfId="460"/>
    <tableColumn id="12" xr3:uid="{9138ED28-211E-46DB-B368-92E9F1C00B67}" name="OPP_PTS_OFF_TOV" dataDxfId="459"/>
    <tableColumn id="13" xr3:uid="{0A38D0B3-6D04-4ED3-8A4C-DA60795D01AD}" name="OPP_PTS_2ND_CHANCE" dataDxfId="458"/>
    <tableColumn id="14" xr3:uid="{BD8B5B10-0902-4B9C-8DEF-098F5AA54EDA}" name="OPP_PTS_FB" dataDxfId="457"/>
    <tableColumn id="15" xr3:uid="{03BCB077-EC00-44D5-8D16-4D532998A234}" name="OPP_PTS_PAINT" dataDxfId="456"/>
    <tableColumn id="16" xr3:uid="{16AC88CB-8943-4839-8A45-7D2B052324EA}" name="GP_RANK" dataDxfId="455"/>
    <tableColumn id="17" xr3:uid="{A0EAE561-16B1-4F80-B5FD-1F8C1E873D42}" name="W_RANK" dataDxfId="454"/>
    <tableColumn id="18" xr3:uid="{A9F4FE90-4EC5-4A06-A45B-1D4AB9ECDF4B}" name="L_RANK" dataDxfId="453"/>
    <tableColumn id="19" xr3:uid="{17ACF707-5AF4-49BF-A8F9-D30C7DE6757A}" name="W_PCT_RANK" dataDxfId="452"/>
    <tableColumn id="20" xr3:uid="{ED2B9B2C-1FF7-4C69-A9E3-E1B959838712}" name="MIN_RANK" dataDxfId="451"/>
    <tableColumn id="21" xr3:uid="{EA59269B-3A5F-44C2-B42D-5CB027CAFECA}" name="PTS_OFF_TOV_RANK" dataDxfId="450"/>
    <tableColumn id="22" xr3:uid="{D8C3D024-6F05-497C-8120-52A35EBF0547}" name="PTS_2ND_CHANCE_RANK" dataDxfId="449"/>
    <tableColumn id="23" xr3:uid="{F9293EEF-C4F8-41EF-B85C-966DF8CC0E63}" name="PTS_FB_RANK" dataDxfId="448"/>
    <tableColumn id="24" xr3:uid="{7A4ED9A2-3ABC-4CB6-A9C8-D9A52866198F}" name="PTS_PAINT_RANK" dataDxfId="447"/>
    <tableColumn id="25" xr3:uid="{1799A0AC-047C-4D0A-ABA0-F0E5EEC9D975}" name="OPP_PTS_OFF_TOV_RANK" dataDxfId="446"/>
    <tableColumn id="26" xr3:uid="{45975D73-7809-4288-8523-D38B344BA1D8}" name="OPP_PTS_2ND_CHANCE_RANK" dataDxfId="445"/>
    <tableColumn id="27" xr3:uid="{537C2448-6D0B-4C35-AB6C-34BAED28C575}" name="OPP_PTS_FB_RANK" dataDxfId="444"/>
    <tableColumn id="28" xr3:uid="{6065943C-2214-491C-B77C-C555ED5BDC9E}" name="OPP_PTS_PAINT_RANK" dataDxfId="443"/>
    <tableColumn id="29" xr3:uid="{695A6E03-4C5A-4324-82E2-37FBBDFE61E5}" name="CFID" dataDxfId="442"/>
    <tableColumn id="30" xr3:uid="{D9E34C62-CB0D-49C9-8D2E-51DE48D580F8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59A784F-B64B-4CFD-BC94-6C89B28BEF66}" name="TableOppBaseN1" displayName="TableOppBaseN1" ref="A1:BD31" totalsRowShown="0" headerRowDxfId="326">
  <autoFilter ref="A1:BD31" xr:uid="{4FC504AA-A2FB-44BA-9E9F-44B0CB21FB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61AA8B1-5F82-411B-B4AA-2801E6BF11C6}" name="TEAM_ID" dataDxfId="382"/>
    <tableColumn id="2" xr3:uid="{311C716D-3A6F-4D1D-823E-19C40DFE91EE}" name="TEAM_NAME" dataDxfId="381"/>
    <tableColumn id="3" xr3:uid="{F0DB3D68-6BF1-45E1-8F29-1A6441B83B5B}" name="GP" dataDxfId="380"/>
    <tableColumn id="4" xr3:uid="{D96852A2-EFFE-43BB-9BC4-41AA1369655F}" name="W" dataDxfId="379"/>
    <tableColumn id="5" xr3:uid="{CC24ECC2-942C-488A-81E8-2BF13616CF6A}" name="L" dataDxfId="378"/>
    <tableColumn id="6" xr3:uid="{DC35815D-B460-41DC-9028-A6DDBA1362FE}" name="W_PCT" dataDxfId="377"/>
    <tableColumn id="7" xr3:uid="{D6DD8834-C74C-447C-B336-1B5E8ED6450A}" name="MIN" dataDxfId="376"/>
    <tableColumn id="8" xr3:uid="{62DD4DD8-F847-4697-8852-8152498729BC}" name="OPP_FGM" dataDxfId="375"/>
    <tableColumn id="9" xr3:uid="{E61A0A9B-6126-4D4D-877F-CF8F14C44CF8}" name="OPP_FGA" dataDxfId="374"/>
    <tableColumn id="10" xr3:uid="{04238E10-6781-4BF3-AC18-C2DB4CC4E427}" name="OPP_FG_PCT" dataDxfId="373"/>
    <tableColumn id="11" xr3:uid="{8964E9E6-EB14-43C8-93AC-8B5080EFD40C}" name="OPP_FG3M" dataDxfId="372"/>
    <tableColumn id="12" xr3:uid="{E170E892-0590-4BF0-B818-A0A72C4DF8FE}" name="OPP_FG3A" dataDxfId="371"/>
    <tableColumn id="13" xr3:uid="{05940887-6E1B-4E52-BBBF-B784E13C9D83}" name="OPP_FG3_PCT" dataDxfId="370"/>
    <tableColumn id="14" xr3:uid="{D5B9A8C0-9525-4A99-9002-1CF42EFE0194}" name="OPP_FTM" dataDxfId="369"/>
    <tableColumn id="15" xr3:uid="{7AD91424-B3D0-464B-AA74-FC571114EC25}" name="OPP_FTA" dataDxfId="368"/>
    <tableColumn id="16" xr3:uid="{9BBB22A2-9566-486B-8C0F-2D2D8B869C74}" name="OPP_FT_PCT" dataDxfId="367"/>
    <tableColumn id="17" xr3:uid="{89299CCC-D147-438B-9E7F-D79A70A31939}" name="OPP_OREB" dataDxfId="366"/>
    <tableColumn id="18" xr3:uid="{6409C035-E205-4B5E-8048-DD44C0ECAD55}" name="OPP_DREB" dataDxfId="365"/>
    <tableColumn id="19" xr3:uid="{55C4A04B-4DB9-4C73-AADD-61F4F7A6CDA5}" name="OPP_REB" dataDxfId="364"/>
    <tableColumn id="20" xr3:uid="{C44D88C3-728D-4F0D-B723-9473440DC655}" name="OPP_AST" dataDxfId="363"/>
    <tableColumn id="21" xr3:uid="{B4A7401A-4F74-4F1C-B8A4-517A887F6944}" name="OPP_TOV" dataDxfId="362"/>
    <tableColumn id="22" xr3:uid="{4A7BE2DD-9E65-4536-A57D-12B20270FD67}" name="OPP_STL" dataDxfId="361"/>
    <tableColumn id="23" xr3:uid="{346357BE-D1C8-4F46-9C36-540A93C7298B}" name="OPP_BLK" dataDxfId="360"/>
    <tableColumn id="24" xr3:uid="{7F85B85D-8103-43D7-BB25-80625DDA98D6}" name="OPP_BLKA" dataDxfId="359"/>
    <tableColumn id="25" xr3:uid="{931A53B5-7231-404C-BCFB-09CD5C5BACE6}" name="OPP_PF" dataDxfId="358"/>
    <tableColumn id="26" xr3:uid="{A419A40E-DC72-4E85-9406-4E4EF7974239}" name="OPP_PFD" dataDxfId="357"/>
    <tableColumn id="27" xr3:uid="{A7F8322B-E0B8-43D7-B8AC-97E6BAEB6966}" name="OPP_PTS" dataDxfId="356"/>
    <tableColumn id="28" xr3:uid="{DA887D81-9C10-4C07-9BD6-D29EAF89E4BA}" name="PLUS_MINUS" dataDxfId="355"/>
    <tableColumn id="29" xr3:uid="{7C325055-4368-46BE-9D96-4F79A7FB79A3}" name="GP_RANK" dataDxfId="354"/>
    <tableColumn id="30" xr3:uid="{3A85DF44-7250-43EC-97B2-DCFF504D6C2E}" name="W_RANK" dataDxfId="353"/>
    <tableColumn id="31" xr3:uid="{16574CC2-1295-4183-B315-031D565E341D}" name="L_RANK" dataDxfId="352"/>
    <tableColumn id="32" xr3:uid="{33871A23-559A-4951-B425-CE1D99D65181}" name="W_PCT_RANK" dataDxfId="351"/>
    <tableColumn id="33" xr3:uid="{F8483056-3445-40B7-BB0B-EDC75836A7CD}" name="MIN_RANK" dataDxfId="350"/>
    <tableColumn id="34" xr3:uid="{4C924316-0E59-4F43-9DD4-66036926E384}" name="OPP_FGM_RANK" dataDxfId="349"/>
    <tableColumn id="35" xr3:uid="{02C8BB6C-F83B-41B6-9F64-4973010BFF4B}" name="OPP_FGA_RANK" dataDxfId="348"/>
    <tableColumn id="36" xr3:uid="{EECE37D7-EE7D-4CEC-8143-5DB4DC51C320}" name="OPP_FG_PCT_RANK" dataDxfId="347"/>
    <tableColumn id="37" xr3:uid="{F93B34D4-D049-4AA4-830F-6DBEA7D0C250}" name="OPP_FG3M_RANK" dataDxfId="346"/>
    <tableColumn id="38" xr3:uid="{BE8E9429-8D4A-48E5-93B1-70DF3B1AB331}" name="OPP_FG3A_RANK" dataDxfId="345"/>
    <tableColumn id="39" xr3:uid="{EC86503B-7536-4E54-A044-40FE43759F3D}" name="OPP_FG3_PCT_RANK" dataDxfId="344"/>
    <tableColumn id="40" xr3:uid="{0BE05162-5DB0-4991-BB91-58F4B8308C42}" name="OPP_FTM_RANK" dataDxfId="343"/>
    <tableColumn id="41" xr3:uid="{513F526E-3370-487A-8714-F13F9E836981}" name="OPP_FTA_RANK" dataDxfId="342"/>
    <tableColumn id="42" xr3:uid="{0FCD3CE5-637C-44E5-96ED-6A3FB8B55E64}" name="OPP_FT_PCT_RANK" dataDxfId="341"/>
    <tableColumn id="43" xr3:uid="{74D2A798-C849-48B5-A4D5-3D599D704997}" name="OPP_OREB_RANK" dataDxfId="340"/>
    <tableColumn id="44" xr3:uid="{F67FD18D-52D7-40FB-8CDB-0AA39F561B90}" name="OPP_DREB_RANK" dataDxfId="339"/>
    <tableColumn id="45" xr3:uid="{DBAD289D-9299-4FAB-9B92-8F02988DDA93}" name="OPP_REB_RANK" dataDxfId="338"/>
    <tableColumn id="46" xr3:uid="{90C4EF4F-A212-482D-86DD-8821FB796E4A}" name="OPP_AST_RANK" dataDxfId="337"/>
    <tableColumn id="47" xr3:uid="{AB44E455-EAE3-4307-9699-518EE560589E}" name="OPP_TOV_RANK" dataDxfId="336"/>
    <tableColumn id="48" xr3:uid="{24D288AB-A73C-4B15-BC10-EF974C246067}" name="OPP_STL_RANK" dataDxfId="335"/>
    <tableColumn id="49" xr3:uid="{9E658773-C08E-45A5-BEC2-17551BFCEFC4}" name="OPP_BLK_RANK" dataDxfId="334"/>
    <tableColumn id="50" xr3:uid="{008FD466-2F35-479B-A513-2095A0CCFF30}" name="OPP_BLKA_RANK" dataDxfId="333"/>
    <tableColumn id="51" xr3:uid="{78CD48E3-49C0-4E9E-B969-77AF7D648C65}" name="OPP_PF_RANK" dataDxfId="332"/>
    <tableColumn id="52" xr3:uid="{CDF288C0-7588-4EE7-8D30-B8A73F989EA1}" name="OPP_PFD_RANK" dataDxfId="331"/>
    <tableColumn id="53" xr3:uid="{22C263C5-5274-42C4-BDA7-4E58BF22A303}" name="OPP_PTS_RANK" dataDxfId="330"/>
    <tableColumn id="54" xr3:uid="{0E68C294-E956-4484-A058-1AC2C4E6D252}" name="PLUS_MINUS_RANK" dataDxfId="329"/>
    <tableColumn id="55" xr3:uid="{06FE282B-461A-430C-ACD2-2A391451C792}" name="CFID" dataDxfId="328"/>
    <tableColumn id="56" xr3:uid="{2A82D50E-CC07-4024-A2C0-C8119E1C91B6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58513A8-6507-4433-8EFA-14C6E189A81C}" name="TableClutchBaseN1" displayName="TableClutchBaseN1" ref="A1:BD31" totalsRowShown="0" headerRowDxfId="212">
  <autoFilter ref="A1:BD31" xr:uid="{C4284CF1-1B2A-4369-81BE-023A1A7F0A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98DC295-5E82-4328-AA2C-374A243D3A57}" name="TEAM_ID" dataDxfId="268"/>
    <tableColumn id="2" xr3:uid="{1E1D162C-BE90-44E6-A18E-CC61A03E4E94}" name="TEAM_NAME" dataDxfId="267"/>
    <tableColumn id="3" xr3:uid="{12642B89-9E95-4D48-94EB-FFCAA097F7BF}" name="GP" dataDxfId="266"/>
    <tableColumn id="4" xr3:uid="{88BF4CBE-16A6-4960-B5A0-E03C4D2C8959}" name="W" dataDxfId="265"/>
    <tableColumn id="5" xr3:uid="{0BD0A22E-E41F-48BF-9C86-BFBE7D49C745}" name="L" dataDxfId="264"/>
    <tableColumn id="6" xr3:uid="{5CF2AFE6-0779-4FD3-95B9-CFDF1C26F5C8}" name="W_PCT" dataDxfId="263"/>
    <tableColumn id="7" xr3:uid="{DEDCC784-B148-4005-8A57-1DD6F77FDA85}" name="MIN" dataDxfId="262"/>
    <tableColumn id="8" xr3:uid="{7A5461F2-BE33-407A-A692-11A2E7D089CA}" name="FGM" dataDxfId="261"/>
    <tableColumn id="9" xr3:uid="{AF7CDAA1-B2F0-4B0A-955B-D5509DC16473}" name="FGA" dataDxfId="260"/>
    <tableColumn id="10" xr3:uid="{F7B5AEF1-350B-472F-B67D-CC0495FBDE7C}" name="FG_PCT" dataDxfId="259"/>
    <tableColumn id="11" xr3:uid="{F3C75C51-5FBD-4F2C-B5B4-7901903C07F9}" name="FG3M" dataDxfId="258"/>
    <tableColumn id="12" xr3:uid="{C0AE25A4-C029-42FC-AC02-5C989F31B8AC}" name="FG3A" dataDxfId="257"/>
    <tableColumn id="13" xr3:uid="{B3332829-3728-4DA1-ADEE-A30683A74722}" name="FG3_PCT" dataDxfId="256"/>
    <tableColumn id="14" xr3:uid="{EBF681E4-B62A-4315-B50A-0299B002BF56}" name="FTM" dataDxfId="255"/>
    <tableColumn id="15" xr3:uid="{9B66EE12-AEA9-424F-A1AF-1D5D8786D24E}" name="FTA" dataDxfId="254"/>
    <tableColumn id="16" xr3:uid="{92D1314F-4D43-4617-B375-5D7645F012F6}" name="FT_PCT" dataDxfId="253"/>
    <tableColumn id="17" xr3:uid="{B710024F-69DC-4CFD-9F95-FC88BE809A7A}" name="OREB" dataDxfId="252"/>
    <tableColumn id="18" xr3:uid="{A40D231F-019E-4C83-8434-26CC420FF258}" name="DREB" dataDxfId="251"/>
    <tableColumn id="19" xr3:uid="{AFEF4869-3E84-480D-94F4-1DD5AF77F9E9}" name="REB" dataDxfId="250"/>
    <tableColumn id="20" xr3:uid="{AE80BD6B-1395-43E1-B5C9-256D56A4C3E1}" name="AST" dataDxfId="249"/>
    <tableColumn id="21" xr3:uid="{9A290CC0-362A-437F-8A9D-4726D917683D}" name="TOV" dataDxfId="248"/>
    <tableColumn id="22" xr3:uid="{0734F2DE-30AD-4533-A379-5CFD0ABD5654}" name="STL" dataDxfId="247"/>
    <tableColumn id="23" xr3:uid="{6FC31D1E-6071-43D5-A386-36DBC4FBA8C5}" name="BLK" dataDxfId="246"/>
    <tableColumn id="24" xr3:uid="{96E780E6-A0EF-4066-97ED-E8B2DFF8792D}" name="BLKA" dataDxfId="245"/>
    <tableColumn id="25" xr3:uid="{896CE3DF-6B9E-4AAF-9C15-642AFC28D8C1}" name="PF" dataDxfId="244"/>
    <tableColumn id="26" xr3:uid="{7E7A619F-49A9-411B-ACE8-20AAC2C69B9D}" name="PFD" dataDxfId="243"/>
    <tableColumn id="27" xr3:uid="{1AA50942-3F3C-4224-8260-B6F8EBE9AD80}" name="PTS" dataDxfId="242"/>
    <tableColumn id="28" xr3:uid="{9C366C69-E266-4E89-BEBF-40146C55C9DC}" name="PLUS_MINUS" dataDxfId="241"/>
    <tableColumn id="29" xr3:uid="{48B4BD77-B2E5-4729-8005-BD3BEEC85FEC}" name="GP_RANK" dataDxfId="240"/>
    <tableColumn id="30" xr3:uid="{16680722-8F96-41D2-8147-0AA17D470C28}" name="W_RANK" dataDxfId="239"/>
    <tableColumn id="31" xr3:uid="{F9884E51-BC44-450B-8DD7-DE30FFC1B21A}" name="L_RANK" dataDxfId="238"/>
    <tableColumn id="32" xr3:uid="{DE958B97-B084-4A50-AEAD-8B8653DCAEFE}" name="W_PCT_RANK" dataDxfId="237"/>
    <tableColumn id="33" xr3:uid="{E6C655BD-8C2B-4349-8579-78B94BFA96D2}" name="MIN_RANK" dataDxfId="236"/>
    <tableColumn id="34" xr3:uid="{6DC3E0DC-F021-4799-B497-AA0815A616FA}" name="FGM_RANK" dataDxfId="235"/>
    <tableColumn id="35" xr3:uid="{32E2E15A-BFB8-4AAD-8CB7-D4E5BE3A2A25}" name="FGA_RANK" dataDxfId="234"/>
    <tableColumn id="36" xr3:uid="{99AF27DC-56A1-49F8-AA84-ED3B028DF7DB}" name="FG_PCT_RANK" dataDxfId="233"/>
    <tableColumn id="37" xr3:uid="{780201C2-4B9E-4DB2-9D14-7909ECF316C7}" name="FG3M_RANK" dataDxfId="232"/>
    <tableColumn id="38" xr3:uid="{ECA6182D-524B-4CDC-9F07-778CD132F977}" name="FG3A_RANK" dataDxfId="231"/>
    <tableColumn id="39" xr3:uid="{ECAC433D-5FDF-43D8-9263-82C48A0B5D8C}" name="FG3_PCT_RANK" dataDxfId="230"/>
    <tableColumn id="40" xr3:uid="{9EA31C36-0A1F-4EC0-92E2-27EFE267F7EE}" name="FTM_RANK" dataDxfId="229"/>
    <tableColumn id="41" xr3:uid="{35217C85-2AD8-4D27-989F-C047EEB41CE1}" name="FTA_RANK" dataDxfId="228"/>
    <tableColumn id="42" xr3:uid="{B0934916-876C-4CCF-9E0C-6B5726742D92}" name="FT_PCT_RANK" dataDxfId="227"/>
    <tableColumn id="43" xr3:uid="{DF9CBBB3-9E96-4182-B823-ACB79BF7712A}" name="OREB_RANK" dataDxfId="226"/>
    <tableColumn id="44" xr3:uid="{0F4E2923-0DAD-4125-83BB-2B90C202CDCE}" name="DREB_RANK" dataDxfId="225"/>
    <tableColumn id="45" xr3:uid="{0C141910-E07D-42FE-A54D-B1E65E18689B}" name="REB_RANK" dataDxfId="224"/>
    <tableColumn id="46" xr3:uid="{396F1E9B-2078-4758-86A7-D6AFE2E9F774}" name="AST_RANK" dataDxfId="223"/>
    <tableColumn id="47" xr3:uid="{311E36F2-ADCC-4069-A9F0-CB77913A51B7}" name="TOV_RANK" dataDxfId="222"/>
    <tableColumn id="48" xr3:uid="{C44F8A7B-43D1-42FB-8348-01DE8651EE73}" name="STL_RANK" dataDxfId="221"/>
    <tableColumn id="49" xr3:uid="{20DBC656-EE72-4489-A8C3-8F94EF80CE9C}" name="BLK_RANK" dataDxfId="220"/>
    <tableColumn id="50" xr3:uid="{29A9FD2D-3E5D-4741-AF23-61ACEE457ACE}" name="BLKA_RANK" dataDxfId="219"/>
    <tableColumn id="51" xr3:uid="{8342A10F-F704-4F36-BF6E-16F38E58E1AE}" name="PF_RANK" dataDxfId="218"/>
    <tableColumn id="52" xr3:uid="{DEA69113-6AB6-4C79-8735-DA66E4AE8C63}" name="PFD_RANK" dataDxfId="217"/>
    <tableColumn id="53" xr3:uid="{4BC04F6E-DCA4-448F-9205-C87A045A2EF7}" name="PTS_RANK" dataDxfId="216"/>
    <tableColumn id="54" xr3:uid="{D92FADA4-F243-44A2-968A-B7810743B1FF}" name="PLUS_MINUS_RANK" dataDxfId="215"/>
    <tableColumn id="55" xr3:uid="{7B20D3A9-8E40-46F8-86E5-EC6B86CE0BFF}" name="CFID" dataDxfId="214"/>
    <tableColumn id="56" xr3:uid="{7D9D2F1D-7396-4D06-9C6B-B42AD7D324C9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ABDA61B-5309-462B-8D9C-8C35F86B4479}" name="TableClutchOpponentN1" displayName="TableClutchOpponentN1" ref="A1:BD31" totalsRowShown="0" headerRowDxfId="98">
  <autoFilter ref="A1:BD31" xr:uid="{651A2029-DB05-4845-967A-BD584D2A0C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092EF84-8F4E-4EEF-B44E-F071C49B5DD8}" name="TEAM_ID" dataDxfId="154"/>
    <tableColumn id="2" xr3:uid="{BF8CBE93-A560-4D19-9D39-0C72E91AE76C}" name="TEAM_NAME" dataDxfId="153"/>
    <tableColumn id="3" xr3:uid="{1BAEEEDC-8043-46DB-8CB7-31A47A20365F}" name="GP" dataDxfId="152"/>
    <tableColumn id="4" xr3:uid="{7AF08A06-A240-4753-AD93-958A0EBBABE4}" name="W" dataDxfId="151"/>
    <tableColumn id="5" xr3:uid="{74A7AA6C-3D25-4B5E-87AB-70449BF7A613}" name="L" dataDxfId="150"/>
    <tableColumn id="6" xr3:uid="{36D56A0F-C9E8-4CA6-9ED4-F89F91F24370}" name="W_PCT" dataDxfId="149"/>
    <tableColumn id="7" xr3:uid="{57C45686-4067-442E-BD43-6FA5C3C22CA8}" name="MIN" dataDxfId="148"/>
    <tableColumn id="8" xr3:uid="{0BFDF616-D131-41B6-AC34-94F5C6073CDB}" name="OPP_FGM" dataDxfId="147"/>
    <tableColumn id="9" xr3:uid="{860C6AAC-D2F4-4C0B-B4E6-B7F73F9C8F54}" name="OPP_FGA" dataDxfId="146"/>
    <tableColumn id="10" xr3:uid="{F9D820DB-3F6F-4912-8DDD-D220DB9FAC77}" name="OPP_FG_PCT" dataDxfId="145"/>
    <tableColumn id="11" xr3:uid="{F6BC5EA9-6042-4B46-BAD7-4A8D0A39AA0E}" name="OPP_FG3M" dataDxfId="144"/>
    <tableColumn id="12" xr3:uid="{18A817D2-982D-42EC-8E6E-05AF5F9DA2DF}" name="OPP_FG3A" dataDxfId="143"/>
    <tableColumn id="13" xr3:uid="{52AAA80D-4396-4DB3-A6F6-83CE18813494}" name="OPP_FG3_PCT" dataDxfId="142"/>
    <tableColumn id="14" xr3:uid="{23396EF4-4DCE-443B-B8A5-7D1F13294699}" name="OPP_FTM" dataDxfId="141"/>
    <tableColumn id="15" xr3:uid="{4A4DC3EE-0182-4028-8370-0225BC2F032E}" name="OPP_FTA" dataDxfId="140"/>
    <tableColumn id="16" xr3:uid="{1731182C-FBF7-4A06-AD61-1CD9D2A74ED2}" name="OPP_FT_PCT" dataDxfId="139"/>
    <tableColumn id="17" xr3:uid="{5808E0DF-EB1E-4387-A7BA-EF6D80D7468E}" name="OPP_OREB" dataDxfId="138"/>
    <tableColumn id="18" xr3:uid="{8C1EDABC-F7C4-49BE-9552-C0EE35A0310B}" name="OPP_DREB" dataDxfId="137"/>
    <tableColumn id="19" xr3:uid="{9BD3F712-EADB-4FD7-9205-7E70E5329F4A}" name="OPP_REB" dataDxfId="136"/>
    <tableColumn id="20" xr3:uid="{E8686552-F4FA-4AD0-8A3F-C8BFE4EAC231}" name="OPP_AST" dataDxfId="135"/>
    <tableColumn id="21" xr3:uid="{0A2C1F7E-FA8F-4F72-86A0-AB278593C5D3}" name="OPP_TOV" dataDxfId="134"/>
    <tableColumn id="22" xr3:uid="{277CD300-DAB3-417D-A6D3-29579679CE38}" name="OPP_STL" dataDxfId="133"/>
    <tableColumn id="23" xr3:uid="{E359BA71-8CDD-4EF7-A0CE-1A4F5FCE8482}" name="OPP_BLK" dataDxfId="132"/>
    <tableColumn id="24" xr3:uid="{49BF659E-D47B-45EF-B362-DB908CF890F1}" name="OPP_BLKA" dataDxfId="131"/>
    <tableColumn id="25" xr3:uid="{9F5403AA-4FA3-42CF-97C5-5C110B30BC07}" name="OPP_PF" dataDxfId="130"/>
    <tableColumn id="26" xr3:uid="{B22E903B-F7D4-4ED6-A61B-5E3B44772CEC}" name="OPP_PFD" dataDxfId="129"/>
    <tableColumn id="27" xr3:uid="{9C8ACC6B-C597-431E-8798-32B6A6411030}" name="OPP_PTS" dataDxfId="128"/>
    <tableColumn id="28" xr3:uid="{49174437-0CA3-4FEA-A099-77EBB14F1D96}" name="PLUS_MINUS" dataDxfId="127"/>
    <tableColumn id="29" xr3:uid="{49EBEF98-2722-407D-BD47-B1C7CADEC40C}" name="GP_RANK" dataDxfId="126"/>
    <tableColumn id="30" xr3:uid="{F1D9F1E5-2738-4762-BF94-F5035556AEA9}" name="W_RANK" dataDxfId="125"/>
    <tableColumn id="31" xr3:uid="{C43BD32E-D00D-494C-A4EF-E56C215701DE}" name="L_RANK" dataDxfId="124"/>
    <tableColumn id="32" xr3:uid="{F755966A-3268-48A0-A5C3-DD2FB5C2DC22}" name="W_PCT_RANK" dataDxfId="123"/>
    <tableColumn id="33" xr3:uid="{1269D6F3-8D5C-411C-AD74-AB1C2A7B30EA}" name="MIN_RANK" dataDxfId="122"/>
    <tableColumn id="34" xr3:uid="{576EF8DD-CA49-4845-9525-F2D02CBD310E}" name="OPP_FGM_RANK" dataDxfId="121"/>
    <tableColumn id="35" xr3:uid="{E33934EF-142A-4A6F-830D-62F50E69456A}" name="OPP_FGA_RANK" dataDxfId="120"/>
    <tableColumn id="36" xr3:uid="{9D52AEF6-53D9-4C79-B66E-48941CAEA9A7}" name="OPP_FG_PCT_RANK" dataDxfId="119"/>
    <tableColumn id="37" xr3:uid="{AB7015DB-31F3-4E7E-A1E1-8AC7900DC6E5}" name="OPP_FG3M_RANK" dataDxfId="118"/>
    <tableColumn id="38" xr3:uid="{017F6E0A-E329-4A80-A64B-B20F2052B879}" name="OPP_FG3A_RANK" dataDxfId="117"/>
    <tableColumn id="39" xr3:uid="{9A973866-9626-4D05-A47F-04376D911FB4}" name="OPP_FG3_PCT_RANK" dataDxfId="116"/>
    <tableColumn id="40" xr3:uid="{C3A13E4A-5932-4649-ADBB-BF99C920A37D}" name="OPP_FTM_RANK" dataDxfId="115"/>
    <tableColumn id="41" xr3:uid="{210697EE-4B7A-475E-84D8-75EA1FE6358C}" name="OPP_FTA_RANK" dataDxfId="114"/>
    <tableColumn id="42" xr3:uid="{9710C25A-3FB7-40F9-A612-AE2EAEA9218A}" name="OPP_FT_PCT_RANK" dataDxfId="113"/>
    <tableColumn id="43" xr3:uid="{513F6905-A0E5-425E-9FEC-9E8D4A37893E}" name="OPP_OREB_RANK" dataDxfId="112"/>
    <tableColumn id="44" xr3:uid="{559F3F98-AB61-4C53-B372-0C34BCE8E50E}" name="OPP_DREB_RANK" dataDxfId="111"/>
    <tableColumn id="45" xr3:uid="{32C5A3EE-3C71-4BED-B169-9B925687E9A0}" name="OPP_REB_RANK" dataDxfId="110"/>
    <tableColumn id="46" xr3:uid="{460B9C59-5633-4784-988A-ED79A3E64ED3}" name="OPP_AST_RANK" dataDxfId="109"/>
    <tableColumn id="47" xr3:uid="{0AE5C3B5-7424-4064-9844-107DD5CFB0A7}" name="OPP_TOV_RANK" dataDxfId="108"/>
    <tableColumn id="48" xr3:uid="{34C25034-ABF1-450E-95A5-1BC0226373E1}" name="OPP_STL_RANK" dataDxfId="107"/>
    <tableColumn id="49" xr3:uid="{0381F300-5DD0-4220-AED8-94D212CF5C24}" name="OPP_BLK_RANK" dataDxfId="106"/>
    <tableColumn id="50" xr3:uid="{A5E70E25-A4CB-4F3A-A117-2670A13B3D64}" name="OPP_BLKA_RANK" dataDxfId="105"/>
    <tableColumn id="51" xr3:uid="{D876F7FE-0CDE-4176-B00F-00F5877A5F7B}" name="OPP_PF_RANK" dataDxfId="104"/>
    <tableColumn id="52" xr3:uid="{B6CE6EA8-B201-4F08-8925-620713F633F0}" name="OPP_PFD_RANK" dataDxfId="103"/>
    <tableColumn id="53" xr3:uid="{BC888A18-8387-40DD-A9E5-AF287E0295B3}" name="OPP_PTS_RANK" dataDxfId="102"/>
    <tableColumn id="54" xr3:uid="{587B69E7-46EC-4C10-9FA8-63EF2BB8AB46}" name="PLUS_MINUS_RANK" dataDxfId="101"/>
    <tableColumn id="55" xr3:uid="{5D4F09A5-E458-4D20-AE9E-580B48FDFC0F}" name="CFID" dataDxfId="100"/>
    <tableColumn id="56" xr3:uid="{CCDB1077-2C42-4A12-99BA-8B979C80F375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A1E9B34-22AD-4CF5-83ED-CCE0D62C6F8C}" name="TableClutchAdvancedN1" displayName="TableClutchAdvancedN1" ref="A1:AV31" totalsRowShown="0" headerRowDxfId="0">
  <autoFilter ref="A1:AV31" xr:uid="{F255EA3F-A955-422A-AA37-5F6D3E347D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5F5297C-D507-4BC3-BCDB-5A9D5DF0619A}" name="TEAM_ID" dataDxfId="48"/>
    <tableColumn id="2" xr3:uid="{AA4C5A5C-1C58-4E18-8731-47DBD0C0EF79}" name="TEAM_NAME" dataDxfId="47"/>
    <tableColumn id="3" xr3:uid="{66182441-4782-43AD-B6AC-D9B3B164148F}" name="GP" dataDxfId="46"/>
    <tableColumn id="4" xr3:uid="{7AE29F4D-C5B8-45A6-8870-BF69664E2FB6}" name="W" dataDxfId="45"/>
    <tableColumn id="5" xr3:uid="{B9162923-25F6-4D3D-8450-FFE9C125B99F}" name="L" dataDxfId="44"/>
    <tableColumn id="6" xr3:uid="{B7475E77-3873-49B8-B3CD-DBB85CA7818E}" name="W_PCT" dataDxfId="43"/>
    <tableColumn id="7" xr3:uid="{3006C6DC-A273-400A-AB3B-F9F044BA4A4E}" name="MIN" dataDxfId="42"/>
    <tableColumn id="8" xr3:uid="{FB34A8CA-1FBD-47A6-A534-DCED7F4790BB}" name="E_OFF_RATING" dataDxfId="41"/>
    <tableColumn id="9" xr3:uid="{262B323B-F68E-4DBF-999A-A47D72E4C200}" name="OFF_RATING" dataDxfId="40"/>
    <tableColumn id="10" xr3:uid="{FA82775A-52CC-4516-A061-DF1146ADB055}" name="E_DEF_RATING" dataDxfId="39"/>
    <tableColumn id="11" xr3:uid="{C040AB23-E54C-47F5-B3BA-40597CDBD1D0}" name="DEF_RATING" dataDxfId="38"/>
    <tableColumn id="12" xr3:uid="{AEBECAA8-1D3A-4166-AF32-58E512F86A4B}" name="E_NET_RATING" dataDxfId="37"/>
    <tableColumn id="13" xr3:uid="{B5EED25A-0B94-48AD-8103-AD9823BAF8DA}" name="NET_RATING" dataDxfId="36"/>
    <tableColumn id="14" xr3:uid="{9673A261-97F9-4E46-BEF9-18516DBF4CEE}" name="AST_PCT" dataDxfId="35"/>
    <tableColumn id="15" xr3:uid="{592F3466-9411-4A53-9F29-EEC0AC7381CC}" name="AST_TO" dataDxfId="34"/>
    <tableColumn id="16" xr3:uid="{7A214A39-D3E0-4680-B09E-34855DD8EE55}" name="AST_RATIO" dataDxfId="33"/>
    <tableColumn id="17" xr3:uid="{EE2964FD-F7DD-4B89-B619-0E78F4295A35}" name="OREB_PCT" dataDxfId="32"/>
    <tableColumn id="18" xr3:uid="{945C5FED-CB5A-4B27-8031-97F0C392B607}" name="DREB_PCT" dataDxfId="31"/>
    <tableColumn id="19" xr3:uid="{42676BDC-2C59-473C-A5B3-8618ED83A8C4}" name="REB_PCT" dataDxfId="30"/>
    <tableColumn id="20" xr3:uid="{D4824FDD-B52D-43E1-AF9F-A0881FEF2FE2}" name="TM_TOV_PCT" dataDxfId="29"/>
    <tableColumn id="21" xr3:uid="{29D67522-6959-410A-A331-93EF30F8DED7}" name="EFG_PCT" dataDxfId="28"/>
    <tableColumn id="22" xr3:uid="{9ECCD25F-449B-4A9A-A8B7-58DFF1295749}" name="TS_PCT" dataDxfId="27"/>
    <tableColumn id="23" xr3:uid="{8091F3B0-A6FE-4A07-A2EB-A41349DD1FC1}" name="E_PACE" dataDxfId="26"/>
    <tableColumn id="24" xr3:uid="{724C4FA9-432D-436D-B2FB-8BE8A440390C}" name="PACE" dataDxfId="25"/>
    <tableColumn id="25" xr3:uid="{05693EE6-9EC4-4CC3-8D6D-C284BF299514}" name="PACE_PER40" dataDxfId="24"/>
    <tableColumn id="26" xr3:uid="{A94C173C-BD50-4BF7-BE90-336FE0C0CD99}" name="POSS" dataDxfId="23"/>
    <tableColumn id="27" xr3:uid="{4FDEE1E6-D30B-4F7F-8253-220EECA373E0}" name="PIE" dataDxfId="22"/>
    <tableColumn id="28" xr3:uid="{BD58FD26-B144-4B74-8A35-541B5B08386C}" name="GP_RANK" dataDxfId="21"/>
    <tableColumn id="29" xr3:uid="{1AAA5C72-0548-4665-A9C5-3D537B2250DA}" name="W_RANK" dataDxfId="20"/>
    <tableColumn id="30" xr3:uid="{B6862DDE-256F-4F17-B77D-E9FFAE09832F}" name="L_RANK" dataDxfId="19"/>
    <tableColumn id="31" xr3:uid="{29E498F1-6042-450A-9EC2-C88BE96BAA5E}" name="W_PCT_RANK" dataDxfId="18"/>
    <tableColumn id="32" xr3:uid="{50E99CC1-94B5-4991-9781-D90EC0CCB234}" name="MIN_RANK" dataDxfId="17"/>
    <tableColumn id="33" xr3:uid="{8C490DD8-5909-4012-8C9C-A6A9A504A856}" name="OFF_RATING_RANK" dataDxfId="16"/>
    <tableColumn id="34" xr3:uid="{23EBCEE4-248D-4130-8DBB-EF76C9379F29}" name="DEF_RATING_RANK" dataDxfId="15"/>
    <tableColumn id="35" xr3:uid="{B6DAD4B0-DD18-4ECD-BFFF-412BC5EC9609}" name="NET_RATING_RANK" dataDxfId="14"/>
    <tableColumn id="36" xr3:uid="{44CDC3DB-0AD1-468F-AD2F-F44FB82BB596}" name="AST_PCT_RANK" dataDxfId="13"/>
    <tableColumn id="37" xr3:uid="{BBE4C25F-0E2C-4C33-836B-664A8AEA0E89}" name="AST_TO_RANK" dataDxfId="12"/>
    <tableColumn id="38" xr3:uid="{9780F9DA-57C1-4575-802A-5BCB116EE17B}" name="AST_RATIO_RANK" dataDxfId="11"/>
    <tableColumn id="39" xr3:uid="{0601136D-3BA1-4BBB-AA97-594392602E2B}" name="OREB_PCT_RANK" dataDxfId="10"/>
    <tableColumn id="40" xr3:uid="{452AAE2A-FD35-437B-8A5E-61F0C47528EC}" name="DREB_PCT_RANK" dataDxfId="9"/>
    <tableColumn id="41" xr3:uid="{EE3A932B-0A63-4D97-A1BB-0E242966E6BD}" name="REB_PCT_RANK" dataDxfId="8"/>
    <tableColumn id="42" xr3:uid="{DF8D488C-3D51-4AB1-B7EA-0848ABC0C5AB}" name="TM_TOV_PCT_RANK" dataDxfId="7"/>
    <tableColumn id="43" xr3:uid="{6CFD2446-BB12-45DA-A72C-76670DEF1524}" name="EFG_PCT_RANK" dataDxfId="6"/>
    <tableColumn id="44" xr3:uid="{97942FB4-1B5E-4E97-BC26-DB4048636847}" name="TS_PCT_RANK" dataDxfId="5"/>
    <tableColumn id="45" xr3:uid="{C5F02158-1BC7-448C-92F4-9832D0CAFAF0}" name="PACE_RANK" dataDxfId="4"/>
    <tableColumn id="46" xr3:uid="{D0F68785-D911-48BB-9325-E68FE5014BD8}" name="PIE_RANK" dataDxfId="3"/>
    <tableColumn id="47" xr3:uid="{BAA02A4B-0D1E-4BC2-88B1-DD484A495117}" name="CFID" dataDxfId="2"/>
    <tableColumn id="48" xr3:uid="{FC15303F-22C0-48F4-A555-72ADBDF2F2EA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opLeftCell="A55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1403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1408</v>
      </c>
      <c r="D3" s="2">
        <v>13</v>
      </c>
      <c r="F3" s="1" t="s">
        <v>1404</v>
      </c>
      <c r="G3" s="2">
        <v>10</v>
      </c>
    </row>
    <row r="4" spans="1:7" x14ac:dyDescent="0.25">
      <c r="A4" s="23"/>
      <c r="B4" s="5" t="s">
        <v>6</v>
      </c>
      <c r="C4" s="11">
        <v>0.40200000000000002</v>
      </c>
      <c r="F4" s="11">
        <v>0.4</v>
      </c>
    </row>
    <row r="5" spans="1:7" x14ac:dyDescent="0.25">
      <c r="A5" s="23"/>
      <c r="B5" s="5" t="s">
        <v>7</v>
      </c>
      <c r="C5" s="1" t="s">
        <v>1409</v>
      </c>
      <c r="F5" s="1" t="s">
        <v>1405</v>
      </c>
    </row>
    <row r="6" spans="1:7" x14ac:dyDescent="0.25">
      <c r="A6" s="23"/>
      <c r="B6" s="5" t="s">
        <v>2</v>
      </c>
      <c r="C6" s="1" t="s">
        <v>1410</v>
      </c>
      <c r="F6" s="1" t="s">
        <v>1406</v>
      </c>
    </row>
    <row r="7" spans="1:7" x14ac:dyDescent="0.25">
      <c r="A7" s="23"/>
      <c r="B7" s="5" t="s">
        <v>3</v>
      </c>
      <c r="C7" s="1" t="s">
        <v>1411</v>
      </c>
      <c r="F7" s="1" t="s">
        <v>1407</v>
      </c>
    </row>
    <row r="8" spans="1:7" x14ac:dyDescent="0.25">
      <c r="A8" s="23"/>
      <c r="B8" s="5" t="s">
        <v>0</v>
      </c>
      <c r="C8" s="1" t="s">
        <v>1412</v>
      </c>
      <c r="F8" s="1" t="s">
        <v>1404</v>
      </c>
    </row>
    <row r="9" spans="1:7" x14ac:dyDescent="0.25">
      <c r="A9" s="23"/>
      <c r="B9" s="5" t="s">
        <v>1</v>
      </c>
      <c r="C9" s="1" t="s">
        <v>1413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0.47299999999999998</v>
      </c>
      <c r="D11" s="3">
        <v>6</v>
      </c>
      <c r="F11" s="9">
        <v>0.46100000000000002</v>
      </c>
      <c r="G11" s="3">
        <v>11</v>
      </c>
    </row>
    <row r="12" spans="1:7" x14ac:dyDescent="0.25">
      <c r="A12" s="23"/>
      <c r="B12" s="14" t="s">
        <v>36</v>
      </c>
      <c r="C12" s="8">
        <v>43.7</v>
      </c>
      <c r="D12" s="3">
        <v>2</v>
      </c>
      <c r="F12" s="8">
        <v>42.7</v>
      </c>
      <c r="G12" s="3">
        <v>3</v>
      </c>
    </row>
    <row r="13" spans="1:7" x14ac:dyDescent="0.25">
      <c r="A13" s="23"/>
      <c r="B13" s="14" t="s">
        <v>37</v>
      </c>
      <c r="C13" s="8">
        <v>92.2</v>
      </c>
      <c r="D13" s="3">
        <v>3</v>
      </c>
      <c r="F13" s="8">
        <v>92.7</v>
      </c>
      <c r="G13" s="3">
        <v>4</v>
      </c>
    </row>
    <row r="14" spans="1:7" x14ac:dyDescent="0.25">
      <c r="A14" s="23"/>
      <c r="B14" s="14" t="s">
        <v>27</v>
      </c>
      <c r="C14" s="9">
        <v>0.34399999999999997</v>
      </c>
      <c r="D14" s="3">
        <v>24</v>
      </c>
      <c r="F14" s="9">
        <v>0.38500000000000001</v>
      </c>
      <c r="G14" s="3">
        <v>4</v>
      </c>
    </row>
    <row r="15" spans="1:7" x14ac:dyDescent="0.25">
      <c r="A15" s="23"/>
      <c r="B15" s="14" t="s">
        <v>38</v>
      </c>
      <c r="C15" s="8">
        <v>10.3</v>
      </c>
      <c r="D15" s="3">
        <v>22</v>
      </c>
      <c r="F15" s="8">
        <v>15</v>
      </c>
      <c r="G15" s="3">
        <v>2</v>
      </c>
    </row>
    <row r="16" spans="1:7" x14ac:dyDescent="0.25">
      <c r="A16" s="23"/>
      <c r="B16" s="14" t="s">
        <v>39</v>
      </c>
      <c r="C16" s="8">
        <v>29.9</v>
      </c>
      <c r="D16" s="3">
        <v>21</v>
      </c>
      <c r="F16" s="8">
        <v>39</v>
      </c>
      <c r="G16" s="3">
        <v>5</v>
      </c>
    </row>
    <row r="17" spans="1:7" x14ac:dyDescent="0.25">
      <c r="A17" s="23"/>
      <c r="B17" s="14" t="s">
        <v>28</v>
      </c>
      <c r="C17" s="9">
        <v>0.76100000000000001</v>
      </c>
      <c r="D17" s="3">
        <v>18</v>
      </c>
      <c r="F17" s="9">
        <v>0.72199999999999998</v>
      </c>
      <c r="G17" s="3">
        <v>27</v>
      </c>
    </row>
    <row r="18" spans="1:7" x14ac:dyDescent="0.25">
      <c r="A18" s="23"/>
      <c r="B18" s="14" t="s">
        <v>41</v>
      </c>
      <c r="C18" s="8">
        <v>17.8</v>
      </c>
      <c r="D18" s="3">
        <v>13</v>
      </c>
      <c r="F18" s="8">
        <v>15.7</v>
      </c>
      <c r="G18" s="3">
        <v>24</v>
      </c>
    </row>
    <row r="19" spans="1:7" x14ac:dyDescent="0.25">
      <c r="A19" s="23"/>
      <c r="B19" s="14" t="s">
        <v>40</v>
      </c>
      <c r="C19" s="8">
        <v>23.4</v>
      </c>
      <c r="D19" s="3">
        <v>11</v>
      </c>
      <c r="F19" s="8">
        <v>21.8</v>
      </c>
      <c r="G19" s="3">
        <v>23</v>
      </c>
    </row>
    <row r="20" spans="1:7" x14ac:dyDescent="0.25">
      <c r="A20" s="23"/>
      <c r="B20" s="14" t="s">
        <v>29</v>
      </c>
      <c r="C20" s="8">
        <v>27</v>
      </c>
      <c r="D20" s="3">
        <v>3</v>
      </c>
      <c r="F20" s="8">
        <v>26.2</v>
      </c>
      <c r="G20" s="3">
        <v>6</v>
      </c>
    </row>
    <row r="21" spans="1:7" x14ac:dyDescent="0.25">
      <c r="A21" s="23"/>
      <c r="B21" s="14" t="s">
        <v>30</v>
      </c>
      <c r="C21" s="8">
        <v>14.8</v>
      </c>
      <c r="D21" s="3">
        <v>24</v>
      </c>
      <c r="F21" s="8">
        <v>17.100000000000001</v>
      </c>
      <c r="G21" s="3">
        <v>26</v>
      </c>
    </row>
    <row r="22" spans="1:7" x14ac:dyDescent="0.25">
      <c r="A22" s="23"/>
      <c r="B22" s="14" t="s">
        <v>32</v>
      </c>
      <c r="C22" s="8">
        <v>47.3</v>
      </c>
      <c r="D22" s="3">
        <v>5</v>
      </c>
      <c r="F22" s="8">
        <v>45.8</v>
      </c>
      <c r="G22" s="3">
        <v>17</v>
      </c>
    </row>
    <row r="23" spans="1:7" x14ac:dyDescent="0.25">
      <c r="A23" s="23"/>
      <c r="B23" s="14" t="s">
        <v>31</v>
      </c>
      <c r="C23" s="8">
        <v>11.1</v>
      </c>
      <c r="D23" s="3">
        <v>8</v>
      </c>
      <c r="F23" s="8">
        <v>11.5</v>
      </c>
      <c r="G23" s="3">
        <v>4</v>
      </c>
    </row>
    <row r="24" spans="1:7" x14ac:dyDescent="0.25">
      <c r="A24" s="23"/>
      <c r="B24" s="14" t="s">
        <v>33</v>
      </c>
      <c r="C24" s="8">
        <v>36.200000000000003</v>
      </c>
      <c r="D24" s="3">
        <v>6</v>
      </c>
      <c r="F24" s="8">
        <v>34.299999999999997</v>
      </c>
      <c r="G24" s="3">
        <v>20</v>
      </c>
    </row>
    <row r="25" spans="1:7" x14ac:dyDescent="0.25">
      <c r="A25" s="23"/>
      <c r="B25" s="14" t="s">
        <v>34</v>
      </c>
      <c r="C25" s="8">
        <v>7.4</v>
      </c>
      <c r="D25" s="3">
        <v>18</v>
      </c>
      <c r="F25" s="8">
        <v>8.8000000000000007</v>
      </c>
      <c r="G25" s="3">
        <v>6</v>
      </c>
    </row>
    <row r="26" spans="1:7" x14ac:dyDescent="0.25">
      <c r="A26" s="23"/>
      <c r="B26" s="14" t="s">
        <v>35</v>
      </c>
      <c r="C26" s="8">
        <v>5.4</v>
      </c>
      <c r="D26" s="3">
        <v>7</v>
      </c>
      <c r="F26" s="8">
        <v>4.9000000000000004</v>
      </c>
      <c r="G26" s="3">
        <v>20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0.46600000000000003</v>
      </c>
      <c r="D28" s="3">
        <v>21</v>
      </c>
      <c r="F28" s="9">
        <v>0.47</v>
      </c>
      <c r="G28" s="3">
        <v>23</v>
      </c>
    </row>
    <row r="29" spans="1:7" x14ac:dyDescent="0.25">
      <c r="A29" s="23"/>
      <c r="B29" s="18" t="s">
        <v>43</v>
      </c>
      <c r="C29" s="9">
        <v>0.36399999999999999</v>
      </c>
      <c r="D29" s="3">
        <v>25</v>
      </c>
      <c r="F29" s="9">
        <v>0.372</v>
      </c>
      <c r="G29" s="3">
        <v>24</v>
      </c>
    </row>
    <row r="30" spans="1:7" x14ac:dyDescent="0.25">
      <c r="A30" s="23"/>
      <c r="B30" s="18" t="s">
        <v>44</v>
      </c>
      <c r="C30" s="8">
        <v>12.3</v>
      </c>
      <c r="D30" s="3">
        <v>27</v>
      </c>
      <c r="F30" s="8">
        <v>12.8</v>
      </c>
      <c r="G30" s="3">
        <v>28</v>
      </c>
    </row>
    <row r="31" spans="1:7" x14ac:dyDescent="0.25">
      <c r="A31" s="23"/>
      <c r="B31" s="17" t="s">
        <v>45</v>
      </c>
      <c r="C31" s="8">
        <v>33.700000000000003</v>
      </c>
      <c r="D31" s="3">
        <v>26</v>
      </c>
      <c r="F31" s="8">
        <v>34.4</v>
      </c>
      <c r="G31" s="3">
        <v>20</v>
      </c>
    </row>
    <row r="32" spans="1:7" x14ac:dyDescent="0.25">
      <c r="A32" s="23"/>
      <c r="B32" s="17" t="s">
        <v>46</v>
      </c>
      <c r="C32" s="8">
        <v>13.6</v>
      </c>
      <c r="D32" s="3">
        <v>16</v>
      </c>
      <c r="F32" s="8">
        <v>16.899999999999999</v>
      </c>
      <c r="G32" s="3">
        <v>6</v>
      </c>
    </row>
    <row r="33" spans="1:7" x14ac:dyDescent="0.25">
      <c r="A33" s="23"/>
      <c r="B33" s="17" t="s">
        <v>47</v>
      </c>
      <c r="C33" s="8">
        <v>11</v>
      </c>
      <c r="D33" s="3">
        <v>22</v>
      </c>
      <c r="F33" s="8">
        <v>10.3</v>
      </c>
      <c r="G33" s="3">
        <v>16</v>
      </c>
    </row>
    <row r="35" spans="1:7" x14ac:dyDescent="0.25">
      <c r="A35" s="23" t="s">
        <v>60</v>
      </c>
      <c r="B35" s="4" t="s">
        <v>8</v>
      </c>
      <c r="C35" s="8">
        <v>110.7</v>
      </c>
      <c r="D35" s="3">
        <v>12</v>
      </c>
      <c r="F35" s="8">
        <v>109.8</v>
      </c>
      <c r="G35" s="3">
        <v>9</v>
      </c>
    </row>
    <row r="36" spans="1:7" x14ac:dyDescent="0.25">
      <c r="A36" s="23"/>
      <c r="B36" s="4" t="s">
        <v>9</v>
      </c>
      <c r="C36" s="8">
        <v>112</v>
      </c>
      <c r="D36" s="3">
        <v>22</v>
      </c>
      <c r="F36" s="8">
        <v>112.4</v>
      </c>
      <c r="G36" s="3">
        <v>26</v>
      </c>
    </row>
    <row r="37" spans="1:7" x14ac:dyDescent="0.25">
      <c r="A37" s="23"/>
      <c r="B37" s="4" t="s">
        <v>10</v>
      </c>
      <c r="C37" s="8">
        <v>-1.3</v>
      </c>
      <c r="D37" s="3">
        <v>20</v>
      </c>
      <c r="F37" s="8">
        <v>-2.6</v>
      </c>
      <c r="G37" s="3">
        <v>20</v>
      </c>
    </row>
    <row r="38" spans="1:7" x14ac:dyDescent="0.25">
      <c r="A38" s="23"/>
      <c r="B38" s="4" t="s">
        <v>11</v>
      </c>
      <c r="C38" s="13">
        <v>103.89</v>
      </c>
      <c r="D38" s="3">
        <v>2</v>
      </c>
      <c r="F38" s="13">
        <v>105.1</v>
      </c>
      <c r="G38" s="3">
        <v>4</v>
      </c>
    </row>
    <row r="39" spans="1:7" x14ac:dyDescent="0.25">
      <c r="A39" s="23"/>
      <c r="B39" s="4" t="s">
        <v>12</v>
      </c>
      <c r="C39" s="10">
        <v>0.52900000000000003</v>
      </c>
      <c r="D39" s="3">
        <v>11</v>
      </c>
      <c r="F39" s="9">
        <v>0.54200000000000004</v>
      </c>
      <c r="G39" s="3">
        <v>5</v>
      </c>
    </row>
    <row r="40" spans="1:7" x14ac:dyDescent="0.25">
      <c r="A40" s="23"/>
      <c r="B40" s="4" t="s">
        <v>13</v>
      </c>
      <c r="C40" s="10">
        <v>0.61899999999999999</v>
      </c>
      <c r="D40" s="3">
        <v>11</v>
      </c>
      <c r="F40" s="9">
        <v>0.61299999999999999</v>
      </c>
      <c r="G40" s="3">
        <v>12</v>
      </c>
    </row>
    <row r="41" spans="1:7" x14ac:dyDescent="0.25">
      <c r="A41" s="23"/>
      <c r="B41" s="4" t="s">
        <v>14</v>
      </c>
      <c r="C41" s="10">
        <v>0.50900000000000001</v>
      </c>
      <c r="D41" s="3">
        <v>9</v>
      </c>
      <c r="F41" s="9">
        <v>0.49099999999999999</v>
      </c>
      <c r="G41" s="3">
        <v>21</v>
      </c>
    </row>
    <row r="42" spans="1:7" x14ac:dyDescent="0.25">
      <c r="A42" s="23"/>
      <c r="B42" s="4" t="s">
        <v>15</v>
      </c>
      <c r="C42" s="10">
        <v>0.28499999999999998</v>
      </c>
      <c r="D42" s="3">
        <v>7</v>
      </c>
      <c r="F42" s="9">
        <v>0.28199999999999997</v>
      </c>
      <c r="G42" s="3">
        <v>10</v>
      </c>
    </row>
    <row r="43" spans="1:7" x14ac:dyDescent="0.25">
      <c r="A43" s="23"/>
      <c r="B43" s="4" t="s">
        <v>16</v>
      </c>
      <c r="C43" s="10">
        <v>0.72899999999999998</v>
      </c>
      <c r="D43" s="3">
        <v>14</v>
      </c>
      <c r="F43" s="9">
        <v>0.70899999999999996</v>
      </c>
      <c r="G43" s="3">
        <v>25</v>
      </c>
    </row>
    <row r="44" spans="1:7" x14ac:dyDescent="0.25">
      <c r="A44" s="23"/>
      <c r="B44" s="4" t="s">
        <v>17</v>
      </c>
      <c r="C44" s="10">
        <v>0.14199999999999999</v>
      </c>
      <c r="D44" s="3">
        <v>22</v>
      </c>
      <c r="F44" s="9">
        <v>0.16200000000000001</v>
      </c>
      <c r="G44" s="3">
        <v>23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74.599999999999994</v>
      </c>
      <c r="D46" s="3">
        <v>12</v>
      </c>
      <c r="F46" s="8">
        <v>72.599999999999994</v>
      </c>
      <c r="G46" s="3">
        <v>14</v>
      </c>
    </row>
    <row r="47" spans="1:7" x14ac:dyDescent="0.25">
      <c r="A47" s="23"/>
      <c r="B47" s="20" t="s">
        <v>49</v>
      </c>
      <c r="C47" s="8">
        <v>74.400000000000006</v>
      </c>
      <c r="D47" s="3">
        <v>18</v>
      </c>
      <c r="F47" s="8">
        <v>73.599999999999994</v>
      </c>
      <c r="G47" s="3">
        <v>23</v>
      </c>
    </row>
    <row r="48" spans="1:7" x14ac:dyDescent="0.25">
      <c r="A48" s="23"/>
      <c r="B48" s="20" t="s">
        <v>50</v>
      </c>
      <c r="C48" s="8">
        <v>0.2</v>
      </c>
      <c r="D48" s="3">
        <v>15</v>
      </c>
      <c r="F48" s="8">
        <v>-1</v>
      </c>
      <c r="G48" s="3">
        <v>18</v>
      </c>
    </row>
    <row r="49" spans="1:7" x14ac:dyDescent="0.25">
      <c r="A49" s="23"/>
      <c r="B49" s="20" t="s">
        <v>51</v>
      </c>
      <c r="C49" s="8">
        <v>51.9</v>
      </c>
      <c r="D49" s="3">
        <v>24</v>
      </c>
      <c r="F49" s="8">
        <v>56.4</v>
      </c>
      <c r="G49" s="3">
        <v>11</v>
      </c>
    </row>
    <row r="50" spans="1:7" x14ac:dyDescent="0.25">
      <c r="A50" s="23"/>
      <c r="B50" s="20" t="s">
        <v>52</v>
      </c>
      <c r="C50" s="8">
        <v>53.9</v>
      </c>
      <c r="D50" s="3">
        <v>8</v>
      </c>
      <c r="F50" s="8">
        <v>58.8</v>
      </c>
      <c r="G50" s="3">
        <v>23</v>
      </c>
    </row>
    <row r="51" spans="1:7" x14ac:dyDescent="0.25">
      <c r="A51" s="23"/>
      <c r="B51" s="20" t="s">
        <v>53</v>
      </c>
      <c r="C51" s="8">
        <v>-2</v>
      </c>
      <c r="D51" s="3">
        <v>24</v>
      </c>
      <c r="F51" s="8">
        <v>-2.4</v>
      </c>
      <c r="G51" s="3">
        <v>21</v>
      </c>
    </row>
    <row r="53" spans="1:7" x14ac:dyDescent="0.25">
      <c r="A53" s="23" t="s">
        <v>57</v>
      </c>
      <c r="B53" s="6" t="s">
        <v>18</v>
      </c>
      <c r="C53" s="7">
        <v>16.100000000000001</v>
      </c>
      <c r="D53" s="3">
        <v>16</v>
      </c>
      <c r="F53" s="7">
        <v>18.899999999999999</v>
      </c>
      <c r="G53" s="3">
        <v>9</v>
      </c>
    </row>
    <row r="54" spans="1:7" x14ac:dyDescent="0.25">
      <c r="A54" s="23"/>
      <c r="B54" s="6" t="s">
        <v>19</v>
      </c>
      <c r="C54" s="7">
        <v>18</v>
      </c>
      <c r="D54" s="3">
        <v>27</v>
      </c>
      <c r="F54" s="7">
        <v>20.9</v>
      </c>
      <c r="G54" s="3">
        <v>29</v>
      </c>
    </row>
    <row r="55" spans="1:7" x14ac:dyDescent="0.25">
      <c r="A55" s="23"/>
      <c r="B55" s="6" t="s">
        <v>20</v>
      </c>
      <c r="C55" s="7">
        <v>14.4</v>
      </c>
      <c r="D55" s="3">
        <v>5</v>
      </c>
      <c r="F55" s="7">
        <v>13.9</v>
      </c>
      <c r="G55" s="3">
        <v>10</v>
      </c>
    </row>
    <row r="56" spans="1:7" x14ac:dyDescent="0.25">
      <c r="A56" s="23"/>
      <c r="B56" s="6" t="s">
        <v>21</v>
      </c>
      <c r="C56" s="7">
        <v>13.7</v>
      </c>
      <c r="D56" s="3">
        <v>18</v>
      </c>
      <c r="F56" s="7">
        <v>15.3</v>
      </c>
      <c r="G56" s="3">
        <v>28</v>
      </c>
    </row>
    <row r="57" spans="1:7" x14ac:dyDescent="0.25">
      <c r="A57" s="23"/>
      <c r="B57" s="6" t="s">
        <v>22</v>
      </c>
      <c r="C57" s="7">
        <v>14.8</v>
      </c>
      <c r="D57" s="3">
        <v>14.8</v>
      </c>
      <c r="F57" s="7">
        <v>15.5</v>
      </c>
      <c r="G57" s="3">
        <v>15.5</v>
      </c>
    </row>
    <row r="58" spans="1:7" x14ac:dyDescent="0.25">
      <c r="A58" s="23"/>
      <c r="B58" s="6" t="s">
        <v>23</v>
      </c>
      <c r="C58" s="7">
        <v>15.7</v>
      </c>
      <c r="D58" s="3">
        <v>15.7</v>
      </c>
      <c r="F58" s="7">
        <v>18.5</v>
      </c>
      <c r="G58" s="3">
        <v>18.5</v>
      </c>
    </row>
    <row r="59" spans="1:7" x14ac:dyDescent="0.25">
      <c r="A59" s="23"/>
      <c r="B59" s="6" t="s">
        <v>24</v>
      </c>
      <c r="C59" s="7">
        <v>58.2</v>
      </c>
      <c r="D59" s="3">
        <v>1</v>
      </c>
      <c r="F59" s="7">
        <v>48.3</v>
      </c>
      <c r="G59" s="3">
        <v>13</v>
      </c>
    </row>
    <row r="60" spans="1:7" x14ac:dyDescent="0.25">
      <c r="A60" s="23"/>
      <c r="B60" s="6" t="s">
        <v>25</v>
      </c>
      <c r="C60" s="7">
        <v>51.6</v>
      </c>
      <c r="D60" s="3">
        <v>27</v>
      </c>
      <c r="F60" s="7">
        <v>52.5</v>
      </c>
      <c r="G60" s="3">
        <v>29</v>
      </c>
    </row>
    <row r="62" spans="1:7" x14ac:dyDescent="0.25">
      <c r="A62" s="23" t="s">
        <v>58</v>
      </c>
      <c r="B62" s="21" t="s">
        <v>54</v>
      </c>
      <c r="C62" s="22">
        <v>3.2</v>
      </c>
      <c r="D62" s="3">
        <v>28</v>
      </c>
      <c r="F62" s="22">
        <v>3.3</v>
      </c>
      <c r="G62" s="3">
        <v>23</v>
      </c>
    </row>
    <row r="63" spans="1:7" x14ac:dyDescent="0.25">
      <c r="A63" s="23"/>
      <c r="B63" s="21" t="s">
        <v>55</v>
      </c>
      <c r="C63" s="3">
        <v>17</v>
      </c>
      <c r="D63" s="3">
        <v>24</v>
      </c>
      <c r="F63" s="3">
        <v>4</v>
      </c>
      <c r="G63" s="3">
        <v>12</v>
      </c>
    </row>
    <row r="64" spans="1:7" x14ac:dyDescent="0.25">
      <c r="A64" s="23"/>
      <c r="B64" s="21" t="s">
        <v>56</v>
      </c>
      <c r="C64" s="3">
        <v>28</v>
      </c>
      <c r="D64" s="3">
        <v>29</v>
      </c>
      <c r="F64" s="3">
        <v>5</v>
      </c>
      <c r="G64" s="3">
        <v>20</v>
      </c>
    </row>
    <row r="65" spans="1:7" x14ac:dyDescent="0.25">
      <c r="A65" s="23"/>
      <c r="B65" s="21" t="s">
        <v>26</v>
      </c>
      <c r="C65" s="9">
        <v>0.40899999999999997</v>
      </c>
      <c r="D65" s="3">
        <v>21</v>
      </c>
      <c r="F65" s="9">
        <v>0.35799999999999998</v>
      </c>
      <c r="G65" s="3">
        <v>26</v>
      </c>
    </row>
    <row r="66" spans="1:7" x14ac:dyDescent="0.25">
      <c r="A66" s="23"/>
      <c r="B66" s="21" t="s">
        <v>42</v>
      </c>
      <c r="C66" s="9">
        <v>0.44600000000000001</v>
      </c>
      <c r="D66" s="3">
        <v>21</v>
      </c>
      <c r="F66" s="9">
        <v>0.38200000000000001</v>
      </c>
      <c r="G66" s="3">
        <v>8</v>
      </c>
    </row>
    <row r="67" spans="1:7" x14ac:dyDescent="0.25">
      <c r="A67" s="23"/>
      <c r="B67" s="21" t="s">
        <v>8</v>
      </c>
      <c r="C67" s="8">
        <v>100</v>
      </c>
      <c r="D67" s="3">
        <v>25</v>
      </c>
      <c r="F67" s="8">
        <v>90</v>
      </c>
      <c r="G67" s="3">
        <v>26</v>
      </c>
    </row>
    <row r="68" spans="1:7" x14ac:dyDescent="0.25">
      <c r="A68" s="23"/>
      <c r="B68" s="21" t="s">
        <v>9</v>
      </c>
      <c r="C68" s="8">
        <v>108.4</v>
      </c>
      <c r="D68" s="3">
        <v>13</v>
      </c>
      <c r="F68" s="8">
        <v>111.6</v>
      </c>
      <c r="G68" s="3">
        <v>20</v>
      </c>
    </row>
    <row r="69" spans="1:7" x14ac:dyDescent="0.25">
      <c r="A69" s="23"/>
      <c r="B69" s="21" t="s">
        <v>10</v>
      </c>
      <c r="C69" s="8">
        <v>-8.4</v>
      </c>
      <c r="D69" s="3">
        <v>26</v>
      </c>
      <c r="F69" s="8">
        <v>-21.6</v>
      </c>
      <c r="G69" s="3">
        <v>26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1610612740</v>
      </c>
      <c r="B2" s="1" t="s">
        <v>755</v>
      </c>
      <c r="C2" s="1" t="s">
        <v>145</v>
      </c>
      <c r="D2" s="1" t="s">
        <v>1345</v>
      </c>
      <c r="E2" s="1" t="s">
        <v>772</v>
      </c>
      <c r="F2" s="1" t="s">
        <v>760</v>
      </c>
      <c r="G2" s="1" t="s">
        <v>286</v>
      </c>
      <c r="H2" s="1" t="s">
        <v>1341</v>
      </c>
      <c r="I2" s="1" t="s">
        <v>1346</v>
      </c>
      <c r="J2" s="1">
        <v>21</v>
      </c>
      <c r="K2" s="1" t="s">
        <v>758</v>
      </c>
      <c r="L2" s="1" t="s">
        <v>1347</v>
      </c>
      <c r="M2" s="1">
        <v>1629638</v>
      </c>
    </row>
    <row r="3" spans="1:13" x14ac:dyDescent="0.25">
      <c r="A3" s="1">
        <v>1610612740</v>
      </c>
      <c r="B3" s="1" t="s">
        <v>755</v>
      </c>
      <c r="C3" s="1" t="s">
        <v>145</v>
      </c>
      <c r="D3" s="1" t="s">
        <v>1348</v>
      </c>
      <c r="E3" s="1" t="s">
        <v>756</v>
      </c>
      <c r="F3" s="1" t="s">
        <v>768</v>
      </c>
      <c r="G3" s="1" t="s">
        <v>767</v>
      </c>
      <c r="H3" s="1" t="s">
        <v>1349</v>
      </c>
      <c r="I3" s="1" t="s">
        <v>1350</v>
      </c>
      <c r="J3" s="1">
        <v>19</v>
      </c>
      <c r="K3" s="1" t="s">
        <v>758</v>
      </c>
      <c r="L3" s="1" t="s">
        <v>773</v>
      </c>
      <c r="M3" s="1">
        <v>1629627</v>
      </c>
    </row>
    <row r="4" spans="1:13" x14ac:dyDescent="0.25">
      <c r="A4" s="1">
        <v>1610612740</v>
      </c>
      <c r="B4" s="1" t="s">
        <v>755</v>
      </c>
      <c r="C4" s="1" t="s">
        <v>145</v>
      </c>
      <c r="D4" s="1" t="s">
        <v>1351</v>
      </c>
      <c r="E4" s="1" t="s">
        <v>759</v>
      </c>
      <c r="F4" s="1" t="s">
        <v>760</v>
      </c>
      <c r="G4" s="1" t="s">
        <v>767</v>
      </c>
      <c r="H4" s="1" t="s">
        <v>1352</v>
      </c>
      <c r="I4" s="1" t="s">
        <v>1353</v>
      </c>
      <c r="J4" s="1">
        <v>22</v>
      </c>
      <c r="K4" s="1" t="s">
        <v>759</v>
      </c>
      <c r="L4" s="1" t="s">
        <v>1354</v>
      </c>
      <c r="M4" s="1">
        <v>1628366</v>
      </c>
    </row>
    <row r="5" spans="1:13" x14ac:dyDescent="0.25">
      <c r="A5" s="1">
        <v>1610612740</v>
      </c>
      <c r="B5" s="1" t="s">
        <v>755</v>
      </c>
      <c r="C5" s="1" t="s">
        <v>145</v>
      </c>
      <c r="D5" s="1" t="s">
        <v>1355</v>
      </c>
      <c r="E5" s="1" t="s">
        <v>763</v>
      </c>
      <c r="F5" s="1" t="s">
        <v>760</v>
      </c>
      <c r="G5" s="1" t="s">
        <v>286</v>
      </c>
      <c r="H5" s="1" t="s">
        <v>1356</v>
      </c>
      <c r="I5" s="1" t="s">
        <v>1357</v>
      </c>
      <c r="J5" s="1">
        <v>24</v>
      </c>
      <c r="K5" s="1" t="s">
        <v>759</v>
      </c>
      <c r="L5" s="1" t="s">
        <v>1358</v>
      </c>
      <c r="M5" s="1">
        <v>1628404</v>
      </c>
    </row>
    <row r="6" spans="1:13" x14ac:dyDescent="0.25">
      <c r="A6" s="1">
        <v>1610612740</v>
      </c>
      <c r="B6" s="1" t="s">
        <v>755</v>
      </c>
      <c r="C6" s="1" t="s">
        <v>145</v>
      </c>
      <c r="D6" s="1" t="s">
        <v>1359</v>
      </c>
      <c r="E6" s="1" t="s">
        <v>764</v>
      </c>
      <c r="F6" s="1" t="s">
        <v>760</v>
      </c>
      <c r="G6" s="1" t="s">
        <v>256</v>
      </c>
      <c r="H6" s="1" t="s">
        <v>1337</v>
      </c>
      <c r="I6" s="1" t="s">
        <v>1360</v>
      </c>
      <c r="J6" s="1">
        <v>35</v>
      </c>
      <c r="K6" s="1" t="s">
        <v>1361</v>
      </c>
      <c r="L6" s="1" t="s">
        <v>773</v>
      </c>
      <c r="M6" s="1">
        <v>200755</v>
      </c>
    </row>
    <row r="7" spans="1:13" x14ac:dyDescent="0.25">
      <c r="A7" s="1">
        <v>1610612740</v>
      </c>
      <c r="B7" s="1" t="s">
        <v>755</v>
      </c>
      <c r="C7" s="1" t="s">
        <v>145</v>
      </c>
      <c r="D7" s="1" t="s">
        <v>1362</v>
      </c>
      <c r="E7" s="1" t="s">
        <v>766</v>
      </c>
      <c r="F7" s="1" t="s">
        <v>760</v>
      </c>
      <c r="G7" s="1" t="s">
        <v>248</v>
      </c>
      <c r="H7" s="1" t="s">
        <v>1363</v>
      </c>
      <c r="I7" s="1" t="s">
        <v>1364</v>
      </c>
      <c r="J7" s="1">
        <v>26</v>
      </c>
      <c r="K7" s="1" t="s">
        <v>756</v>
      </c>
      <c r="L7" s="1" t="s">
        <v>1344</v>
      </c>
      <c r="M7" s="1">
        <v>1627982</v>
      </c>
    </row>
    <row r="8" spans="1:13" x14ac:dyDescent="0.25">
      <c r="A8" s="1">
        <v>1610612740</v>
      </c>
      <c r="B8" s="1" t="s">
        <v>755</v>
      </c>
      <c r="C8" s="1" t="s">
        <v>145</v>
      </c>
      <c r="D8" s="1" t="s">
        <v>1365</v>
      </c>
      <c r="E8" s="1" t="s">
        <v>765</v>
      </c>
      <c r="F8" s="1" t="s">
        <v>1342</v>
      </c>
      <c r="G8" s="1" t="s">
        <v>410</v>
      </c>
      <c r="H8" s="1" t="s">
        <v>1366</v>
      </c>
      <c r="I8" s="1" t="s">
        <v>1367</v>
      </c>
      <c r="J8" s="1">
        <v>23</v>
      </c>
      <c r="K8" s="1" t="s">
        <v>764</v>
      </c>
      <c r="L8" s="1" t="s">
        <v>773</v>
      </c>
      <c r="M8" s="1">
        <v>1626143</v>
      </c>
    </row>
    <row r="9" spans="1:13" x14ac:dyDescent="0.25">
      <c r="A9" s="1">
        <v>1610612740</v>
      </c>
      <c r="B9" s="1" t="s">
        <v>755</v>
      </c>
      <c r="C9" s="1" t="s">
        <v>145</v>
      </c>
      <c r="D9" s="1" t="s">
        <v>1368</v>
      </c>
      <c r="E9" s="1" t="s">
        <v>1369</v>
      </c>
      <c r="F9" s="1" t="s">
        <v>1342</v>
      </c>
      <c r="G9" s="1" t="s">
        <v>1370</v>
      </c>
      <c r="H9" s="1" t="s">
        <v>770</v>
      </c>
      <c r="I9" s="1" t="s">
        <v>1371</v>
      </c>
      <c r="J9" s="1">
        <v>19</v>
      </c>
      <c r="K9" s="1" t="s">
        <v>758</v>
      </c>
      <c r="L9" s="1" t="s">
        <v>1372</v>
      </c>
      <c r="M9" s="1">
        <v>1629637</v>
      </c>
    </row>
    <row r="10" spans="1:13" x14ac:dyDescent="0.25">
      <c r="A10" s="1">
        <v>1610612740</v>
      </c>
      <c r="B10" s="1" t="s">
        <v>755</v>
      </c>
      <c r="C10" s="1" t="s">
        <v>145</v>
      </c>
      <c r="D10" s="1" t="s">
        <v>1373</v>
      </c>
      <c r="E10" s="1" t="s">
        <v>769</v>
      </c>
      <c r="F10" s="1" t="s">
        <v>760</v>
      </c>
      <c r="G10" s="1" t="s">
        <v>256</v>
      </c>
      <c r="H10" s="1" t="s">
        <v>1341</v>
      </c>
      <c r="I10" s="1" t="s">
        <v>1374</v>
      </c>
      <c r="J10" s="1">
        <v>29</v>
      </c>
      <c r="K10" s="1" t="s">
        <v>1369</v>
      </c>
      <c r="L10" s="1" t="s">
        <v>1354</v>
      </c>
      <c r="M10" s="1">
        <v>201950</v>
      </c>
    </row>
    <row r="11" spans="1:13" x14ac:dyDescent="0.25">
      <c r="A11" s="1">
        <v>1610612740</v>
      </c>
      <c r="B11" s="1" t="s">
        <v>755</v>
      </c>
      <c r="C11" s="1" t="s">
        <v>145</v>
      </c>
      <c r="D11" s="1" t="s">
        <v>1375</v>
      </c>
      <c r="E11" s="1" t="s">
        <v>1376</v>
      </c>
      <c r="F11" s="1" t="s">
        <v>768</v>
      </c>
      <c r="G11" s="1" t="s">
        <v>331</v>
      </c>
      <c r="H11" s="1" t="s">
        <v>1352</v>
      </c>
      <c r="I11" s="1" t="s">
        <v>1377</v>
      </c>
      <c r="J11" s="1">
        <v>22</v>
      </c>
      <c r="K11" s="1" t="s">
        <v>763</v>
      </c>
      <c r="L11" s="1" t="s">
        <v>773</v>
      </c>
      <c r="M11" s="1">
        <v>1627742</v>
      </c>
    </row>
    <row r="12" spans="1:13" x14ac:dyDescent="0.25">
      <c r="A12" s="1">
        <v>1610612740</v>
      </c>
      <c r="B12" s="1" t="s">
        <v>755</v>
      </c>
      <c r="C12" s="1" t="s">
        <v>145</v>
      </c>
      <c r="D12" s="1" t="s">
        <v>1378</v>
      </c>
      <c r="E12" s="1" t="s">
        <v>1379</v>
      </c>
      <c r="F12" s="1" t="s">
        <v>760</v>
      </c>
      <c r="G12" s="1" t="s">
        <v>256</v>
      </c>
      <c r="H12" s="1" t="s">
        <v>1341</v>
      </c>
      <c r="I12" s="1" t="s">
        <v>1380</v>
      </c>
      <c r="J12" s="1">
        <v>21</v>
      </c>
      <c r="K12" s="1" t="s">
        <v>756</v>
      </c>
      <c r="L12" s="1" t="s">
        <v>773</v>
      </c>
      <c r="M12" s="1">
        <v>1628402</v>
      </c>
    </row>
    <row r="13" spans="1:13" x14ac:dyDescent="0.25">
      <c r="A13" s="1">
        <v>1610612740</v>
      </c>
      <c r="B13" s="1" t="s">
        <v>755</v>
      </c>
      <c r="C13" s="1" t="s">
        <v>145</v>
      </c>
      <c r="D13" s="1" t="s">
        <v>1381</v>
      </c>
      <c r="E13" s="1" t="s">
        <v>774</v>
      </c>
      <c r="F13" s="1" t="s">
        <v>768</v>
      </c>
      <c r="G13" s="1" t="s">
        <v>337</v>
      </c>
      <c r="H13" s="1" t="s">
        <v>1340</v>
      </c>
      <c r="I13" s="1" t="s">
        <v>1382</v>
      </c>
      <c r="J13" s="1">
        <v>28</v>
      </c>
      <c r="K13" s="1" t="s">
        <v>758</v>
      </c>
      <c r="L13" s="1" t="s">
        <v>1339</v>
      </c>
      <c r="M13" s="1">
        <v>1629740</v>
      </c>
    </row>
    <row r="14" spans="1:13" x14ac:dyDescent="0.25">
      <c r="A14" s="1">
        <v>1610612740</v>
      </c>
      <c r="B14" s="1" t="s">
        <v>755</v>
      </c>
      <c r="C14" s="1" t="s">
        <v>145</v>
      </c>
      <c r="D14" s="1" t="s">
        <v>1383</v>
      </c>
      <c r="E14" s="1" t="s">
        <v>1384</v>
      </c>
      <c r="F14" s="1" t="s">
        <v>768</v>
      </c>
      <c r="G14" s="1" t="s">
        <v>767</v>
      </c>
      <c r="H14" s="1" t="s">
        <v>771</v>
      </c>
      <c r="I14" s="1" t="s">
        <v>1385</v>
      </c>
      <c r="J14" s="1">
        <v>29</v>
      </c>
      <c r="K14" s="1" t="s">
        <v>766</v>
      </c>
      <c r="L14" s="1" t="s">
        <v>1386</v>
      </c>
      <c r="M14" s="1">
        <v>203121</v>
      </c>
    </row>
    <row r="15" spans="1:13" x14ac:dyDescent="0.25">
      <c r="A15" s="1">
        <v>1610612740</v>
      </c>
      <c r="B15" s="1" t="s">
        <v>755</v>
      </c>
      <c r="C15" s="1" t="s">
        <v>145</v>
      </c>
      <c r="D15" s="1" t="s">
        <v>1387</v>
      </c>
      <c r="E15" s="1" t="s">
        <v>1388</v>
      </c>
      <c r="F15" s="1" t="s">
        <v>768</v>
      </c>
      <c r="G15" s="1" t="s">
        <v>337</v>
      </c>
      <c r="H15" s="1" t="s">
        <v>1389</v>
      </c>
      <c r="I15" s="1" t="s">
        <v>1390</v>
      </c>
      <c r="J15" s="1">
        <v>28</v>
      </c>
      <c r="K15" s="1" t="s">
        <v>762</v>
      </c>
      <c r="L15" s="1" t="s">
        <v>1391</v>
      </c>
      <c r="M15" s="1">
        <v>202324</v>
      </c>
    </row>
    <row r="16" spans="1:13" x14ac:dyDescent="0.25">
      <c r="A16" s="1">
        <v>1610612740</v>
      </c>
      <c r="B16" s="1" t="s">
        <v>755</v>
      </c>
      <c r="C16" s="1" t="s">
        <v>145</v>
      </c>
      <c r="D16" s="1" t="s">
        <v>1392</v>
      </c>
      <c r="E16" s="1" t="s">
        <v>1393</v>
      </c>
      <c r="F16" s="1" t="s">
        <v>757</v>
      </c>
      <c r="G16" s="1" t="s">
        <v>767</v>
      </c>
      <c r="H16" s="1" t="s">
        <v>761</v>
      </c>
      <c r="I16" s="1" t="s">
        <v>1394</v>
      </c>
      <c r="J16" s="1">
        <v>24</v>
      </c>
      <c r="K16" s="1" t="s">
        <v>756</v>
      </c>
      <c r="L16" s="1" t="s">
        <v>1395</v>
      </c>
      <c r="M16" s="1">
        <v>1629026</v>
      </c>
    </row>
    <row r="17" spans="1:13" x14ac:dyDescent="0.25">
      <c r="A17" s="1">
        <v>1610612740</v>
      </c>
      <c r="B17" s="1" t="s">
        <v>755</v>
      </c>
      <c r="C17" s="1" t="s">
        <v>145</v>
      </c>
      <c r="D17" s="1" t="s">
        <v>1396</v>
      </c>
      <c r="E17" s="1" t="s">
        <v>1343</v>
      </c>
      <c r="F17" s="1" t="s">
        <v>768</v>
      </c>
      <c r="G17" s="1" t="s">
        <v>286</v>
      </c>
      <c r="H17" s="1" t="s">
        <v>770</v>
      </c>
      <c r="I17" s="1" t="s">
        <v>1397</v>
      </c>
      <c r="J17" s="1">
        <v>24</v>
      </c>
      <c r="K17" s="1" t="s">
        <v>758</v>
      </c>
      <c r="L17" s="1" t="s">
        <v>1398</v>
      </c>
      <c r="M17" s="1">
        <v>1629597</v>
      </c>
    </row>
    <row r="18" spans="1:13" x14ac:dyDescent="0.25">
      <c r="A18" s="1">
        <v>1610612740</v>
      </c>
      <c r="B18" s="1" t="s">
        <v>755</v>
      </c>
      <c r="C18" s="1" t="s">
        <v>145</v>
      </c>
      <c r="D18" s="1" t="s">
        <v>1399</v>
      </c>
      <c r="E18" s="1" t="s">
        <v>1400</v>
      </c>
      <c r="F18" s="1" t="s">
        <v>760</v>
      </c>
      <c r="G18" s="1" t="s">
        <v>256</v>
      </c>
      <c r="H18" s="1" t="s">
        <v>1401</v>
      </c>
      <c r="I18" s="1" t="s">
        <v>1402</v>
      </c>
      <c r="J18" s="1">
        <v>30</v>
      </c>
      <c r="K18" s="1" t="s">
        <v>765</v>
      </c>
      <c r="L18" s="1" t="s">
        <v>1338</v>
      </c>
      <c r="M18" s="1">
        <v>202734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776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803</v>
      </c>
      <c r="H2" s="1">
        <v>1</v>
      </c>
      <c r="I2" s="1" t="s">
        <v>804</v>
      </c>
      <c r="J2" s="1" t="s">
        <v>181</v>
      </c>
      <c r="K2" s="1" t="s">
        <v>805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806</v>
      </c>
      <c r="R2" s="1" t="s">
        <v>807</v>
      </c>
      <c r="S2" s="1" t="s">
        <v>782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808</v>
      </c>
      <c r="Z2" s="1">
        <v>6</v>
      </c>
      <c r="AA2" s="1" t="s">
        <v>188</v>
      </c>
      <c r="AB2" s="1">
        <v>10</v>
      </c>
      <c r="AC2" s="1" t="s">
        <v>809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810</v>
      </c>
      <c r="AT2" s="1" t="s">
        <v>811</v>
      </c>
      <c r="AU2" s="1" t="s">
        <v>161</v>
      </c>
      <c r="AV2" s="1" t="s">
        <v>812</v>
      </c>
      <c r="AW2" s="1" t="s">
        <v>813</v>
      </c>
      <c r="AX2" s="1" t="s">
        <v>186</v>
      </c>
      <c r="AY2" s="1" t="s">
        <v>814</v>
      </c>
      <c r="AZ2" s="1" t="s">
        <v>815</v>
      </c>
      <c r="BA2" s="1" t="s">
        <v>816</v>
      </c>
      <c r="BB2" s="1" t="s">
        <v>817</v>
      </c>
      <c r="BC2" s="1" t="s">
        <v>818</v>
      </c>
      <c r="BD2" s="1" t="s">
        <v>819</v>
      </c>
      <c r="BE2" s="1">
        <v>118.1</v>
      </c>
      <c r="BF2" s="1">
        <v>109.3</v>
      </c>
      <c r="BG2" s="1">
        <v>8.9</v>
      </c>
      <c r="BH2" s="1" t="s">
        <v>803</v>
      </c>
      <c r="BI2" s="1" t="s">
        <v>820</v>
      </c>
      <c r="BJ2" s="1" t="s">
        <v>821</v>
      </c>
      <c r="BK2" s="1" t="s">
        <v>820</v>
      </c>
      <c r="BL2" s="1" t="s">
        <v>822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823</v>
      </c>
      <c r="BS2" s="1" t="s">
        <v>228</v>
      </c>
      <c r="BT2" s="1"/>
      <c r="BU2" s="1"/>
      <c r="BV2" s="1"/>
      <c r="BW2" s="1"/>
      <c r="BX2" s="1"/>
      <c r="BY2" s="1" t="s">
        <v>775</v>
      </c>
      <c r="BZ2" s="1" t="s">
        <v>291</v>
      </c>
      <c r="CA2" s="1" t="s">
        <v>253</v>
      </c>
      <c r="CB2" s="1" t="s">
        <v>824</v>
      </c>
      <c r="CC2" s="1" t="s">
        <v>825</v>
      </c>
    </row>
    <row r="3" spans="1:81" x14ac:dyDescent="0.25">
      <c r="A3" s="1" t="s">
        <v>145</v>
      </c>
      <c r="B3" s="1" t="s">
        <v>776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777</v>
      </c>
      <c r="H3" s="1">
        <v>1</v>
      </c>
      <c r="I3" s="1" t="s">
        <v>778</v>
      </c>
      <c r="J3" s="1" t="s">
        <v>152</v>
      </c>
      <c r="K3" s="1" t="s">
        <v>779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780</v>
      </c>
      <c r="R3" s="1" t="s">
        <v>781</v>
      </c>
      <c r="S3" s="1" t="s">
        <v>782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783</v>
      </c>
      <c r="Z3" s="1">
        <v>6</v>
      </c>
      <c r="AA3" s="1" t="s">
        <v>188</v>
      </c>
      <c r="AB3" s="1">
        <v>11</v>
      </c>
      <c r="AC3" s="1" t="s">
        <v>784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785</v>
      </c>
      <c r="AT3" s="1" t="s">
        <v>786</v>
      </c>
      <c r="AU3" s="1" t="s">
        <v>232</v>
      </c>
      <c r="AV3" s="1" t="s">
        <v>787</v>
      </c>
      <c r="AW3" s="1" t="s">
        <v>788</v>
      </c>
      <c r="AX3" s="1" t="s">
        <v>185</v>
      </c>
      <c r="AY3" s="1" t="s">
        <v>789</v>
      </c>
      <c r="AZ3" s="1" t="s">
        <v>790</v>
      </c>
      <c r="BA3" s="1" t="s">
        <v>791</v>
      </c>
      <c r="BB3" s="1" t="s">
        <v>792</v>
      </c>
      <c r="BC3" s="1" t="s">
        <v>793</v>
      </c>
      <c r="BD3" s="1" t="s">
        <v>794</v>
      </c>
      <c r="BE3" s="1">
        <v>117.7</v>
      </c>
      <c r="BF3" s="1">
        <v>111.2</v>
      </c>
      <c r="BG3" s="1">
        <v>6.5</v>
      </c>
      <c r="BH3" s="1" t="s">
        <v>795</v>
      </c>
      <c r="BI3" s="1" t="s">
        <v>266</v>
      </c>
      <c r="BJ3" s="1" t="s">
        <v>216</v>
      </c>
      <c r="BK3" s="1" t="s">
        <v>216</v>
      </c>
      <c r="BL3" s="1" t="s">
        <v>777</v>
      </c>
      <c r="BM3" s="1" t="s">
        <v>796</v>
      </c>
      <c r="BN3" s="1" t="s">
        <v>797</v>
      </c>
      <c r="BO3" s="1" t="s">
        <v>798</v>
      </c>
      <c r="BP3" s="1" t="s">
        <v>799</v>
      </c>
      <c r="BQ3" s="1" t="s">
        <v>800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801</v>
      </c>
      <c r="CC3" s="1" t="s">
        <v>802</v>
      </c>
    </row>
    <row r="4" spans="1:81" x14ac:dyDescent="0.25">
      <c r="A4" s="1" t="s">
        <v>145</v>
      </c>
      <c r="B4" s="1" t="s">
        <v>776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826</v>
      </c>
      <c r="H4" s="1">
        <v>2</v>
      </c>
      <c r="I4" s="1" t="s">
        <v>827</v>
      </c>
      <c r="J4" s="1" t="s">
        <v>203</v>
      </c>
      <c r="K4" s="1" t="s">
        <v>828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829</v>
      </c>
      <c r="R4" s="1" t="s">
        <v>830</v>
      </c>
      <c r="S4" s="1" t="s">
        <v>831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832</v>
      </c>
      <c r="Y4" s="1" t="s">
        <v>833</v>
      </c>
      <c r="Z4" s="1">
        <v>10</v>
      </c>
      <c r="AA4" s="1" t="s">
        <v>809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834</v>
      </c>
      <c r="AT4" s="1" t="s">
        <v>835</v>
      </c>
      <c r="AU4" s="1" t="s">
        <v>185</v>
      </c>
      <c r="AV4" s="1" t="s">
        <v>836</v>
      </c>
      <c r="AW4" s="1" t="s">
        <v>837</v>
      </c>
      <c r="AX4" s="1" t="s">
        <v>157</v>
      </c>
      <c r="AY4" s="1" t="s">
        <v>838</v>
      </c>
      <c r="AZ4" s="1" t="s">
        <v>839</v>
      </c>
      <c r="BA4" s="1" t="s">
        <v>840</v>
      </c>
      <c r="BB4" s="1" t="s">
        <v>841</v>
      </c>
      <c r="BC4" s="1" t="s">
        <v>842</v>
      </c>
      <c r="BD4" s="1" t="s">
        <v>843</v>
      </c>
      <c r="BE4" s="1">
        <v>114.4</v>
      </c>
      <c r="BF4" s="1">
        <v>108.4</v>
      </c>
      <c r="BG4" s="1">
        <v>6.1</v>
      </c>
      <c r="BH4" s="1" t="s">
        <v>826</v>
      </c>
      <c r="BI4" s="1" t="s">
        <v>844</v>
      </c>
      <c r="BJ4" s="1" t="s">
        <v>798</v>
      </c>
      <c r="BK4" s="1" t="s">
        <v>845</v>
      </c>
      <c r="BL4" s="1" t="s">
        <v>795</v>
      </c>
      <c r="BM4" s="1" t="s">
        <v>266</v>
      </c>
      <c r="BN4" s="1" t="s">
        <v>846</v>
      </c>
      <c r="BO4" s="1" t="s">
        <v>266</v>
      </c>
      <c r="BP4" s="1" t="s">
        <v>261</v>
      </c>
      <c r="BQ4" s="1" t="s">
        <v>173</v>
      </c>
      <c r="BR4" s="1" t="s">
        <v>847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848</v>
      </c>
      <c r="CC4" s="1" t="s">
        <v>849</v>
      </c>
    </row>
    <row r="5" spans="1:81" x14ac:dyDescent="0.25">
      <c r="A5" s="1" t="s">
        <v>145</v>
      </c>
      <c r="B5" s="1" t="s">
        <v>776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850</v>
      </c>
      <c r="H5" s="1">
        <v>2</v>
      </c>
      <c r="I5" s="1" t="s">
        <v>851</v>
      </c>
      <c r="J5" s="1" t="s">
        <v>219</v>
      </c>
      <c r="K5" s="1" t="s">
        <v>828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852</v>
      </c>
      <c r="R5" s="1" t="s">
        <v>853</v>
      </c>
      <c r="S5" s="1" t="s">
        <v>854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779</v>
      </c>
      <c r="Y5" s="1" t="s">
        <v>855</v>
      </c>
      <c r="Z5" s="1">
        <v>12</v>
      </c>
      <c r="AA5" s="1" t="s">
        <v>856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857</v>
      </c>
      <c r="AT5" s="1" t="s">
        <v>858</v>
      </c>
      <c r="AU5" s="1" t="s">
        <v>185</v>
      </c>
      <c r="AV5" s="1" t="s">
        <v>859</v>
      </c>
      <c r="AW5" s="1" t="s">
        <v>860</v>
      </c>
      <c r="AX5" s="1" t="s">
        <v>155</v>
      </c>
      <c r="AY5" s="1" t="s">
        <v>861</v>
      </c>
      <c r="AZ5" s="1" t="s">
        <v>862</v>
      </c>
      <c r="BA5" s="1" t="s">
        <v>863</v>
      </c>
      <c r="BB5" s="1" t="s">
        <v>864</v>
      </c>
      <c r="BC5" s="1" t="s">
        <v>865</v>
      </c>
      <c r="BD5" s="1" t="s">
        <v>866</v>
      </c>
      <c r="BE5" s="1">
        <v>110.7</v>
      </c>
      <c r="BF5" s="1">
        <v>106.7</v>
      </c>
      <c r="BG5" s="1">
        <v>4</v>
      </c>
      <c r="BH5" s="1" t="s">
        <v>822</v>
      </c>
      <c r="BI5" s="1" t="s">
        <v>296</v>
      </c>
      <c r="BJ5" s="1" t="s">
        <v>266</v>
      </c>
      <c r="BK5" s="1" t="s">
        <v>296</v>
      </c>
      <c r="BL5" s="1" t="s">
        <v>850</v>
      </c>
      <c r="BM5" s="1" t="s">
        <v>844</v>
      </c>
      <c r="BN5" s="1" t="s">
        <v>796</v>
      </c>
      <c r="BO5" s="1" t="s">
        <v>798</v>
      </c>
      <c r="BP5" s="1" t="s">
        <v>844</v>
      </c>
      <c r="BQ5" s="1" t="s">
        <v>800</v>
      </c>
      <c r="BR5" s="1" t="s">
        <v>847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847</v>
      </c>
      <c r="CA5" s="1" t="s">
        <v>867</v>
      </c>
      <c r="CB5" s="1" t="s">
        <v>868</v>
      </c>
      <c r="CC5" s="1" t="s">
        <v>869</v>
      </c>
    </row>
    <row r="6" spans="1:81" x14ac:dyDescent="0.25">
      <c r="A6" s="1" t="s">
        <v>145</v>
      </c>
      <c r="B6" s="1" t="s">
        <v>776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889</v>
      </c>
      <c r="H6" s="1">
        <v>3</v>
      </c>
      <c r="I6" s="1" t="s">
        <v>871</v>
      </c>
      <c r="J6" s="1" t="s">
        <v>219</v>
      </c>
      <c r="K6" s="1" t="s">
        <v>890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891</v>
      </c>
      <c r="R6" s="1" t="s">
        <v>830</v>
      </c>
      <c r="S6" s="1" t="s">
        <v>892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893</v>
      </c>
      <c r="Z6" s="1">
        <v>8</v>
      </c>
      <c r="AA6" s="1" t="s">
        <v>894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894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895</v>
      </c>
      <c r="AT6" s="1" t="s">
        <v>896</v>
      </c>
      <c r="AU6" s="1" t="s">
        <v>260</v>
      </c>
      <c r="AV6" s="1" t="s">
        <v>897</v>
      </c>
      <c r="AW6" s="1" t="s">
        <v>898</v>
      </c>
      <c r="AX6" s="1" t="s">
        <v>161</v>
      </c>
      <c r="AY6" s="1" t="s">
        <v>899</v>
      </c>
      <c r="AZ6" s="1" t="s">
        <v>900</v>
      </c>
      <c r="BA6" s="1" t="s">
        <v>901</v>
      </c>
      <c r="BB6" s="1" t="s">
        <v>902</v>
      </c>
      <c r="BC6" s="1" t="s">
        <v>903</v>
      </c>
      <c r="BD6" s="1" t="s">
        <v>904</v>
      </c>
      <c r="BE6" s="1">
        <v>114.7</v>
      </c>
      <c r="BF6" s="1">
        <v>110.5</v>
      </c>
      <c r="BG6" s="1">
        <v>4.2</v>
      </c>
      <c r="BH6" s="1" t="s">
        <v>905</v>
      </c>
      <c r="BI6" s="1" t="s">
        <v>176</v>
      </c>
      <c r="BJ6" s="1" t="s">
        <v>216</v>
      </c>
      <c r="BK6" s="1" t="s">
        <v>296</v>
      </c>
      <c r="BL6" s="1" t="s">
        <v>889</v>
      </c>
      <c r="BM6" s="1" t="s">
        <v>410</v>
      </c>
      <c r="BN6" s="1" t="s">
        <v>796</v>
      </c>
      <c r="BO6" s="1" t="s">
        <v>885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906</v>
      </c>
      <c r="CC6" s="1" t="s">
        <v>907</v>
      </c>
    </row>
    <row r="7" spans="1:81" x14ac:dyDescent="0.25">
      <c r="A7" s="1" t="s">
        <v>145</v>
      </c>
      <c r="B7" s="1" t="s">
        <v>776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870</v>
      </c>
      <c r="H7" s="1">
        <v>3</v>
      </c>
      <c r="I7" s="1" t="s">
        <v>871</v>
      </c>
      <c r="J7" s="1" t="s">
        <v>203</v>
      </c>
      <c r="K7" s="1" t="s">
        <v>872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873</v>
      </c>
      <c r="R7" s="1" t="s">
        <v>874</v>
      </c>
      <c r="S7" s="1" t="s">
        <v>854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875</v>
      </c>
      <c r="Y7" s="1" t="s">
        <v>876</v>
      </c>
      <c r="Z7" s="1">
        <v>10</v>
      </c>
      <c r="AA7" s="1" t="s">
        <v>809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877</v>
      </c>
      <c r="AT7" s="1" t="s">
        <v>878</v>
      </c>
      <c r="AU7" s="1" t="s">
        <v>208</v>
      </c>
      <c r="AV7" s="1" t="s">
        <v>785</v>
      </c>
      <c r="AW7" s="1" t="s">
        <v>879</v>
      </c>
      <c r="AX7" s="1" t="s">
        <v>186</v>
      </c>
      <c r="AY7" s="1" t="s">
        <v>880</v>
      </c>
      <c r="AZ7" s="1" t="s">
        <v>881</v>
      </c>
      <c r="BA7" s="1" t="s">
        <v>882</v>
      </c>
      <c r="BB7" s="1" t="s">
        <v>865</v>
      </c>
      <c r="BC7" s="1" t="s">
        <v>801</v>
      </c>
      <c r="BD7" s="1" t="s">
        <v>883</v>
      </c>
      <c r="BE7" s="1">
        <v>115.2</v>
      </c>
      <c r="BF7" s="1">
        <v>112.5</v>
      </c>
      <c r="BG7" s="1">
        <v>2.7</v>
      </c>
      <c r="BH7" s="1" t="s">
        <v>870</v>
      </c>
      <c r="BI7" s="1" t="s">
        <v>884</v>
      </c>
      <c r="BJ7" s="1" t="s">
        <v>796</v>
      </c>
      <c r="BK7" s="1" t="s">
        <v>885</v>
      </c>
      <c r="BL7" s="1" t="s">
        <v>822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844</v>
      </c>
      <c r="CA7" s="1" t="s">
        <v>886</v>
      </c>
      <c r="CB7" s="1" t="s">
        <v>887</v>
      </c>
      <c r="CC7" s="1" t="s">
        <v>888</v>
      </c>
    </row>
    <row r="8" spans="1:81" x14ac:dyDescent="0.25">
      <c r="A8" s="1" t="s">
        <v>145</v>
      </c>
      <c r="B8" s="1" t="s">
        <v>776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777</v>
      </c>
      <c r="H8" s="1">
        <v>4</v>
      </c>
      <c r="I8" s="1" t="s">
        <v>871</v>
      </c>
      <c r="J8" s="1" t="s">
        <v>203</v>
      </c>
      <c r="K8" s="1" t="s">
        <v>910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928</v>
      </c>
      <c r="R8" s="1" t="s">
        <v>929</v>
      </c>
      <c r="S8" s="1" t="s">
        <v>892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930</v>
      </c>
      <c r="Z8" s="1">
        <v>10</v>
      </c>
      <c r="AA8" s="1" t="s">
        <v>809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931</v>
      </c>
      <c r="AT8" s="1" t="s">
        <v>932</v>
      </c>
      <c r="AU8" s="1" t="s">
        <v>260</v>
      </c>
      <c r="AV8" s="1" t="s">
        <v>933</v>
      </c>
      <c r="AW8" s="1" t="s">
        <v>860</v>
      </c>
      <c r="AX8" s="1" t="s">
        <v>164</v>
      </c>
      <c r="AY8" s="1" t="s">
        <v>934</v>
      </c>
      <c r="AZ8" s="1" t="s">
        <v>935</v>
      </c>
      <c r="BA8" s="1" t="s">
        <v>936</v>
      </c>
      <c r="BB8" s="1" t="s">
        <v>937</v>
      </c>
      <c r="BC8" s="1" t="s">
        <v>819</v>
      </c>
      <c r="BD8" s="1" t="s">
        <v>938</v>
      </c>
      <c r="BE8" s="1">
        <v>112.4</v>
      </c>
      <c r="BF8" s="1">
        <v>108</v>
      </c>
      <c r="BG8" s="1">
        <v>4.4000000000000004</v>
      </c>
      <c r="BH8" s="1" t="s">
        <v>777</v>
      </c>
      <c r="BI8" s="1" t="s">
        <v>823</v>
      </c>
      <c r="BJ8" s="1" t="s">
        <v>820</v>
      </c>
      <c r="BK8" s="1" t="s">
        <v>796</v>
      </c>
      <c r="BL8" s="1" t="s">
        <v>939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940</v>
      </c>
      <c r="CA8" s="1" t="s">
        <v>270</v>
      </c>
      <c r="CB8" s="1" t="s">
        <v>887</v>
      </c>
      <c r="CC8" s="1" t="s">
        <v>941</v>
      </c>
    </row>
    <row r="9" spans="1:81" x14ac:dyDescent="0.25">
      <c r="A9" s="1" t="s">
        <v>145</v>
      </c>
      <c r="B9" s="1" t="s">
        <v>776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908</v>
      </c>
      <c r="H9" s="1">
        <v>4</v>
      </c>
      <c r="I9" s="1" t="s">
        <v>909</v>
      </c>
      <c r="J9" s="1" t="s">
        <v>231</v>
      </c>
      <c r="K9" s="1" t="s">
        <v>910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891</v>
      </c>
      <c r="R9" s="1" t="s">
        <v>874</v>
      </c>
      <c r="S9" s="1" t="s">
        <v>911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912</v>
      </c>
      <c r="Y9" s="1" t="s">
        <v>913</v>
      </c>
      <c r="Z9" s="1">
        <v>10</v>
      </c>
      <c r="AA9" s="1" t="s">
        <v>809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914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915</v>
      </c>
      <c r="AT9" s="1" t="s">
        <v>916</v>
      </c>
      <c r="AU9" s="1" t="s">
        <v>157</v>
      </c>
      <c r="AV9" s="1" t="s">
        <v>917</v>
      </c>
      <c r="AW9" s="1" t="s">
        <v>918</v>
      </c>
      <c r="AX9" s="1" t="s">
        <v>190</v>
      </c>
      <c r="AY9" s="1" t="s">
        <v>861</v>
      </c>
      <c r="AZ9" s="1" t="s">
        <v>919</v>
      </c>
      <c r="BA9" s="1" t="s">
        <v>840</v>
      </c>
      <c r="BB9" s="1" t="s">
        <v>920</v>
      </c>
      <c r="BC9" s="1" t="s">
        <v>921</v>
      </c>
      <c r="BD9" s="1" t="s">
        <v>922</v>
      </c>
      <c r="BE9" s="1">
        <v>113.9</v>
      </c>
      <c r="BF9" s="1">
        <v>109.1</v>
      </c>
      <c r="BG9" s="1">
        <v>4.8</v>
      </c>
      <c r="BH9" s="1" t="s">
        <v>923</v>
      </c>
      <c r="BI9" s="1" t="s">
        <v>216</v>
      </c>
      <c r="BJ9" s="1" t="s">
        <v>266</v>
      </c>
      <c r="BK9" s="1" t="s">
        <v>296</v>
      </c>
      <c r="BL9" s="1" t="s">
        <v>908</v>
      </c>
      <c r="BM9" s="1" t="s">
        <v>924</v>
      </c>
      <c r="BN9" s="1" t="s">
        <v>845</v>
      </c>
      <c r="BO9" s="1" t="s">
        <v>823</v>
      </c>
      <c r="BP9" s="1" t="s">
        <v>291</v>
      </c>
      <c r="BQ9" s="1" t="s">
        <v>867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925</v>
      </c>
      <c r="BZ9" s="1" t="s">
        <v>847</v>
      </c>
      <c r="CA9" s="1" t="s">
        <v>233</v>
      </c>
      <c r="CB9" s="1" t="s">
        <v>926</v>
      </c>
      <c r="CC9" s="1" t="s">
        <v>927</v>
      </c>
    </row>
    <row r="10" spans="1:81" x14ac:dyDescent="0.25">
      <c r="A10" s="1" t="s">
        <v>145</v>
      </c>
      <c r="B10" s="1" t="s">
        <v>776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964</v>
      </c>
      <c r="H10" s="1">
        <v>5</v>
      </c>
      <c r="I10" s="1" t="s">
        <v>871</v>
      </c>
      <c r="J10" s="1" t="s">
        <v>219</v>
      </c>
      <c r="K10" s="1" t="s">
        <v>872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965</v>
      </c>
      <c r="R10" s="1" t="s">
        <v>913</v>
      </c>
      <c r="S10" s="1" t="s">
        <v>892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966</v>
      </c>
      <c r="Z10" s="1">
        <v>8</v>
      </c>
      <c r="AA10" s="1" t="s">
        <v>894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894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967</v>
      </c>
      <c r="AT10" s="1" t="s">
        <v>968</v>
      </c>
      <c r="AU10" s="1" t="s">
        <v>185</v>
      </c>
      <c r="AV10" s="1" t="s">
        <v>969</v>
      </c>
      <c r="AW10" s="1" t="s">
        <v>970</v>
      </c>
      <c r="AX10" s="1" t="s">
        <v>157</v>
      </c>
      <c r="AY10" s="1" t="s">
        <v>971</v>
      </c>
      <c r="AZ10" s="1" t="s">
        <v>972</v>
      </c>
      <c r="BA10" s="1" t="s">
        <v>973</v>
      </c>
      <c r="BB10" s="1" t="s">
        <v>974</v>
      </c>
      <c r="BC10" s="1" t="s">
        <v>931</v>
      </c>
      <c r="BD10" s="1" t="s">
        <v>975</v>
      </c>
      <c r="BE10" s="1">
        <v>111.7</v>
      </c>
      <c r="BF10" s="1">
        <v>106.5</v>
      </c>
      <c r="BG10" s="1">
        <v>5.3</v>
      </c>
      <c r="BH10" s="1" t="s">
        <v>822</v>
      </c>
      <c r="BI10" s="1" t="s">
        <v>266</v>
      </c>
      <c r="BJ10" s="1" t="s">
        <v>296</v>
      </c>
      <c r="BK10" s="1" t="s">
        <v>296</v>
      </c>
      <c r="BL10" s="1" t="s">
        <v>964</v>
      </c>
      <c r="BM10" s="1" t="s">
        <v>884</v>
      </c>
      <c r="BN10" s="1" t="s">
        <v>796</v>
      </c>
      <c r="BO10" s="1" t="s">
        <v>798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976</v>
      </c>
      <c r="CA10" s="1" t="s">
        <v>326</v>
      </c>
      <c r="CB10" s="1" t="s">
        <v>977</v>
      </c>
      <c r="CC10" s="1" t="s">
        <v>978</v>
      </c>
    </row>
    <row r="11" spans="1:81" x14ac:dyDescent="0.25">
      <c r="A11" s="1" t="s">
        <v>145</v>
      </c>
      <c r="B11" s="1" t="s">
        <v>776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942</v>
      </c>
      <c r="H11" s="1">
        <v>5</v>
      </c>
      <c r="I11" s="1" t="s">
        <v>871</v>
      </c>
      <c r="J11" s="1" t="s">
        <v>181</v>
      </c>
      <c r="K11" s="1" t="s">
        <v>943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944</v>
      </c>
      <c r="R11" s="1" t="s">
        <v>913</v>
      </c>
      <c r="S11" s="1" t="s">
        <v>945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946</v>
      </c>
      <c r="Z11" s="1">
        <v>5</v>
      </c>
      <c r="AA11" s="1" t="s">
        <v>160</v>
      </c>
      <c r="AB11" s="1">
        <v>-10</v>
      </c>
      <c r="AC11" s="1" t="s">
        <v>947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948</v>
      </c>
      <c r="AT11" s="1" t="s">
        <v>949</v>
      </c>
      <c r="AU11" s="1" t="s">
        <v>190</v>
      </c>
      <c r="AV11" s="1" t="s">
        <v>950</v>
      </c>
      <c r="AW11" s="1" t="s">
        <v>951</v>
      </c>
      <c r="AX11" s="1" t="s">
        <v>157</v>
      </c>
      <c r="AY11" s="1" t="s">
        <v>952</v>
      </c>
      <c r="AZ11" s="1" t="s">
        <v>953</v>
      </c>
      <c r="BA11" s="1" t="s">
        <v>954</v>
      </c>
      <c r="BB11" s="1" t="s">
        <v>955</v>
      </c>
      <c r="BC11" s="1" t="s">
        <v>956</v>
      </c>
      <c r="BD11" s="1" t="s">
        <v>957</v>
      </c>
      <c r="BE11" s="1">
        <v>108</v>
      </c>
      <c r="BF11" s="1">
        <v>104.7</v>
      </c>
      <c r="BG11" s="1">
        <v>3.3</v>
      </c>
      <c r="BH11" s="1" t="s">
        <v>942</v>
      </c>
      <c r="BI11" s="1" t="s">
        <v>958</v>
      </c>
      <c r="BJ11" s="1" t="s">
        <v>959</v>
      </c>
      <c r="BK11" s="1" t="s">
        <v>820</v>
      </c>
      <c r="BL11" s="1" t="s">
        <v>960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961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962</v>
      </c>
      <c r="CC11" s="1" t="s">
        <v>963</v>
      </c>
    </row>
    <row r="12" spans="1:81" x14ac:dyDescent="0.25">
      <c r="A12" s="1" t="s">
        <v>145</v>
      </c>
      <c r="B12" s="1" t="s">
        <v>776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979</v>
      </c>
      <c r="H12" s="1">
        <v>6</v>
      </c>
      <c r="I12" s="1" t="s">
        <v>871</v>
      </c>
      <c r="J12" s="1" t="s">
        <v>219</v>
      </c>
      <c r="K12" s="1" t="s">
        <v>980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928</v>
      </c>
      <c r="R12" s="1" t="s">
        <v>782</v>
      </c>
      <c r="S12" s="1" t="s">
        <v>911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981</v>
      </c>
      <c r="Y12" s="1" t="s">
        <v>982</v>
      </c>
      <c r="Z12" s="1">
        <v>7</v>
      </c>
      <c r="AA12" s="1" t="s">
        <v>914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983</v>
      </c>
      <c r="AT12" s="1" t="s">
        <v>984</v>
      </c>
      <c r="AU12" s="1" t="s">
        <v>186</v>
      </c>
      <c r="AV12" s="1" t="s">
        <v>985</v>
      </c>
      <c r="AW12" s="1" t="s">
        <v>986</v>
      </c>
      <c r="AX12" s="1" t="s">
        <v>157</v>
      </c>
      <c r="AY12" s="1" t="s">
        <v>987</v>
      </c>
      <c r="AZ12" s="1" t="s">
        <v>988</v>
      </c>
      <c r="BA12" s="1" t="s">
        <v>989</v>
      </c>
      <c r="BB12" s="1" t="s">
        <v>990</v>
      </c>
      <c r="BC12" s="1" t="s">
        <v>913</v>
      </c>
      <c r="BD12" s="1" t="s">
        <v>991</v>
      </c>
      <c r="BE12" s="1">
        <v>114.5</v>
      </c>
      <c r="BF12" s="1">
        <v>111.1</v>
      </c>
      <c r="BG12" s="1">
        <v>3.4</v>
      </c>
      <c r="BH12" s="1" t="s">
        <v>923</v>
      </c>
      <c r="BI12" s="1" t="s">
        <v>266</v>
      </c>
      <c r="BJ12" s="1" t="s">
        <v>216</v>
      </c>
      <c r="BK12" s="1" t="s">
        <v>296</v>
      </c>
      <c r="BL12" s="1" t="s">
        <v>979</v>
      </c>
      <c r="BM12" s="1" t="s">
        <v>992</v>
      </c>
      <c r="BN12" s="1" t="s">
        <v>798</v>
      </c>
      <c r="BO12" s="1" t="s">
        <v>958</v>
      </c>
      <c r="BP12" s="1" t="s">
        <v>270</v>
      </c>
      <c r="BQ12" s="1" t="s">
        <v>286</v>
      </c>
      <c r="BR12" s="1" t="s">
        <v>410</v>
      </c>
      <c r="BS12" s="1" t="s">
        <v>993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847</v>
      </c>
      <c r="CB12" s="1" t="s">
        <v>994</v>
      </c>
      <c r="CC12" s="1" t="s">
        <v>995</v>
      </c>
    </row>
    <row r="13" spans="1:81" x14ac:dyDescent="0.25">
      <c r="A13" s="1" t="s">
        <v>145</v>
      </c>
      <c r="B13" s="1" t="s">
        <v>776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889</v>
      </c>
      <c r="H13" s="1">
        <v>6</v>
      </c>
      <c r="I13" s="1" t="s">
        <v>871</v>
      </c>
      <c r="J13" s="1" t="s">
        <v>203</v>
      </c>
      <c r="K13" s="1" t="s">
        <v>872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996</v>
      </c>
      <c r="R13" s="1" t="s">
        <v>997</v>
      </c>
      <c r="S13" s="1" t="s">
        <v>945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998</v>
      </c>
      <c r="Y13" s="1" t="s">
        <v>999</v>
      </c>
      <c r="Z13" s="1">
        <v>9</v>
      </c>
      <c r="AA13" s="1" t="s">
        <v>1000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893</v>
      </c>
      <c r="AT13" s="1" t="s">
        <v>1001</v>
      </c>
      <c r="AU13" s="1" t="s">
        <v>273</v>
      </c>
      <c r="AV13" s="1" t="s">
        <v>1002</v>
      </c>
      <c r="AW13" s="1" t="s">
        <v>1003</v>
      </c>
      <c r="AX13" s="1" t="s">
        <v>224</v>
      </c>
      <c r="AY13" s="1" t="s">
        <v>1004</v>
      </c>
      <c r="AZ13" s="1" t="s">
        <v>1005</v>
      </c>
      <c r="BA13" s="1" t="s">
        <v>1006</v>
      </c>
      <c r="BB13" s="1" t="s">
        <v>1007</v>
      </c>
      <c r="BC13" s="1" t="s">
        <v>866</v>
      </c>
      <c r="BD13" s="1" t="s">
        <v>1008</v>
      </c>
      <c r="BE13" s="1">
        <v>112.2</v>
      </c>
      <c r="BF13" s="1">
        <v>112.3</v>
      </c>
      <c r="BG13" s="1">
        <v>-0.1</v>
      </c>
      <c r="BH13" s="1" t="s">
        <v>889</v>
      </c>
      <c r="BI13" s="1" t="s">
        <v>884</v>
      </c>
      <c r="BJ13" s="1" t="s">
        <v>798</v>
      </c>
      <c r="BK13" s="1" t="s">
        <v>885</v>
      </c>
      <c r="BL13" s="1" t="s">
        <v>1009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847</v>
      </c>
      <c r="CB13" s="1" t="s">
        <v>1010</v>
      </c>
      <c r="CC13" s="1" t="s">
        <v>1011</v>
      </c>
    </row>
    <row r="14" spans="1:81" x14ac:dyDescent="0.25">
      <c r="A14" s="1" t="s">
        <v>145</v>
      </c>
      <c r="B14" s="1" t="s">
        <v>776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964</v>
      </c>
      <c r="H14" s="1">
        <v>7</v>
      </c>
      <c r="I14" s="1" t="s">
        <v>871</v>
      </c>
      <c r="J14" s="1" t="s">
        <v>231</v>
      </c>
      <c r="K14" s="1" t="s">
        <v>910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944</v>
      </c>
      <c r="R14" s="1" t="s">
        <v>830</v>
      </c>
      <c r="S14" s="1" t="s">
        <v>1025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1026</v>
      </c>
      <c r="Y14" s="1" t="s">
        <v>1013</v>
      </c>
      <c r="Z14" s="1">
        <v>11</v>
      </c>
      <c r="AA14" s="1" t="s">
        <v>784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1027</v>
      </c>
      <c r="AT14" s="1" t="s">
        <v>1028</v>
      </c>
      <c r="AU14" s="1" t="s">
        <v>163</v>
      </c>
      <c r="AV14" s="1" t="s">
        <v>1029</v>
      </c>
      <c r="AW14" s="1" t="s">
        <v>1028</v>
      </c>
      <c r="AX14" s="1" t="s">
        <v>164</v>
      </c>
      <c r="AY14" s="1" t="s">
        <v>1030</v>
      </c>
      <c r="AZ14" s="1" t="s">
        <v>1031</v>
      </c>
      <c r="BA14" s="1" t="s">
        <v>1015</v>
      </c>
      <c r="BB14" s="1" t="s">
        <v>785</v>
      </c>
      <c r="BC14" s="1" t="s">
        <v>1032</v>
      </c>
      <c r="BD14" s="1" t="s">
        <v>1033</v>
      </c>
      <c r="BE14" s="1">
        <v>111.7</v>
      </c>
      <c r="BF14" s="1">
        <v>110</v>
      </c>
      <c r="BG14" s="1">
        <v>1.7</v>
      </c>
      <c r="BH14" s="1" t="s">
        <v>1034</v>
      </c>
      <c r="BI14" s="1" t="s">
        <v>266</v>
      </c>
      <c r="BJ14" s="1" t="s">
        <v>296</v>
      </c>
      <c r="BK14" s="1" t="s">
        <v>276</v>
      </c>
      <c r="BL14" s="1" t="s">
        <v>964</v>
      </c>
      <c r="BM14" s="1" t="s">
        <v>798</v>
      </c>
      <c r="BN14" s="1" t="s">
        <v>798</v>
      </c>
      <c r="BO14" s="1" t="s">
        <v>823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959</v>
      </c>
      <c r="CB14" s="1" t="s">
        <v>1035</v>
      </c>
      <c r="CC14" s="1" t="s">
        <v>849</v>
      </c>
    </row>
    <row r="15" spans="1:81" x14ac:dyDescent="0.25">
      <c r="A15" s="1" t="s">
        <v>145</v>
      </c>
      <c r="B15" s="1" t="s">
        <v>776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964</v>
      </c>
      <c r="H15" s="1">
        <v>7</v>
      </c>
      <c r="I15" s="1" t="s">
        <v>1012</v>
      </c>
      <c r="J15" s="1" t="s">
        <v>244</v>
      </c>
      <c r="K15" s="1" t="s">
        <v>910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996</v>
      </c>
      <c r="R15" s="1" t="s">
        <v>1013</v>
      </c>
      <c r="S15" s="1" t="s">
        <v>1014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1015</v>
      </c>
      <c r="Z15" s="1">
        <v>9</v>
      </c>
      <c r="AA15" s="1" t="s">
        <v>1000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1000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781</v>
      </c>
      <c r="AT15" s="1" t="s">
        <v>1016</v>
      </c>
      <c r="AU15" s="1" t="s">
        <v>164</v>
      </c>
      <c r="AV15" s="1" t="s">
        <v>1017</v>
      </c>
      <c r="AW15" s="1" t="s">
        <v>1018</v>
      </c>
      <c r="AX15" s="1" t="s">
        <v>185</v>
      </c>
      <c r="AY15" s="1" t="s">
        <v>1019</v>
      </c>
      <c r="AZ15" s="1" t="s">
        <v>1020</v>
      </c>
      <c r="BA15" s="1" t="s">
        <v>1021</v>
      </c>
      <c r="BB15" s="1" t="s">
        <v>1017</v>
      </c>
      <c r="BC15" s="1" t="s">
        <v>929</v>
      </c>
      <c r="BD15" s="1" t="s">
        <v>930</v>
      </c>
      <c r="BE15" s="1">
        <v>107.3</v>
      </c>
      <c r="BF15" s="1">
        <v>106.6</v>
      </c>
      <c r="BG15" s="1">
        <v>0.7</v>
      </c>
      <c r="BH15" s="1" t="s">
        <v>964</v>
      </c>
      <c r="BI15" s="1" t="s">
        <v>885</v>
      </c>
      <c r="BJ15" s="1" t="s">
        <v>958</v>
      </c>
      <c r="BK15" s="1" t="s">
        <v>823</v>
      </c>
      <c r="BL15" s="1" t="s">
        <v>1022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992</v>
      </c>
      <c r="CA15" s="1" t="s">
        <v>1023</v>
      </c>
      <c r="CB15" s="1" t="s">
        <v>1024</v>
      </c>
      <c r="CC15" s="1" t="s">
        <v>849</v>
      </c>
    </row>
    <row r="16" spans="1:81" x14ac:dyDescent="0.25">
      <c r="A16" s="1" t="s">
        <v>145</v>
      </c>
      <c r="B16" s="1" t="s">
        <v>776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979</v>
      </c>
      <c r="H16" s="1">
        <v>8</v>
      </c>
      <c r="I16" s="1" t="s">
        <v>871</v>
      </c>
      <c r="J16" s="1" t="s">
        <v>152</v>
      </c>
      <c r="K16" s="1" t="s">
        <v>943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944</v>
      </c>
      <c r="R16" s="1" t="s">
        <v>831</v>
      </c>
      <c r="S16" s="1" t="s">
        <v>911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997</v>
      </c>
      <c r="Z16" s="1">
        <v>9</v>
      </c>
      <c r="AA16" s="1" t="s">
        <v>1000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1017</v>
      </c>
      <c r="AT16" s="1" t="s">
        <v>1051</v>
      </c>
      <c r="AU16" s="1" t="s">
        <v>260</v>
      </c>
      <c r="AV16" s="1" t="s">
        <v>1052</v>
      </c>
      <c r="AW16" s="1" t="s">
        <v>1053</v>
      </c>
      <c r="AX16" s="1" t="s">
        <v>190</v>
      </c>
      <c r="AY16" s="1" t="s">
        <v>1054</v>
      </c>
      <c r="AZ16" s="1" t="s">
        <v>1055</v>
      </c>
      <c r="BA16" s="1" t="s">
        <v>1056</v>
      </c>
      <c r="BB16" s="1" t="s">
        <v>1057</v>
      </c>
      <c r="BC16" s="1" t="s">
        <v>1058</v>
      </c>
      <c r="BD16" s="1" t="s">
        <v>1059</v>
      </c>
      <c r="BE16" s="1">
        <v>115.1</v>
      </c>
      <c r="BF16" s="1">
        <v>114.3</v>
      </c>
      <c r="BG16" s="1">
        <v>0.9</v>
      </c>
      <c r="BH16" s="1" t="s">
        <v>822</v>
      </c>
      <c r="BI16" s="1" t="s">
        <v>266</v>
      </c>
      <c r="BJ16" s="1" t="s">
        <v>296</v>
      </c>
      <c r="BK16" s="1" t="s">
        <v>296</v>
      </c>
      <c r="BL16" s="1" t="s">
        <v>979</v>
      </c>
      <c r="BM16" s="1" t="s">
        <v>1060</v>
      </c>
      <c r="BN16" s="1" t="s">
        <v>959</v>
      </c>
      <c r="BO16" s="1" t="s">
        <v>798</v>
      </c>
      <c r="BP16" s="1" t="s">
        <v>976</v>
      </c>
      <c r="BQ16" s="1" t="s">
        <v>286</v>
      </c>
      <c r="BR16" s="1" t="s">
        <v>1061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1062</v>
      </c>
      <c r="CC16" s="1" t="s">
        <v>1063</v>
      </c>
    </row>
    <row r="17" spans="1:81" x14ac:dyDescent="0.25">
      <c r="A17" s="1" t="s">
        <v>145</v>
      </c>
      <c r="B17" s="1" t="s">
        <v>776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1036</v>
      </c>
      <c r="H17" s="1">
        <v>8</v>
      </c>
      <c r="I17" s="1" t="s">
        <v>871</v>
      </c>
      <c r="J17" s="1" t="s">
        <v>181</v>
      </c>
      <c r="K17" s="1" t="s">
        <v>872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1037</v>
      </c>
      <c r="R17" s="1" t="s">
        <v>831</v>
      </c>
      <c r="S17" s="1" t="s">
        <v>1038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1039</v>
      </c>
      <c r="Z17" s="1">
        <v>11</v>
      </c>
      <c r="AA17" s="1" t="s">
        <v>784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1040</v>
      </c>
      <c r="AT17" s="1" t="s">
        <v>1041</v>
      </c>
      <c r="AU17" s="1" t="s">
        <v>186</v>
      </c>
      <c r="AV17" s="1" t="s">
        <v>893</v>
      </c>
      <c r="AW17" s="1" t="s">
        <v>1042</v>
      </c>
      <c r="AX17" s="1" t="s">
        <v>161</v>
      </c>
      <c r="AY17" s="1" t="s">
        <v>1043</v>
      </c>
      <c r="AZ17" s="1" t="s">
        <v>1044</v>
      </c>
      <c r="BA17" s="1" t="s">
        <v>1045</v>
      </c>
      <c r="BB17" s="1" t="s">
        <v>1046</v>
      </c>
      <c r="BC17" s="1" t="s">
        <v>1047</v>
      </c>
      <c r="BD17" s="1" t="s">
        <v>1048</v>
      </c>
      <c r="BE17" s="1">
        <v>107</v>
      </c>
      <c r="BF17" s="1">
        <v>107.3</v>
      </c>
      <c r="BG17" s="1">
        <v>-0.2</v>
      </c>
      <c r="BH17" s="1" t="s">
        <v>1036</v>
      </c>
      <c r="BI17" s="1" t="s">
        <v>798</v>
      </c>
      <c r="BJ17" s="1" t="s">
        <v>884</v>
      </c>
      <c r="BK17" s="1" t="s">
        <v>958</v>
      </c>
      <c r="BL17" s="1" t="s">
        <v>939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823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867</v>
      </c>
      <c r="CA17" s="1" t="s">
        <v>397</v>
      </c>
      <c r="CB17" s="1" t="s">
        <v>1049</v>
      </c>
      <c r="CC17" s="1" t="s">
        <v>1050</v>
      </c>
    </row>
    <row r="18" spans="1:81" x14ac:dyDescent="0.25">
      <c r="A18" s="1" t="s">
        <v>145</v>
      </c>
      <c r="B18" s="1" t="s">
        <v>776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1077</v>
      </c>
      <c r="H18" s="1">
        <v>9</v>
      </c>
      <c r="I18" s="1" t="s">
        <v>1064</v>
      </c>
      <c r="J18" s="1" t="s">
        <v>152</v>
      </c>
      <c r="K18" s="1" t="s">
        <v>1078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1065</v>
      </c>
      <c r="R18" s="1" t="s">
        <v>1079</v>
      </c>
      <c r="S18" s="1" t="s">
        <v>1038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981</v>
      </c>
      <c r="Y18" s="1" t="s">
        <v>1080</v>
      </c>
      <c r="Z18" s="1">
        <v>7</v>
      </c>
      <c r="AA18" s="1" t="s">
        <v>914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1081</v>
      </c>
      <c r="AT18" s="1" t="s">
        <v>1082</v>
      </c>
      <c r="AU18" s="1" t="s">
        <v>260</v>
      </c>
      <c r="AV18" s="1" t="s">
        <v>1083</v>
      </c>
      <c r="AW18" s="1" t="s">
        <v>1084</v>
      </c>
      <c r="AX18" s="1" t="s">
        <v>339</v>
      </c>
      <c r="AY18" s="1" t="s">
        <v>1085</v>
      </c>
      <c r="AZ18" s="1" t="s">
        <v>1086</v>
      </c>
      <c r="BA18" s="1" t="s">
        <v>1087</v>
      </c>
      <c r="BB18" s="1" t="s">
        <v>1088</v>
      </c>
      <c r="BC18" s="1" t="s">
        <v>1059</v>
      </c>
      <c r="BD18" s="1" t="s">
        <v>1089</v>
      </c>
      <c r="BE18" s="1">
        <v>114.2</v>
      </c>
      <c r="BF18" s="1">
        <v>115.3</v>
      </c>
      <c r="BG18" s="1">
        <v>-1.1000000000000001</v>
      </c>
      <c r="BH18" s="1" t="s">
        <v>1034</v>
      </c>
      <c r="BI18" s="1" t="s">
        <v>398</v>
      </c>
      <c r="BJ18" s="1" t="s">
        <v>296</v>
      </c>
      <c r="BK18" s="1" t="s">
        <v>216</v>
      </c>
      <c r="BL18" s="1" t="s">
        <v>1077</v>
      </c>
      <c r="BM18" s="1" t="s">
        <v>1060</v>
      </c>
      <c r="BN18" s="1" t="s">
        <v>1090</v>
      </c>
      <c r="BO18" s="1" t="s">
        <v>798</v>
      </c>
      <c r="BP18" s="1" t="s">
        <v>940</v>
      </c>
      <c r="BQ18" s="1" t="s">
        <v>276</v>
      </c>
      <c r="BR18" s="1" t="s">
        <v>976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1023</v>
      </c>
      <c r="CA18" s="1" t="s">
        <v>847</v>
      </c>
      <c r="CB18" s="1" t="s">
        <v>1091</v>
      </c>
      <c r="CC18" s="1" t="s">
        <v>1092</v>
      </c>
    </row>
    <row r="19" spans="1:81" x14ac:dyDescent="0.25">
      <c r="A19" s="1" t="s">
        <v>145</v>
      </c>
      <c r="B19" s="1" t="s">
        <v>776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889</v>
      </c>
      <c r="H19" s="1">
        <v>9</v>
      </c>
      <c r="I19" s="1" t="s">
        <v>1064</v>
      </c>
      <c r="J19" s="1" t="s">
        <v>244</v>
      </c>
      <c r="K19" s="1" t="s">
        <v>910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1065</v>
      </c>
      <c r="R19" s="1" t="s">
        <v>1013</v>
      </c>
      <c r="S19" s="1" t="s">
        <v>1066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890</v>
      </c>
      <c r="Y19" s="1" t="s">
        <v>892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190</v>
      </c>
      <c r="AV19" s="1" t="s">
        <v>807</v>
      </c>
      <c r="AW19" s="1" t="s">
        <v>1069</v>
      </c>
      <c r="AX19" s="1" t="s">
        <v>186</v>
      </c>
      <c r="AY19" s="1" t="s">
        <v>1070</v>
      </c>
      <c r="AZ19" s="1" t="s">
        <v>1071</v>
      </c>
      <c r="BA19" s="1" t="s">
        <v>984</v>
      </c>
      <c r="BB19" s="1" t="s">
        <v>1072</v>
      </c>
      <c r="BC19" s="1" t="s">
        <v>1073</v>
      </c>
      <c r="BD19" s="1" t="s">
        <v>1074</v>
      </c>
      <c r="BE19" s="1">
        <v>110.7</v>
      </c>
      <c r="BF19" s="1">
        <v>111.8</v>
      </c>
      <c r="BG19" s="1">
        <v>-1.1000000000000001</v>
      </c>
      <c r="BH19" s="1" t="s">
        <v>889</v>
      </c>
      <c r="BI19" s="1" t="s">
        <v>924</v>
      </c>
      <c r="BJ19" s="1" t="s">
        <v>885</v>
      </c>
      <c r="BK19" s="1" t="s">
        <v>823</v>
      </c>
      <c r="BL19" s="1" t="s">
        <v>1075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940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1076</v>
      </c>
      <c r="CC19" s="1" t="s">
        <v>995</v>
      </c>
    </row>
    <row r="20" spans="1:81" x14ac:dyDescent="0.25">
      <c r="A20" s="1" t="s">
        <v>145</v>
      </c>
      <c r="B20" s="1" t="s">
        <v>776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1107</v>
      </c>
      <c r="H20" s="1">
        <v>10</v>
      </c>
      <c r="I20" s="1" t="s">
        <v>1064</v>
      </c>
      <c r="J20" s="1" t="s">
        <v>244</v>
      </c>
      <c r="K20" s="1" t="s">
        <v>1108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1065</v>
      </c>
      <c r="R20" s="1" t="s">
        <v>945</v>
      </c>
      <c r="S20" s="1" t="s">
        <v>854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1109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946</v>
      </c>
      <c r="AT20" s="1" t="s">
        <v>1110</v>
      </c>
      <c r="AU20" s="1" t="s">
        <v>234</v>
      </c>
      <c r="AV20" s="1" t="s">
        <v>1111</v>
      </c>
      <c r="AW20" s="1" t="s">
        <v>1112</v>
      </c>
      <c r="AX20" s="1" t="s">
        <v>260</v>
      </c>
      <c r="AY20" s="1" t="s">
        <v>1113</v>
      </c>
      <c r="AZ20" s="1" t="s">
        <v>1114</v>
      </c>
      <c r="BA20" s="1" t="s">
        <v>1115</v>
      </c>
      <c r="BB20" s="1" t="s">
        <v>1116</v>
      </c>
      <c r="BC20" s="1" t="s">
        <v>1117</v>
      </c>
      <c r="BD20" s="1" t="s">
        <v>1118</v>
      </c>
      <c r="BE20" s="1">
        <v>105.7</v>
      </c>
      <c r="BF20" s="1">
        <v>105.9</v>
      </c>
      <c r="BG20" s="1">
        <v>-0.2</v>
      </c>
      <c r="BH20" s="1" t="s">
        <v>1107</v>
      </c>
      <c r="BI20" s="1" t="s">
        <v>1060</v>
      </c>
      <c r="BJ20" s="1" t="s">
        <v>958</v>
      </c>
      <c r="BK20" s="1" t="s">
        <v>976</v>
      </c>
      <c r="BL20" s="1" t="s">
        <v>1119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1120</v>
      </c>
      <c r="BR20" s="1" t="s">
        <v>233</v>
      </c>
      <c r="BS20" s="1" t="s">
        <v>925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1049</v>
      </c>
      <c r="CC20" s="1" t="s">
        <v>1121</v>
      </c>
    </row>
    <row r="21" spans="1:81" x14ac:dyDescent="0.25">
      <c r="A21" s="1" t="s">
        <v>145</v>
      </c>
      <c r="B21" s="1" t="s">
        <v>776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1093</v>
      </c>
      <c r="H21" s="1">
        <v>10</v>
      </c>
      <c r="I21" s="1" t="s">
        <v>1064</v>
      </c>
      <c r="J21" s="1" t="s">
        <v>152</v>
      </c>
      <c r="K21" s="1" t="s">
        <v>980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1094</v>
      </c>
      <c r="R21" s="1" t="s">
        <v>911</v>
      </c>
      <c r="S21" s="1" t="s">
        <v>1038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1025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1095</v>
      </c>
      <c r="AT21" s="1" t="s">
        <v>1096</v>
      </c>
      <c r="AU21" s="1" t="s">
        <v>157</v>
      </c>
      <c r="AV21" s="1" t="s">
        <v>1097</v>
      </c>
      <c r="AW21" s="1" t="s">
        <v>1098</v>
      </c>
      <c r="AX21" s="1" t="s">
        <v>157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111.8</v>
      </c>
      <c r="BF21" s="1">
        <v>113.5</v>
      </c>
      <c r="BG21" s="1">
        <v>-1.7</v>
      </c>
      <c r="BH21" s="1" t="s">
        <v>1022</v>
      </c>
      <c r="BI21" s="1" t="s">
        <v>1105</v>
      </c>
      <c r="BJ21" s="1" t="s">
        <v>276</v>
      </c>
      <c r="BK21" s="1" t="s">
        <v>266</v>
      </c>
      <c r="BL21" s="1" t="s">
        <v>1093</v>
      </c>
      <c r="BM21" s="1" t="s">
        <v>1060</v>
      </c>
      <c r="BN21" s="1" t="s">
        <v>992</v>
      </c>
      <c r="BO21" s="1" t="s">
        <v>958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1106</v>
      </c>
      <c r="CC21" s="1" t="s">
        <v>1092</v>
      </c>
    </row>
    <row r="22" spans="1:81" x14ac:dyDescent="0.25">
      <c r="A22" s="1" t="s">
        <v>145</v>
      </c>
      <c r="B22" s="1" t="s">
        <v>776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1140</v>
      </c>
      <c r="H22" s="1">
        <v>11</v>
      </c>
      <c r="I22" s="1" t="s">
        <v>1064</v>
      </c>
      <c r="J22" s="1" t="s">
        <v>219</v>
      </c>
      <c r="K22" s="1" t="s">
        <v>1141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1142</v>
      </c>
      <c r="R22" s="1" t="s">
        <v>1013</v>
      </c>
      <c r="S22" s="1" t="s">
        <v>1143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945</v>
      </c>
      <c r="Z22" s="1">
        <v>6</v>
      </c>
      <c r="AA22" s="1" t="s">
        <v>188</v>
      </c>
      <c r="AB22" s="1">
        <v>-9</v>
      </c>
      <c r="AC22" s="1" t="s">
        <v>1144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1145</v>
      </c>
      <c r="AT22" s="1" t="s">
        <v>1146</v>
      </c>
      <c r="AU22" s="1" t="s">
        <v>226</v>
      </c>
      <c r="AV22" s="1" t="s">
        <v>1147</v>
      </c>
      <c r="AW22" s="1" t="s">
        <v>1148</v>
      </c>
      <c r="AX22" s="1" t="s">
        <v>260</v>
      </c>
      <c r="AY22" s="1" t="s">
        <v>1149</v>
      </c>
      <c r="AZ22" s="1" t="s">
        <v>1150</v>
      </c>
      <c r="BA22" s="1" t="s">
        <v>1151</v>
      </c>
      <c r="BB22" s="1" t="s">
        <v>1152</v>
      </c>
      <c r="BC22" s="1" t="s">
        <v>1153</v>
      </c>
      <c r="BD22" s="1" t="s">
        <v>1154</v>
      </c>
      <c r="BE22" s="1">
        <v>112.5</v>
      </c>
      <c r="BF22" s="1">
        <v>114</v>
      </c>
      <c r="BG22" s="1">
        <v>-1.5</v>
      </c>
      <c r="BH22" s="1" t="s">
        <v>939</v>
      </c>
      <c r="BI22" s="1" t="s">
        <v>323</v>
      </c>
      <c r="BJ22" s="1" t="s">
        <v>276</v>
      </c>
      <c r="BK22" s="1" t="s">
        <v>276</v>
      </c>
      <c r="BL22" s="1" t="s">
        <v>1140</v>
      </c>
      <c r="BM22" s="1" t="s">
        <v>386</v>
      </c>
      <c r="BN22" s="1" t="s">
        <v>958</v>
      </c>
      <c r="BO22" s="1" t="s">
        <v>924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1076</v>
      </c>
      <c r="CC22" s="1" t="s">
        <v>1092</v>
      </c>
    </row>
    <row r="23" spans="1:81" x14ac:dyDescent="0.25">
      <c r="A23" s="1" t="s">
        <v>145</v>
      </c>
      <c r="B23" s="1" t="s">
        <v>776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1122</v>
      </c>
      <c r="H23" s="1">
        <v>11</v>
      </c>
      <c r="I23" s="1" t="s">
        <v>1064</v>
      </c>
      <c r="J23" s="1" t="s">
        <v>244</v>
      </c>
      <c r="K23" s="1" t="s">
        <v>1108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1123</v>
      </c>
      <c r="R23" s="1" t="s">
        <v>911</v>
      </c>
      <c r="S23" s="1" t="s">
        <v>1018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1124</v>
      </c>
      <c r="Z23" s="1">
        <v>-6</v>
      </c>
      <c r="AA23" s="1" t="s">
        <v>367</v>
      </c>
      <c r="AB23" s="1">
        <v>-8</v>
      </c>
      <c r="AC23" s="1" t="s">
        <v>1125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1126</v>
      </c>
      <c r="AT23" s="1" t="s">
        <v>1127</v>
      </c>
      <c r="AU23" s="1" t="s">
        <v>158</v>
      </c>
      <c r="AV23" s="1" t="s">
        <v>1128</v>
      </c>
      <c r="AW23" s="1" t="s">
        <v>1129</v>
      </c>
      <c r="AX23" s="1" t="s">
        <v>190</v>
      </c>
      <c r="AY23" s="1" t="s">
        <v>1130</v>
      </c>
      <c r="AZ23" s="1" t="s">
        <v>1131</v>
      </c>
      <c r="BA23" s="1" t="s">
        <v>1132</v>
      </c>
      <c r="BB23" s="1" t="s">
        <v>1133</v>
      </c>
      <c r="BC23" s="1" t="s">
        <v>1134</v>
      </c>
      <c r="BD23" s="1" t="s">
        <v>1107</v>
      </c>
      <c r="BE23" s="1">
        <v>114</v>
      </c>
      <c r="BF23" s="1">
        <v>116.9</v>
      </c>
      <c r="BG23" s="1">
        <v>-2.9</v>
      </c>
      <c r="BH23" s="1" t="s">
        <v>1122</v>
      </c>
      <c r="BI23" s="1" t="s">
        <v>1135</v>
      </c>
      <c r="BJ23" s="1" t="s">
        <v>1135</v>
      </c>
      <c r="BK23" s="1" t="s">
        <v>976</v>
      </c>
      <c r="BL23" s="1" t="s">
        <v>1009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1136</v>
      </c>
      <c r="BS23" s="1" t="s">
        <v>372</v>
      </c>
      <c r="BT23" s="1"/>
      <c r="BU23" s="1"/>
      <c r="BV23" s="1"/>
      <c r="BW23" s="1"/>
      <c r="BX23" s="1"/>
      <c r="BY23" s="1" t="s">
        <v>1137</v>
      </c>
      <c r="BZ23" s="1" t="s">
        <v>940</v>
      </c>
      <c r="CA23" s="1" t="s">
        <v>337</v>
      </c>
      <c r="CB23" s="1" t="s">
        <v>1138</v>
      </c>
      <c r="CC23" s="1" t="s">
        <v>1139</v>
      </c>
    </row>
    <row r="24" spans="1:81" x14ac:dyDescent="0.25">
      <c r="A24" s="1" t="s">
        <v>145</v>
      </c>
      <c r="B24" s="1" t="s">
        <v>776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1155</v>
      </c>
      <c r="H24" s="1">
        <v>12</v>
      </c>
      <c r="I24" s="1" t="s">
        <v>1064</v>
      </c>
      <c r="J24" s="1" t="s">
        <v>231</v>
      </c>
      <c r="K24" s="1" t="s">
        <v>872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1156</v>
      </c>
      <c r="R24" s="1" t="s">
        <v>892</v>
      </c>
      <c r="S24" s="1" t="s">
        <v>1157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1158</v>
      </c>
      <c r="Z24" s="1">
        <v>5</v>
      </c>
      <c r="AA24" s="1" t="s">
        <v>160</v>
      </c>
      <c r="AB24" s="1">
        <v>-9</v>
      </c>
      <c r="AC24" s="1" t="s">
        <v>1144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1159</v>
      </c>
      <c r="AT24" s="1" t="s">
        <v>1160</v>
      </c>
      <c r="AU24" s="1" t="s">
        <v>262</v>
      </c>
      <c r="AV24" s="1" t="s">
        <v>1161</v>
      </c>
      <c r="AW24" s="1" t="s">
        <v>1162</v>
      </c>
      <c r="AX24" s="1" t="s">
        <v>153</v>
      </c>
      <c r="AY24" s="1" t="s">
        <v>936</v>
      </c>
      <c r="AZ24" s="1" t="s">
        <v>1163</v>
      </c>
      <c r="BA24" s="1" t="s">
        <v>1115</v>
      </c>
      <c r="BB24" s="1" t="s">
        <v>1164</v>
      </c>
      <c r="BC24" s="1" t="s">
        <v>1165</v>
      </c>
      <c r="BD24" s="1" t="s">
        <v>1166</v>
      </c>
      <c r="BE24" s="1">
        <v>103.5</v>
      </c>
      <c r="BF24" s="1">
        <v>106.1</v>
      </c>
      <c r="BG24" s="1">
        <v>-2.6</v>
      </c>
      <c r="BH24" s="1" t="s">
        <v>1167</v>
      </c>
      <c r="BI24" s="1" t="s">
        <v>398</v>
      </c>
      <c r="BJ24" s="1" t="s">
        <v>398</v>
      </c>
      <c r="BK24" s="1" t="s">
        <v>398</v>
      </c>
      <c r="BL24" s="1" t="s">
        <v>1155</v>
      </c>
      <c r="BM24" s="1" t="s">
        <v>958</v>
      </c>
      <c r="BN24" s="1" t="s">
        <v>1060</v>
      </c>
      <c r="BO24" s="1" t="s">
        <v>884</v>
      </c>
      <c r="BP24" s="1" t="s">
        <v>1168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847</v>
      </c>
      <c r="CA24" s="1" t="s">
        <v>349</v>
      </c>
      <c r="CB24" s="1" t="s">
        <v>1169</v>
      </c>
      <c r="CC24" s="1" t="s">
        <v>1170</v>
      </c>
    </row>
    <row r="25" spans="1:81" x14ac:dyDescent="0.25">
      <c r="A25" s="1" t="s">
        <v>145</v>
      </c>
      <c r="B25" s="1" t="s">
        <v>776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1171</v>
      </c>
      <c r="H25" s="1">
        <v>12</v>
      </c>
      <c r="I25" s="1" t="s">
        <v>1064</v>
      </c>
      <c r="J25" s="1" t="s">
        <v>244</v>
      </c>
      <c r="K25" s="1" t="s">
        <v>890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1172</v>
      </c>
      <c r="R25" s="1" t="s">
        <v>1014</v>
      </c>
      <c r="S25" s="1" t="s">
        <v>1157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1173</v>
      </c>
      <c r="Y25" s="1" t="s">
        <v>1174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1175</v>
      </c>
      <c r="AT25" s="1" t="s">
        <v>1068</v>
      </c>
      <c r="AU25" s="1" t="s">
        <v>327</v>
      </c>
      <c r="AV25" s="1" t="s">
        <v>883</v>
      </c>
      <c r="AW25" s="1" t="s">
        <v>1176</v>
      </c>
      <c r="AX25" s="1" t="s">
        <v>153</v>
      </c>
      <c r="AY25" s="1" t="s">
        <v>1177</v>
      </c>
      <c r="AZ25" s="1" t="s">
        <v>1178</v>
      </c>
      <c r="BA25" s="1" t="s">
        <v>1179</v>
      </c>
      <c r="BB25" s="1" t="s">
        <v>1008</v>
      </c>
      <c r="BC25" s="1" t="s">
        <v>1180</v>
      </c>
      <c r="BD25" s="1" t="s">
        <v>1181</v>
      </c>
      <c r="BE25" s="1">
        <v>113.3</v>
      </c>
      <c r="BF25" s="1">
        <v>119.4</v>
      </c>
      <c r="BG25" s="1">
        <v>-6</v>
      </c>
      <c r="BH25" s="1" t="s">
        <v>1171</v>
      </c>
      <c r="BI25" s="1" t="s">
        <v>1182</v>
      </c>
      <c r="BJ25" s="1" t="s">
        <v>1135</v>
      </c>
      <c r="BK25" s="1" t="s">
        <v>410</v>
      </c>
      <c r="BL25" s="1" t="s">
        <v>1009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1183</v>
      </c>
      <c r="BR25" s="1" t="s">
        <v>940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1184</v>
      </c>
      <c r="CC25" s="1" t="s">
        <v>963</v>
      </c>
    </row>
    <row r="26" spans="1:81" x14ac:dyDescent="0.25">
      <c r="A26" s="1" t="s">
        <v>145</v>
      </c>
      <c r="B26" s="1" t="s">
        <v>776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1171</v>
      </c>
      <c r="H26" s="1">
        <v>13</v>
      </c>
      <c r="I26" s="1" t="s">
        <v>1064</v>
      </c>
      <c r="J26" s="1" t="s">
        <v>181</v>
      </c>
      <c r="K26" s="1" t="s">
        <v>1198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1199</v>
      </c>
      <c r="R26" s="1" t="s">
        <v>1068</v>
      </c>
      <c r="S26" s="1" t="s">
        <v>1200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872</v>
      </c>
      <c r="Y26" s="1" t="s">
        <v>1201</v>
      </c>
      <c r="Z26" s="1">
        <v>-11</v>
      </c>
      <c r="AA26" s="1" t="s">
        <v>1202</v>
      </c>
      <c r="AB26" s="1">
        <v>-9</v>
      </c>
      <c r="AC26" s="1" t="s">
        <v>1144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1203</v>
      </c>
      <c r="AT26" s="1" t="s">
        <v>1204</v>
      </c>
      <c r="AU26" s="1" t="s">
        <v>158</v>
      </c>
      <c r="AV26" s="1" t="s">
        <v>1205</v>
      </c>
      <c r="AW26" s="1" t="s">
        <v>1206</v>
      </c>
      <c r="AX26" s="1" t="s">
        <v>164</v>
      </c>
      <c r="AY26" s="1" t="s">
        <v>1207</v>
      </c>
      <c r="AZ26" s="1" t="s">
        <v>1208</v>
      </c>
      <c r="BA26" s="1" t="s">
        <v>1209</v>
      </c>
      <c r="BB26" s="1" t="s">
        <v>1210</v>
      </c>
      <c r="BC26" s="1" t="s">
        <v>888</v>
      </c>
      <c r="BD26" s="1" t="s">
        <v>1211</v>
      </c>
      <c r="BE26" s="1">
        <v>104.9</v>
      </c>
      <c r="BF26" s="1">
        <v>113.4</v>
      </c>
      <c r="BG26" s="1">
        <v>-8.4</v>
      </c>
      <c r="BH26" s="1" t="s">
        <v>1171</v>
      </c>
      <c r="BI26" s="1" t="s">
        <v>1182</v>
      </c>
      <c r="BJ26" s="1" t="s">
        <v>402</v>
      </c>
      <c r="BK26" s="1" t="s">
        <v>958</v>
      </c>
      <c r="BL26" s="1" t="s">
        <v>1212</v>
      </c>
      <c r="BM26" s="1" t="s">
        <v>1105</v>
      </c>
      <c r="BN26" s="1" t="s">
        <v>393</v>
      </c>
      <c r="BO26" s="1" t="s">
        <v>398</v>
      </c>
      <c r="BP26" s="1" t="s">
        <v>1213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1214</v>
      </c>
      <c r="BZ26" s="1" t="s">
        <v>1215</v>
      </c>
      <c r="CA26" s="1" t="s">
        <v>363</v>
      </c>
      <c r="CB26" s="1" t="s">
        <v>1216</v>
      </c>
      <c r="CC26" s="1" t="s">
        <v>1139</v>
      </c>
    </row>
    <row r="27" spans="1:81" x14ac:dyDescent="0.25">
      <c r="A27" s="1" t="s">
        <v>145</v>
      </c>
      <c r="B27" s="1" t="s">
        <v>776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1107</v>
      </c>
      <c r="H27" s="1">
        <v>13</v>
      </c>
      <c r="I27" s="1" t="s">
        <v>1064</v>
      </c>
      <c r="J27" s="1" t="s">
        <v>231</v>
      </c>
      <c r="K27" s="1" t="s">
        <v>872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1156</v>
      </c>
      <c r="R27" s="1" t="s">
        <v>945</v>
      </c>
      <c r="S27" s="1" t="s">
        <v>1066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1185</v>
      </c>
      <c r="Z27" s="1">
        <v>-8</v>
      </c>
      <c r="AA27" s="1" t="s">
        <v>1125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1186</v>
      </c>
      <c r="AT27" s="1" t="s">
        <v>1187</v>
      </c>
      <c r="AU27" s="1" t="s">
        <v>190</v>
      </c>
      <c r="AV27" s="1" t="s">
        <v>1188</v>
      </c>
      <c r="AW27" s="1" t="s">
        <v>1189</v>
      </c>
      <c r="AX27" s="1" t="s">
        <v>186</v>
      </c>
      <c r="AY27" s="1" t="s">
        <v>1190</v>
      </c>
      <c r="AZ27" s="1" t="s">
        <v>1191</v>
      </c>
      <c r="BA27" s="1" t="s">
        <v>1192</v>
      </c>
      <c r="BB27" s="1" t="s">
        <v>1193</v>
      </c>
      <c r="BC27" s="1" t="s">
        <v>1194</v>
      </c>
      <c r="BD27" s="1" t="s">
        <v>1195</v>
      </c>
      <c r="BE27" s="1">
        <v>115.4</v>
      </c>
      <c r="BF27" s="1">
        <v>116.8</v>
      </c>
      <c r="BG27" s="1">
        <v>-1.3</v>
      </c>
      <c r="BH27" s="1" t="s">
        <v>1075</v>
      </c>
      <c r="BI27" s="1" t="s">
        <v>398</v>
      </c>
      <c r="BJ27" s="1" t="s">
        <v>276</v>
      </c>
      <c r="BK27" s="1" t="s">
        <v>393</v>
      </c>
      <c r="BL27" s="1" t="s">
        <v>1107</v>
      </c>
      <c r="BM27" s="1" t="s">
        <v>1060</v>
      </c>
      <c r="BN27" s="1" t="s">
        <v>924</v>
      </c>
      <c r="BO27" s="1" t="s">
        <v>884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976</v>
      </c>
      <c r="CA27" s="1" t="s">
        <v>337</v>
      </c>
      <c r="CB27" s="1" t="s">
        <v>1196</v>
      </c>
      <c r="CC27" s="1" t="s">
        <v>1197</v>
      </c>
    </row>
    <row r="28" spans="1:81" x14ac:dyDescent="0.25">
      <c r="A28" s="1" t="s">
        <v>145</v>
      </c>
      <c r="B28" s="1" t="s">
        <v>776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1233</v>
      </c>
      <c r="H28" s="1">
        <v>14</v>
      </c>
      <c r="I28" s="1" t="s">
        <v>1064</v>
      </c>
      <c r="J28" s="1" t="s">
        <v>231</v>
      </c>
      <c r="K28" s="1" t="s">
        <v>1078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1156</v>
      </c>
      <c r="R28" s="1" t="s">
        <v>1079</v>
      </c>
      <c r="S28" s="1" t="s">
        <v>1068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1234</v>
      </c>
      <c r="Z28" s="1">
        <v>11</v>
      </c>
      <c r="AA28" s="1" t="s">
        <v>784</v>
      </c>
      <c r="AB28" s="1">
        <v>-9</v>
      </c>
      <c r="AC28" s="1" t="s">
        <v>1144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1235</v>
      </c>
      <c r="AT28" s="1" t="s">
        <v>1098</v>
      </c>
      <c r="AU28" s="1" t="s">
        <v>260</v>
      </c>
      <c r="AV28" s="1" t="s">
        <v>1072</v>
      </c>
      <c r="AW28" s="1" t="s">
        <v>1236</v>
      </c>
      <c r="AX28" s="1" t="s">
        <v>186</v>
      </c>
      <c r="AY28" s="1" t="s">
        <v>1237</v>
      </c>
      <c r="AZ28" s="1" t="s">
        <v>1238</v>
      </c>
      <c r="BA28" s="1" t="s">
        <v>1239</v>
      </c>
      <c r="BB28" s="1" t="s">
        <v>1240</v>
      </c>
      <c r="BC28" s="1" t="s">
        <v>1153</v>
      </c>
      <c r="BD28" s="1" t="s">
        <v>1241</v>
      </c>
      <c r="BE28" s="1">
        <v>108.9</v>
      </c>
      <c r="BF28" s="1">
        <v>110.1</v>
      </c>
      <c r="BG28" s="1">
        <v>-1.3</v>
      </c>
      <c r="BH28" s="1" t="s">
        <v>960</v>
      </c>
      <c r="BI28" s="1" t="s">
        <v>323</v>
      </c>
      <c r="BJ28" s="1" t="s">
        <v>266</v>
      </c>
      <c r="BK28" s="1" t="s">
        <v>276</v>
      </c>
      <c r="BL28" s="1" t="s">
        <v>1233</v>
      </c>
      <c r="BM28" s="1" t="s">
        <v>924</v>
      </c>
      <c r="BN28" s="1" t="s">
        <v>1135</v>
      </c>
      <c r="BO28" s="1" t="s">
        <v>1090</v>
      </c>
      <c r="BP28" s="1" t="s">
        <v>337</v>
      </c>
      <c r="BQ28" s="1" t="s">
        <v>323</v>
      </c>
      <c r="BR28" s="1" t="s">
        <v>1215</v>
      </c>
      <c r="BS28" s="1" t="s">
        <v>239</v>
      </c>
      <c r="BT28" s="1"/>
      <c r="BU28" s="1"/>
      <c r="BV28" s="1"/>
      <c r="BW28" s="1"/>
      <c r="BX28" s="1"/>
      <c r="BY28" s="1" t="s">
        <v>1214</v>
      </c>
      <c r="BZ28" s="1" t="s">
        <v>867</v>
      </c>
      <c r="CA28" s="1" t="s">
        <v>976</v>
      </c>
      <c r="CB28" s="1" t="s">
        <v>1242</v>
      </c>
      <c r="CC28" s="1" t="s">
        <v>1243</v>
      </c>
    </row>
    <row r="29" spans="1:81" x14ac:dyDescent="0.25">
      <c r="A29" s="1" t="s">
        <v>145</v>
      </c>
      <c r="B29" s="1" t="s">
        <v>776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1217</v>
      </c>
      <c r="H29" s="1">
        <v>14</v>
      </c>
      <c r="I29" s="1" t="s">
        <v>1064</v>
      </c>
      <c r="J29" s="1" t="s">
        <v>181</v>
      </c>
      <c r="K29" s="1" t="s">
        <v>1078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1218</v>
      </c>
      <c r="R29" s="1" t="s">
        <v>1200</v>
      </c>
      <c r="S29" s="1" t="s">
        <v>1219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1220</v>
      </c>
      <c r="Z29" s="1">
        <v>-9</v>
      </c>
      <c r="AA29" s="1" t="s">
        <v>1144</v>
      </c>
      <c r="AB29" s="1">
        <v>-11</v>
      </c>
      <c r="AC29" s="1" t="s">
        <v>1202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1202</v>
      </c>
      <c r="AJ29" s="1">
        <v>-10</v>
      </c>
      <c r="AK29" s="1" t="s">
        <v>947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869</v>
      </c>
      <c r="AT29" s="1" t="s">
        <v>1221</v>
      </c>
      <c r="AU29" s="1" t="s">
        <v>304</v>
      </c>
      <c r="AV29" s="1" t="s">
        <v>1222</v>
      </c>
      <c r="AW29" s="1" t="s">
        <v>1223</v>
      </c>
      <c r="AX29" s="1" t="s">
        <v>208</v>
      </c>
      <c r="AY29" s="1" t="s">
        <v>1151</v>
      </c>
      <c r="AZ29" s="1" t="s">
        <v>1224</v>
      </c>
      <c r="BA29" s="1" t="s">
        <v>1225</v>
      </c>
      <c r="BB29" s="1" t="s">
        <v>1226</v>
      </c>
      <c r="BC29" s="1" t="s">
        <v>1109</v>
      </c>
      <c r="BD29" s="1" t="s">
        <v>1227</v>
      </c>
      <c r="BE29" s="1">
        <v>104.5</v>
      </c>
      <c r="BF29" s="1">
        <v>114.1</v>
      </c>
      <c r="BG29" s="1">
        <v>-9.6</v>
      </c>
      <c r="BH29" s="1" t="s">
        <v>1217</v>
      </c>
      <c r="BI29" s="1" t="s">
        <v>1135</v>
      </c>
      <c r="BJ29" s="1" t="s">
        <v>1090</v>
      </c>
      <c r="BK29" s="1" t="s">
        <v>1228</v>
      </c>
      <c r="BL29" s="1" t="s">
        <v>1229</v>
      </c>
      <c r="BM29" s="1" t="s">
        <v>1230</v>
      </c>
      <c r="BN29" s="1" t="s">
        <v>393</v>
      </c>
      <c r="BO29" s="1" t="s">
        <v>393</v>
      </c>
      <c r="BP29" s="1" t="s">
        <v>1215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1137</v>
      </c>
      <c r="BZ29" s="1" t="s">
        <v>407</v>
      </c>
      <c r="CA29" s="1" t="s">
        <v>1090</v>
      </c>
      <c r="CB29" s="1" t="s">
        <v>1231</v>
      </c>
      <c r="CC29" s="1" t="s">
        <v>1232</v>
      </c>
    </row>
    <row r="30" spans="1:81" x14ac:dyDescent="0.25">
      <c r="A30" s="1" t="s">
        <v>145</v>
      </c>
      <c r="B30" s="1" t="s">
        <v>776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1244</v>
      </c>
      <c r="H30" s="1">
        <v>15</v>
      </c>
      <c r="I30" s="1" t="s">
        <v>1064</v>
      </c>
      <c r="J30" s="1" t="s">
        <v>203</v>
      </c>
      <c r="K30" s="1" t="s">
        <v>1245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1246</v>
      </c>
      <c r="R30" s="1" t="s">
        <v>1068</v>
      </c>
      <c r="S30" s="1" t="s">
        <v>1247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1248</v>
      </c>
      <c r="Z30" s="1">
        <v>-18</v>
      </c>
      <c r="AA30" s="1" t="s">
        <v>1249</v>
      </c>
      <c r="AB30" s="1">
        <v>-9</v>
      </c>
      <c r="AC30" s="1" t="s">
        <v>1144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1250</v>
      </c>
      <c r="AT30" s="1" t="s">
        <v>1251</v>
      </c>
      <c r="AU30" s="1" t="s">
        <v>327</v>
      </c>
      <c r="AV30" s="1" t="s">
        <v>875</v>
      </c>
      <c r="AW30" s="1" t="s">
        <v>1252</v>
      </c>
      <c r="AX30" s="1" t="s">
        <v>327</v>
      </c>
      <c r="AY30" s="1" t="s">
        <v>1253</v>
      </c>
      <c r="AZ30" s="1" t="s">
        <v>1254</v>
      </c>
      <c r="BA30" s="1" t="s">
        <v>1255</v>
      </c>
      <c r="BB30" s="1" t="s">
        <v>1256</v>
      </c>
      <c r="BC30" s="1" t="s">
        <v>1257</v>
      </c>
      <c r="BD30" s="1" t="s">
        <v>1258</v>
      </c>
      <c r="BE30" s="1">
        <v>104.6</v>
      </c>
      <c r="BF30" s="1">
        <v>113.8</v>
      </c>
      <c r="BG30" s="1">
        <v>-9.1999999999999993</v>
      </c>
      <c r="BH30" s="1" t="s">
        <v>1244</v>
      </c>
      <c r="BI30" s="1" t="s">
        <v>1168</v>
      </c>
      <c r="BJ30" s="1" t="s">
        <v>1259</v>
      </c>
      <c r="BK30" s="1" t="s">
        <v>1135</v>
      </c>
      <c r="BL30" s="1" t="s">
        <v>1212</v>
      </c>
      <c r="BM30" s="1" t="s">
        <v>1230</v>
      </c>
      <c r="BN30" s="1" t="s">
        <v>393</v>
      </c>
      <c r="BO30" s="1" t="s">
        <v>323</v>
      </c>
      <c r="BP30" s="1" t="s">
        <v>1260</v>
      </c>
      <c r="BQ30" s="1" t="s">
        <v>1120</v>
      </c>
      <c r="BR30" s="1" t="s">
        <v>1261</v>
      </c>
      <c r="BS30" s="1" t="s">
        <v>239</v>
      </c>
      <c r="BT30" s="1"/>
      <c r="BU30" s="1"/>
      <c r="BV30" s="1"/>
      <c r="BW30" s="1"/>
      <c r="BX30" s="1"/>
      <c r="BY30" s="1" t="s">
        <v>1214</v>
      </c>
      <c r="BZ30" s="1" t="s">
        <v>349</v>
      </c>
      <c r="CA30" s="1" t="s">
        <v>1262</v>
      </c>
      <c r="CB30" s="1" t="s">
        <v>1263</v>
      </c>
      <c r="CC30" s="1" t="s">
        <v>1264</v>
      </c>
    </row>
    <row r="31" spans="1:81" x14ac:dyDescent="0.25">
      <c r="A31" s="1" t="s">
        <v>145</v>
      </c>
      <c r="B31" s="1" t="s">
        <v>776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1244</v>
      </c>
      <c r="H31" s="1">
        <v>15</v>
      </c>
      <c r="I31" s="1" t="s">
        <v>1064</v>
      </c>
      <c r="J31" s="1" t="s">
        <v>152</v>
      </c>
      <c r="K31" s="1" t="s">
        <v>1198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1218</v>
      </c>
      <c r="R31" s="1" t="s">
        <v>1157</v>
      </c>
      <c r="S31" s="1" t="s">
        <v>1265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1236</v>
      </c>
      <c r="Z31" s="1">
        <v>-6</v>
      </c>
      <c r="AA31" s="1" t="s">
        <v>367</v>
      </c>
      <c r="AB31" s="1">
        <v>-13</v>
      </c>
      <c r="AC31" s="1" t="s">
        <v>1266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1267</v>
      </c>
      <c r="AT31" s="1" t="s">
        <v>1268</v>
      </c>
      <c r="AU31" s="1" t="s">
        <v>327</v>
      </c>
      <c r="AV31" s="1" t="s">
        <v>1269</v>
      </c>
      <c r="AW31" s="1" t="s">
        <v>1270</v>
      </c>
      <c r="AX31" s="1" t="s">
        <v>157</v>
      </c>
      <c r="AY31" s="1" t="s">
        <v>1271</v>
      </c>
      <c r="AZ31" s="1" t="s">
        <v>1272</v>
      </c>
      <c r="BA31" s="1" t="s">
        <v>1273</v>
      </c>
      <c r="BB31" s="1" t="s">
        <v>1274</v>
      </c>
      <c r="BC31" s="1" t="s">
        <v>1275</v>
      </c>
      <c r="BD31" s="1" t="s">
        <v>1276</v>
      </c>
      <c r="BE31" s="1">
        <v>107.5</v>
      </c>
      <c r="BF31" s="1">
        <v>116.8</v>
      </c>
      <c r="BG31" s="1">
        <v>-9.3000000000000007</v>
      </c>
      <c r="BH31" s="1" t="s">
        <v>1277</v>
      </c>
      <c r="BI31" s="1" t="s">
        <v>398</v>
      </c>
      <c r="BJ31" s="1" t="s">
        <v>398</v>
      </c>
      <c r="BK31" s="1" t="s">
        <v>393</v>
      </c>
      <c r="BL31" s="1" t="s">
        <v>1244</v>
      </c>
      <c r="BM31" s="1" t="s">
        <v>1278</v>
      </c>
      <c r="BN31" s="1" t="s">
        <v>402</v>
      </c>
      <c r="BO31" s="1" t="s">
        <v>1135</v>
      </c>
      <c r="BP31" s="1" t="s">
        <v>1213</v>
      </c>
      <c r="BQ31" s="1" t="s">
        <v>1279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1137</v>
      </c>
      <c r="BZ31" s="1" t="s">
        <v>1215</v>
      </c>
      <c r="CA31" s="1" t="s">
        <v>386</v>
      </c>
      <c r="CB31" s="1" t="s">
        <v>1280</v>
      </c>
      <c r="CC31" s="1" t="s">
        <v>1281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1282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1283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1284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1285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1286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1287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1289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1290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1291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1292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1293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1294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1295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1292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1296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1295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1297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1295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1298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1291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1290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1284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1299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1295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1300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1301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1285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1302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1303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1304</v>
      </c>
      <c r="T4" s="1">
        <v>23.7</v>
      </c>
      <c r="U4" s="1" t="s">
        <v>1287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1305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1306</v>
      </c>
      <c r="T5" s="1">
        <v>26</v>
      </c>
      <c r="U5" s="1" t="s">
        <v>1287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1307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1308</v>
      </c>
      <c r="T7" s="1">
        <v>25.7</v>
      </c>
      <c r="U7" s="1" t="s">
        <v>1309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1310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1311</v>
      </c>
      <c r="T8" s="1">
        <v>24.5</v>
      </c>
      <c r="U8" s="1" t="s">
        <v>1312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1313</v>
      </c>
      <c r="T9" s="1">
        <v>24.6</v>
      </c>
      <c r="U9" s="1" t="s">
        <v>1287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1285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1314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1287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1315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1316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1317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1318</v>
      </c>
      <c r="T14" s="1">
        <v>24.1</v>
      </c>
      <c r="U14" s="1" t="s">
        <v>1298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1319</v>
      </c>
      <c r="T15" s="1">
        <v>25</v>
      </c>
      <c r="U15" s="1" t="s">
        <v>1289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1320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1285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1314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1290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1321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1306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1322</v>
      </c>
      <c r="T21" s="1">
        <v>25.6</v>
      </c>
      <c r="U21" s="1" t="s">
        <v>1298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1323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1318</v>
      </c>
      <c r="T22" s="1">
        <v>24.9</v>
      </c>
      <c r="U22" s="1" t="s">
        <v>1324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1312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1325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1326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1327</v>
      </c>
      <c r="T26" s="1">
        <v>23.2</v>
      </c>
      <c r="U26" s="1" t="s">
        <v>1328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1329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1330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1331</v>
      </c>
      <c r="T28" s="1">
        <v>24.7</v>
      </c>
      <c r="U28" s="1" t="s">
        <v>1283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1311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1332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1333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1334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1335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1282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1284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1335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1314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1314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1284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1284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1305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1305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1335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1305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1336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1335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1292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1292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1282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1282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1284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1293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2019-11-22T13:07:36Z</dcterms:modified>
</cp:coreProperties>
</file>