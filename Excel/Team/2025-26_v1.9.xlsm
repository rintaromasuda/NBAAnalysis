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07bb8c4c8e1457/Desktop/"/>
    </mc:Choice>
  </mc:AlternateContent>
  <xr:revisionPtr revIDLastSave="820" documentId="13_ncr:1_{59DEE261-6A62-4D0B-BF85-9EB1C73244D0}" xr6:coauthVersionLast="47" xr6:coauthVersionMax="47" xr10:uidLastSave="{3B6CE0DD-6F9B-4981-A65F-894A6ED42EF7}"/>
  <bookViews>
    <workbookView xWindow="-110" yWindow="-110" windowWidth="19420" windowHeight="11500" xr2:uid="{00000000-000D-0000-FFFF-FFFF00000000}"/>
  </bookViews>
  <sheets>
    <sheet name="Controller" sheetId="44" r:id="rId1"/>
    <sheet name="View" sheetId="119" r:id="rId2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View!$F$59</definedName>
    <definedName name="AdvDefRatingBenchN1">View!$C$59</definedName>
    <definedName name="AdvDefRatingBenchRankN">View!$G$59</definedName>
    <definedName name="AdvDefRatingBenchRankN1">View!$D$59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View!$F$56</definedName>
    <definedName name="AdvDefRatingStarterN1">View!$C$56</definedName>
    <definedName name="AdvDefRatingStarterRankN">View!$G$56</definedName>
    <definedName name="AdvDefRatingStarterRankN1">View!$D$56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View!$F$60</definedName>
    <definedName name="AdvNetRatingBenchN1">View!$C$60</definedName>
    <definedName name="AdvNetRatingBenchRankN">View!$G$60</definedName>
    <definedName name="AdvNetRatingBenchRankN1">View!$D$60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View!$F$57</definedName>
    <definedName name="AdvNetRatingStarterN1">View!$C$57</definedName>
    <definedName name="AdvNetRatingStarterRankN">View!$G$57</definedName>
    <definedName name="AdvNetRatingStarterRankN1">View!$D$57</definedName>
    <definedName name="AdvOffRatingBenchN">View!$F$58</definedName>
    <definedName name="AdvOffRatingBenchN1">View!$C$58</definedName>
    <definedName name="AdvOffRatingBenchRankN">View!$G$58</definedName>
    <definedName name="AdvOffRatingBenchRankN1">View!$D$58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View!$F$55</definedName>
    <definedName name="AdvOffRatingStarterN1">View!$C$55</definedName>
    <definedName name="AdvOffRatingStarterRankN">View!$G$55</definedName>
    <definedName name="AdvOffRatingStarterRankN1">View!$D$55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View!$F$77</definedName>
    <definedName name="ClutchAdvDefRatingN1">View!$C$77</definedName>
    <definedName name="ClutchAdvDefRatingRankN">View!$G$77</definedName>
    <definedName name="ClutchAdvDefRatingRankN1">View!$D$77</definedName>
    <definedName name="ClutchAdvNetRatingN">View!$F$78</definedName>
    <definedName name="ClutchAdvNetRatingN1">View!$C$78</definedName>
    <definedName name="ClutchAdvNetRatingRankN">View!$G$78</definedName>
    <definedName name="ClutchAdvNetRatingRankN1">View!$D$78</definedName>
    <definedName name="ClutchAdvOffRatingN">View!$F$76</definedName>
    <definedName name="ClutchAdvOffRatingN1">View!$C$76</definedName>
    <definedName name="ClutchAdvOffRatingRankN">View!$G$76</definedName>
    <definedName name="ClutchAdvOffRatingRankN1">View!$D$76</definedName>
    <definedName name="ClutchBaseFgPctN">View!$F$74</definedName>
    <definedName name="ClutchBaseFgPctN1">View!$C$74</definedName>
    <definedName name="ClutchBaseFgPctRankN">View!$G$74</definedName>
    <definedName name="ClutchBaseFgPctRankN1">View!$D$74</definedName>
    <definedName name="ClutchBaseLN">View!$F$73</definedName>
    <definedName name="ClutchBaseLN1">View!$C$73</definedName>
    <definedName name="ClutchBaseLRankN">View!$G$73</definedName>
    <definedName name="ClutchBaseLRankN1">View!$D$73</definedName>
    <definedName name="ClutchBaseMinN">View!$F$71</definedName>
    <definedName name="ClutchBaseMinN1">View!$C$71</definedName>
    <definedName name="ClutchBaseMinRankN">View!$G$71</definedName>
    <definedName name="ClutchBaseMinRankN1">View!$D$71</definedName>
    <definedName name="ClutchBaseWN">View!$F$72</definedName>
    <definedName name="ClutchBaseWN1">View!$C$72</definedName>
    <definedName name="ClutchBaseWRankN">View!$G$72</definedName>
    <definedName name="ClutchBaseWRankN1">View!$D$72</definedName>
    <definedName name="ClutchOppFgPctN">View!$F$75</definedName>
    <definedName name="ClutchOppFgPctN1">View!$C$75</definedName>
    <definedName name="ClutchOppFgPctRankN">View!$G$75</definedName>
    <definedName name="ClutchOppFgPctRankN1">View!$D$75</definedName>
    <definedName name="FactorEfgPctN">View!$F$48</definedName>
    <definedName name="FactorEfgPctN1">View!$C$48</definedName>
    <definedName name="FactorEfgPctRankN">View!$G$48</definedName>
    <definedName name="FactorEfgPctRankN1">View!$D$48</definedName>
    <definedName name="FactorFtrN">View!$F$49</definedName>
    <definedName name="FactorFtrN1">View!$C$49</definedName>
    <definedName name="FactorFtrRankN">View!$G$49</definedName>
    <definedName name="FactorFtrRankN1">View!$D$49</definedName>
    <definedName name="FactorOppEfgPctN">View!$F$52</definedName>
    <definedName name="FactorOppEfgPctN1">View!$C$52</definedName>
    <definedName name="FactorOppEfgPctRankN">View!$G$52</definedName>
    <definedName name="FactorOppEfgPctRankN1">View!$D$52</definedName>
    <definedName name="FactorOppFtrN">View!$F$53</definedName>
    <definedName name="FactorOppFtrN1">View!$C$53</definedName>
    <definedName name="FactorOppFtrRankN">View!$G$53</definedName>
    <definedName name="FactorOppFtrRankN1">View!$D$53</definedName>
    <definedName name="FactorOppOrbPctN">View!$F$50</definedName>
    <definedName name="FactorOppOrbPctN1">View!$C$50</definedName>
    <definedName name="FactorOppOrbPctRankN">View!$G$50</definedName>
    <definedName name="FactorOppOrbPctRankN1">View!$D$50</definedName>
    <definedName name="FactorOppTovPctN">View!$F$51</definedName>
    <definedName name="FactorOppTovPctN1">View!$C$51</definedName>
    <definedName name="FactorOppTovPctRankN">View!$G$51</definedName>
    <definedName name="FactorOppTovPctRankN1">View!$D$51</definedName>
    <definedName name="FactorOrbPctN">View!$F$46</definedName>
    <definedName name="FactorOrbPctN1">View!$C$46</definedName>
    <definedName name="FactorOrbPctRankN">View!$G$46</definedName>
    <definedName name="FactorOrbPctRankN1">View!$D$46</definedName>
    <definedName name="FactorTovPctN">View!$F$47</definedName>
    <definedName name="FactorTovPctN1">View!$C$47</definedName>
    <definedName name="FactorTovPctRankN">View!$G$47</definedName>
    <definedName name="FactorTovPctRankN1">View!$D$47</definedName>
    <definedName name="Misc2ndPts">View!$C$64</definedName>
    <definedName name="Misc2ndPtsN">View!$F$64</definedName>
    <definedName name="Misc2ndPtsN1">View!$C$64</definedName>
    <definedName name="Misc2ndPtsRankN">View!$G$64</definedName>
    <definedName name="Misc2ndPtsRankN1">View!$D$64</definedName>
    <definedName name="MiscOpp2ndPtsN">View!$F$65</definedName>
    <definedName name="MiscOpp2ndPtsN1">View!$C$65</definedName>
    <definedName name="MiscOpp2ndPtsRankN">View!$G$65</definedName>
    <definedName name="MiscOpp2ndPtsRankN1">View!$D$65</definedName>
    <definedName name="MiscOppPtsFbN">View!$F$67</definedName>
    <definedName name="MiscOppPtsFbN1">View!$C$67</definedName>
    <definedName name="MiscOppPtsFbRankN">View!$G$67</definedName>
    <definedName name="MiscOppPtsFbRankN1">View!$D$67</definedName>
    <definedName name="MiscOppPtsOffTovN">View!$F$63</definedName>
    <definedName name="MiscOppPtsOffTovN1">View!$C$63</definedName>
    <definedName name="MiscOppPtsOffTovRankN">View!$G$63</definedName>
    <definedName name="MiscOppPtsOffTovRankN1">View!$D$63</definedName>
    <definedName name="MiscOppPtsPaintN">View!$F$69</definedName>
    <definedName name="MiscOppPtsPaintN1">View!$C$69</definedName>
    <definedName name="MiscOppPtsPaintRankN">View!$G$69</definedName>
    <definedName name="MiscOppPtsPaintRankN1">View!$D$69</definedName>
    <definedName name="MiscPtsFbN">View!$F$66</definedName>
    <definedName name="MiscPtsFbN1">View!$C$66</definedName>
    <definedName name="MiscPtsFbRankN">View!$G$66</definedName>
    <definedName name="MiscPtsFbRankN1">View!$D$66</definedName>
    <definedName name="MiscPtsOffTovN">View!$F$62</definedName>
    <definedName name="MiscPtsOffTovN1">View!$C$62</definedName>
    <definedName name="MiscPtsOffTovRankN">View!$G$62</definedName>
    <definedName name="MiscPtsOffTovRankN1">View!$D$62</definedName>
    <definedName name="MiscPtsPaintN">View!$F$68</definedName>
    <definedName name="MiscPtsPaintN1">View!$C$68</definedName>
    <definedName name="MiscPtsPaintRankN">View!$G$68</definedName>
    <definedName name="MiscPtsPaintRankN1">View!$D$68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<sst xmlns="http://schemas.openxmlformats.org/spreadsheetml/2006/main" count="124" uniqueCount="108">
  <si>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</si>
  <si>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</si>
  <si>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</si>
  <si>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</si>
  <si>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</si>
  <si>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</si>
  <si>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</si>
  <si>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</si>
  <si>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</si>
  <si>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</si>
  <si>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</si>
  <si>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</si>
  <si>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</si>
  <si>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</si>
  <si>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</si>
  <si>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</si>
  <si>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</si>
  <si>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</si>
  <si>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</si>
  <si>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</si>
  <si>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</si>
  <si>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</si>
  <si>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</si>
  <si>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</si>
  <si>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</si>
  <si>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</si>
  <si>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</si>
  <si>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</si>
  <si>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</si>
  <si>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</si>
  <si>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</si>
  <si>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</si>
  <si>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</si>
  <si>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</si>
  <si>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</si>
  <si>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</si>
  <si>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</si>
  <si>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</si>
  <si>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</si>
  <si>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</si>
  <si>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</si>
  <si>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</si>
  <si>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</si>
  <si>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</si>
  <si>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</si>
  <si>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</si>
  <si>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</si>
  <si>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</si>
  <si>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</si>
  <si>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</si>
  <si>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</si>
  <si>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</si>
  <si>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</si>
  <si>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</si>
  <si>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</si>
  <si>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</si>
  <si>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</si>
  <si>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</si>
  <si>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</si>
  <si>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</si>
  <si>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</si>
  <si>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</si>
  <si>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</si>
  <si>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</si>
  <si>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MIN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</si>
  <si>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</si>
  <si>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</si>
  <si>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</si>
  <si>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</si>
  <si>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</si>
  <si>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</si>
  <si>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</si>
  <si>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</si>
  <si>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</si>
  <si>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</si>
  <si>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</si>
  <si>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</si>
  <si>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</si>
  <si>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</si>
  <si>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</si>
  <si>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</si>
  <si>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</si>
  <si>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</si>
  <si>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</si>
  <si>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</si>
  <si>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</si>
  <si>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</si>
  <si>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</si>
  <si>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</si>
  <si>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</si>
  <si>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</si>
  <si>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</si>
  <si>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</si>
  <si>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</si>
  <si>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Pick Target Team</t>
  </si>
  <si>
    <t>OPP ORB%</t>
    <phoneticPr fontId="1"/>
  </si>
  <si>
    <t>OPP TOV%</t>
    <phoneticPr fontId="1"/>
  </si>
  <si>
    <t>4 Factors</t>
    <phoneticPr fontId="1"/>
  </si>
  <si>
    <t>OPP eFG%</t>
    <phoneticPr fontId="1"/>
  </si>
  <si>
    <t>OPP FTR</t>
    <phoneticPr fontId="1"/>
  </si>
  <si>
    <t>ORB%</t>
    <phoneticPr fontId="1"/>
  </si>
  <si>
    <t>FTR</t>
    <phoneticPr fontId="1"/>
  </si>
  <si>
    <t>7-3</t>
  </si>
  <si>
    <t>0-0</t>
  </si>
  <si>
    <t>48-34</t>
  </si>
  <si>
    <t>24-17</t>
  </si>
  <si>
    <t>Warriors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</si>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</sst>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5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ill="1"/>
    <xf numFmtId="171" fontId="0" fillId="0" borderId="0" xfId="0" applyNumberFormat="1"/>
    <xf numFmtId="0" fontId="0" fillId="7" borderId="0" xfId="0" applyFill="1"/>
    <xf numFmtId="0" fontId="2" fillId="3" borderId="0" xfId="0" applyFon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3" fillId="0" borderId="0" xfId="0" applyFont="1"/>
    <xf numFmtId="0" fontId="3" fillId="5" borderId="1" xfId="0" applyFont="1" applyFill="1" applyBorder="1" applyProtection="1">
      <protection locked="0"/>
    </xf>
    <xf numFmtId="49" fontId="2" fillId="5" borderId="0" xfId="0" applyNumberFormat="1" applyFont="1" applyFill="1"/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10</xdr:row>
          <xdr:rowOff>158750</xdr:rowOff>
        </xdr:from>
        <xdr:to>
          <xdr:col>4</xdr:col>
          <xdr:colOff>6350</xdr:colOff>
          <xdr:row>17</xdr:row>
          <xdr:rowOff>25400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12700</xdr:rowOff>
        </xdr:from>
        <xdr:to>
          <xdr:col>3</xdr:col>
          <xdr:colOff>641350</xdr:colOff>
          <xdr:row>9</xdr:row>
          <xdr:rowOff>165100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D2" sqref="D2"/>
    </sheetView>
  </sheetViews>
  <sheetFormatPr defaultRowHeight="14.5"/>
  <cols>
    <col min="6" max="6" width="8.6328125" customWidth="1"/>
  </cols>
  <sheetData>
    <row r="1" spans="2:6" ht="15" thickBot="1"/>
    <row r="2" spans="2:6" ht="15" thickBot="1">
      <c r="B2" s="19" t="s">
        <v>94</v>
      </c>
      <c r="D2" s="20" t="s">
        <v>93</v>
      </c>
      <c r="F2" s="14" t="s">
        <v>65</v>
      </c>
    </row>
    <row r="3" spans="2:6">
      <c r="F3" s="14" t="s">
        <v>76</v>
      </c>
    </row>
    <row r="4" spans="2:6">
      <c r="F4" s="14" t="s">
        <v>66</v>
      </c>
    </row>
    <row r="5" spans="2:6">
      <c r="F5" s="14" t="s">
        <v>91</v>
      </c>
    </row>
    <row r="6" spans="2:6">
      <c r="F6" s="14" t="s">
        <v>68</v>
      </c>
    </row>
    <row r="7" spans="2:6">
      <c r="F7" s="14" t="s">
        <v>92</v>
      </c>
    </row>
    <row r="8" spans="2:6">
      <c r="F8" s="14" t="s">
        <v>69</v>
      </c>
    </row>
    <row r="9" spans="2:6">
      <c r="F9" s="14" t="s">
        <v>70</v>
      </c>
    </row>
    <row r="10" spans="2:6">
      <c r="F10" s="14" t="s">
        <v>90</v>
      </c>
    </row>
    <row r="11" spans="2:6">
      <c r="F11" s="14" t="s">
        <v>93</v>
      </c>
    </row>
    <row r="12" spans="2:6">
      <c r="F12" s="14" t="s">
        <v>71</v>
      </c>
    </row>
    <row r="13" spans="2:6">
      <c r="F13" s="14" t="s">
        <v>79</v>
      </c>
    </row>
    <row r="14" spans="2:6">
      <c r="F14" s="14" t="s">
        <v>72</v>
      </c>
    </row>
    <row r="15" spans="2:6">
      <c r="F15" s="14" t="s">
        <v>73</v>
      </c>
    </row>
    <row r="16" spans="2:6">
      <c r="F16" s="14" t="s">
        <v>88</v>
      </c>
    </row>
    <row r="17" spans="6:6">
      <c r="F17" s="14" t="s">
        <v>74</v>
      </c>
    </row>
    <row r="18" spans="6:6">
      <c r="F18" s="14" t="s">
        <v>75</v>
      </c>
    </row>
    <row r="19" spans="6:6">
      <c r="F19" s="14" t="s">
        <v>64</v>
      </c>
    </row>
    <row r="20" spans="6:6">
      <c r="F20" s="14" t="s">
        <v>67</v>
      </c>
    </row>
    <row r="21" spans="6:6">
      <c r="F21" s="14" t="s">
        <v>77</v>
      </c>
    </row>
    <row r="22" spans="6:6">
      <c r="F22" s="14" t="s">
        <v>85</v>
      </c>
    </row>
    <row r="23" spans="6:6">
      <c r="F23" s="14" t="s">
        <v>78</v>
      </c>
    </row>
    <row r="24" spans="6:6">
      <c r="F24" s="14" t="s">
        <v>80</v>
      </c>
    </row>
    <row r="25" spans="6:6">
      <c r="F25" s="14" t="s">
        <v>81</v>
      </c>
    </row>
    <row r="26" spans="6:6">
      <c r="F26" s="14" t="s">
        <v>82</v>
      </c>
    </row>
    <row r="27" spans="6:6">
      <c r="F27" s="14" t="s">
        <v>83</v>
      </c>
    </row>
    <row r="28" spans="6:6">
      <c r="F28" s="14" t="s">
        <v>84</v>
      </c>
    </row>
    <row r="29" spans="6:6">
      <c r="F29" s="14" t="s">
        <v>86</v>
      </c>
    </row>
    <row r="30" spans="6:6">
      <c r="F30" s="14" t="s">
        <v>87</v>
      </c>
    </row>
    <row r="31" spans="6:6">
      <c r="F31" s="14" t="s">
        <v>89</v>
      </c>
    </row>
  </sheetData>
  <sortState xmlns:xlrd2="http://schemas.microsoft.com/office/spreadsheetml/2017/richdata2" ref="F2:F31">
    <sortCondition ref="F31"/>
  </sortState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641350</xdr:colOff>
                    <xdr:row>10</xdr:row>
                    <xdr:rowOff>158750</xdr:rowOff>
                  </from>
                  <to>
                    <xdr:col>4</xdr:col>
                    <xdr:colOff>6350</xdr:colOff>
                    <xdr:row>17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6350</xdr:colOff>
                    <xdr:row>4</xdr:row>
                    <xdr:rowOff>12700</xdr:rowOff>
                  </from>
                  <to>
                    <xdr:col>3</xdr:col>
                    <xdr:colOff>641350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78"/>
  <sheetViews>
    <sheetView workbookViewId="0">
      <selection activeCell="H40" sqref="H40"/>
    </sheetView>
  </sheetViews>
  <sheetFormatPr defaultRowHeight="14.5"/>
  <cols>
    <col min="2" max="2" width="19" bestFit="1" customWidth="1"/>
    <col min="6" max="6" width="8.1796875" bestFit="1" customWidth="1"/>
  </cols>
  <sheetData>
    <row r="1" spans="1:7">
      <c r="B1" s="15"/>
      <c r="C1" s="15"/>
      <c r="D1" s="15"/>
      <c r="E1" s="15"/>
      <c r="F1" s="15"/>
      <c r="G1" s="15"/>
    </row>
    <row r="2" spans="1:7">
      <c r="B2" s="21" t="s">
        <v>106</v>
      </c>
      <c r="C2" s="15" t="str">
        <f xml:space="preserve"> GetSeason(1)</f>
        <v>2024-25</v>
      </c>
      <c r="D2" s="15" t="s">
        <v>4</v>
      </c>
      <c r="E2" s="15"/>
      <c r="F2" s="15" t="str">
        <f xml:space="preserve"> GetSeason(0)</f>
        <v>2025-26</v>
      </c>
      <c r="G2" s="15" t="s">
        <v>4</v>
      </c>
    </row>
    <row r="3" spans="1:7">
      <c r="A3" s="24" t="s">
        <v>63</v>
      </c>
      <c r="B3" s="5" t="s">
        <v>5</v>
      </c>
      <c r="C3" s="1" t="s">
        <v>104</v>
      </c>
      <c r="D3" s="2">
        <v>7</v>
      </c>
      <c r="F3" s="1" t="s">
        <v>103</v>
      </c>
      <c r="G3" s="2"/>
    </row>
    <row r="4" spans="1:7">
      <c r="A4" s="24"/>
      <c r="B4" s="5" t="s">
        <v>6</v>
      </c>
      <c r="C4" s="11">
        <v>0.58499999999999996</v>
      </c>
      <c r="F4" s="11">
        <v>0</v>
      </c>
    </row>
    <row r="5" spans="1:7">
      <c r="A5" s="24"/>
      <c r="B5" s="5" t="s">
        <v>7</v>
      </c>
      <c r="C5" s="1" t="s">
        <v>102</v>
      </c>
      <c r="F5" s="1" t="s">
        <v>103</v>
      </c>
    </row>
    <row r="6" spans="1:7">
      <c r="A6" s="24"/>
      <c r="B6" s="5" t="s">
        <v>2</v>
      </c>
      <c r="C6" s="1" t="s">
        <v>105</v>
      </c>
      <c r="F6" s="1" t="s">
        <v>103</v>
      </c>
    </row>
    <row r="7" spans="1:7">
      <c r="A7" s="24"/>
      <c r="B7" s="5" t="s">
        <v>3</v>
      </c>
      <c r="C7" s="1" t="s">
        <v>105</v>
      </c>
      <c r="F7" s="1" t="s">
        <v>103</v>
      </c>
    </row>
    <row r="8" spans="1:7">
      <c r="A8" s="24"/>
      <c r="B8" s="5" t="s">
        <v>0</v>
      </c>
      <c r="C8" s="1" t="s">
        <v>104</v>
      </c>
      <c r="F8" s="1" t="s">
        <v>107</v>
      </c>
    </row>
    <row r="9" spans="1:7">
      <c r="A9" s="24"/>
      <c r="B9" s="5" t="s">
        <v>1</v>
      </c>
      <c r="C9" s="1" t="s">
        <v>107</v>
      </c>
      <c r="F9" s="1" t="s">
        <v>107</v>
      </c>
    </row>
    <row r="10" spans="1:7">
      <c r="B10" s="12"/>
      <c r="C10" s="1"/>
      <c r="F10" s="1"/>
    </row>
    <row r="11" spans="1:7">
      <c r="A11" s="24" t="s">
        <v>62</v>
      </c>
      <c r="B11" s="14" t="s">
        <v>26</v>
      </c>
      <c r="C11" s="9"/>
      <c r="D11" s="3"/>
      <c r="F11" s="9">
        <v>0.45100000000000001</v>
      </c>
      <c r="G11" s="3">
        <v>25</v>
      </c>
    </row>
    <row r="12" spans="1:7">
      <c r="A12" s="24"/>
      <c r="B12" s="14" t="s">
        <v>36</v>
      </c>
      <c r="C12" s="8"/>
      <c r="D12" s="3"/>
      <c r="F12" s="8">
        <v>40.799999999999997</v>
      </c>
      <c r="G12" s="3">
        <v>21</v>
      </c>
    </row>
    <row r="13" spans="1:7">
      <c r="A13" s="24"/>
      <c r="B13" s="14" t="s">
        <v>37</v>
      </c>
      <c r="C13" s="8"/>
      <c r="D13" s="3"/>
      <c r="F13" s="8">
        <v>90.4</v>
      </c>
      <c r="G13" s="3">
        <v>8</v>
      </c>
    </row>
    <row r="14" spans="1:7">
      <c r="A14" s="24"/>
      <c r="B14" s="14" t="s">
        <v>27</v>
      </c>
      <c r="C14" s="9"/>
      <c r="D14" s="3"/>
      <c r="F14" s="9">
        <v>0.36399999999999999</v>
      </c>
      <c r="G14" s="3">
        <v>16</v>
      </c>
    </row>
    <row r="15" spans="1:7">
      <c r="A15" s="24"/>
      <c r="B15" s="14" t="s">
        <v>38</v>
      </c>
      <c r="C15" s="8"/>
      <c r="D15" s="3"/>
      <c r="F15" s="8">
        <v>15.4</v>
      </c>
      <c r="G15" s="3">
        <v>4</v>
      </c>
    </row>
    <row r="16" spans="1:7">
      <c r="A16" s="24"/>
      <c r="B16" s="14" t="s">
        <v>39</v>
      </c>
      <c r="C16" s="8"/>
      <c r="D16" s="3"/>
      <c r="F16" s="8">
        <v>42.4</v>
      </c>
      <c r="G16" s="3">
        <v>2</v>
      </c>
    </row>
    <row r="17" spans="1:7">
      <c r="A17" s="24"/>
      <c r="B17" s="14" t="s">
        <v>28</v>
      </c>
      <c r="C17" s="9"/>
      <c r="D17" s="3"/>
      <c r="F17" s="9">
        <v>0.76400000000000001</v>
      </c>
      <c r="G17" s="3">
        <v>25</v>
      </c>
    </row>
    <row r="18" spans="1:7">
      <c r="A18" s="24"/>
      <c r="B18" s="14" t="s">
        <v>41</v>
      </c>
      <c r="C18" s="8"/>
      <c r="D18" s="3"/>
      <c r="F18" s="8">
        <v>16.899999999999999</v>
      </c>
      <c r="G18" s="3">
        <v>17</v>
      </c>
    </row>
    <row r="19" spans="1:7">
      <c r="A19" s="24"/>
      <c r="B19" s="14" t="s">
        <v>40</v>
      </c>
      <c r="C19" s="8"/>
      <c r="D19" s="3"/>
      <c r="F19" s="8">
        <v>22.1</v>
      </c>
      <c r="G19" s="3">
        <v>13</v>
      </c>
    </row>
    <row r="20" spans="1:7">
      <c r="A20" s="24"/>
      <c r="B20" s="14" t="s">
        <v>29</v>
      </c>
      <c r="C20" s="8"/>
      <c r="D20" s="3"/>
      <c r="F20" s="8">
        <v>29.1</v>
      </c>
      <c r="G20" s="3">
        <v>4</v>
      </c>
    </row>
    <row r="21" spans="1:7">
      <c r="A21" s="24"/>
      <c r="B21" s="14" t="s">
        <v>30</v>
      </c>
      <c r="C21" s="8"/>
      <c r="D21" s="3"/>
      <c r="F21" s="8">
        <v>14</v>
      </c>
      <c r="G21" s="3">
        <v>14</v>
      </c>
    </row>
    <row r="22" spans="1:7">
      <c r="A22" s="24"/>
      <c r="B22" s="14" t="s">
        <v>32</v>
      </c>
      <c r="C22" s="8"/>
      <c r="D22" s="3"/>
      <c r="F22" s="8">
        <v>45.4</v>
      </c>
      <c r="G22" s="3">
        <v>7</v>
      </c>
    </row>
    <row r="23" spans="1:7">
      <c r="A23" s="24"/>
      <c r="B23" s="14" t="s">
        <v>31</v>
      </c>
      <c r="C23" s="8"/>
      <c r="D23" s="3"/>
      <c r="F23" s="8">
        <v>12.5</v>
      </c>
      <c r="G23" s="3">
        <v>5</v>
      </c>
    </row>
    <row r="24" spans="1:7">
      <c r="A24" s="24"/>
      <c r="B24" s="14" t="s">
        <v>33</v>
      </c>
      <c r="C24" s="8"/>
      <c r="D24" s="3"/>
      <c r="F24" s="8">
        <v>32.799999999999997</v>
      </c>
      <c r="G24" s="3">
        <v>19</v>
      </c>
    </row>
    <row r="25" spans="1:7">
      <c r="A25" s="24"/>
      <c r="B25" s="14" t="s">
        <v>34</v>
      </c>
      <c r="C25" s="8"/>
      <c r="D25" s="3"/>
      <c r="F25" s="8">
        <v>9.4</v>
      </c>
      <c r="G25" s="3">
        <v>4</v>
      </c>
    </row>
    <row r="26" spans="1:7">
      <c r="A26" s="24"/>
      <c r="B26" s="14" t="s">
        <v>35</v>
      </c>
      <c r="C26" s="8"/>
      <c r="D26" s="3"/>
      <c r="F26" s="8">
        <v>4.8</v>
      </c>
      <c r="G26" s="3">
        <v>17</v>
      </c>
    </row>
    <row r="27" spans="1:7">
      <c r="B27" s="12"/>
      <c r="C27" s="8"/>
      <c r="D27" s="3"/>
      <c r="F27" s="8"/>
      <c r="G27" s="3"/>
    </row>
    <row r="28" spans="1:7">
      <c r="A28" s="24" t="s">
        <v>61</v>
      </c>
      <c r="B28" s="16" t="s">
        <v>42</v>
      </c>
      <c r="C28" s="9"/>
      <c r="D28" s="3"/>
      <c r="F28" s="9">
        <v>0.46500000000000002</v>
      </c>
      <c r="G28" s="3">
        <v>11</v>
      </c>
    </row>
    <row r="29" spans="1:7">
      <c r="A29" s="24"/>
      <c r="B29" s="16" t="s">
        <v>43</v>
      </c>
      <c r="C29" s="9"/>
      <c r="D29" s="3"/>
      <c r="F29" s="9">
        <v>0.36299999999999999</v>
      </c>
      <c r="G29" s="3">
        <v>18</v>
      </c>
    </row>
    <row r="30" spans="1:7">
      <c r="A30" s="24"/>
      <c r="B30" s="16" t="s">
        <v>44</v>
      </c>
      <c r="C30" s="8"/>
      <c r="D30" s="3"/>
      <c r="F30" s="8">
        <v>13.2</v>
      </c>
      <c r="G30" s="3">
        <v>12</v>
      </c>
    </row>
    <row r="31" spans="1:7">
      <c r="A31" s="24"/>
      <c r="B31" s="16" t="s">
        <v>45</v>
      </c>
      <c r="C31" s="8"/>
      <c r="D31" s="3"/>
      <c r="F31" s="8">
        <v>36.299999999999997</v>
      </c>
      <c r="G31" s="3">
        <v>8</v>
      </c>
    </row>
    <row r="32" spans="1:7">
      <c r="A32" s="24"/>
      <c r="B32" s="16" t="s">
        <v>46</v>
      </c>
      <c r="C32" s="8"/>
      <c r="D32" s="3"/>
      <c r="F32" s="8">
        <v>15.7</v>
      </c>
      <c r="G32" s="3">
        <v>5</v>
      </c>
    </row>
    <row r="33" spans="1:7">
      <c r="A33" s="24"/>
      <c r="B33" s="16" t="s">
        <v>47</v>
      </c>
      <c r="C33" s="8"/>
      <c r="D33" s="3"/>
      <c r="F33" s="8">
        <v>10.6</v>
      </c>
      <c r="G33" s="3">
        <v>8</v>
      </c>
    </row>
    <row r="35" spans="1:7">
      <c r="A35" s="24" t="s">
        <v>60</v>
      </c>
      <c r="B35" s="4" t="s">
        <v>8</v>
      </c>
      <c r="C35" s="8">
        <v>112.1</v>
      </c>
      <c r="D35" s="3">
        <v>16</v>
      </c>
      <c r="F35" s="8">
        <v>114.2</v>
      </c>
      <c r="G35" s="3">
        <v>16</v>
      </c>
    </row>
    <row r="36" spans="1:7">
      <c r="A36" s="24"/>
      <c r="B36" s="4" t="s">
        <v>9</v>
      </c>
      <c r="C36" s="8">
        <v>106.6</v>
      </c>
      <c r="D36" s="3">
        <v>2</v>
      </c>
      <c r="F36" s="8">
        <v>111</v>
      </c>
      <c r="G36" s="3">
        <v>7</v>
      </c>
    </row>
    <row r="37" spans="1:7">
      <c r="A37" s="24"/>
      <c r="B37" s="4" t="s">
        <v>10</v>
      </c>
      <c r="C37" s="8">
        <v>5.5</v>
      </c>
      <c r="D37" s="3">
        <v>4</v>
      </c>
      <c r="F37" s="8">
        <v>3.2</v>
      </c>
      <c r="G37" s="3">
        <v>10</v>
      </c>
    </row>
    <row r="38" spans="1:7">
      <c r="A38" s="24"/>
      <c r="B38" s="4" t="s">
        <v>11</v>
      </c>
      <c r="C38" s="13">
        <v>98.74</v>
      </c>
      <c r="D38" s="3">
        <v>15</v>
      </c>
      <c r="F38" s="13">
        <v>99.37</v>
      </c>
      <c r="G38" s="3">
        <v>17</v>
      </c>
    </row>
    <row r="39" spans="1:7">
      <c r="A39" s="24"/>
      <c r="B39" s="4" t="s">
        <v>12</v>
      </c>
      <c r="C39" s="10">
        <v>0.55200000000000005</v>
      </c>
      <c r="D39" s="3">
        <v>3</v>
      </c>
      <c r="F39" s="9">
        <v>0.53600000000000003</v>
      </c>
      <c r="G39" s="3">
        <v>20</v>
      </c>
    </row>
    <row r="40" spans="1:7">
      <c r="A40" s="24"/>
      <c r="B40" s="4" t="s">
        <v>13</v>
      </c>
      <c r="C40" s="10">
        <v>0.66900000000000004</v>
      </c>
      <c r="D40" s="3">
        <v>1</v>
      </c>
      <c r="F40" s="9">
        <v>0.71399999999999997</v>
      </c>
      <c r="G40" s="3">
        <v>1</v>
      </c>
    </row>
    <row r="41" spans="1:7">
      <c r="A41" s="24"/>
      <c r="B41" s="4" t="s">
        <v>14</v>
      </c>
      <c r="C41" s="10">
        <v>0.51</v>
      </c>
      <c r="D41" s="3">
        <v>8</v>
      </c>
      <c r="F41" s="9">
        <v>0.50900000000000001</v>
      </c>
      <c r="G41" s="3">
        <v>7</v>
      </c>
    </row>
    <row r="42" spans="1:7">
      <c r="A42" s="24"/>
      <c r="B42" s="4" t="s">
        <v>15</v>
      </c>
      <c r="C42" s="10">
        <v>0.26900000000000002</v>
      </c>
      <c r="D42" s="3">
        <v>15</v>
      </c>
      <c r="F42" s="9">
        <v>0.314</v>
      </c>
      <c r="G42" s="3">
        <v>4</v>
      </c>
    </row>
    <row r="43" spans="1:7">
      <c r="A43" s="24"/>
      <c r="B43" s="4" t="s">
        <v>16</v>
      </c>
      <c r="C43" s="10">
        <v>0.73599999999999999</v>
      </c>
      <c r="D43" s="3">
        <v>6</v>
      </c>
      <c r="F43" s="9">
        <v>0.71599999999999997</v>
      </c>
      <c r="G43" s="3">
        <v>8</v>
      </c>
    </row>
    <row r="44" spans="1:7">
      <c r="A44" s="24"/>
      <c r="B44" s="4" t="s">
        <v>17</v>
      </c>
      <c r="C44" s="10">
        <v>0.15</v>
      </c>
      <c r="D44" s="3">
        <v>29</v>
      </c>
      <c r="F44" s="9">
        <v>0.14099999999999999</v>
      </c>
      <c r="G44" s="3">
        <v>14</v>
      </c>
    </row>
    <row r="45" spans="1:7">
      <c r="A45" s="22"/>
      <c r="C45" s="10"/>
      <c r="D45" s="3"/>
      <c r="F45" s="9"/>
      <c r="G45" s="3"/>
    </row>
    <row r="46" spans="1:7">
      <c r="A46" s="24" t="s">
        <v>97</v>
      </c>
      <c r="B46" s="23" t="s">
        <v>100</v>
      </c>
      <c r="C46" s="9"/>
      <c r="D46" s="3"/>
      <c r="F46" s="9">
        <v>0.314</v>
      </c>
      <c r="G46" s="3">
        <v>4</v>
      </c>
    </row>
    <row r="47" spans="1:7">
      <c r="A47" s="24"/>
      <c r="B47" s="23" t="s">
        <v>17</v>
      </c>
      <c r="C47" s="9"/>
      <c r="D47" s="3"/>
      <c r="F47" s="9">
        <v>0.14099999999999999</v>
      </c>
      <c r="G47" s="3">
        <v>14</v>
      </c>
    </row>
    <row r="48" spans="1:7">
      <c r="A48" s="24"/>
      <c r="B48" s="23" t="s">
        <v>12</v>
      </c>
      <c r="C48" s="9"/>
      <c r="D48" s="3"/>
      <c r="F48" s="9">
        <v>0.53600000000000003</v>
      </c>
      <c r="G48" s="3">
        <v>20</v>
      </c>
    </row>
    <row r="49" spans="1:7">
      <c r="A49" s="24"/>
      <c r="B49" s="23" t="s">
        <v>101</v>
      </c>
      <c r="C49" s="9"/>
      <c r="D49" s="3"/>
      <c r="F49" s="9">
        <v>0.24399999999999999</v>
      </c>
      <c r="G49" s="3">
        <v>14</v>
      </c>
    </row>
    <row r="50" spans="1:7">
      <c r="A50" s="24"/>
      <c r="B50" s="23" t="s">
        <v>95</v>
      </c>
      <c r="C50" s="9"/>
      <c r="D50" s="3"/>
      <c r="F50" s="9">
        <v>0.28399999999999997</v>
      </c>
      <c r="G50" s="3">
        <v>8</v>
      </c>
    </row>
    <row r="51" spans="1:7">
      <c r="A51" s="24"/>
      <c r="B51" s="23" t="s">
        <v>96</v>
      </c>
      <c r="C51" s="9"/>
      <c r="D51" s="3"/>
      <c r="F51" s="9">
        <v>0.158</v>
      </c>
      <c r="G51" s="3">
        <v>4</v>
      </c>
    </row>
    <row r="52" spans="1:7">
      <c r="A52" s="24"/>
      <c r="B52" s="23" t="s">
        <v>98</v>
      </c>
      <c r="C52" s="9"/>
      <c r="D52" s="3"/>
      <c r="F52" s="9">
        <v>0.54100000000000004</v>
      </c>
      <c r="G52" s="3">
        <v>15</v>
      </c>
    </row>
    <row r="53" spans="1:7">
      <c r="A53" s="24"/>
      <c r="B53" s="23" t="s">
        <v>99</v>
      </c>
      <c r="C53" s="9"/>
      <c r="D53" s="3"/>
      <c r="F53" s="9">
        <v>0.246</v>
      </c>
      <c r="G53" s="3">
        <v>20</v>
      </c>
    </row>
    <row r="54" spans="1:7">
      <c r="B54" s="12"/>
      <c r="C54" s="10"/>
      <c r="D54" s="3"/>
      <c r="F54" s="9"/>
      <c r="G54" s="3"/>
    </row>
    <row r="55" spans="1:7">
      <c r="A55" s="25" t="s">
        <v>59</v>
      </c>
      <c r="B55" s="17" t="s">
        <v>48</v>
      </c>
      <c r="C55" s="8"/>
      <c r="D55" s="3"/>
      <c r="F55" s="8">
        <v>72.3</v>
      </c>
      <c r="G55" s="3">
        <v>19</v>
      </c>
    </row>
    <row r="56" spans="1:7">
      <c r="A56" s="24"/>
      <c r="B56" s="17" t="s">
        <v>49</v>
      </c>
      <c r="C56" s="8"/>
      <c r="D56" s="3"/>
      <c r="F56" s="8">
        <v>70.599999999999994</v>
      </c>
      <c r="G56" s="3">
        <v>5</v>
      </c>
    </row>
    <row r="57" spans="1:7">
      <c r="A57" s="24"/>
      <c r="B57" s="17" t="s">
        <v>50</v>
      </c>
      <c r="C57" s="8"/>
      <c r="D57" s="3"/>
      <c r="F57" s="8">
        <v>1.7</v>
      </c>
      <c r="G57" s="3">
        <v>11</v>
      </c>
    </row>
    <row r="58" spans="1:7">
      <c r="A58" s="24"/>
      <c r="B58" s="17" t="s">
        <v>51</v>
      </c>
      <c r="C58" s="8"/>
      <c r="D58" s="3"/>
      <c r="F58" s="8">
        <v>60.3</v>
      </c>
      <c r="G58" s="3">
        <v>4</v>
      </c>
    </row>
    <row r="59" spans="1:7">
      <c r="A59" s="24"/>
      <c r="B59" s="17" t="s">
        <v>52</v>
      </c>
      <c r="C59" s="8"/>
      <c r="D59" s="3"/>
      <c r="F59" s="8">
        <v>58.3</v>
      </c>
      <c r="G59" s="3">
        <v>20</v>
      </c>
    </row>
    <row r="60" spans="1:7">
      <c r="A60" s="24"/>
      <c r="B60" s="17" t="s">
        <v>53</v>
      </c>
      <c r="C60" s="8"/>
      <c r="D60" s="3"/>
      <c r="F60" s="8">
        <v>2</v>
      </c>
      <c r="G60" s="3">
        <v>8</v>
      </c>
    </row>
    <row r="62" spans="1:7">
      <c r="A62" s="24" t="s">
        <v>57</v>
      </c>
      <c r="B62" s="6" t="s">
        <v>18</v>
      </c>
      <c r="C62" s="7"/>
      <c r="D62" s="3"/>
      <c r="F62" s="7">
        <v>19.7</v>
      </c>
      <c r="G62" s="3">
        <v>2</v>
      </c>
    </row>
    <row r="63" spans="1:7">
      <c r="A63" s="24"/>
      <c r="B63" s="6" t="s">
        <v>19</v>
      </c>
      <c r="C63" s="7"/>
      <c r="D63" s="3"/>
      <c r="F63" s="7">
        <v>16.399999999999999</v>
      </c>
      <c r="G63" s="3">
        <v>8</v>
      </c>
    </row>
    <row r="64" spans="1:7">
      <c r="A64" s="24"/>
      <c r="B64" s="6" t="s">
        <v>20</v>
      </c>
      <c r="C64" s="7"/>
      <c r="D64" s="3"/>
      <c r="F64" s="7">
        <v>15.6</v>
      </c>
      <c r="G64" s="3">
        <v>7</v>
      </c>
    </row>
    <row r="65" spans="1:7">
      <c r="A65" s="24"/>
      <c r="B65" s="6" t="s">
        <v>21</v>
      </c>
      <c r="C65" s="7"/>
      <c r="D65" s="3"/>
      <c r="F65" s="7">
        <v>12.8</v>
      </c>
      <c r="G65" s="3">
        <v>3</v>
      </c>
    </row>
    <row r="66" spans="1:7">
      <c r="A66" s="24"/>
      <c r="B66" s="6" t="s">
        <v>22</v>
      </c>
      <c r="C66" s="7"/>
      <c r="D66" s="3"/>
      <c r="F66" s="7">
        <v>14.5</v>
      </c>
      <c r="G66" s="3">
        <v>20</v>
      </c>
    </row>
    <row r="67" spans="1:7">
      <c r="A67" s="24"/>
      <c r="B67" s="6" t="s">
        <v>23</v>
      </c>
      <c r="C67" s="7"/>
      <c r="D67" s="3"/>
      <c r="F67" s="7">
        <v>14.2</v>
      </c>
      <c r="G67" s="3">
        <v>8</v>
      </c>
    </row>
    <row r="68" spans="1:7">
      <c r="A68" s="24"/>
      <c r="B68" s="6" t="s">
        <v>24</v>
      </c>
      <c r="C68" s="7"/>
      <c r="D68" s="3"/>
      <c r="F68" s="7">
        <v>44.9</v>
      </c>
      <c r="G68" s="3">
        <v>26</v>
      </c>
    </row>
    <row r="69" spans="1:7">
      <c r="A69" s="24"/>
      <c r="B69" s="6" t="s">
        <v>25</v>
      </c>
      <c r="C69" s="7"/>
      <c r="D69" s="3"/>
      <c r="F69" s="7">
        <v>45.7</v>
      </c>
      <c r="G69" s="3">
        <v>2</v>
      </c>
    </row>
    <row r="71" spans="1:7">
      <c r="A71" s="24" t="s">
        <v>58</v>
      </c>
      <c r="B71" s="18" t="s">
        <v>54</v>
      </c>
      <c r="C71" s="3"/>
      <c r="D71" s="3"/>
      <c r="F71" s="3">
        <v>156.973333</v>
      </c>
      <c r="G71" s="3">
        <v>15</v>
      </c>
    </row>
    <row r="72" spans="1:7">
      <c r="A72" s="24"/>
      <c r="B72" s="18" t="s">
        <v>55</v>
      </c>
      <c r="C72" s="3"/>
      <c r="D72" s="3"/>
      <c r="F72" s="3">
        <v>27</v>
      </c>
      <c r="G72" s="3">
        <v>1</v>
      </c>
    </row>
    <row r="73" spans="1:7">
      <c r="A73" s="24"/>
      <c r="B73" s="18" t="s">
        <v>56</v>
      </c>
      <c r="C73" s="3"/>
      <c r="D73" s="3"/>
      <c r="F73" s="3">
        <v>21</v>
      </c>
      <c r="G73" s="3">
        <v>61</v>
      </c>
    </row>
    <row r="74" spans="1:7">
      <c r="A74" s="24"/>
      <c r="B74" s="18" t="s">
        <v>26</v>
      </c>
      <c r="C74" s="9"/>
      <c r="D74" s="3"/>
      <c r="F74" s="9">
        <v>0.40699999999999997</v>
      </c>
      <c r="G74" s="3">
        <v>57</v>
      </c>
    </row>
    <row r="75" spans="1:7">
      <c r="A75" s="24"/>
      <c r="B75" s="18" t="s">
        <v>42</v>
      </c>
      <c r="C75" s="9"/>
      <c r="D75" s="3"/>
      <c r="F75" s="9">
        <v>0.45500000000000002</v>
      </c>
      <c r="G75" s="3">
        <v>55</v>
      </c>
    </row>
    <row r="76" spans="1:7">
      <c r="A76" s="24"/>
      <c r="B76" s="18" t="s">
        <v>8</v>
      </c>
      <c r="C76" s="8"/>
      <c r="D76" s="3"/>
      <c r="F76" s="8">
        <v>111.3</v>
      </c>
      <c r="G76" s="3">
        <v>22</v>
      </c>
    </row>
    <row r="77" spans="1:7">
      <c r="A77" s="24"/>
      <c r="B77" s="18" t="s">
        <v>9</v>
      </c>
      <c r="C77" s="8"/>
      <c r="D77" s="3"/>
      <c r="F77" s="8">
        <v>112.9</v>
      </c>
      <c r="G77" s="3">
        <v>56</v>
      </c>
    </row>
    <row r="78" spans="1:7">
      <c r="A78" s="24"/>
      <c r="B78" s="18" t="s">
        <v>10</v>
      </c>
      <c r="C78" s="8"/>
      <c r="D78" s="3"/>
      <c r="F78" s="8">
        <v>-1.7</v>
      </c>
      <c r="G78" s="3">
        <v>39</v>
      </c>
    </row>
  </sheetData>
  <mergeCells count="8">
    <mergeCell ref="A3:A9"/>
    <mergeCell ref="A62:A69"/>
    <mergeCell ref="A71:A78"/>
    <mergeCell ref="A55:A60"/>
    <mergeCell ref="A35:A44"/>
    <mergeCell ref="A28:A33"/>
    <mergeCell ref="A11:A26"/>
    <mergeCell ref="A46:A5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270</vt:i4>
      </vt:variant>
    </vt:vector>
  </HeadingPairs>
  <TitlesOfParts>
    <vt:vector size="272" baseType="lpstr">
      <vt:lpstr>Controller</vt:lpstr>
      <vt:lpstr>View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FactorEfgPctN</vt:lpstr>
      <vt:lpstr>FactorEfgPctN1</vt:lpstr>
      <vt:lpstr>FactorEfgPctRankN</vt:lpstr>
      <vt:lpstr>FactorEfgPctRankN1</vt:lpstr>
      <vt:lpstr>FactorFtrN</vt:lpstr>
      <vt:lpstr>FactorFtrN1</vt:lpstr>
      <vt:lpstr>FactorFtrRankN</vt:lpstr>
      <vt:lpstr>FactorFtrRankN1</vt:lpstr>
      <vt:lpstr>FactorOppEfgPctN</vt:lpstr>
      <vt:lpstr>FactorOppEfgPctN1</vt:lpstr>
      <vt:lpstr>FactorOppEfgPctRankN</vt:lpstr>
      <vt:lpstr>FactorOppEfgPctRankN1</vt:lpstr>
      <vt:lpstr>FactorOppFtrN</vt:lpstr>
      <vt:lpstr>FactorOppFtrN1</vt:lpstr>
      <vt:lpstr>FactorOppFtrRankN</vt:lpstr>
      <vt:lpstr>FactorOppFtrRankN1</vt:lpstr>
      <vt:lpstr>FactorOppOrbPctN</vt:lpstr>
      <vt:lpstr>FactorOppOrbPctN1</vt:lpstr>
      <vt:lpstr>FactorOppOrbPctRankN</vt:lpstr>
      <vt:lpstr>FactorOppOrbPctRankN1</vt:lpstr>
      <vt:lpstr>FactorOppTovPctN</vt:lpstr>
      <vt:lpstr>FactorOppTovPctN1</vt:lpstr>
      <vt:lpstr>FactorOppTovPctRankN</vt:lpstr>
      <vt:lpstr>FactorOppTovPctRankN1</vt:lpstr>
      <vt:lpstr>FactorOrbPctN</vt:lpstr>
      <vt:lpstr>FactorOrbPctN1</vt:lpstr>
      <vt:lpstr>FactorOrbPctRankN</vt:lpstr>
      <vt:lpstr>FactorOrbPctRankN1</vt:lpstr>
      <vt:lpstr>FactorTovPctN</vt:lpstr>
      <vt:lpstr>FactorTovPctN1</vt:lpstr>
      <vt:lpstr>FactorTovPctRankN</vt:lpstr>
      <vt:lpstr>FactorTovPctRankN1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2025-10-18T23:10:07Z</dcterms:modified>
</cp:coreProperties>
</file>