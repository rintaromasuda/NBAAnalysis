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1C4FAB5F-E8CA-488A-B444-9F771E2C0031}" xr6:coauthVersionLast="45" xr6:coauthVersionMax="45" xr10:uidLastSave="{00000000-0000-0000-0000-000000000000}"/>
  <bookViews>
    <workbookView xWindow="-110" yWindow="-110" windowWidth="19420" windowHeight="10420" activeTab="2" xr2:uid="{00000000-000D-0000-FFFF-FFFF00000000}"/>
  </bookViews>
  <sheets>
    <sheet name="Controller" sheetId="44" r:id="rId1"/>
    <sheet name="View" sheetId="119" r:id="rId2"/>
    <sheet name="DataClutchBaseN" sheetId="120" r:id="rId3"/>
    <sheet name="DataClutchBaseN1" sheetId="121" r:id="rId4"/>
  </sheets>
  <functionGroups builtInGroupCount="19"/>
  <definedNames>
    <definedName name="AdvAstPctN">View!$E$40</definedName>
    <definedName name="AdvAstPctN1">View!$B$40</definedName>
    <definedName name="AdvAstPctRankN">View!$F$40</definedName>
    <definedName name="AdvAstPctRankN1">View!$C$40</definedName>
    <definedName name="AdvDefRatingN">View!$E$36</definedName>
    <definedName name="AdvDefRatingN1">View!$B$36</definedName>
    <definedName name="AdvDefRatingRankN">View!$F$36</definedName>
    <definedName name="AdvDefRatingRankN1">View!$C$36</definedName>
    <definedName name="AdvDrebPctN">View!$E$43</definedName>
    <definedName name="AdvDrebPctN1">View!$B$43</definedName>
    <definedName name="AdvDrebPctRank">View!$F$43</definedName>
    <definedName name="AdvDrebPctRankN">View!$F$43</definedName>
    <definedName name="AdvDrebPctRankN1">View!$C$43</definedName>
    <definedName name="AdvEfgPctN">View!$E$39</definedName>
    <definedName name="AdvEfgPctN1">View!$B$39</definedName>
    <definedName name="AdvEfgPctRankN">View!$F$39</definedName>
    <definedName name="AdvEfgPctRankN1">View!$C$39</definedName>
    <definedName name="AdvNetRatingN">View!$E$37</definedName>
    <definedName name="AdvNetRatingN1">View!$B$37</definedName>
    <definedName name="AdvNetRatingRank">View!$C$37</definedName>
    <definedName name="AdvNetRatingRankN">View!$F$37</definedName>
    <definedName name="AdvNetRatingRankN1">View!$C$37</definedName>
    <definedName name="AdvOffRatingN">View!$E$35</definedName>
    <definedName name="AdvOffRatingN1">View!$B$35</definedName>
    <definedName name="AdvOffRatingRankN">View!$F$35</definedName>
    <definedName name="AdvOffRatingRankN1">View!$C$35</definedName>
    <definedName name="AdvOrebPctN">View!$E$42</definedName>
    <definedName name="AdvOrebPctN1">View!$B$42</definedName>
    <definedName name="AdvOrebPctRankN">View!$F$42</definedName>
    <definedName name="AdvOrebPctRankN1">View!$C$42</definedName>
    <definedName name="AdvPaceN">View!$E$38</definedName>
    <definedName name="AdvPaceN1">View!$B$38</definedName>
    <definedName name="AdvPaceRankN">View!$F$38</definedName>
    <definedName name="AdvPaceRankN1">View!$C$38</definedName>
    <definedName name="AdvRebPctN">View!$E$41</definedName>
    <definedName name="AdvRebPctN1">View!$B$41</definedName>
    <definedName name="AdvRebPctRankN">View!$F$41</definedName>
    <definedName name="AdvRebPctRankN1">View!$C$41</definedName>
    <definedName name="AdvTmTovPctN">View!$E$44</definedName>
    <definedName name="AdvTmTovPctN1">View!$B$44</definedName>
    <definedName name="AdvTmTovPctRankN">View!$F$44</definedName>
    <definedName name="AdvTmTovPctRankN1">View!$C$44</definedName>
    <definedName name="BaseAstN">View!$E$20</definedName>
    <definedName name="BaseAstN1">View!$B$20</definedName>
    <definedName name="BaseAstRankN">View!$F$20</definedName>
    <definedName name="BaseAstRankN1">View!$C$20</definedName>
    <definedName name="BaseBlkN">View!$E$26</definedName>
    <definedName name="BaseBlkN1">View!$B$26</definedName>
    <definedName name="BaseBlkRankN">View!$F$26</definedName>
    <definedName name="BaseBlkRankN1">View!$C$26</definedName>
    <definedName name="BaseDrebN">View!$E$24</definedName>
    <definedName name="BaseDrebN1">View!$B$24</definedName>
    <definedName name="BaseDrebRankN">View!$F$24</definedName>
    <definedName name="BaseDrebRankN1">View!$C$24</definedName>
    <definedName name="BaseFg3aN">View!$E$16</definedName>
    <definedName name="BaseFg3aN1">View!$B$16</definedName>
    <definedName name="BaseFg3aRankN">View!$F$16</definedName>
    <definedName name="BaseFg3aRankN1">View!$C$16</definedName>
    <definedName name="BaseFg3mN">View!$E$15</definedName>
    <definedName name="BaseFg3mN1">View!$B$15</definedName>
    <definedName name="BaseFg3mRankN">View!$F$15</definedName>
    <definedName name="BaseFg3mRankN1">View!$C$15</definedName>
    <definedName name="BaseFg3PctN">View!$E$14</definedName>
    <definedName name="BaseFg3PctN1">View!$B$14</definedName>
    <definedName name="BaseFg3PctRankN">View!$F$14</definedName>
    <definedName name="BaseFg3PctRankN1">View!$C$14</definedName>
    <definedName name="BaseFgaN">View!$E$13</definedName>
    <definedName name="BaseFgaN1">View!$B$13</definedName>
    <definedName name="BaseFgaRankN">View!$F$13</definedName>
    <definedName name="BaseFgaRankN1">View!$C$13</definedName>
    <definedName name="BaseFgmN">View!$E$12</definedName>
    <definedName name="BaseFgmN1">View!$B$12</definedName>
    <definedName name="BaseFgmRankN">View!$F$12</definedName>
    <definedName name="BaseFgmRankN1">View!$C$12</definedName>
    <definedName name="BaseFgPctN">View!$E$11</definedName>
    <definedName name="BaseFgPctN1">View!$B$11</definedName>
    <definedName name="BaseFgPctRankN">View!$F$11</definedName>
    <definedName name="BaseFgPctRankN1">View!$C$11</definedName>
    <definedName name="BaseFtaN">View!$E$19</definedName>
    <definedName name="BaseFtaN1">View!$B$19</definedName>
    <definedName name="BaseFtaRankN">View!$F$19</definedName>
    <definedName name="BaseFtaRankN1">View!$C$19</definedName>
    <definedName name="BaseFtmN">View!$E$18</definedName>
    <definedName name="BaseFtmN1">View!$B$18</definedName>
    <definedName name="BaseFtmRankN">View!$F$18</definedName>
    <definedName name="BaseFtmRankN1">View!$C$18</definedName>
    <definedName name="BaseFtPctN">View!$E$17</definedName>
    <definedName name="BaseFtPctN1">View!$B$17</definedName>
    <definedName name="BaseFtPctRankN">View!$F$17</definedName>
    <definedName name="BaseFtPctRankN1">View!$C$17</definedName>
    <definedName name="BaseOrebN">View!$E$23</definedName>
    <definedName name="BaseOrebN1">View!$B$23</definedName>
    <definedName name="BaseOrebRankN">View!$F$23</definedName>
    <definedName name="BaseOrebRankN1">View!$C$23</definedName>
    <definedName name="BaseRebN">View!$E$22</definedName>
    <definedName name="BaseRebN1">View!$B$22</definedName>
    <definedName name="BaseRebRankN">View!$F$22</definedName>
    <definedName name="BaseRebRankN1">View!$C$22</definedName>
    <definedName name="BaseStlN">View!$E$25</definedName>
    <definedName name="BaseStlN1">View!$B$25</definedName>
    <definedName name="BaseStlRankN">View!$F$25</definedName>
    <definedName name="BaseStlRankN1">View!$C$25</definedName>
    <definedName name="BaseTovN">View!$E$21</definedName>
    <definedName name="BaseTovN1">View!$B$21</definedName>
    <definedName name="BaseTovRankN">View!$F$21</definedName>
    <definedName name="BaseTovRankN1">View!$C$21</definedName>
    <definedName name="Misc2ndPts">View!$B$48</definedName>
    <definedName name="Misc2ndPtsN">View!$E$48</definedName>
    <definedName name="Misc2ndPtsN1">View!$B$48</definedName>
    <definedName name="Misc2ndPtsRankN">View!$F$48</definedName>
    <definedName name="Misc2ndPtsRankN1">View!$C$48</definedName>
    <definedName name="MiscOpp2ndPtsN">View!$E$49</definedName>
    <definedName name="MiscOpp2ndPtsN1">View!$B$49</definedName>
    <definedName name="MiscOpp2ndPtsRankN">View!$F$49</definedName>
    <definedName name="MiscOpp2ndPtsRankN1">View!$C$49</definedName>
    <definedName name="MiscOppPtsFbN">View!$E$51</definedName>
    <definedName name="MiscOppPtsFbN1">View!$B$51</definedName>
    <definedName name="MiscOppPtsFbRankN">View!$F$51</definedName>
    <definedName name="MiscOppPtsFbRankN1">View!$C$51</definedName>
    <definedName name="MiscOppPtsOffTovN">View!$E$47</definedName>
    <definedName name="MiscOppPtsOffTovN1">View!$B$47</definedName>
    <definedName name="MiscOppPtsOffTovRankN">View!$F$47</definedName>
    <definedName name="MiscOppPtsOffTovRankN1">View!$C$47</definedName>
    <definedName name="MiscOppPtsPaintN">View!$E$53</definedName>
    <definedName name="MiscOppPtsPaintN1">View!$B$53</definedName>
    <definedName name="MiscOppPtsPaintRankN">View!$F$53</definedName>
    <definedName name="MiscOppPtsPaintRankN1">View!$C$53</definedName>
    <definedName name="MiscPtsFbN">View!$E$50</definedName>
    <definedName name="MiscPtsFbN1">View!$B$50</definedName>
    <definedName name="MiscPtsFbRankN">View!$F$50</definedName>
    <definedName name="MiscPtsFbRankN1">View!$C$50</definedName>
    <definedName name="MiscPtsOffTovN">View!$E$46</definedName>
    <definedName name="MiscPtsOffTovN1">View!$B$46</definedName>
    <definedName name="MiscPtsOffTovRankN">View!$F$46</definedName>
    <definedName name="MiscPtsOffTovRankN1">View!$C$46</definedName>
    <definedName name="MiscPtsPaintN">View!$E$52</definedName>
    <definedName name="MiscPtsPaintN1">View!$B$52</definedName>
    <definedName name="MiscPtsPaintRankN">View!$F$52</definedName>
    <definedName name="MiscPtsPaintRankN1">View!$C$52</definedName>
    <definedName name="OppBaseFg3aN">View!$E$31</definedName>
    <definedName name="OppBaseFg3aN1">View!$B$31</definedName>
    <definedName name="OppBaseFg3aRankN">View!$F$31</definedName>
    <definedName name="OppBaseFg3aRankN1">View!$C$31</definedName>
    <definedName name="OppBaseFg3mN">View!$E$30</definedName>
    <definedName name="OppBaseFg3mN1">View!$B$30</definedName>
    <definedName name="OppBaseFg3mRankN">View!$F$30</definedName>
    <definedName name="OppBaseFg3mRankN1">View!$C$30</definedName>
    <definedName name="OppBaseFg3PctN">View!$E$29</definedName>
    <definedName name="OppBaseFg3PctN1">View!$B$29</definedName>
    <definedName name="OppBaseFg3PctRankN">View!$F$29</definedName>
    <definedName name="OppBaseFg3PctRankN1">View!$C$29</definedName>
    <definedName name="OppBaseFgPctN">View!$E$28</definedName>
    <definedName name="OppBaseFgPctN1">View!$B$28</definedName>
    <definedName name="OppBaseFgPctRankN">View!$F$28</definedName>
    <definedName name="OppBaseFgPctRankN1">View!$C$28</definedName>
    <definedName name="OppBaseOrebN">View!$E$33</definedName>
    <definedName name="OppBaseOrebN1">View!$B$33</definedName>
    <definedName name="OppBaseOrebRankN">View!$F$33</definedName>
    <definedName name="OppBaseOrebRankN1">View!$C$33</definedName>
    <definedName name="OppBaseTovN">View!$E$32</definedName>
    <definedName name="OppBaseTovN1">View!$B$32</definedName>
    <definedName name="OppBaseTovRankN">View!$F$32</definedName>
    <definedName name="OppBaseTovRankN1">View!$C$32</definedName>
    <definedName name="StdHomeN">View!$E$6</definedName>
    <definedName name="StdHomeN1">View!$B$6</definedName>
    <definedName name="StdLast10N">View!$E$5</definedName>
    <definedName name="StdLast10N1">View!$B$5</definedName>
    <definedName name="StdPostASN">View!$E$9</definedName>
    <definedName name="StdPostASN1">View!$B$9</definedName>
    <definedName name="StdPreASN">View!$E$8</definedName>
    <definedName name="StdPreASN1">View!$B$8</definedName>
    <definedName name="StdRoadN">View!$E$7</definedName>
    <definedName name="StdRoadN1">View!$B$7</definedName>
    <definedName name="StdSeasonN">View!$E$3</definedName>
    <definedName name="StdSeasonN1">View!$B$3</definedName>
    <definedName name="StdSeasonRankN">View!$F$3</definedName>
    <definedName name="StdSeasonRankN1">View!$C$3</definedName>
    <definedName name="StdTeamName">View!$A$2</definedName>
    <definedName name="StdWinPctN">View!$E$4</definedName>
    <definedName name="StdWinPctN1">View!$B$4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19" l="1"/>
  <c r="B2" i="119"/>
</calcChain>
</file>

<file path=xl/sharedStrings.xml><?xml version="1.0" encoding="utf-8"?>
<sst xmlns="http://schemas.openxmlformats.org/spreadsheetml/2006/main" count="462" uniqueCount="273">
  <si>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</si>
  <si>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</si>
  <si>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</si>
  <si>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</si>
  <si>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</si>
  <si>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</si>
  <si>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</si>
  <si>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</si>
  <si>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</si>
  <si>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</si>
  <si>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</si>
  <si>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</si>
  <si>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</si>
  <si>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</si>
  <si>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</si>
  <si>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</si>
  <si>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</si>
  <si>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</si>
  <si>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Wizards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</si>
  <si>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</si>
  <si>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</si>
  <si>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</si>
  <si>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</si>
  <si>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</si>
  <si>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</si>
  <si>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</si>
  <si>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</si>
  <si>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</si>
  <si>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</si>
  <si>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</si>
  <si>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</si>
  <si>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</si>
  <si>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</si>
  <si>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</si>
  <si>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</si>
  <si>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</si>
  <si>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</si>
  <si>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</si>
  <si>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</si>
  <si>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</si>
  <si>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</si>
  <si>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</si>
  <si>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</si>
  <si>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</si>
  <si>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</si>
  <si>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</si>
  <si>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</si>
  <si>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</si>
  <si>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</si>
  <si>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TEAM_ID</t>
  </si>
  <si>
    <t>TEAM_NAME</t>
  </si>
  <si>
    <t>GP</t>
  </si>
  <si>
    <t>W</t>
  </si>
  <si>
    <t>L</t>
  </si>
  <si>
    <t>W_PCT</t>
  </si>
  <si>
    <t>MIN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</si>
  <si>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</si>
  <si>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</si>
  <si>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</si>
  <si>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</si>
  <si>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</si>
  <si>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</si>
  <si>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</si>
  <si>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</si>
  <si>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</si>
  <si>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</si>
  <si>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</si>
  <si>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</si>
  <si>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</si>
  <si>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</si>
  <si>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</si>
  <si>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</si>
  <si>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</si>
  <si>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</si>
  <si>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</si>
  <si>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</si>
  <si>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PLUS_MINUS</t>
  </si>
  <si>
    <t>GP_RANK</t>
  </si>
  <si>
    <t>W_RANK</t>
  </si>
  <si>
    <t>L_RANK</t>
  </si>
  <si>
    <t>W_PCT_RANK</t>
  </si>
  <si>
    <t>MIN_RANK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</si>
  <si>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</si>
  <si>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</si>
  <si>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</si>
  <si>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</si>
  <si>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</si>
  <si>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</si>
  <si>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</si>
  <si>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</si>
  <si>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</si>
  <si>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</si>
  <si>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</si>
  <si>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</si>
  <si>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</si>
  <si>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</si>
  <si>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</si>
  <si>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</si>
  <si>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</si>
  <si>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</si>
  <si>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</si>
  <si>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</si>
  <si>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PLUS_MINUS_RANK</t>
  </si>
  <si>
    <t>CFID</t>
  </si>
  <si>
    <t>CFPARAMS</t>
  </si>
  <si>
    <t>Atlanta Hawks</t>
  </si>
  <si>
    <t>45.0000000000000000000000</t>
  </si>
  <si>
    <t>17.2000000000000000000000</t>
  </si>
  <si>
    <t>4.4000000000000000000000</t>
  </si>
  <si>
    <t>Boston Celtics</t>
  </si>
  <si>
    <t>50.4000000000000000000000</t>
  </si>
  <si>
    <t>16.1000000000000000000000</t>
  </si>
  <si>
    <t>-9.4000000000000000000000</t>
  </si>
  <si>
    <t>Brooklyn Nets</t>
  </si>
  <si>
    <t>43.4000000000000000000000</t>
  </si>
  <si>
    <t>13.2000000000000000000000</t>
  </si>
  <si>
    <t>1.9000000000000000000000</t>
  </si>
  <si>
    <t>Charlotte Hornets</t>
  </si>
  <si>
    <t>46.0000000000000000000000</t>
  </si>
  <si>
    <t>17.6000000000000000000000</t>
  </si>
  <si>
    <t>7.4000000000000000000000</t>
  </si>
  <si>
    <t>Chicago Bulls</t>
  </si>
  <si>
    <t>50.7000000000000000000000</t>
  </si>
  <si>
    <t>19.5000000000000000000000</t>
  </si>
  <si>
    <t>4.6000000000000000000000</t>
  </si>
  <si>
    <t>Cleveland Cavaliers</t>
  </si>
  <si>
    <t>46.3000000000000000000000</t>
  </si>
  <si>
    <t>14.6000000000000000000000</t>
  </si>
  <si>
    <t>0.9000000000000000000000</t>
  </si>
  <si>
    <t>Dallas Mavericks</t>
  </si>
  <si>
    <t>13.3000000000000000000000</t>
  </si>
  <si>
    <t>-3.0000000000000000000000</t>
  </si>
  <si>
    <t>Denver Nuggets</t>
  </si>
  <si>
    <t>46.9000000000000000000000</t>
  </si>
  <si>
    <t>15.3000000000000000000000</t>
  </si>
  <si>
    <t>Detroit Pistons</t>
  </si>
  <si>
    <t>40.5000000000000000000000</t>
  </si>
  <si>
    <t>3.1000000000000000000000</t>
  </si>
  <si>
    <t>Golden State Warriors</t>
  </si>
  <si>
    <t>47.0000000000000000000000</t>
  </si>
  <si>
    <t>15.7000000000000000000000</t>
  </si>
  <si>
    <t>9.0000000000000000000000</t>
  </si>
  <si>
    <t>Houston Rockets</t>
  </si>
  <si>
    <t>48.2000000000000000000000</t>
  </si>
  <si>
    <t>16.0000000000000000000000</t>
  </si>
  <si>
    <t>-1.9000000000000000000000</t>
  </si>
  <si>
    <t>Indiana Pacers</t>
  </si>
  <si>
    <t>44.0000000000000000000000</t>
  </si>
  <si>
    <t>16.9000000000000000000000</t>
  </si>
  <si>
    <t>-3.4000000000000000000000</t>
  </si>
  <si>
    <t>LA Clippers</t>
  </si>
  <si>
    <t>44.1000000000000000000000</t>
  </si>
  <si>
    <t>-4.4000000000000000000000</t>
  </si>
  <si>
    <t>Los Angeles Lakers</t>
  </si>
  <si>
    <t>45.1000000000000000000000</t>
  </si>
  <si>
    <t>17.7000000000000000000000</t>
  </si>
  <si>
    <t>-8.3000000000000000000000</t>
  </si>
  <si>
    <t>Memphis Grizzlies</t>
  </si>
  <si>
    <t>46.8000000000000000000000</t>
  </si>
  <si>
    <t>15.4000000000000000000000</t>
  </si>
  <si>
    <t>9.9000000000000000000000</t>
  </si>
  <si>
    <t>Miami Heat</t>
  </si>
  <si>
    <t>43.2000000000000000000000</t>
  </si>
  <si>
    <t>18.8000000000000000000000</t>
  </si>
  <si>
    <t>-5.7000000000000000000000</t>
  </si>
  <si>
    <t>Milwaukee Bucks</t>
  </si>
  <si>
    <t>47.8000000000000000000000</t>
  </si>
  <si>
    <t>-8.1000000000000000000000</t>
  </si>
  <si>
    <t>Minnesota Timberwolves</t>
  </si>
  <si>
    <t>47.7000000000000000000000</t>
  </si>
  <si>
    <t>18.9000000000000000000000</t>
  </si>
  <si>
    <t>0.4000000000000000000000</t>
  </si>
  <si>
    <t>New Orleans Pelicans</t>
  </si>
  <si>
    <t>17.3000000000000000000000</t>
  </si>
  <si>
    <t>5.4000000000000000000000</t>
  </si>
  <si>
    <t>New York Knicks</t>
  </si>
  <si>
    <t>46.2000000000000000000000</t>
  </si>
  <si>
    <t>15.1000000000000000000000</t>
  </si>
  <si>
    <t>10.1000000000000000000000</t>
  </si>
  <si>
    <t>Oklahoma City Thunder</t>
  </si>
  <si>
    <t>-1.8000000000000000000000</t>
  </si>
  <si>
    <t>Orlando Magic</t>
  </si>
  <si>
    <t>46.1000000000000000000000</t>
  </si>
  <si>
    <t>14.3000000000000000000000</t>
  </si>
  <si>
    <t>1.2000000000000000000000</t>
  </si>
  <si>
    <t>Philadelphia 76ers</t>
  </si>
  <si>
    <t>39.2000000000000000000000</t>
  </si>
  <si>
    <t>16.8000000000000000000000</t>
  </si>
  <si>
    <t>-4.8000000000000000000000</t>
  </si>
  <si>
    <t>Phoenix Suns</t>
  </si>
  <si>
    <t>43.7000000000000000000000</t>
  </si>
  <si>
    <t>18.4000000000000000000000</t>
  </si>
  <si>
    <t>-7.8000000000000000000000</t>
  </si>
  <si>
    <t>Portland Trail Blazers</t>
  </si>
  <si>
    <t>48.8000000000000000000000</t>
  </si>
  <si>
    <t>14.9000000000000000000000</t>
  </si>
  <si>
    <t>0.5000000000000000000000</t>
  </si>
  <si>
    <t>Sacramento Kings</t>
  </si>
  <si>
    <t>41.3000000000000000000000</t>
  </si>
  <si>
    <t>6.1000000000000000000000</t>
  </si>
  <si>
    <t>San Antonio Spurs</t>
  </si>
  <si>
    <t>43.0000000000000000000000</t>
  </si>
  <si>
    <t>12.9000000000000000000000</t>
  </si>
  <si>
    <t>Toronto Raptors</t>
  </si>
  <si>
    <t>49.0000000000000000000000</t>
  </si>
  <si>
    <t>-7.6000000000000000000000</t>
  </si>
  <si>
    <t>Utah Jazz</t>
  </si>
  <si>
    <t>42.8000000000000000000000</t>
  </si>
  <si>
    <t>-4.0000000000000000000000</t>
  </si>
  <si>
    <t>Washington Wizards</t>
  </si>
  <si>
    <t>47.1000000000000000000000</t>
  </si>
  <si>
    <t>16.3000000000000000000000</t>
  </si>
  <si>
    <t>4.1000000000000000000000</t>
  </si>
  <si>
    <t>15.0000000000000000000000</t>
  </si>
  <si>
    <t>6.0000000000000000000000</t>
  </si>
  <si>
    <t>45.9000000000000000000000</t>
  </si>
  <si>
    <t>13.5000000000000000000000</t>
  </si>
  <si>
    <t>0.1000000000000000000000</t>
  </si>
  <si>
    <t>45.8000000000000000000000</t>
  </si>
  <si>
    <t>1.1000000000000000000000</t>
  </si>
  <si>
    <t>46.4000000000000000000000</t>
  </si>
  <si>
    <t>8.4000000000000000000000</t>
  </si>
  <si>
    <t>12.5000000000000000000000</t>
  </si>
  <si>
    <t>9.6000000000000000000000</t>
  </si>
  <si>
    <t>44.8000000000000000000000</t>
  </si>
  <si>
    <t>13.0000000000000000000000</t>
  </si>
  <si>
    <t>1.3000000000000000000000</t>
  </si>
  <si>
    <t>42.5000000000000000000000</t>
  </si>
  <si>
    <t>14.1000000000000000000000</t>
  </si>
  <si>
    <t>0.2000000000000000000000</t>
  </si>
  <si>
    <t>44.3000000000000000000000</t>
  </si>
  <si>
    <t>-6.5000000000000000000000</t>
  </si>
  <si>
    <t>45.4000000000000000000000</t>
  </si>
  <si>
    <t>-3.3000000000000000000000</t>
  </si>
  <si>
    <t>45.7000000000000000000000</t>
  </si>
  <si>
    <t>-0.9000000000000000000000</t>
  </si>
  <si>
    <t>14.2000000000000000000000</t>
  </si>
  <si>
    <t>1.7000000000000000000000</t>
  </si>
  <si>
    <t>44.7000000000000000000000</t>
  </si>
  <si>
    <t>15.2000000000000000000000</t>
  </si>
  <si>
    <t>2.6000000000000000000000</t>
  </si>
  <si>
    <t>44.2000000000000000000000</t>
  </si>
  <si>
    <t>45.3000000000000000000000</t>
  </si>
  <si>
    <t>13.4000000000000000000000</t>
  </si>
  <si>
    <t>-8.9000000000000000000000</t>
  </si>
  <si>
    <t>45.6000000000000000000000</t>
  </si>
  <si>
    <t>14.7000000000000000000000</t>
  </si>
  <si>
    <t>1.5000000000000000000000</t>
  </si>
  <si>
    <t>13.6000000000000000000000</t>
  </si>
  <si>
    <t>47.5000000000000000000000</t>
  </si>
  <si>
    <t>9.2000000000000000000000</t>
  </si>
  <si>
    <t>16.7000000000000000000000</t>
  </si>
  <si>
    <t>44.6000000000000000000000</t>
  </si>
  <si>
    <t>-0.7000000000000000000000</t>
  </si>
  <si>
    <t>43.5000000000000000000000</t>
  </si>
  <si>
    <t>12.7000000000000000000000</t>
  </si>
  <si>
    <t>-2.7000000000000000000000</t>
  </si>
  <si>
    <t>47.2000000000000000000000</t>
  </si>
  <si>
    <t>9.3000000000000000000000</t>
  </si>
  <si>
    <t>12.4000000000000000000000</t>
  </si>
  <si>
    <t>-4.2000000000000000000000</t>
  </si>
  <si>
    <t>48.0000000000000000000000</t>
  </si>
  <si>
    <t>15.9000000000000000000000</t>
  </si>
  <si>
    <t>43.9000000000000000000000</t>
  </si>
  <si>
    <t>12.2000000000000000000000</t>
  </si>
  <si>
    <t>-1.7000000000000000000000</t>
  </si>
  <si>
    <t>-6.1000000000000000000000</t>
  </si>
  <si>
    <t>42.6000000000000000000000</t>
  </si>
  <si>
    <t>13.9000000000000000000000</t>
  </si>
  <si>
    <t>-5.3000000000000000000000</t>
  </si>
  <si>
    <t>47.3000000000000000000000</t>
  </si>
  <si>
    <t>15.8000000000000000000000</t>
  </si>
  <si>
    <t>2.9000000000000000000000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</si>
</sst>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"/>
    <numFmt numFmtId="165" formatCode="##"/>
    <numFmt numFmtId="166" formatCode="#.0##"/>
    <numFmt numFmtId="167" formatCode="#0.0##"/>
    <numFmt numFmtId="168" formatCode="##0.0##%"/>
    <numFmt numFmtId="169" formatCode="##.0##%"/>
    <numFmt numFmtId="170" formatCode="#.000###"/>
    <numFmt numFmtId="171" formatCode="#0.00##"/>
  </numFmts>
  <fonts count="4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color rgb="FF000000"/>
      <name val="ＭＳ Ｐゴシック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6" borderId="0" xfId="0" applyFont="1" applyFill="1"/>
    <xf numFmtId="171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</cellXfs>
  <cellStyles count="1">
    <cellStyle name="Normal" xfId="0" builtinId="0"/>
  </cellStyles>
  <dxfs count="114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234950</xdr:colOff>
          <xdr:row>5</xdr:row>
          <xdr:rowOff>107950</xdr:rowOff>
        </xdr:from>
        <xdr:to>
          <xdr:col>9</xdr:col>
          <xdr:colOff>482600</xdr:colOff>
          <xdr:row>14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5E1022-3EEA-4676-917F-2F0116BFEA31}" name="TableClutchBaseN" displayName="TableClutchBaseN" ref="A1:BD31" totalsRowShown="0" headerRowDxfId="57">
  <autoFilter ref="A1:BD31" xr:uid="{51B2D997-E9D8-43A3-A1AB-CC3C18C471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7CF1F26-3B1E-4323-8913-19972A8D067F}" name="TEAM_ID" dataDxfId="113"/>
    <tableColumn id="2" xr3:uid="{36D9DA3C-A817-4356-A335-86DC51BB5239}" name="TEAM_NAME" dataDxfId="112"/>
    <tableColumn id="3" xr3:uid="{02414572-A030-44B4-8F6D-99E92DF03A22}" name="GP" dataDxfId="111"/>
    <tableColumn id="4" xr3:uid="{70B42C3C-A444-4836-8558-38CFFAF8547C}" name="W" dataDxfId="110"/>
    <tableColumn id="5" xr3:uid="{4E181878-39F5-45E6-A238-CF5ABB8BF0F8}" name="L" dataDxfId="109"/>
    <tableColumn id="6" xr3:uid="{94C40504-5DA7-47ED-B435-E59E6160B590}" name="W_PCT" dataDxfId="108"/>
    <tableColumn id="7" xr3:uid="{16577B25-AF82-4C3C-81C3-B811DE37A0E9}" name="MIN" dataDxfId="107"/>
    <tableColumn id="8" xr3:uid="{11E6EC01-4921-4C29-81E4-7B2E5D7A3C22}" name="OPP_FGM" dataDxfId="106"/>
    <tableColumn id="9" xr3:uid="{E087200E-84BD-4CEE-9338-CC73EA42A28C}" name="OPP_FGA" dataDxfId="105"/>
    <tableColumn id="10" xr3:uid="{93DACC12-DED6-40D8-8721-28D735F8E4B8}" name="OPP_FG_PCT" dataDxfId="104"/>
    <tableColumn id="11" xr3:uid="{32B02196-C7B8-4419-9428-D8318FFF3119}" name="OPP_FG3M" dataDxfId="103"/>
    <tableColumn id="12" xr3:uid="{9DD8F83E-DB06-4BF3-8BAE-68D093CD01EF}" name="OPP_FG3A" dataDxfId="102"/>
    <tableColumn id="13" xr3:uid="{168D3012-6394-4B48-AF02-BCD47E109FD0}" name="OPP_FG3_PCT" dataDxfId="101"/>
    <tableColumn id="14" xr3:uid="{20DF6553-09E9-4DA4-8562-87CBADCD7459}" name="OPP_FTM" dataDxfId="100"/>
    <tableColumn id="15" xr3:uid="{8F394A63-D7FB-48EE-9843-511B9564AB3A}" name="OPP_FTA" dataDxfId="99"/>
    <tableColumn id="16" xr3:uid="{317E8478-1224-4DF3-9751-452562A53730}" name="OPP_FT_PCT" dataDxfId="98"/>
    <tableColumn id="17" xr3:uid="{EADF5E57-C6C1-495B-9156-803EF7E8A810}" name="OPP_OREB" dataDxfId="97"/>
    <tableColumn id="18" xr3:uid="{C3266770-F46B-499A-8631-487B6A98A8EF}" name="OPP_DREB" dataDxfId="96"/>
    <tableColumn id="19" xr3:uid="{0256A0D3-03AD-440C-A7AC-DC1F83D17007}" name="OPP_REB" dataDxfId="95"/>
    <tableColumn id="20" xr3:uid="{866C7EE7-8058-4BAA-BE6A-24DA6D93255B}" name="OPP_AST" dataDxfId="94"/>
    <tableColumn id="21" xr3:uid="{E08BE6A5-E202-4447-A4F8-CDCD1AB7ACC8}" name="OPP_TOV" dataDxfId="93"/>
    <tableColumn id="22" xr3:uid="{A9EDD164-55A8-49A6-8051-BDEAB2D55C76}" name="OPP_STL" dataDxfId="92"/>
    <tableColumn id="23" xr3:uid="{F68F568F-FB0F-4806-A087-A968F5F3A646}" name="OPP_BLK" dataDxfId="91"/>
    <tableColumn id="24" xr3:uid="{1454390E-36E8-49DC-97D9-11BD4CC1411A}" name="OPP_BLKA" dataDxfId="90"/>
    <tableColumn id="25" xr3:uid="{8F03C0E6-54B4-4303-B384-EB5A9F32F42E}" name="OPP_PF" dataDxfId="89"/>
    <tableColumn id="26" xr3:uid="{7781630F-09A8-4016-B974-4307890633B3}" name="OPP_PFD" dataDxfId="88"/>
    <tableColumn id="27" xr3:uid="{679CDC1A-DBD3-4F62-A12E-80B47EF228B7}" name="OPP_PTS" dataDxfId="87"/>
    <tableColumn id="28" xr3:uid="{06E4776D-E942-4064-9430-B3D581A3077D}" name="PLUS_MINUS" dataDxfId="86"/>
    <tableColumn id="29" xr3:uid="{1F3B3DED-971F-47CE-A9AA-3E54DAE0B60D}" name="GP_RANK" dataDxfId="85"/>
    <tableColumn id="30" xr3:uid="{4251EC9D-6126-45DC-BF77-C843CD549317}" name="W_RANK" dataDxfId="84"/>
    <tableColumn id="31" xr3:uid="{8D7E393B-C385-45CF-9A1A-8786168E63C8}" name="L_RANK" dataDxfId="83"/>
    <tableColumn id="32" xr3:uid="{F0BAA781-9774-4319-A85F-08226DBBB685}" name="W_PCT_RANK" dataDxfId="82"/>
    <tableColumn id="33" xr3:uid="{0951780A-8FD2-46E4-B87C-E555CDF97C9E}" name="MIN_RANK" dataDxfId="81"/>
    <tableColumn id="34" xr3:uid="{3B743779-1F5B-4BE9-80DC-212EFC7C4A07}" name="OPP_FGM_RANK" dataDxfId="80"/>
    <tableColumn id="35" xr3:uid="{95950352-BDB4-40CB-A2CE-EAE6FDB0E862}" name="OPP_FGA_RANK" dataDxfId="79"/>
    <tableColumn id="36" xr3:uid="{4018FF5F-95ED-4B38-B1E8-63658545A9F2}" name="OPP_FG_PCT_RANK" dataDxfId="78"/>
    <tableColumn id="37" xr3:uid="{89A0A5DE-8728-4259-A188-7A254DB1FE7C}" name="OPP_FG3M_RANK" dataDxfId="77"/>
    <tableColumn id="38" xr3:uid="{67888512-5BF6-4796-A49A-31D848CD6665}" name="OPP_FG3A_RANK" dataDxfId="76"/>
    <tableColumn id="39" xr3:uid="{3933D8D5-E3E7-4C14-B645-D4C60A1A6969}" name="OPP_FG3_PCT_RANK" dataDxfId="75"/>
    <tableColumn id="40" xr3:uid="{D2C2261E-130C-4887-9667-270C6DC85480}" name="OPP_FTM_RANK" dataDxfId="74"/>
    <tableColumn id="41" xr3:uid="{EA45BCFA-1A2B-4D5E-B2F0-4F3D37E8910E}" name="OPP_FTA_RANK" dataDxfId="73"/>
    <tableColumn id="42" xr3:uid="{CCBD9FBA-A021-4429-95EF-69E332D51176}" name="OPP_FT_PCT_RANK" dataDxfId="72"/>
    <tableColumn id="43" xr3:uid="{E19EB989-CC6D-40D9-B13D-96FD0AE14233}" name="OPP_OREB_RANK" dataDxfId="71"/>
    <tableColumn id="44" xr3:uid="{A58B1794-EEEF-4687-8B14-DD05AABE0924}" name="OPP_DREB_RANK" dataDxfId="70"/>
    <tableColumn id="45" xr3:uid="{CFCBCB94-A4A3-4CF2-AC62-6A45416C104A}" name="OPP_REB_RANK" dataDxfId="69"/>
    <tableColumn id="46" xr3:uid="{D48E906F-6D7A-45BA-8568-CE9F8A33BF78}" name="OPP_AST_RANK" dataDxfId="68"/>
    <tableColumn id="47" xr3:uid="{2E32724C-1533-4FED-B540-9E0E70E3749E}" name="OPP_TOV_RANK" dataDxfId="67"/>
    <tableColumn id="48" xr3:uid="{941D38C1-1540-477D-9885-838F6B791CEC}" name="OPP_STL_RANK" dataDxfId="66"/>
    <tableColumn id="49" xr3:uid="{71200D3C-52AB-424B-B53C-203432DDCD88}" name="OPP_BLK_RANK" dataDxfId="65"/>
    <tableColumn id="50" xr3:uid="{1D77CDAA-8854-46DB-924E-2E76CED6E3C2}" name="OPP_BLKA_RANK" dataDxfId="64"/>
    <tableColumn id="51" xr3:uid="{1E687D32-EBF2-4E5A-9EEF-3C09FC63D713}" name="OPP_PF_RANK" dataDxfId="63"/>
    <tableColumn id="52" xr3:uid="{3ED502B2-AEE9-4FAC-99F0-2470A24CF1A2}" name="OPP_PFD_RANK" dataDxfId="62"/>
    <tableColumn id="53" xr3:uid="{524EFF36-8C65-43A7-91A5-BCF7336E1A8E}" name="OPP_PTS_RANK" dataDxfId="61"/>
    <tableColumn id="54" xr3:uid="{36AB7C00-2B5E-44E9-A478-63CFE58E799B}" name="PLUS_MINUS_RANK" dataDxfId="60"/>
    <tableColumn id="55" xr3:uid="{A2470A53-D63F-48DB-81B2-9573A878F43A}" name="CFID" dataDxfId="59"/>
    <tableColumn id="56" xr3:uid="{B80AA975-DD7E-403C-9901-D9C83530A98B}" name="CFPARAMS" dataDxfId="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FE0E4B-34B4-44F8-80F7-8B2659008137}" name="TableClutchBaseN1" displayName="TableClutchBaseN1" ref="A1:BD31" totalsRowShown="0" headerRowDxfId="0">
  <autoFilter ref="A1:BD31" xr:uid="{6B4DFC33-F0CE-4DBA-ABCD-6248BD47A4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B932B60-D4ED-4941-A9E3-E4BF33F83D79}" name="TEAM_ID" dataDxfId="56"/>
    <tableColumn id="2" xr3:uid="{2C074BFA-56D7-4B97-87AF-4F1FBA39E643}" name="TEAM_NAME" dataDxfId="55"/>
    <tableColumn id="3" xr3:uid="{CB22B837-0654-46D2-B5CD-F44ADED39439}" name="GP" dataDxfId="54"/>
    <tableColumn id="4" xr3:uid="{AEA4CEF0-3455-41A9-B06A-B4A5B3E7D062}" name="W" dataDxfId="53"/>
    <tableColumn id="5" xr3:uid="{25FCB84D-273A-4BFC-B14F-60F5F155C11E}" name="L" dataDxfId="52"/>
    <tableColumn id="6" xr3:uid="{45603156-7F03-4A00-ABCF-13E8617CE0FC}" name="W_PCT" dataDxfId="51"/>
    <tableColumn id="7" xr3:uid="{6EAF4DA6-FE67-437E-A9B6-923FDA581261}" name="MIN" dataDxfId="50"/>
    <tableColumn id="8" xr3:uid="{9A208CA1-C245-47E6-8331-78DA7BF9A589}" name="OPP_FGM" dataDxfId="49"/>
    <tableColumn id="9" xr3:uid="{265254AB-F69C-4917-8043-9A87AAC924A7}" name="OPP_FGA" dataDxfId="48"/>
    <tableColumn id="10" xr3:uid="{C7C527DD-19E9-47D6-9D6C-013084E58E42}" name="OPP_FG_PCT" dataDxfId="47"/>
    <tableColumn id="11" xr3:uid="{E2CE523D-1A38-4AB1-8879-AA613BEC846D}" name="OPP_FG3M" dataDxfId="46"/>
    <tableColumn id="12" xr3:uid="{9FC38440-8CB8-4CE9-9A1F-CA550F0BB044}" name="OPP_FG3A" dataDxfId="45"/>
    <tableColumn id="13" xr3:uid="{039F682C-289B-4FD0-915D-7B915A7AF55F}" name="OPP_FG3_PCT" dataDxfId="44"/>
    <tableColumn id="14" xr3:uid="{C5443C78-7AB0-41F2-A24E-9C8DCCCA4365}" name="OPP_FTM" dataDxfId="43"/>
    <tableColumn id="15" xr3:uid="{600F5C3F-F829-4DC7-882E-6E58BBE1EC86}" name="OPP_FTA" dataDxfId="42"/>
    <tableColumn id="16" xr3:uid="{017C7B92-7772-4B1F-B10E-3C4FDDE928CF}" name="OPP_FT_PCT" dataDxfId="41"/>
    <tableColumn id="17" xr3:uid="{EC90ECCE-9A27-4598-92B2-5D98718A3D08}" name="OPP_OREB" dataDxfId="40"/>
    <tableColumn id="18" xr3:uid="{DBC23805-7EBA-46B5-BC95-70E22421E837}" name="OPP_DREB" dataDxfId="39"/>
    <tableColumn id="19" xr3:uid="{6CD1BB82-3B6D-4371-9290-482C846F174C}" name="OPP_REB" dataDxfId="38"/>
    <tableColumn id="20" xr3:uid="{6D942481-BA25-4E21-A16C-9F6FF9C58DA8}" name="OPP_AST" dataDxfId="37"/>
    <tableColumn id="21" xr3:uid="{EF3BCDE1-81CD-4847-8E95-AF96651AC760}" name="OPP_TOV" dataDxfId="36"/>
    <tableColumn id="22" xr3:uid="{89FF1203-E208-41E2-BF5F-5C04863335D8}" name="OPP_STL" dataDxfId="35"/>
    <tableColumn id="23" xr3:uid="{343CD105-19CD-4F3A-A5FA-90899EC2EAF8}" name="OPP_BLK" dataDxfId="34"/>
    <tableColumn id="24" xr3:uid="{630248A3-D79F-4C95-9576-218243619431}" name="OPP_BLKA" dataDxfId="33"/>
    <tableColumn id="25" xr3:uid="{4882175C-268D-4192-8379-A2214BC4B8D8}" name="OPP_PF" dataDxfId="32"/>
    <tableColumn id="26" xr3:uid="{B5B4C1B3-E31D-402C-8939-0F9446800730}" name="OPP_PFD" dataDxfId="31"/>
    <tableColumn id="27" xr3:uid="{A18266D3-A199-4AE9-B799-2328FE78ABFB}" name="OPP_PTS" dataDxfId="30"/>
    <tableColumn id="28" xr3:uid="{140D274A-73FB-409E-AB6B-4B36A179C937}" name="PLUS_MINUS" dataDxfId="29"/>
    <tableColumn id="29" xr3:uid="{E13FD11E-0573-455C-AFA9-32844233F49C}" name="GP_RANK" dataDxfId="28"/>
    <tableColumn id="30" xr3:uid="{5FB4447F-BA5A-4176-A3E8-1D02CB4E95C1}" name="W_RANK" dataDxfId="27"/>
    <tableColumn id="31" xr3:uid="{458E7777-9104-4809-9147-24889C7D7BDD}" name="L_RANK" dataDxfId="26"/>
    <tableColumn id="32" xr3:uid="{F2A8B091-7A44-4933-B16E-C807954EB572}" name="W_PCT_RANK" dataDxfId="25"/>
    <tableColumn id="33" xr3:uid="{128A163A-8A89-473E-B079-A607970D2B7F}" name="MIN_RANK" dataDxfId="24"/>
    <tableColumn id="34" xr3:uid="{2DB941CE-324D-4DE9-AC85-4673A781B6D6}" name="OPP_FGM_RANK" dataDxfId="23"/>
    <tableColumn id="35" xr3:uid="{A7C95972-15DE-4797-859F-50292A54B921}" name="OPP_FGA_RANK" dataDxfId="22"/>
    <tableColumn id="36" xr3:uid="{DC61C3B8-73F5-40EB-B83C-500AEF806B43}" name="OPP_FG_PCT_RANK" dataDxfId="21"/>
    <tableColumn id="37" xr3:uid="{B1AAC241-0F40-4C6B-B74B-86C3CD5051ED}" name="OPP_FG3M_RANK" dataDxfId="20"/>
    <tableColumn id="38" xr3:uid="{EDED1687-8AF4-4B8C-945A-006E26820CCE}" name="OPP_FG3A_RANK" dataDxfId="19"/>
    <tableColumn id="39" xr3:uid="{C3D668DD-28D5-4233-B1F9-0F7ABD4687B8}" name="OPP_FG3_PCT_RANK" dataDxfId="18"/>
    <tableColumn id="40" xr3:uid="{69B73009-BAA3-4E60-826B-AE2D69CC9E6A}" name="OPP_FTM_RANK" dataDxfId="17"/>
    <tableColumn id="41" xr3:uid="{69758DD4-6257-4369-9BA5-AA573B5B13A5}" name="OPP_FTA_RANK" dataDxfId="16"/>
    <tableColumn id="42" xr3:uid="{8AAB84F2-4E39-4D40-A316-5B8A42392EAC}" name="OPP_FT_PCT_RANK" dataDxfId="15"/>
    <tableColumn id="43" xr3:uid="{E01A25C0-8806-4789-9C3C-9F8A3AFD18E3}" name="OPP_OREB_RANK" dataDxfId="14"/>
    <tableColumn id="44" xr3:uid="{06DF18CA-AAA6-45F8-95ED-34645CECB1BC}" name="OPP_DREB_RANK" dataDxfId="13"/>
    <tableColumn id="45" xr3:uid="{A39FE3BD-ED91-45C4-997B-AE1F69AC8BAE}" name="OPP_REB_RANK" dataDxfId="12"/>
    <tableColumn id="46" xr3:uid="{994853AF-EF79-4ECD-8313-65AA07166437}" name="OPP_AST_RANK" dataDxfId="11"/>
    <tableColumn id="47" xr3:uid="{D3678B1E-AD36-454E-A7E6-4C2AC8ACC07C}" name="OPP_TOV_RANK" dataDxfId="10"/>
    <tableColumn id="48" xr3:uid="{C92955A1-67D4-419E-8CC4-FD2269EA6E68}" name="OPP_STL_RANK" dataDxfId="9"/>
    <tableColumn id="49" xr3:uid="{9457E799-64E9-482C-9089-247845429886}" name="OPP_BLK_RANK" dataDxfId="8"/>
    <tableColumn id="50" xr3:uid="{0FCA16F4-62FE-498A-8F34-F8CA48A8CC01}" name="OPP_BLKA_RANK" dataDxfId="7"/>
    <tableColumn id="51" xr3:uid="{AFEDBC53-2B16-4177-93F6-0959F89335DD}" name="OPP_PF_RANK" dataDxfId="6"/>
    <tableColumn id="52" xr3:uid="{D0F18090-EA5B-4621-84FB-4534B30E1B0E}" name="OPP_PFD_RANK" dataDxfId="5"/>
    <tableColumn id="53" xr3:uid="{08B15ABB-16DE-4362-84EA-A79A9C130A88}" name="OPP_PTS_RANK" dataDxfId="4"/>
    <tableColumn id="54" xr3:uid="{D7F66EA2-AE38-43DB-B19D-F2386A770B3C}" name="PLUS_MINUS_RANK" dataDxfId="3"/>
    <tableColumn id="55" xr3:uid="{5767C171-5632-44F2-BC37-6556F89BF600}" name="CFID" dataDxfId="2"/>
    <tableColumn id="56" xr3:uid="{1B28D767-99BF-4C77-9E71-50AA12473C70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D28" sqref="D28"/>
    </sheetView>
  </sheetViews>
  <sheetFormatPr defaultRowHeight="14.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234950</xdr:colOff>
                    <xdr:row>5</xdr:row>
                    <xdr:rowOff>107950</xdr:rowOff>
                  </from>
                  <to>
                    <xdr:col>9</xdr:col>
                    <xdr:colOff>482600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53"/>
  <sheetViews>
    <sheetView workbookViewId="0">
      <selection activeCell="F10" sqref="F10"/>
    </sheetView>
  </sheetViews>
  <sheetFormatPr defaultRowHeight="14.5"/>
  <cols>
    <col min="1" max="1" width="17" bestFit="1" customWidth="1"/>
    <col min="5" max="5" width="8.26953125" bestFit="1" customWidth="1"/>
  </cols>
  <sheetData>
    <row r="1" spans="1:6">
      <c r="A1" s="15"/>
      <c r="B1" s="15"/>
      <c r="C1" s="15"/>
      <c r="D1" s="15"/>
      <c r="E1" s="15"/>
      <c r="F1" s="15"/>
    </row>
    <row r="2" spans="1:6">
      <c r="A2" s="16" t="s">
        <v>18</v>
      </c>
      <c r="B2" s="15" t="str">
        <f xml:space="preserve"> GetSeason(1)</f>
        <v>2018-19</v>
      </c>
      <c r="C2" s="15" t="s">
        <v>4</v>
      </c>
      <c r="D2" s="15"/>
      <c r="E2" s="15" t="str">
        <f xml:space="preserve"> GetSeason(0)</f>
        <v>2019-20</v>
      </c>
      <c r="F2" s="15" t="s">
        <v>4</v>
      </c>
    </row>
    <row r="3" spans="1:6">
      <c r="A3" s="5" t="s">
        <v>5</v>
      </c>
      <c r="B3" s="1"/>
      <c r="C3" s="2"/>
      <c r="E3" s="1"/>
      <c r="F3" s="2"/>
    </row>
    <row r="4" spans="1:6">
      <c r="A4" s="5" t="s">
        <v>6</v>
      </c>
      <c r="B4" s="11"/>
      <c r="E4" s="11"/>
    </row>
    <row r="5" spans="1:6">
      <c r="A5" s="5" t="s">
        <v>7</v>
      </c>
      <c r="B5" s="1"/>
      <c r="E5" s="1"/>
    </row>
    <row r="6" spans="1:6">
      <c r="A6" s="5" t="s">
        <v>2</v>
      </c>
      <c r="B6" s="1"/>
      <c r="E6" s="1"/>
    </row>
    <row r="7" spans="1:6">
      <c r="A7" s="5" t="s">
        <v>3</v>
      </c>
      <c r="B7" s="1"/>
      <c r="E7" s="1"/>
    </row>
    <row r="8" spans="1:6">
      <c r="A8" s="5" t="s">
        <v>0</v>
      </c>
      <c r="B8" s="1"/>
      <c r="E8" s="1"/>
    </row>
    <row r="9" spans="1:6">
      <c r="A9" s="5" t="s">
        <v>1</v>
      </c>
      <c r="B9" s="1"/>
      <c r="E9" s="1"/>
    </row>
    <row r="10" spans="1:6">
      <c r="A10" s="12"/>
      <c r="B10" s="1"/>
      <c r="E10" s="1"/>
    </row>
    <row r="11" spans="1:6">
      <c r="A11" s="14" t="s">
        <v>27</v>
      </c>
      <c r="B11" s="9"/>
      <c r="C11" s="3"/>
      <c r="E11" s="9"/>
      <c r="F11" s="3"/>
    </row>
    <row r="12" spans="1:6">
      <c r="A12" s="14" t="s">
        <v>37</v>
      </c>
      <c r="B12" s="8"/>
      <c r="C12" s="3"/>
      <c r="E12" s="8"/>
      <c r="F12" s="3"/>
    </row>
    <row r="13" spans="1:6">
      <c r="A13" s="14" t="s">
        <v>38</v>
      </c>
      <c r="B13" s="8"/>
      <c r="C13" s="3"/>
      <c r="E13" s="8"/>
      <c r="F13" s="3"/>
    </row>
    <row r="14" spans="1:6">
      <c r="A14" s="14" t="s">
        <v>28</v>
      </c>
      <c r="B14" s="9"/>
      <c r="C14" s="3"/>
      <c r="E14" s="9"/>
      <c r="F14" s="3"/>
    </row>
    <row r="15" spans="1:6">
      <c r="A15" s="14" t="s">
        <v>39</v>
      </c>
      <c r="B15" s="8"/>
      <c r="C15" s="3"/>
      <c r="E15" s="8"/>
      <c r="F15" s="3"/>
    </row>
    <row r="16" spans="1:6">
      <c r="A16" s="14" t="s">
        <v>40</v>
      </c>
      <c r="B16" s="8"/>
      <c r="C16" s="3"/>
      <c r="E16" s="8"/>
      <c r="F16" s="3"/>
    </row>
    <row r="17" spans="1:6">
      <c r="A17" s="14" t="s">
        <v>29</v>
      </c>
      <c r="B17" s="9"/>
      <c r="C17" s="3"/>
      <c r="E17" s="9"/>
      <c r="F17" s="3"/>
    </row>
    <row r="18" spans="1:6">
      <c r="A18" s="14" t="s">
        <v>42</v>
      </c>
      <c r="B18" s="8"/>
      <c r="C18" s="3"/>
      <c r="E18" s="8"/>
      <c r="F18" s="3"/>
    </row>
    <row r="19" spans="1:6">
      <c r="A19" s="14" t="s">
        <v>41</v>
      </c>
      <c r="B19" s="8"/>
      <c r="C19" s="3"/>
      <c r="E19" s="8"/>
      <c r="F19" s="3"/>
    </row>
    <row r="20" spans="1:6">
      <c r="A20" s="14" t="s">
        <v>30</v>
      </c>
      <c r="B20" s="8"/>
      <c r="C20" s="3"/>
      <c r="E20" s="8"/>
      <c r="F20" s="3"/>
    </row>
    <row r="21" spans="1:6">
      <c r="A21" s="14" t="s">
        <v>31</v>
      </c>
      <c r="B21" s="8"/>
      <c r="C21" s="3"/>
      <c r="E21" s="8"/>
      <c r="F21" s="3"/>
    </row>
    <row r="22" spans="1:6">
      <c r="A22" s="14" t="s">
        <v>33</v>
      </c>
      <c r="B22" s="8"/>
      <c r="C22" s="3"/>
      <c r="E22" s="8"/>
      <c r="F22" s="3"/>
    </row>
    <row r="23" spans="1:6">
      <c r="A23" s="14" t="s">
        <v>32</v>
      </c>
      <c r="B23" s="8"/>
      <c r="C23" s="3"/>
      <c r="E23" s="8"/>
      <c r="F23" s="3"/>
    </row>
    <row r="24" spans="1:6">
      <c r="A24" s="14" t="s">
        <v>34</v>
      </c>
      <c r="B24" s="8"/>
      <c r="C24" s="3"/>
      <c r="E24" s="8"/>
      <c r="F24" s="3"/>
    </row>
    <row r="25" spans="1:6">
      <c r="A25" s="14" t="s">
        <v>35</v>
      </c>
      <c r="B25" s="8"/>
      <c r="C25" s="3"/>
      <c r="E25" s="8"/>
      <c r="F25" s="3"/>
    </row>
    <row r="26" spans="1:6">
      <c r="A26" s="14" t="s">
        <v>36</v>
      </c>
      <c r="B26" s="8"/>
      <c r="C26" s="3"/>
      <c r="E26" s="8"/>
      <c r="F26" s="3"/>
    </row>
    <row r="27" spans="1:6">
      <c r="A27" s="12"/>
      <c r="B27" s="8"/>
      <c r="C27" s="3"/>
      <c r="E27" s="8"/>
      <c r="F27" s="3"/>
    </row>
    <row r="28" spans="1:6">
      <c r="A28" s="17" t="s">
        <v>43</v>
      </c>
      <c r="B28" s="9"/>
      <c r="C28" s="3"/>
      <c r="E28" s="9"/>
      <c r="F28" s="3"/>
    </row>
    <row r="29" spans="1:6">
      <c r="A29" s="18" t="s">
        <v>44</v>
      </c>
      <c r="B29" s="9"/>
      <c r="C29" s="3"/>
      <c r="E29" s="9"/>
      <c r="F29" s="3"/>
    </row>
    <row r="30" spans="1:6">
      <c r="A30" s="18" t="s">
        <v>45</v>
      </c>
      <c r="B30" s="8"/>
      <c r="C30" s="3"/>
      <c r="E30" s="8"/>
      <c r="F30" s="3"/>
    </row>
    <row r="31" spans="1:6">
      <c r="A31" s="17" t="s">
        <v>46</v>
      </c>
      <c r="B31" s="8"/>
      <c r="C31" s="3"/>
      <c r="E31" s="8"/>
      <c r="F31" s="3"/>
    </row>
    <row r="32" spans="1:6">
      <c r="A32" s="17" t="s">
        <v>47</v>
      </c>
      <c r="B32" s="8"/>
      <c r="C32" s="3"/>
      <c r="E32" s="8"/>
      <c r="F32" s="3"/>
    </row>
    <row r="33" spans="1:6">
      <c r="A33" s="17" t="s">
        <v>48</v>
      </c>
      <c r="B33" s="8"/>
      <c r="C33" s="3"/>
      <c r="E33" s="8"/>
      <c r="F33" s="3"/>
    </row>
    <row r="35" spans="1:6">
      <c r="A35" s="4" t="s">
        <v>8</v>
      </c>
      <c r="B35" s="8"/>
      <c r="C35" s="3"/>
      <c r="E35" s="8"/>
      <c r="F35" s="3"/>
    </row>
    <row r="36" spans="1:6">
      <c r="A36" s="4" t="s">
        <v>9</v>
      </c>
      <c r="B36" s="8"/>
      <c r="C36" s="3"/>
      <c r="E36" s="8"/>
      <c r="F36" s="3"/>
    </row>
    <row r="37" spans="1:6">
      <c r="A37" s="4" t="s">
        <v>10</v>
      </c>
      <c r="B37" s="8"/>
      <c r="C37" s="3"/>
      <c r="E37" s="8"/>
      <c r="F37" s="3"/>
    </row>
    <row r="38" spans="1:6">
      <c r="A38" s="4" t="s">
        <v>11</v>
      </c>
      <c r="B38" s="13"/>
      <c r="C38" s="3"/>
      <c r="E38" s="13"/>
      <c r="F38" s="3"/>
    </row>
    <row r="39" spans="1:6">
      <c r="A39" s="4" t="s">
        <v>12</v>
      </c>
      <c r="B39" s="10"/>
      <c r="C39" s="3"/>
      <c r="E39" s="9"/>
      <c r="F39" s="3"/>
    </row>
    <row r="40" spans="1:6">
      <c r="A40" s="4" t="s">
        <v>13</v>
      </c>
      <c r="B40" s="10"/>
      <c r="C40" s="3"/>
      <c r="E40" s="9"/>
      <c r="F40" s="3"/>
    </row>
    <row r="41" spans="1:6">
      <c r="A41" s="4" t="s">
        <v>14</v>
      </c>
      <c r="B41" s="10"/>
      <c r="C41" s="3"/>
      <c r="E41" s="9"/>
      <c r="F41" s="3"/>
    </row>
    <row r="42" spans="1:6">
      <c r="A42" s="4" t="s">
        <v>15</v>
      </c>
      <c r="B42" s="10"/>
      <c r="C42" s="3"/>
      <c r="E42" s="9"/>
      <c r="F42" s="3"/>
    </row>
    <row r="43" spans="1:6">
      <c r="A43" s="4" t="s">
        <v>16</v>
      </c>
      <c r="B43" s="10"/>
      <c r="C43" s="3"/>
      <c r="E43" s="9"/>
      <c r="F43" s="3"/>
    </row>
    <row r="44" spans="1:6">
      <c r="A44" s="4" t="s">
        <v>17</v>
      </c>
      <c r="B44" s="10"/>
      <c r="C44" s="3"/>
      <c r="E44" s="9"/>
      <c r="F44" s="3"/>
    </row>
    <row r="46" spans="1:6">
      <c r="A46" s="6" t="s">
        <v>19</v>
      </c>
      <c r="B46" s="7"/>
      <c r="C46" s="3"/>
      <c r="E46" s="7"/>
      <c r="F46" s="3"/>
    </row>
    <row r="47" spans="1:6">
      <c r="A47" s="6" t="s">
        <v>20</v>
      </c>
      <c r="B47" s="7"/>
      <c r="C47" s="3"/>
      <c r="E47" s="7"/>
      <c r="F47" s="3"/>
    </row>
    <row r="48" spans="1:6">
      <c r="A48" s="6" t="s">
        <v>21</v>
      </c>
      <c r="B48" s="7"/>
      <c r="C48" s="3"/>
      <c r="E48" s="7"/>
      <c r="F48" s="3"/>
    </row>
    <row r="49" spans="1:6">
      <c r="A49" s="6" t="s">
        <v>22</v>
      </c>
      <c r="B49" s="7"/>
      <c r="C49" s="3"/>
      <c r="E49" s="7"/>
      <c r="F49" s="3"/>
    </row>
    <row r="50" spans="1:6">
      <c r="A50" s="6" t="s">
        <v>23</v>
      </c>
      <c r="B50" s="7"/>
      <c r="C50" s="3"/>
      <c r="E50" s="7"/>
      <c r="F50" s="3"/>
    </row>
    <row r="51" spans="1:6">
      <c r="A51" s="6" t="s">
        <v>24</v>
      </c>
      <c r="B51" s="7"/>
      <c r="C51" s="3"/>
      <c r="E51" s="7"/>
      <c r="F51" s="3"/>
    </row>
    <row r="52" spans="1:6">
      <c r="A52" s="6" t="s">
        <v>25</v>
      </c>
      <c r="B52" s="7"/>
      <c r="C52" s="3"/>
      <c r="E52" s="7"/>
      <c r="F52" s="3"/>
    </row>
    <row r="53" spans="1:6">
      <c r="A53" s="6" t="s">
        <v>26</v>
      </c>
      <c r="B53" s="7"/>
      <c r="C53" s="3"/>
      <c r="E53" s="7"/>
      <c r="F53" s="3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093B4-211D-4437-8B48-6ACE071E137A}">
  <sheetPr codeName="Sheet3"/>
  <dimension ref="A1:BD31"/>
  <sheetViews>
    <sheetView tabSelected="1"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1.26953125" customWidth="1"/>
    <col min="9" max="9" width="10.7265625" customWidth="1"/>
    <col min="10" max="10" width="13.7265625" customWidth="1"/>
    <col min="11" max="11" width="12.26953125" customWidth="1"/>
    <col min="12" max="12" width="11.7265625" customWidth="1"/>
    <col min="13" max="13" width="14.7265625" customWidth="1"/>
    <col min="14" max="14" width="11" customWidth="1"/>
    <col min="15" max="15" width="10.453125" customWidth="1"/>
    <col min="16" max="16" width="13.453125" customWidth="1"/>
    <col min="17" max="17" width="11.90625" customWidth="1"/>
    <col min="18" max="18" width="11.81640625" customWidth="1"/>
    <col min="19" max="19" width="10.54296875" customWidth="1"/>
    <col min="20" max="20" width="10.453125" customWidth="1"/>
    <col min="21" max="21" width="10.90625" customWidth="1"/>
    <col min="22" max="22" width="10.08984375" customWidth="1"/>
    <col min="23" max="23" width="10.36328125" customWidth="1"/>
    <col min="24" max="24" width="11.54296875" customWidth="1"/>
    <col min="25" max="25" width="9.36328125" customWidth="1"/>
    <col min="26" max="26" width="10.6328125" customWidth="1"/>
    <col min="27" max="27" width="10.363281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6.90625" customWidth="1"/>
    <col min="35" max="35" width="16.36328125" customWidth="1"/>
    <col min="36" max="36" width="19.36328125" customWidth="1"/>
    <col min="37" max="37" width="17.90625" customWidth="1"/>
    <col min="38" max="38" width="17.36328125" customWidth="1"/>
    <col min="39" max="39" width="20.36328125" customWidth="1"/>
    <col min="40" max="40" width="16.6328125" customWidth="1"/>
    <col min="41" max="41" width="16.08984375" customWidth="1"/>
    <col min="42" max="42" width="19.08984375" customWidth="1"/>
    <col min="43" max="43" width="17.54296875" customWidth="1"/>
    <col min="44" max="44" width="17.453125" customWidth="1"/>
    <col min="45" max="45" width="16.1796875" customWidth="1"/>
    <col min="46" max="46" width="16.08984375" customWidth="1"/>
    <col min="47" max="47" width="16.54296875" customWidth="1"/>
    <col min="48" max="48" width="15.7265625" customWidth="1"/>
    <col min="49" max="49" width="16" customWidth="1"/>
    <col min="50" max="50" width="17.1796875" customWidth="1"/>
    <col min="51" max="51" width="15" customWidth="1"/>
    <col min="52" max="52" width="16.26953125" customWidth="1"/>
    <col min="53" max="53" width="16" customWidth="1"/>
    <col min="54" max="54" width="19.26953125" customWidth="1"/>
    <col min="56" max="56" width="12" customWidth="1"/>
  </cols>
  <sheetData>
    <row r="1" spans="1:56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 t="s">
        <v>59</v>
      </c>
      <c r="L1" s="1" t="s">
        <v>60</v>
      </c>
      <c r="M1" s="1" t="s">
        <v>61</v>
      </c>
      <c r="N1" s="1" t="s">
        <v>62</v>
      </c>
      <c r="O1" s="1" t="s">
        <v>63</v>
      </c>
      <c r="P1" s="1" t="s">
        <v>64</v>
      </c>
      <c r="Q1" s="1" t="s">
        <v>65</v>
      </c>
      <c r="R1" s="1" t="s">
        <v>66</v>
      </c>
      <c r="S1" s="1" t="s">
        <v>67</v>
      </c>
      <c r="T1" s="1" t="s">
        <v>68</v>
      </c>
      <c r="U1" s="1" t="s">
        <v>69</v>
      </c>
      <c r="V1" s="1" t="s">
        <v>70</v>
      </c>
      <c r="W1" s="1" t="s">
        <v>71</v>
      </c>
      <c r="X1" s="1" t="s">
        <v>72</v>
      </c>
      <c r="Y1" s="1" t="s">
        <v>73</v>
      </c>
      <c r="Z1" s="1" t="s">
        <v>74</v>
      </c>
      <c r="AA1" s="1" t="s">
        <v>75</v>
      </c>
      <c r="AB1" s="1" t="s">
        <v>76</v>
      </c>
      <c r="AC1" s="1" t="s">
        <v>77</v>
      </c>
      <c r="AD1" s="1" t="s">
        <v>78</v>
      </c>
      <c r="AE1" s="1" t="s">
        <v>79</v>
      </c>
      <c r="AF1" s="1" t="s">
        <v>80</v>
      </c>
      <c r="AG1" s="1" t="s">
        <v>81</v>
      </c>
      <c r="AH1" s="1" t="s">
        <v>82</v>
      </c>
      <c r="AI1" s="1" t="s">
        <v>83</v>
      </c>
      <c r="AJ1" s="1" t="s">
        <v>84</v>
      </c>
      <c r="AK1" s="1" t="s">
        <v>85</v>
      </c>
      <c r="AL1" s="1" t="s">
        <v>86</v>
      </c>
      <c r="AM1" s="1" t="s">
        <v>87</v>
      </c>
      <c r="AN1" s="1" t="s">
        <v>88</v>
      </c>
      <c r="AO1" s="1" t="s">
        <v>89</v>
      </c>
      <c r="AP1" s="1" t="s">
        <v>90</v>
      </c>
      <c r="AQ1" s="1" t="s">
        <v>91</v>
      </c>
      <c r="AR1" s="1" t="s">
        <v>92</v>
      </c>
      <c r="AS1" s="1" t="s">
        <v>93</v>
      </c>
      <c r="AT1" s="1" t="s">
        <v>94</v>
      </c>
      <c r="AU1" s="1" t="s">
        <v>95</v>
      </c>
      <c r="AV1" s="1" t="s">
        <v>96</v>
      </c>
      <c r="AW1" s="1" t="s">
        <v>97</v>
      </c>
      <c r="AX1" s="1" t="s">
        <v>98</v>
      </c>
      <c r="AY1" s="1" t="s">
        <v>99</v>
      </c>
      <c r="AZ1" s="1" t="s">
        <v>100</v>
      </c>
      <c r="BA1" s="1" t="s">
        <v>101</v>
      </c>
      <c r="BB1" s="1" t="s">
        <v>102</v>
      </c>
      <c r="BC1" s="1" t="s">
        <v>103</v>
      </c>
      <c r="BD1" s="1" t="s">
        <v>104</v>
      </c>
    </row>
    <row r="2" spans="1:56">
      <c r="A2" s="1">
        <v>1610612737</v>
      </c>
      <c r="B2" s="1" t="s">
        <v>105</v>
      </c>
      <c r="C2" s="1">
        <v>9</v>
      </c>
      <c r="D2" s="1">
        <v>3</v>
      </c>
      <c r="E2" s="1">
        <v>6</v>
      </c>
      <c r="F2" s="1">
        <v>0.33300000000000002</v>
      </c>
      <c r="G2" s="1">
        <v>48.6</v>
      </c>
      <c r="H2" s="1">
        <v>38.4</v>
      </c>
      <c r="I2" s="1">
        <v>86.9</v>
      </c>
      <c r="J2" s="1">
        <v>0.442</v>
      </c>
      <c r="K2" s="1">
        <v>11.6</v>
      </c>
      <c r="L2" s="1">
        <v>34.4</v>
      </c>
      <c r="M2" s="1">
        <v>0.33500000000000002</v>
      </c>
      <c r="N2" s="1">
        <v>20.399999999999999</v>
      </c>
      <c r="O2" s="1">
        <v>26.3</v>
      </c>
      <c r="P2" s="1">
        <v>0.77600000000000002</v>
      </c>
      <c r="Q2" s="1">
        <v>11.4</v>
      </c>
      <c r="R2" s="1">
        <v>33.6</v>
      </c>
      <c r="S2" s="1" t="s">
        <v>106</v>
      </c>
      <c r="T2" s="1">
        <v>21.7</v>
      </c>
      <c r="U2" s="1" t="s">
        <v>107</v>
      </c>
      <c r="V2" s="1">
        <v>9.6</v>
      </c>
      <c r="W2" s="1">
        <v>7.9</v>
      </c>
      <c r="X2" s="1">
        <v>5.3</v>
      </c>
      <c r="Y2" s="1">
        <v>21.3</v>
      </c>
      <c r="Z2" s="1">
        <v>22.3</v>
      </c>
      <c r="AA2" s="1">
        <v>108.9</v>
      </c>
      <c r="AB2" s="1" t="s">
        <v>108</v>
      </c>
      <c r="AC2" s="1">
        <v>17</v>
      </c>
      <c r="AD2" s="1">
        <v>22</v>
      </c>
      <c r="AE2" s="1">
        <v>18</v>
      </c>
      <c r="AF2" s="1">
        <v>22</v>
      </c>
      <c r="AG2" s="1">
        <v>4</v>
      </c>
      <c r="AH2" s="1">
        <v>7</v>
      </c>
      <c r="AI2" s="1">
        <v>10</v>
      </c>
      <c r="AJ2" s="1">
        <v>12</v>
      </c>
      <c r="AK2" s="1">
        <v>14</v>
      </c>
      <c r="AL2" s="1">
        <v>21</v>
      </c>
      <c r="AM2" s="1">
        <v>9</v>
      </c>
      <c r="AN2" s="1">
        <v>26</v>
      </c>
      <c r="AO2" s="1">
        <v>25</v>
      </c>
      <c r="AP2" s="1">
        <v>20</v>
      </c>
      <c r="AQ2" s="1">
        <v>24</v>
      </c>
      <c r="AR2" s="1">
        <v>5</v>
      </c>
      <c r="AS2" s="1">
        <v>11</v>
      </c>
      <c r="AT2" s="1">
        <v>8</v>
      </c>
      <c r="AU2" s="1">
        <v>8</v>
      </c>
      <c r="AV2" s="1">
        <v>28</v>
      </c>
      <c r="AW2" s="1">
        <v>30</v>
      </c>
      <c r="AX2" s="1">
        <v>13</v>
      </c>
      <c r="AY2" s="1">
        <v>10</v>
      </c>
      <c r="AZ2" s="1">
        <v>18</v>
      </c>
      <c r="BA2" s="1">
        <v>12</v>
      </c>
      <c r="BB2" s="1">
        <v>23</v>
      </c>
      <c r="BC2" s="1">
        <v>10</v>
      </c>
      <c r="BD2" s="1" t="s">
        <v>105</v>
      </c>
    </row>
    <row r="3" spans="1:56">
      <c r="A3" s="1">
        <v>1610612738</v>
      </c>
      <c r="B3" s="1" t="s">
        <v>109</v>
      </c>
      <c r="C3" s="1">
        <v>9</v>
      </c>
      <c r="D3" s="1">
        <v>8</v>
      </c>
      <c r="E3" s="1">
        <v>1</v>
      </c>
      <c r="F3" s="1">
        <v>0.88900000000000001</v>
      </c>
      <c r="G3" s="1">
        <v>48</v>
      </c>
      <c r="H3" s="1">
        <v>36.6</v>
      </c>
      <c r="I3" s="1">
        <v>87.7</v>
      </c>
      <c r="J3" s="1">
        <v>0.41699999999999998</v>
      </c>
      <c r="K3" s="1">
        <v>11.6</v>
      </c>
      <c r="L3" s="1">
        <v>34.6</v>
      </c>
      <c r="M3" s="1">
        <v>0.33400000000000002</v>
      </c>
      <c r="N3" s="1">
        <v>19.3</v>
      </c>
      <c r="O3" s="1">
        <v>25.9</v>
      </c>
      <c r="P3" s="1">
        <v>0.747</v>
      </c>
      <c r="Q3" s="1">
        <v>12</v>
      </c>
      <c r="R3" s="1">
        <v>38.4</v>
      </c>
      <c r="S3" s="1" t="s">
        <v>110</v>
      </c>
      <c r="T3" s="1">
        <v>21.4</v>
      </c>
      <c r="U3" s="1" t="s">
        <v>111</v>
      </c>
      <c r="V3" s="1">
        <v>4.4000000000000004</v>
      </c>
      <c r="W3" s="1">
        <v>5.9</v>
      </c>
      <c r="X3" s="1">
        <v>6.7</v>
      </c>
      <c r="Y3" s="1">
        <v>24.1</v>
      </c>
      <c r="Z3" s="1">
        <v>22.8</v>
      </c>
      <c r="AA3" s="1">
        <v>104</v>
      </c>
      <c r="AB3" s="1" t="s">
        <v>112</v>
      </c>
      <c r="AC3" s="1">
        <v>17</v>
      </c>
      <c r="AD3" s="1">
        <v>1</v>
      </c>
      <c r="AE3" s="1">
        <v>1</v>
      </c>
      <c r="AF3" s="1">
        <v>1</v>
      </c>
      <c r="AG3" s="1">
        <v>17</v>
      </c>
      <c r="AH3" s="1">
        <v>3</v>
      </c>
      <c r="AI3" s="1">
        <v>13</v>
      </c>
      <c r="AJ3" s="1">
        <v>3</v>
      </c>
      <c r="AK3" s="1">
        <v>14</v>
      </c>
      <c r="AL3" s="1">
        <v>22</v>
      </c>
      <c r="AM3" s="1">
        <v>8</v>
      </c>
      <c r="AN3" s="1">
        <v>22</v>
      </c>
      <c r="AO3" s="1">
        <v>23</v>
      </c>
      <c r="AP3" s="1">
        <v>9</v>
      </c>
      <c r="AQ3" s="1">
        <v>27</v>
      </c>
      <c r="AR3" s="1">
        <v>28</v>
      </c>
      <c r="AS3" s="1">
        <v>29</v>
      </c>
      <c r="AT3" s="1">
        <v>5</v>
      </c>
      <c r="AU3" s="1">
        <v>12</v>
      </c>
      <c r="AV3" s="1">
        <v>1</v>
      </c>
      <c r="AW3" s="1">
        <v>21</v>
      </c>
      <c r="AX3" s="1">
        <v>3</v>
      </c>
      <c r="AY3" s="1">
        <v>26</v>
      </c>
      <c r="AZ3" s="1">
        <v>14</v>
      </c>
      <c r="BA3" s="1">
        <v>5</v>
      </c>
      <c r="BB3" s="1">
        <v>1</v>
      </c>
      <c r="BC3" s="1">
        <v>10</v>
      </c>
      <c r="BD3" s="1" t="s">
        <v>109</v>
      </c>
    </row>
    <row r="4" spans="1:56">
      <c r="A4" s="1">
        <v>1610612751</v>
      </c>
      <c r="B4" s="1" t="s">
        <v>113</v>
      </c>
      <c r="C4" s="1">
        <v>9</v>
      </c>
      <c r="D4" s="1">
        <v>4</v>
      </c>
      <c r="E4" s="1">
        <v>5</v>
      </c>
      <c r="F4" s="1">
        <v>0.44400000000000001</v>
      </c>
      <c r="G4" s="1">
        <v>49.1</v>
      </c>
      <c r="H4" s="1">
        <v>44.6</v>
      </c>
      <c r="I4" s="1">
        <v>96.8</v>
      </c>
      <c r="J4" s="1">
        <v>0.46</v>
      </c>
      <c r="K4" s="1">
        <v>13.1</v>
      </c>
      <c r="L4" s="1">
        <v>34</v>
      </c>
      <c r="M4" s="1">
        <v>0.38600000000000001</v>
      </c>
      <c r="N4" s="1">
        <v>19.399999999999999</v>
      </c>
      <c r="O4" s="1">
        <v>24.7</v>
      </c>
      <c r="P4" s="1">
        <v>0.78800000000000003</v>
      </c>
      <c r="Q4" s="1">
        <v>9.1</v>
      </c>
      <c r="R4" s="1">
        <v>34.299999999999997</v>
      </c>
      <c r="S4" s="1" t="s">
        <v>114</v>
      </c>
      <c r="T4" s="1">
        <v>22.9</v>
      </c>
      <c r="U4" s="1" t="s">
        <v>115</v>
      </c>
      <c r="V4" s="1">
        <v>9.9</v>
      </c>
      <c r="W4" s="1">
        <v>5.8</v>
      </c>
      <c r="X4" s="1">
        <v>5.0999999999999996</v>
      </c>
      <c r="Y4" s="1">
        <v>23.6</v>
      </c>
      <c r="Z4" s="1">
        <v>23.2</v>
      </c>
      <c r="AA4" s="1">
        <v>121.7</v>
      </c>
      <c r="AB4" s="1" t="s">
        <v>116</v>
      </c>
      <c r="AC4" s="1">
        <v>17</v>
      </c>
      <c r="AD4" s="1">
        <v>16</v>
      </c>
      <c r="AE4" s="1">
        <v>15</v>
      </c>
      <c r="AF4" s="1">
        <v>16</v>
      </c>
      <c r="AG4" s="1">
        <v>2</v>
      </c>
      <c r="AH4" s="1">
        <v>29</v>
      </c>
      <c r="AI4" s="1">
        <v>30</v>
      </c>
      <c r="AJ4" s="1">
        <v>17</v>
      </c>
      <c r="AK4" s="1">
        <v>25</v>
      </c>
      <c r="AL4" s="1">
        <v>19</v>
      </c>
      <c r="AM4" s="1">
        <v>28</v>
      </c>
      <c r="AN4" s="1">
        <v>23</v>
      </c>
      <c r="AO4" s="1">
        <v>15</v>
      </c>
      <c r="AP4" s="1">
        <v>26</v>
      </c>
      <c r="AQ4" s="1">
        <v>7</v>
      </c>
      <c r="AR4" s="1">
        <v>9</v>
      </c>
      <c r="AS4" s="1">
        <v>7</v>
      </c>
      <c r="AT4" s="1">
        <v>10</v>
      </c>
      <c r="AU4" s="1">
        <v>29</v>
      </c>
      <c r="AV4" s="1">
        <v>30</v>
      </c>
      <c r="AW4" s="1">
        <v>19</v>
      </c>
      <c r="AX4" s="1">
        <v>15</v>
      </c>
      <c r="AY4" s="1">
        <v>24</v>
      </c>
      <c r="AZ4" s="1">
        <v>10</v>
      </c>
      <c r="BA4" s="1">
        <v>29</v>
      </c>
      <c r="BB4" s="1">
        <v>20</v>
      </c>
      <c r="BC4" s="1">
        <v>10</v>
      </c>
      <c r="BD4" s="1" t="s">
        <v>113</v>
      </c>
    </row>
    <row r="5" spans="1:56">
      <c r="A5" s="1">
        <v>1610612766</v>
      </c>
      <c r="B5" s="1" t="s">
        <v>117</v>
      </c>
      <c r="C5" s="1">
        <v>10</v>
      </c>
      <c r="D5" s="1">
        <v>4</v>
      </c>
      <c r="E5" s="1">
        <v>6</v>
      </c>
      <c r="F5" s="1">
        <v>0.4</v>
      </c>
      <c r="G5" s="1">
        <v>48.5</v>
      </c>
      <c r="H5" s="1">
        <v>43.6</v>
      </c>
      <c r="I5" s="1">
        <v>89.1</v>
      </c>
      <c r="J5" s="1">
        <v>0.48899999999999999</v>
      </c>
      <c r="K5" s="1">
        <v>11.3</v>
      </c>
      <c r="L5" s="1">
        <v>33</v>
      </c>
      <c r="M5" s="1">
        <v>0.34200000000000003</v>
      </c>
      <c r="N5" s="1">
        <v>14.7</v>
      </c>
      <c r="O5" s="1">
        <v>18.899999999999999</v>
      </c>
      <c r="P5" s="1">
        <v>0.77800000000000002</v>
      </c>
      <c r="Q5" s="1">
        <v>10.4</v>
      </c>
      <c r="R5" s="1">
        <v>35.6</v>
      </c>
      <c r="S5" s="1" t="s">
        <v>118</v>
      </c>
      <c r="T5" s="1">
        <v>26.7</v>
      </c>
      <c r="U5" s="1" t="s">
        <v>119</v>
      </c>
      <c r="V5" s="1">
        <v>9.6</v>
      </c>
      <c r="W5" s="1">
        <v>5.9</v>
      </c>
      <c r="X5" s="1">
        <v>3.6</v>
      </c>
      <c r="Y5" s="1">
        <v>22.5</v>
      </c>
      <c r="Z5" s="1">
        <v>20.399999999999999</v>
      </c>
      <c r="AA5" s="1">
        <v>113.2</v>
      </c>
      <c r="AB5" s="1" t="s">
        <v>120</v>
      </c>
      <c r="AC5" s="1">
        <v>2</v>
      </c>
      <c r="AD5" s="1">
        <v>16</v>
      </c>
      <c r="AE5" s="1">
        <v>18</v>
      </c>
      <c r="AF5" s="1">
        <v>18</v>
      </c>
      <c r="AG5" s="1">
        <v>9</v>
      </c>
      <c r="AH5" s="1">
        <v>28</v>
      </c>
      <c r="AI5" s="1">
        <v>16</v>
      </c>
      <c r="AJ5" s="1">
        <v>29</v>
      </c>
      <c r="AK5" s="1">
        <v>12</v>
      </c>
      <c r="AL5" s="1">
        <v>15</v>
      </c>
      <c r="AM5" s="1">
        <v>11</v>
      </c>
      <c r="AN5" s="1">
        <v>2</v>
      </c>
      <c r="AO5" s="1">
        <v>2</v>
      </c>
      <c r="AP5" s="1">
        <v>21</v>
      </c>
      <c r="AQ5" s="1">
        <v>17</v>
      </c>
      <c r="AR5" s="1">
        <v>16</v>
      </c>
      <c r="AS5" s="1">
        <v>13</v>
      </c>
      <c r="AT5" s="1">
        <v>30</v>
      </c>
      <c r="AU5" s="1">
        <v>6</v>
      </c>
      <c r="AV5" s="1">
        <v>29</v>
      </c>
      <c r="AW5" s="1">
        <v>23</v>
      </c>
      <c r="AX5" s="1">
        <v>30</v>
      </c>
      <c r="AY5" s="1">
        <v>17</v>
      </c>
      <c r="AZ5" s="1">
        <v>25</v>
      </c>
      <c r="BA5" s="1">
        <v>22</v>
      </c>
      <c r="BB5" s="1">
        <v>27</v>
      </c>
      <c r="BC5" s="1">
        <v>10</v>
      </c>
      <c r="BD5" s="1" t="s">
        <v>117</v>
      </c>
    </row>
    <row r="6" spans="1:56">
      <c r="A6" s="1">
        <v>1610612741</v>
      </c>
      <c r="B6" s="1" t="s">
        <v>121</v>
      </c>
      <c r="C6" s="1">
        <v>10</v>
      </c>
      <c r="D6" s="1">
        <v>3</v>
      </c>
      <c r="E6" s="1">
        <v>7</v>
      </c>
      <c r="F6" s="1">
        <v>0.3</v>
      </c>
      <c r="G6" s="1">
        <v>48</v>
      </c>
      <c r="H6" s="1">
        <v>39.6</v>
      </c>
      <c r="I6" s="1">
        <v>85.2</v>
      </c>
      <c r="J6" s="1">
        <v>0.46500000000000002</v>
      </c>
      <c r="K6" s="1">
        <v>11.7</v>
      </c>
      <c r="L6" s="1">
        <v>33</v>
      </c>
      <c r="M6" s="1">
        <v>0.35499999999999998</v>
      </c>
      <c r="N6" s="1">
        <v>19.100000000000001</v>
      </c>
      <c r="O6" s="1">
        <v>25.5</v>
      </c>
      <c r="P6" s="1">
        <v>0.749</v>
      </c>
      <c r="Q6" s="1">
        <v>11.6</v>
      </c>
      <c r="R6" s="1">
        <v>39.1</v>
      </c>
      <c r="S6" s="1" t="s">
        <v>122</v>
      </c>
      <c r="T6" s="1">
        <v>23.4</v>
      </c>
      <c r="U6" s="1" t="s">
        <v>123</v>
      </c>
      <c r="V6" s="1">
        <v>7.2</v>
      </c>
      <c r="W6" s="1">
        <v>7.3</v>
      </c>
      <c r="X6" s="1">
        <v>4.4000000000000004</v>
      </c>
      <c r="Y6" s="1">
        <v>21.4</v>
      </c>
      <c r="Z6" s="1">
        <v>22.1</v>
      </c>
      <c r="AA6" s="1">
        <v>110</v>
      </c>
      <c r="AB6" s="1" t="s">
        <v>124</v>
      </c>
      <c r="AC6" s="1">
        <v>2</v>
      </c>
      <c r="AD6" s="1">
        <v>22</v>
      </c>
      <c r="AE6" s="1">
        <v>24</v>
      </c>
      <c r="AF6" s="1">
        <v>24</v>
      </c>
      <c r="AG6" s="1">
        <v>17</v>
      </c>
      <c r="AH6" s="1">
        <v>16</v>
      </c>
      <c r="AI6" s="1">
        <v>5</v>
      </c>
      <c r="AJ6" s="1">
        <v>23</v>
      </c>
      <c r="AK6" s="1">
        <v>17</v>
      </c>
      <c r="AL6" s="1">
        <v>15</v>
      </c>
      <c r="AM6" s="1">
        <v>16</v>
      </c>
      <c r="AN6" s="1">
        <v>20</v>
      </c>
      <c r="AO6" s="1">
        <v>21</v>
      </c>
      <c r="AP6" s="1">
        <v>10</v>
      </c>
      <c r="AQ6" s="1">
        <v>25</v>
      </c>
      <c r="AR6" s="1">
        <v>30</v>
      </c>
      <c r="AS6" s="1">
        <v>30</v>
      </c>
      <c r="AT6" s="1">
        <v>13</v>
      </c>
      <c r="AU6" s="1">
        <v>1</v>
      </c>
      <c r="AV6" s="1">
        <v>7</v>
      </c>
      <c r="AW6" s="1">
        <v>29</v>
      </c>
      <c r="AX6" s="1">
        <v>24</v>
      </c>
      <c r="AY6" s="1">
        <v>11</v>
      </c>
      <c r="AZ6" s="1">
        <v>19</v>
      </c>
      <c r="BA6" s="1">
        <v>16</v>
      </c>
      <c r="BB6" s="1">
        <v>24</v>
      </c>
      <c r="BC6" s="1">
        <v>10</v>
      </c>
      <c r="BD6" s="1" t="s">
        <v>121</v>
      </c>
    </row>
    <row r="7" spans="1:56">
      <c r="A7" s="1">
        <v>1610612739</v>
      </c>
      <c r="B7" s="1" t="s">
        <v>125</v>
      </c>
      <c r="C7" s="1">
        <v>9</v>
      </c>
      <c r="D7" s="1">
        <v>4</v>
      </c>
      <c r="E7" s="1">
        <v>5</v>
      </c>
      <c r="F7" s="1">
        <v>0.44400000000000001</v>
      </c>
      <c r="G7" s="1">
        <v>48</v>
      </c>
      <c r="H7" s="1">
        <v>41.8</v>
      </c>
      <c r="I7" s="1">
        <v>90.2</v>
      </c>
      <c r="J7" s="1">
        <v>0.46300000000000002</v>
      </c>
      <c r="K7" s="1">
        <v>11.4</v>
      </c>
      <c r="L7" s="1">
        <v>32.799999999999997</v>
      </c>
      <c r="M7" s="1">
        <v>0.34899999999999998</v>
      </c>
      <c r="N7" s="1">
        <v>13</v>
      </c>
      <c r="O7" s="1">
        <v>17.7</v>
      </c>
      <c r="P7" s="1">
        <v>0.73599999999999999</v>
      </c>
      <c r="Q7" s="1">
        <v>10.199999999999999</v>
      </c>
      <c r="R7" s="1">
        <v>36.1</v>
      </c>
      <c r="S7" s="1" t="s">
        <v>126</v>
      </c>
      <c r="T7" s="1">
        <v>24.9</v>
      </c>
      <c r="U7" s="1" t="s">
        <v>127</v>
      </c>
      <c r="V7" s="1">
        <v>7.6</v>
      </c>
      <c r="W7" s="1">
        <v>6.7</v>
      </c>
      <c r="X7" s="1">
        <v>4.0999999999999996</v>
      </c>
      <c r="Y7" s="1">
        <v>22.2</v>
      </c>
      <c r="Z7" s="1">
        <v>18.600000000000001</v>
      </c>
      <c r="AA7" s="1">
        <v>108</v>
      </c>
      <c r="AB7" s="1" t="s">
        <v>128</v>
      </c>
      <c r="AC7" s="1">
        <v>17</v>
      </c>
      <c r="AD7" s="1">
        <v>16</v>
      </c>
      <c r="AE7" s="1">
        <v>15</v>
      </c>
      <c r="AF7" s="1">
        <v>16</v>
      </c>
      <c r="AG7" s="1">
        <v>17</v>
      </c>
      <c r="AH7" s="1">
        <v>18</v>
      </c>
      <c r="AI7" s="1">
        <v>19</v>
      </c>
      <c r="AJ7" s="1">
        <v>20</v>
      </c>
      <c r="AK7" s="1">
        <v>13</v>
      </c>
      <c r="AL7" s="1">
        <v>13</v>
      </c>
      <c r="AM7" s="1">
        <v>13</v>
      </c>
      <c r="AN7" s="1">
        <v>1</v>
      </c>
      <c r="AO7" s="1">
        <v>1</v>
      </c>
      <c r="AP7" s="1">
        <v>6</v>
      </c>
      <c r="AQ7" s="1">
        <v>16</v>
      </c>
      <c r="AR7" s="1">
        <v>20</v>
      </c>
      <c r="AS7" s="1">
        <v>18</v>
      </c>
      <c r="AT7" s="1">
        <v>23</v>
      </c>
      <c r="AU7" s="1">
        <v>26</v>
      </c>
      <c r="AV7" s="1">
        <v>10</v>
      </c>
      <c r="AW7" s="1">
        <v>28</v>
      </c>
      <c r="AX7" s="1">
        <v>26</v>
      </c>
      <c r="AY7" s="1">
        <v>16</v>
      </c>
      <c r="AZ7" s="1">
        <v>30</v>
      </c>
      <c r="BA7" s="1">
        <v>11</v>
      </c>
      <c r="BB7" s="1">
        <v>18</v>
      </c>
      <c r="BC7" s="1">
        <v>10</v>
      </c>
      <c r="BD7" s="1" t="s">
        <v>125</v>
      </c>
    </row>
    <row r="8" spans="1:56">
      <c r="A8" s="1">
        <v>1610612742</v>
      </c>
      <c r="B8" s="1" t="s">
        <v>129</v>
      </c>
      <c r="C8" s="1">
        <v>10</v>
      </c>
      <c r="D8" s="1">
        <v>6</v>
      </c>
      <c r="E8" s="1">
        <v>4</v>
      </c>
      <c r="F8" s="1">
        <v>0.6</v>
      </c>
      <c r="G8" s="1">
        <v>48.5</v>
      </c>
      <c r="H8" s="1">
        <v>42.3</v>
      </c>
      <c r="I8" s="1">
        <v>91.1</v>
      </c>
      <c r="J8" s="1">
        <v>0.46400000000000002</v>
      </c>
      <c r="K8" s="1">
        <v>12</v>
      </c>
      <c r="L8" s="1">
        <v>33.9</v>
      </c>
      <c r="M8" s="1">
        <v>0.35399999999999998</v>
      </c>
      <c r="N8" s="1">
        <v>15.7</v>
      </c>
      <c r="O8" s="1">
        <v>21.3</v>
      </c>
      <c r="P8" s="1">
        <v>0.73699999999999999</v>
      </c>
      <c r="Q8" s="1">
        <v>10.6</v>
      </c>
      <c r="R8" s="1">
        <v>35.4</v>
      </c>
      <c r="S8" s="1" t="s">
        <v>118</v>
      </c>
      <c r="T8" s="1">
        <v>24.1</v>
      </c>
      <c r="U8" s="1" t="s">
        <v>130</v>
      </c>
      <c r="V8" s="1">
        <v>8.1</v>
      </c>
      <c r="W8" s="1">
        <v>4.5999999999999996</v>
      </c>
      <c r="X8" s="1">
        <v>4.4000000000000004</v>
      </c>
      <c r="Y8" s="1">
        <v>24.2</v>
      </c>
      <c r="Z8" s="1">
        <v>20.3</v>
      </c>
      <c r="AA8" s="1">
        <v>112.3</v>
      </c>
      <c r="AB8" s="1" t="s">
        <v>131</v>
      </c>
      <c r="AC8" s="1">
        <v>2</v>
      </c>
      <c r="AD8" s="1">
        <v>7</v>
      </c>
      <c r="AE8" s="1">
        <v>12</v>
      </c>
      <c r="AF8" s="1">
        <v>12</v>
      </c>
      <c r="AG8" s="1">
        <v>9</v>
      </c>
      <c r="AH8" s="1">
        <v>20</v>
      </c>
      <c r="AI8" s="1">
        <v>20</v>
      </c>
      <c r="AJ8" s="1">
        <v>22</v>
      </c>
      <c r="AK8" s="1">
        <v>18</v>
      </c>
      <c r="AL8" s="1">
        <v>18</v>
      </c>
      <c r="AM8" s="1">
        <v>15</v>
      </c>
      <c r="AN8" s="1">
        <v>4</v>
      </c>
      <c r="AO8" s="1">
        <v>7</v>
      </c>
      <c r="AP8" s="1">
        <v>7</v>
      </c>
      <c r="AQ8" s="1">
        <v>19</v>
      </c>
      <c r="AR8" s="1">
        <v>14</v>
      </c>
      <c r="AS8" s="1">
        <v>13</v>
      </c>
      <c r="AT8" s="1">
        <v>16</v>
      </c>
      <c r="AU8" s="1">
        <v>28</v>
      </c>
      <c r="AV8" s="1">
        <v>18</v>
      </c>
      <c r="AW8" s="1">
        <v>9</v>
      </c>
      <c r="AX8" s="1">
        <v>24</v>
      </c>
      <c r="AY8" s="1">
        <v>27</v>
      </c>
      <c r="AZ8" s="1">
        <v>26</v>
      </c>
      <c r="BA8" s="1">
        <v>20</v>
      </c>
      <c r="BB8" s="1">
        <v>11</v>
      </c>
      <c r="BC8" s="1">
        <v>10</v>
      </c>
      <c r="BD8" s="1" t="s">
        <v>129</v>
      </c>
    </row>
    <row r="9" spans="1:56">
      <c r="A9" s="1">
        <v>1610612743</v>
      </c>
      <c r="B9" s="1" t="s">
        <v>132</v>
      </c>
      <c r="C9" s="1">
        <v>9</v>
      </c>
      <c r="D9" s="1">
        <v>7</v>
      </c>
      <c r="E9" s="1">
        <v>2</v>
      </c>
      <c r="F9" s="1">
        <v>0.77800000000000002</v>
      </c>
      <c r="G9" s="1">
        <v>49.1</v>
      </c>
      <c r="H9" s="1">
        <v>36.6</v>
      </c>
      <c r="I9" s="1">
        <v>86.9</v>
      </c>
      <c r="J9" s="1">
        <v>0.42099999999999999</v>
      </c>
      <c r="K9" s="1">
        <v>9.9</v>
      </c>
      <c r="L9" s="1">
        <v>32.4</v>
      </c>
      <c r="M9" s="1">
        <v>0.30499999999999999</v>
      </c>
      <c r="N9" s="1">
        <v>17.3</v>
      </c>
      <c r="O9" s="1">
        <v>23.7</v>
      </c>
      <c r="P9" s="1">
        <v>0.73199999999999998</v>
      </c>
      <c r="Q9" s="1">
        <v>11</v>
      </c>
      <c r="R9" s="1">
        <v>35.9</v>
      </c>
      <c r="S9" s="1" t="s">
        <v>133</v>
      </c>
      <c r="T9" s="1">
        <v>24.1</v>
      </c>
      <c r="U9" s="1" t="s">
        <v>134</v>
      </c>
      <c r="V9" s="1">
        <v>7.8</v>
      </c>
      <c r="W9" s="1">
        <v>5.8</v>
      </c>
      <c r="X9" s="1">
        <v>5.0999999999999996</v>
      </c>
      <c r="Y9" s="1">
        <v>22.7</v>
      </c>
      <c r="Z9" s="1">
        <v>21.8</v>
      </c>
      <c r="AA9" s="1">
        <v>100.3</v>
      </c>
      <c r="AB9" s="1" t="s">
        <v>131</v>
      </c>
      <c r="AC9" s="1">
        <v>17</v>
      </c>
      <c r="AD9" s="1">
        <v>2</v>
      </c>
      <c r="AE9" s="1">
        <v>2</v>
      </c>
      <c r="AF9" s="1">
        <v>2</v>
      </c>
      <c r="AG9" s="1">
        <v>2</v>
      </c>
      <c r="AH9" s="1">
        <v>3</v>
      </c>
      <c r="AI9" s="1">
        <v>10</v>
      </c>
      <c r="AJ9" s="1">
        <v>6</v>
      </c>
      <c r="AK9" s="1">
        <v>4</v>
      </c>
      <c r="AL9" s="1">
        <v>12</v>
      </c>
      <c r="AM9" s="1">
        <v>4</v>
      </c>
      <c r="AN9" s="1">
        <v>11</v>
      </c>
      <c r="AO9" s="1">
        <v>14</v>
      </c>
      <c r="AP9" s="1">
        <v>3</v>
      </c>
      <c r="AQ9" s="1">
        <v>22</v>
      </c>
      <c r="AR9" s="1">
        <v>18</v>
      </c>
      <c r="AS9" s="1">
        <v>20</v>
      </c>
      <c r="AT9" s="1">
        <v>17</v>
      </c>
      <c r="AU9" s="1">
        <v>21</v>
      </c>
      <c r="AV9" s="1">
        <v>13</v>
      </c>
      <c r="AW9" s="1">
        <v>19</v>
      </c>
      <c r="AX9" s="1">
        <v>15</v>
      </c>
      <c r="AY9" s="1">
        <v>18</v>
      </c>
      <c r="AZ9" s="1">
        <v>21</v>
      </c>
      <c r="BA9" s="1">
        <v>4</v>
      </c>
      <c r="BB9" s="1">
        <v>11</v>
      </c>
      <c r="BC9" s="1">
        <v>10</v>
      </c>
      <c r="BD9" s="1" t="s">
        <v>132</v>
      </c>
    </row>
    <row r="10" spans="1:56">
      <c r="A10" s="1">
        <v>1610612765</v>
      </c>
      <c r="B10" s="1" t="s">
        <v>135</v>
      </c>
      <c r="C10" s="1">
        <v>11</v>
      </c>
      <c r="D10" s="1">
        <v>4</v>
      </c>
      <c r="E10" s="1">
        <v>7</v>
      </c>
      <c r="F10" s="1">
        <v>0.36399999999999999</v>
      </c>
      <c r="G10" s="1">
        <v>48</v>
      </c>
      <c r="H10" s="1">
        <v>42.6</v>
      </c>
      <c r="I10" s="1">
        <v>88.1</v>
      </c>
      <c r="J10" s="1">
        <v>0.48399999999999999</v>
      </c>
      <c r="K10" s="1">
        <v>10.5</v>
      </c>
      <c r="L10" s="1">
        <v>28.1</v>
      </c>
      <c r="M10" s="1">
        <v>0.372</v>
      </c>
      <c r="N10" s="1">
        <v>16.399999999999999</v>
      </c>
      <c r="O10" s="1">
        <v>20.9</v>
      </c>
      <c r="P10" s="1">
        <v>0.78300000000000003</v>
      </c>
      <c r="Q10" s="1">
        <v>9.1</v>
      </c>
      <c r="R10" s="1">
        <v>31.4</v>
      </c>
      <c r="S10" s="1" t="s">
        <v>136</v>
      </c>
      <c r="T10" s="1">
        <v>26.3</v>
      </c>
      <c r="U10" s="1" t="s">
        <v>127</v>
      </c>
      <c r="V10" s="1">
        <v>8.6</v>
      </c>
      <c r="W10" s="1">
        <v>4.3</v>
      </c>
      <c r="X10" s="1">
        <v>5.0999999999999996</v>
      </c>
      <c r="Y10" s="1">
        <v>21.2</v>
      </c>
      <c r="Z10" s="1">
        <v>20.5</v>
      </c>
      <c r="AA10" s="1">
        <v>112.1</v>
      </c>
      <c r="AB10" s="1" t="s">
        <v>137</v>
      </c>
      <c r="AC10" s="1">
        <v>1</v>
      </c>
      <c r="AD10" s="1">
        <v>16</v>
      </c>
      <c r="AE10" s="1">
        <v>24</v>
      </c>
      <c r="AF10" s="1">
        <v>21</v>
      </c>
      <c r="AG10" s="1">
        <v>17</v>
      </c>
      <c r="AH10" s="1">
        <v>22</v>
      </c>
      <c r="AI10" s="1">
        <v>14</v>
      </c>
      <c r="AJ10" s="1">
        <v>27</v>
      </c>
      <c r="AK10" s="1">
        <v>7</v>
      </c>
      <c r="AL10" s="1">
        <v>2</v>
      </c>
      <c r="AM10" s="1">
        <v>24</v>
      </c>
      <c r="AN10" s="1">
        <v>7</v>
      </c>
      <c r="AO10" s="1">
        <v>6</v>
      </c>
      <c r="AP10" s="1">
        <v>24</v>
      </c>
      <c r="AQ10" s="1">
        <v>6</v>
      </c>
      <c r="AR10" s="1">
        <v>1</v>
      </c>
      <c r="AS10" s="1">
        <v>2</v>
      </c>
      <c r="AT10" s="1">
        <v>27</v>
      </c>
      <c r="AU10" s="1">
        <v>25</v>
      </c>
      <c r="AV10" s="1">
        <v>24</v>
      </c>
      <c r="AW10" s="1">
        <v>3</v>
      </c>
      <c r="AX10" s="1">
        <v>18</v>
      </c>
      <c r="AY10" s="1">
        <v>9</v>
      </c>
      <c r="AZ10" s="1">
        <v>24</v>
      </c>
      <c r="BA10" s="1">
        <v>19</v>
      </c>
      <c r="BB10" s="1">
        <v>21</v>
      </c>
      <c r="BC10" s="1">
        <v>10</v>
      </c>
      <c r="BD10" s="1" t="s">
        <v>135</v>
      </c>
    </row>
    <row r="11" spans="1:56">
      <c r="A11" s="1">
        <v>1610612744</v>
      </c>
      <c r="B11" s="1" t="s">
        <v>138</v>
      </c>
      <c r="C11" s="1">
        <v>10</v>
      </c>
      <c r="D11" s="1">
        <v>2</v>
      </c>
      <c r="E11" s="1">
        <v>8</v>
      </c>
      <c r="F11" s="1">
        <v>0.2</v>
      </c>
      <c r="G11" s="1">
        <v>48.5</v>
      </c>
      <c r="H11" s="1">
        <v>45.2</v>
      </c>
      <c r="I11" s="1">
        <v>92.7</v>
      </c>
      <c r="J11" s="1">
        <v>0.48799999999999999</v>
      </c>
      <c r="K11" s="1">
        <v>13.8</v>
      </c>
      <c r="L11" s="1">
        <v>36.200000000000003</v>
      </c>
      <c r="M11" s="1">
        <v>0.38100000000000001</v>
      </c>
      <c r="N11" s="1">
        <v>16.899999999999999</v>
      </c>
      <c r="O11" s="1">
        <v>22.7</v>
      </c>
      <c r="P11" s="1">
        <v>0.74399999999999999</v>
      </c>
      <c r="Q11" s="1">
        <v>12.1</v>
      </c>
      <c r="R11" s="1">
        <v>34.9</v>
      </c>
      <c r="S11" s="1" t="s">
        <v>139</v>
      </c>
      <c r="T11" s="1">
        <v>26.4</v>
      </c>
      <c r="U11" s="1" t="s">
        <v>140</v>
      </c>
      <c r="V11" s="1">
        <v>7.9</v>
      </c>
      <c r="W11" s="1">
        <v>5.4</v>
      </c>
      <c r="X11" s="1">
        <v>3.7</v>
      </c>
      <c r="Y11" s="1">
        <v>20.9</v>
      </c>
      <c r="Z11" s="1">
        <v>19.7</v>
      </c>
      <c r="AA11" s="1">
        <v>121.1</v>
      </c>
      <c r="AB11" s="1" t="s">
        <v>141</v>
      </c>
      <c r="AC11" s="1">
        <v>2</v>
      </c>
      <c r="AD11" s="1">
        <v>27</v>
      </c>
      <c r="AE11" s="1">
        <v>28</v>
      </c>
      <c r="AF11" s="1">
        <v>28</v>
      </c>
      <c r="AG11" s="1">
        <v>9</v>
      </c>
      <c r="AH11" s="1">
        <v>30</v>
      </c>
      <c r="AI11" s="1">
        <v>24</v>
      </c>
      <c r="AJ11" s="1">
        <v>28</v>
      </c>
      <c r="AK11" s="1">
        <v>28</v>
      </c>
      <c r="AL11" s="1">
        <v>25</v>
      </c>
      <c r="AM11" s="1">
        <v>27</v>
      </c>
      <c r="AN11" s="1">
        <v>9</v>
      </c>
      <c r="AO11" s="1">
        <v>10</v>
      </c>
      <c r="AP11" s="1">
        <v>8</v>
      </c>
      <c r="AQ11" s="1">
        <v>28</v>
      </c>
      <c r="AR11" s="1">
        <v>11</v>
      </c>
      <c r="AS11" s="1">
        <v>21</v>
      </c>
      <c r="AT11" s="1">
        <v>29</v>
      </c>
      <c r="AU11" s="1">
        <v>15</v>
      </c>
      <c r="AV11" s="1">
        <v>16</v>
      </c>
      <c r="AW11" s="1">
        <v>17</v>
      </c>
      <c r="AX11" s="1">
        <v>29</v>
      </c>
      <c r="AY11" s="1">
        <v>6</v>
      </c>
      <c r="AZ11" s="1">
        <v>28</v>
      </c>
      <c r="BA11" s="1">
        <v>28</v>
      </c>
      <c r="BB11" s="1">
        <v>28</v>
      </c>
      <c r="BC11" s="1">
        <v>10</v>
      </c>
      <c r="BD11" s="1" t="s">
        <v>138</v>
      </c>
    </row>
    <row r="12" spans="1:56">
      <c r="A12" s="1">
        <v>1610612745</v>
      </c>
      <c r="B12" s="1" t="s">
        <v>142</v>
      </c>
      <c r="C12" s="1">
        <v>10</v>
      </c>
      <c r="D12" s="1">
        <v>7</v>
      </c>
      <c r="E12" s="1">
        <v>3</v>
      </c>
      <c r="F12" s="1">
        <v>0.7</v>
      </c>
      <c r="G12" s="1">
        <v>48</v>
      </c>
      <c r="H12" s="1">
        <v>43.5</v>
      </c>
      <c r="I12" s="1">
        <v>94.1</v>
      </c>
      <c r="J12" s="1">
        <v>0.46200000000000002</v>
      </c>
      <c r="K12" s="1">
        <v>13.8</v>
      </c>
      <c r="L12" s="1">
        <v>37.5</v>
      </c>
      <c r="M12" s="1">
        <v>0.36799999999999999</v>
      </c>
      <c r="N12" s="1">
        <v>17.600000000000001</v>
      </c>
      <c r="O12" s="1">
        <v>23.1</v>
      </c>
      <c r="P12" s="1">
        <v>0.76200000000000001</v>
      </c>
      <c r="Q12" s="1">
        <v>10.9</v>
      </c>
      <c r="R12" s="1">
        <v>37.299999999999997</v>
      </c>
      <c r="S12" s="1" t="s">
        <v>143</v>
      </c>
      <c r="T12" s="1">
        <v>26.3</v>
      </c>
      <c r="U12" s="1" t="s">
        <v>144</v>
      </c>
      <c r="V12" s="1">
        <v>9.3000000000000007</v>
      </c>
      <c r="W12" s="1">
        <v>4.9000000000000004</v>
      </c>
      <c r="X12" s="1">
        <v>5.7</v>
      </c>
      <c r="Y12" s="1">
        <v>23.1</v>
      </c>
      <c r="Z12" s="1">
        <v>22.4</v>
      </c>
      <c r="AA12" s="1">
        <v>118.4</v>
      </c>
      <c r="AB12" s="1" t="s">
        <v>145</v>
      </c>
      <c r="AC12" s="1">
        <v>2</v>
      </c>
      <c r="AD12" s="1">
        <v>2</v>
      </c>
      <c r="AE12" s="1">
        <v>5</v>
      </c>
      <c r="AF12" s="1">
        <v>5</v>
      </c>
      <c r="AG12" s="1">
        <v>17</v>
      </c>
      <c r="AH12" s="1">
        <v>26</v>
      </c>
      <c r="AI12" s="1">
        <v>28</v>
      </c>
      <c r="AJ12" s="1">
        <v>19</v>
      </c>
      <c r="AK12" s="1">
        <v>28</v>
      </c>
      <c r="AL12" s="1">
        <v>26</v>
      </c>
      <c r="AM12" s="1">
        <v>23</v>
      </c>
      <c r="AN12" s="1">
        <v>12</v>
      </c>
      <c r="AO12" s="1">
        <v>11</v>
      </c>
      <c r="AP12" s="1">
        <v>15</v>
      </c>
      <c r="AQ12" s="1">
        <v>21</v>
      </c>
      <c r="AR12" s="1">
        <v>26</v>
      </c>
      <c r="AS12" s="1">
        <v>26</v>
      </c>
      <c r="AT12" s="1">
        <v>28</v>
      </c>
      <c r="AU12" s="1">
        <v>13</v>
      </c>
      <c r="AV12" s="1">
        <v>27</v>
      </c>
      <c r="AW12" s="1">
        <v>14</v>
      </c>
      <c r="AX12" s="1">
        <v>10</v>
      </c>
      <c r="AY12" s="1">
        <v>21</v>
      </c>
      <c r="AZ12" s="1">
        <v>17</v>
      </c>
      <c r="BA12" s="1">
        <v>26</v>
      </c>
      <c r="BB12" s="1">
        <v>13</v>
      </c>
      <c r="BC12" s="1">
        <v>10</v>
      </c>
      <c r="BD12" s="1" t="s">
        <v>142</v>
      </c>
    </row>
    <row r="13" spans="1:56">
      <c r="A13" s="1">
        <v>1610612754</v>
      </c>
      <c r="B13" s="1" t="s">
        <v>146</v>
      </c>
      <c r="C13" s="1">
        <v>10</v>
      </c>
      <c r="D13" s="1">
        <v>6</v>
      </c>
      <c r="E13" s="1">
        <v>4</v>
      </c>
      <c r="F13" s="1">
        <v>0.6</v>
      </c>
      <c r="G13" s="1">
        <v>48.5</v>
      </c>
      <c r="H13" s="1">
        <v>38.6</v>
      </c>
      <c r="I13" s="1">
        <v>86.1</v>
      </c>
      <c r="J13" s="1">
        <v>0.44800000000000001</v>
      </c>
      <c r="K13" s="1">
        <v>11.6</v>
      </c>
      <c r="L13" s="1">
        <v>31.1</v>
      </c>
      <c r="M13" s="1">
        <v>0.373</v>
      </c>
      <c r="N13" s="1">
        <v>17.100000000000001</v>
      </c>
      <c r="O13" s="1">
        <v>23.3</v>
      </c>
      <c r="P13" s="1">
        <v>0.73399999999999999</v>
      </c>
      <c r="Q13" s="1">
        <v>10.1</v>
      </c>
      <c r="R13" s="1">
        <v>33.9</v>
      </c>
      <c r="S13" s="1" t="s">
        <v>147</v>
      </c>
      <c r="T13" s="1">
        <v>23.8</v>
      </c>
      <c r="U13" s="1" t="s">
        <v>148</v>
      </c>
      <c r="V13" s="1">
        <v>6</v>
      </c>
      <c r="W13" s="1">
        <v>4.5999999999999996</v>
      </c>
      <c r="X13" s="1">
        <v>5.6</v>
      </c>
      <c r="Y13" s="1">
        <v>19.899999999999999</v>
      </c>
      <c r="Z13" s="1">
        <v>23.1</v>
      </c>
      <c r="AA13" s="1">
        <v>105.9</v>
      </c>
      <c r="AB13" s="1" t="s">
        <v>149</v>
      </c>
      <c r="AC13" s="1">
        <v>2</v>
      </c>
      <c r="AD13" s="1">
        <v>7</v>
      </c>
      <c r="AE13" s="1">
        <v>12</v>
      </c>
      <c r="AF13" s="1">
        <v>12</v>
      </c>
      <c r="AG13" s="1">
        <v>9</v>
      </c>
      <c r="AH13" s="1">
        <v>12</v>
      </c>
      <c r="AI13" s="1">
        <v>8</v>
      </c>
      <c r="AJ13" s="1">
        <v>13</v>
      </c>
      <c r="AK13" s="1">
        <v>16</v>
      </c>
      <c r="AL13" s="1">
        <v>7</v>
      </c>
      <c r="AM13" s="1">
        <v>25</v>
      </c>
      <c r="AN13" s="1">
        <v>10</v>
      </c>
      <c r="AO13" s="1">
        <v>12</v>
      </c>
      <c r="AP13" s="1">
        <v>5</v>
      </c>
      <c r="AQ13" s="1">
        <v>14</v>
      </c>
      <c r="AR13" s="1">
        <v>7</v>
      </c>
      <c r="AS13" s="1">
        <v>9</v>
      </c>
      <c r="AT13" s="1">
        <v>15</v>
      </c>
      <c r="AU13" s="1">
        <v>9</v>
      </c>
      <c r="AV13" s="1">
        <v>2</v>
      </c>
      <c r="AW13" s="1">
        <v>9</v>
      </c>
      <c r="AX13" s="1">
        <v>11</v>
      </c>
      <c r="AY13" s="1">
        <v>2</v>
      </c>
      <c r="AZ13" s="1">
        <v>12</v>
      </c>
      <c r="BA13" s="1">
        <v>8</v>
      </c>
      <c r="BB13" s="1">
        <v>10</v>
      </c>
      <c r="BC13" s="1">
        <v>10</v>
      </c>
      <c r="BD13" s="1" t="s">
        <v>146</v>
      </c>
    </row>
    <row r="14" spans="1:56">
      <c r="A14" s="1">
        <v>1610612746</v>
      </c>
      <c r="B14" s="1" t="s">
        <v>150</v>
      </c>
      <c r="C14" s="1">
        <v>9</v>
      </c>
      <c r="D14" s="1">
        <v>6</v>
      </c>
      <c r="E14" s="1">
        <v>3</v>
      </c>
      <c r="F14" s="1">
        <v>0.66700000000000004</v>
      </c>
      <c r="G14" s="1">
        <v>48</v>
      </c>
      <c r="H14" s="1">
        <v>38.6</v>
      </c>
      <c r="I14" s="1">
        <v>88.1</v>
      </c>
      <c r="J14" s="1">
        <v>0.438</v>
      </c>
      <c r="K14" s="1">
        <v>12.9</v>
      </c>
      <c r="L14" s="1">
        <v>35.700000000000003</v>
      </c>
      <c r="M14" s="1">
        <v>0.36099999999999999</v>
      </c>
      <c r="N14" s="1">
        <v>19</v>
      </c>
      <c r="O14" s="1">
        <v>24.8</v>
      </c>
      <c r="P14" s="1">
        <v>0.76700000000000002</v>
      </c>
      <c r="Q14" s="1">
        <v>10.1</v>
      </c>
      <c r="R14" s="1">
        <v>34</v>
      </c>
      <c r="S14" s="1" t="s">
        <v>151</v>
      </c>
      <c r="T14" s="1">
        <v>21.4</v>
      </c>
      <c r="U14" s="1" t="s">
        <v>144</v>
      </c>
      <c r="V14" s="1">
        <v>6.8</v>
      </c>
      <c r="W14" s="1">
        <v>4.9000000000000004</v>
      </c>
      <c r="X14" s="1">
        <v>5.3</v>
      </c>
      <c r="Y14" s="1">
        <v>25.9</v>
      </c>
      <c r="Z14" s="1">
        <v>24.1</v>
      </c>
      <c r="AA14" s="1">
        <v>109</v>
      </c>
      <c r="AB14" s="1" t="s">
        <v>152</v>
      </c>
      <c r="AC14" s="1">
        <v>17</v>
      </c>
      <c r="AD14" s="1">
        <v>7</v>
      </c>
      <c r="AE14" s="1">
        <v>5</v>
      </c>
      <c r="AF14" s="1">
        <v>7</v>
      </c>
      <c r="AG14" s="1">
        <v>17</v>
      </c>
      <c r="AH14" s="1">
        <v>11</v>
      </c>
      <c r="AI14" s="1">
        <v>15</v>
      </c>
      <c r="AJ14" s="1">
        <v>10</v>
      </c>
      <c r="AK14" s="1">
        <v>24</v>
      </c>
      <c r="AL14" s="1">
        <v>23</v>
      </c>
      <c r="AM14" s="1">
        <v>19</v>
      </c>
      <c r="AN14" s="1">
        <v>19</v>
      </c>
      <c r="AO14" s="1">
        <v>17</v>
      </c>
      <c r="AP14" s="1">
        <v>17</v>
      </c>
      <c r="AQ14" s="1">
        <v>15</v>
      </c>
      <c r="AR14" s="1">
        <v>8</v>
      </c>
      <c r="AS14" s="1">
        <v>10</v>
      </c>
      <c r="AT14" s="1">
        <v>5</v>
      </c>
      <c r="AU14" s="1">
        <v>13</v>
      </c>
      <c r="AV14" s="1">
        <v>5</v>
      </c>
      <c r="AW14" s="1">
        <v>13</v>
      </c>
      <c r="AX14" s="1">
        <v>13</v>
      </c>
      <c r="AY14" s="1">
        <v>29</v>
      </c>
      <c r="AZ14" s="1">
        <v>6</v>
      </c>
      <c r="BA14" s="1">
        <v>13</v>
      </c>
      <c r="BB14" s="1">
        <v>8</v>
      </c>
      <c r="BC14" s="1">
        <v>10</v>
      </c>
      <c r="BD14" s="1" t="s">
        <v>150</v>
      </c>
    </row>
    <row r="15" spans="1:56">
      <c r="A15" s="1">
        <v>1610612747</v>
      </c>
      <c r="B15" s="1" t="s">
        <v>153</v>
      </c>
      <c r="C15" s="1">
        <v>9</v>
      </c>
      <c r="D15" s="1">
        <v>7</v>
      </c>
      <c r="E15" s="1">
        <v>2</v>
      </c>
      <c r="F15" s="1">
        <v>0.77800000000000002</v>
      </c>
      <c r="G15" s="1">
        <v>48.6</v>
      </c>
      <c r="H15" s="1">
        <v>36</v>
      </c>
      <c r="I15" s="1">
        <v>86.2</v>
      </c>
      <c r="J15" s="1">
        <v>0.41799999999999998</v>
      </c>
      <c r="K15" s="1">
        <v>9.8000000000000007</v>
      </c>
      <c r="L15" s="1">
        <v>32.1</v>
      </c>
      <c r="M15" s="1">
        <v>0.30399999999999999</v>
      </c>
      <c r="N15" s="1">
        <v>18.3</v>
      </c>
      <c r="O15" s="1">
        <v>23.6</v>
      </c>
      <c r="P15" s="1">
        <v>0.77800000000000002</v>
      </c>
      <c r="Q15" s="1">
        <v>9.8000000000000007</v>
      </c>
      <c r="R15" s="1">
        <v>35.299999999999997</v>
      </c>
      <c r="S15" s="1" t="s">
        <v>154</v>
      </c>
      <c r="T15" s="1">
        <v>21.6</v>
      </c>
      <c r="U15" s="1" t="s">
        <v>155</v>
      </c>
      <c r="V15" s="1">
        <v>8.3000000000000007</v>
      </c>
      <c r="W15" s="1">
        <v>3.7</v>
      </c>
      <c r="X15" s="1">
        <v>7.9</v>
      </c>
      <c r="Y15" s="1">
        <v>20.7</v>
      </c>
      <c r="Z15" s="1">
        <v>21.2</v>
      </c>
      <c r="AA15" s="1">
        <v>100.1</v>
      </c>
      <c r="AB15" s="1" t="s">
        <v>156</v>
      </c>
      <c r="AC15" s="1">
        <v>17</v>
      </c>
      <c r="AD15" s="1">
        <v>2</v>
      </c>
      <c r="AE15" s="1">
        <v>2</v>
      </c>
      <c r="AF15" s="1">
        <v>2</v>
      </c>
      <c r="AG15" s="1">
        <v>4</v>
      </c>
      <c r="AH15" s="1">
        <v>2</v>
      </c>
      <c r="AI15" s="1">
        <v>9</v>
      </c>
      <c r="AJ15" s="1">
        <v>4</v>
      </c>
      <c r="AK15" s="1">
        <v>3</v>
      </c>
      <c r="AL15" s="1">
        <v>10</v>
      </c>
      <c r="AM15" s="1">
        <v>3</v>
      </c>
      <c r="AN15" s="1">
        <v>15</v>
      </c>
      <c r="AO15" s="1">
        <v>13</v>
      </c>
      <c r="AP15" s="1">
        <v>22</v>
      </c>
      <c r="AQ15" s="1">
        <v>12</v>
      </c>
      <c r="AR15" s="1">
        <v>12</v>
      </c>
      <c r="AS15" s="1">
        <v>12</v>
      </c>
      <c r="AT15" s="1">
        <v>7</v>
      </c>
      <c r="AU15" s="1">
        <v>5</v>
      </c>
      <c r="AV15" s="1">
        <v>20</v>
      </c>
      <c r="AW15" s="1">
        <v>1</v>
      </c>
      <c r="AX15" s="1">
        <v>1</v>
      </c>
      <c r="AY15" s="1">
        <v>5</v>
      </c>
      <c r="AZ15" s="1">
        <v>22</v>
      </c>
      <c r="BA15" s="1">
        <v>3</v>
      </c>
      <c r="BB15" s="1">
        <v>2</v>
      </c>
      <c r="BC15" s="1">
        <v>10</v>
      </c>
      <c r="BD15" s="1" t="s">
        <v>153</v>
      </c>
    </row>
    <row r="16" spans="1:56">
      <c r="A16" s="1">
        <v>1610612763</v>
      </c>
      <c r="B16" s="1" t="s">
        <v>157</v>
      </c>
      <c r="C16" s="1">
        <v>10</v>
      </c>
      <c r="D16" s="1">
        <v>3</v>
      </c>
      <c r="E16" s="1">
        <v>7</v>
      </c>
      <c r="F16" s="1">
        <v>0.3</v>
      </c>
      <c r="G16" s="1">
        <v>48.5</v>
      </c>
      <c r="H16" s="1">
        <v>42.4</v>
      </c>
      <c r="I16" s="1">
        <v>92.2</v>
      </c>
      <c r="J16" s="1">
        <v>0.46</v>
      </c>
      <c r="K16" s="1">
        <v>12.5</v>
      </c>
      <c r="L16" s="1">
        <v>36</v>
      </c>
      <c r="M16" s="1">
        <v>0.34699999999999998</v>
      </c>
      <c r="N16" s="1">
        <v>21.7</v>
      </c>
      <c r="O16" s="1">
        <v>27.4</v>
      </c>
      <c r="P16" s="1">
        <v>0.79200000000000004</v>
      </c>
      <c r="Q16" s="1">
        <v>10</v>
      </c>
      <c r="R16" s="1">
        <v>36.799999999999997</v>
      </c>
      <c r="S16" s="1" t="s">
        <v>158</v>
      </c>
      <c r="T16" s="1">
        <v>24.4</v>
      </c>
      <c r="U16" s="1" t="s">
        <v>159</v>
      </c>
      <c r="V16" s="1">
        <v>8.4</v>
      </c>
      <c r="W16" s="1">
        <v>6.1</v>
      </c>
      <c r="X16" s="1">
        <v>6</v>
      </c>
      <c r="Y16" s="1">
        <v>20.6</v>
      </c>
      <c r="Z16" s="1">
        <v>23.8</v>
      </c>
      <c r="AA16" s="1">
        <v>119</v>
      </c>
      <c r="AB16" s="1" t="s">
        <v>160</v>
      </c>
      <c r="AC16" s="1">
        <v>2</v>
      </c>
      <c r="AD16" s="1">
        <v>22</v>
      </c>
      <c r="AE16" s="1">
        <v>24</v>
      </c>
      <c r="AF16" s="1">
        <v>24</v>
      </c>
      <c r="AG16" s="1">
        <v>9</v>
      </c>
      <c r="AH16" s="1">
        <v>21</v>
      </c>
      <c r="AI16" s="1">
        <v>23</v>
      </c>
      <c r="AJ16" s="1">
        <v>15</v>
      </c>
      <c r="AK16" s="1">
        <v>22</v>
      </c>
      <c r="AL16" s="1">
        <v>24</v>
      </c>
      <c r="AM16" s="1">
        <v>12</v>
      </c>
      <c r="AN16" s="1">
        <v>27</v>
      </c>
      <c r="AO16" s="1">
        <v>27</v>
      </c>
      <c r="AP16" s="1">
        <v>27</v>
      </c>
      <c r="AQ16" s="1">
        <v>13</v>
      </c>
      <c r="AR16" s="1">
        <v>22</v>
      </c>
      <c r="AS16" s="1">
        <v>19</v>
      </c>
      <c r="AT16" s="1">
        <v>21</v>
      </c>
      <c r="AU16" s="1">
        <v>18</v>
      </c>
      <c r="AV16" s="1">
        <v>21</v>
      </c>
      <c r="AW16" s="1">
        <v>25</v>
      </c>
      <c r="AX16" s="1">
        <v>7</v>
      </c>
      <c r="AY16" s="1">
        <v>4</v>
      </c>
      <c r="AZ16" s="1">
        <v>7</v>
      </c>
      <c r="BA16" s="1">
        <v>27</v>
      </c>
      <c r="BB16" s="1">
        <v>29</v>
      </c>
      <c r="BC16" s="1">
        <v>10</v>
      </c>
      <c r="BD16" s="1" t="s">
        <v>157</v>
      </c>
    </row>
    <row r="17" spans="1:56">
      <c r="A17" s="1">
        <v>1610612748</v>
      </c>
      <c r="B17" s="1" t="s">
        <v>161</v>
      </c>
      <c r="C17" s="1">
        <v>9</v>
      </c>
      <c r="D17" s="1">
        <v>6</v>
      </c>
      <c r="E17" s="1">
        <v>3</v>
      </c>
      <c r="F17" s="1">
        <v>0.66700000000000004</v>
      </c>
      <c r="G17" s="1">
        <v>48.6</v>
      </c>
      <c r="H17" s="1">
        <v>38</v>
      </c>
      <c r="I17" s="1">
        <v>87</v>
      </c>
      <c r="J17" s="1">
        <v>0.437</v>
      </c>
      <c r="K17" s="1">
        <v>10.6</v>
      </c>
      <c r="L17" s="1">
        <v>37.700000000000003</v>
      </c>
      <c r="M17" s="1">
        <v>0.28000000000000003</v>
      </c>
      <c r="N17" s="1">
        <v>18.899999999999999</v>
      </c>
      <c r="O17" s="1">
        <v>26</v>
      </c>
      <c r="P17" s="1">
        <v>0.72599999999999998</v>
      </c>
      <c r="Q17" s="1">
        <v>9.6</v>
      </c>
      <c r="R17" s="1">
        <v>33.700000000000003</v>
      </c>
      <c r="S17" s="1" t="s">
        <v>162</v>
      </c>
      <c r="T17" s="1">
        <v>24.7</v>
      </c>
      <c r="U17" s="1" t="s">
        <v>163</v>
      </c>
      <c r="V17" s="1">
        <v>8.1999999999999993</v>
      </c>
      <c r="W17" s="1">
        <v>4.4000000000000004</v>
      </c>
      <c r="X17" s="1">
        <v>6</v>
      </c>
      <c r="Y17" s="1">
        <v>23.8</v>
      </c>
      <c r="Z17" s="1">
        <v>23.1</v>
      </c>
      <c r="AA17" s="1">
        <v>105.4</v>
      </c>
      <c r="AB17" s="1" t="s">
        <v>164</v>
      </c>
      <c r="AC17" s="1">
        <v>17</v>
      </c>
      <c r="AD17" s="1">
        <v>7</v>
      </c>
      <c r="AE17" s="1">
        <v>5</v>
      </c>
      <c r="AF17" s="1">
        <v>7</v>
      </c>
      <c r="AG17" s="1">
        <v>4</v>
      </c>
      <c r="AH17" s="1">
        <v>6</v>
      </c>
      <c r="AI17" s="1">
        <v>12</v>
      </c>
      <c r="AJ17" s="1">
        <v>9</v>
      </c>
      <c r="AK17" s="1">
        <v>8</v>
      </c>
      <c r="AL17" s="1">
        <v>27</v>
      </c>
      <c r="AM17" s="1">
        <v>1</v>
      </c>
      <c r="AN17" s="1">
        <v>17</v>
      </c>
      <c r="AO17" s="1">
        <v>24</v>
      </c>
      <c r="AP17" s="1">
        <v>2</v>
      </c>
      <c r="AQ17" s="1">
        <v>11</v>
      </c>
      <c r="AR17" s="1">
        <v>6</v>
      </c>
      <c r="AS17" s="1">
        <v>6</v>
      </c>
      <c r="AT17" s="1">
        <v>22</v>
      </c>
      <c r="AU17" s="1">
        <v>3</v>
      </c>
      <c r="AV17" s="1">
        <v>19</v>
      </c>
      <c r="AW17" s="1">
        <v>7</v>
      </c>
      <c r="AX17" s="1">
        <v>7</v>
      </c>
      <c r="AY17" s="1">
        <v>25</v>
      </c>
      <c r="AZ17" s="1">
        <v>11</v>
      </c>
      <c r="BA17" s="1">
        <v>6</v>
      </c>
      <c r="BB17" s="1">
        <v>6</v>
      </c>
      <c r="BC17" s="1">
        <v>10</v>
      </c>
      <c r="BD17" s="1" t="s">
        <v>161</v>
      </c>
    </row>
    <row r="18" spans="1:56">
      <c r="A18" s="1">
        <v>1610612749</v>
      </c>
      <c r="B18" s="1" t="s">
        <v>165</v>
      </c>
      <c r="C18" s="1">
        <v>10</v>
      </c>
      <c r="D18" s="1">
        <v>7</v>
      </c>
      <c r="E18" s="1">
        <v>3</v>
      </c>
      <c r="F18" s="1">
        <v>0.7</v>
      </c>
      <c r="G18" s="1">
        <v>48.5</v>
      </c>
      <c r="H18" s="1">
        <v>39</v>
      </c>
      <c r="I18" s="1">
        <v>93.4</v>
      </c>
      <c r="J18" s="1">
        <v>0.41799999999999998</v>
      </c>
      <c r="K18" s="1">
        <v>14.6</v>
      </c>
      <c r="L18" s="1">
        <v>39.700000000000003</v>
      </c>
      <c r="M18" s="1">
        <v>0.36799999999999999</v>
      </c>
      <c r="N18" s="1">
        <v>19.2</v>
      </c>
      <c r="O18" s="1">
        <v>25.4</v>
      </c>
      <c r="P18" s="1">
        <v>0.75600000000000001</v>
      </c>
      <c r="Q18" s="1">
        <v>9.3000000000000007</v>
      </c>
      <c r="R18" s="1">
        <v>38.5</v>
      </c>
      <c r="S18" s="1" t="s">
        <v>166</v>
      </c>
      <c r="T18" s="1">
        <v>23.4</v>
      </c>
      <c r="U18" s="1" t="s">
        <v>159</v>
      </c>
      <c r="V18" s="1">
        <v>6.2</v>
      </c>
      <c r="W18" s="1">
        <v>3.7</v>
      </c>
      <c r="X18" s="1">
        <v>6.1</v>
      </c>
      <c r="Y18" s="1">
        <v>23.3</v>
      </c>
      <c r="Z18" s="1">
        <v>23.1</v>
      </c>
      <c r="AA18" s="1">
        <v>111.8</v>
      </c>
      <c r="AB18" s="1" t="s">
        <v>167</v>
      </c>
      <c r="AC18" s="1">
        <v>2</v>
      </c>
      <c r="AD18" s="1">
        <v>2</v>
      </c>
      <c r="AE18" s="1">
        <v>5</v>
      </c>
      <c r="AF18" s="1">
        <v>5</v>
      </c>
      <c r="AG18" s="1">
        <v>9</v>
      </c>
      <c r="AH18" s="1">
        <v>13</v>
      </c>
      <c r="AI18" s="1">
        <v>27</v>
      </c>
      <c r="AJ18" s="1">
        <v>5</v>
      </c>
      <c r="AK18" s="1">
        <v>30</v>
      </c>
      <c r="AL18" s="1">
        <v>30</v>
      </c>
      <c r="AM18" s="1">
        <v>22</v>
      </c>
      <c r="AN18" s="1">
        <v>21</v>
      </c>
      <c r="AO18" s="1">
        <v>20</v>
      </c>
      <c r="AP18" s="1">
        <v>12</v>
      </c>
      <c r="AQ18" s="1">
        <v>8</v>
      </c>
      <c r="AR18" s="1">
        <v>29</v>
      </c>
      <c r="AS18" s="1">
        <v>24</v>
      </c>
      <c r="AT18" s="1">
        <v>13</v>
      </c>
      <c r="AU18" s="1">
        <v>18</v>
      </c>
      <c r="AV18" s="1">
        <v>3</v>
      </c>
      <c r="AW18" s="1">
        <v>2</v>
      </c>
      <c r="AX18" s="1">
        <v>5</v>
      </c>
      <c r="AY18" s="1">
        <v>22</v>
      </c>
      <c r="AZ18" s="1">
        <v>12</v>
      </c>
      <c r="BA18" s="1">
        <v>18</v>
      </c>
      <c r="BB18" s="1">
        <v>3</v>
      </c>
      <c r="BC18" s="1">
        <v>10</v>
      </c>
      <c r="BD18" s="1" t="s">
        <v>165</v>
      </c>
    </row>
    <row r="19" spans="1:56">
      <c r="A19" s="1">
        <v>1610612750</v>
      </c>
      <c r="B19" s="1" t="s">
        <v>168</v>
      </c>
      <c r="C19" s="1">
        <v>10</v>
      </c>
      <c r="D19" s="1">
        <v>6</v>
      </c>
      <c r="E19" s="1">
        <v>4</v>
      </c>
      <c r="F19" s="1">
        <v>0.6</v>
      </c>
      <c r="G19" s="1">
        <v>49.5</v>
      </c>
      <c r="H19" s="1">
        <v>42.8</v>
      </c>
      <c r="I19" s="1">
        <v>92.9</v>
      </c>
      <c r="J19" s="1">
        <v>0.46100000000000002</v>
      </c>
      <c r="K19" s="1">
        <v>12.6</v>
      </c>
      <c r="L19" s="1">
        <v>31.6</v>
      </c>
      <c r="M19" s="1">
        <v>0.39900000000000002</v>
      </c>
      <c r="N19" s="1">
        <v>18.2</v>
      </c>
      <c r="O19" s="1">
        <v>24.8</v>
      </c>
      <c r="P19" s="1">
        <v>0.73399999999999999</v>
      </c>
      <c r="Q19" s="1">
        <v>10.8</v>
      </c>
      <c r="R19" s="1">
        <v>36.9</v>
      </c>
      <c r="S19" s="1" t="s">
        <v>169</v>
      </c>
      <c r="T19" s="1">
        <v>24.2</v>
      </c>
      <c r="U19" s="1" t="s">
        <v>170</v>
      </c>
      <c r="V19" s="1">
        <v>8.5</v>
      </c>
      <c r="W19" s="1">
        <v>6</v>
      </c>
      <c r="X19" s="1">
        <v>6.4</v>
      </c>
      <c r="Y19" s="1">
        <v>24.7</v>
      </c>
      <c r="Z19" s="1">
        <v>21.8</v>
      </c>
      <c r="AA19" s="1">
        <v>116.4</v>
      </c>
      <c r="AB19" s="1" t="s">
        <v>171</v>
      </c>
      <c r="AC19" s="1">
        <v>2</v>
      </c>
      <c r="AD19" s="1">
        <v>7</v>
      </c>
      <c r="AE19" s="1">
        <v>12</v>
      </c>
      <c r="AF19" s="1">
        <v>12</v>
      </c>
      <c r="AG19" s="1">
        <v>1</v>
      </c>
      <c r="AH19" s="1">
        <v>24</v>
      </c>
      <c r="AI19" s="1">
        <v>25</v>
      </c>
      <c r="AJ19" s="1">
        <v>18</v>
      </c>
      <c r="AK19" s="1">
        <v>23</v>
      </c>
      <c r="AL19" s="1">
        <v>9</v>
      </c>
      <c r="AM19" s="1">
        <v>30</v>
      </c>
      <c r="AN19" s="1">
        <v>14</v>
      </c>
      <c r="AO19" s="1">
        <v>18</v>
      </c>
      <c r="AP19" s="1">
        <v>4</v>
      </c>
      <c r="AQ19" s="1">
        <v>20</v>
      </c>
      <c r="AR19" s="1">
        <v>23</v>
      </c>
      <c r="AS19" s="1">
        <v>23</v>
      </c>
      <c r="AT19" s="1">
        <v>18</v>
      </c>
      <c r="AU19" s="1">
        <v>2</v>
      </c>
      <c r="AV19" s="1">
        <v>23</v>
      </c>
      <c r="AW19" s="1">
        <v>24</v>
      </c>
      <c r="AX19" s="1">
        <v>4</v>
      </c>
      <c r="AY19" s="1">
        <v>28</v>
      </c>
      <c r="AZ19" s="1">
        <v>20</v>
      </c>
      <c r="BA19" s="1">
        <v>24</v>
      </c>
      <c r="BB19" s="1">
        <v>15</v>
      </c>
      <c r="BC19" s="1">
        <v>10</v>
      </c>
      <c r="BD19" s="1" t="s">
        <v>168</v>
      </c>
    </row>
    <row r="20" spans="1:56">
      <c r="A20" s="1">
        <v>1610612740</v>
      </c>
      <c r="B20" s="1" t="s">
        <v>172</v>
      </c>
      <c r="C20" s="1">
        <v>10</v>
      </c>
      <c r="D20" s="1">
        <v>2</v>
      </c>
      <c r="E20" s="1">
        <v>8</v>
      </c>
      <c r="F20" s="1">
        <v>0.2</v>
      </c>
      <c r="G20" s="1">
        <v>48.5</v>
      </c>
      <c r="H20" s="1">
        <v>43.5</v>
      </c>
      <c r="I20" s="1">
        <v>93.1</v>
      </c>
      <c r="J20" s="1">
        <v>0.46700000000000003</v>
      </c>
      <c r="K20" s="1">
        <v>13.6</v>
      </c>
      <c r="L20" s="1">
        <v>38.299999999999997</v>
      </c>
      <c r="M20" s="1">
        <v>0.35499999999999998</v>
      </c>
      <c r="N20" s="1">
        <v>21.8</v>
      </c>
      <c r="O20" s="1">
        <v>27.5</v>
      </c>
      <c r="P20" s="1">
        <v>0.79300000000000004</v>
      </c>
      <c r="Q20" s="1">
        <v>11.1</v>
      </c>
      <c r="R20" s="1">
        <v>36.700000000000003</v>
      </c>
      <c r="S20" s="1" t="s">
        <v>166</v>
      </c>
      <c r="T20" s="1">
        <v>25.6</v>
      </c>
      <c r="U20" s="1" t="s">
        <v>173</v>
      </c>
      <c r="V20" s="1">
        <v>8.4</v>
      </c>
      <c r="W20" s="1">
        <v>4.4000000000000004</v>
      </c>
      <c r="X20" s="1">
        <v>5</v>
      </c>
      <c r="Y20" s="1">
        <v>22.2</v>
      </c>
      <c r="Z20" s="1">
        <v>25.2</v>
      </c>
      <c r="AA20" s="1">
        <v>122.4</v>
      </c>
      <c r="AB20" s="1" t="s">
        <v>174</v>
      </c>
      <c r="AC20" s="1">
        <v>2</v>
      </c>
      <c r="AD20" s="1">
        <v>27</v>
      </c>
      <c r="AE20" s="1">
        <v>28</v>
      </c>
      <c r="AF20" s="1">
        <v>28</v>
      </c>
      <c r="AG20" s="1">
        <v>9</v>
      </c>
      <c r="AH20" s="1">
        <v>26</v>
      </c>
      <c r="AI20" s="1">
        <v>26</v>
      </c>
      <c r="AJ20" s="1">
        <v>24</v>
      </c>
      <c r="AK20" s="1">
        <v>27</v>
      </c>
      <c r="AL20" s="1">
        <v>29</v>
      </c>
      <c r="AM20" s="1">
        <v>17</v>
      </c>
      <c r="AN20" s="1">
        <v>28</v>
      </c>
      <c r="AO20" s="1">
        <v>28</v>
      </c>
      <c r="AP20" s="1">
        <v>28</v>
      </c>
      <c r="AQ20" s="1">
        <v>23</v>
      </c>
      <c r="AR20" s="1">
        <v>21</v>
      </c>
      <c r="AS20" s="1">
        <v>24</v>
      </c>
      <c r="AT20" s="1">
        <v>26</v>
      </c>
      <c r="AU20" s="1">
        <v>7</v>
      </c>
      <c r="AV20" s="1">
        <v>21</v>
      </c>
      <c r="AW20" s="1">
        <v>5</v>
      </c>
      <c r="AX20" s="1">
        <v>19</v>
      </c>
      <c r="AY20" s="1">
        <v>15</v>
      </c>
      <c r="AZ20" s="1">
        <v>2</v>
      </c>
      <c r="BA20" s="1">
        <v>30</v>
      </c>
      <c r="BB20" s="1">
        <v>25</v>
      </c>
      <c r="BC20" s="1">
        <v>10</v>
      </c>
      <c r="BD20" s="1" t="s">
        <v>172</v>
      </c>
    </row>
    <row r="21" spans="1:56">
      <c r="A21" s="1">
        <v>1610612752</v>
      </c>
      <c r="B21" s="1" t="s">
        <v>175</v>
      </c>
      <c r="C21" s="1">
        <v>10</v>
      </c>
      <c r="D21" s="1">
        <v>2</v>
      </c>
      <c r="E21" s="1">
        <v>8</v>
      </c>
      <c r="F21" s="1">
        <v>0.2</v>
      </c>
      <c r="G21" s="1">
        <v>48</v>
      </c>
      <c r="H21" s="1">
        <v>38.5</v>
      </c>
      <c r="I21" s="1">
        <v>83.7</v>
      </c>
      <c r="J21" s="1">
        <v>0.46</v>
      </c>
      <c r="K21" s="1">
        <v>12.2</v>
      </c>
      <c r="L21" s="1">
        <v>34.1</v>
      </c>
      <c r="M21" s="1">
        <v>0.35799999999999998</v>
      </c>
      <c r="N21" s="1">
        <v>20.100000000000001</v>
      </c>
      <c r="O21" s="1">
        <v>25.8</v>
      </c>
      <c r="P21" s="1">
        <v>0.77900000000000003</v>
      </c>
      <c r="Q21" s="1">
        <v>9.3000000000000007</v>
      </c>
      <c r="R21" s="1">
        <v>36.9</v>
      </c>
      <c r="S21" s="1" t="s">
        <v>176</v>
      </c>
      <c r="T21" s="1">
        <v>23.1</v>
      </c>
      <c r="U21" s="1" t="s">
        <v>177</v>
      </c>
      <c r="V21" s="1">
        <v>7.8</v>
      </c>
      <c r="W21" s="1">
        <v>4.5</v>
      </c>
      <c r="X21" s="1">
        <v>4.9000000000000004</v>
      </c>
      <c r="Y21" s="1">
        <v>21.1</v>
      </c>
      <c r="Z21" s="1">
        <v>23.5</v>
      </c>
      <c r="AA21" s="1">
        <v>109.3</v>
      </c>
      <c r="AB21" s="1" t="s">
        <v>178</v>
      </c>
      <c r="AC21" s="1">
        <v>2</v>
      </c>
      <c r="AD21" s="1">
        <v>27</v>
      </c>
      <c r="AE21" s="1">
        <v>28</v>
      </c>
      <c r="AF21" s="1">
        <v>28</v>
      </c>
      <c r="AG21" s="1">
        <v>17</v>
      </c>
      <c r="AH21" s="1">
        <v>10</v>
      </c>
      <c r="AI21" s="1">
        <v>2</v>
      </c>
      <c r="AJ21" s="1">
        <v>16</v>
      </c>
      <c r="AK21" s="1">
        <v>21</v>
      </c>
      <c r="AL21" s="1">
        <v>20</v>
      </c>
      <c r="AM21" s="1">
        <v>18</v>
      </c>
      <c r="AN21" s="1">
        <v>25</v>
      </c>
      <c r="AO21" s="1">
        <v>22</v>
      </c>
      <c r="AP21" s="1">
        <v>23</v>
      </c>
      <c r="AQ21" s="1">
        <v>8</v>
      </c>
      <c r="AR21" s="1">
        <v>23</v>
      </c>
      <c r="AS21" s="1">
        <v>16</v>
      </c>
      <c r="AT21" s="1">
        <v>11</v>
      </c>
      <c r="AU21" s="1">
        <v>23</v>
      </c>
      <c r="AV21" s="1">
        <v>14</v>
      </c>
      <c r="AW21" s="1">
        <v>8</v>
      </c>
      <c r="AX21" s="1">
        <v>22</v>
      </c>
      <c r="AY21" s="1">
        <v>8</v>
      </c>
      <c r="AZ21" s="1">
        <v>8</v>
      </c>
      <c r="BA21" s="1">
        <v>15</v>
      </c>
      <c r="BB21" s="1">
        <v>30</v>
      </c>
      <c r="BC21" s="1">
        <v>10</v>
      </c>
      <c r="BD21" s="1" t="s">
        <v>175</v>
      </c>
    </row>
    <row r="22" spans="1:56">
      <c r="A22" s="1">
        <v>1610612760</v>
      </c>
      <c r="B22" s="1" t="s">
        <v>179</v>
      </c>
      <c r="C22" s="1">
        <v>10</v>
      </c>
      <c r="D22" s="1">
        <v>4</v>
      </c>
      <c r="E22" s="1">
        <v>6</v>
      </c>
      <c r="F22" s="1">
        <v>0.4</v>
      </c>
      <c r="G22" s="1">
        <v>48</v>
      </c>
      <c r="H22" s="1">
        <v>39.4</v>
      </c>
      <c r="I22" s="1">
        <v>89.3</v>
      </c>
      <c r="J22" s="1">
        <v>0.441</v>
      </c>
      <c r="K22" s="1">
        <v>9</v>
      </c>
      <c r="L22" s="1">
        <v>30.1</v>
      </c>
      <c r="M22" s="1">
        <v>0.29899999999999999</v>
      </c>
      <c r="N22" s="1">
        <v>17.7</v>
      </c>
      <c r="O22" s="1">
        <v>21.7</v>
      </c>
      <c r="P22" s="1">
        <v>0.81599999999999995</v>
      </c>
      <c r="Q22" s="1">
        <v>10.5</v>
      </c>
      <c r="R22" s="1">
        <v>35.700000000000003</v>
      </c>
      <c r="S22" s="1" t="s">
        <v>176</v>
      </c>
      <c r="T22" s="1">
        <v>21.4</v>
      </c>
      <c r="U22" s="1" t="s">
        <v>159</v>
      </c>
      <c r="V22" s="1">
        <v>7.6</v>
      </c>
      <c r="W22" s="1">
        <v>5.3</v>
      </c>
      <c r="X22" s="1">
        <v>4.7</v>
      </c>
      <c r="Y22" s="1">
        <v>23</v>
      </c>
      <c r="Z22" s="1">
        <v>20.9</v>
      </c>
      <c r="AA22" s="1">
        <v>105.5</v>
      </c>
      <c r="AB22" s="1" t="s">
        <v>180</v>
      </c>
      <c r="AC22" s="1">
        <v>2</v>
      </c>
      <c r="AD22" s="1">
        <v>16</v>
      </c>
      <c r="AE22" s="1">
        <v>18</v>
      </c>
      <c r="AF22" s="1">
        <v>18</v>
      </c>
      <c r="AG22" s="1">
        <v>17</v>
      </c>
      <c r="AH22" s="1">
        <v>15</v>
      </c>
      <c r="AI22" s="1">
        <v>17</v>
      </c>
      <c r="AJ22" s="1">
        <v>11</v>
      </c>
      <c r="AK22" s="1">
        <v>2</v>
      </c>
      <c r="AL22" s="1">
        <v>6</v>
      </c>
      <c r="AM22" s="1">
        <v>2</v>
      </c>
      <c r="AN22" s="1">
        <v>13</v>
      </c>
      <c r="AO22" s="1">
        <v>8</v>
      </c>
      <c r="AP22" s="1">
        <v>30</v>
      </c>
      <c r="AQ22" s="1">
        <v>18</v>
      </c>
      <c r="AR22" s="1">
        <v>17</v>
      </c>
      <c r="AS22" s="1">
        <v>16</v>
      </c>
      <c r="AT22" s="1">
        <v>3</v>
      </c>
      <c r="AU22" s="1">
        <v>18</v>
      </c>
      <c r="AV22" s="1">
        <v>11</v>
      </c>
      <c r="AW22" s="1">
        <v>15</v>
      </c>
      <c r="AX22" s="1">
        <v>23</v>
      </c>
      <c r="AY22" s="1">
        <v>20</v>
      </c>
      <c r="AZ22" s="1">
        <v>23</v>
      </c>
      <c r="BA22" s="1">
        <v>7</v>
      </c>
      <c r="BB22" s="1">
        <v>14</v>
      </c>
      <c r="BC22" s="1">
        <v>10</v>
      </c>
      <c r="BD22" s="1" t="s">
        <v>179</v>
      </c>
    </row>
    <row r="23" spans="1:56">
      <c r="A23" s="1">
        <v>1610612753</v>
      </c>
      <c r="B23" s="1" t="s">
        <v>181</v>
      </c>
      <c r="C23" s="1">
        <v>10</v>
      </c>
      <c r="D23" s="1">
        <v>3</v>
      </c>
      <c r="E23" s="1">
        <v>7</v>
      </c>
      <c r="F23" s="1">
        <v>0.3</v>
      </c>
      <c r="G23" s="1">
        <v>48</v>
      </c>
      <c r="H23" s="1">
        <v>36.700000000000003</v>
      </c>
      <c r="I23" s="1">
        <v>85.2</v>
      </c>
      <c r="J23" s="1">
        <v>0.43099999999999999</v>
      </c>
      <c r="K23" s="1">
        <v>10.4</v>
      </c>
      <c r="L23" s="1">
        <v>32.200000000000003</v>
      </c>
      <c r="M23" s="1">
        <v>0.32300000000000001</v>
      </c>
      <c r="N23" s="1">
        <v>15.5</v>
      </c>
      <c r="O23" s="1">
        <v>20.5</v>
      </c>
      <c r="P23" s="1">
        <v>0.75600000000000001</v>
      </c>
      <c r="Q23" s="1">
        <v>8.6</v>
      </c>
      <c r="R23" s="1">
        <v>37.5</v>
      </c>
      <c r="S23" s="1" t="s">
        <v>182</v>
      </c>
      <c r="T23" s="1">
        <v>21.4</v>
      </c>
      <c r="U23" s="1" t="s">
        <v>183</v>
      </c>
      <c r="V23" s="1">
        <v>6.4</v>
      </c>
      <c r="W23" s="1">
        <v>4.4000000000000004</v>
      </c>
      <c r="X23" s="1">
        <v>7.2</v>
      </c>
      <c r="Y23" s="1">
        <v>19</v>
      </c>
      <c r="Z23" s="1">
        <v>19.2</v>
      </c>
      <c r="AA23" s="1">
        <v>99.3</v>
      </c>
      <c r="AB23" s="1" t="s">
        <v>184</v>
      </c>
      <c r="AC23" s="1">
        <v>2</v>
      </c>
      <c r="AD23" s="1">
        <v>22</v>
      </c>
      <c r="AE23" s="1">
        <v>24</v>
      </c>
      <c r="AF23" s="1">
        <v>24</v>
      </c>
      <c r="AG23" s="1">
        <v>17</v>
      </c>
      <c r="AH23" s="1">
        <v>5</v>
      </c>
      <c r="AI23" s="1">
        <v>5</v>
      </c>
      <c r="AJ23" s="1">
        <v>7</v>
      </c>
      <c r="AK23" s="1">
        <v>6</v>
      </c>
      <c r="AL23" s="1">
        <v>11</v>
      </c>
      <c r="AM23" s="1">
        <v>6</v>
      </c>
      <c r="AN23" s="1">
        <v>3</v>
      </c>
      <c r="AO23" s="1">
        <v>3</v>
      </c>
      <c r="AP23" s="1">
        <v>13</v>
      </c>
      <c r="AQ23" s="1">
        <v>5</v>
      </c>
      <c r="AR23" s="1">
        <v>27</v>
      </c>
      <c r="AS23" s="1">
        <v>15</v>
      </c>
      <c r="AT23" s="1">
        <v>3</v>
      </c>
      <c r="AU23" s="1">
        <v>27</v>
      </c>
      <c r="AV23" s="1">
        <v>4</v>
      </c>
      <c r="AW23" s="1">
        <v>5</v>
      </c>
      <c r="AX23" s="1">
        <v>2</v>
      </c>
      <c r="AY23" s="1">
        <v>1</v>
      </c>
      <c r="AZ23" s="1">
        <v>29</v>
      </c>
      <c r="BA23" s="1">
        <v>2</v>
      </c>
      <c r="BB23" s="1">
        <v>19</v>
      </c>
      <c r="BC23" s="1">
        <v>10</v>
      </c>
      <c r="BD23" s="1" t="s">
        <v>181</v>
      </c>
    </row>
    <row r="24" spans="1:56">
      <c r="A24" s="1">
        <v>1610612755</v>
      </c>
      <c r="B24" s="1" t="s">
        <v>185</v>
      </c>
      <c r="C24" s="1">
        <v>9</v>
      </c>
      <c r="D24" s="1">
        <v>6</v>
      </c>
      <c r="E24" s="1">
        <v>3</v>
      </c>
      <c r="F24" s="1">
        <v>0.66700000000000004</v>
      </c>
      <c r="G24" s="1">
        <v>48</v>
      </c>
      <c r="H24" s="1">
        <v>38.4</v>
      </c>
      <c r="I24" s="1">
        <v>82.9</v>
      </c>
      <c r="J24" s="1">
        <v>0.46400000000000002</v>
      </c>
      <c r="K24" s="1">
        <v>10.6</v>
      </c>
      <c r="L24" s="1">
        <v>27.3</v>
      </c>
      <c r="M24" s="1">
        <v>0.38600000000000001</v>
      </c>
      <c r="N24" s="1">
        <v>18.8</v>
      </c>
      <c r="O24" s="1">
        <v>27.2</v>
      </c>
      <c r="P24" s="1">
        <v>0.69</v>
      </c>
      <c r="Q24" s="1">
        <v>7.2</v>
      </c>
      <c r="R24" s="1">
        <v>32</v>
      </c>
      <c r="S24" s="1" t="s">
        <v>186</v>
      </c>
      <c r="T24" s="1">
        <v>21</v>
      </c>
      <c r="U24" s="1" t="s">
        <v>187</v>
      </c>
      <c r="V24" s="1">
        <v>9</v>
      </c>
      <c r="W24" s="1">
        <v>4.8</v>
      </c>
      <c r="X24" s="1">
        <v>5.9</v>
      </c>
      <c r="Y24" s="1">
        <v>22.7</v>
      </c>
      <c r="Z24" s="1">
        <v>24.8</v>
      </c>
      <c r="AA24" s="1">
        <v>106.2</v>
      </c>
      <c r="AB24" s="1" t="s">
        <v>188</v>
      </c>
      <c r="AC24" s="1">
        <v>17</v>
      </c>
      <c r="AD24" s="1">
        <v>7</v>
      </c>
      <c r="AE24" s="1">
        <v>5</v>
      </c>
      <c r="AF24" s="1">
        <v>7</v>
      </c>
      <c r="AG24" s="1">
        <v>17</v>
      </c>
      <c r="AH24" s="1">
        <v>7</v>
      </c>
      <c r="AI24" s="1">
        <v>1</v>
      </c>
      <c r="AJ24" s="1">
        <v>21</v>
      </c>
      <c r="AK24" s="1">
        <v>8</v>
      </c>
      <c r="AL24" s="1">
        <v>1</v>
      </c>
      <c r="AM24" s="1">
        <v>29</v>
      </c>
      <c r="AN24" s="1">
        <v>16</v>
      </c>
      <c r="AO24" s="1">
        <v>26</v>
      </c>
      <c r="AP24" s="1">
        <v>1</v>
      </c>
      <c r="AQ24" s="1">
        <v>1</v>
      </c>
      <c r="AR24" s="1">
        <v>2</v>
      </c>
      <c r="AS24" s="1">
        <v>1</v>
      </c>
      <c r="AT24" s="1">
        <v>2</v>
      </c>
      <c r="AU24" s="1">
        <v>10</v>
      </c>
      <c r="AV24" s="1">
        <v>26</v>
      </c>
      <c r="AW24" s="1">
        <v>11</v>
      </c>
      <c r="AX24" s="1">
        <v>9</v>
      </c>
      <c r="AY24" s="1">
        <v>18</v>
      </c>
      <c r="AZ24" s="1">
        <v>4</v>
      </c>
      <c r="BA24" s="1">
        <v>9</v>
      </c>
      <c r="BB24" s="1">
        <v>7</v>
      </c>
      <c r="BC24" s="1">
        <v>10</v>
      </c>
      <c r="BD24" s="1" t="s">
        <v>185</v>
      </c>
    </row>
    <row r="25" spans="1:56">
      <c r="A25" s="1">
        <v>1610612756</v>
      </c>
      <c r="B25" s="1" t="s">
        <v>189</v>
      </c>
      <c r="C25" s="1">
        <v>9</v>
      </c>
      <c r="D25" s="1">
        <v>6</v>
      </c>
      <c r="E25" s="1">
        <v>3</v>
      </c>
      <c r="F25" s="1">
        <v>0.66700000000000004</v>
      </c>
      <c r="G25" s="1">
        <v>48.6</v>
      </c>
      <c r="H25" s="1">
        <v>38.4</v>
      </c>
      <c r="I25" s="1">
        <v>85.2</v>
      </c>
      <c r="J25" s="1">
        <v>0.45100000000000001</v>
      </c>
      <c r="K25" s="1">
        <v>10.1</v>
      </c>
      <c r="L25" s="1">
        <v>29.6</v>
      </c>
      <c r="M25" s="1">
        <v>0.34200000000000003</v>
      </c>
      <c r="N25" s="1">
        <v>22</v>
      </c>
      <c r="O25" s="1">
        <v>28.4</v>
      </c>
      <c r="P25" s="1">
        <v>0.77300000000000002</v>
      </c>
      <c r="Q25" s="1">
        <v>8.3000000000000007</v>
      </c>
      <c r="R25" s="1">
        <v>35.299999999999997</v>
      </c>
      <c r="S25" s="1" t="s">
        <v>190</v>
      </c>
      <c r="T25" s="1">
        <v>21.9</v>
      </c>
      <c r="U25" s="1" t="s">
        <v>191</v>
      </c>
      <c r="V25" s="1">
        <v>7.7</v>
      </c>
      <c r="W25" s="1">
        <v>5.4</v>
      </c>
      <c r="X25" s="1">
        <v>4.0999999999999996</v>
      </c>
      <c r="Y25" s="1">
        <v>26</v>
      </c>
      <c r="Z25" s="1">
        <v>25.4</v>
      </c>
      <c r="AA25" s="1">
        <v>109</v>
      </c>
      <c r="AB25" s="1" t="s">
        <v>192</v>
      </c>
      <c r="AC25" s="1">
        <v>17</v>
      </c>
      <c r="AD25" s="1">
        <v>7</v>
      </c>
      <c r="AE25" s="1">
        <v>5</v>
      </c>
      <c r="AF25" s="1">
        <v>7</v>
      </c>
      <c r="AG25" s="1">
        <v>4</v>
      </c>
      <c r="AH25" s="1">
        <v>7</v>
      </c>
      <c r="AI25" s="1">
        <v>7</v>
      </c>
      <c r="AJ25" s="1">
        <v>14</v>
      </c>
      <c r="AK25" s="1">
        <v>5</v>
      </c>
      <c r="AL25" s="1">
        <v>5</v>
      </c>
      <c r="AM25" s="1">
        <v>10</v>
      </c>
      <c r="AN25" s="1">
        <v>29</v>
      </c>
      <c r="AO25" s="1">
        <v>29</v>
      </c>
      <c r="AP25" s="1">
        <v>19</v>
      </c>
      <c r="AQ25" s="1">
        <v>4</v>
      </c>
      <c r="AR25" s="1">
        <v>12</v>
      </c>
      <c r="AS25" s="1">
        <v>8</v>
      </c>
      <c r="AT25" s="1">
        <v>9</v>
      </c>
      <c r="AU25" s="1">
        <v>4</v>
      </c>
      <c r="AV25" s="1">
        <v>12</v>
      </c>
      <c r="AW25" s="1">
        <v>18</v>
      </c>
      <c r="AX25" s="1">
        <v>26</v>
      </c>
      <c r="AY25" s="1">
        <v>30</v>
      </c>
      <c r="AZ25" s="1">
        <v>1</v>
      </c>
      <c r="BA25" s="1">
        <v>13</v>
      </c>
      <c r="BB25" s="1">
        <v>4</v>
      </c>
      <c r="BC25" s="1">
        <v>10</v>
      </c>
      <c r="BD25" s="1" t="s">
        <v>189</v>
      </c>
    </row>
    <row r="26" spans="1:56">
      <c r="A26" s="1">
        <v>1610612757</v>
      </c>
      <c r="B26" s="1" t="s">
        <v>193</v>
      </c>
      <c r="C26" s="1">
        <v>10</v>
      </c>
      <c r="D26" s="1">
        <v>4</v>
      </c>
      <c r="E26" s="1">
        <v>6</v>
      </c>
      <c r="F26" s="1">
        <v>0.4</v>
      </c>
      <c r="G26" s="1">
        <v>48.5</v>
      </c>
      <c r="H26" s="1">
        <v>40</v>
      </c>
      <c r="I26" s="1">
        <v>91.6</v>
      </c>
      <c r="J26" s="1">
        <v>0.437</v>
      </c>
      <c r="K26" s="1">
        <v>10.9</v>
      </c>
      <c r="L26" s="1">
        <v>32.799999999999997</v>
      </c>
      <c r="M26" s="1">
        <v>0.33200000000000002</v>
      </c>
      <c r="N26" s="1">
        <v>23.7</v>
      </c>
      <c r="O26" s="1">
        <v>29.7</v>
      </c>
      <c r="P26" s="1">
        <v>0.79800000000000004</v>
      </c>
      <c r="Q26" s="1">
        <v>11.7</v>
      </c>
      <c r="R26" s="1">
        <v>37.1</v>
      </c>
      <c r="S26" s="1" t="s">
        <v>194</v>
      </c>
      <c r="T26" s="1">
        <v>23.1</v>
      </c>
      <c r="U26" s="1" t="s">
        <v>195</v>
      </c>
      <c r="V26" s="1">
        <v>7.9</v>
      </c>
      <c r="W26" s="1">
        <v>6.1</v>
      </c>
      <c r="X26" s="1">
        <v>6.1</v>
      </c>
      <c r="Y26" s="1">
        <v>21.6</v>
      </c>
      <c r="Z26" s="1">
        <v>25.2</v>
      </c>
      <c r="AA26" s="1">
        <v>114.6</v>
      </c>
      <c r="AB26" s="1" t="s">
        <v>196</v>
      </c>
      <c r="AC26" s="1">
        <v>2</v>
      </c>
      <c r="AD26" s="1">
        <v>16</v>
      </c>
      <c r="AE26" s="1">
        <v>18</v>
      </c>
      <c r="AF26" s="1">
        <v>18</v>
      </c>
      <c r="AG26" s="1">
        <v>9</v>
      </c>
      <c r="AH26" s="1">
        <v>17</v>
      </c>
      <c r="AI26" s="1">
        <v>22</v>
      </c>
      <c r="AJ26" s="1">
        <v>8</v>
      </c>
      <c r="AK26" s="1">
        <v>11</v>
      </c>
      <c r="AL26" s="1">
        <v>14</v>
      </c>
      <c r="AM26" s="1">
        <v>7</v>
      </c>
      <c r="AN26" s="1">
        <v>30</v>
      </c>
      <c r="AO26" s="1">
        <v>30</v>
      </c>
      <c r="AP26" s="1">
        <v>29</v>
      </c>
      <c r="AQ26" s="1">
        <v>26</v>
      </c>
      <c r="AR26" s="1">
        <v>25</v>
      </c>
      <c r="AS26" s="1">
        <v>27</v>
      </c>
      <c r="AT26" s="1">
        <v>11</v>
      </c>
      <c r="AU26" s="1">
        <v>24</v>
      </c>
      <c r="AV26" s="1">
        <v>16</v>
      </c>
      <c r="AW26" s="1">
        <v>25</v>
      </c>
      <c r="AX26" s="1">
        <v>5</v>
      </c>
      <c r="AY26" s="1">
        <v>12</v>
      </c>
      <c r="AZ26" s="1">
        <v>2</v>
      </c>
      <c r="BA26" s="1">
        <v>23</v>
      </c>
      <c r="BB26" s="1">
        <v>16</v>
      </c>
      <c r="BC26" s="1">
        <v>10</v>
      </c>
      <c r="BD26" s="1" t="s">
        <v>193</v>
      </c>
    </row>
    <row r="27" spans="1:56">
      <c r="A27" s="1">
        <v>1610612758</v>
      </c>
      <c r="B27" s="1" t="s">
        <v>197</v>
      </c>
      <c r="C27" s="1">
        <v>9</v>
      </c>
      <c r="D27" s="1">
        <v>3</v>
      </c>
      <c r="E27" s="1">
        <v>6</v>
      </c>
      <c r="F27" s="1">
        <v>0.33300000000000002</v>
      </c>
      <c r="G27" s="1">
        <v>48</v>
      </c>
      <c r="H27" s="1">
        <v>41.9</v>
      </c>
      <c r="I27" s="1">
        <v>84.6</v>
      </c>
      <c r="J27" s="1">
        <v>0.495</v>
      </c>
      <c r="K27" s="1">
        <v>12</v>
      </c>
      <c r="L27" s="1">
        <v>31.6</v>
      </c>
      <c r="M27" s="1">
        <v>0.38</v>
      </c>
      <c r="N27" s="1">
        <v>15.8</v>
      </c>
      <c r="O27" s="1">
        <v>20.9</v>
      </c>
      <c r="P27" s="1">
        <v>0.755</v>
      </c>
      <c r="Q27" s="1">
        <v>8.1</v>
      </c>
      <c r="R27" s="1">
        <v>33.200000000000003</v>
      </c>
      <c r="S27" s="1" t="s">
        <v>198</v>
      </c>
      <c r="T27" s="1">
        <v>24.2</v>
      </c>
      <c r="U27" s="1" t="s">
        <v>140</v>
      </c>
      <c r="V27" s="1">
        <v>8.8000000000000007</v>
      </c>
      <c r="W27" s="1">
        <v>4.8</v>
      </c>
      <c r="X27" s="1">
        <v>5</v>
      </c>
      <c r="Y27" s="1">
        <v>20.6</v>
      </c>
      <c r="Z27" s="1">
        <v>22.6</v>
      </c>
      <c r="AA27" s="1">
        <v>111.6</v>
      </c>
      <c r="AB27" s="1" t="s">
        <v>199</v>
      </c>
      <c r="AC27" s="1">
        <v>17</v>
      </c>
      <c r="AD27" s="1">
        <v>22</v>
      </c>
      <c r="AE27" s="1">
        <v>18</v>
      </c>
      <c r="AF27" s="1">
        <v>22</v>
      </c>
      <c r="AG27" s="1">
        <v>17</v>
      </c>
      <c r="AH27" s="1">
        <v>19</v>
      </c>
      <c r="AI27" s="1">
        <v>3</v>
      </c>
      <c r="AJ27" s="1">
        <v>30</v>
      </c>
      <c r="AK27" s="1">
        <v>18</v>
      </c>
      <c r="AL27" s="1">
        <v>8</v>
      </c>
      <c r="AM27" s="1">
        <v>26</v>
      </c>
      <c r="AN27" s="1">
        <v>5</v>
      </c>
      <c r="AO27" s="1">
        <v>4</v>
      </c>
      <c r="AP27" s="1">
        <v>11</v>
      </c>
      <c r="AQ27" s="1">
        <v>3</v>
      </c>
      <c r="AR27" s="1">
        <v>3</v>
      </c>
      <c r="AS27" s="1">
        <v>3</v>
      </c>
      <c r="AT27" s="1">
        <v>19</v>
      </c>
      <c r="AU27" s="1">
        <v>16</v>
      </c>
      <c r="AV27" s="1">
        <v>25</v>
      </c>
      <c r="AW27" s="1">
        <v>11</v>
      </c>
      <c r="AX27" s="1">
        <v>19</v>
      </c>
      <c r="AY27" s="1">
        <v>3</v>
      </c>
      <c r="AZ27" s="1">
        <v>15</v>
      </c>
      <c r="BA27" s="1">
        <v>17</v>
      </c>
      <c r="BB27" s="1">
        <v>26</v>
      </c>
      <c r="BC27" s="1">
        <v>10</v>
      </c>
      <c r="BD27" s="1" t="s">
        <v>197</v>
      </c>
    </row>
    <row r="28" spans="1:56">
      <c r="A28" s="1">
        <v>1610612759</v>
      </c>
      <c r="B28" s="1" t="s">
        <v>200</v>
      </c>
      <c r="C28" s="1">
        <v>10</v>
      </c>
      <c r="D28" s="1">
        <v>5</v>
      </c>
      <c r="E28" s="1">
        <v>5</v>
      </c>
      <c r="F28" s="1">
        <v>0.5</v>
      </c>
      <c r="G28" s="1">
        <v>48</v>
      </c>
      <c r="H28" s="1">
        <v>42.7</v>
      </c>
      <c r="I28" s="1">
        <v>90.2</v>
      </c>
      <c r="J28" s="1">
        <v>0.47299999999999998</v>
      </c>
      <c r="K28" s="1">
        <v>10.6</v>
      </c>
      <c r="L28" s="1">
        <v>29.1</v>
      </c>
      <c r="M28" s="1">
        <v>0.36399999999999999</v>
      </c>
      <c r="N28" s="1">
        <v>16.7</v>
      </c>
      <c r="O28" s="1">
        <v>21.7</v>
      </c>
      <c r="P28" s="1">
        <v>0.77</v>
      </c>
      <c r="Q28" s="1">
        <v>7.6</v>
      </c>
      <c r="R28" s="1">
        <v>35.4</v>
      </c>
      <c r="S28" s="1" t="s">
        <v>201</v>
      </c>
      <c r="T28" s="1">
        <v>24.3</v>
      </c>
      <c r="U28" s="1" t="s">
        <v>202</v>
      </c>
      <c r="V28" s="1">
        <v>7.8</v>
      </c>
      <c r="W28" s="1">
        <v>5.3</v>
      </c>
      <c r="X28" s="1">
        <v>5.5</v>
      </c>
      <c r="Y28" s="1">
        <v>22</v>
      </c>
      <c r="Z28" s="1">
        <v>19.8</v>
      </c>
      <c r="AA28" s="1">
        <v>112.7</v>
      </c>
      <c r="AB28" s="1" t="s">
        <v>196</v>
      </c>
      <c r="AC28" s="1">
        <v>2</v>
      </c>
      <c r="AD28" s="1">
        <v>15</v>
      </c>
      <c r="AE28" s="1">
        <v>15</v>
      </c>
      <c r="AF28" s="1">
        <v>15</v>
      </c>
      <c r="AG28" s="1">
        <v>17</v>
      </c>
      <c r="AH28" s="1">
        <v>23</v>
      </c>
      <c r="AI28" s="1">
        <v>18</v>
      </c>
      <c r="AJ28" s="1">
        <v>26</v>
      </c>
      <c r="AK28" s="1">
        <v>10</v>
      </c>
      <c r="AL28" s="1">
        <v>4</v>
      </c>
      <c r="AM28" s="1">
        <v>20</v>
      </c>
      <c r="AN28" s="1">
        <v>8</v>
      </c>
      <c r="AO28" s="1">
        <v>8</v>
      </c>
      <c r="AP28" s="1">
        <v>18</v>
      </c>
      <c r="AQ28" s="1">
        <v>2</v>
      </c>
      <c r="AR28" s="1">
        <v>14</v>
      </c>
      <c r="AS28" s="1">
        <v>5</v>
      </c>
      <c r="AT28" s="1">
        <v>20</v>
      </c>
      <c r="AU28" s="1">
        <v>30</v>
      </c>
      <c r="AV28" s="1">
        <v>14</v>
      </c>
      <c r="AW28" s="1">
        <v>15</v>
      </c>
      <c r="AX28" s="1">
        <v>12</v>
      </c>
      <c r="AY28" s="1">
        <v>13</v>
      </c>
      <c r="AZ28" s="1">
        <v>27</v>
      </c>
      <c r="BA28" s="1">
        <v>21</v>
      </c>
      <c r="BB28" s="1">
        <v>16</v>
      </c>
      <c r="BC28" s="1">
        <v>10</v>
      </c>
      <c r="BD28" s="1" t="s">
        <v>200</v>
      </c>
    </row>
    <row r="29" spans="1:56">
      <c r="A29" s="1">
        <v>1610612761</v>
      </c>
      <c r="B29" s="1" t="s">
        <v>203</v>
      </c>
      <c r="C29" s="1">
        <v>9</v>
      </c>
      <c r="D29" s="1">
        <v>7</v>
      </c>
      <c r="E29" s="1">
        <v>2</v>
      </c>
      <c r="F29" s="1">
        <v>0.77800000000000002</v>
      </c>
      <c r="G29" s="1">
        <v>48.6</v>
      </c>
      <c r="H29" s="1">
        <v>39.200000000000003</v>
      </c>
      <c r="I29" s="1">
        <v>95.8</v>
      </c>
      <c r="J29" s="1">
        <v>0.41</v>
      </c>
      <c r="K29" s="1">
        <v>13.3</v>
      </c>
      <c r="L29" s="1">
        <v>37.799999999999997</v>
      </c>
      <c r="M29" s="1">
        <v>0.35299999999999998</v>
      </c>
      <c r="N29" s="1">
        <v>15.9</v>
      </c>
      <c r="O29" s="1">
        <v>20.9</v>
      </c>
      <c r="P29" s="1">
        <v>0.76100000000000001</v>
      </c>
      <c r="Q29" s="1">
        <v>13</v>
      </c>
      <c r="R29" s="1">
        <v>36</v>
      </c>
      <c r="S29" s="1" t="s">
        <v>204</v>
      </c>
      <c r="T29" s="1">
        <v>25.1</v>
      </c>
      <c r="U29" s="1" t="s">
        <v>177</v>
      </c>
      <c r="V29" s="1">
        <v>6.9</v>
      </c>
      <c r="W29" s="1">
        <v>5.9</v>
      </c>
      <c r="X29" s="1">
        <v>5.0999999999999996</v>
      </c>
      <c r="Y29" s="1">
        <v>22.1</v>
      </c>
      <c r="Z29" s="1">
        <v>22.4</v>
      </c>
      <c r="AA29" s="1">
        <v>107.7</v>
      </c>
      <c r="AB29" s="1" t="s">
        <v>205</v>
      </c>
      <c r="AC29" s="1">
        <v>17</v>
      </c>
      <c r="AD29" s="1">
        <v>2</v>
      </c>
      <c r="AE29" s="1">
        <v>2</v>
      </c>
      <c r="AF29" s="1">
        <v>2</v>
      </c>
      <c r="AG29" s="1">
        <v>4</v>
      </c>
      <c r="AH29" s="1">
        <v>14</v>
      </c>
      <c r="AI29" s="1">
        <v>29</v>
      </c>
      <c r="AJ29" s="1">
        <v>2</v>
      </c>
      <c r="AK29" s="1">
        <v>26</v>
      </c>
      <c r="AL29" s="1">
        <v>28</v>
      </c>
      <c r="AM29" s="1">
        <v>14</v>
      </c>
      <c r="AN29" s="1">
        <v>6</v>
      </c>
      <c r="AO29" s="1">
        <v>4</v>
      </c>
      <c r="AP29" s="1">
        <v>14</v>
      </c>
      <c r="AQ29" s="1">
        <v>30</v>
      </c>
      <c r="AR29" s="1">
        <v>19</v>
      </c>
      <c r="AS29" s="1">
        <v>28</v>
      </c>
      <c r="AT29" s="1">
        <v>24</v>
      </c>
      <c r="AU29" s="1">
        <v>22</v>
      </c>
      <c r="AV29" s="1">
        <v>6</v>
      </c>
      <c r="AW29" s="1">
        <v>21</v>
      </c>
      <c r="AX29" s="1">
        <v>15</v>
      </c>
      <c r="AY29" s="1">
        <v>14</v>
      </c>
      <c r="AZ29" s="1">
        <v>16</v>
      </c>
      <c r="BA29" s="1">
        <v>10</v>
      </c>
      <c r="BB29" s="1">
        <v>5</v>
      </c>
      <c r="BC29" s="1">
        <v>10</v>
      </c>
      <c r="BD29" s="1" t="s">
        <v>203</v>
      </c>
    </row>
    <row r="30" spans="1:56">
      <c r="A30" s="1">
        <v>1610612762</v>
      </c>
      <c r="B30" s="1" t="s">
        <v>206</v>
      </c>
      <c r="C30" s="1">
        <v>9</v>
      </c>
      <c r="D30" s="1">
        <v>6</v>
      </c>
      <c r="E30" s="1">
        <v>3</v>
      </c>
      <c r="F30" s="1">
        <v>0.66700000000000004</v>
      </c>
      <c r="G30" s="1">
        <v>48</v>
      </c>
      <c r="H30" s="1">
        <v>34.700000000000003</v>
      </c>
      <c r="I30" s="1">
        <v>84.8</v>
      </c>
      <c r="J30" s="1">
        <v>0.40899999999999997</v>
      </c>
      <c r="K30" s="1">
        <v>8.8000000000000007</v>
      </c>
      <c r="L30" s="1">
        <v>28.7</v>
      </c>
      <c r="M30" s="1">
        <v>0.30599999999999999</v>
      </c>
      <c r="N30" s="1">
        <v>18.899999999999999</v>
      </c>
      <c r="O30" s="1">
        <v>24.7</v>
      </c>
      <c r="P30" s="1">
        <v>0.76600000000000001</v>
      </c>
      <c r="Q30" s="1">
        <v>9.4</v>
      </c>
      <c r="R30" s="1">
        <v>33.299999999999997</v>
      </c>
      <c r="S30" s="1" t="s">
        <v>207</v>
      </c>
      <c r="T30" s="1">
        <v>17.3</v>
      </c>
      <c r="U30" s="1" t="s">
        <v>159</v>
      </c>
      <c r="V30" s="1">
        <v>7.3</v>
      </c>
      <c r="W30" s="1">
        <v>4.3</v>
      </c>
      <c r="X30" s="1">
        <v>3.8</v>
      </c>
      <c r="Y30" s="1">
        <v>23.3</v>
      </c>
      <c r="Z30" s="1">
        <v>24.2</v>
      </c>
      <c r="AA30" s="1">
        <v>97</v>
      </c>
      <c r="AB30" s="1" t="s">
        <v>208</v>
      </c>
      <c r="AC30" s="1">
        <v>17</v>
      </c>
      <c r="AD30" s="1">
        <v>7</v>
      </c>
      <c r="AE30" s="1">
        <v>5</v>
      </c>
      <c r="AF30" s="1">
        <v>7</v>
      </c>
      <c r="AG30" s="1">
        <v>17</v>
      </c>
      <c r="AH30" s="1">
        <v>1</v>
      </c>
      <c r="AI30" s="1">
        <v>4</v>
      </c>
      <c r="AJ30" s="1">
        <v>1</v>
      </c>
      <c r="AK30" s="1">
        <v>1</v>
      </c>
      <c r="AL30" s="1">
        <v>3</v>
      </c>
      <c r="AM30" s="1">
        <v>5</v>
      </c>
      <c r="AN30" s="1">
        <v>17</v>
      </c>
      <c r="AO30" s="1">
        <v>15</v>
      </c>
      <c r="AP30" s="1">
        <v>16</v>
      </c>
      <c r="AQ30" s="1">
        <v>10</v>
      </c>
      <c r="AR30" s="1">
        <v>4</v>
      </c>
      <c r="AS30" s="1">
        <v>4</v>
      </c>
      <c r="AT30" s="1">
        <v>1</v>
      </c>
      <c r="AU30" s="1">
        <v>17</v>
      </c>
      <c r="AV30" s="1">
        <v>8</v>
      </c>
      <c r="AW30" s="1">
        <v>4</v>
      </c>
      <c r="AX30" s="1">
        <v>28</v>
      </c>
      <c r="AY30" s="1">
        <v>23</v>
      </c>
      <c r="AZ30" s="1">
        <v>5</v>
      </c>
      <c r="BA30" s="1">
        <v>1</v>
      </c>
      <c r="BB30" s="1">
        <v>9</v>
      </c>
      <c r="BC30" s="1">
        <v>10</v>
      </c>
      <c r="BD30" s="1" t="s">
        <v>206</v>
      </c>
    </row>
    <row r="31" spans="1:56">
      <c r="A31" s="1">
        <v>1610612764</v>
      </c>
      <c r="B31" s="1" t="s">
        <v>209</v>
      </c>
      <c r="C31" s="1">
        <v>8</v>
      </c>
      <c r="D31" s="1">
        <v>2</v>
      </c>
      <c r="E31" s="1">
        <v>6</v>
      </c>
      <c r="F31" s="1">
        <v>0.25</v>
      </c>
      <c r="G31" s="1">
        <v>48</v>
      </c>
      <c r="H31" s="1">
        <v>42.9</v>
      </c>
      <c r="I31" s="1">
        <v>91.3</v>
      </c>
      <c r="J31" s="1">
        <v>0.47</v>
      </c>
      <c r="K31" s="1">
        <v>12.1</v>
      </c>
      <c r="L31" s="1">
        <v>33</v>
      </c>
      <c r="M31" s="1">
        <v>0.36699999999999999</v>
      </c>
      <c r="N31" s="1">
        <v>19.600000000000001</v>
      </c>
      <c r="O31" s="1">
        <v>25</v>
      </c>
      <c r="P31" s="1">
        <v>0.78500000000000003</v>
      </c>
      <c r="Q31" s="1">
        <v>12.3</v>
      </c>
      <c r="R31" s="1">
        <v>34.9</v>
      </c>
      <c r="S31" s="1" t="s">
        <v>210</v>
      </c>
      <c r="T31" s="1">
        <v>25.1</v>
      </c>
      <c r="U31" s="1" t="s">
        <v>211</v>
      </c>
      <c r="V31" s="1">
        <v>7.5</v>
      </c>
      <c r="W31" s="1">
        <v>6.3</v>
      </c>
      <c r="X31" s="1">
        <v>5</v>
      </c>
      <c r="Y31" s="1">
        <v>21</v>
      </c>
      <c r="Z31" s="1">
        <v>23.3</v>
      </c>
      <c r="AA31" s="1">
        <v>117.5</v>
      </c>
      <c r="AB31" s="1" t="s">
        <v>212</v>
      </c>
      <c r="AC31" s="1">
        <v>30</v>
      </c>
      <c r="AD31" s="1">
        <v>27</v>
      </c>
      <c r="AE31" s="1">
        <v>18</v>
      </c>
      <c r="AF31" s="1">
        <v>27</v>
      </c>
      <c r="AG31" s="1">
        <v>17</v>
      </c>
      <c r="AH31" s="1">
        <v>25</v>
      </c>
      <c r="AI31" s="1">
        <v>21</v>
      </c>
      <c r="AJ31" s="1">
        <v>25</v>
      </c>
      <c r="AK31" s="1">
        <v>20</v>
      </c>
      <c r="AL31" s="1">
        <v>15</v>
      </c>
      <c r="AM31" s="1">
        <v>21</v>
      </c>
      <c r="AN31" s="1">
        <v>24</v>
      </c>
      <c r="AO31" s="1">
        <v>19</v>
      </c>
      <c r="AP31" s="1">
        <v>25</v>
      </c>
      <c r="AQ31" s="1">
        <v>29</v>
      </c>
      <c r="AR31" s="1">
        <v>10</v>
      </c>
      <c r="AS31" s="1">
        <v>22</v>
      </c>
      <c r="AT31" s="1">
        <v>25</v>
      </c>
      <c r="AU31" s="1">
        <v>11</v>
      </c>
      <c r="AV31" s="1">
        <v>9</v>
      </c>
      <c r="AW31" s="1">
        <v>27</v>
      </c>
      <c r="AX31" s="1">
        <v>19</v>
      </c>
      <c r="AY31" s="1">
        <v>7</v>
      </c>
      <c r="AZ31" s="1">
        <v>9</v>
      </c>
      <c r="BA31" s="1">
        <v>25</v>
      </c>
      <c r="BB31" s="1">
        <v>22</v>
      </c>
      <c r="BC31" s="1">
        <v>10</v>
      </c>
      <c r="BD31" s="1" t="s">
        <v>209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B25E9-4BDC-497A-A904-D1D282F03D28}">
  <sheetPr codeName="Sheet4"/>
  <dimension ref="A1:BD31"/>
  <sheetViews>
    <sheetView workbookViewId="0"/>
  </sheetViews>
  <sheetFormatPr defaultRowHeight="14.5"/>
  <cols>
    <col min="1" max="1" width="10.54296875" customWidth="1"/>
    <col min="2" max="2" width="13.90625" customWidth="1"/>
    <col min="6" max="6" width="8.81640625" customWidth="1"/>
    <col min="8" max="8" width="11.26953125" customWidth="1"/>
    <col min="9" max="9" width="10.7265625" customWidth="1"/>
    <col min="10" max="10" width="13.7265625" customWidth="1"/>
    <col min="11" max="11" width="12.26953125" customWidth="1"/>
    <col min="12" max="12" width="11.7265625" customWidth="1"/>
    <col min="13" max="13" width="14.7265625" customWidth="1"/>
    <col min="14" max="14" width="11" customWidth="1"/>
    <col min="15" max="15" width="10.453125" customWidth="1"/>
    <col min="16" max="16" width="13.453125" customWidth="1"/>
    <col min="17" max="17" width="11.90625" customWidth="1"/>
    <col min="18" max="18" width="11.81640625" customWidth="1"/>
    <col min="19" max="19" width="10.54296875" customWidth="1"/>
    <col min="20" max="20" width="10.453125" customWidth="1"/>
    <col min="21" max="21" width="10.90625" customWidth="1"/>
    <col min="22" max="22" width="10.08984375" customWidth="1"/>
    <col min="23" max="23" width="10.36328125" customWidth="1"/>
    <col min="24" max="24" width="11.54296875" customWidth="1"/>
    <col min="25" max="25" width="9.36328125" customWidth="1"/>
    <col min="26" max="26" width="10.6328125" customWidth="1"/>
    <col min="27" max="27" width="10.36328125" customWidth="1"/>
    <col min="28" max="28" width="13.6328125" customWidth="1"/>
    <col min="29" max="29" width="10.81640625" customWidth="1"/>
    <col min="30" max="30" width="10.26953125" customWidth="1"/>
    <col min="31" max="31" width="9.26953125" customWidth="1"/>
    <col min="32" max="32" width="14.453125" customWidth="1"/>
    <col min="33" max="33" width="12" customWidth="1"/>
    <col min="34" max="34" width="16.90625" customWidth="1"/>
    <col min="35" max="35" width="16.36328125" customWidth="1"/>
    <col min="36" max="36" width="19.36328125" customWidth="1"/>
    <col min="37" max="37" width="17.90625" customWidth="1"/>
    <col min="38" max="38" width="17.36328125" customWidth="1"/>
    <col min="39" max="39" width="20.36328125" customWidth="1"/>
    <col min="40" max="40" width="16.6328125" customWidth="1"/>
    <col min="41" max="41" width="16.08984375" customWidth="1"/>
    <col min="42" max="42" width="19.08984375" customWidth="1"/>
    <col min="43" max="43" width="17.54296875" customWidth="1"/>
    <col min="44" max="44" width="17.453125" customWidth="1"/>
    <col min="45" max="45" width="16.1796875" customWidth="1"/>
    <col min="46" max="46" width="16.08984375" customWidth="1"/>
    <col min="47" max="47" width="16.54296875" customWidth="1"/>
    <col min="48" max="48" width="15.7265625" customWidth="1"/>
    <col min="49" max="49" width="16" customWidth="1"/>
    <col min="50" max="50" width="17.1796875" customWidth="1"/>
    <col min="51" max="51" width="15" customWidth="1"/>
    <col min="52" max="52" width="16.26953125" customWidth="1"/>
    <col min="53" max="53" width="16" customWidth="1"/>
    <col min="54" max="54" width="19.26953125" customWidth="1"/>
    <col min="56" max="56" width="12" customWidth="1"/>
  </cols>
  <sheetData>
    <row r="1" spans="1:56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 t="s">
        <v>59</v>
      </c>
      <c r="L1" s="1" t="s">
        <v>60</v>
      </c>
      <c r="M1" s="1" t="s">
        <v>61</v>
      </c>
      <c r="N1" s="1" t="s">
        <v>62</v>
      </c>
      <c r="O1" s="1" t="s">
        <v>63</v>
      </c>
      <c r="P1" s="1" t="s">
        <v>64</v>
      </c>
      <c r="Q1" s="1" t="s">
        <v>65</v>
      </c>
      <c r="R1" s="1" t="s">
        <v>66</v>
      </c>
      <c r="S1" s="1" t="s">
        <v>67</v>
      </c>
      <c r="T1" s="1" t="s">
        <v>68</v>
      </c>
      <c r="U1" s="1" t="s">
        <v>69</v>
      </c>
      <c r="V1" s="1" t="s">
        <v>70</v>
      </c>
      <c r="W1" s="1" t="s">
        <v>71</v>
      </c>
      <c r="X1" s="1" t="s">
        <v>72</v>
      </c>
      <c r="Y1" s="1" t="s">
        <v>73</v>
      </c>
      <c r="Z1" s="1" t="s">
        <v>74</v>
      </c>
      <c r="AA1" s="1" t="s">
        <v>75</v>
      </c>
      <c r="AB1" s="1" t="s">
        <v>76</v>
      </c>
      <c r="AC1" s="1" t="s">
        <v>77</v>
      </c>
      <c r="AD1" s="1" t="s">
        <v>78</v>
      </c>
      <c r="AE1" s="1" t="s">
        <v>79</v>
      </c>
      <c r="AF1" s="1" t="s">
        <v>80</v>
      </c>
      <c r="AG1" s="1" t="s">
        <v>81</v>
      </c>
      <c r="AH1" s="1" t="s">
        <v>82</v>
      </c>
      <c r="AI1" s="1" t="s">
        <v>83</v>
      </c>
      <c r="AJ1" s="1" t="s">
        <v>84</v>
      </c>
      <c r="AK1" s="1" t="s">
        <v>85</v>
      </c>
      <c r="AL1" s="1" t="s">
        <v>86</v>
      </c>
      <c r="AM1" s="1" t="s">
        <v>87</v>
      </c>
      <c r="AN1" s="1" t="s">
        <v>88</v>
      </c>
      <c r="AO1" s="1" t="s">
        <v>89</v>
      </c>
      <c r="AP1" s="1" t="s">
        <v>90</v>
      </c>
      <c r="AQ1" s="1" t="s">
        <v>91</v>
      </c>
      <c r="AR1" s="1" t="s">
        <v>92</v>
      </c>
      <c r="AS1" s="1" t="s">
        <v>93</v>
      </c>
      <c r="AT1" s="1" t="s">
        <v>94</v>
      </c>
      <c r="AU1" s="1" t="s">
        <v>95</v>
      </c>
      <c r="AV1" s="1" t="s">
        <v>96</v>
      </c>
      <c r="AW1" s="1" t="s">
        <v>97</v>
      </c>
      <c r="AX1" s="1" t="s">
        <v>98</v>
      </c>
      <c r="AY1" s="1" t="s">
        <v>99</v>
      </c>
      <c r="AZ1" s="1" t="s">
        <v>100</v>
      </c>
      <c r="BA1" s="1" t="s">
        <v>101</v>
      </c>
      <c r="BB1" s="1" t="s">
        <v>102</v>
      </c>
      <c r="BC1" s="1" t="s">
        <v>103</v>
      </c>
      <c r="BD1" s="1" t="s">
        <v>104</v>
      </c>
    </row>
    <row r="2" spans="1:56">
      <c r="A2" s="1">
        <v>1610612737</v>
      </c>
      <c r="B2" s="1" t="s">
        <v>105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118</v>
      </c>
      <c r="T2" s="1">
        <v>26.9</v>
      </c>
      <c r="U2" s="1" t="s">
        <v>213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214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105</v>
      </c>
    </row>
    <row r="3" spans="1:56">
      <c r="A3" s="1">
        <v>1610612738</v>
      </c>
      <c r="B3" s="1" t="s">
        <v>109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215</v>
      </c>
      <c r="T3" s="1">
        <v>23.7</v>
      </c>
      <c r="U3" s="1" t="s">
        <v>177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152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109</v>
      </c>
    </row>
    <row r="4" spans="1:56">
      <c r="A4" s="1">
        <v>1610612751</v>
      </c>
      <c r="B4" s="1" t="s">
        <v>113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176</v>
      </c>
      <c r="T4" s="1">
        <v>23.7</v>
      </c>
      <c r="U4" s="1" t="s">
        <v>216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217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113</v>
      </c>
    </row>
    <row r="5" spans="1:56">
      <c r="A5" s="1">
        <v>1610612766</v>
      </c>
      <c r="B5" s="1" t="s">
        <v>117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218</v>
      </c>
      <c r="T5" s="1">
        <v>26</v>
      </c>
      <c r="U5" s="1" t="s">
        <v>216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219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117</v>
      </c>
    </row>
    <row r="6" spans="1:56">
      <c r="A6" s="1">
        <v>1610612741</v>
      </c>
      <c r="B6" s="1" t="s">
        <v>121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220</v>
      </c>
      <c r="T6" s="1">
        <v>25.5</v>
      </c>
      <c r="U6" s="1" t="s">
        <v>130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221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121</v>
      </c>
    </row>
    <row r="7" spans="1:56">
      <c r="A7" s="1">
        <v>1610612739</v>
      </c>
      <c r="B7" s="1" t="s">
        <v>125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151</v>
      </c>
      <c r="T7" s="1">
        <v>25.7</v>
      </c>
      <c r="U7" s="1" t="s">
        <v>222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223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125</v>
      </c>
    </row>
    <row r="8" spans="1:56">
      <c r="A8" s="1">
        <v>1610612742</v>
      </c>
      <c r="B8" s="1" t="s">
        <v>129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224</v>
      </c>
      <c r="T8" s="1">
        <v>24.5</v>
      </c>
      <c r="U8" s="1" t="s">
        <v>225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226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129</v>
      </c>
    </row>
    <row r="9" spans="1:56">
      <c r="A9" s="1">
        <v>1610612743</v>
      </c>
      <c r="B9" s="1" t="s">
        <v>132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227</v>
      </c>
      <c r="T9" s="1">
        <v>24.6</v>
      </c>
      <c r="U9" s="1" t="s">
        <v>216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208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132</v>
      </c>
    </row>
    <row r="10" spans="1:56">
      <c r="A10" s="1">
        <v>1610612765</v>
      </c>
      <c r="B10" s="1" t="s">
        <v>135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190</v>
      </c>
      <c r="T10" s="1">
        <v>23.7</v>
      </c>
      <c r="U10" s="1" t="s">
        <v>228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229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135</v>
      </c>
    </row>
    <row r="11" spans="1:56">
      <c r="A11" s="1">
        <v>1610612744</v>
      </c>
      <c r="B11" s="1" t="s">
        <v>138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230</v>
      </c>
      <c r="T11" s="1">
        <v>24.3</v>
      </c>
      <c r="U11" s="1" t="s">
        <v>216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231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138</v>
      </c>
    </row>
    <row r="12" spans="1:56">
      <c r="A12" s="1">
        <v>1610612745</v>
      </c>
      <c r="B12" s="1" t="s">
        <v>142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232</v>
      </c>
      <c r="T12" s="1">
        <v>23.5</v>
      </c>
      <c r="U12" s="1" t="s">
        <v>213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188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142</v>
      </c>
    </row>
    <row r="13" spans="1:56">
      <c r="A13" s="1">
        <v>1610612754</v>
      </c>
      <c r="B13" s="1" t="s">
        <v>146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190</v>
      </c>
      <c r="T13" s="1">
        <v>24.5</v>
      </c>
      <c r="U13" s="1" t="s">
        <v>140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233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146</v>
      </c>
    </row>
    <row r="14" spans="1:56">
      <c r="A14" s="1">
        <v>1610612746</v>
      </c>
      <c r="B14" s="1" t="s">
        <v>150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234</v>
      </c>
      <c r="T14" s="1">
        <v>24.1</v>
      </c>
      <c r="U14" s="1" t="s">
        <v>115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235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150</v>
      </c>
    </row>
    <row r="15" spans="1:56">
      <c r="A15" s="1">
        <v>1610612747</v>
      </c>
      <c r="B15" s="1" t="s">
        <v>153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133</v>
      </c>
      <c r="T15" s="1">
        <v>25</v>
      </c>
      <c r="U15" s="1" t="s">
        <v>236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237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153</v>
      </c>
    </row>
    <row r="16" spans="1:56">
      <c r="A16" s="1">
        <v>1610612763</v>
      </c>
      <c r="B16" s="1" t="s">
        <v>157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238</v>
      </c>
      <c r="T16" s="1">
        <v>23.4</v>
      </c>
      <c r="U16" s="1" t="s">
        <v>239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240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157</v>
      </c>
    </row>
    <row r="17" spans="1:56">
      <c r="A17" s="1">
        <v>1610612748</v>
      </c>
      <c r="B17" s="1" t="s">
        <v>161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241</v>
      </c>
      <c r="T17" s="1">
        <v>23.3</v>
      </c>
      <c r="U17" s="1" t="s">
        <v>228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229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161</v>
      </c>
    </row>
    <row r="18" spans="1:56">
      <c r="A18" s="1">
        <v>1610612749</v>
      </c>
      <c r="B18" s="1" t="s">
        <v>165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242</v>
      </c>
      <c r="T18" s="1">
        <v>24.8</v>
      </c>
      <c r="U18" s="1" t="s">
        <v>243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244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165</v>
      </c>
    </row>
    <row r="19" spans="1:56">
      <c r="A19" s="1">
        <v>1610612750</v>
      </c>
      <c r="B19" s="1" t="s">
        <v>168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245</v>
      </c>
      <c r="T19" s="1">
        <v>26.2</v>
      </c>
      <c r="U19" s="1" t="s">
        <v>246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247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168</v>
      </c>
    </row>
    <row r="20" spans="1:56">
      <c r="A20" s="1">
        <v>1610612740</v>
      </c>
      <c r="B20" s="1" t="s">
        <v>172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218</v>
      </c>
      <c r="T20" s="1">
        <v>26.5</v>
      </c>
      <c r="U20" s="1" t="s">
        <v>248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226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172</v>
      </c>
    </row>
    <row r="21" spans="1:56">
      <c r="A21" s="1">
        <v>1610612752</v>
      </c>
      <c r="B21" s="1" t="s">
        <v>175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249</v>
      </c>
      <c r="T21" s="1">
        <v>25.6</v>
      </c>
      <c r="U21" s="1" t="s">
        <v>115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250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175</v>
      </c>
    </row>
    <row r="22" spans="1:56">
      <c r="A22" s="1">
        <v>1610612760</v>
      </c>
      <c r="B22" s="1" t="s">
        <v>179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234</v>
      </c>
      <c r="T22" s="1">
        <v>24.9</v>
      </c>
      <c r="U22" s="1" t="s">
        <v>251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149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179</v>
      </c>
    </row>
    <row r="23" spans="1:56">
      <c r="A23" s="1">
        <v>1610612753</v>
      </c>
      <c r="B23" s="1" t="s">
        <v>181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252</v>
      </c>
      <c r="T23" s="1">
        <v>23.1</v>
      </c>
      <c r="U23" s="1" t="s">
        <v>225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253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181</v>
      </c>
    </row>
    <row r="24" spans="1:56">
      <c r="A24" s="1">
        <v>1610612755</v>
      </c>
      <c r="B24" s="1" t="s">
        <v>185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254</v>
      </c>
      <c r="T24" s="1">
        <v>23.4</v>
      </c>
      <c r="U24" s="1" t="s">
        <v>255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256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185</v>
      </c>
    </row>
    <row r="25" spans="1:56">
      <c r="A25" s="1">
        <v>1610612756</v>
      </c>
      <c r="B25" s="1" t="s">
        <v>189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257</v>
      </c>
      <c r="T25" s="1">
        <v>25.9</v>
      </c>
      <c r="U25" s="1" t="s">
        <v>140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258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189</v>
      </c>
    </row>
    <row r="26" spans="1:56">
      <c r="A26" s="1">
        <v>1610612757</v>
      </c>
      <c r="B26" s="1" t="s">
        <v>193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207</v>
      </c>
      <c r="T26" s="1">
        <v>23.2</v>
      </c>
      <c r="U26" s="1" t="s">
        <v>259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260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193</v>
      </c>
    </row>
    <row r="27" spans="1:56">
      <c r="A27" s="1">
        <v>1610612758</v>
      </c>
      <c r="B27" s="1" t="s">
        <v>197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261</v>
      </c>
      <c r="T27" s="1">
        <v>24.7</v>
      </c>
      <c r="U27" s="1" t="s">
        <v>262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219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197</v>
      </c>
    </row>
    <row r="28" spans="1:56">
      <c r="A28" s="1">
        <v>1610612759</v>
      </c>
      <c r="B28" s="1" t="s">
        <v>200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263</v>
      </c>
      <c r="T28" s="1">
        <v>24.7</v>
      </c>
      <c r="U28" s="1" t="s">
        <v>264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265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200</v>
      </c>
    </row>
    <row r="29" spans="1:56">
      <c r="A29" s="1">
        <v>1610612761</v>
      </c>
      <c r="B29" s="1" t="s">
        <v>203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224</v>
      </c>
      <c r="T29" s="1">
        <v>24.5</v>
      </c>
      <c r="U29" s="1" t="s">
        <v>195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266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203</v>
      </c>
    </row>
    <row r="30" spans="1:56">
      <c r="A30" s="1">
        <v>1610612762</v>
      </c>
      <c r="B30" s="1" t="s">
        <v>206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267</v>
      </c>
      <c r="T30" s="1">
        <v>21.6</v>
      </c>
      <c r="U30" s="1" t="s">
        <v>268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269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206</v>
      </c>
    </row>
    <row r="31" spans="1:56">
      <c r="A31" s="1">
        <v>1610612764</v>
      </c>
      <c r="B31" s="1" t="s">
        <v>209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270</v>
      </c>
      <c r="T31" s="1">
        <v>26.2</v>
      </c>
      <c r="U31" s="1" t="s">
        <v>271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272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209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180</vt:i4>
      </vt:variant>
    </vt:vector>
  </HeadingPairs>
  <TitlesOfParts>
    <vt:vector size="184" baseType="lpstr">
      <vt:lpstr>Controller</vt:lpstr>
      <vt:lpstr>View</vt:lpstr>
      <vt:lpstr>DataClutchBaseN</vt:lpstr>
      <vt:lpstr>DataClutchBaseN1</vt:lpstr>
      <vt:lpstr>AdvAstPctN</vt:lpstr>
      <vt:lpstr>AdvAstPctN1</vt:lpstr>
      <vt:lpstr>AdvAstPctRankN</vt:lpstr>
      <vt:lpstr>AdvAstPctRankN1</vt:lpstr>
      <vt:lpstr>AdvDefRatingN</vt:lpstr>
      <vt:lpstr>AdvDefRatingN1</vt:lpstr>
      <vt:lpstr>AdvDefRatingRankN</vt:lpstr>
      <vt:lpstr>AdvDefRatingRankN1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AdvNetRatingN</vt:lpstr>
      <vt:lpstr>AdvNetRatingN1</vt:lpstr>
      <vt:lpstr>AdvNetRatingRank</vt:lpstr>
      <vt:lpstr>AdvNetRatingRankN</vt:lpstr>
      <vt:lpstr>AdvNetRatingRankN1</vt:lpstr>
      <vt:lpstr>AdvOffRatingN</vt:lpstr>
      <vt:lpstr>AdvOffRatingN1</vt:lpstr>
      <vt:lpstr>AdvOffRatingRankN</vt:lpstr>
      <vt:lpstr>AdvOffRatingRankN1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2019-11-12T05:04:17Z</dcterms:modified>
</cp:coreProperties>
</file>