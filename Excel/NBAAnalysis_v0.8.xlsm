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B444C0FC-AF7F-49D2-9A6A-E3A0FB0E26DB}" xr6:coauthVersionLast="45" xr6:coauthVersionMax="45" xr10:uidLastSave="{00000000-0000-0000-0000-000000000000}"/>
  <bookViews>
    <workbookView xWindow="-110" yWindow="-110" windowWidth="19420" windowHeight="10420" activeTab="1" xr2:uid="{00000000-000D-0000-FFFF-FFFF00000000}"/>
  </bookViews>
  <sheets>
    <sheet name="Controller" sheetId="44" r:id="rId1"/>
    <sheet name="View" sheetId="119" r:id="rId2"/>
    <sheet name="DataAdvancedNStarters" sheetId="127" r:id="rId3"/>
    <sheet name="DataAdvancedN1Starters" sheetId="128" r:id="rId4"/>
    <sheet name="DataAdvancedN1Bench" sheetId="129" r:id="rId5"/>
    <sheet name="DataAdvancedNBench" sheetId="130" r:id="rId6"/>
    <sheet name="DataStandingsN" sheetId="131" r:id="rId7"/>
    <sheet name="DataStandingsN1" sheetId="132" r:id="rId8"/>
    <sheet name="DataBaseN" sheetId="133" r:id="rId9"/>
    <sheet name="DataBaseN1" sheetId="134" r:id="rId10"/>
    <sheet name="DataAdvancedN" sheetId="135" r:id="rId11"/>
    <sheet name="DataAdvancedN1" sheetId="136" r:id="rId12"/>
    <sheet name="DataMiscN" sheetId="137" r:id="rId13"/>
    <sheet name="DataMiscN1" sheetId="138" r:id="rId14"/>
    <sheet name="DataOppBaseN" sheetId="139" r:id="rId15"/>
    <sheet name="DataOppBaseN1" sheetId="140" r:id="rId16"/>
    <sheet name="DataRoster" sheetId="141" r:id="rId17"/>
  </sheets>
  <functionGroups builtInGroupCount="19"/>
  <definedNames>
    <definedName name="AdvAstPctN">View!$E$40</definedName>
    <definedName name="AdvAstPctN1">View!$B$40</definedName>
    <definedName name="AdvAstPctRankN">View!$F$40</definedName>
    <definedName name="AdvAstPctRankN1">View!$C$40</definedName>
    <definedName name="AdvDefRatingBenchN">View!$E$50</definedName>
    <definedName name="AdvDefRatingBenchN1">View!$B$50</definedName>
    <definedName name="AdvDefRatingBenchRankN">View!$F$50</definedName>
    <definedName name="AdvDefRatingBenchRankN1">View!$C$50</definedName>
    <definedName name="AdvDefRatingN">View!$E$36</definedName>
    <definedName name="AdvDefRatingN1">View!$B$36</definedName>
    <definedName name="AdvDefRatingRankN">View!$F$36</definedName>
    <definedName name="AdvDefRatingRankN1">View!$C$36</definedName>
    <definedName name="AdvDefRatingStarterN">View!$E$47</definedName>
    <definedName name="AdvDefRatingStarterN1">View!$B$47</definedName>
    <definedName name="AdvDefRatingStarterRankN">View!$F$47</definedName>
    <definedName name="AdvDefRatingStarterRankN1">View!$C$47</definedName>
    <definedName name="AdvDrebPctN">View!$E$43</definedName>
    <definedName name="AdvDrebPctN1">View!$B$43</definedName>
    <definedName name="AdvDrebPctRank">View!$F$43</definedName>
    <definedName name="AdvDrebPctRankN">View!$F$43</definedName>
    <definedName name="AdvDrebPctRankN1">View!$C$43</definedName>
    <definedName name="AdvEfgPctN">View!$E$39</definedName>
    <definedName name="AdvEfgPctN1">View!$B$39</definedName>
    <definedName name="AdvEfgPctRankN">View!$F$39</definedName>
    <definedName name="AdvEfgPctRankN1">View!$C$39</definedName>
    <definedName name="AdvNetRatingBenchN">View!$E$51</definedName>
    <definedName name="AdvNetRatingBenchN1">View!$B$51</definedName>
    <definedName name="AdvNetRatingBenchRankN">View!$F$51</definedName>
    <definedName name="AdvNetRatingBenchRankN1">View!$C$51</definedName>
    <definedName name="AdvNetRatingN">View!$E$37</definedName>
    <definedName name="AdvNetRatingN1">View!$B$37</definedName>
    <definedName name="AdvNetRatingRank">View!$C$37</definedName>
    <definedName name="AdvNetRatingRankN">View!$F$37</definedName>
    <definedName name="AdvNetRatingRankN1">View!$C$37</definedName>
    <definedName name="AdvNetRatingStarterN">View!$E$48</definedName>
    <definedName name="AdvNetRatingStarterN1">View!$B$48</definedName>
    <definedName name="AdvNetRatingStarterRankN">View!$F$48</definedName>
    <definedName name="AdvNetRatingStarterRankN1">View!$C$48</definedName>
    <definedName name="AdvOffRatingBenchN">View!$E$49</definedName>
    <definedName name="AdvOffRatingBenchN1">View!$B$49</definedName>
    <definedName name="AdvOffRatingBenchRankN">View!$F$49</definedName>
    <definedName name="AdvOffRatingBenchRankN1">View!$C$49</definedName>
    <definedName name="AdvOffRatingN">View!$E$35</definedName>
    <definedName name="AdvOffRatingN1">View!$B$35</definedName>
    <definedName name="AdvOffRatingRankN">View!$F$35</definedName>
    <definedName name="AdvOffRatingRankN1">View!$C$35</definedName>
    <definedName name="AdvOffRatingStarterN">View!$E$46</definedName>
    <definedName name="AdvOffRatingStarterN1">View!$B$46</definedName>
    <definedName name="AdvOffRatingStarterRankN">View!$F$46</definedName>
    <definedName name="AdvOffRatingStarterRankN1">View!$C$46</definedName>
    <definedName name="AdvOrebPctN">View!$E$42</definedName>
    <definedName name="AdvOrebPctN1">View!$B$42</definedName>
    <definedName name="AdvOrebPctRankN">View!$F$42</definedName>
    <definedName name="AdvOrebPctRankN1">View!$C$42</definedName>
    <definedName name="AdvPaceN">View!$E$38</definedName>
    <definedName name="AdvPaceN1">View!$B$38</definedName>
    <definedName name="AdvPaceRankN">View!$F$38</definedName>
    <definedName name="AdvPaceRankN1">View!$C$38</definedName>
    <definedName name="AdvRebPctN">View!$E$41</definedName>
    <definedName name="AdvRebPctN1">View!$B$41</definedName>
    <definedName name="AdvRebPctRankN">View!$F$41</definedName>
    <definedName name="AdvRebPctRankN1">View!$C$41</definedName>
    <definedName name="AdvTmTovPctN">View!$E$44</definedName>
    <definedName name="AdvTmTovPctN1">View!$B$44</definedName>
    <definedName name="AdvTmTovPctRankN">View!$F$44</definedName>
    <definedName name="AdvTmTovPctRankN1">View!$C$44</definedName>
    <definedName name="BaseAstN">View!$E$20</definedName>
    <definedName name="BaseAstN1">View!$B$20</definedName>
    <definedName name="BaseAstRankN">View!$F$20</definedName>
    <definedName name="BaseAstRankN1">View!$C$20</definedName>
    <definedName name="BaseBlkN">View!$E$26</definedName>
    <definedName name="BaseBlkN1">View!$B$26</definedName>
    <definedName name="BaseBlkRankN">View!$F$26</definedName>
    <definedName name="BaseBlkRankN1">View!$C$26</definedName>
    <definedName name="BaseDrebN">View!$E$24</definedName>
    <definedName name="BaseDrebN1">View!$B$24</definedName>
    <definedName name="BaseDrebRankN">View!$F$24</definedName>
    <definedName name="BaseDrebRankN1">View!$C$24</definedName>
    <definedName name="BaseFg3aN">View!$E$16</definedName>
    <definedName name="BaseFg3aN1">View!$B$16</definedName>
    <definedName name="BaseFg3aRankN">View!$F$16</definedName>
    <definedName name="BaseFg3aRankN1">View!$C$16</definedName>
    <definedName name="BaseFg3mN">View!$E$15</definedName>
    <definedName name="BaseFg3mN1">View!$B$15</definedName>
    <definedName name="BaseFg3mRankN">View!$F$15</definedName>
    <definedName name="BaseFg3mRankN1">View!$C$15</definedName>
    <definedName name="BaseFg3PctN">View!$E$14</definedName>
    <definedName name="BaseFg3PctN1">View!$B$14</definedName>
    <definedName name="BaseFg3PctRankN">View!$F$14</definedName>
    <definedName name="BaseFg3PctRankN1">View!$C$14</definedName>
    <definedName name="BaseFgaN">View!$E$13</definedName>
    <definedName name="BaseFgaN1">View!$B$13</definedName>
    <definedName name="BaseFgaRankN">View!$F$13</definedName>
    <definedName name="BaseFgaRankN1">View!$C$13</definedName>
    <definedName name="BaseFgmN">View!$E$12</definedName>
    <definedName name="BaseFgmN1">View!$B$12</definedName>
    <definedName name="BaseFgmRankN">View!$F$12</definedName>
    <definedName name="BaseFgmRankN1">View!$C$12</definedName>
    <definedName name="BaseFgPctN">View!$E$11</definedName>
    <definedName name="BaseFgPctN1">View!$B$11</definedName>
    <definedName name="BaseFgPctRankN">View!$F$11</definedName>
    <definedName name="BaseFgPctRankN1">View!$C$11</definedName>
    <definedName name="BaseFtaN">View!$E$19</definedName>
    <definedName name="BaseFtaN1">View!$B$19</definedName>
    <definedName name="BaseFtaRankN">View!$F$19</definedName>
    <definedName name="BaseFtaRankN1">View!$C$19</definedName>
    <definedName name="BaseFtmN">View!$E$18</definedName>
    <definedName name="BaseFtmN1">View!$B$18</definedName>
    <definedName name="BaseFtmRankN">View!$F$18</definedName>
    <definedName name="BaseFtmRankN1">View!$C$18</definedName>
    <definedName name="BaseFtPctN">View!$E$17</definedName>
    <definedName name="BaseFtPctN1">View!$B$17</definedName>
    <definedName name="BaseFtPctRankN">View!$F$17</definedName>
    <definedName name="BaseFtPctRankN1">View!$C$17</definedName>
    <definedName name="BaseOrebN">View!$E$23</definedName>
    <definedName name="BaseOrebN1">View!$B$23</definedName>
    <definedName name="BaseOrebRankN">View!$F$23</definedName>
    <definedName name="BaseOrebRankN1">View!$C$23</definedName>
    <definedName name="BaseRebN">View!$E$22</definedName>
    <definedName name="BaseRebN1">View!$B$22</definedName>
    <definedName name="BaseRebRankN">View!$F$22</definedName>
    <definedName name="BaseRebRankN1">View!$C$22</definedName>
    <definedName name="BaseStlN">View!$E$25</definedName>
    <definedName name="BaseStlN1">View!$B$25</definedName>
    <definedName name="BaseStlRankN">View!$F$25</definedName>
    <definedName name="BaseStlRankN1">View!$C$25</definedName>
    <definedName name="BaseTovN">View!$E$21</definedName>
    <definedName name="BaseTovN1">View!$B$21</definedName>
    <definedName name="BaseTovRankN">View!$F$21</definedName>
    <definedName name="BaseTovRankN1">View!$C$21</definedName>
    <definedName name="Misc2ndPts">View!$B$55</definedName>
    <definedName name="Misc2ndPtsN">View!$E$55</definedName>
    <definedName name="Misc2ndPtsN1">View!$B$55</definedName>
    <definedName name="Misc2ndPtsRankN">View!$F$55</definedName>
    <definedName name="Misc2ndPtsRankN1">View!$C$55</definedName>
    <definedName name="MiscOpp2ndPtsN">View!$E$56</definedName>
    <definedName name="MiscOpp2ndPtsN1">View!$B$56</definedName>
    <definedName name="MiscOpp2ndPtsRankN">View!$F$56</definedName>
    <definedName name="MiscOpp2ndPtsRankN1">View!$C$56</definedName>
    <definedName name="MiscOppPtsFbN">View!$E$58</definedName>
    <definedName name="MiscOppPtsFbN1">View!$B$58</definedName>
    <definedName name="MiscOppPtsFbRankN">View!$F$58</definedName>
    <definedName name="MiscOppPtsFbRankN1">View!$C$58</definedName>
    <definedName name="MiscOppPtsOffTovN">View!$E$54</definedName>
    <definedName name="MiscOppPtsOffTovN1">View!$B$54</definedName>
    <definedName name="MiscOppPtsOffTovRankN">View!$F$54</definedName>
    <definedName name="MiscOppPtsOffTovRankN1">View!$C$54</definedName>
    <definedName name="MiscOppPtsPaintN">View!$E$60</definedName>
    <definedName name="MiscOppPtsPaintN1">View!$B$60</definedName>
    <definedName name="MiscOppPtsPaintRankN">View!$F$60</definedName>
    <definedName name="MiscOppPtsPaintRankN1">View!$C$60</definedName>
    <definedName name="MiscPtsFbN">View!$E$57</definedName>
    <definedName name="MiscPtsFbN1">View!$B$57</definedName>
    <definedName name="MiscPtsFbRankN">View!$F$57</definedName>
    <definedName name="MiscPtsFbRankN1">View!$C$57</definedName>
    <definedName name="MiscPtsOffTovN">View!$E$53</definedName>
    <definedName name="MiscPtsOffTovN1">View!$B$53</definedName>
    <definedName name="MiscPtsOffTovRankN">View!$F$53</definedName>
    <definedName name="MiscPtsOffTovRankN1">View!$C$53</definedName>
    <definedName name="MiscPtsPaintN">View!$E$59</definedName>
    <definedName name="MiscPtsPaintN1">View!$B$59</definedName>
    <definedName name="MiscPtsPaintRankN">View!$F$59</definedName>
    <definedName name="MiscPtsPaintRankN1">View!$C$59</definedName>
    <definedName name="OppBaseFg3aN">View!$E$31</definedName>
    <definedName name="OppBaseFg3aN1">View!$B$31</definedName>
    <definedName name="OppBaseFg3aRankN">View!$F$31</definedName>
    <definedName name="OppBaseFg3aRankN1">View!$C$31</definedName>
    <definedName name="OppBaseFg3mN">View!$E$30</definedName>
    <definedName name="OppBaseFg3mN1">View!$B$30</definedName>
    <definedName name="OppBaseFg3mRankN">View!$F$30</definedName>
    <definedName name="OppBaseFg3mRankN1">View!$C$30</definedName>
    <definedName name="OppBaseFg3PctN">View!$E$29</definedName>
    <definedName name="OppBaseFg3PctN1">View!$B$29</definedName>
    <definedName name="OppBaseFg3PctRankN">View!$F$29</definedName>
    <definedName name="OppBaseFg3PctRankN1">View!$C$29</definedName>
    <definedName name="OppBaseFgPctN">View!$E$28</definedName>
    <definedName name="OppBaseFgPctN1">View!$B$28</definedName>
    <definedName name="OppBaseFgPctRankN">View!$F$28</definedName>
    <definedName name="OppBaseFgPctRankN1">View!$C$28</definedName>
    <definedName name="OppBaseOrebN">View!$E$33</definedName>
    <definedName name="OppBaseOrebN1">View!$B$33</definedName>
    <definedName name="OppBaseOrebRankN">View!$F$33</definedName>
    <definedName name="OppBaseOrebRankN1">View!$C$33</definedName>
    <definedName name="OppBaseTovN">View!$E$32</definedName>
    <definedName name="OppBaseTovN1">View!$B$32</definedName>
    <definedName name="OppBaseTovRankN">View!$F$32</definedName>
    <definedName name="OppBaseTovRankN1">View!$C$32</definedName>
    <definedName name="StdHomeN">View!$E$6</definedName>
    <definedName name="StdHomeN1">View!$B$6</definedName>
    <definedName name="StdLast10N">View!$E$5</definedName>
    <definedName name="StdLast10N1">View!$B$5</definedName>
    <definedName name="StdPostASN">View!$E$9</definedName>
    <definedName name="StdPostASN1">View!$B$9</definedName>
    <definedName name="StdPreASN">View!$E$8</definedName>
    <definedName name="StdPreASN1">View!$B$8</definedName>
    <definedName name="StdRoadN">View!$E$7</definedName>
    <definedName name="StdRoadN1">View!$B$7</definedName>
    <definedName name="StdSeasonN">View!$E$3</definedName>
    <definedName name="StdSeasonN1">View!$B$3</definedName>
    <definedName name="StdSeasonRankN">View!$F$3</definedName>
    <definedName name="StdSeasonRankN1">View!$C$3</definedName>
    <definedName name="StdTeamName">View!$A$2</definedName>
    <definedName name="StdWinPctN">View!$E$4</definedName>
    <definedName name="StdWinPctN1">View!$B$4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19" l="1"/>
  <c r="B2" i="119"/>
</calcChain>
</file>

<file path=xl/sharedStrings.xml><?xml version="1.0" encoding="utf-8"?>
<sst xmlns="http://schemas.openxmlformats.org/spreadsheetml/2006/main" count="4945" uniqueCount="1346">
  <si>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</si>
  <si>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</si>
  <si>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</si>
  <si>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</si>
  <si>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</si>
  <si>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</si>
  <si>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</si>
  <si>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</si>
  <si>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</si>
  <si>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</si>
  <si>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</si>
  <si>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</si>
  <si>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</si>
  <si>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</si>
  <si>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</si>
  <si>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</si>
  <si>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</si>
  <si>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</si>
  <si>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</si>
  <si>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</si>
  <si>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</si>
  <si>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</si>
  <si>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</si>
  <si>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</si>
  <si>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</si>
  <si>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</si>
  <si>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</si>
  <si>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</si>
  <si>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</si>
  <si>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</si>
  <si>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</si>
  <si>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</si>
  <si>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</si>
  <si>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</si>
  <si>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</si>
  <si>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</si>
  <si>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</si>
  <si>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</si>
  <si>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</si>
  <si>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</si>
  <si>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</si>
  <si>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</si>
  <si>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</si>
  <si>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</si>
  <si>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</si>
  <si>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</si>
  <si>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</si>
  <si>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</si>
  <si>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TEAM_ID</t>
  </si>
  <si>
    <t>TEAM_NAME</t>
  </si>
  <si>
    <t>GP</t>
  </si>
  <si>
    <t>W</t>
  </si>
  <si>
    <t>L</t>
  </si>
  <si>
    <t>W_PCT</t>
  </si>
  <si>
    <t>MIN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</si>
  <si>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</si>
  <si>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</si>
  <si>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</si>
  <si>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</si>
  <si>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</si>
  <si>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</si>
  <si>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</si>
  <si>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</si>
  <si>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</si>
  <si>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</si>
  <si>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</si>
  <si>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</si>
  <si>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</si>
  <si>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</si>
  <si>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</si>
  <si>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</si>
  <si>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</si>
  <si>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</si>
  <si>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</si>
  <si>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</si>
  <si>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PLUS_MINUS</t>
  </si>
  <si>
    <t>GP_RANK</t>
  </si>
  <si>
    <t>W_RANK</t>
  </si>
  <si>
    <t>L_RANK</t>
  </si>
  <si>
    <t>W_PCT_RANK</t>
  </si>
  <si>
    <t>MIN_RANK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</si>
  <si>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</si>
  <si>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</si>
  <si>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</si>
  <si>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</si>
  <si>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</si>
  <si>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</si>
  <si>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</si>
  <si>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</si>
  <si>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</si>
  <si>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</si>
  <si>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</si>
  <si>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</si>
  <si>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</si>
  <si>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</si>
  <si>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</si>
  <si>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</si>
  <si>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</si>
  <si>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</si>
  <si>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</si>
  <si>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</si>
  <si>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PLUS_MINUS_RANK</t>
  </si>
  <si>
    <t>CFID</t>
  </si>
  <si>
    <t>CFPARAMS</t>
  </si>
  <si>
    <t>Atlanta Hawks</t>
  </si>
  <si>
    <t>4.4000000000000000000000</t>
  </si>
  <si>
    <t>Boston Celtics</t>
  </si>
  <si>
    <t>Brooklyn Nets</t>
  </si>
  <si>
    <t>13.2000000000000000000000</t>
  </si>
  <si>
    <t>Charlotte Hornets</t>
  </si>
  <si>
    <t>46.0000000000000000000000</t>
  </si>
  <si>
    <t>17.6000000000000000000000</t>
  </si>
  <si>
    <t>Chicago Bulls</t>
  </si>
  <si>
    <t>50.7000000000000000000000</t>
  </si>
  <si>
    <t>Cleveland Cavaliers</t>
  </si>
  <si>
    <t>46.3000000000000000000000</t>
  </si>
  <si>
    <t>14.6000000000000000000000</t>
  </si>
  <si>
    <t>0.9000000000000000000000</t>
  </si>
  <si>
    <t>Dallas Mavericks</t>
  </si>
  <si>
    <t>13.3000000000000000000000</t>
  </si>
  <si>
    <t>-3.0000000000000000000000</t>
  </si>
  <si>
    <t>Denver Nuggets</t>
  </si>
  <si>
    <t>46.9000000000000000000000</t>
  </si>
  <si>
    <t>15.3000000000000000000000</t>
  </si>
  <si>
    <t>Detroit Pistons</t>
  </si>
  <si>
    <t>40.5000000000000000000000</t>
  </si>
  <si>
    <t>Golden State Warriors</t>
  </si>
  <si>
    <t>15.7000000000000000000000</t>
  </si>
  <si>
    <t>Houston Rockets</t>
  </si>
  <si>
    <t>16.0000000000000000000000</t>
  </si>
  <si>
    <t>Indiana Pacers</t>
  </si>
  <si>
    <t>-3.4000000000000000000000</t>
  </si>
  <si>
    <t>LA Clippers</t>
  </si>
  <si>
    <t>44.1000000000000000000000</t>
  </si>
  <si>
    <t>-4.4000000000000000000000</t>
  </si>
  <si>
    <t>Los Angeles Lakers</t>
  </si>
  <si>
    <t>17.7000000000000000000000</t>
  </si>
  <si>
    <t>-8.3000000000000000000000</t>
  </si>
  <si>
    <t>Memphis Grizzlies</t>
  </si>
  <si>
    <t>46.8000000000000000000000</t>
  </si>
  <si>
    <t>15.4000000000000000000000</t>
  </si>
  <si>
    <t>Miami Heat</t>
  </si>
  <si>
    <t>Milwaukee Bucks</t>
  </si>
  <si>
    <t>47.8000000000000000000000</t>
  </si>
  <si>
    <t>-8.1000000000000000000000</t>
  </si>
  <si>
    <t>Minnesota Timberwolves</t>
  </si>
  <si>
    <t>New Orleans Pelicans</t>
  </si>
  <si>
    <t>17.3000000000000000000000</t>
  </si>
  <si>
    <t>5.4000000000000000000000</t>
  </si>
  <si>
    <t>New York Knicks</t>
  </si>
  <si>
    <t>46.2000000000000000000000</t>
  </si>
  <si>
    <t>15.1000000000000000000000</t>
  </si>
  <si>
    <t>Oklahoma City Thunder</t>
  </si>
  <si>
    <t>-1.8000000000000000000000</t>
  </si>
  <si>
    <t>Orlando Magic</t>
  </si>
  <si>
    <t>14.3000000000000000000000</t>
  </si>
  <si>
    <t>1.2000000000000000000000</t>
  </si>
  <si>
    <t>Philadelphia 76ers</t>
  </si>
  <si>
    <t>-4.8000000000000000000000</t>
  </si>
  <si>
    <t>Phoenix Suns</t>
  </si>
  <si>
    <t>43.7000000000000000000000</t>
  </si>
  <si>
    <t>Portland Trail Blazers</t>
  </si>
  <si>
    <t>14.9000000000000000000000</t>
  </si>
  <si>
    <t>Sacramento Kings</t>
  </si>
  <si>
    <t>6.1000000000000000000000</t>
  </si>
  <si>
    <t>San Antonio Spurs</t>
  </si>
  <si>
    <t>Toronto Raptors</t>
  </si>
  <si>
    <t>49.0000000000000000000000</t>
  </si>
  <si>
    <t>Utah Jazz</t>
  </si>
  <si>
    <t>42.8000000000000000000000</t>
  </si>
  <si>
    <t>-4.0000000000000000000000</t>
  </si>
  <si>
    <t>Washington Wizards</t>
  </si>
  <si>
    <t>15.0000000000000000000000</t>
  </si>
  <si>
    <t>6.0000000000000000000000</t>
  </si>
  <si>
    <t>45.9000000000000000000000</t>
  </si>
  <si>
    <t>13.5000000000000000000000</t>
  </si>
  <si>
    <t>0.1000000000000000000000</t>
  </si>
  <si>
    <t>45.8000000000000000000000</t>
  </si>
  <si>
    <t>1.1000000000000000000000</t>
  </si>
  <si>
    <t>46.4000000000000000000000</t>
  </si>
  <si>
    <t>8.4000000000000000000000</t>
  </si>
  <si>
    <t>12.5000000000000000000000</t>
  </si>
  <si>
    <t>9.6000000000000000000000</t>
  </si>
  <si>
    <t>44.8000000000000000000000</t>
  </si>
  <si>
    <t>13.0000000000000000000000</t>
  </si>
  <si>
    <t>1.3000000000000000000000</t>
  </si>
  <si>
    <t>42.5000000000000000000000</t>
  </si>
  <si>
    <t>14.1000000000000000000000</t>
  </si>
  <si>
    <t>0.2000000000000000000000</t>
  </si>
  <si>
    <t>44.3000000000000000000000</t>
  </si>
  <si>
    <t>-6.5000000000000000000000</t>
  </si>
  <si>
    <t>45.4000000000000000000000</t>
  </si>
  <si>
    <t>-3.3000000000000000000000</t>
  </si>
  <si>
    <t>45.7000000000000000000000</t>
  </si>
  <si>
    <t>-0.9000000000000000000000</t>
  </si>
  <si>
    <t>14.2000000000000000000000</t>
  </si>
  <si>
    <t>1.7000000000000000000000</t>
  </si>
  <si>
    <t>44.7000000000000000000000</t>
  </si>
  <si>
    <t>15.2000000000000000000000</t>
  </si>
  <si>
    <t>2.6000000000000000000000</t>
  </si>
  <si>
    <t>44.2000000000000000000000</t>
  </si>
  <si>
    <t>45.3000000000000000000000</t>
  </si>
  <si>
    <t>13.4000000000000000000000</t>
  </si>
  <si>
    <t>-8.9000000000000000000000</t>
  </si>
  <si>
    <t>45.6000000000000000000000</t>
  </si>
  <si>
    <t>14.7000000000000000000000</t>
  </si>
  <si>
    <t>1.5000000000000000000000</t>
  </si>
  <si>
    <t>13.6000000000000000000000</t>
  </si>
  <si>
    <t>47.5000000000000000000000</t>
  </si>
  <si>
    <t>9.2000000000000000000000</t>
  </si>
  <si>
    <t>16.7000000000000000000000</t>
  </si>
  <si>
    <t>44.6000000000000000000000</t>
  </si>
  <si>
    <t>-0.7000000000000000000000</t>
  </si>
  <si>
    <t>43.5000000000000000000000</t>
  </si>
  <si>
    <t>12.7000000000000000000000</t>
  </si>
  <si>
    <t>-2.7000000000000000000000</t>
  </si>
  <si>
    <t>47.2000000000000000000000</t>
  </si>
  <si>
    <t>9.3000000000000000000000</t>
  </si>
  <si>
    <t>12.4000000000000000000000</t>
  </si>
  <si>
    <t>-4.2000000000000000000000</t>
  </si>
  <si>
    <t>48.0000000000000000000000</t>
  </si>
  <si>
    <t>15.9000000000000000000000</t>
  </si>
  <si>
    <t>43.9000000000000000000000</t>
  </si>
  <si>
    <t>12.2000000000000000000000</t>
  </si>
  <si>
    <t>-1.7000000000000000000000</t>
  </si>
  <si>
    <t>-6.1000000000000000000000</t>
  </si>
  <si>
    <t>42.6000000000000000000000</t>
  </si>
  <si>
    <t>13.9000000000000000000000</t>
  </si>
  <si>
    <t>-5.3000000000000000000000</t>
  </si>
  <si>
    <t>47.3000000000000000000000</t>
  </si>
  <si>
    <t>15.8000000000000000000000</t>
  </si>
  <si>
    <t>2.9000000000000000000000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</si>
  <si>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</si>
  <si>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</si>
  <si>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</si>
  <si>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</si>
  <si>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</si>
  <si>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</si>
  <si>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</si>
  <si>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</si>
  <si>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</si>
  <si>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</si>
  <si>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</si>
  <si>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</si>
  <si>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</si>
  <si>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</si>
  <si>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</si>
  <si>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</si>
  <si>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</si>
  <si>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</si>
  <si>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</si>
  <si>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</si>
  <si>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</si>
  <si>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</si>
  <si>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</si>
  <si>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</si>
  <si>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</si>
  <si>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</si>
  <si>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</si>
  <si>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</si>
  <si>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</si>
  <si>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</si>
  <si>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</si>
  <si>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</si>
  <si>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</si>
  <si>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</si>
  <si>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</si>
  <si>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</si>
  <si>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</si>
  <si>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</si>
  <si>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</si>
  <si>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</si>
  <si>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</si>
  <si>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</si>
  <si>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</si>
  <si>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</si>
  <si>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</si>
  <si>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</si>
  <si>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</si>
  <si>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</si>
  <si>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</si>
  <si>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</si>
  <si>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</si>
  <si>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</si>
  <si>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</si>
  <si>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</si>
  <si>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</si>
  <si>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</si>
  <si>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</si>
  <si>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</si>
  <si>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</si>
  <si>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</si>
  <si>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</si>
  <si>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</si>
  <si>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</si>
  <si>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</si>
  <si>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</si>
  <si>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</si>
  <si>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</si>
  <si>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</si>
  <si>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</si>
  <si>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</si>
  <si>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</si>
  <si>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</si>
  <si>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</si>
  <si>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</si>
  <si>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</si>
  <si>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</si>
  <si>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</si>
  <si>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</si>
  <si>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</si>
  <si>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</si>
  <si>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</si>
  <si>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</si>
  <si>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</si>
  <si>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</si>
  <si>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</si>
  <si>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</si>
  <si>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</si>
  <si>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</si>
  <si>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</si>
  <si>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</si>
  <si>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</si>
  <si>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</si>
  <si>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</si>
  <si>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</si>
  <si>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</si>
  <si>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</si>
  <si>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</si>
  <si>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</si>
  <si>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</si>
  <si>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</si>
  <si>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</si>
  <si>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</si>
  <si>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</si>
  <si>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</si>
  <si>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</si>
  <si>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</si>
  <si>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</si>
  <si>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</si>
  <si>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</si>
  <si>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</si>
  <si>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</si>
  <si>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</si>
  <si>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</si>
  <si>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</si>
  <si>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</si>
  <si>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</si>
  <si>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</si>
  <si>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</si>
  <si>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</si>
  <si>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</si>
  <si>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</si>
  <si>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</si>
  <si>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</si>
  <si>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Boston</t>
  </si>
  <si>
    <t>Celtics</t>
  </si>
  <si>
    <t>East</t>
  </si>
  <si>
    <t xml:space="preserve">7-1  </t>
  </si>
  <si>
    <t/>
  </si>
  <si>
    <t>Atlantic</t>
  </si>
  <si>
    <t xml:space="preserve">3-1  </t>
  </si>
  <si>
    <t>9-1</t>
  </si>
  <si>
    <t xml:space="preserve">5-0  </t>
  </si>
  <si>
    <t xml:space="preserve">4-1  </t>
  </si>
  <si>
    <t xml:space="preserve">9-1  </t>
  </si>
  <si>
    <t xml:space="preserve">0-0  </t>
  </si>
  <si>
    <t xml:space="preserve">1-0  </t>
  </si>
  <si>
    <t xml:space="preserve">5-1  </t>
  </si>
  <si>
    <t>W 5</t>
  </si>
  <si>
    <t>W 4</t>
  </si>
  <si>
    <t>W 9</t>
  </si>
  <si>
    <t xml:space="preserve">8-0  </t>
  </si>
  <si>
    <t xml:space="preserve">1-1  </t>
  </si>
  <si>
    <t xml:space="preserve">9-0  </t>
  </si>
  <si>
    <t xml:space="preserve">6-0  </t>
  </si>
  <si>
    <t xml:space="preserve">4-0  </t>
  </si>
  <si>
    <t>7-1</t>
  </si>
  <si>
    <t>3-1</t>
  </si>
  <si>
    <t>2-0</t>
  </si>
  <si>
    <t>0-0</t>
  </si>
  <si>
    <t>5-0</t>
  </si>
  <si>
    <t>Los Angeles</t>
  </si>
  <si>
    <t>Lakers</t>
  </si>
  <si>
    <t>West</t>
  </si>
  <si>
    <t>Pacific</t>
  </si>
  <si>
    <t>8-2</t>
  </si>
  <si>
    <t xml:space="preserve">8-2  </t>
  </si>
  <si>
    <t>L 1</t>
  </si>
  <si>
    <t>W 1</t>
  </si>
  <si>
    <t xml:space="preserve">6-1  </t>
  </si>
  <si>
    <t xml:space="preserve">2-1  </t>
  </si>
  <si>
    <t xml:space="preserve">2-0  </t>
  </si>
  <si>
    <t xml:space="preserve">0-2  </t>
  </si>
  <si>
    <t xml:space="preserve">6-2  </t>
  </si>
  <si>
    <t xml:space="preserve">4-2  </t>
  </si>
  <si>
    <t>0-1</t>
  </si>
  <si>
    <t>1-0</t>
  </si>
  <si>
    <t>5-1</t>
  </si>
  <si>
    <t>1-1</t>
  </si>
  <si>
    <t>3-0</t>
  </si>
  <si>
    <t>Houston</t>
  </si>
  <si>
    <t>Rockets</t>
  </si>
  <si>
    <t>Southwest</t>
  </si>
  <si>
    <t xml:space="preserve">3-0  </t>
  </si>
  <si>
    <t>8-3</t>
  </si>
  <si>
    <t>W 3</t>
  </si>
  <si>
    <t xml:space="preserve">2-2  </t>
  </si>
  <si>
    <t xml:space="preserve">8-3  </t>
  </si>
  <si>
    <t xml:space="preserve">6-3  </t>
  </si>
  <si>
    <t xml:space="preserve">1-2  </t>
  </si>
  <si>
    <t>2-3</t>
  </si>
  <si>
    <t>6-0</t>
  </si>
  <si>
    <t>4-2</t>
  </si>
  <si>
    <t>Miami</t>
  </si>
  <si>
    <t>Heat</t>
  </si>
  <si>
    <t>Southeast</t>
  </si>
  <si>
    <t>7-3</t>
  </si>
  <si>
    <t xml:space="preserve">3-3  </t>
  </si>
  <si>
    <t xml:space="preserve">7-3  </t>
  </si>
  <si>
    <t xml:space="preserve">5-2  </t>
  </si>
  <si>
    <t xml:space="preserve">3-2  </t>
  </si>
  <si>
    <t>4-0</t>
  </si>
  <si>
    <t>3-3</t>
  </si>
  <si>
    <t>0-2</t>
  </si>
  <si>
    <t>4-1</t>
  </si>
  <si>
    <t>3-2</t>
  </si>
  <si>
    <t>Utah</t>
  </si>
  <si>
    <t>Jazz</t>
  </si>
  <si>
    <t xml:space="preserve">5-3  </t>
  </si>
  <si>
    <t>Northwest</t>
  </si>
  <si>
    <t xml:space="preserve">2-3  </t>
  </si>
  <si>
    <t>W 6</t>
  </si>
  <si>
    <t>L 2</t>
  </si>
  <si>
    <t xml:space="preserve">7-2  </t>
  </si>
  <si>
    <t>5-3</t>
  </si>
  <si>
    <t>4-3</t>
  </si>
  <si>
    <t>Milwaukee</t>
  </si>
  <si>
    <t>Bucks</t>
  </si>
  <si>
    <t>Central</t>
  </si>
  <si>
    <t xml:space="preserve">0-1  </t>
  </si>
  <si>
    <t>W 2</t>
  </si>
  <si>
    <t>2-1</t>
  </si>
  <si>
    <t>2-2</t>
  </si>
  <si>
    <t>Toronto</t>
  </si>
  <si>
    <t>Raptors</t>
  </si>
  <si>
    <t>Denver</t>
  </si>
  <si>
    <t>Nuggets</t>
  </si>
  <si>
    <t>LA</t>
  </si>
  <si>
    <t>Clippers</t>
  </si>
  <si>
    <t>7-4</t>
  </si>
  <si>
    <t xml:space="preserve">1-3  </t>
  </si>
  <si>
    <t xml:space="preserve">6-4  </t>
  </si>
  <si>
    <t>L 3</t>
  </si>
  <si>
    <t xml:space="preserve">3-4  </t>
  </si>
  <si>
    <t xml:space="preserve">5-4  </t>
  </si>
  <si>
    <t>Philadelphia</t>
  </si>
  <si>
    <t>76ers</t>
  </si>
  <si>
    <t>L 4</t>
  </si>
  <si>
    <t xml:space="preserve">4-3  </t>
  </si>
  <si>
    <t xml:space="preserve">4-4  </t>
  </si>
  <si>
    <t>Minnesota</t>
  </si>
  <si>
    <t>Timberwolves</t>
  </si>
  <si>
    <t xml:space="preserve">7-0  </t>
  </si>
  <si>
    <t>5-2</t>
  </si>
  <si>
    <t>Indiana</t>
  </si>
  <si>
    <t>Pacers</t>
  </si>
  <si>
    <t>6-4</t>
  </si>
  <si>
    <t>1-3</t>
  </si>
  <si>
    <t>6-1</t>
  </si>
  <si>
    <t>Cleveland</t>
  </si>
  <si>
    <t>Cavaliers</t>
  </si>
  <si>
    <t xml:space="preserve">4-5  </t>
  </si>
  <si>
    <t>4-6</t>
  </si>
  <si>
    <t xml:space="preserve">2-4  </t>
  </si>
  <si>
    <t xml:space="preserve">4-6  </t>
  </si>
  <si>
    <t xml:space="preserve">1-6  </t>
  </si>
  <si>
    <t xml:space="preserve">0-5  </t>
  </si>
  <si>
    <t>4-5</t>
  </si>
  <si>
    <t>1-2</t>
  </si>
  <si>
    <t>2-4</t>
  </si>
  <si>
    <t>Dallas</t>
  </si>
  <si>
    <t>Mavericks</t>
  </si>
  <si>
    <t>Phoenix</t>
  </si>
  <si>
    <t>Suns</t>
  </si>
  <si>
    <t>Atlanta</t>
  </si>
  <si>
    <t>Hawks</t>
  </si>
  <si>
    <t xml:space="preserve">1-4  </t>
  </si>
  <si>
    <t xml:space="preserve">2-5  </t>
  </si>
  <si>
    <t xml:space="preserve">3-6  </t>
  </si>
  <si>
    <t>Brooklyn</t>
  </si>
  <si>
    <t>Nets</t>
  </si>
  <si>
    <t xml:space="preserve">0-3  </t>
  </si>
  <si>
    <t>3-4</t>
  </si>
  <si>
    <t>San Antonio</t>
  </si>
  <si>
    <t>Spurs</t>
  </si>
  <si>
    <t>5-6</t>
  </si>
  <si>
    <t xml:space="preserve">1-5  </t>
  </si>
  <si>
    <t xml:space="preserve">5-6  </t>
  </si>
  <si>
    <t>Sacramento</t>
  </si>
  <si>
    <t>Kings</t>
  </si>
  <si>
    <t xml:space="preserve">0-6  </t>
  </si>
  <si>
    <t xml:space="preserve">2-6  </t>
  </si>
  <si>
    <t>0-5</t>
  </si>
  <si>
    <t>Charlotte</t>
  </si>
  <si>
    <t>Hornets</t>
  </si>
  <si>
    <t>4-7</t>
  </si>
  <si>
    <t xml:space="preserve">3-7  </t>
  </si>
  <si>
    <t xml:space="preserve">0-4  </t>
  </si>
  <si>
    <t>2-5</t>
  </si>
  <si>
    <t>Portland</t>
  </si>
  <si>
    <t>Trail Blazers</t>
  </si>
  <si>
    <t xml:space="preserve">3-5  </t>
  </si>
  <si>
    <t>3-5</t>
  </si>
  <si>
    <t>1-5</t>
  </si>
  <si>
    <t>Chicago</t>
  </si>
  <si>
    <t>Bulls</t>
  </si>
  <si>
    <t>1-4</t>
  </si>
  <si>
    <t>Orlando</t>
  </si>
  <si>
    <t>Magic</t>
  </si>
  <si>
    <t xml:space="preserve">1-7  </t>
  </si>
  <si>
    <t>Oklahoma City</t>
  </si>
  <si>
    <t>Thunder</t>
  </si>
  <si>
    <t>Memphis</t>
  </si>
  <si>
    <t>Grizzlies</t>
  </si>
  <si>
    <t xml:space="preserve">4-7  </t>
  </si>
  <si>
    <t>Detroit</t>
  </si>
  <si>
    <t>Pistons</t>
  </si>
  <si>
    <t>4-8</t>
  </si>
  <si>
    <t>L 5</t>
  </si>
  <si>
    <t xml:space="preserve">3-8  </t>
  </si>
  <si>
    <t>0-3</t>
  </si>
  <si>
    <t>New Orleans</t>
  </si>
  <si>
    <t>Pelicans</t>
  </si>
  <si>
    <t>2-8</t>
  </si>
  <si>
    <t xml:space="preserve">2-8  </t>
  </si>
  <si>
    <t>Washington</t>
  </si>
  <si>
    <t>Wizards</t>
  </si>
  <si>
    <t>2-7</t>
  </si>
  <si>
    <t xml:space="preserve">2-7  </t>
  </si>
  <si>
    <t xml:space="preserve">0-7  </t>
  </si>
  <si>
    <t>New York</t>
  </si>
  <si>
    <t>Knicks</t>
  </si>
  <si>
    <t>2-9</t>
  </si>
  <si>
    <t xml:space="preserve">1-8  </t>
  </si>
  <si>
    <t>1-7</t>
  </si>
  <si>
    <t>Golden State</t>
  </si>
  <si>
    <t>Warriors</t>
  </si>
  <si>
    <t>1-6</t>
  </si>
  <si>
    <t>22018</t>
  </si>
  <si>
    <t>40-12</t>
  </si>
  <si>
    <t xml:space="preserve"> - e</t>
  </si>
  <si>
    <t xml:space="preserve">14-2 </t>
  </si>
  <si>
    <t>60-22</t>
  </si>
  <si>
    <t xml:space="preserve">33-8 </t>
  </si>
  <si>
    <t>27-14</t>
  </si>
  <si>
    <t xml:space="preserve">5-5 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</si>
  <si>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</si>
  <si>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</si>
  <si>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</si>
  <si>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</si>
  <si>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</si>
  <si>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</si>
  <si>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</si>
  <si>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</si>
  <si>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</si>
  <si>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</si>
  <si>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</si>
  <si>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</si>
  <si>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</si>
  <si>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</si>
  <si>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</si>
  <si>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12-3</t>
  </si>
  <si>
    <t>10-1</t>
  </si>
  <si>
    <t>10-6</t>
  </si>
  <si>
    <t>7-0</t>
  </si>
  <si>
    <t>8-6</t>
  </si>
  <si>
    <t>10-4</t>
  </si>
  <si>
    <t>43-14</t>
  </si>
  <si>
    <t>17-8</t>
  </si>
  <si>
    <t>35-17</t>
  </si>
  <si>
    <t xml:space="preserve"> - w</t>
  </si>
  <si>
    <t xml:space="preserve">13-3 </t>
  </si>
  <si>
    <t>57-25</t>
  </si>
  <si>
    <t>30-11</t>
  </si>
  <si>
    <t xml:space="preserve">7-7  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</si>
  <si>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</si>
  <si>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</si>
  <si>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</si>
  <si>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</si>
  <si>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</si>
  <si>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</si>
  <si>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</si>
  <si>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</si>
  <si>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</si>
  <si>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</si>
  <si>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</si>
  <si>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</si>
  <si>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</si>
  <si>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</si>
  <si>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</si>
  <si>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</si>
  <si>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</si>
  <si>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9-5</t>
  </si>
  <si>
    <t>8-1</t>
  </si>
  <si>
    <t>7-7</t>
  </si>
  <si>
    <t>10-5</t>
  </si>
  <si>
    <t>41-16</t>
  </si>
  <si>
    <t>16-9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</si>
  <si>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</si>
  <si>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</si>
  <si>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</si>
  <si>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</si>
  <si>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</si>
  <si>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</si>
  <si>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</si>
  <si>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</si>
  <si>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</si>
  <si>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</si>
  <si>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</si>
  <si>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</si>
  <si>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</si>
  <si>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</si>
  <si>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</si>
  <si>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</si>
  <si>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</si>
  <si>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</si>
  <si>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</si>
  <si>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</si>
  <si>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</si>
  <si>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</si>
  <si>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8-7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</si>
  <si>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</si>
  <si>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</si>
  <si>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</si>
  <si>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</si>
  <si>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</si>
  <si>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</si>
  <si>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</si>
  <si>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</si>
  <si>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</si>
  <si>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</si>
  <si>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</si>
  <si>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</si>
  <si>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</si>
  <si>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</si>
  <si>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</si>
  <si>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</si>
  <si>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</si>
  <si>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</si>
  <si>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</si>
  <si>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</si>
  <si>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</si>
  <si>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</si>
  <si>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29-23</t>
  </si>
  <si>
    <t xml:space="preserve"> - x</t>
  </si>
  <si>
    <t xml:space="preserve">6-10 </t>
  </si>
  <si>
    <t>53-29</t>
  </si>
  <si>
    <t>21-20</t>
  </si>
  <si>
    <t xml:space="preserve">29-8 </t>
  </si>
  <si>
    <t>W 8</t>
  </si>
  <si>
    <t>L 6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</si>
  <si>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</si>
  <si>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</si>
  <si>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</si>
  <si>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</si>
  <si>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</si>
  <si>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</si>
  <si>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</si>
  <si>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</si>
  <si>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</si>
  <si>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</si>
  <si>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</si>
  <si>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6-10</t>
  </si>
  <si>
    <t>11-7</t>
  </si>
  <si>
    <t>11-4</t>
  </si>
  <si>
    <t>6-3</t>
  </si>
  <si>
    <t>34-23</t>
  </si>
  <si>
    <t>19-6</t>
  </si>
  <si>
    <t>31-21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</si>
  <si>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</si>
  <si>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</si>
  <si>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</si>
  <si>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</si>
  <si>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</si>
  <si>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</si>
  <si>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</si>
  <si>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</si>
  <si>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</si>
  <si>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</si>
  <si>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</si>
  <si>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</si>
  <si>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</si>
  <si>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4-4</t>
  </si>
  <si>
    <t>7-6</t>
  </si>
  <si>
    <t>37-21</t>
  </si>
  <si>
    <t>14-10</t>
  </si>
  <si>
    <t xml:space="preserve">10-6 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</si>
  <si>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</si>
  <si>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</si>
  <si>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</si>
  <si>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</si>
  <si>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</si>
  <si>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</si>
  <si>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</si>
  <si>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</si>
  <si>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</si>
  <si>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</si>
  <si>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</si>
  <si>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</si>
  <si>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5-5</t>
  </si>
  <si>
    <t>7-8</t>
  </si>
  <si>
    <t>12-12</t>
  </si>
  <si>
    <t>32-20</t>
  </si>
  <si>
    <t xml:space="preserve"> - sw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</si>
  <si>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</si>
  <si>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</si>
  <si>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</si>
  <si>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</si>
  <si>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</si>
  <si>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</si>
  <si>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</si>
  <si>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</si>
  <si>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</si>
  <si>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</si>
  <si>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</si>
  <si>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</si>
  <si>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</si>
  <si>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</si>
  <si>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33-24</t>
  </si>
  <si>
    <t>20-5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</si>
  <si>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</si>
  <si>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</si>
  <si>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</si>
  <si>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</si>
  <si>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</si>
  <si>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</si>
  <si>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</si>
  <si>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</si>
  <si>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</si>
  <si>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</si>
  <si>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</si>
  <si>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</si>
  <si>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</si>
  <si>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</si>
  <si>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</si>
  <si>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33-19</t>
  </si>
  <si>
    <t xml:space="preserve">11-5 </t>
  </si>
  <si>
    <t>48-34</t>
  </si>
  <si>
    <t>19-22</t>
  </si>
  <si>
    <t xml:space="preserve">6-6  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</si>
  <si>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</si>
  <si>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</si>
  <si>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</si>
  <si>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</si>
  <si>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</si>
  <si>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</si>
  <si>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</si>
  <si>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</si>
  <si>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</si>
  <si>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</si>
  <si>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</si>
  <si>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</si>
  <si>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</si>
  <si>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</si>
  <si>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</si>
  <si>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</si>
  <si>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4-10</t>
  </si>
  <si>
    <t>38-20</t>
  </si>
  <si>
    <t>10-14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</si>
  <si>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</si>
  <si>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</si>
  <si>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</si>
  <si>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</si>
  <si>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</si>
  <si>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</si>
  <si>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</si>
  <si>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</si>
  <si>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</si>
  <si>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</si>
  <si>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</si>
  <si>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</si>
  <si>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</si>
  <si>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</si>
  <si>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6-5</t>
  </si>
  <si>
    <t>37-20</t>
  </si>
  <si>
    <t>12-13</t>
  </si>
  <si>
    <t>42-40</t>
  </si>
  <si>
    <t>23-18</t>
  </si>
  <si>
    <t xml:space="preserve">12-8 </t>
  </si>
  <si>
    <t>16-22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</si>
  <si>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</si>
  <si>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</si>
  <si>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</si>
  <si>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</si>
  <si>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</si>
  <si>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</si>
  <si>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</si>
  <si>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</si>
  <si>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</si>
  <si>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5-10</t>
  </si>
  <si>
    <t>30-29</t>
  </si>
  <si>
    <t>12-11</t>
  </si>
  <si>
    <t>16-25</t>
  </si>
  <si>
    <t xml:space="preserve">7-4  </t>
  </si>
  <si>
    <t>25-16</t>
  </si>
  <si>
    <t xml:space="preserve">37-6 </t>
  </si>
  <si>
    <t xml:space="preserve">9-28 </t>
  </si>
  <si>
    <t xml:space="preserve">39-4 </t>
  </si>
  <si>
    <t>47-22</t>
  </si>
  <si>
    <t>32-31</t>
  </si>
  <si>
    <t>21-21</t>
  </si>
  <si>
    <t>34-13</t>
  </si>
  <si>
    <t>30-12</t>
  </si>
  <si>
    <t>18-12</t>
  </si>
  <si>
    <t>3-7</t>
  </si>
  <si>
    <t>33-26</t>
  </si>
  <si>
    <t xml:space="preserve"> - se</t>
  </si>
  <si>
    <t>17-24</t>
  </si>
  <si>
    <t>12-27</t>
  </si>
  <si>
    <t xml:space="preserve">32-8 </t>
  </si>
  <si>
    <t>10-31</t>
  </si>
  <si>
    <t>38-19</t>
  </si>
  <si>
    <t>23-37</t>
  </si>
  <si>
    <t>18-23</t>
  </si>
  <si>
    <t>12-18</t>
  </si>
  <si>
    <t>5-11</t>
  </si>
  <si>
    <t>5-8</t>
  </si>
  <si>
    <t>27-32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</si>
  <si>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</si>
  <si>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</si>
  <si>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</si>
  <si>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</si>
  <si>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</si>
  <si>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</si>
  <si>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</si>
  <si>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</si>
  <si>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</si>
  <si>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</si>
  <si>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</si>
  <si>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11-3</t>
  </si>
  <si>
    <t>6-9</t>
  </si>
  <si>
    <t>32-27</t>
  </si>
  <si>
    <t>16-7</t>
  </si>
  <si>
    <t>27-25</t>
  </si>
  <si>
    <t>41-41</t>
  </si>
  <si>
    <t>15-26</t>
  </si>
  <si>
    <t xml:space="preserve">6-9  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</si>
  <si>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</si>
  <si>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</si>
  <si>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</si>
  <si>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</si>
  <si>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</si>
  <si>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</si>
  <si>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</si>
  <si>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</si>
  <si>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</si>
  <si>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</si>
  <si>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4-11</t>
  </si>
  <si>
    <t>26-30</t>
  </si>
  <si>
    <t>15-11</t>
  </si>
  <si>
    <t>21-31</t>
  </si>
  <si>
    <t xml:space="preserve"> - o</t>
  </si>
  <si>
    <t xml:space="preserve">4-12 </t>
  </si>
  <si>
    <t>39-43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</si>
  <si>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</si>
  <si>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</si>
  <si>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</si>
  <si>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</si>
  <si>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</si>
  <si>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</si>
  <si>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</si>
  <si>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</si>
  <si>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</si>
  <si>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</si>
  <si>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</si>
  <si>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</si>
  <si>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</si>
  <si>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</si>
  <si>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</si>
  <si>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</si>
  <si>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</si>
  <si>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</si>
  <si>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</si>
  <si>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</si>
  <si>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</si>
  <si>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</si>
  <si>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</si>
  <si>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</si>
  <si>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6-8</t>
  </si>
  <si>
    <t>27-30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</si>
  <si>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</si>
  <si>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</si>
  <si>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</si>
  <si>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</si>
  <si>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</si>
  <si>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</si>
  <si>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</si>
  <si>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</si>
  <si>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</si>
  <si>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</si>
  <si>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</si>
  <si>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</si>
  <si>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</si>
  <si>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</si>
  <si>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5-9</t>
  </si>
  <si>
    <t>13-13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</si>
  <si>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</si>
  <si>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</si>
  <si>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</si>
  <si>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</si>
  <si>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</si>
  <si>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</si>
  <si>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</si>
  <si>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</si>
  <si>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</si>
  <si>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</si>
  <si>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</si>
  <si>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</si>
  <si>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</si>
  <si>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3-6</t>
  </si>
  <si>
    <t>28-29</t>
  </si>
  <si>
    <t>22-30</t>
  </si>
  <si>
    <t xml:space="preserve">5-11 </t>
  </si>
  <si>
    <t>36-46</t>
  </si>
  <si>
    <t>11-30</t>
  </si>
  <si>
    <t xml:space="preserve">8-5  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</si>
  <si>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</si>
  <si>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</si>
  <si>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</si>
  <si>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</si>
  <si>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</si>
  <si>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</si>
  <si>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</si>
  <si>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</si>
  <si>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</si>
  <si>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</si>
  <si>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</si>
  <si>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</si>
  <si>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</si>
  <si>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</si>
  <si>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</si>
  <si>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</si>
  <si>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</si>
  <si>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</si>
  <si>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</si>
  <si>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</si>
  <si>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</si>
  <si>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</si>
  <si>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</si>
  <si>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</si>
  <si>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</si>
  <si>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</si>
  <si>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0-4</t>
  </si>
  <si>
    <t>24-34</t>
  </si>
  <si>
    <t>8-16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</si>
  <si>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</si>
  <si>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</si>
  <si>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</si>
  <si>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</si>
  <si>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</si>
  <si>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</si>
  <si>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</si>
  <si>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</si>
  <si>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</si>
  <si>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</si>
  <si>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</si>
  <si>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</si>
  <si>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</si>
  <si>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</si>
  <si>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</si>
  <si>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</si>
  <si>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</si>
  <si>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</si>
  <si>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</si>
  <si>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</si>
  <si>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L 7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</si>
  <si>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</si>
  <si>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</si>
  <si>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</si>
  <si>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</si>
  <si>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</si>
  <si>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</si>
  <si>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</si>
  <si>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</si>
  <si>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</si>
  <si>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3-13</t>
  </si>
  <si>
    <t>6-7</t>
  </si>
  <si>
    <t>19-39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</si>
  <si>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</si>
  <si>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</si>
  <si>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</si>
  <si>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</si>
  <si>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</si>
  <si>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</si>
  <si>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</si>
  <si>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</si>
  <si>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</si>
  <si>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</si>
  <si>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</si>
  <si>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</si>
  <si>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</si>
  <si>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</si>
  <si>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</si>
  <si>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</si>
  <si>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</si>
  <si>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</si>
  <si>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</si>
  <si>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 xml:space="preserve">1-9  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</si>
  <si>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</si>
  <si>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</si>
  <si>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</si>
  <si>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</si>
  <si>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</si>
  <si>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</si>
  <si>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</si>
  <si>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</si>
  <si>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</si>
  <si>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</si>
  <si>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</si>
  <si>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</si>
  <si>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</si>
  <si>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</si>
  <si>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</si>
  <si>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</si>
  <si>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</si>
  <si>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</si>
  <si>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</si>
  <si>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</si>
  <si>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</si>
  <si>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</si>
  <si>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</si>
  <si>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</si>
  <si>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15-37</t>
  </si>
  <si>
    <t>19-63</t>
  </si>
  <si>
    <t xml:space="preserve">6-35 </t>
  </si>
  <si>
    <t xml:space="preserve">0-10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</si>
  <si>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</si>
  <si>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</si>
  <si>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</si>
  <si>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</si>
  <si>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</si>
  <si>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</si>
  <si>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</si>
  <si>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</si>
  <si>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</si>
  <si>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</si>
  <si>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</si>
  <si>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3-11</t>
  </si>
  <si>
    <t>12-46</t>
  </si>
  <si>
    <t>7-17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</si>
  <si>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</si>
  <si>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</si>
  <si>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</si>
  <si>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</si>
  <si>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</si>
  <si>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</si>
  <si>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</si>
  <si>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</si>
  <si>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</si>
  <si>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</si>
  <si>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</si>
  <si>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</si>
  <si>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</si>
  <si>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</si>
  <si>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</si>
  <si>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</si>
  <si>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</si>
  <si>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</si>
  <si>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</si>
  <si>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</si>
  <si>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</si>
  <si>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</si>
  <si>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</si>
  <si>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</si>
  <si>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</si>
  <si>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</si>
  <si>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</si>
  <si>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</si>
  <si>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</si>
  <si>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</si>
  <si>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</si>
  <si>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</si>
  <si>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</si>
  <si>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</si>
  <si>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</si>
  <si>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</si>
  <si>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</si>
  <si>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</si>
  <si>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</si>
  <si>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</si>
  <si>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</si>
  <si>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</si>
  <si>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</si>
  <si>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</si>
  <si>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</si>
  <si>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</si>
  <si>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</si>
  <si>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</si>
  <si>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</si>
  <si>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</si>
  <si>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</si>
  <si>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</si>
  <si>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</si>
  <si>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</si>
  <si>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</si>
  <si>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</si>
  <si>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</si>
  <si>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</si>
  <si>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</si>
  <si>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</si>
  <si>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</si>
  <si>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</si>
  <si>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</si>
  <si>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</si>
  <si>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</si>
  <si>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</si>
  <si>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</si>
  <si>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</si>
  <si>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</si>
  <si>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</si>
  <si>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</si>
  <si>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</si>
  <si>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</si>
  <si>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</si>
  <si>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</si>
  <si>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</si>
  <si>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</si>
  <si>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</si>
  <si>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17.4000000000000000000000</t>
  </si>
  <si>
    <t>-3.6000000000000000000000</t>
  </si>
  <si>
    <t>11.5000000000000000000000</t>
  </si>
  <si>
    <t>18.2000000000000000000000</t>
  </si>
  <si>
    <t>-2.2000000000000000000000</t>
  </si>
  <si>
    <t>-6.9000000000000000000000</t>
  </si>
  <si>
    <t>-2.5000000000000000000000</t>
  </si>
  <si>
    <t>3.0000000000000000000000</t>
  </si>
  <si>
    <t>2.3000000000000000000000</t>
  </si>
  <si>
    <t>14.5000000000000000000000</t>
  </si>
  <si>
    <t>-9.5000000000000000000000</t>
  </si>
  <si>
    <t>16.2000000000000000000000</t>
  </si>
  <si>
    <t>2.5000000000000000000000</t>
  </si>
  <si>
    <t>5.5000000000000000000000</t>
  </si>
  <si>
    <t>16.4000000000000000000000</t>
  </si>
  <si>
    <t>3.7000000000000000000000</t>
  </si>
  <si>
    <t>8.3000000000000000000000</t>
  </si>
  <si>
    <t>-8.8000000000000000000000</t>
  </si>
  <si>
    <t>18.5000000000000000000000</t>
  </si>
  <si>
    <t>8.1000000000000000000000</t>
  </si>
  <si>
    <t>1.0000000000000000000000</t>
  </si>
  <si>
    <t>17.9000000000000000000000</t>
  </si>
  <si>
    <t>-5.4000000000000000000000</t>
  </si>
  <si>
    <t>16.6000000000000000000000</t>
  </si>
  <si>
    <t>-10.8000000000000000000000</t>
  </si>
  <si>
    <t>0.3000000000000000000000</t>
  </si>
  <si>
    <t>18.0000000000000000000000</t>
  </si>
  <si>
    <t>6.2000000000000000000000</t>
  </si>
  <si>
    <t>-1.2000000000000000000000</t>
  </si>
  <si>
    <t>-4.7000000000000000000000</t>
  </si>
  <si>
    <t>17.1000000000000000000000</t>
  </si>
  <si>
    <t>5.8000000000000000000000</t>
  </si>
  <si>
    <t>16.5000000000000000000000</t>
  </si>
  <si>
    <t>5.0000000000000000000000</t>
  </si>
  <si>
    <t>17.0000000000000000000000</t>
  </si>
  <si>
    <t>-6.0000000000000000000000</t>
  </si>
  <si>
    <t>12.8000000000000000000000</t>
  </si>
  <si>
    <t>-0.1000000000000000000000</t>
  </si>
  <si>
    <t>-1.1000000000000000000000</t>
  </si>
  <si>
    <t>-8.4000000000000000000000</t>
  </si>
  <si>
    <t>-9.6000000000000000000000</t>
  </si>
  <si>
    <t>-1.3000000000000000000000</t>
  </si>
  <si>
    <t>4.0000000000000000000000</t>
  </si>
  <si>
    <t>13.8000000000000000000000</t>
  </si>
  <si>
    <t>-0.2000000000000000000000</t>
  </si>
  <si>
    <t>6.5000000000000000000000</t>
  </si>
  <si>
    <t>4.8000000000000000000000</t>
  </si>
  <si>
    <t>13.7000000000000000000000</t>
  </si>
  <si>
    <t>3.3000000000000000000000</t>
  </si>
  <si>
    <t>14.0000000000000000000000</t>
  </si>
  <si>
    <t>-2.6000000000000000000000</t>
  </si>
  <si>
    <t>8.9000000000000000000000</t>
  </si>
  <si>
    <t>13.1000000000000000000000</t>
  </si>
  <si>
    <t>-1.5000000000000000000000</t>
  </si>
  <si>
    <t>14.8000000000000000000000</t>
  </si>
  <si>
    <t>-9.2000000000000000000000</t>
  </si>
  <si>
    <t>3.4000000000000000000000</t>
  </si>
  <si>
    <t>0.7000000000000000000000</t>
  </si>
  <si>
    <t>2.7000000000000000000000</t>
  </si>
  <si>
    <t>15.6000000000000000000000</t>
  </si>
  <si>
    <t>-9.3000000000000000000000</t>
  </si>
  <si>
    <t>4.2000000000000000000000</t>
  </si>
  <si>
    <t>12.1000000000000000000000</t>
  </si>
  <si>
    <t>5.3000000000000000000000</t>
  </si>
  <si>
    <t>-2.9000000000000000000000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</si>
  <si>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</si>
  <si>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</si>
  <si>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</si>
  <si>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</si>
  <si>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</si>
  <si>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</si>
  <si>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</si>
  <si>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</si>
  <si>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</si>
  <si>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</si>
  <si>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</si>
  <si>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</si>
  <si>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</si>
  <si>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</si>
  <si>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</si>
  <si>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</si>
  <si>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44.5000000000000000000000</t>
  </si>
  <si>
    <t>3.6000000000000000000000</t>
  </si>
  <si>
    <t>2.2000000000000000000000</t>
  </si>
  <si>
    <t>18.1000000000000000000000</t>
  </si>
  <si>
    <t>6.9000000000000000000000</t>
  </si>
  <si>
    <t>49.5000000000000000000000</t>
  </si>
  <si>
    <t>19.4000000000000000000000</t>
  </si>
  <si>
    <t>46.7000000000000000000000</t>
  </si>
  <si>
    <t>-2.3000000000000000000000</t>
  </si>
  <si>
    <t>40.6000000000000000000000</t>
  </si>
  <si>
    <t>46.6000000000000000000000</t>
  </si>
  <si>
    <t>9.5000000000000000000000</t>
  </si>
  <si>
    <t>48.6000000000000000000000</t>
  </si>
  <si>
    <t>43.6000000000000000000000</t>
  </si>
  <si>
    <t>-5.5000000000000000000000</t>
  </si>
  <si>
    <t>44.4000000000000000000000</t>
  </si>
  <si>
    <t>-3.7000000000000000000000</t>
  </si>
  <si>
    <t>8.8000000000000000000000</t>
  </si>
  <si>
    <t>42.1000000000000000000000</t>
  </si>
  <si>
    <t>47.4000000000000000000000</t>
  </si>
  <si>
    <t>18.3000000000000000000000</t>
  </si>
  <si>
    <t>-1.0000000000000000000000</t>
  </si>
  <si>
    <t>15.5000000000000000000000</t>
  </si>
  <si>
    <t>10.8000000000000000000000</t>
  </si>
  <si>
    <t>46.5000000000000000000000</t>
  </si>
  <si>
    <t>14.4000000000000000000000</t>
  </si>
  <si>
    <t>-0.3000000000000000000000</t>
  </si>
  <si>
    <t>-6.2000000000000000000000</t>
  </si>
  <si>
    <t>48.5000000000000000000000</t>
  </si>
  <si>
    <t>41.2000000000000000000000</t>
  </si>
  <si>
    <t>4.7000000000000000000000</t>
  </si>
  <si>
    <t>12.6000000000000000000000</t>
  </si>
  <si>
    <t>1.8000000000000000000000</t>
  </si>
  <si>
    <t>-5.8000000000000000000000</t>
  </si>
  <si>
    <t>42.9000000000000000000000</t>
  </si>
  <si>
    <t>-5.0000000000000000000000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</si>
  <si>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</si>
  <si>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</si>
  <si>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</si>
  <si>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</si>
  <si>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</si>
  <si>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</si>
  <si>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</si>
  <si>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</si>
  <si>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</si>
  <si>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</si>
  <si>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</si>
  <si>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</si>
  <si>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Admiral Schofield</t>
  </si>
  <si>
    <t>1</t>
  </si>
  <si>
    <t>G-F</t>
  </si>
  <si>
    <t>241</t>
  </si>
  <si>
    <t>MAR 30, 1997</t>
  </si>
  <si>
    <t>R</t>
  </si>
  <si>
    <t>Tennessee</t>
  </si>
  <si>
    <t>John Wall</t>
  </si>
  <si>
    <t>2</t>
  </si>
  <si>
    <t>G</t>
  </si>
  <si>
    <t>210</t>
  </si>
  <si>
    <t>SEP 06, 1990</t>
  </si>
  <si>
    <t>9</t>
  </si>
  <si>
    <t>Kentucky</t>
  </si>
  <si>
    <t>Bradley Beal</t>
  </si>
  <si>
    <t>3</t>
  </si>
  <si>
    <t>207</t>
  </si>
  <si>
    <t>JUN 28, 1993</t>
  </si>
  <si>
    <t>7</t>
  </si>
  <si>
    <t>Florida</t>
  </si>
  <si>
    <t>Isaiah Thomas</t>
  </si>
  <si>
    <t>4</t>
  </si>
  <si>
    <t>185</t>
  </si>
  <si>
    <t>FEB 07, 1989</t>
  </si>
  <si>
    <t>8</t>
  </si>
  <si>
    <t>Justin Robinson</t>
  </si>
  <si>
    <t>5</t>
  </si>
  <si>
    <t>195</t>
  </si>
  <si>
    <t>OCT 12, 1997</t>
  </si>
  <si>
    <t>Virginia Tech</t>
  </si>
  <si>
    <t>Troy Brown Jr.</t>
  </si>
  <si>
    <t>6</t>
  </si>
  <si>
    <t>6-6</t>
  </si>
  <si>
    <t>215</t>
  </si>
  <si>
    <t>JUL 28, 1999</t>
  </si>
  <si>
    <t>Oregon</t>
  </si>
  <si>
    <t>Rui Hachimura</t>
  </si>
  <si>
    <t>F</t>
  </si>
  <si>
    <t>230</t>
  </si>
  <si>
    <t>FEB 08, 1998</t>
  </si>
  <si>
    <t>Gonzaga</t>
  </si>
  <si>
    <t>Chris Chiozza</t>
  </si>
  <si>
    <t>175</t>
  </si>
  <si>
    <t>NOV 21, 1995</t>
  </si>
  <si>
    <t>Thomas Bryant</t>
  </si>
  <si>
    <t>13</t>
  </si>
  <si>
    <t>C-F</t>
  </si>
  <si>
    <t>248</t>
  </si>
  <si>
    <t>JUL 31, 1997</t>
  </si>
  <si>
    <t>Ish Smith</t>
  </si>
  <si>
    <t>14</t>
  </si>
  <si>
    <t>JUL 05, 1988</t>
  </si>
  <si>
    <t>Wake Forest</t>
  </si>
  <si>
    <t>Isaac Bonga</t>
  </si>
  <si>
    <t>17</t>
  </si>
  <si>
    <t>180</t>
  </si>
  <si>
    <t>NOV 08, 1999</t>
  </si>
  <si>
    <t xml:space="preserve"> </t>
  </si>
  <si>
    <t>Moritz Wagner</t>
  </si>
  <si>
    <t>21</t>
  </si>
  <si>
    <t>F-C</t>
  </si>
  <si>
    <t>6-11</t>
  </si>
  <si>
    <t>245</t>
  </si>
  <si>
    <t>APR 26, 1997</t>
  </si>
  <si>
    <t>Michigan</t>
  </si>
  <si>
    <t>Garrison Mathews</t>
  </si>
  <si>
    <t>24</t>
  </si>
  <si>
    <t>OCT 24, 1996</t>
  </si>
  <si>
    <t>Lipscomb</t>
  </si>
  <si>
    <t>Ian Mahinmi</t>
  </si>
  <si>
    <t>28</t>
  </si>
  <si>
    <t>C</t>
  </si>
  <si>
    <t>262</t>
  </si>
  <si>
    <t>NOV 05, 1986</t>
  </si>
  <si>
    <t>11</t>
  </si>
  <si>
    <t>CJ Miles</t>
  </si>
  <si>
    <t>34</t>
  </si>
  <si>
    <t>220</t>
  </si>
  <si>
    <t>MAR 18, 1987</t>
  </si>
  <si>
    <t>No College</t>
  </si>
  <si>
    <t>Davis Bertans</t>
  </si>
  <si>
    <t>42</t>
  </si>
  <si>
    <t>225</t>
  </si>
  <si>
    <t>NOV 12, 1992</t>
  </si>
  <si>
    <t>Jordan McRae</t>
  </si>
  <si>
    <t>52</t>
  </si>
  <si>
    <t>179</t>
  </si>
  <si>
    <t>MAR 28, 1991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</si>
</sst>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"/>
    <numFmt numFmtId="165" formatCode="##"/>
    <numFmt numFmtId="166" formatCode="#.0##"/>
    <numFmt numFmtId="167" formatCode="#0.0##"/>
    <numFmt numFmtId="168" formatCode="##0.0##%"/>
    <numFmt numFmtId="169" formatCode="##.0##%"/>
    <numFmt numFmtId="170" formatCode="#.000###"/>
    <numFmt numFmtId="171" formatCode="#0.00##"/>
  </numFmts>
  <fonts count="4"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3"/>
      <charset val="128"/>
      <scheme val="minor"/>
    </font>
    <font>
      <sz val="11"/>
      <color rgb="FF000000"/>
      <name val="ＭＳ Ｐゴシック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6" borderId="0" xfId="0" applyFont="1" applyFill="1"/>
    <xf numFmtId="171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</cellXfs>
  <cellStyles count="1">
    <cellStyle name="Normal" xfId="0" builtinId="0"/>
  </cellStyles>
  <dxfs count="762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234950</xdr:colOff>
          <xdr:row>5</xdr:row>
          <xdr:rowOff>107950</xdr:rowOff>
        </xdr:from>
        <xdr:to>
          <xdr:col>9</xdr:col>
          <xdr:colOff>482600</xdr:colOff>
          <xdr:row>14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5F9C815-23C5-4A07-9659-48D7D348BDE5}" name="TableAdvancedNStarters" displayName="TableAdvancedNStarters" ref="A1:AV31" totalsRowShown="0" headerRowDxfId="337">
  <autoFilter ref="A1:AV31" xr:uid="{3E7678BB-E235-43EA-BA34-70D277B2C72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9635C85-F929-4625-86D6-D70B9A04FA06}" name="TEAM_ID" dataDxfId="385"/>
    <tableColumn id="2" xr3:uid="{1440FA44-62E4-4C57-B828-459A4DFFF09F}" name="TEAM_NAME" dataDxfId="384"/>
    <tableColumn id="3" xr3:uid="{9E0B73A7-D4F6-4EF5-A505-2F2156E934B4}" name="GP" dataDxfId="383"/>
    <tableColumn id="4" xr3:uid="{4F266F6D-88C5-4113-92EC-CF25C2ECF22C}" name="W" dataDxfId="382"/>
    <tableColumn id="5" xr3:uid="{272A41FD-864B-4BC0-BC90-823017056AF3}" name="L" dataDxfId="381"/>
    <tableColumn id="6" xr3:uid="{5AF82DB2-F9B2-48CA-9EC2-424A72690587}" name="W_PCT" dataDxfId="380"/>
    <tableColumn id="7" xr3:uid="{FCC8200D-5365-457D-9A4C-05F228FE741B}" name="MIN" dataDxfId="379"/>
    <tableColumn id="8" xr3:uid="{31F82542-090A-4256-976B-A58E55534842}" name="E_OFF_RATING" dataDxfId="378"/>
    <tableColumn id="9" xr3:uid="{1DEEF105-835F-479F-8EE1-9F1CEBB36D20}" name="OFF_RATING" dataDxfId="377"/>
    <tableColumn id="10" xr3:uid="{72FE20D8-3035-4DE5-A213-63C1B03D5064}" name="E_DEF_RATING" dataDxfId="376"/>
    <tableColumn id="11" xr3:uid="{CA196C83-FE9D-41BA-BC21-78EB23FE935E}" name="DEF_RATING" dataDxfId="375"/>
    <tableColumn id="12" xr3:uid="{17E96D30-17A5-44F8-B82B-64F430B8BCB8}" name="E_NET_RATING" dataDxfId="374"/>
    <tableColumn id="13" xr3:uid="{AE6ED14E-53C6-4821-A784-5E1CFFD3CA34}" name="NET_RATING" dataDxfId="373"/>
    <tableColumn id="14" xr3:uid="{BA485558-E993-46E6-A740-2176D02EE889}" name="AST_PCT" dataDxfId="372"/>
    <tableColumn id="15" xr3:uid="{F83ECF28-7EC5-4053-A0B8-79397E8806EE}" name="AST_TO" dataDxfId="371"/>
    <tableColumn id="16" xr3:uid="{2127A273-3509-4CE6-A0F9-CEFE241D064F}" name="AST_RATIO" dataDxfId="370"/>
    <tableColumn id="17" xr3:uid="{B896ACD4-4D4F-4D42-9B2F-48F2FD9BE074}" name="OREB_PCT" dataDxfId="369"/>
    <tableColumn id="18" xr3:uid="{3F109584-1AD2-488D-B9DF-900B6D33D4A1}" name="DREB_PCT" dataDxfId="368"/>
    <tableColumn id="19" xr3:uid="{435EB3DA-5DE8-45B9-93FF-9A3B30BBDBFD}" name="REB_PCT" dataDxfId="367"/>
    <tableColumn id="20" xr3:uid="{FBE616CE-8AEC-4476-8B30-F3D1878DBC85}" name="TM_TOV_PCT" dataDxfId="366"/>
    <tableColumn id="21" xr3:uid="{87302B53-AE23-45AA-99A6-02D461B12BCF}" name="EFG_PCT" dataDxfId="365"/>
    <tableColumn id="22" xr3:uid="{C6046701-753E-4FAA-9E8B-D16FE991A638}" name="TS_PCT" dataDxfId="364"/>
    <tableColumn id="23" xr3:uid="{37E26082-5CBA-4FEE-A27E-782CEA7D80D8}" name="E_PACE" dataDxfId="363"/>
    <tableColumn id="24" xr3:uid="{758C2C88-0F69-44FC-909E-8FC466C0B1F6}" name="PACE" dataDxfId="362"/>
    <tableColumn id="25" xr3:uid="{76879BD0-EAD8-4499-94CC-08F71691D6E0}" name="PACE_PER40" dataDxfId="361"/>
    <tableColumn id="26" xr3:uid="{66FD8B24-F3AD-4E8A-A0C2-588D728C8469}" name="POSS" dataDxfId="360"/>
    <tableColumn id="27" xr3:uid="{6469FD13-464B-4FF1-A1D5-BC70E8C173F3}" name="PIE" dataDxfId="359"/>
    <tableColumn id="28" xr3:uid="{6DFEE550-3B96-4CC6-A04F-3DF35FDF2745}" name="GP_RANK" dataDxfId="358"/>
    <tableColumn id="29" xr3:uid="{5F9E1571-9710-4693-83A0-D62F5CEC083C}" name="W_RANK" dataDxfId="357"/>
    <tableColumn id="30" xr3:uid="{C7D7126F-37CF-4238-BE56-98C1D35346DD}" name="L_RANK" dataDxfId="356"/>
    <tableColumn id="31" xr3:uid="{8E92C224-9517-425C-BB81-C29768980F77}" name="W_PCT_RANK" dataDxfId="355"/>
    <tableColumn id="32" xr3:uid="{16382DFA-C7AC-44B9-842A-8CA12FE83498}" name="MIN_RANK" dataDxfId="354"/>
    <tableColumn id="33" xr3:uid="{2B4D0736-015A-42DE-A20F-66546B142F44}" name="OFF_RATING_RANK" dataDxfId="353"/>
    <tableColumn id="34" xr3:uid="{8FB161D8-C262-4765-B560-4C26D50AF7C4}" name="DEF_RATING_RANK" dataDxfId="352"/>
    <tableColumn id="35" xr3:uid="{6905AFAB-3BF1-4752-95F2-5C5546990E44}" name="NET_RATING_RANK" dataDxfId="351"/>
    <tableColumn id="36" xr3:uid="{CF48A008-C7A7-4D8D-AFE5-F8C5ABC3759E}" name="AST_PCT_RANK" dataDxfId="350"/>
    <tableColumn id="37" xr3:uid="{EE347F7E-44C6-4DDF-956E-1958B39B6885}" name="AST_TO_RANK" dataDxfId="349"/>
    <tableColumn id="38" xr3:uid="{67ED3B84-0AF7-4FFF-9CC4-4D62B0037446}" name="AST_RATIO_RANK" dataDxfId="348"/>
    <tableColumn id="39" xr3:uid="{C675FDA8-2BC4-4E65-AB83-826DC0DD7270}" name="OREB_PCT_RANK" dataDxfId="347"/>
    <tableColumn id="40" xr3:uid="{393EA904-4293-42FC-A683-CA66BBA02510}" name="DREB_PCT_RANK" dataDxfId="346"/>
    <tableColumn id="41" xr3:uid="{4F9D7CDA-A170-4C1D-8C5E-3F683F8AC679}" name="REB_PCT_RANK" dataDxfId="345"/>
    <tableColumn id="42" xr3:uid="{F299AD75-BD91-46B2-A9F3-FA294558FC42}" name="TM_TOV_PCT_RANK" dataDxfId="344"/>
    <tableColumn id="43" xr3:uid="{1C201A7A-BD81-4FA7-BE70-8F2B97A5F258}" name="EFG_PCT_RANK" dataDxfId="343"/>
    <tableColumn id="44" xr3:uid="{EC9902B6-1277-44C7-A011-505A351D1B44}" name="TS_PCT_RANK" dataDxfId="342"/>
    <tableColumn id="45" xr3:uid="{6042995D-AE2A-41F9-ACF6-B50A256D0881}" name="PACE_RANK" dataDxfId="341"/>
    <tableColumn id="46" xr3:uid="{6F48E500-41F0-4AD2-B4E2-6E315FD64443}" name="PIE_RANK" dataDxfId="340"/>
    <tableColumn id="47" xr3:uid="{036A6791-161F-44F4-B255-BFDDB7B4A8F2}" name="CFID" dataDxfId="339"/>
    <tableColumn id="48" xr3:uid="{98614459-C41E-4534-9742-F5979BBF6F1E}" name="CFPARAMS" dataDxfId="3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1363EF0-3E70-4175-BF2F-D2CE22BC3F67}" name="TableAdvancedN1Starters" displayName="TableAdvancedN1Starters" ref="A1:AV31" totalsRowShown="0" headerRowDxfId="288">
  <autoFilter ref="A1:AV31" xr:uid="{11267DA1-42F5-4063-A803-B8A544BEC12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FEAB6A5-BA3F-47DB-A028-B5859AC48690}" name="TEAM_ID" dataDxfId="336"/>
    <tableColumn id="2" xr3:uid="{5BBA674E-E008-47F1-A7BB-EF1C5023A4E3}" name="TEAM_NAME" dataDxfId="335"/>
    <tableColumn id="3" xr3:uid="{CDAC8443-1DC4-4825-9B3F-CD44E993156A}" name="GP" dataDxfId="334"/>
    <tableColumn id="4" xr3:uid="{4C52D685-8B66-430B-8C7F-B6D982865C6C}" name="W" dataDxfId="333"/>
    <tableColumn id="5" xr3:uid="{BDD93073-8B6B-4A35-9281-A0D6250A817C}" name="L" dataDxfId="332"/>
    <tableColumn id="6" xr3:uid="{3F030ECE-6303-47C3-86E8-65669E2C8E77}" name="W_PCT" dataDxfId="331"/>
    <tableColumn id="7" xr3:uid="{6DB56E8B-1975-4608-8F2C-300F4E1A85EF}" name="MIN" dataDxfId="330"/>
    <tableColumn id="8" xr3:uid="{33FE7584-64C1-484E-B71B-55E7C357AAD5}" name="E_OFF_RATING" dataDxfId="329"/>
    <tableColumn id="9" xr3:uid="{1B71694C-2F55-4BC4-8C41-565275652FD7}" name="OFF_RATING" dataDxfId="328"/>
    <tableColumn id="10" xr3:uid="{4A735D31-8072-466B-821E-85EB1AC0C387}" name="E_DEF_RATING" dataDxfId="327"/>
    <tableColumn id="11" xr3:uid="{EC2E192B-4A3C-42AB-BEC8-2320D49C2CE9}" name="DEF_RATING" dataDxfId="326"/>
    <tableColumn id="12" xr3:uid="{25705B16-D4B5-4E8B-B637-82BA74850287}" name="E_NET_RATING" dataDxfId="325"/>
    <tableColumn id="13" xr3:uid="{AFA4D990-394F-4F3A-8BDC-0F60BE13A7C6}" name="NET_RATING" dataDxfId="324"/>
    <tableColumn id="14" xr3:uid="{E5497517-762B-4A44-BE57-2A1DF8D54796}" name="AST_PCT" dataDxfId="323"/>
    <tableColumn id="15" xr3:uid="{D7A31909-D891-46C6-B556-F2F91E69BD64}" name="AST_TO" dataDxfId="322"/>
    <tableColumn id="16" xr3:uid="{988A3B26-6070-4D5A-834C-1CEDF44F6C5E}" name="AST_RATIO" dataDxfId="321"/>
    <tableColumn id="17" xr3:uid="{ABD9A938-5DC7-4655-867C-083B83767C86}" name="OREB_PCT" dataDxfId="320"/>
    <tableColumn id="18" xr3:uid="{B8F23A46-0BAD-49F1-A9C0-77295ECCA401}" name="DREB_PCT" dataDxfId="319"/>
    <tableColumn id="19" xr3:uid="{9975D67C-C6FB-4DF7-BBED-EACB7DC61CA9}" name="REB_PCT" dataDxfId="318"/>
    <tableColumn id="20" xr3:uid="{DE936A07-2295-4C96-8680-BB904F9311FF}" name="TM_TOV_PCT" dataDxfId="317"/>
    <tableColumn id="21" xr3:uid="{F20D2D2A-97DE-4AFA-B07E-A1A639AF37B6}" name="EFG_PCT" dataDxfId="316"/>
    <tableColumn id="22" xr3:uid="{A845005D-CBC6-4BE1-9D71-83AEA893056C}" name="TS_PCT" dataDxfId="315"/>
    <tableColumn id="23" xr3:uid="{EEFB399C-1191-4358-A75D-F24D40190C4D}" name="E_PACE" dataDxfId="314"/>
    <tableColumn id="24" xr3:uid="{04E3109B-384F-42B6-87E1-19464459E1B6}" name="PACE" dataDxfId="313"/>
    <tableColumn id="25" xr3:uid="{5BAEFCAF-455E-4446-B82D-7BFED59678BF}" name="PACE_PER40" dataDxfId="312"/>
    <tableColumn id="26" xr3:uid="{549AF276-0764-4FDB-9D05-B29780823675}" name="POSS" dataDxfId="311"/>
    <tableColumn id="27" xr3:uid="{FEF94337-E795-458C-9F6C-960A244DC170}" name="PIE" dataDxfId="310"/>
    <tableColumn id="28" xr3:uid="{D52AA417-A0E6-4119-8F3F-491347A5496D}" name="GP_RANK" dataDxfId="309"/>
    <tableColumn id="29" xr3:uid="{5B5EA059-485F-4F28-B052-97FF05EC00D3}" name="W_RANK" dataDxfId="308"/>
    <tableColumn id="30" xr3:uid="{9856D90D-0A5F-4D4B-9070-922A6432E2A8}" name="L_RANK" dataDxfId="307"/>
    <tableColumn id="31" xr3:uid="{89D13F55-DC4C-401B-B5E1-C9AC1A919014}" name="W_PCT_RANK" dataDxfId="306"/>
    <tableColumn id="32" xr3:uid="{6830A3FC-46F5-4599-9ECF-E5AFC2E93019}" name="MIN_RANK" dataDxfId="305"/>
    <tableColumn id="33" xr3:uid="{9B15B8A0-C053-4105-9D0A-5D93D84E9D5D}" name="OFF_RATING_RANK" dataDxfId="304"/>
    <tableColumn id="34" xr3:uid="{C6EC8F00-D1C6-4FF6-BA1A-F72E088B77B5}" name="DEF_RATING_RANK" dataDxfId="303"/>
    <tableColumn id="35" xr3:uid="{7A5EC5AE-2E18-446C-8AFF-BD044BF687DF}" name="NET_RATING_RANK" dataDxfId="302"/>
    <tableColumn id="36" xr3:uid="{99474F04-24DF-49F2-8FE9-F9D0892FAA43}" name="AST_PCT_RANK" dataDxfId="301"/>
    <tableColumn id="37" xr3:uid="{5CD5B058-E8A1-413D-A2F8-F91030557A97}" name="AST_TO_RANK" dataDxfId="300"/>
    <tableColumn id="38" xr3:uid="{6840A977-253F-469F-A06B-37792351B89C}" name="AST_RATIO_RANK" dataDxfId="299"/>
    <tableColumn id="39" xr3:uid="{14313752-D348-4421-81F5-1BD5265152B5}" name="OREB_PCT_RANK" dataDxfId="298"/>
    <tableColumn id="40" xr3:uid="{7DF44D48-5C9A-44B3-B024-473F1C28DC98}" name="DREB_PCT_RANK" dataDxfId="297"/>
    <tableColumn id="41" xr3:uid="{B14751E2-B932-4D82-BA7F-040AABF98470}" name="REB_PCT_RANK" dataDxfId="296"/>
    <tableColumn id="42" xr3:uid="{3533C550-F22E-47A7-AC2F-3A7EA5043091}" name="TM_TOV_PCT_RANK" dataDxfId="295"/>
    <tableColumn id="43" xr3:uid="{127E2914-B318-472E-BA78-CF50ECCFEB60}" name="EFG_PCT_RANK" dataDxfId="294"/>
    <tableColumn id="44" xr3:uid="{4D9375A6-BFAB-4B0C-A553-FDB74B41F157}" name="TS_PCT_RANK" dataDxfId="293"/>
    <tableColumn id="45" xr3:uid="{63036514-E329-4543-9686-DEF9AE428A36}" name="PACE_RANK" dataDxfId="292"/>
    <tableColumn id="46" xr3:uid="{7A02E5E2-E0E8-419F-90D5-F05B6149D8D2}" name="PIE_RANK" dataDxfId="291"/>
    <tableColumn id="47" xr3:uid="{4B9B72FE-B117-4D66-834B-B6EFF45240B1}" name="CFID" dataDxfId="290"/>
    <tableColumn id="48" xr3:uid="{7F9AB270-8DDD-4E0C-A770-759505851B66}" name="CFPARAMS" dataDxfId="28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84F7774-E4D6-409E-8484-3D4E00C33ED1}" name="TableAdvancedN1Bench" displayName="TableAdvancedN1Bench" ref="A1:AV31" totalsRowShown="0" headerRowDxfId="190">
  <autoFilter ref="A1:AV31" xr:uid="{FA9C8A9E-E7F6-46F8-9C2C-E3E9267A7F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5E8B5E7-A299-48CF-86EA-2F964DAC4F31}" name="TEAM_ID" dataDxfId="238"/>
    <tableColumn id="2" xr3:uid="{4D3560CE-5E1C-40E3-9045-A97699EFABDD}" name="TEAM_NAME" dataDxfId="237"/>
    <tableColumn id="3" xr3:uid="{7A44FB36-F1E5-4EDF-B391-7616EF426292}" name="GP" dataDxfId="236"/>
    <tableColumn id="4" xr3:uid="{F89017C7-A1A9-4ED4-866E-C92E65EB50EB}" name="W" dataDxfId="235"/>
    <tableColumn id="5" xr3:uid="{F2A69616-A9F1-46C1-AC3C-ECAEA7BC8105}" name="L" dataDxfId="234"/>
    <tableColumn id="6" xr3:uid="{519FF9CA-1B8C-483D-B7EA-2751A5D6CC95}" name="W_PCT" dataDxfId="233"/>
    <tableColumn id="7" xr3:uid="{777CBF6D-1A8F-4604-BA93-B8AE3C3E5BB2}" name="MIN" dataDxfId="232"/>
    <tableColumn id="8" xr3:uid="{A401A1E5-2071-4BC1-AE02-5777C65EADF8}" name="E_OFF_RATING" dataDxfId="231"/>
    <tableColumn id="9" xr3:uid="{CE015BDD-DB01-4092-91B3-4847E43670B2}" name="OFF_RATING" dataDxfId="230"/>
    <tableColumn id="10" xr3:uid="{A023CC9F-6DB1-4C28-9673-4E8EF853723E}" name="E_DEF_RATING" dataDxfId="229"/>
    <tableColumn id="11" xr3:uid="{87FF430C-F6D5-41F1-BFC0-F0B72A52A07B}" name="DEF_RATING" dataDxfId="228"/>
    <tableColumn id="12" xr3:uid="{C968E801-6252-42B8-B420-EBCDAACDDCD9}" name="E_NET_RATING" dataDxfId="227"/>
    <tableColumn id="13" xr3:uid="{F08AFE2E-5368-4C87-907B-C335B982383F}" name="NET_RATING" dataDxfId="226"/>
    <tableColumn id="14" xr3:uid="{A5EB04DF-21CB-4AB7-B85C-0BF95AA7FA34}" name="AST_PCT" dataDxfId="225"/>
    <tableColumn id="15" xr3:uid="{5D673161-CF68-49A0-BE2B-B367478E9C8B}" name="AST_TO" dataDxfId="224"/>
    <tableColumn id="16" xr3:uid="{AA00921B-4F41-481F-B053-D4FBD3ED7A20}" name="AST_RATIO" dataDxfId="223"/>
    <tableColumn id="17" xr3:uid="{03C21AB1-F79D-44DE-8EAC-575FFB18016A}" name="OREB_PCT" dataDxfId="222"/>
    <tableColumn id="18" xr3:uid="{A82B5CAC-8217-4994-B05D-D32CD3E62F50}" name="DREB_PCT" dataDxfId="221"/>
    <tableColumn id="19" xr3:uid="{873A15C9-B830-4BD0-B312-9C78D076E1B0}" name="REB_PCT" dataDxfId="220"/>
    <tableColumn id="20" xr3:uid="{91D87924-6ED3-4743-A064-455A7D9E05A6}" name="TM_TOV_PCT" dataDxfId="219"/>
    <tableColumn id="21" xr3:uid="{53265AA6-18A1-4662-BEC0-E34D025426D8}" name="EFG_PCT" dataDxfId="218"/>
    <tableColumn id="22" xr3:uid="{1F61849F-81B6-4AD9-859F-971B9760F1D8}" name="TS_PCT" dataDxfId="217"/>
    <tableColumn id="23" xr3:uid="{778B5C6E-4CC1-47EC-BC9C-276858D4FAD9}" name="E_PACE" dataDxfId="216"/>
    <tableColumn id="24" xr3:uid="{E823DCAA-879E-44A3-9EC0-41500065D456}" name="PACE" dataDxfId="215"/>
    <tableColumn id="25" xr3:uid="{16DBC164-E2A5-41DD-9EF1-B2C8B6806396}" name="PACE_PER40" dataDxfId="214"/>
    <tableColumn id="26" xr3:uid="{7EDA4A86-9DD7-4A42-B173-989987FB7527}" name="POSS" dataDxfId="213"/>
    <tableColumn id="27" xr3:uid="{F2AF9859-EEED-45F7-BCBA-BE0F622E7DA1}" name="PIE" dataDxfId="212"/>
    <tableColumn id="28" xr3:uid="{C511E08C-D68D-43B2-85D0-521E288F9CE1}" name="GP_RANK" dataDxfId="211"/>
    <tableColumn id="29" xr3:uid="{EA0DCEFB-2886-418D-A2D8-10F047ABFBBA}" name="W_RANK" dataDxfId="210"/>
    <tableColumn id="30" xr3:uid="{3C49C530-19D1-43A4-992D-DFCB61148E9D}" name="L_RANK" dataDxfId="209"/>
    <tableColumn id="31" xr3:uid="{547E4BD8-FC78-4565-98D4-7CD422EC36CF}" name="W_PCT_RANK" dataDxfId="208"/>
    <tableColumn id="32" xr3:uid="{39C69934-D8CB-493C-ADC7-82B0632ACA0D}" name="MIN_RANK" dataDxfId="207"/>
    <tableColumn id="33" xr3:uid="{1A8B1F7F-8229-4749-BB83-86615C11174E}" name="OFF_RATING_RANK" dataDxfId="206"/>
    <tableColumn id="34" xr3:uid="{1A6439B7-610B-46B4-9399-19D77E953570}" name="DEF_RATING_RANK" dataDxfId="205"/>
    <tableColumn id="35" xr3:uid="{D98FFA40-B000-4482-B4EF-8F639E1053D1}" name="NET_RATING_RANK" dataDxfId="204"/>
    <tableColumn id="36" xr3:uid="{B3AE30C1-BEE9-42EC-A080-47D88C890DA5}" name="AST_PCT_RANK" dataDxfId="203"/>
    <tableColumn id="37" xr3:uid="{92A8B916-A6E0-48AF-BFD2-700079104787}" name="AST_TO_RANK" dataDxfId="202"/>
    <tableColumn id="38" xr3:uid="{18584CAD-DD5F-4670-91FE-60DCAA583D94}" name="AST_RATIO_RANK" dataDxfId="201"/>
    <tableColumn id="39" xr3:uid="{D480B2F9-9D7A-40C9-A7D6-BF401F54D743}" name="OREB_PCT_RANK" dataDxfId="200"/>
    <tableColumn id="40" xr3:uid="{6604A42E-1601-4EC8-AB14-5D8BD994AB5B}" name="DREB_PCT_RANK" dataDxfId="199"/>
    <tableColumn id="41" xr3:uid="{68DA0AFC-BE12-4008-8D13-C0AB269B64AA}" name="REB_PCT_RANK" dataDxfId="198"/>
    <tableColumn id="42" xr3:uid="{BE0755E1-D8CC-4550-B1C2-37B91A7785C4}" name="TM_TOV_PCT_RANK" dataDxfId="197"/>
    <tableColumn id="43" xr3:uid="{326BCFC9-81FB-4A80-BABB-FA137B9B50E0}" name="EFG_PCT_RANK" dataDxfId="196"/>
    <tableColumn id="44" xr3:uid="{815209C8-517B-4AFF-B3C2-6C4E431BC4AE}" name="TS_PCT_RANK" dataDxfId="195"/>
    <tableColumn id="45" xr3:uid="{F0C45863-9E93-4926-90B2-60B6E6388388}" name="PACE_RANK" dataDxfId="194"/>
    <tableColumn id="46" xr3:uid="{BB01609E-0A83-4BDE-9105-2B883FADB5B2}" name="PIE_RANK" dataDxfId="193"/>
    <tableColumn id="47" xr3:uid="{D1042024-EB03-4AB8-8E96-CF7A1333BE71}" name="CFID" dataDxfId="192"/>
    <tableColumn id="48" xr3:uid="{F473A166-EDE4-45DE-A8DF-E8B24784F77B}" name="CFPARAMS" dataDxfId="19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0CCB1D1-C8B1-436D-9DDA-022F29A2C1DE}" name="TableAdvancedNBench" displayName="TableAdvancedNBench" ref="A1:AV31" totalsRowShown="0" headerRowDxfId="239">
  <autoFilter ref="A1:AV31" xr:uid="{D0DE2933-3F24-4DC3-A985-55226F03AA2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8CDDFC4-F8BA-4934-B3D5-6CB46498094E}" name="TEAM_ID" dataDxfId="287"/>
    <tableColumn id="2" xr3:uid="{759AF62B-7DB5-48BD-B06D-BBAA123C1BD5}" name="TEAM_NAME" dataDxfId="286"/>
    <tableColumn id="3" xr3:uid="{ECC3A329-9104-4D7A-AF06-3A831F8E023A}" name="GP" dataDxfId="285"/>
    <tableColumn id="4" xr3:uid="{5E46F140-7960-4E75-9F50-0B7024EAE323}" name="W" dataDxfId="284"/>
    <tableColumn id="5" xr3:uid="{F2F0B31D-3C81-4E10-9A74-4F35438FA160}" name="L" dataDxfId="283"/>
    <tableColumn id="6" xr3:uid="{06927DF9-DFC9-4423-94A6-BD8FA124440B}" name="W_PCT" dataDxfId="282"/>
    <tableColumn id="7" xr3:uid="{8469A4DC-5064-4D0B-9A8D-659B0BA031B7}" name="MIN" dataDxfId="281"/>
    <tableColumn id="8" xr3:uid="{4B0106ED-4D63-4CC1-97F4-6311A8541A6A}" name="E_OFF_RATING" dataDxfId="280"/>
    <tableColumn id="9" xr3:uid="{E665358F-FF4D-4362-ADE7-1CAF66840A9E}" name="OFF_RATING" dataDxfId="279"/>
    <tableColumn id="10" xr3:uid="{B45C258F-EC35-4B62-8D9B-3445DD165535}" name="E_DEF_RATING" dataDxfId="278"/>
    <tableColumn id="11" xr3:uid="{FCAF10FE-00D6-405B-9F86-5D7AE50DE99E}" name="DEF_RATING" dataDxfId="277"/>
    <tableColumn id="12" xr3:uid="{9B9C797A-4B1B-4125-BC52-2481F75D5445}" name="E_NET_RATING" dataDxfId="276"/>
    <tableColumn id="13" xr3:uid="{634C8CED-6D7A-4505-B2CC-6EBAC26FAFE5}" name="NET_RATING" dataDxfId="275"/>
    <tableColumn id="14" xr3:uid="{719B4529-580C-4452-81B4-488643F339CD}" name="AST_PCT" dataDxfId="274"/>
    <tableColumn id="15" xr3:uid="{CC891988-08E1-4609-B221-C6F2694EB908}" name="AST_TO" dataDxfId="273"/>
    <tableColumn id="16" xr3:uid="{3AB27633-055C-481C-B4D2-05A855B0936D}" name="AST_RATIO" dataDxfId="272"/>
    <tableColumn id="17" xr3:uid="{CBEB5A69-55AC-4554-A15E-7778CDF62AD8}" name="OREB_PCT" dataDxfId="271"/>
    <tableColumn id="18" xr3:uid="{10A41497-CE28-43FC-8CDE-745BC26EBC92}" name="DREB_PCT" dataDxfId="270"/>
    <tableColumn id="19" xr3:uid="{933D867E-9F16-4C84-9212-B0943530127C}" name="REB_PCT" dataDxfId="269"/>
    <tableColumn id="20" xr3:uid="{69C8EFC9-9983-4467-A5ED-B76F72F2630B}" name="TM_TOV_PCT" dataDxfId="268"/>
    <tableColumn id="21" xr3:uid="{CCC345A2-564F-4644-89D1-D27155AA81E0}" name="EFG_PCT" dataDxfId="267"/>
    <tableColumn id="22" xr3:uid="{918CFE7F-C49F-4BF4-A3BC-7C071ABC9B29}" name="TS_PCT" dataDxfId="266"/>
    <tableColumn id="23" xr3:uid="{449ED5FD-4B3B-4836-B4FB-C677C6883DDD}" name="E_PACE" dataDxfId="265"/>
    <tableColumn id="24" xr3:uid="{A0C20A0F-334D-49F2-ACC0-FE3F31187980}" name="PACE" dataDxfId="264"/>
    <tableColumn id="25" xr3:uid="{7F86DF10-5A42-4820-A9D2-D16054664492}" name="PACE_PER40" dataDxfId="263"/>
    <tableColumn id="26" xr3:uid="{E9E91293-4EBF-4859-AF5F-2002FCED19F4}" name="POSS" dataDxfId="262"/>
    <tableColumn id="27" xr3:uid="{1E490983-3485-4B99-8755-64097F8E59E7}" name="PIE" dataDxfId="261"/>
    <tableColumn id="28" xr3:uid="{02239BC8-8AFE-40E2-BAFC-6CAF21B58946}" name="GP_RANK" dataDxfId="260"/>
    <tableColumn id="29" xr3:uid="{68B0A748-2472-4361-9C35-CB4E10044078}" name="W_RANK" dataDxfId="259"/>
    <tableColumn id="30" xr3:uid="{D9080D50-B0DC-4F36-A151-00069D470AD5}" name="L_RANK" dataDxfId="258"/>
    <tableColumn id="31" xr3:uid="{D1412FE1-E557-40F6-96E3-EA8AA4CCEC95}" name="W_PCT_RANK" dataDxfId="257"/>
    <tableColumn id="32" xr3:uid="{0962BC1B-3822-4244-B35D-3A92B8360C47}" name="MIN_RANK" dataDxfId="256"/>
    <tableColumn id="33" xr3:uid="{5E985002-B852-4B3A-B308-0A2BC00D72A0}" name="OFF_RATING_RANK" dataDxfId="255"/>
    <tableColumn id="34" xr3:uid="{1F74621D-D55A-4953-AC94-562073A5FA68}" name="DEF_RATING_RANK" dataDxfId="254"/>
    <tableColumn id="35" xr3:uid="{B5A2A974-CFF6-4D4E-89E9-D8EB58AA1EBD}" name="NET_RATING_RANK" dataDxfId="253"/>
    <tableColumn id="36" xr3:uid="{778D7AEB-DEA4-4148-BB03-28470191D613}" name="AST_PCT_RANK" dataDxfId="252"/>
    <tableColumn id="37" xr3:uid="{30D53861-3E39-4317-9362-60A0C09FFDC2}" name="AST_TO_RANK" dataDxfId="251"/>
    <tableColumn id="38" xr3:uid="{4BE44AAF-B21A-4EC3-886F-09DCAE50023F}" name="AST_RATIO_RANK" dataDxfId="250"/>
    <tableColumn id="39" xr3:uid="{5DE6FE60-386F-4305-8846-A1C8ED86372D}" name="OREB_PCT_RANK" dataDxfId="249"/>
    <tableColumn id="40" xr3:uid="{3990C8D3-3A42-46AB-BFC3-95BFA3633DA9}" name="DREB_PCT_RANK" dataDxfId="248"/>
    <tableColumn id="41" xr3:uid="{F718ABEC-411C-49F0-9CA9-E579DB78CD3F}" name="REB_PCT_RANK" dataDxfId="247"/>
    <tableColumn id="42" xr3:uid="{D039E9CE-9A8A-4F32-9EED-1D2429CC60E6}" name="TM_TOV_PCT_RANK" dataDxfId="246"/>
    <tableColumn id="43" xr3:uid="{9283987E-98A3-49FF-8EC3-471716AF9772}" name="EFG_PCT_RANK" dataDxfId="245"/>
    <tableColumn id="44" xr3:uid="{98652396-53C3-4AD1-A1B4-5F3BE41EB8A5}" name="TS_PCT_RANK" dataDxfId="244"/>
    <tableColumn id="45" xr3:uid="{3AE526C7-0043-41F5-9E68-BF43B0EA3A19}" name="PACE_RANK" dataDxfId="243"/>
    <tableColumn id="46" xr3:uid="{5017C6FF-D919-4296-919A-C70E9C3E606E}" name="PIE_RANK" dataDxfId="242"/>
    <tableColumn id="47" xr3:uid="{6BAAFCC9-5C17-411D-B1FE-C44335E0E583}" name="CFID" dataDxfId="241"/>
    <tableColumn id="48" xr3:uid="{7CDB1E67-0B56-49AF-ADD5-D77CE0C9E4AC}" name="CFPARAMS" dataDxfId="2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B513B12-D858-4CF4-93B3-F2C0CC3E1B79}" name="TableStandingsN" displayName="TableStandingsN" ref="A1:CC31" totalsRowShown="0" headerRowDxfId="680">
  <autoFilter ref="A1:CC31" xr:uid="{2BF86ADE-10FD-40AD-882B-F0A41C006F1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4135E205-2247-4929-AA7E-10F6DD28E6F3}" name="LeagueID" dataDxfId="761"/>
    <tableColumn id="2" xr3:uid="{6E4211A5-EFBB-4F19-9CB4-56F6FC883E16}" name="SeasonID" dataDxfId="760"/>
    <tableColumn id="3" xr3:uid="{0028B589-CC63-428C-8203-A32D48EE9776}" name="TeamID" dataDxfId="759"/>
    <tableColumn id="4" xr3:uid="{DEA4529A-4D03-475C-9B12-C8E5CC4B34B5}" name="TeamCity" dataDxfId="758"/>
    <tableColumn id="5" xr3:uid="{730E3A1D-3A63-480E-B869-0F38C483AA7D}" name="TeamName" dataDxfId="757"/>
    <tableColumn id="6" xr3:uid="{E6048990-A9CF-4227-B26C-81D21BC7D4D6}" name="Conference" dataDxfId="756"/>
    <tableColumn id="7" xr3:uid="{0EC7B078-E3A8-40AF-8724-029185699726}" name="ConferenceRecord" dataDxfId="755"/>
    <tableColumn id="8" xr3:uid="{1D0F1C1B-683F-4D38-A157-E1A4AC62CA7F}" name="PlayoffRank" dataDxfId="754"/>
    <tableColumn id="9" xr3:uid="{EA2C0956-7E69-470D-A1C5-299C3E7AADA8}" name="ClinchIndicator" dataDxfId="753"/>
    <tableColumn id="10" xr3:uid="{B94C40CE-9E49-4E79-888B-B7B640964236}" name="Division" dataDxfId="752"/>
    <tableColumn id="11" xr3:uid="{F8D683A1-D1DD-4F09-B2DC-CF8C9F5C4BEE}" name="DivisionRecord" dataDxfId="751"/>
    <tableColumn id="12" xr3:uid="{28EEF06E-8109-453A-9690-B33A95302AFF}" name="DivisionRank" dataDxfId="750"/>
    <tableColumn id="13" xr3:uid="{9D1BB56C-7C8A-4B66-BFF5-F167633140AC}" name="WINS" dataDxfId="749"/>
    <tableColumn id="14" xr3:uid="{CF8B4199-B1CB-4713-951E-54B2826B798D}" name="LOSSES" dataDxfId="748"/>
    <tableColumn id="15" xr3:uid="{0DA1A490-19F1-4431-85A0-9B8115621339}" name="WinPCT" dataDxfId="747"/>
    <tableColumn id="16" xr3:uid="{09D4432B-0AA1-4E3E-82AA-514F6747FA87}" name="LeagueRank" dataDxfId="746"/>
    <tableColumn id="17" xr3:uid="{6EF42ADE-A522-40A8-AB45-247694973087}" name="Record" dataDxfId="745"/>
    <tableColumn id="18" xr3:uid="{2330F33D-B97F-4BEE-BEAE-F6DDCA683068}" name="HOME" dataDxfId="744"/>
    <tableColumn id="19" xr3:uid="{E0AA09BE-C992-440B-A0F6-410BC5694D49}" name="ROAD" dataDxfId="743"/>
    <tableColumn id="20" xr3:uid="{D69C4D8A-945C-4DBA-814B-24663B737948}" name="L10" dataDxfId="742"/>
    <tableColumn id="21" xr3:uid="{E5A1563D-BF3E-471D-805D-078EB91D0CF5}" name="Last10Home" dataDxfId="741"/>
    <tableColumn id="22" xr3:uid="{2998B29F-4168-4BB0-8A57-23F091972E23}" name="Last10Road" dataDxfId="740"/>
    <tableColumn id="23" xr3:uid="{7814480F-9EA0-4D62-90A3-ABD32AFBBDB0}" name="OT" dataDxfId="739"/>
    <tableColumn id="24" xr3:uid="{DF2C3ED1-D914-4612-A8F7-748F4007BC77}" name="ThreePTSOrLess" dataDxfId="738"/>
    <tableColumn id="25" xr3:uid="{84626083-DAA3-40C2-A6BA-87E3D8FA9BAB}" name="TenPTSOrMore" dataDxfId="737"/>
    <tableColumn id="26" xr3:uid="{8B82E9AC-B0DA-490F-89B1-930257C6744D}" name="LongHomeStreak" dataDxfId="736"/>
    <tableColumn id="27" xr3:uid="{AAE6090F-4A8A-4E25-A18E-A3E94B04AF8C}" name="strLongHomeStreak" dataDxfId="735"/>
    <tableColumn id="28" xr3:uid="{50EAEDBF-D2AB-415C-8178-F032017793FD}" name="LongRoadStreak" dataDxfId="734"/>
    <tableColumn id="29" xr3:uid="{0F24E2F2-30FC-431C-B61E-A729F0B41A02}" name="strLongRoadStreak" dataDxfId="733"/>
    <tableColumn id="30" xr3:uid="{01F4ACDF-00CB-41FB-AB6F-0EC14FB5CCB2}" name="LongWinStreak" dataDxfId="732"/>
    <tableColumn id="31" xr3:uid="{2C20D59C-055C-4840-9D0E-ED6CDD0C14D4}" name="LongLossStreak" dataDxfId="731"/>
    <tableColumn id="32" xr3:uid="{45865728-781A-45E3-99B1-4AB4FC039D81}" name="CurrentHomeStreak" dataDxfId="730"/>
    <tableColumn id="33" xr3:uid="{71099C29-DABC-4B55-8E15-713410C10260}" name="strCurrentHomeStreak" dataDxfId="729"/>
    <tableColumn id="34" xr3:uid="{40BB3A25-A408-4880-AEDC-685C2D795CF7}" name="CurrentRoadStreak" dataDxfId="728"/>
    <tableColumn id="35" xr3:uid="{A1E3C717-DC2F-4907-A3EF-8B96187E058A}" name="strCurrentRoadStreak" dataDxfId="727"/>
    <tableColumn id="36" xr3:uid="{C9FB7C20-E3F8-48F8-96B2-F21A26FE8D17}" name="CurrentStreak" dataDxfId="726"/>
    <tableColumn id="37" xr3:uid="{C56F2AD2-0E31-4A07-B57D-CD6F16D6625E}" name="strCurrentStreak" dataDxfId="725"/>
    <tableColumn id="38" xr3:uid="{2831FF64-4528-43E8-B24E-8F7459E99AE9}" name="ConferenceGamesBack" dataDxfId="724"/>
    <tableColumn id="39" xr3:uid="{232C3573-1EB2-4A85-8D0F-3B1A57694F90}" name="DivisionGamesBack" dataDxfId="723"/>
    <tableColumn id="40" xr3:uid="{C14C0D6E-B54E-4DDC-B9B1-C07AC6D0A834}" name="ClinchedConferenceTitle" dataDxfId="722"/>
    <tableColumn id="41" xr3:uid="{EA4B8DD1-D615-4DB9-8B87-CF170E4D2772}" name="ClinchedDivisionTitle" dataDxfId="721"/>
    <tableColumn id="42" xr3:uid="{F4858018-B2F7-42E6-9B0A-999D4D80BA60}" name="ClinchedPlayoffBirth" dataDxfId="720"/>
    <tableColumn id="43" xr3:uid="{2D39E466-2724-40F5-A841-EC3C0485AE1C}" name="EliminatedConference" dataDxfId="719"/>
    <tableColumn id="44" xr3:uid="{91D55F6E-88B2-42BD-8036-E564781A4CE8}" name="EliminatedDivision" dataDxfId="718"/>
    <tableColumn id="45" xr3:uid="{F7353BCD-6CE3-4C09-9422-EB6B66F1CFD9}" name="AheadAtHalf" dataDxfId="717"/>
    <tableColumn id="46" xr3:uid="{24EB3FC7-A192-414D-A6B5-1EC8E21D0EB9}" name="BehindAtHalf" dataDxfId="716"/>
    <tableColumn id="47" xr3:uid="{D14DB905-2B4D-4BC4-8C9A-3DAAC509FF24}" name="TiedAtHalf" dataDxfId="715"/>
    <tableColumn id="48" xr3:uid="{97D9790C-C412-404E-9D47-F7C120B22104}" name="AheadAtThird" dataDxfId="714"/>
    <tableColumn id="49" xr3:uid="{4CA574CD-FF69-41C2-B6A5-D25BE16BD5A2}" name="BehindAtThird" dataDxfId="713"/>
    <tableColumn id="50" xr3:uid="{40ABCBF3-DF14-423B-AAE9-48C5A9A9E8C5}" name="TiedAtThird" dataDxfId="712"/>
    <tableColumn id="51" xr3:uid="{D298F0B2-B65D-4C64-B2E0-8BD4B69968B0}" name="Score100PTS" dataDxfId="711"/>
    <tableColumn id="52" xr3:uid="{B619F859-44FA-4347-9E48-82C72D73562A}" name="OppScore100PTS" dataDxfId="710"/>
    <tableColumn id="53" xr3:uid="{9A9124A7-EAE2-4F1B-A087-BDE9E6198445}" name="OppOver500" dataDxfId="709"/>
    <tableColumn id="54" xr3:uid="{73B01BB6-0B19-4418-888B-AD5501C8E341}" name="LeadInFGPCT" dataDxfId="708"/>
    <tableColumn id="55" xr3:uid="{E604D9CD-8F52-4455-8F14-6A578601AEED}" name="LeadInReb" dataDxfId="707"/>
    <tableColumn id="56" xr3:uid="{82EA5F9A-C4B0-4D1E-B2C7-EF6A8C3B3E2F}" name="FewerTurnovers" dataDxfId="706"/>
    <tableColumn id="57" xr3:uid="{16270FFA-3C5A-4E87-A590-E0B86D271CDD}" name="PointsPG" dataDxfId="705"/>
    <tableColumn id="58" xr3:uid="{369AAD52-6B37-4CF4-8586-D63DA77FE633}" name="OppPointsPG" dataDxfId="704"/>
    <tableColumn id="59" xr3:uid="{38DCEFCF-EBD4-46E5-AD65-3D9D2C4DA40C}" name="DiffPointsPG" dataDxfId="703"/>
    <tableColumn id="60" xr3:uid="{077593E4-7B80-4D64-8527-0C21B04A902A}" name="vsEast" dataDxfId="702"/>
    <tableColumn id="61" xr3:uid="{14DD108C-CAC2-4C1D-AEDB-4D0BA172ED81}" name="vsAtlantic" dataDxfId="701"/>
    <tableColumn id="62" xr3:uid="{3E5AF0D6-802B-41C3-8E4F-33D801E46C4A}" name="vsCentral" dataDxfId="700"/>
    <tableColumn id="63" xr3:uid="{F2CFBDBC-0FDA-49B7-BF3B-FB4F6E23315B}" name="vsSoutheast" dataDxfId="699"/>
    <tableColumn id="64" xr3:uid="{2008AB7C-EBBD-4872-9BF3-FBD8DF425592}" name="vsWest" dataDxfId="698"/>
    <tableColumn id="65" xr3:uid="{AC3F365F-5C1F-41A1-B754-68E2124141EF}" name="vsNorthwest" dataDxfId="697"/>
    <tableColumn id="66" xr3:uid="{9119D511-E02E-4D70-8DC2-26F15C3F6AE7}" name="vsPacific" dataDxfId="696"/>
    <tableColumn id="67" xr3:uid="{D3551994-DCDC-4327-B297-4E437B4FE1DF}" name="vsSouthwest" dataDxfId="695"/>
    <tableColumn id="68" xr3:uid="{6C6F60C6-ADDE-4409-8EA7-1F27929FBE8F}" name="Jan" dataDxfId="694"/>
    <tableColumn id="69" xr3:uid="{3E977AD8-E8E7-4EFA-800C-81D5E303F307}" name="Feb" dataDxfId="693"/>
    <tableColumn id="70" xr3:uid="{4DE218D8-5F41-4E7E-A61D-5E166923B150}" name="Mar" dataDxfId="692"/>
    <tableColumn id="71" xr3:uid="{738E9FC7-AD40-404E-9395-1B8047552CA0}" name="Apr" dataDxfId="691"/>
    <tableColumn id="72" xr3:uid="{C33E93CE-5B9B-4070-AF0D-7618E9D245C2}" name="May" dataDxfId="690"/>
    <tableColumn id="73" xr3:uid="{7D82B891-AA09-4C07-A832-BD61C5262C7F}" name="Jun" dataDxfId="689"/>
    <tableColumn id="74" xr3:uid="{37C870F3-CBCD-4D88-8C1F-B18C5C84EF07}" name="Jul" dataDxfId="688"/>
    <tableColumn id="75" xr3:uid="{B2865624-032A-45F9-9585-2278B16BB2B5}" name="Aug" dataDxfId="687"/>
    <tableColumn id="76" xr3:uid="{43E8DB2D-73F7-4DD4-8ACB-39AE86DE7FF3}" name="Sep" dataDxfId="686"/>
    <tableColumn id="77" xr3:uid="{CD42B574-B860-4199-8D63-F15F6FD5FECF}" name="Oct" dataDxfId="685"/>
    <tableColumn id="78" xr3:uid="{953807B6-8C46-4596-87DA-E2EAA278A88A}" name="Nov" dataDxfId="684"/>
    <tableColumn id="79" xr3:uid="{B95279CB-9A0D-46A1-9798-F559F1D720B1}" name="Dec" dataDxfId="683"/>
    <tableColumn id="80" xr3:uid="{94E2C6B6-0F8D-4D83-8820-35B953724933}" name="PreAS" dataDxfId="682"/>
    <tableColumn id="81" xr3:uid="{80730AAA-FE17-4EF7-929F-BEC7AFAE6D2D}" name="PostAS" dataDxfId="68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A935A3-D620-4471-89D6-CD2A782688DD}" name="TableStandingsN1" displayName="TableStandingsN1" ref="A1:CC31" totalsRowShown="0" headerRowDxfId="598">
  <autoFilter ref="A1:CC31" xr:uid="{F09A4BDE-6816-43EE-8E6B-4FB9D16C2D0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8B8A8CA4-40B6-4D84-B237-EC5C5105F6E5}" name="LeagueID" dataDxfId="679"/>
    <tableColumn id="2" xr3:uid="{B283A987-556D-4538-A50D-1195644BAD4E}" name="SeasonID" dataDxfId="678"/>
    <tableColumn id="3" xr3:uid="{3B46C271-F2CA-4A9C-A3F7-0FB258026402}" name="TeamID" dataDxfId="677"/>
    <tableColumn id="4" xr3:uid="{CAF16F35-B677-4B0F-AAF3-10BA75F3A129}" name="TeamCity" dataDxfId="676"/>
    <tableColumn id="5" xr3:uid="{40AB6F0F-A2D3-49A0-B465-E009C6C37027}" name="TeamName" dataDxfId="675"/>
    <tableColumn id="6" xr3:uid="{6CADE416-9049-45CB-B045-69032349A66E}" name="Conference" dataDxfId="674"/>
    <tableColumn id="7" xr3:uid="{A6CEECA1-F644-4910-953C-73B549B01D01}" name="ConferenceRecord" dataDxfId="673"/>
    <tableColumn id="8" xr3:uid="{E393A7A4-C8CE-4131-BF81-2B8C25ECC24B}" name="PlayoffRank" dataDxfId="672"/>
    <tableColumn id="9" xr3:uid="{E8A2B3F8-147E-43D8-845C-41EA295226E4}" name="ClinchIndicator" dataDxfId="671"/>
    <tableColumn id="10" xr3:uid="{97500708-E49B-41A3-A9D4-60C58010D9EC}" name="Division" dataDxfId="670"/>
    <tableColumn id="11" xr3:uid="{270C9F6B-0ED4-4FB8-9C93-FC25FD332652}" name="DivisionRecord" dataDxfId="669"/>
    <tableColumn id="12" xr3:uid="{BB958F64-9E9D-4AE5-98CF-163804A1F357}" name="DivisionRank" dataDxfId="668"/>
    <tableColumn id="13" xr3:uid="{072C8CAF-1BFD-4507-80A3-40F8D12A0C31}" name="WINS" dataDxfId="667"/>
    <tableColumn id="14" xr3:uid="{7511317D-38BB-4B52-9877-89733C3A8F86}" name="LOSSES" dataDxfId="666"/>
    <tableColumn id="15" xr3:uid="{807AFED7-6635-4211-89DE-EC9B00952608}" name="WinPCT" dataDxfId="665"/>
    <tableColumn id="16" xr3:uid="{3B06AE14-767B-4A3C-9A4D-69BBF64F719C}" name="LeagueRank" dataDxfId="664"/>
    <tableColumn id="17" xr3:uid="{0A46F830-85FA-43E6-A033-4C3C8C84DBCD}" name="Record" dataDxfId="663"/>
    <tableColumn id="18" xr3:uid="{7E4109CD-06CD-4C49-80CD-07DB7B9AEBDF}" name="HOME" dataDxfId="662"/>
    <tableColumn id="19" xr3:uid="{CF8B113D-0E91-4615-B02D-60AACCA22751}" name="ROAD" dataDxfId="661"/>
    <tableColumn id="20" xr3:uid="{E19DC7F9-13E6-4A7E-8FFE-4A8F1AA57822}" name="L10" dataDxfId="660"/>
    <tableColumn id="21" xr3:uid="{6F280E2F-43FC-4490-B5A6-88AE48ECD620}" name="Last10Home" dataDxfId="659"/>
    <tableColumn id="22" xr3:uid="{E966C63A-7573-46DE-AC1D-A2C99D26FBEA}" name="Last10Road" dataDxfId="658"/>
    <tableColumn id="23" xr3:uid="{21C37189-E7E4-4A2A-8010-9F4647907130}" name="OT" dataDxfId="657"/>
    <tableColumn id="24" xr3:uid="{8195F2A6-93AB-43A9-8DF0-41C9F6ABE43B}" name="ThreePTSOrLess" dataDxfId="656"/>
    <tableColumn id="25" xr3:uid="{A181EBA2-02F1-4FB2-8DE0-25E5C4A75751}" name="TenPTSOrMore" dataDxfId="655"/>
    <tableColumn id="26" xr3:uid="{C1D9617F-4FCD-4798-8725-8AE4BCF32AE3}" name="LongHomeStreak" dataDxfId="654"/>
    <tableColumn id="27" xr3:uid="{48B63C0D-0FF7-4FB8-AD41-F984AD1FE621}" name="strLongHomeStreak" dataDxfId="653"/>
    <tableColumn id="28" xr3:uid="{9E9D5767-A7A5-4B98-9D7C-1041CEDB85D9}" name="LongRoadStreak" dataDxfId="652"/>
    <tableColumn id="29" xr3:uid="{9F43D26B-63AA-4F4F-A9DF-1DDF83223860}" name="strLongRoadStreak" dataDxfId="651"/>
    <tableColumn id="30" xr3:uid="{0FE371C6-B8C1-4066-A8CA-A007680F72CE}" name="LongWinStreak" dataDxfId="650"/>
    <tableColumn id="31" xr3:uid="{0C8450BE-2865-4340-B3FD-439C71BA9F34}" name="LongLossStreak" dataDxfId="649"/>
    <tableColumn id="32" xr3:uid="{1E3B01E5-7B16-485D-9669-D710110E17D1}" name="CurrentHomeStreak" dataDxfId="648"/>
    <tableColumn id="33" xr3:uid="{57577039-DD5E-48D2-B189-7D5E13147875}" name="strCurrentHomeStreak" dataDxfId="647"/>
    <tableColumn id="34" xr3:uid="{CB6FC69E-AECC-4D16-AE61-FDCE619F6A3B}" name="CurrentRoadStreak" dataDxfId="646"/>
    <tableColumn id="35" xr3:uid="{0B78942B-C88B-4BC9-99CF-A517B5DEB6BE}" name="strCurrentRoadStreak" dataDxfId="645"/>
    <tableColumn id="36" xr3:uid="{C614386E-7546-4196-B520-9EEF89FA218C}" name="CurrentStreak" dataDxfId="644"/>
    <tableColumn id="37" xr3:uid="{395B4258-CB13-42F2-9137-7272A269D276}" name="strCurrentStreak" dataDxfId="643"/>
    <tableColumn id="38" xr3:uid="{61873848-3CD3-4A55-81C5-91C3D56CA112}" name="ConferenceGamesBack" dataDxfId="642"/>
    <tableColumn id="39" xr3:uid="{48DBADEF-5D20-41AF-9F62-922BA3ACE505}" name="DivisionGamesBack" dataDxfId="641"/>
    <tableColumn id="40" xr3:uid="{486C1A62-91C5-423C-BD80-08B6B73078DF}" name="ClinchedConferenceTitle" dataDxfId="640"/>
    <tableColumn id="41" xr3:uid="{D56B69C5-C1D1-4893-A987-6AC7DA685A18}" name="ClinchedDivisionTitle" dataDxfId="639"/>
    <tableColumn id="42" xr3:uid="{C90E8F41-DF62-42AC-8350-5403ADDFC334}" name="ClinchedPlayoffBirth" dataDxfId="638"/>
    <tableColumn id="43" xr3:uid="{A64AF283-8281-486D-9DFD-A0CF9A8788A7}" name="EliminatedConference" dataDxfId="637"/>
    <tableColumn id="44" xr3:uid="{726B30C4-EE7C-4AB5-BDA2-97905D2692A7}" name="EliminatedDivision" dataDxfId="636"/>
    <tableColumn id="45" xr3:uid="{33C6F211-2887-4081-82F8-71D3A5782124}" name="AheadAtHalf" dataDxfId="635"/>
    <tableColumn id="46" xr3:uid="{625CD89F-375B-412A-B031-F6DEBA3D7345}" name="BehindAtHalf" dataDxfId="634"/>
    <tableColumn id="47" xr3:uid="{1243CD71-6837-4AFC-A51F-DB92DAE8CD62}" name="TiedAtHalf" dataDxfId="633"/>
    <tableColumn id="48" xr3:uid="{FA8B1D38-D19D-4738-9C75-27187E00A7FF}" name="AheadAtThird" dataDxfId="632"/>
    <tableColumn id="49" xr3:uid="{2FD50AC8-6614-4CFD-9CEC-BD44971A78A6}" name="BehindAtThird" dataDxfId="631"/>
    <tableColumn id="50" xr3:uid="{07273245-802F-4848-8F96-CDAB0E1FF371}" name="TiedAtThird" dataDxfId="630"/>
    <tableColumn id="51" xr3:uid="{5AD243C8-35A2-4AD4-AC1B-8A3FD798E5CB}" name="Score100PTS" dataDxfId="629"/>
    <tableColumn id="52" xr3:uid="{5D9593E5-EE8C-46DE-8AC2-11A30F3E1E61}" name="OppScore100PTS" dataDxfId="628"/>
    <tableColumn id="53" xr3:uid="{7BECB821-4F01-4B28-8A22-1D849087EA86}" name="OppOver500" dataDxfId="627"/>
    <tableColumn id="54" xr3:uid="{90D1E87A-1F37-4996-9F1A-8B280E147978}" name="LeadInFGPCT" dataDxfId="626"/>
    <tableColumn id="55" xr3:uid="{AC5CFC01-B75C-4056-900D-EC6B85FBFCC1}" name="LeadInReb" dataDxfId="625"/>
    <tableColumn id="56" xr3:uid="{1DEB8F58-0BA9-471F-BD32-C21AB14A786D}" name="FewerTurnovers" dataDxfId="624"/>
    <tableColumn id="57" xr3:uid="{82016E45-9BF8-4A70-9F6B-F55298000B07}" name="PointsPG" dataDxfId="623"/>
    <tableColumn id="58" xr3:uid="{E8DFE16D-51E6-4619-9A45-A2AE8B9C54C7}" name="OppPointsPG" dataDxfId="622"/>
    <tableColumn id="59" xr3:uid="{57B357DA-5977-4C9E-9B36-80DF1B6EF9F4}" name="DiffPointsPG" dataDxfId="621"/>
    <tableColumn id="60" xr3:uid="{A2CD5330-95D0-4D36-ACEB-DCA8BCC1D413}" name="vsEast" dataDxfId="620"/>
    <tableColumn id="61" xr3:uid="{05044A17-77CA-42CE-B553-5146330F2280}" name="vsAtlantic" dataDxfId="619"/>
    <tableColumn id="62" xr3:uid="{EF4B649C-5940-4EC7-9F80-C231BBDCEA39}" name="vsCentral" dataDxfId="618"/>
    <tableColumn id="63" xr3:uid="{68416DBD-62F1-4DB5-AD1B-3C701DE24254}" name="vsSoutheast" dataDxfId="617"/>
    <tableColumn id="64" xr3:uid="{1169FE22-63F5-4081-AF8A-AB8AE45F8A17}" name="vsWest" dataDxfId="616"/>
    <tableColumn id="65" xr3:uid="{5FFEAE6F-E16F-4120-9C72-C9F31AD6EA01}" name="vsNorthwest" dataDxfId="615"/>
    <tableColumn id="66" xr3:uid="{74333447-E187-40CF-975E-3DB50DCA6907}" name="vsPacific" dataDxfId="614"/>
    <tableColumn id="67" xr3:uid="{10534759-6206-4B38-AEFE-4E24BA2A0E0C}" name="vsSouthwest" dataDxfId="613"/>
    <tableColumn id="68" xr3:uid="{0DB2B4DC-E0A7-4AB3-B076-D7C936676B55}" name="Jan" dataDxfId="612"/>
    <tableColumn id="69" xr3:uid="{4571FA4D-561D-4EE7-B4DD-CDCB7884FA2F}" name="Feb" dataDxfId="611"/>
    <tableColumn id="70" xr3:uid="{B3CC0A04-77B7-412F-9F43-5B7FEED323D0}" name="Mar" dataDxfId="610"/>
    <tableColumn id="71" xr3:uid="{6807CDA4-0F33-48D8-BE64-78BDD9368264}" name="Apr" dataDxfId="609"/>
    <tableColumn id="72" xr3:uid="{77C958B6-80E4-494B-A0E3-2CEA87E18FA0}" name="May" dataDxfId="608"/>
    <tableColumn id="73" xr3:uid="{23A6470E-8F16-4CB6-AA1D-5576490061AB}" name="Jun" dataDxfId="607"/>
    <tableColumn id="74" xr3:uid="{AD393554-4529-4EEB-B7E4-F7EFC6257219}" name="Jul" dataDxfId="606"/>
    <tableColumn id="75" xr3:uid="{797CFBEF-35EE-4DE7-ADC7-8591D6ED2B6A}" name="Aug" dataDxfId="605"/>
    <tableColumn id="76" xr3:uid="{646E0A28-978D-418C-9EDD-56F95AB4910B}" name="Sep" dataDxfId="604"/>
    <tableColumn id="77" xr3:uid="{628EC250-FD8F-466A-ADA5-E4642275695A}" name="Oct" dataDxfId="603"/>
    <tableColumn id="78" xr3:uid="{85F8E4B1-BB86-4708-A6FA-00A286F7787F}" name="Nov" dataDxfId="602"/>
    <tableColumn id="79" xr3:uid="{F4F911E1-26C9-478B-9B5E-C6E5A1EB728E}" name="Dec" dataDxfId="601"/>
    <tableColumn id="80" xr3:uid="{F0C6CAB4-E7DB-4F29-96BE-50A739E836D3}" name="PreAS" dataDxfId="600"/>
    <tableColumn id="81" xr3:uid="{35D4E718-FD4C-4A0F-90F5-EE1E30C8BB21}" name="PostAS" dataDxfId="59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2C3135E-E88D-4EF9-8681-D563BFBA4BFF}" name="TableBaseN" displayName="TableBaseN" ref="A1:BD31" totalsRowShown="0" headerRowDxfId="541">
  <autoFilter ref="A1:BD31" xr:uid="{AFE1E5D9-B933-4589-8BFF-CC15255E7DF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E18B4F3-A61B-4341-B304-FE52165DD87A}" name="TEAM_ID" dataDxfId="597"/>
    <tableColumn id="2" xr3:uid="{CC2E0F66-5591-4795-8B23-DAA87F999E53}" name="TEAM_NAME" dataDxfId="596"/>
    <tableColumn id="3" xr3:uid="{5A4C3D44-83A6-4434-9DC1-166DA48E37A8}" name="GP" dataDxfId="595"/>
    <tableColumn id="4" xr3:uid="{A8AE910F-BDB2-4EA6-80F2-7B15B59E1451}" name="W" dataDxfId="594"/>
    <tableColumn id="5" xr3:uid="{86C60D06-114D-4F56-828C-E67D4D13B40A}" name="L" dataDxfId="593"/>
    <tableColumn id="6" xr3:uid="{60F3EEF7-B5CB-4F54-B865-DF321097D854}" name="W_PCT" dataDxfId="592"/>
    <tableColumn id="7" xr3:uid="{B592E7DC-9A4F-4394-8AE9-26AC4250DD14}" name="MIN" dataDxfId="591"/>
    <tableColumn id="8" xr3:uid="{6F95BC81-1530-4461-A9BE-B432829004B1}" name="FGM" dataDxfId="590"/>
    <tableColumn id="9" xr3:uid="{AC64F8DE-F51F-40CE-BF7C-F96B7CA0A192}" name="FGA" dataDxfId="589"/>
    <tableColumn id="10" xr3:uid="{934524A7-01A0-4749-A3A6-F1AF46F61F22}" name="FG_PCT" dataDxfId="588"/>
    <tableColumn id="11" xr3:uid="{8A62751B-5757-4D5F-81B5-B7D3D92320F0}" name="FG3M" dataDxfId="587"/>
    <tableColumn id="12" xr3:uid="{B9C075DF-0752-4998-93E6-F5025793615E}" name="FG3A" dataDxfId="586"/>
    <tableColumn id="13" xr3:uid="{E1BE1411-F099-4787-A295-D53E5541196A}" name="FG3_PCT" dataDxfId="585"/>
    <tableColumn id="14" xr3:uid="{B16F5E7B-EA77-4989-8478-E01BF24F46E6}" name="FTM" dataDxfId="584"/>
    <tableColumn id="15" xr3:uid="{C39C7F0A-2BA5-47A8-822C-383A6CA2707D}" name="FTA" dataDxfId="583"/>
    <tableColumn id="16" xr3:uid="{CEDB11EE-6E26-4ABE-A202-0CBB737B8ECD}" name="FT_PCT" dataDxfId="582"/>
    <tableColumn id="17" xr3:uid="{7C3A9AE7-1F1F-4C89-AF28-4B2F3FC53D74}" name="OREB" dataDxfId="581"/>
    <tableColumn id="18" xr3:uid="{E25B78F8-8C9F-4AA1-9FFE-B9A8B360751B}" name="DREB" dataDxfId="580"/>
    <tableColumn id="19" xr3:uid="{CFF2F071-9A8F-4063-906F-9E157AC7F9F9}" name="REB" dataDxfId="579"/>
    <tableColumn id="20" xr3:uid="{A9A81EFC-93A0-449B-846B-01B17D9E1212}" name="AST" dataDxfId="578"/>
    <tableColumn id="21" xr3:uid="{77135883-1615-40BF-B106-08861407990D}" name="TOV" dataDxfId="577"/>
    <tableColumn id="22" xr3:uid="{0873F6B1-6F50-415D-8936-4EC98EC37893}" name="STL" dataDxfId="576"/>
    <tableColumn id="23" xr3:uid="{C866CFDF-42F9-467A-B6A1-A91966CC85F4}" name="BLK" dataDxfId="575"/>
    <tableColumn id="24" xr3:uid="{A2DDAB98-1779-4744-84FF-92A9F83310D4}" name="BLKA" dataDxfId="574"/>
    <tableColumn id="25" xr3:uid="{B226C223-DB7E-4451-B822-A5B64D4D5561}" name="PF" dataDxfId="573"/>
    <tableColumn id="26" xr3:uid="{86054400-7000-4BD4-AF72-9BB555B1B662}" name="PFD" dataDxfId="572"/>
    <tableColumn id="27" xr3:uid="{905E1717-9685-46DA-80D4-275C869F4328}" name="PTS" dataDxfId="571"/>
    <tableColumn id="28" xr3:uid="{B4AF0A78-08A9-4337-89A0-48A75AA5B659}" name="PLUS_MINUS" dataDxfId="570"/>
    <tableColumn id="29" xr3:uid="{F087D332-0FCC-44DB-BF5E-C9EF5CA8E7BA}" name="GP_RANK" dataDxfId="569"/>
    <tableColumn id="30" xr3:uid="{8EA29501-C1BF-402E-B323-28E5934AA6A9}" name="W_RANK" dataDxfId="568"/>
    <tableColumn id="31" xr3:uid="{77088FA7-D65F-4C54-9BD2-D2B239F12FCB}" name="L_RANK" dataDxfId="567"/>
    <tableColumn id="32" xr3:uid="{ADFC319D-FE9E-4C87-A54D-BD87FB4201DD}" name="W_PCT_RANK" dataDxfId="566"/>
    <tableColumn id="33" xr3:uid="{DA6D0F39-5460-4DB9-9CB5-126A07F01C11}" name="MIN_RANK" dataDxfId="565"/>
    <tableColumn id="34" xr3:uid="{6D4DB333-B730-4FF1-A000-61F180400A15}" name="FGM_RANK" dataDxfId="564"/>
    <tableColumn id="35" xr3:uid="{3BDFF1DC-2FB4-4E2B-BF95-D068FC9880B0}" name="FGA_RANK" dataDxfId="563"/>
    <tableColumn id="36" xr3:uid="{786F61DF-2DB0-4AD7-833C-BE82A5029320}" name="FG_PCT_RANK" dataDxfId="562"/>
    <tableColumn id="37" xr3:uid="{64F5B16F-4B12-440C-B6E4-C8888DE4E94A}" name="FG3M_RANK" dataDxfId="561"/>
    <tableColumn id="38" xr3:uid="{F6E0F7B6-F2B0-462D-B69E-15F696B42470}" name="FG3A_RANK" dataDxfId="560"/>
    <tableColumn id="39" xr3:uid="{2AFCD85D-981B-4C27-A299-EF482481E129}" name="FG3_PCT_RANK" dataDxfId="559"/>
    <tableColumn id="40" xr3:uid="{DF1027C1-32D3-4E1E-AA49-11DC7C221C6F}" name="FTM_RANK" dataDxfId="558"/>
    <tableColumn id="41" xr3:uid="{CB48A14D-2BBC-4232-8AB6-7E83010A9850}" name="FTA_RANK" dataDxfId="557"/>
    <tableColumn id="42" xr3:uid="{06B60171-DF70-4B91-8833-2AA93E3BE816}" name="FT_PCT_RANK" dataDxfId="556"/>
    <tableColumn id="43" xr3:uid="{A80A1ACC-A98F-4A48-BDBD-BB9F5A9217F5}" name="OREB_RANK" dataDxfId="555"/>
    <tableColumn id="44" xr3:uid="{EFC70E98-74C8-4CD9-B6C1-92D7D5238D8C}" name="DREB_RANK" dataDxfId="554"/>
    <tableColumn id="45" xr3:uid="{60A4479A-9A27-4137-90D6-88E988FB3D90}" name="REB_RANK" dataDxfId="553"/>
    <tableColumn id="46" xr3:uid="{577388DB-67C2-425F-A070-3FD618D11327}" name="AST_RANK" dataDxfId="552"/>
    <tableColumn id="47" xr3:uid="{6F60859B-ACE5-4088-91D9-F4ABA2E48CD6}" name="TOV_RANK" dataDxfId="551"/>
    <tableColumn id="48" xr3:uid="{DCC54CD8-5647-419C-A6DD-0C52E1DAC83B}" name="STL_RANK" dataDxfId="550"/>
    <tableColumn id="49" xr3:uid="{1FD2BBC3-7C84-4B7A-B54A-EA5672AD2537}" name="BLK_RANK" dataDxfId="549"/>
    <tableColumn id="50" xr3:uid="{DA5CB1B4-EB46-4413-A094-0817E33EE0C6}" name="BLKA_RANK" dataDxfId="548"/>
    <tableColumn id="51" xr3:uid="{AE587212-08D1-4710-9A39-A3533C4AB130}" name="PF_RANK" dataDxfId="547"/>
    <tableColumn id="52" xr3:uid="{C04EF0EB-86F2-4E8C-9895-CA8D24C4AF66}" name="PFD_RANK" dataDxfId="546"/>
    <tableColumn id="53" xr3:uid="{406632DD-C7A5-4476-81D2-9E9452E2BAB2}" name="PTS_RANK" dataDxfId="545"/>
    <tableColumn id="54" xr3:uid="{DFD6D6CF-638D-42A1-AA8E-3662164AB27B}" name="PLUS_MINUS_RANK" dataDxfId="544"/>
    <tableColumn id="55" xr3:uid="{055C6E95-18C3-4A09-A1F4-51CC81F65F1C}" name="CFID" dataDxfId="543"/>
    <tableColumn id="56" xr3:uid="{B7F35CD8-3BB0-497D-B6A3-472D22433D48}" name="CFPARAMS" dataDxfId="54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7735C30-92A4-4941-BEDD-DD762926BB51}" name="TableBaseN1" displayName="TableBaseN1" ref="A1:BD31" totalsRowShown="0" headerRowDxfId="484">
  <autoFilter ref="A1:BD31" xr:uid="{61EDA72B-6991-4867-B227-6D6E2C53A82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2D1EF63-0724-41BD-85E2-E5B4C567E145}" name="TEAM_ID" dataDxfId="540"/>
    <tableColumn id="2" xr3:uid="{2B037A96-7C18-4AED-806F-80C81CE8F174}" name="TEAM_NAME" dataDxfId="539"/>
    <tableColumn id="3" xr3:uid="{7643DE30-8D62-48EA-BC1A-F8B39B719E48}" name="GP" dataDxfId="538"/>
    <tableColumn id="4" xr3:uid="{974E0487-F3E0-406C-827A-33CD095035F9}" name="W" dataDxfId="537"/>
    <tableColumn id="5" xr3:uid="{2408F783-A971-4656-989A-3B5EDEAACF1D}" name="L" dataDxfId="536"/>
    <tableColumn id="6" xr3:uid="{0964C0D9-2A75-4271-B016-CAE6086C5F26}" name="W_PCT" dataDxfId="535"/>
    <tableColumn id="7" xr3:uid="{AE28488C-2DBD-4949-BD8F-952A96F448A1}" name="MIN" dataDxfId="534"/>
    <tableColumn id="8" xr3:uid="{5248B9B8-E15C-427A-9286-06A2BEE0BF67}" name="FGM" dataDxfId="533"/>
    <tableColumn id="9" xr3:uid="{39EED585-D0CB-437E-A2D7-2652F6103DCE}" name="FGA" dataDxfId="532"/>
    <tableColumn id="10" xr3:uid="{3DEB61D0-87ED-4BE4-BFE6-A531E24CAA04}" name="FG_PCT" dataDxfId="531"/>
    <tableColumn id="11" xr3:uid="{16BB1E76-503D-4D21-80A0-21446C780E5F}" name="FG3M" dataDxfId="530"/>
    <tableColumn id="12" xr3:uid="{D9F45ACA-A189-49DB-86D5-9D33828F21BE}" name="FG3A" dataDxfId="529"/>
    <tableColumn id="13" xr3:uid="{B53CB7E9-7C68-449E-9497-E0B65AB40F2D}" name="FG3_PCT" dataDxfId="528"/>
    <tableColumn id="14" xr3:uid="{207DE52C-9508-4588-AF15-C8DEAC45BC4C}" name="FTM" dataDxfId="527"/>
    <tableColumn id="15" xr3:uid="{15156F8F-14E8-4EFF-BFC3-B71A20BCA846}" name="FTA" dataDxfId="526"/>
    <tableColumn id="16" xr3:uid="{48CDE987-2998-4173-9E3D-653F7FC69024}" name="FT_PCT" dataDxfId="525"/>
    <tableColumn id="17" xr3:uid="{63583FA3-A351-4C39-9306-BC4F35916DB0}" name="OREB" dataDxfId="524"/>
    <tableColumn id="18" xr3:uid="{FF51CF2E-4704-4ABD-9923-3129C7B15D87}" name="DREB" dataDxfId="523"/>
    <tableColumn id="19" xr3:uid="{CA61F723-D6E4-4CD0-A15A-B734B786F7F8}" name="REB" dataDxfId="522"/>
    <tableColumn id="20" xr3:uid="{CBB597F3-8C86-403A-A879-2E79844219AE}" name="AST" dataDxfId="521"/>
    <tableColumn id="21" xr3:uid="{D6C8A96D-E8E1-4181-AA9B-0F0F81E5AAB2}" name="TOV" dataDxfId="520"/>
    <tableColumn id="22" xr3:uid="{DBC21D7E-218F-4665-BC34-918AB7D2671E}" name="STL" dataDxfId="519"/>
    <tableColumn id="23" xr3:uid="{FEE003BA-B0F9-4159-83A3-4D3BBAA051B9}" name="BLK" dataDxfId="518"/>
    <tableColumn id="24" xr3:uid="{26C94B65-0A6D-4F46-B193-987A00EB27D3}" name="BLKA" dataDxfId="517"/>
    <tableColumn id="25" xr3:uid="{2BAA6073-2D9B-4B3C-BEEA-25F096B3B2AE}" name="PF" dataDxfId="516"/>
    <tableColumn id="26" xr3:uid="{93A8463E-0673-4690-A0EC-772C7731F9F7}" name="PFD" dataDxfId="515"/>
    <tableColumn id="27" xr3:uid="{6BC15AD5-2079-4EB2-B3F3-4B2503F2B8B5}" name="PTS" dataDxfId="514"/>
    <tableColumn id="28" xr3:uid="{2754F60F-B074-4017-A5AE-C4F4E0EAC7CC}" name="PLUS_MINUS" dataDxfId="513"/>
    <tableColumn id="29" xr3:uid="{4B979B03-1BFD-4922-B276-FF6A093AA034}" name="GP_RANK" dataDxfId="512"/>
    <tableColumn id="30" xr3:uid="{ABD701FF-8D15-4C62-AC13-B86F67C16C26}" name="W_RANK" dataDxfId="511"/>
    <tableColumn id="31" xr3:uid="{8B65084B-5C0B-4536-B0A9-F31E89860A9B}" name="L_RANK" dataDxfId="510"/>
    <tableColumn id="32" xr3:uid="{D5866649-0F69-407C-AD27-53C0E8DB6EB8}" name="W_PCT_RANK" dataDxfId="509"/>
    <tableColumn id="33" xr3:uid="{3DFF1F1C-3170-4AD4-A88A-6DDF70646166}" name="MIN_RANK" dataDxfId="508"/>
    <tableColumn id="34" xr3:uid="{F3907B5C-6F13-476E-AC8C-FB08D3F927FA}" name="FGM_RANK" dataDxfId="507"/>
    <tableColumn id="35" xr3:uid="{D39311D4-0F2F-46D8-BF80-D84EB0A159CA}" name="FGA_RANK" dataDxfId="506"/>
    <tableColumn id="36" xr3:uid="{46E3A0BF-C14F-4585-B12F-6D611C7870C6}" name="FG_PCT_RANK" dataDxfId="505"/>
    <tableColumn id="37" xr3:uid="{983C3F0D-C2F7-4F5F-9598-C4D6B56B02CF}" name="FG3M_RANK" dataDxfId="504"/>
    <tableColumn id="38" xr3:uid="{0009551F-B66D-405E-850B-E69BD5D4EF17}" name="FG3A_RANK" dataDxfId="503"/>
    <tableColumn id="39" xr3:uid="{99404CD8-754D-4086-8509-8A1850C97428}" name="FG3_PCT_RANK" dataDxfId="502"/>
    <tableColumn id="40" xr3:uid="{40909572-F219-4046-A436-E4B581244B23}" name="FTM_RANK" dataDxfId="501"/>
    <tableColumn id="41" xr3:uid="{E9425ACD-886F-4AB0-971B-89E29C8D1B00}" name="FTA_RANK" dataDxfId="500"/>
    <tableColumn id="42" xr3:uid="{564DE2BB-D45E-4DE3-A161-EC073804F0F0}" name="FT_PCT_RANK" dataDxfId="499"/>
    <tableColumn id="43" xr3:uid="{AE65D942-8704-4E54-9DEA-B39B4DDBB369}" name="OREB_RANK" dataDxfId="498"/>
    <tableColumn id="44" xr3:uid="{D722068E-3BA7-4C28-A486-0E090CA1BAAC}" name="DREB_RANK" dataDxfId="497"/>
    <tableColumn id="45" xr3:uid="{17AEAC8C-EC0E-4400-A12E-75B2023282CA}" name="REB_RANK" dataDxfId="496"/>
    <tableColumn id="46" xr3:uid="{521B7674-15DA-4172-935D-A2883506BF88}" name="AST_RANK" dataDxfId="495"/>
    <tableColumn id="47" xr3:uid="{9DEF1381-1787-4D1C-B1FE-E4C4B99A11DF}" name="TOV_RANK" dataDxfId="494"/>
    <tableColumn id="48" xr3:uid="{BFB3DA1E-66B9-4067-93A4-6947203C7AFE}" name="STL_RANK" dataDxfId="493"/>
    <tableColumn id="49" xr3:uid="{035F47BC-D42D-4BF0-B5EE-265613452B9B}" name="BLK_RANK" dataDxfId="492"/>
    <tableColumn id="50" xr3:uid="{E6BAADE0-BE21-411D-81F2-711E9FCC25AE}" name="BLKA_RANK" dataDxfId="491"/>
    <tableColumn id="51" xr3:uid="{0E3451D3-AD2E-4094-8265-687A2074F946}" name="PF_RANK" dataDxfId="490"/>
    <tableColumn id="52" xr3:uid="{62EA17A7-1D6B-483E-A173-A649C9CFCD1B}" name="PFD_RANK" dataDxfId="489"/>
    <tableColumn id="53" xr3:uid="{C88C045F-4297-4DF5-AB60-4A86A3B6B217}" name="PTS_RANK" dataDxfId="488"/>
    <tableColumn id="54" xr3:uid="{9FB50AD7-0F5A-4848-9AD5-EE51859E19EE}" name="PLUS_MINUS_RANK" dataDxfId="487"/>
    <tableColumn id="55" xr3:uid="{5E193A78-8F3F-49CB-B4E2-ED75730A660B}" name="CFID" dataDxfId="486"/>
    <tableColumn id="56" xr3:uid="{F7C9F357-01C8-4DB1-972C-BEBBA28DA0EC}" name="CFPARAMS" dataDxfId="48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ADAECB2-EA01-44F6-B4B6-14C5A7AB0F42}" name="TableAdvancedN" displayName="TableAdvancedN" ref="A1:AV31" totalsRowShown="0" headerRowDxfId="435">
  <autoFilter ref="A1:AV31" xr:uid="{76723938-D44B-40E5-9C88-9BD74F773D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835A8A4-2361-44BC-9F9B-EB3362BE722B}" name="TEAM_ID" dataDxfId="483"/>
    <tableColumn id="2" xr3:uid="{1B45074D-AABB-4B9D-9DF1-E83330B2F45D}" name="TEAM_NAME" dataDxfId="482"/>
    <tableColumn id="3" xr3:uid="{9DD889E1-ED07-40A4-AF96-1FF0414F9F0F}" name="GP" dataDxfId="481"/>
    <tableColumn id="4" xr3:uid="{5C493152-5715-4FD0-B971-5A361AFC4859}" name="W" dataDxfId="480"/>
    <tableColumn id="5" xr3:uid="{25C8EB45-1F17-43D1-8753-6D2AFD8C310F}" name="L" dataDxfId="479"/>
    <tableColumn id="6" xr3:uid="{7624667D-B2EE-457B-BB4E-9B762F848328}" name="W_PCT" dataDxfId="478"/>
    <tableColumn id="7" xr3:uid="{907B1AC9-FE22-4C5C-9986-20F158562DF7}" name="MIN" dataDxfId="477"/>
    <tableColumn id="8" xr3:uid="{6498F67B-37D0-42E3-A288-42BCAAB2AB19}" name="E_OFF_RATING" dataDxfId="476"/>
    <tableColumn id="9" xr3:uid="{DA321FDC-62A2-44E2-A331-A31A2D9B72C1}" name="OFF_RATING" dataDxfId="475"/>
    <tableColumn id="10" xr3:uid="{AA7F8F16-B07D-441E-B48D-1B3C78EC1547}" name="E_DEF_RATING" dataDxfId="474"/>
    <tableColumn id="11" xr3:uid="{6D6FDB18-AD72-423D-A632-AFBACBD02A5E}" name="DEF_RATING" dataDxfId="473"/>
    <tableColumn id="12" xr3:uid="{4829A3A2-3D06-4ECC-9802-523F78907037}" name="E_NET_RATING" dataDxfId="472"/>
    <tableColumn id="13" xr3:uid="{9F569B20-B9CE-478B-A985-FE1CB3D63908}" name="NET_RATING" dataDxfId="471"/>
    <tableColumn id="14" xr3:uid="{B731D18E-4534-47B5-A3C4-650BA1705E65}" name="AST_PCT" dataDxfId="470"/>
    <tableColumn id="15" xr3:uid="{99B4AA44-F06D-4353-88BA-B939BFF8D582}" name="AST_TO" dataDxfId="469"/>
    <tableColumn id="16" xr3:uid="{008CBF99-40EF-430E-9DD3-D93541C05C26}" name="AST_RATIO" dataDxfId="468"/>
    <tableColumn id="17" xr3:uid="{57A27AE8-E6B2-41F6-83DA-0293D60E378A}" name="OREB_PCT" dataDxfId="467"/>
    <tableColumn id="18" xr3:uid="{3F911252-444B-4E49-BF1A-731FF8E35B58}" name="DREB_PCT" dataDxfId="466"/>
    <tableColumn id="19" xr3:uid="{B8BA66B3-2BC4-4271-A76F-34E860FFE840}" name="REB_PCT" dataDxfId="465"/>
    <tableColumn id="20" xr3:uid="{FE8CA0AC-75CB-4456-A8C4-299628FDC2E5}" name="TM_TOV_PCT" dataDxfId="464"/>
    <tableColumn id="21" xr3:uid="{B7ADC8AD-F19D-41BA-8DC8-0CCE8E7C2595}" name="EFG_PCT" dataDxfId="463"/>
    <tableColumn id="22" xr3:uid="{ED91C3B8-1450-4202-AD5A-F48479D2FEFA}" name="TS_PCT" dataDxfId="462"/>
    <tableColumn id="23" xr3:uid="{55CDA31E-614E-45F2-9D47-32AA252B5D81}" name="E_PACE" dataDxfId="461"/>
    <tableColumn id="24" xr3:uid="{D07FFEAE-0C81-4C05-B097-CFFCC1560855}" name="PACE" dataDxfId="460"/>
    <tableColumn id="25" xr3:uid="{8F63D270-7720-4D25-9604-0246765B9C18}" name="PACE_PER40" dataDxfId="459"/>
    <tableColumn id="26" xr3:uid="{8B059801-F275-4C5C-BD9F-212C442894E8}" name="POSS" dataDxfId="458"/>
    <tableColumn id="27" xr3:uid="{A191C96F-F277-4E48-9646-23EAE38B7A02}" name="PIE" dataDxfId="457"/>
    <tableColumn id="28" xr3:uid="{F47C00C1-2BC1-4E09-96FB-3F05E51E4B5E}" name="GP_RANK" dataDxfId="456"/>
    <tableColumn id="29" xr3:uid="{C46BB1F9-2D92-4956-B507-0FD9C969BDA8}" name="W_RANK" dataDxfId="455"/>
    <tableColumn id="30" xr3:uid="{AD064AE9-EC9F-4613-A8AB-609D9B85FFB7}" name="L_RANK" dataDxfId="454"/>
    <tableColumn id="31" xr3:uid="{49915BB2-7804-45D7-BD1E-44671E6F91E4}" name="W_PCT_RANK" dataDxfId="453"/>
    <tableColumn id="32" xr3:uid="{AB26A188-335E-415B-9902-2F2DDFE4C972}" name="MIN_RANK" dataDxfId="452"/>
    <tableColumn id="33" xr3:uid="{257E4F57-284A-4CC6-A0E8-DC3D350BA029}" name="OFF_RATING_RANK" dataDxfId="451"/>
    <tableColumn id="34" xr3:uid="{06790731-2649-43B9-A31E-28C8FFF37388}" name="DEF_RATING_RANK" dataDxfId="450"/>
    <tableColumn id="35" xr3:uid="{721BDF56-C73D-44CF-A3EB-D93F9AE7F47A}" name="NET_RATING_RANK" dataDxfId="449"/>
    <tableColumn id="36" xr3:uid="{0C186FCF-DD18-4353-9474-064DE3D973B1}" name="AST_PCT_RANK" dataDxfId="448"/>
    <tableColumn id="37" xr3:uid="{638FA399-E71E-4A00-86D2-2893640DAB3D}" name="AST_TO_RANK" dataDxfId="447"/>
    <tableColumn id="38" xr3:uid="{A211701A-778E-410F-B759-C1954E5D775E}" name="AST_RATIO_RANK" dataDxfId="446"/>
    <tableColumn id="39" xr3:uid="{8C293F0D-591D-4D58-AAA8-5D8533629E76}" name="OREB_PCT_RANK" dataDxfId="445"/>
    <tableColumn id="40" xr3:uid="{6AE174C4-26DC-454F-BA68-3BB447693BBA}" name="DREB_PCT_RANK" dataDxfId="444"/>
    <tableColumn id="41" xr3:uid="{9C1A08AF-5753-4DA7-A658-02D94C95AE01}" name="REB_PCT_RANK" dataDxfId="443"/>
    <tableColumn id="42" xr3:uid="{091B7B84-54EC-4A4A-8451-1EC15F05F1D2}" name="TM_TOV_PCT_RANK" dataDxfId="442"/>
    <tableColumn id="43" xr3:uid="{B51378BD-11C0-443C-86E3-D322E2B8E27C}" name="EFG_PCT_RANK" dataDxfId="441"/>
    <tableColumn id="44" xr3:uid="{27C342FF-A9B7-4AD7-B248-C246E6ADE683}" name="TS_PCT_RANK" dataDxfId="440"/>
    <tableColumn id="45" xr3:uid="{D2775C79-5D8C-445B-B709-31934E2B38B7}" name="PACE_RANK" dataDxfId="439"/>
    <tableColumn id="46" xr3:uid="{65ED1BCF-4D13-42C4-A779-D10389CF6086}" name="PIE_RANK" dataDxfId="438"/>
    <tableColumn id="47" xr3:uid="{F2E360E5-E410-4542-9E77-25264D672355}" name="CFID" dataDxfId="437"/>
    <tableColumn id="48" xr3:uid="{9FE7641D-FCA3-4523-9658-6BB2E1C24425}" name="CFPARAMS" dataDxfId="43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21ACDFB-A2D8-4A01-9BD6-0F193370C977}" name="TableAdvancedN1" displayName="TableAdvancedN1" ref="A1:AV31" totalsRowShown="0" headerRowDxfId="386">
  <autoFilter ref="A1:AV31" xr:uid="{6182514F-9E5A-4FEB-9310-661C5AEF64D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0ECEF6B-9442-475C-ADFE-CD6C6B481CA2}" name="TEAM_ID" dataDxfId="434"/>
    <tableColumn id="2" xr3:uid="{CEDBF5F9-72C2-4AEF-9A6E-E80D49E46031}" name="TEAM_NAME" dataDxfId="433"/>
    <tableColumn id="3" xr3:uid="{E2B18C09-822E-4065-B271-535BFF5405CF}" name="GP" dataDxfId="432"/>
    <tableColumn id="4" xr3:uid="{DD1C9A16-7DAE-46CA-AFB8-D330D585A907}" name="W" dataDxfId="431"/>
    <tableColumn id="5" xr3:uid="{74920747-94D3-4067-A665-A3B71CAC9F50}" name="L" dataDxfId="430"/>
    <tableColumn id="6" xr3:uid="{A241873F-5EB8-456D-82A9-02124A24A778}" name="W_PCT" dataDxfId="429"/>
    <tableColumn id="7" xr3:uid="{F21F574C-57DB-47C2-BF43-DD105C178666}" name="MIN" dataDxfId="428"/>
    <tableColumn id="8" xr3:uid="{00BA9637-004D-482B-9DD1-D5A6CCD6A819}" name="E_OFF_RATING" dataDxfId="427"/>
    <tableColumn id="9" xr3:uid="{220E8879-00A5-4CB6-AF93-16D64F91CBAA}" name="OFF_RATING" dataDxfId="426"/>
    <tableColumn id="10" xr3:uid="{AFDB268F-2F7D-49C6-9A35-5E465F53653E}" name="E_DEF_RATING" dataDxfId="425"/>
    <tableColumn id="11" xr3:uid="{0FBF633C-0A71-43A1-9EAB-C74F9E152E9E}" name="DEF_RATING" dataDxfId="424"/>
    <tableColumn id="12" xr3:uid="{4885E84D-9F62-423F-8C91-29CF490B9066}" name="E_NET_RATING" dataDxfId="423"/>
    <tableColumn id="13" xr3:uid="{1ECA3209-F83A-4ECD-A0FD-E1DE64251149}" name="NET_RATING" dataDxfId="422"/>
    <tableColumn id="14" xr3:uid="{07A1617F-8830-4374-948B-6AF20B04CAF3}" name="AST_PCT" dataDxfId="421"/>
    <tableColumn id="15" xr3:uid="{3B22BF60-B548-4170-9330-E7685E9992A6}" name="AST_TO" dataDxfId="420"/>
    <tableColumn id="16" xr3:uid="{8A24CBA5-8A2A-4EB4-A2FE-9CFB6ED3FAFF}" name="AST_RATIO" dataDxfId="419"/>
    <tableColumn id="17" xr3:uid="{9F5AF989-99D6-467E-A8A8-0ECF865AA152}" name="OREB_PCT" dataDxfId="418"/>
    <tableColumn id="18" xr3:uid="{08869FD6-F976-45B4-8737-BD93F72A9A0F}" name="DREB_PCT" dataDxfId="417"/>
    <tableColumn id="19" xr3:uid="{4C12386F-1353-4284-A3C1-CA07653A141F}" name="REB_PCT" dataDxfId="416"/>
    <tableColumn id="20" xr3:uid="{D7405821-094A-4A70-8ADE-5432174669F8}" name="TM_TOV_PCT" dataDxfId="415"/>
    <tableColumn id="21" xr3:uid="{341CC027-CDAA-4A86-905F-E611EA0545E7}" name="EFG_PCT" dataDxfId="414"/>
    <tableColumn id="22" xr3:uid="{84D2BC0C-83F2-4381-B6AF-5A36BB0B3497}" name="TS_PCT" dataDxfId="413"/>
    <tableColumn id="23" xr3:uid="{B9670A70-14CB-4BF8-B724-A851C29DE569}" name="E_PACE" dataDxfId="412"/>
    <tableColumn id="24" xr3:uid="{4B32A1A1-3D9E-42D4-B74C-FA88DF073CD9}" name="PACE" dataDxfId="411"/>
    <tableColumn id="25" xr3:uid="{3A5B0261-E147-49B1-9813-5BF254B33CB5}" name="PACE_PER40" dataDxfId="410"/>
    <tableColumn id="26" xr3:uid="{077BD30B-C112-4811-A6B0-DC7F1DDBF9B6}" name="POSS" dataDxfId="409"/>
    <tableColumn id="27" xr3:uid="{188A1000-0CF0-4F41-9C11-896052241CE6}" name="PIE" dataDxfId="408"/>
    <tableColumn id="28" xr3:uid="{100DA4D0-E4E6-456E-BD05-4467804AC88D}" name="GP_RANK" dataDxfId="407"/>
    <tableColumn id="29" xr3:uid="{629EF80A-9A1F-4AE8-823E-B35FDAE17BDA}" name="W_RANK" dataDxfId="406"/>
    <tableColumn id="30" xr3:uid="{0BEB1E4A-E35F-4BAE-A836-7812D46128D4}" name="L_RANK" dataDxfId="405"/>
    <tableColumn id="31" xr3:uid="{561AEF09-89A1-472D-A7E3-5444CF0BD2C3}" name="W_PCT_RANK" dataDxfId="404"/>
    <tableColumn id="32" xr3:uid="{1853F43B-59B2-4990-8EDC-34C970945246}" name="MIN_RANK" dataDxfId="403"/>
    <tableColumn id="33" xr3:uid="{2E938CD6-FFBB-4571-B3C8-45F5577E3744}" name="OFF_RATING_RANK" dataDxfId="402"/>
    <tableColumn id="34" xr3:uid="{170B2848-6242-43E5-8E48-B7F57469C3EA}" name="DEF_RATING_RANK" dataDxfId="401"/>
    <tableColumn id="35" xr3:uid="{F918BF03-4247-413F-A6C3-434CBBC184C0}" name="NET_RATING_RANK" dataDxfId="400"/>
    <tableColumn id="36" xr3:uid="{85A03630-ED83-4243-9FE3-FE486E0D5621}" name="AST_PCT_RANK" dataDxfId="399"/>
    <tableColumn id="37" xr3:uid="{505FCAA2-F2C2-46E1-9FB6-9E0B8BD6C6AF}" name="AST_TO_RANK" dataDxfId="398"/>
    <tableColumn id="38" xr3:uid="{784AD570-D068-4CCE-97F5-C288CF078977}" name="AST_RATIO_RANK" dataDxfId="397"/>
    <tableColumn id="39" xr3:uid="{CD059660-146E-4C54-A45C-592B4F334B7C}" name="OREB_PCT_RANK" dataDxfId="396"/>
    <tableColumn id="40" xr3:uid="{6D2CB7BA-6B7B-429D-8D5C-1B00C0D9E789}" name="DREB_PCT_RANK" dataDxfId="395"/>
    <tableColumn id="41" xr3:uid="{E043A183-8F60-426B-80C5-F03AC6F14CDF}" name="REB_PCT_RANK" dataDxfId="394"/>
    <tableColumn id="42" xr3:uid="{12C0679E-5A82-44CC-A60C-FBE06205576A}" name="TM_TOV_PCT_RANK" dataDxfId="393"/>
    <tableColumn id="43" xr3:uid="{E7D8ADFE-68A5-4E47-AF61-19BD2159B0FE}" name="EFG_PCT_RANK" dataDxfId="392"/>
    <tableColumn id="44" xr3:uid="{83EB3B38-F7BD-4BC6-AE2F-7B45395B1701}" name="TS_PCT_RANK" dataDxfId="391"/>
    <tableColumn id="45" xr3:uid="{5BF75D35-AD71-452F-A924-198D52A6CA8B}" name="PACE_RANK" dataDxfId="390"/>
    <tableColumn id="46" xr3:uid="{59942C34-D853-4D34-B592-189ED36D274D}" name="PIE_RANK" dataDxfId="389"/>
    <tableColumn id="47" xr3:uid="{C09B4540-D298-4D3A-B598-5B864C42DC3F}" name="CFID" dataDxfId="388"/>
    <tableColumn id="48" xr3:uid="{007F6FAB-738F-49BC-BF73-396E60BB2734}" name="CFPARAMS" dataDxfId="38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90D2EE3-D1FF-4F79-ACE9-FBC251CBB9EA}" name="TableMiscN" displayName="TableMiscN" ref="A1:AD31" totalsRowShown="0" headerRowDxfId="159">
  <autoFilter ref="A1:AD31" xr:uid="{4F6F2E02-01A8-43CD-9101-0BC4128ED5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E50B1C9A-0F4E-4DE7-B3B0-A79DA2EE775A}" name="TEAM_ID" dataDxfId="189"/>
    <tableColumn id="2" xr3:uid="{E4B9DDD4-2AA0-461B-955D-11C9B783B953}" name="TEAM_NAME" dataDxfId="188"/>
    <tableColumn id="3" xr3:uid="{15C67774-C69C-47CF-85EC-BD7746520404}" name="GP" dataDxfId="187"/>
    <tableColumn id="4" xr3:uid="{1A8A2F7E-31EE-4F73-B80E-DF00FA6F41F3}" name="W" dataDxfId="186"/>
    <tableColumn id="5" xr3:uid="{F1818C15-0270-4711-898A-FA74C8A20655}" name="L" dataDxfId="185"/>
    <tableColumn id="6" xr3:uid="{3C0C0175-969D-422F-9FB2-B0C827732F63}" name="W_PCT" dataDxfId="184"/>
    <tableColumn id="7" xr3:uid="{505F62E3-F89B-41D9-A73D-FF10216CC0CD}" name="MIN" dataDxfId="183"/>
    <tableColumn id="8" xr3:uid="{C15C9AFE-1784-4C5B-AB63-9DE666006A8B}" name="PTS_OFF_TOV" dataDxfId="182"/>
    <tableColumn id="9" xr3:uid="{30605A40-8AE6-4CC2-A731-B32D81E42E97}" name="PTS_2ND_CHANCE" dataDxfId="181"/>
    <tableColumn id="10" xr3:uid="{7D8742B1-322D-4EC6-9146-D035B5588368}" name="PTS_FB" dataDxfId="180"/>
    <tableColumn id="11" xr3:uid="{3B07DD09-6880-4370-9933-23A33C70CDFB}" name="PTS_PAINT" dataDxfId="179"/>
    <tableColumn id="12" xr3:uid="{899BE764-E3F3-4CC1-898E-63C9DB64BFE8}" name="OPP_PTS_OFF_TOV" dataDxfId="178"/>
    <tableColumn id="13" xr3:uid="{A274061B-CC9C-4FD9-A666-808337740F52}" name="OPP_PTS_2ND_CHANCE" dataDxfId="177"/>
    <tableColumn id="14" xr3:uid="{A05E3C01-D4F2-418C-879F-FB1923FF968B}" name="OPP_PTS_FB" dataDxfId="176"/>
    <tableColumn id="15" xr3:uid="{7EB6DD27-04CF-4C27-A2E9-5B948AE1783E}" name="OPP_PTS_PAINT" dataDxfId="175"/>
    <tableColumn id="16" xr3:uid="{62AFEA3F-2DF3-4D2B-BDDC-FFB33F1416CC}" name="GP_RANK" dataDxfId="174"/>
    <tableColumn id="17" xr3:uid="{55F0FD02-FFFE-4887-B6A3-CDC73622CE6C}" name="W_RANK" dataDxfId="173"/>
    <tableColumn id="18" xr3:uid="{080B4E33-77F5-4F70-B33C-38536F15537D}" name="L_RANK" dataDxfId="172"/>
    <tableColumn id="19" xr3:uid="{EC4C4DF1-3761-4CD8-9CD4-09AC14990147}" name="W_PCT_RANK" dataDxfId="171"/>
    <tableColumn id="20" xr3:uid="{C8BBCEC9-F17E-4A40-95CB-0B0685EBE2AE}" name="MIN_RANK" dataDxfId="170"/>
    <tableColumn id="21" xr3:uid="{0A3CE1BF-7A6A-4B1E-8247-980728FE4278}" name="PTS_OFF_TOV_RANK" dataDxfId="169"/>
    <tableColumn id="22" xr3:uid="{54F3AD53-02B1-40DB-852F-48539F22453C}" name="PTS_2ND_CHANCE_RANK" dataDxfId="168"/>
    <tableColumn id="23" xr3:uid="{23BC2B65-2104-492B-8177-777C93D62D06}" name="PTS_FB_RANK" dataDxfId="167"/>
    <tableColumn id="24" xr3:uid="{38518B59-6494-4A77-B77C-754DA516AD62}" name="PTS_PAINT_RANK" dataDxfId="166"/>
    <tableColumn id="25" xr3:uid="{ED99C0C8-DBBC-4575-A377-CCFFDFF42654}" name="OPP_PTS_OFF_TOV_RANK" dataDxfId="165"/>
    <tableColumn id="26" xr3:uid="{D4284805-8945-48EC-BBE7-4F16F15C8DEC}" name="OPP_PTS_2ND_CHANCE_RANK" dataDxfId="164"/>
    <tableColumn id="27" xr3:uid="{038D88F2-8EA9-47B7-9D88-AA52B394ABCD}" name="OPP_PTS_FB_RANK" dataDxfId="163"/>
    <tableColumn id="28" xr3:uid="{B5BB5CF4-0E7C-4BA4-B736-D39A74842033}" name="OPP_PTS_PAINT_RANK" dataDxfId="162"/>
    <tableColumn id="29" xr3:uid="{750D168B-E884-4EA5-AC39-3FCA43783815}" name="CFID" dataDxfId="161"/>
    <tableColumn id="30" xr3:uid="{BEBB6196-1644-48AE-9565-746CBCFDBDD7}" name="CFPARAMS" dataDxfId="16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FACE15F-E861-4F86-8D66-348003740C80}" name="TableMiscN1" displayName="TableMiscN1" ref="A1:AD31" totalsRowShown="0" headerRowDxfId="128">
  <autoFilter ref="A1:AD31" xr:uid="{DEA53EB8-EBDB-482A-B41A-832BD1EF662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1EA78085-2656-4E59-9DCF-3D4BE674AE5E}" name="TEAM_ID" dataDxfId="158"/>
    <tableColumn id="2" xr3:uid="{036742C3-BDF6-4720-82FF-0544E782E96D}" name="TEAM_NAME" dataDxfId="157"/>
    <tableColumn id="3" xr3:uid="{E22EECFB-B7BD-446E-B4A2-53054805BDCC}" name="GP" dataDxfId="156"/>
    <tableColumn id="4" xr3:uid="{09320E37-E657-42D1-9E7E-C23F655FAB56}" name="W" dataDxfId="155"/>
    <tableColumn id="5" xr3:uid="{A7B92B23-8731-4615-8949-0890FEEBDFFD}" name="L" dataDxfId="154"/>
    <tableColumn id="6" xr3:uid="{40567135-3ED3-4AD9-9EC6-BF7F6BF29063}" name="W_PCT" dataDxfId="153"/>
    <tableColumn id="7" xr3:uid="{29DF554B-D231-4D82-A8D0-96AA6D1914C6}" name="MIN" dataDxfId="152"/>
    <tableColumn id="8" xr3:uid="{31A0EC27-0F83-4F04-913D-5104677E36D1}" name="PTS_OFF_TOV" dataDxfId="151"/>
    <tableColumn id="9" xr3:uid="{795E1426-84FB-4647-B6D0-98DAF17CF4D5}" name="PTS_2ND_CHANCE" dataDxfId="150"/>
    <tableColumn id="10" xr3:uid="{C422769F-80A4-44D9-817C-ABB8CE05F720}" name="PTS_FB" dataDxfId="149"/>
    <tableColumn id="11" xr3:uid="{240D3DA0-1CF6-4455-876C-9305A61DD554}" name="PTS_PAINT" dataDxfId="148"/>
    <tableColumn id="12" xr3:uid="{32D23951-CA85-40DA-A3F1-A2975C6033DC}" name="OPP_PTS_OFF_TOV" dataDxfId="147"/>
    <tableColumn id="13" xr3:uid="{0C5DFA89-2113-4DB1-BC3D-F3BAF9E4C071}" name="OPP_PTS_2ND_CHANCE" dataDxfId="146"/>
    <tableColumn id="14" xr3:uid="{C84FD9E4-D1A1-4490-9AA7-D32548EF7E41}" name="OPP_PTS_FB" dataDxfId="145"/>
    <tableColumn id="15" xr3:uid="{15F02FC4-0BE3-4030-8725-AF2E6AB16539}" name="OPP_PTS_PAINT" dataDxfId="144"/>
    <tableColumn id="16" xr3:uid="{B20402D1-8A8A-45D5-8B7B-13E5F3CA7840}" name="GP_RANK" dataDxfId="143"/>
    <tableColumn id="17" xr3:uid="{C6466410-D03C-440E-A09F-0F9DCEDA5B61}" name="W_RANK" dataDxfId="142"/>
    <tableColumn id="18" xr3:uid="{4D022D76-28F6-4355-A5E2-D37960D773E7}" name="L_RANK" dataDxfId="141"/>
    <tableColumn id="19" xr3:uid="{A64AC91E-8B49-41B4-A945-223B3D25C8BC}" name="W_PCT_RANK" dataDxfId="140"/>
    <tableColumn id="20" xr3:uid="{94A1263E-0B8B-4F5B-B119-2F23B81CB094}" name="MIN_RANK" dataDxfId="139"/>
    <tableColumn id="21" xr3:uid="{5A4FD3FF-EA6D-48D1-9142-69A1FC472DEE}" name="PTS_OFF_TOV_RANK" dataDxfId="138"/>
    <tableColumn id="22" xr3:uid="{D77E2174-5F0B-4BDA-99B1-35F615D714E5}" name="PTS_2ND_CHANCE_RANK" dataDxfId="137"/>
    <tableColumn id="23" xr3:uid="{BFD6CEC6-4B7C-4B7B-9178-1DF6C88EA800}" name="PTS_FB_RANK" dataDxfId="136"/>
    <tableColumn id="24" xr3:uid="{DB213CAC-78AE-4728-A30C-B4DB107FFD18}" name="PTS_PAINT_RANK" dataDxfId="135"/>
    <tableColumn id="25" xr3:uid="{D0041C16-A56C-48E2-98B6-C59AFCE138D1}" name="OPP_PTS_OFF_TOV_RANK" dataDxfId="134"/>
    <tableColumn id="26" xr3:uid="{EE3F3AB3-A486-4D0B-95F0-93C5D03799FB}" name="OPP_PTS_2ND_CHANCE_RANK" dataDxfId="133"/>
    <tableColumn id="27" xr3:uid="{D50986F0-02FB-4AE4-843D-DD34D4083A1A}" name="OPP_PTS_FB_RANK" dataDxfId="132"/>
    <tableColumn id="28" xr3:uid="{7F7DE1A6-D7F0-4BA6-A37E-24C54DAAA876}" name="OPP_PTS_PAINT_RANK" dataDxfId="131"/>
    <tableColumn id="29" xr3:uid="{3E09CA35-E344-492D-BD51-B4108F62F96E}" name="CFID" dataDxfId="130"/>
    <tableColumn id="30" xr3:uid="{B2FBECD7-FAA0-41B1-92C9-4AD0A535C0D5}" name="CFPARAMS" dataDxfId="12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2CF2E95-AB17-42F7-84CB-3A30F035C30A}" name="TableOppBaseN" displayName="TableOppBaseN" ref="A1:BD31" totalsRowShown="0" headerRowDxfId="71">
  <autoFilter ref="A1:BD31" xr:uid="{74EE4755-372C-4501-94A3-6797A3924E1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AFA1BC1-3F2E-4292-832A-70410FE17CB5}" name="TEAM_ID" dataDxfId="127"/>
    <tableColumn id="2" xr3:uid="{FD06C847-4997-4478-8D5A-218FEC4EB774}" name="TEAM_NAME" dataDxfId="126"/>
    <tableColumn id="3" xr3:uid="{8284AC0F-CB77-4161-BF17-A1E6A92D5641}" name="GP" dataDxfId="125"/>
    <tableColumn id="4" xr3:uid="{9C176D80-739F-47BC-9D1E-A4A7F610876B}" name="W" dataDxfId="124"/>
    <tableColumn id="5" xr3:uid="{81AD266D-476D-45D9-B0E8-C0F5E0BFF664}" name="L" dataDxfId="123"/>
    <tableColumn id="6" xr3:uid="{E1D2804E-CBE8-4EDE-939C-D2A7B73E2231}" name="W_PCT" dataDxfId="122"/>
    <tableColumn id="7" xr3:uid="{08B0CBA3-663D-469E-BEB7-C16BB936E592}" name="MIN" dataDxfId="121"/>
    <tableColumn id="8" xr3:uid="{12D89898-3206-4A6A-A81E-B1D184839333}" name="OPP_FGM" dataDxfId="120"/>
    <tableColumn id="9" xr3:uid="{B577E78B-460D-46C0-80A6-FDC7A866D489}" name="OPP_FGA" dataDxfId="119"/>
    <tableColumn id="10" xr3:uid="{1E932A63-D7D4-4003-8CD8-35DD87702A04}" name="OPP_FG_PCT" dataDxfId="118"/>
    <tableColumn id="11" xr3:uid="{CC3666E6-5D2E-4D2D-AD00-4380BDCD56C7}" name="OPP_FG3M" dataDxfId="117"/>
    <tableColumn id="12" xr3:uid="{554A8B37-81CE-4D7D-A418-1BB9FF7B9DBC}" name="OPP_FG3A" dataDxfId="116"/>
    <tableColumn id="13" xr3:uid="{82A183CD-20F4-45EA-A661-3810028D6E5B}" name="OPP_FG3_PCT" dataDxfId="115"/>
    <tableColumn id="14" xr3:uid="{73143455-408D-436A-9FDB-66B9E457088F}" name="OPP_FTM" dataDxfId="114"/>
    <tableColumn id="15" xr3:uid="{F839B642-B234-4A66-9897-4B246863D966}" name="OPP_FTA" dataDxfId="113"/>
    <tableColumn id="16" xr3:uid="{91CCB8CF-32B3-42A9-9A6D-29AB8982A824}" name="OPP_FT_PCT" dataDxfId="112"/>
    <tableColumn id="17" xr3:uid="{5DFBAAB1-9AC2-4633-B7C0-D36711EBF8B1}" name="OPP_OREB" dataDxfId="111"/>
    <tableColumn id="18" xr3:uid="{9FF0ED20-7791-42E6-9752-F4A896A822BE}" name="OPP_DREB" dataDxfId="110"/>
    <tableColumn id="19" xr3:uid="{84881ECD-F1D2-40CF-8A2F-7339A50C1568}" name="OPP_REB" dataDxfId="109"/>
    <tableColumn id="20" xr3:uid="{ADC76CBB-BE27-4472-9E91-D461DAE603D7}" name="OPP_AST" dataDxfId="108"/>
    <tableColumn id="21" xr3:uid="{F0DFF8FA-014F-459A-BE7C-AFFD026D82A1}" name="OPP_TOV" dataDxfId="107"/>
    <tableColumn id="22" xr3:uid="{EE73C980-FF09-4AE4-9732-93D2776E94F8}" name="OPP_STL" dataDxfId="106"/>
    <tableColumn id="23" xr3:uid="{1C53A3ED-DBC8-4194-BE8B-A5D30F06AEA2}" name="OPP_BLK" dataDxfId="105"/>
    <tableColumn id="24" xr3:uid="{6D815E3A-88B4-44E5-920E-47D85317CF57}" name="OPP_BLKA" dataDxfId="104"/>
    <tableColumn id="25" xr3:uid="{288701B3-374E-430B-8EE0-B563B0120D90}" name="OPP_PF" dataDxfId="103"/>
    <tableColumn id="26" xr3:uid="{23087C58-F20B-4960-8505-E5C7D0B74C46}" name="OPP_PFD" dataDxfId="102"/>
    <tableColumn id="27" xr3:uid="{C6CF1B58-F262-4C2D-B7E4-5E5378D62402}" name="OPP_PTS" dataDxfId="101"/>
    <tableColumn id="28" xr3:uid="{C2452489-7ED1-4431-A08C-9BE64509E6F3}" name="PLUS_MINUS" dataDxfId="100"/>
    <tableColumn id="29" xr3:uid="{347616F9-41C7-4499-84E1-E3D24EB1142B}" name="GP_RANK" dataDxfId="99"/>
    <tableColumn id="30" xr3:uid="{27260852-B0F3-4641-BC30-D3D0E6F4E8E9}" name="W_RANK" dataDxfId="98"/>
    <tableColumn id="31" xr3:uid="{30FDECE5-CAD5-43EB-ABAD-9C1BE7C5CF1A}" name="L_RANK" dataDxfId="97"/>
    <tableColumn id="32" xr3:uid="{86B2BDED-17AD-450F-8973-29AB5B22E0C2}" name="W_PCT_RANK" dataDxfId="96"/>
    <tableColumn id="33" xr3:uid="{98040541-3201-438F-8297-86F8D6C8FCF0}" name="MIN_RANK" dataDxfId="95"/>
    <tableColumn id="34" xr3:uid="{3DA23DD2-247D-40A4-9796-CED9730D5784}" name="OPP_FGM_RANK" dataDxfId="94"/>
    <tableColumn id="35" xr3:uid="{3426F409-AB00-42E9-9BFF-A0AE4F98A739}" name="OPP_FGA_RANK" dataDxfId="93"/>
    <tableColumn id="36" xr3:uid="{8D8E82FB-E18D-4492-9EA7-B23B013F3E12}" name="OPP_FG_PCT_RANK" dataDxfId="92"/>
    <tableColumn id="37" xr3:uid="{14DE11AA-90A8-4D82-B4D2-39E33E5B0183}" name="OPP_FG3M_RANK" dataDxfId="91"/>
    <tableColumn id="38" xr3:uid="{A8BAC3AE-36BE-447D-A5BA-C53DFF80D4CA}" name="OPP_FG3A_RANK" dataDxfId="90"/>
    <tableColumn id="39" xr3:uid="{8A75D520-8E6D-4C06-819E-2150BE9B6C21}" name="OPP_FG3_PCT_RANK" dataDxfId="89"/>
    <tableColumn id="40" xr3:uid="{6E290FD6-8C26-487E-B6FC-620457CFEF04}" name="OPP_FTM_RANK" dataDxfId="88"/>
    <tableColumn id="41" xr3:uid="{E1A3698E-F8B7-491B-A1F8-08663C0FB803}" name="OPP_FTA_RANK" dataDxfId="87"/>
    <tableColumn id="42" xr3:uid="{478DFE21-D254-48BE-A248-E7C15B58DE6D}" name="OPP_FT_PCT_RANK" dataDxfId="86"/>
    <tableColumn id="43" xr3:uid="{738AD318-6497-4231-8CE6-DC4B0E47F2ED}" name="OPP_OREB_RANK" dataDxfId="85"/>
    <tableColumn id="44" xr3:uid="{FBE14DA8-EF5E-4496-BCAC-FAB2A98109CC}" name="OPP_DREB_RANK" dataDxfId="84"/>
    <tableColumn id="45" xr3:uid="{8CDD9791-4559-4E85-8D6F-180917494D66}" name="OPP_REB_RANK" dataDxfId="83"/>
    <tableColumn id="46" xr3:uid="{A43381F4-2CDB-437F-A632-5176C9D673F4}" name="OPP_AST_RANK" dataDxfId="82"/>
    <tableColumn id="47" xr3:uid="{5CC7FEC5-B9DB-41F0-9413-FD03C93DB990}" name="OPP_TOV_RANK" dataDxfId="81"/>
    <tableColumn id="48" xr3:uid="{265B1468-2160-41C2-9515-92DAC38168EF}" name="OPP_STL_RANK" dataDxfId="80"/>
    <tableColumn id="49" xr3:uid="{3D087101-D418-479D-83DB-85E6510912AA}" name="OPP_BLK_RANK" dataDxfId="79"/>
    <tableColumn id="50" xr3:uid="{1006ED7D-CB30-4929-95AA-AE6554BAC30B}" name="OPP_BLKA_RANK" dataDxfId="78"/>
    <tableColumn id="51" xr3:uid="{8DE93880-6DBA-4BEA-91D7-040123F3395A}" name="OPP_PF_RANK" dataDxfId="77"/>
    <tableColumn id="52" xr3:uid="{C80AAE2C-E8B1-44A3-9300-DB76C608AAF0}" name="OPP_PFD_RANK" dataDxfId="76"/>
    <tableColumn id="53" xr3:uid="{67DD808D-D1E9-4812-8DD8-4D46BF0E4305}" name="OPP_PTS_RANK" dataDxfId="75"/>
    <tableColumn id="54" xr3:uid="{0FC568D4-EADA-4D06-8391-26C0281F0285}" name="PLUS_MINUS_RANK" dataDxfId="74"/>
    <tableColumn id="55" xr3:uid="{7C0ADD4A-1157-4748-875A-2AA3E3CAC35B}" name="CFID" dataDxfId="73"/>
    <tableColumn id="56" xr3:uid="{1896CF93-E363-4CEF-84CD-A6DC72240285}" name="CFPARAMS" dataDxfId="7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72154C0-07F1-4C59-9FAA-6C6711C07485}" name="TableOppBaseN1" displayName="TableOppBaseN1" ref="A1:BD31" totalsRowShown="0" headerRowDxfId="14">
  <autoFilter ref="A1:BD31" xr:uid="{EED8AAA5-792D-4C0D-8DEE-6409E17812F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CA85E4D-8D79-45AB-AE7B-C14040D4DB6F}" name="TEAM_ID" dataDxfId="70"/>
    <tableColumn id="2" xr3:uid="{02A9CC6A-29AC-45E9-9605-0B3BB1E1FFD9}" name="TEAM_NAME" dataDxfId="69"/>
    <tableColumn id="3" xr3:uid="{18218C89-7B87-4201-8D9C-62A624E30FEB}" name="GP" dataDxfId="68"/>
    <tableColumn id="4" xr3:uid="{FFEC31F6-F1BC-4F15-B8AB-96A9DA93CE1D}" name="W" dataDxfId="67"/>
    <tableColumn id="5" xr3:uid="{DEF1C34C-AE29-40A7-BE01-3BE02BDA1836}" name="L" dataDxfId="66"/>
    <tableColumn id="6" xr3:uid="{E1C505CF-2281-4E12-B6AE-C19A768ADA38}" name="W_PCT" dataDxfId="65"/>
    <tableColumn id="7" xr3:uid="{36D4AF32-49BC-49AF-B71D-AA3AFA7CB7D9}" name="MIN" dataDxfId="64"/>
    <tableColumn id="8" xr3:uid="{A8387943-8CBA-4DE1-914F-BD512F6DFF99}" name="OPP_FGM" dataDxfId="63"/>
    <tableColumn id="9" xr3:uid="{C9BE7348-2792-4E10-9EF7-FA262EDA4EE1}" name="OPP_FGA" dataDxfId="62"/>
    <tableColumn id="10" xr3:uid="{7F25029F-5B8E-427D-BD30-00DA4B528206}" name="OPP_FG_PCT" dataDxfId="61"/>
    <tableColumn id="11" xr3:uid="{BD5D03CB-3CF5-49CC-AE52-CD9CEA29B8EC}" name="OPP_FG3M" dataDxfId="60"/>
    <tableColumn id="12" xr3:uid="{59DB07FF-E5C4-40FC-9668-E047CC36EC00}" name="OPP_FG3A" dataDxfId="59"/>
    <tableColumn id="13" xr3:uid="{8D700014-D72D-455C-BA98-1F600A3D2C32}" name="OPP_FG3_PCT" dataDxfId="58"/>
    <tableColumn id="14" xr3:uid="{8D891232-7710-4BE1-9473-2ADB1315A44D}" name="OPP_FTM" dataDxfId="57"/>
    <tableColumn id="15" xr3:uid="{584E034F-BC2A-442B-A844-80884D064995}" name="OPP_FTA" dataDxfId="56"/>
    <tableColumn id="16" xr3:uid="{9687894B-49D6-41AE-A7AE-AF2B4C4E50C1}" name="OPP_FT_PCT" dataDxfId="55"/>
    <tableColumn id="17" xr3:uid="{83F2AFBA-80D4-4DD9-BDC3-A3592F6C0A14}" name="OPP_OREB" dataDxfId="54"/>
    <tableColumn id="18" xr3:uid="{DF81219A-9953-487B-98D5-D9CBE0A78C77}" name="OPP_DREB" dataDxfId="53"/>
    <tableColumn id="19" xr3:uid="{B11733C4-42E0-4F71-803B-F22DBE4EC67F}" name="OPP_REB" dataDxfId="52"/>
    <tableColumn id="20" xr3:uid="{0C6F70AE-03E0-4F96-A27C-D5D33A3ADD07}" name="OPP_AST" dataDxfId="51"/>
    <tableColumn id="21" xr3:uid="{83C5CD3B-FD22-48EC-B425-D4769E8550F8}" name="OPP_TOV" dataDxfId="50"/>
    <tableColumn id="22" xr3:uid="{D5883E7C-CEB0-4E6B-9148-78C68F9FB996}" name="OPP_STL" dataDxfId="49"/>
    <tableColumn id="23" xr3:uid="{C1E97E61-268B-4D87-81DD-CDC899640E07}" name="OPP_BLK" dataDxfId="48"/>
    <tableColumn id="24" xr3:uid="{44CEA904-5115-4AF6-9A5B-B05BEAA1DBDA}" name="OPP_BLKA" dataDxfId="47"/>
    <tableColumn id="25" xr3:uid="{809593CA-445A-4325-BAC7-2C05C2D96960}" name="OPP_PF" dataDxfId="46"/>
    <tableColumn id="26" xr3:uid="{5CB574AA-586F-4083-89FC-006732BFA47A}" name="OPP_PFD" dataDxfId="45"/>
    <tableColumn id="27" xr3:uid="{0DE91358-8FD2-48C0-B36E-CB33314074F3}" name="OPP_PTS" dataDxfId="44"/>
    <tableColumn id="28" xr3:uid="{6B70950E-7F80-4A81-A7D2-E928DBC9C7AB}" name="PLUS_MINUS" dataDxfId="43"/>
    <tableColumn id="29" xr3:uid="{DD8C91F4-501A-4757-A68E-B8015B2EDB64}" name="GP_RANK" dataDxfId="42"/>
    <tableColumn id="30" xr3:uid="{5E518E80-B4E4-4A68-95E1-CBACBF3CEA57}" name="W_RANK" dataDxfId="41"/>
    <tableColumn id="31" xr3:uid="{B2F816D7-E647-46E1-AA5E-EAF95356C91E}" name="L_RANK" dataDxfId="40"/>
    <tableColumn id="32" xr3:uid="{17103F0F-D1AC-45D7-8442-50D5F63F9C28}" name="W_PCT_RANK" dataDxfId="39"/>
    <tableColumn id="33" xr3:uid="{30D1BAD3-8D61-45CE-966F-EEB955D7D259}" name="MIN_RANK" dataDxfId="38"/>
    <tableColumn id="34" xr3:uid="{BEC13C80-149F-48CB-8C87-7515E963BD19}" name="OPP_FGM_RANK" dataDxfId="37"/>
    <tableColumn id="35" xr3:uid="{8E0197DB-174A-4EE0-A9F6-1F68ADB63912}" name="OPP_FGA_RANK" dataDxfId="36"/>
    <tableColumn id="36" xr3:uid="{19DAC775-ABB9-4DB6-BF23-4F0BF9146355}" name="OPP_FG_PCT_RANK" dataDxfId="35"/>
    <tableColumn id="37" xr3:uid="{45B77ECB-1278-480A-973A-F69DC48EEE5E}" name="OPP_FG3M_RANK" dataDxfId="34"/>
    <tableColumn id="38" xr3:uid="{E174D0DD-BCBE-404E-A700-D8C8A9104F4A}" name="OPP_FG3A_RANK" dataDxfId="33"/>
    <tableColumn id="39" xr3:uid="{B73046B0-8025-4C9D-A97C-DD1DEE30A3DB}" name="OPP_FG3_PCT_RANK" dataDxfId="32"/>
    <tableColumn id="40" xr3:uid="{6D5D1057-07AA-4575-90F0-0A22B369DC8C}" name="OPP_FTM_RANK" dataDxfId="31"/>
    <tableColumn id="41" xr3:uid="{5E3CE65F-CF5A-43C7-90FE-B7D3250C51CE}" name="OPP_FTA_RANK" dataDxfId="30"/>
    <tableColumn id="42" xr3:uid="{5113B75F-86A3-4463-AC00-2EAAAD6FB4BA}" name="OPP_FT_PCT_RANK" dataDxfId="29"/>
    <tableColumn id="43" xr3:uid="{7185802E-D185-4D25-B018-E0C1C72DABB5}" name="OPP_OREB_RANK" dataDxfId="28"/>
    <tableColumn id="44" xr3:uid="{42012082-2497-4FC8-9BB6-71288A7567AC}" name="OPP_DREB_RANK" dataDxfId="27"/>
    <tableColumn id="45" xr3:uid="{1BBB622C-B5AD-4282-9C8A-E463CB5E205E}" name="OPP_REB_RANK" dataDxfId="26"/>
    <tableColumn id="46" xr3:uid="{B9D2FC70-B4F6-4803-8CE3-567E94DB88DF}" name="OPP_AST_RANK" dataDxfId="25"/>
    <tableColumn id="47" xr3:uid="{C6ED64EA-8BD1-4DF7-9FC1-CC2BC3DBA954}" name="OPP_TOV_RANK" dataDxfId="24"/>
    <tableColumn id="48" xr3:uid="{8467C06F-9902-46CD-AA32-3E81AD52AB5C}" name="OPP_STL_RANK" dataDxfId="23"/>
    <tableColumn id="49" xr3:uid="{CC7D5405-8E02-44EF-B960-9E94B92FCFBA}" name="OPP_BLK_RANK" dataDxfId="22"/>
    <tableColumn id="50" xr3:uid="{703DEE14-EC6E-4716-80D6-0CE47BB9B44F}" name="OPP_BLKA_RANK" dataDxfId="21"/>
    <tableColumn id="51" xr3:uid="{36092A54-1674-4555-B24B-2FC4C94D14F2}" name="OPP_PF_RANK" dataDxfId="20"/>
    <tableColumn id="52" xr3:uid="{9BC3F82D-D824-4DAF-B0F0-6E834B110397}" name="OPP_PFD_RANK" dataDxfId="19"/>
    <tableColumn id="53" xr3:uid="{F4EB9666-FA7C-491B-92E8-BA03C9450711}" name="OPP_PTS_RANK" dataDxfId="18"/>
    <tableColumn id="54" xr3:uid="{8D8F35C4-7D84-488F-ADCA-23B7243A4388}" name="PLUS_MINUS_RANK" dataDxfId="17"/>
    <tableColumn id="55" xr3:uid="{3DB121CE-9F35-415E-8D28-244D174B9C50}" name="CFID" dataDxfId="16"/>
    <tableColumn id="56" xr3:uid="{BA5D8AF4-1B06-4841-A7A6-09600D8979E8}" name="CFPARAMS" dataDxf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FEB3553-CA2A-4DB0-A96F-F10D93078823}" name="TableRoster" displayName="TableRoster" ref="A1:M18" totalsRowShown="0" headerRowDxfId="0">
  <autoFilter ref="A1:M18" xr:uid="{3A959055-E5CE-4FCD-AE0A-AC4788D4F9C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FB8CFE0F-29F3-43B6-9131-BB151573F7CA}" name="TeamID" dataDxfId="13"/>
    <tableColumn id="2" xr3:uid="{1B5BB6DE-80BA-4295-9723-ADEF9EE98FFF}" name="SEASON" dataDxfId="12"/>
    <tableColumn id="3" xr3:uid="{334DB8E7-43FA-465E-B4CF-A395920B51ED}" name="LeagueID" dataDxfId="11"/>
    <tableColumn id="4" xr3:uid="{74B9CC94-5F63-45AB-A2D1-505A071A967A}" name="PLAYER" dataDxfId="10"/>
    <tableColumn id="5" xr3:uid="{28027E0A-68E5-4E72-BBC9-CD30962250BA}" name="NUM" dataDxfId="9"/>
    <tableColumn id="6" xr3:uid="{89A77015-69B3-413A-B6AB-4E3593C1E5AD}" name="POSITION" dataDxfId="8"/>
    <tableColumn id="7" xr3:uid="{936F9B30-C221-4E90-9E6A-A75F850A09EA}" name="HEIGHT" dataDxfId="7"/>
    <tableColumn id="8" xr3:uid="{C40942B1-1329-4C34-A92C-36FCCFBD0036}" name="WEIGHT" dataDxfId="6"/>
    <tableColumn id="9" xr3:uid="{02A2A869-9186-410D-80F2-9EB53DEF7779}" name="BIRTH_DATE" dataDxfId="5"/>
    <tableColumn id="10" xr3:uid="{7E51888D-C76A-4848-913F-F0DA5C667D1A}" name="AGE" dataDxfId="4"/>
    <tableColumn id="11" xr3:uid="{144C8A59-74CC-4647-A4CF-DC9F2B9F672B}" name="EXP" dataDxfId="3"/>
    <tableColumn id="12" xr3:uid="{2A147719-A665-4C54-B5FC-72B7DF0B2CA5}" name="SCHOOL" dataDxfId="2"/>
    <tableColumn id="13" xr3:uid="{E8DA29E9-8A05-4631-AF53-295C5335BEC5}" name="PLAYER_I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D28" sqref="D28"/>
    </sheetView>
  </sheetViews>
  <sheetFormatPr defaultRowHeight="14.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5</xdr:col>
                    <xdr:colOff>234950</xdr:colOff>
                    <xdr:row>5</xdr:row>
                    <xdr:rowOff>107950</xdr:rowOff>
                  </from>
                  <to>
                    <xdr:col>9</xdr:col>
                    <xdr:colOff>482600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F60"/>
  <sheetViews>
    <sheetView tabSelected="1" topLeftCell="A31" workbookViewId="0">
      <selection activeCell="H40" sqref="H40"/>
    </sheetView>
  </sheetViews>
  <sheetFormatPr defaultRowHeight="14.5"/>
  <cols>
    <col min="1" max="1" width="19" bestFit="1" customWidth="1"/>
    <col min="5" max="5" width="8.26953125" bestFit="1" customWidth="1"/>
  </cols>
  <sheetData>
    <row r="1" spans="1:6">
      <c r="A1" s="15"/>
      <c r="B1" s="15"/>
      <c r="C1" s="15"/>
      <c r="D1" s="15"/>
      <c r="E1" s="15"/>
      <c r="F1" s="15"/>
    </row>
    <row r="2" spans="1:6">
      <c r="A2" s="16" t="s">
        <v>537</v>
      </c>
      <c r="B2" s="15" t="str">
        <f xml:space="preserve"> GetSeason(1)</f>
        <v>2018-19</v>
      </c>
      <c r="C2" s="15" t="s">
        <v>4</v>
      </c>
      <c r="D2" s="15"/>
      <c r="E2" s="15" t="str">
        <f xml:space="preserve"> GetSeason(0)</f>
        <v>2019-20</v>
      </c>
      <c r="F2" s="15" t="s">
        <v>4</v>
      </c>
    </row>
    <row r="3" spans="1:6">
      <c r="A3" s="5" t="s">
        <v>5</v>
      </c>
      <c r="B3" s="1" t="s">
        <v>939</v>
      </c>
      <c r="C3" s="2">
        <v>11</v>
      </c>
      <c r="E3" s="1" t="s">
        <v>538</v>
      </c>
      <c r="F3" s="2">
        <v>14</v>
      </c>
    </row>
    <row r="4" spans="1:6">
      <c r="A4" s="5" t="s">
        <v>6</v>
      </c>
      <c r="B4" s="11">
        <v>0.39</v>
      </c>
      <c r="E4" s="11">
        <v>0.222</v>
      </c>
    </row>
    <row r="5" spans="1:6">
      <c r="A5" s="5" t="s">
        <v>7</v>
      </c>
      <c r="B5" s="1" t="s">
        <v>535</v>
      </c>
      <c r="E5" s="1" t="s">
        <v>539</v>
      </c>
    </row>
    <row r="6" spans="1:6">
      <c r="A6" s="5" t="s">
        <v>2</v>
      </c>
      <c r="B6" s="1" t="s">
        <v>715</v>
      </c>
      <c r="E6" s="1" t="s">
        <v>451</v>
      </c>
    </row>
    <row r="7" spans="1:6">
      <c r="A7" s="5" t="s">
        <v>3</v>
      </c>
      <c r="B7" s="1" t="s">
        <v>821</v>
      </c>
      <c r="E7" s="1" t="s">
        <v>487</v>
      </c>
    </row>
    <row r="8" spans="1:6">
      <c r="A8" s="5" t="s">
        <v>0</v>
      </c>
      <c r="B8" s="1" t="s">
        <v>954</v>
      </c>
      <c r="E8" s="1" t="s">
        <v>538</v>
      </c>
    </row>
    <row r="9" spans="1:6">
      <c r="A9" s="5" t="s">
        <v>1</v>
      </c>
      <c r="B9" s="1" t="s">
        <v>955</v>
      </c>
      <c r="E9" s="1" t="s">
        <v>359</v>
      </c>
    </row>
    <row r="10" spans="1:6">
      <c r="A10" s="12"/>
      <c r="B10" s="1"/>
      <c r="E10" s="1"/>
    </row>
    <row r="11" spans="1:6">
      <c r="A11" s="14" t="s">
        <v>26</v>
      </c>
      <c r="B11" s="9">
        <v>0.46800000000000003</v>
      </c>
      <c r="C11" s="3">
        <v>11</v>
      </c>
      <c r="E11" s="9">
        <v>0.46100000000000002</v>
      </c>
      <c r="F11" s="3">
        <v>12</v>
      </c>
    </row>
    <row r="12" spans="1:6">
      <c r="A12" s="14" t="s">
        <v>36</v>
      </c>
      <c r="B12" s="8">
        <v>42.1</v>
      </c>
      <c r="C12" s="3">
        <v>10</v>
      </c>
      <c r="E12" s="8">
        <v>43.6</v>
      </c>
      <c r="F12" s="3">
        <v>1</v>
      </c>
    </row>
    <row r="13" spans="1:6">
      <c r="A13" s="14" t="s">
        <v>37</v>
      </c>
      <c r="B13" s="8">
        <v>90.1</v>
      </c>
      <c r="C13" s="3">
        <v>10</v>
      </c>
      <c r="E13" s="8">
        <v>94.6</v>
      </c>
      <c r="F13" s="3">
        <v>2</v>
      </c>
    </row>
    <row r="14" spans="1:6">
      <c r="A14" s="14" t="s">
        <v>27</v>
      </c>
      <c r="B14" s="9">
        <v>0.34100000000000003</v>
      </c>
      <c r="C14" s="3">
        <v>26</v>
      </c>
      <c r="E14" s="9">
        <v>0.34499999999999997</v>
      </c>
      <c r="F14" s="3">
        <v>17</v>
      </c>
    </row>
    <row r="15" spans="1:6">
      <c r="A15" s="14" t="s">
        <v>38</v>
      </c>
      <c r="B15" s="8">
        <v>11.3</v>
      </c>
      <c r="C15" s="3">
        <v>14</v>
      </c>
      <c r="E15" s="8">
        <v>12.1</v>
      </c>
      <c r="F15" s="3">
        <v>13</v>
      </c>
    </row>
    <row r="16" spans="1:6">
      <c r="A16" s="14" t="s">
        <v>39</v>
      </c>
      <c r="B16" s="8">
        <v>33.299999999999997</v>
      </c>
      <c r="C16" s="3">
        <v>12</v>
      </c>
      <c r="E16" s="8">
        <v>35.1</v>
      </c>
      <c r="F16" s="3">
        <v>8</v>
      </c>
    </row>
    <row r="17" spans="1:6">
      <c r="A17" s="14" t="s">
        <v>28</v>
      </c>
      <c r="B17" s="9">
        <v>0.76800000000000002</v>
      </c>
      <c r="C17" s="3">
        <v>17</v>
      </c>
      <c r="E17" s="9">
        <v>0.82599999999999996</v>
      </c>
      <c r="F17" s="3">
        <v>4</v>
      </c>
    </row>
    <row r="18" spans="1:6">
      <c r="A18" s="14" t="s">
        <v>41</v>
      </c>
      <c r="B18" s="8">
        <v>18.399999999999999</v>
      </c>
      <c r="C18" s="3">
        <v>10</v>
      </c>
      <c r="E18" s="8">
        <v>16.3</v>
      </c>
      <c r="F18" s="3">
        <v>24</v>
      </c>
    </row>
    <row r="19" spans="1:6">
      <c r="A19" s="14" t="s">
        <v>40</v>
      </c>
      <c r="B19" s="8">
        <v>23.9</v>
      </c>
      <c r="C19" s="3">
        <v>9</v>
      </c>
      <c r="E19" s="8">
        <v>19.8</v>
      </c>
      <c r="F19" s="3">
        <v>29</v>
      </c>
    </row>
    <row r="20" spans="1:6">
      <c r="A20" s="14" t="s">
        <v>29</v>
      </c>
      <c r="B20" s="8">
        <v>26.3</v>
      </c>
      <c r="C20" s="3">
        <v>6</v>
      </c>
      <c r="E20" s="8">
        <v>26</v>
      </c>
      <c r="F20" s="3">
        <v>5</v>
      </c>
    </row>
    <row r="21" spans="1:6">
      <c r="A21" s="14" t="s">
        <v>30</v>
      </c>
      <c r="B21" s="8">
        <v>14.1</v>
      </c>
      <c r="C21" s="3">
        <v>18</v>
      </c>
      <c r="E21" s="8">
        <v>15.3</v>
      </c>
      <c r="F21" s="3">
        <v>14</v>
      </c>
    </row>
    <row r="22" spans="1:6">
      <c r="A22" s="14" t="s">
        <v>32</v>
      </c>
      <c r="B22" s="8">
        <v>42.4</v>
      </c>
      <c r="C22" s="3">
        <v>27</v>
      </c>
      <c r="E22" s="8">
        <v>42.9</v>
      </c>
      <c r="F22" s="3">
        <v>25</v>
      </c>
    </row>
    <row r="23" spans="1:6">
      <c r="A23" s="14" t="s">
        <v>31</v>
      </c>
      <c r="B23" s="8">
        <v>9.6999999999999993</v>
      </c>
      <c r="C23" s="3">
        <v>23</v>
      </c>
      <c r="E23" s="8">
        <v>11.2</v>
      </c>
      <c r="F23" s="3">
        <v>6</v>
      </c>
    </row>
    <row r="24" spans="1:6">
      <c r="A24" s="14" t="s">
        <v>33</v>
      </c>
      <c r="B24" s="8">
        <v>32.700000000000003</v>
      </c>
      <c r="C24" s="3">
        <v>27</v>
      </c>
      <c r="E24" s="8">
        <v>31.7</v>
      </c>
      <c r="F24" s="3">
        <v>28</v>
      </c>
    </row>
    <row r="25" spans="1:6">
      <c r="A25" s="14" t="s">
        <v>34</v>
      </c>
      <c r="B25" s="8">
        <v>8.3000000000000007</v>
      </c>
      <c r="C25" s="3">
        <v>7</v>
      </c>
      <c r="E25" s="8">
        <v>6.3</v>
      </c>
      <c r="F25" s="3">
        <v>28</v>
      </c>
    </row>
    <row r="26" spans="1:6">
      <c r="A26" s="14" t="s">
        <v>35</v>
      </c>
      <c r="B26" s="8">
        <v>4.5999999999999996</v>
      </c>
      <c r="C26" s="3">
        <v>23</v>
      </c>
      <c r="E26" s="8">
        <v>4.9000000000000004</v>
      </c>
      <c r="F26" s="3">
        <v>21</v>
      </c>
    </row>
    <row r="27" spans="1:6">
      <c r="A27" s="12"/>
      <c r="B27" s="8"/>
      <c r="C27" s="3"/>
      <c r="E27" s="8"/>
      <c r="F27" s="3"/>
    </row>
    <row r="28" spans="1:6">
      <c r="A28" s="17" t="s">
        <v>42</v>
      </c>
      <c r="B28" s="9">
        <v>0.48</v>
      </c>
      <c r="C28" s="3">
        <v>28</v>
      </c>
      <c r="E28" s="9">
        <v>0.47499999999999998</v>
      </c>
      <c r="F28" s="3">
        <v>25</v>
      </c>
    </row>
    <row r="29" spans="1:6">
      <c r="A29" s="18" t="s">
        <v>43</v>
      </c>
      <c r="B29" s="9">
        <v>0.37</v>
      </c>
      <c r="C29" s="3">
        <v>27</v>
      </c>
      <c r="E29" s="9">
        <v>0.377</v>
      </c>
      <c r="F29" s="3">
        <v>27</v>
      </c>
    </row>
    <row r="30" spans="1:6">
      <c r="A30" s="18" t="s">
        <v>44</v>
      </c>
      <c r="B30" s="8">
        <v>12.1</v>
      </c>
      <c r="C30" s="3">
        <v>26</v>
      </c>
      <c r="E30" s="8">
        <v>12.6</v>
      </c>
      <c r="F30" s="3">
        <v>23</v>
      </c>
    </row>
    <row r="31" spans="1:6">
      <c r="A31" s="17" t="s">
        <v>45</v>
      </c>
      <c r="B31" s="8">
        <v>32.799999999999997</v>
      </c>
      <c r="C31" s="3">
        <v>19</v>
      </c>
      <c r="E31" s="8">
        <v>33.299999999999997</v>
      </c>
      <c r="F31" s="3">
        <v>18</v>
      </c>
    </row>
    <row r="32" spans="1:6">
      <c r="A32" s="17" t="s">
        <v>46</v>
      </c>
      <c r="B32" s="8">
        <v>15.8</v>
      </c>
      <c r="C32" s="3">
        <v>3</v>
      </c>
      <c r="E32" s="8">
        <v>15.8</v>
      </c>
      <c r="F32" s="3">
        <v>13</v>
      </c>
    </row>
    <row r="33" spans="1:6">
      <c r="A33" s="17" t="s">
        <v>47</v>
      </c>
      <c r="B33" s="8">
        <v>11.4</v>
      </c>
      <c r="C33" s="3">
        <v>29</v>
      </c>
      <c r="E33" s="8">
        <v>12</v>
      </c>
      <c r="F33" s="3">
        <v>29</v>
      </c>
    </row>
    <row r="35" spans="1:6">
      <c r="A35" s="4" t="s">
        <v>8</v>
      </c>
      <c r="B35" s="8">
        <v>110.2</v>
      </c>
      <c r="C35" s="3">
        <v>15</v>
      </c>
      <c r="E35" s="8">
        <v>110.3</v>
      </c>
      <c r="F35" s="3">
        <v>6</v>
      </c>
    </row>
    <row r="36" spans="1:6">
      <c r="A36" s="4" t="s">
        <v>9</v>
      </c>
      <c r="B36" s="8">
        <v>112.9</v>
      </c>
      <c r="C36" s="3">
        <v>27</v>
      </c>
      <c r="E36" s="8">
        <v>114.6</v>
      </c>
      <c r="F36" s="3">
        <v>29</v>
      </c>
    </row>
    <row r="37" spans="1:6">
      <c r="A37" s="4" t="s">
        <v>10</v>
      </c>
      <c r="B37" s="8">
        <v>-2.7</v>
      </c>
      <c r="C37" s="3">
        <v>25</v>
      </c>
      <c r="E37" s="8">
        <v>-4.4000000000000004</v>
      </c>
      <c r="F37" s="3">
        <v>24</v>
      </c>
    </row>
    <row r="38" spans="1:6">
      <c r="A38" s="4" t="s">
        <v>11</v>
      </c>
      <c r="B38" s="13">
        <v>102.24</v>
      </c>
      <c r="C38" s="3">
        <v>9</v>
      </c>
      <c r="E38" s="13">
        <v>104.72</v>
      </c>
      <c r="F38" s="3">
        <v>7</v>
      </c>
    </row>
    <row r="39" spans="1:6">
      <c r="A39" s="4" t="s">
        <v>12</v>
      </c>
      <c r="B39" s="10">
        <v>0.53100000000000003</v>
      </c>
      <c r="C39" s="3">
        <v>9</v>
      </c>
      <c r="E39" s="9">
        <v>0.52500000000000002</v>
      </c>
      <c r="F39" s="3">
        <v>12</v>
      </c>
    </row>
    <row r="40" spans="1:6">
      <c r="A40" s="4" t="s">
        <v>13</v>
      </c>
      <c r="B40" s="10">
        <v>0.623</v>
      </c>
      <c r="C40" s="3">
        <v>10</v>
      </c>
      <c r="E40" s="9">
        <v>0.59699999999999998</v>
      </c>
      <c r="F40" s="3">
        <v>13</v>
      </c>
    </row>
    <row r="41" spans="1:6">
      <c r="A41" s="4" t="s">
        <v>14</v>
      </c>
      <c r="B41" s="10">
        <v>0.47699999999999998</v>
      </c>
      <c r="C41" s="3">
        <v>29</v>
      </c>
      <c r="E41" s="9">
        <v>0.48399999999999999</v>
      </c>
      <c r="F41" s="3">
        <v>27</v>
      </c>
    </row>
    <row r="42" spans="1:6">
      <c r="A42" s="4" t="s">
        <v>15</v>
      </c>
      <c r="B42" s="10">
        <v>0.252</v>
      </c>
      <c r="C42" s="3">
        <v>25</v>
      </c>
      <c r="E42" s="9">
        <v>0.28599999999999998</v>
      </c>
      <c r="F42" s="3">
        <v>8</v>
      </c>
    </row>
    <row r="43" spans="1:6">
      <c r="A43" s="4" t="s">
        <v>16</v>
      </c>
      <c r="B43" s="10">
        <v>0.70599999999999996</v>
      </c>
      <c r="C43" s="3">
        <v>28</v>
      </c>
      <c r="E43" s="9">
        <v>0.69399999999999995</v>
      </c>
      <c r="F43" s="3">
        <v>30</v>
      </c>
    </row>
    <row r="44" spans="1:6">
      <c r="A44" s="4" t="s">
        <v>17</v>
      </c>
      <c r="B44" s="10">
        <v>0.13600000000000001</v>
      </c>
      <c r="C44" s="3">
        <v>10</v>
      </c>
      <c r="E44" s="9">
        <v>0.14599999999999999</v>
      </c>
      <c r="F44" s="3">
        <v>15</v>
      </c>
    </row>
    <row r="45" spans="1:6">
      <c r="A45" s="19"/>
      <c r="B45" s="10"/>
      <c r="C45" s="3"/>
      <c r="E45" s="9"/>
      <c r="F45" s="3"/>
    </row>
    <row r="46" spans="1:6">
      <c r="A46" s="20" t="s">
        <v>266</v>
      </c>
      <c r="B46" s="8">
        <v>74.2</v>
      </c>
      <c r="C46" s="3">
        <v>14</v>
      </c>
      <c r="E46" s="8">
        <v>75.5</v>
      </c>
      <c r="F46" s="3">
        <v>7</v>
      </c>
    </row>
    <row r="47" spans="1:6">
      <c r="A47" s="20" t="s">
        <v>267</v>
      </c>
      <c r="B47" s="8">
        <v>76.099999999999994</v>
      </c>
      <c r="C47" s="3">
        <v>24</v>
      </c>
      <c r="E47" s="8">
        <v>82</v>
      </c>
      <c r="F47" s="3">
        <v>30</v>
      </c>
    </row>
    <row r="48" spans="1:6">
      <c r="A48" s="20" t="s">
        <v>268</v>
      </c>
      <c r="B48" s="8">
        <v>-1.9</v>
      </c>
      <c r="C48" s="3">
        <v>25</v>
      </c>
      <c r="E48" s="8">
        <v>-6.5</v>
      </c>
      <c r="F48" s="3">
        <v>28</v>
      </c>
    </row>
    <row r="49" spans="1:6">
      <c r="A49" s="20" t="s">
        <v>269</v>
      </c>
      <c r="B49" s="8">
        <v>57.4</v>
      </c>
      <c r="C49" s="3">
        <v>16</v>
      </c>
      <c r="E49" s="8">
        <v>63.6</v>
      </c>
      <c r="F49" s="3">
        <v>3</v>
      </c>
    </row>
    <row r="50" spans="1:6">
      <c r="A50" s="20" t="s">
        <v>270</v>
      </c>
      <c r="B50" s="8">
        <v>58.7</v>
      </c>
      <c r="C50" s="3">
        <v>15</v>
      </c>
      <c r="E50" s="8">
        <v>61.7</v>
      </c>
      <c r="F50" s="3">
        <v>25</v>
      </c>
    </row>
    <row r="51" spans="1:6">
      <c r="A51" s="20" t="s">
        <v>271</v>
      </c>
      <c r="B51" s="8">
        <v>-1.4</v>
      </c>
      <c r="C51" s="3">
        <v>18</v>
      </c>
      <c r="E51" s="8">
        <v>1.9</v>
      </c>
      <c r="F51" s="3">
        <v>7</v>
      </c>
    </row>
    <row r="53" spans="1:6">
      <c r="A53" s="6" t="s">
        <v>18</v>
      </c>
      <c r="B53" s="7">
        <v>17.7</v>
      </c>
      <c r="C53" s="3">
        <v>7</v>
      </c>
      <c r="E53" s="7">
        <v>16.7</v>
      </c>
      <c r="F53" s="3">
        <v>21</v>
      </c>
    </row>
    <row r="54" spans="1:6">
      <c r="A54" s="6" t="s">
        <v>19</v>
      </c>
      <c r="B54" s="7">
        <v>17</v>
      </c>
      <c r="C54" s="3">
        <v>21</v>
      </c>
      <c r="E54" s="7">
        <v>18.100000000000001</v>
      </c>
      <c r="F54" s="3">
        <v>18</v>
      </c>
    </row>
    <row r="55" spans="1:6">
      <c r="A55" s="6" t="s">
        <v>20</v>
      </c>
      <c r="B55" s="7">
        <v>12.4</v>
      </c>
      <c r="C55" s="3">
        <v>24</v>
      </c>
      <c r="E55" s="7">
        <v>14.1</v>
      </c>
      <c r="F55" s="3">
        <v>8</v>
      </c>
    </row>
    <row r="56" spans="1:6">
      <c r="A56" s="6" t="s">
        <v>21</v>
      </c>
      <c r="B56" s="7">
        <v>14.1</v>
      </c>
      <c r="C56" s="3">
        <v>24</v>
      </c>
      <c r="E56" s="7">
        <v>16</v>
      </c>
      <c r="F56" s="3">
        <v>29</v>
      </c>
    </row>
    <row r="57" spans="1:6">
      <c r="A57" s="6" t="s">
        <v>22</v>
      </c>
      <c r="B57" s="7">
        <v>14.1</v>
      </c>
      <c r="C57" s="3">
        <v>14.1</v>
      </c>
      <c r="E57" s="7">
        <v>12.8</v>
      </c>
      <c r="F57" s="3">
        <v>12.8</v>
      </c>
    </row>
    <row r="58" spans="1:6">
      <c r="A58" s="6" t="s">
        <v>23</v>
      </c>
      <c r="B58" s="7">
        <v>14</v>
      </c>
      <c r="C58" s="3">
        <v>14</v>
      </c>
      <c r="E58" s="7">
        <v>14.8</v>
      </c>
      <c r="F58" s="3">
        <v>14.8</v>
      </c>
    </row>
    <row r="59" spans="1:6">
      <c r="A59" s="6" t="s">
        <v>24</v>
      </c>
      <c r="B59" s="7">
        <v>50</v>
      </c>
      <c r="C59" s="3">
        <v>10</v>
      </c>
      <c r="E59" s="7">
        <v>46.7</v>
      </c>
      <c r="F59" s="3">
        <v>17</v>
      </c>
    </row>
    <row r="60" spans="1:6">
      <c r="A60" s="6" t="s">
        <v>25</v>
      </c>
      <c r="B60" s="7">
        <v>52.1</v>
      </c>
      <c r="C60" s="3">
        <v>29</v>
      </c>
      <c r="E60" s="7">
        <v>49.8</v>
      </c>
      <c r="F60" s="3">
        <v>21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83111-059A-479D-8CB9-938925869BA0}">
  <sheetPr codeName="Sheet3"/>
  <dimension ref="A1:AV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5.36328125" customWidth="1"/>
    <col min="9" max="9" width="13.36328125" customWidth="1"/>
    <col min="10" max="10" width="15.36328125" customWidth="1"/>
    <col min="11" max="11" width="13.36328125" customWidth="1"/>
    <col min="12" max="12" width="15.453125" customWidth="1"/>
    <col min="13" max="13" width="13.453125" customWidth="1"/>
    <col min="14" max="14" width="10.08984375" customWidth="1"/>
    <col min="15" max="15" width="9.26953125" customWidth="1"/>
    <col min="16" max="16" width="12.08984375" customWidth="1"/>
    <col min="17" max="17" width="11.54296875" customWidth="1"/>
    <col min="18" max="18" width="11.453125" customWidth="1"/>
    <col min="19" max="19" width="10.1796875" customWidth="1"/>
    <col min="20" max="20" width="14.26953125" customWidth="1"/>
    <col min="21" max="21" width="10.1796875" customWidth="1"/>
    <col min="22" max="22" width="8.90625" customWidth="1"/>
    <col min="23" max="23" width="9.1796875" customWidth="1"/>
    <col min="25" max="25" width="13.36328125" customWidth="1"/>
    <col min="28" max="28" width="10.81640625" customWidth="1"/>
    <col min="29" max="29" width="10.26953125" customWidth="1"/>
    <col min="30" max="30" width="9.26953125" customWidth="1"/>
    <col min="31" max="31" width="14.453125" customWidth="1"/>
    <col min="32" max="32" width="12" customWidth="1"/>
    <col min="33" max="34" width="19" customWidth="1"/>
    <col min="35" max="35" width="19.08984375" customWidth="1"/>
    <col min="36" max="36" width="15.7265625" customWidth="1"/>
    <col min="37" max="37" width="14.90625" customWidth="1"/>
    <col min="38" max="38" width="17.7265625" customWidth="1"/>
    <col min="39" max="39" width="17.1796875" customWidth="1"/>
    <col min="40" max="40" width="17.08984375" customWidth="1"/>
    <col min="41" max="41" width="15.81640625" customWidth="1"/>
    <col min="42" max="42" width="19.90625" customWidth="1"/>
    <col min="43" max="43" width="15.81640625" customWidth="1"/>
    <col min="44" max="44" width="14.54296875" customWidth="1"/>
    <col min="45" max="45" width="12.81640625" customWidth="1"/>
    <col min="46" max="46" width="11.08984375" customWidth="1"/>
    <col min="48" max="48" width="12" customWidth="1"/>
  </cols>
  <sheetData>
    <row r="1" spans="1:48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232</v>
      </c>
      <c r="I1" s="1" t="s">
        <v>233</v>
      </c>
      <c r="J1" s="1" t="s">
        <v>234</v>
      </c>
      <c r="K1" s="1" t="s">
        <v>235</v>
      </c>
      <c r="L1" s="1" t="s">
        <v>236</v>
      </c>
      <c r="M1" s="1" t="s">
        <v>237</v>
      </c>
      <c r="N1" s="1" t="s">
        <v>238</v>
      </c>
      <c r="O1" s="1" t="s">
        <v>239</v>
      </c>
      <c r="P1" s="1" t="s">
        <v>240</v>
      </c>
      <c r="Q1" s="1" t="s">
        <v>241</v>
      </c>
      <c r="R1" s="1" t="s">
        <v>242</v>
      </c>
      <c r="S1" s="1" t="s">
        <v>243</v>
      </c>
      <c r="T1" s="1" t="s">
        <v>244</v>
      </c>
      <c r="U1" s="1" t="s">
        <v>245</v>
      </c>
      <c r="V1" s="1" t="s">
        <v>246</v>
      </c>
      <c r="W1" s="1" t="s">
        <v>247</v>
      </c>
      <c r="X1" s="1" t="s">
        <v>248</v>
      </c>
      <c r="Y1" s="1" t="s">
        <v>249</v>
      </c>
      <c r="Z1" s="1" t="s">
        <v>250</v>
      </c>
      <c r="AA1" s="1" t="s">
        <v>251</v>
      </c>
      <c r="AB1" s="1" t="s">
        <v>76</v>
      </c>
      <c r="AC1" s="1" t="s">
        <v>77</v>
      </c>
      <c r="AD1" s="1" t="s">
        <v>78</v>
      </c>
      <c r="AE1" s="1" t="s">
        <v>79</v>
      </c>
      <c r="AF1" s="1" t="s">
        <v>80</v>
      </c>
      <c r="AG1" s="1" t="s">
        <v>252</v>
      </c>
      <c r="AH1" s="1" t="s">
        <v>253</v>
      </c>
      <c r="AI1" s="1" t="s">
        <v>254</v>
      </c>
      <c r="AJ1" s="1" t="s">
        <v>255</v>
      </c>
      <c r="AK1" s="1" t="s">
        <v>256</v>
      </c>
      <c r="AL1" s="1" t="s">
        <v>257</v>
      </c>
      <c r="AM1" s="1" t="s">
        <v>258</v>
      </c>
      <c r="AN1" s="1" t="s">
        <v>259</v>
      </c>
      <c r="AO1" s="1" t="s">
        <v>260</v>
      </c>
      <c r="AP1" s="1" t="s">
        <v>261</v>
      </c>
      <c r="AQ1" s="1" t="s">
        <v>262</v>
      </c>
      <c r="AR1" s="1" t="s">
        <v>263</v>
      </c>
      <c r="AS1" s="1" t="s">
        <v>264</v>
      </c>
      <c r="AT1" s="1" t="s">
        <v>265</v>
      </c>
      <c r="AU1" s="1" t="s">
        <v>102</v>
      </c>
      <c r="AV1" s="1" t="s">
        <v>103</v>
      </c>
    </row>
    <row r="2" spans="1:48">
      <c r="A2" s="1">
        <v>1610612737</v>
      </c>
      <c r="B2" s="1" t="s">
        <v>104</v>
      </c>
      <c r="C2" s="1">
        <v>10</v>
      </c>
      <c r="D2" s="1">
        <v>4</v>
      </c>
      <c r="E2" s="1">
        <v>6</v>
      </c>
      <c r="F2" s="1">
        <v>0.4</v>
      </c>
      <c r="G2" s="1">
        <v>274</v>
      </c>
      <c r="H2" s="1">
        <v>100.6</v>
      </c>
      <c r="I2" s="1">
        <v>62.1</v>
      </c>
      <c r="J2" s="1">
        <v>107.3</v>
      </c>
      <c r="K2" s="1">
        <v>66</v>
      </c>
      <c r="L2" s="1">
        <v>-6.6</v>
      </c>
      <c r="M2" s="1">
        <v>-3.9</v>
      </c>
      <c r="N2" s="1">
        <v>0.57099999999999995</v>
      </c>
      <c r="O2" s="1">
        <v>1.34</v>
      </c>
      <c r="P2" s="1">
        <v>11.8</v>
      </c>
      <c r="Q2" s="1">
        <v>0.26900000000000002</v>
      </c>
      <c r="R2" s="1">
        <v>0.7</v>
      </c>
      <c r="S2" s="1">
        <v>0.49099999999999999</v>
      </c>
      <c r="T2" s="1">
        <v>9.8000000000000004E-2</v>
      </c>
      <c r="U2" s="1">
        <v>0.50800000000000001</v>
      </c>
      <c r="V2" s="1">
        <v>0.54400000000000004</v>
      </c>
      <c r="W2" s="1">
        <v>103</v>
      </c>
      <c r="X2" s="1">
        <v>167.01</v>
      </c>
      <c r="Y2" s="1">
        <v>139.18</v>
      </c>
      <c r="Z2" s="1">
        <v>954</v>
      </c>
      <c r="AA2" s="1">
        <v>0.47099999999999997</v>
      </c>
      <c r="AB2" s="1">
        <v>17</v>
      </c>
      <c r="AC2" s="1">
        <v>16</v>
      </c>
      <c r="AD2" s="1">
        <v>15</v>
      </c>
      <c r="AE2" s="1">
        <v>16</v>
      </c>
      <c r="AF2" s="1">
        <v>28</v>
      </c>
      <c r="AG2" s="1">
        <v>29</v>
      </c>
      <c r="AH2" s="1">
        <v>5</v>
      </c>
      <c r="AI2" s="1">
        <v>25</v>
      </c>
      <c r="AJ2" s="1">
        <v>19</v>
      </c>
      <c r="AK2" s="1">
        <v>26</v>
      </c>
      <c r="AL2" s="1">
        <v>19</v>
      </c>
      <c r="AM2" s="1">
        <v>13</v>
      </c>
      <c r="AN2" s="1">
        <v>27</v>
      </c>
      <c r="AO2" s="1">
        <v>24</v>
      </c>
      <c r="AP2" s="1">
        <v>17</v>
      </c>
      <c r="AQ2" s="1">
        <v>24</v>
      </c>
      <c r="AR2" s="1">
        <v>23</v>
      </c>
      <c r="AS2" s="1">
        <v>7</v>
      </c>
      <c r="AT2" s="1">
        <v>23</v>
      </c>
      <c r="AU2" s="1">
        <v>10</v>
      </c>
      <c r="AV2" s="1" t="s">
        <v>104</v>
      </c>
    </row>
    <row r="3" spans="1:48">
      <c r="A3" s="1">
        <v>1610612738</v>
      </c>
      <c r="B3" s="1" t="s">
        <v>106</v>
      </c>
      <c r="C3" s="1">
        <v>10</v>
      </c>
      <c r="D3" s="1">
        <v>9</v>
      </c>
      <c r="E3" s="1">
        <v>1</v>
      </c>
      <c r="F3" s="1">
        <v>0.9</v>
      </c>
      <c r="G3" s="1">
        <v>314</v>
      </c>
      <c r="H3" s="1">
        <v>114.9</v>
      </c>
      <c r="I3" s="1">
        <v>78.2</v>
      </c>
      <c r="J3" s="1">
        <v>102.1</v>
      </c>
      <c r="K3" s="1">
        <v>69.099999999999994</v>
      </c>
      <c r="L3" s="1">
        <v>12.9</v>
      </c>
      <c r="M3" s="1">
        <v>9.1</v>
      </c>
      <c r="N3" s="1">
        <v>0.58699999999999997</v>
      </c>
      <c r="O3" s="1">
        <v>2.2200000000000002</v>
      </c>
      <c r="P3" s="1">
        <v>12.6</v>
      </c>
      <c r="Q3" s="1">
        <v>0.25</v>
      </c>
      <c r="R3" s="1">
        <v>0.72899999999999998</v>
      </c>
      <c r="S3" s="1">
        <v>0.495</v>
      </c>
      <c r="T3" s="1">
        <v>7.4999999999999997E-2</v>
      </c>
      <c r="U3" s="1">
        <v>0.55000000000000004</v>
      </c>
      <c r="V3" s="1">
        <v>0.57799999999999996</v>
      </c>
      <c r="W3" s="1">
        <v>103.5</v>
      </c>
      <c r="X3" s="1">
        <v>152.41999999999999</v>
      </c>
      <c r="Y3" s="1">
        <v>127.01</v>
      </c>
      <c r="Z3" s="1">
        <v>995</v>
      </c>
      <c r="AA3" s="1">
        <v>0.58299999999999996</v>
      </c>
      <c r="AB3" s="1">
        <v>17</v>
      </c>
      <c r="AC3" s="1">
        <v>1</v>
      </c>
      <c r="AD3" s="1">
        <v>1</v>
      </c>
      <c r="AE3" s="1">
        <v>1</v>
      </c>
      <c r="AF3" s="1">
        <v>13</v>
      </c>
      <c r="AG3" s="1">
        <v>3</v>
      </c>
      <c r="AH3" s="1">
        <v>14</v>
      </c>
      <c r="AI3" s="1">
        <v>1</v>
      </c>
      <c r="AJ3" s="1">
        <v>14</v>
      </c>
      <c r="AK3" s="1">
        <v>1</v>
      </c>
      <c r="AL3" s="1">
        <v>14</v>
      </c>
      <c r="AM3" s="1">
        <v>25</v>
      </c>
      <c r="AN3" s="1">
        <v>23</v>
      </c>
      <c r="AO3" s="1">
        <v>22</v>
      </c>
      <c r="AP3" s="1">
        <v>1</v>
      </c>
      <c r="AQ3" s="1">
        <v>4</v>
      </c>
      <c r="AR3" s="1">
        <v>7</v>
      </c>
      <c r="AS3" s="1">
        <v>21</v>
      </c>
      <c r="AT3" s="1">
        <v>1</v>
      </c>
      <c r="AU3" s="1">
        <v>10</v>
      </c>
      <c r="AV3" s="1" t="s">
        <v>106</v>
      </c>
    </row>
    <row r="4" spans="1:48">
      <c r="A4" s="1">
        <v>1610612751</v>
      </c>
      <c r="B4" s="1" t="s">
        <v>107</v>
      </c>
      <c r="C4" s="1">
        <v>10</v>
      </c>
      <c r="D4" s="1">
        <v>4</v>
      </c>
      <c r="E4" s="1">
        <v>6</v>
      </c>
      <c r="F4" s="1">
        <v>0.4</v>
      </c>
      <c r="G4" s="1">
        <v>309</v>
      </c>
      <c r="H4" s="1">
        <v>109</v>
      </c>
      <c r="I4" s="1">
        <v>74.3</v>
      </c>
      <c r="J4" s="1">
        <v>110</v>
      </c>
      <c r="K4" s="1">
        <v>75</v>
      </c>
      <c r="L4" s="1">
        <v>-1</v>
      </c>
      <c r="M4" s="1">
        <v>-0.7</v>
      </c>
      <c r="N4" s="1">
        <v>0.55100000000000005</v>
      </c>
      <c r="O4" s="1">
        <v>1.38</v>
      </c>
      <c r="P4" s="1">
        <v>11</v>
      </c>
      <c r="Q4" s="1">
        <v>0.29699999999999999</v>
      </c>
      <c r="R4" s="1">
        <v>0.747</v>
      </c>
      <c r="S4" s="1">
        <v>0.51800000000000002</v>
      </c>
      <c r="T4" s="1">
        <v>0.107</v>
      </c>
      <c r="U4" s="1">
        <v>0.54500000000000004</v>
      </c>
      <c r="V4" s="1">
        <v>0.56899999999999995</v>
      </c>
      <c r="W4" s="1">
        <v>108.6</v>
      </c>
      <c r="X4" s="1">
        <v>159.28</v>
      </c>
      <c r="Y4" s="1">
        <v>132.72999999999999</v>
      </c>
      <c r="Z4" s="1">
        <v>1025</v>
      </c>
      <c r="AA4" s="1">
        <v>0.48899999999999999</v>
      </c>
      <c r="AB4" s="1">
        <v>17</v>
      </c>
      <c r="AC4" s="1">
        <v>16</v>
      </c>
      <c r="AD4" s="1">
        <v>15</v>
      </c>
      <c r="AE4" s="1">
        <v>16</v>
      </c>
      <c r="AF4" s="1">
        <v>16</v>
      </c>
      <c r="AG4" s="1">
        <v>8</v>
      </c>
      <c r="AH4" s="1">
        <v>26</v>
      </c>
      <c r="AI4" s="1">
        <v>18</v>
      </c>
      <c r="AJ4" s="1">
        <v>27</v>
      </c>
      <c r="AK4" s="1">
        <v>23</v>
      </c>
      <c r="AL4" s="1">
        <v>25</v>
      </c>
      <c r="AM4" s="1">
        <v>2</v>
      </c>
      <c r="AN4" s="1">
        <v>12</v>
      </c>
      <c r="AO4" s="1">
        <v>4</v>
      </c>
      <c r="AP4" s="1">
        <v>21</v>
      </c>
      <c r="AQ4" s="1">
        <v>6</v>
      </c>
      <c r="AR4" s="1">
        <v>13</v>
      </c>
      <c r="AS4" s="1">
        <v>14</v>
      </c>
      <c r="AT4" s="1">
        <v>18</v>
      </c>
      <c r="AU4" s="1">
        <v>10</v>
      </c>
      <c r="AV4" s="1" t="s">
        <v>107</v>
      </c>
    </row>
    <row r="5" spans="1:48">
      <c r="A5" s="1">
        <v>1610612766</v>
      </c>
      <c r="B5" s="1" t="s">
        <v>109</v>
      </c>
      <c r="C5" s="1">
        <v>11</v>
      </c>
      <c r="D5" s="1">
        <v>4</v>
      </c>
      <c r="E5" s="1">
        <v>7</v>
      </c>
      <c r="F5" s="1">
        <v>0.36399999999999999</v>
      </c>
      <c r="G5" s="1">
        <v>327</v>
      </c>
      <c r="H5" s="1">
        <v>103.6</v>
      </c>
      <c r="I5" s="1">
        <v>66.7</v>
      </c>
      <c r="J5" s="1">
        <v>110.8</v>
      </c>
      <c r="K5" s="1">
        <v>71.400000000000006</v>
      </c>
      <c r="L5" s="1">
        <v>-7.2</v>
      </c>
      <c r="M5" s="1">
        <v>-4.7</v>
      </c>
      <c r="N5" s="1">
        <v>0.623</v>
      </c>
      <c r="O5" s="1">
        <v>1.36</v>
      </c>
      <c r="P5" s="1">
        <v>9.6999999999999993</v>
      </c>
      <c r="Q5" s="1">
        <v>0.26200000000000001</v>
      </c>
      <c r="R5" s="1">
        <v>0.70699999999999996</v>
      </c>
      <c r="S5" s="1">
        <v>0.47799999999999998</v>
      </c>
      <c r="T5" s="1">
        <v>0.111</v>
      </c>
      <c r="U5" s="1">
        <v>0.52800000000000002</v>
      </c>
      <c r="V5" s="1">
        <v>0.54300000000000004</v>
      </c>
      <c r="W5" s="1">
        <v>103</v>
      </c>
      <c r="X5" s="1">
        <v>159.9</v>
      </c>
      <c r="Y5" s="1">
        <v>133.25</v>
      </c>
      <c r="Z5" s="1">
        <v>1089</v>
      </c>
      <c r="AA5" s="1">
        <v>0.443</v>
      </c>
      <c r="AB5" s="1">
        <v>2</v>
      </c>
      <c r="AC5" s="1">
        <v>16</v>
      </c>
      <c r="AD5" s="1">
        <v>20</v>
      </c>
      <c r="AE5" s="1">
        <v>20</v>
      </c>
      <c r="AF5" s="1">
        <v>9</v>
      </c>
      <c r="AG5" s="1">
        <v>23</v>
      </c>
      <c r="AH5" s="1">
        <v>18</v>
      </c>
      <c r="AI5" s="1">
        <v>27</v>
      </c>
      <c r="AJ5" s="1">
        <v>10</v>
      </c>
      <c r="AK5" s="1">
        <v>25</v>
      </c>
      <c r="AL5" s="1">
        <v>30</v>
      </c>
      <c r="AM5" s="1">
        <v>18</v>
      </c>
      <c r="AN5" s="1">
        <v>26</v>
      </c>
      <c r="AO5" s="1">
        <v>29</v>
      </c>
      <c r="AP5" s="1">
        <v>27</v>
      </c>
      <c r="AQ5" s="1">
        <v>15</v>
      </c>
      <c r="AR5" s="1">
        <v>24</v>
      </c>
      <c r="AS5" s="1">
        <v>13</v>
      </c>
      <c r="AT5" s="1">
        <v>29</v>
      </c>
      <c r="AU5" s="1">
        <v>10</v>
      </c>
      <c r="AV5" s="1" t="s">
        <v>109</v>
      </c>
    </row>
    <row r="6" spans="1:48">
      <c r="A6" s="1">
        <v>1610612741</v>
      </c>
      <c r="B6" s="1" t="s">
        <v>112</v>
      </c>
      <c r="C6" s="1">
        <v>11</v>
      </c>
      <c r="D6" s="1">
        <v>4</v>
      </c>
      <c r="E6" s="1">
        <v>7</v>
      </c>
      <c r="F6" s="1">
        <v>0.36399999999999999</v>
      </c>
      <c r="G6" s="1">
        <v>309</v>
      </c>
      <c r="H6" s="1">
        <v>104</v>
      </c>
      <c r="I6" s="1">
        <v>67.400000000000006</v>
      </c>
      <c r="J6" s="1">
        <v>107.1</v>
      </c>
      <c r="K6" s="1">
        <v>68.900000000000006</v>
      </c>
      <c r="L6" s="1">
        <v>-3.1</v>
      </c>
      <c r="M6" s="1">
        <v>-1.5</v>
      </c>
      <c r="N6" s="1">
        <v>0.57899999999999996</v>
      </c>
      <c r="O6" s="1">
        <v>1.46</v>
      </c>
      <c r="P6" s="1">
        <v>11.3</v>
      </c>
      <c r="Q6" s="1">
        <v>0.26400000000000001</v>
      </c>
      <c r="R6" s="1">
        <v>0.70799999999999996</v>
      </c>
      <c r="S6" s="1">
        <v>0.47899999999999998</v>
      </c>
      <c r="T6" s="1">
        <v>9.6000000000000002E-2</v>
      </c>
      <c r="U6" s="1">
        <v>0.50900000000000001</v>
      </c>
      <c r="V6" s="1">
        <v>0.55600000000000005</v>
      </c>
      <c r="W6" s="1">
        <v>104.2</v>
      </c>
      <c r="X6" s="1">
        <v>161.37</v>
      </c>
      <c r="Y6" s="1">
        <v>134.47999999999999</v>
      </c>
      <c r="Z6" s="1">
        <v>1036</v>
      </c>
      <c r="AA6" s="1">
        <v>0.47199999999999998</v>
      </c>
      <c r="AB6" s="1">
        <v>2</v>
      </c>
      <c r="AC6" s="1">
        <v>16</v>
      </c>
      <c r="AD6" s="1">
        <v>20</v>
      </c>
      <c r="AE6" s="1">
        <v>20</v>
      </c>
      <c r="AF6" s="1">
        <v>18</v>
      </c>
      <c r="AG6" s="1">
        <v>21</v>
      </c>
      <c r="AH6" s="1">
        <v>13</v>
      </c>
      <c r="AI6" s="1">
        <v>19</v>
      </c>
      <c r="AJ6" s="1">
        <v>17</v>
      </c>
      <c r="AK6" s="1">
        <v>18</v>
      </c>
      <c r="AL6" s="1">
        <v>22</v>
      </c>
      <c r="AM6" s="1">
        <v>14</v>
      </c>
      <c r="AN6" s="1">
        <v>25</v>
      </c>
      <c r="AO6" s="1">
        <v>28</v>
      </c>
      <c r="AP6" s="1">
        <v>13</v>
      </c>
      <c r="AQ6" s="1">
        <v>23</v>
      </c>
      <c r="AR6" s="1">
        <v>18</v>
      </c>
      <c r="AS6" s="1">
        <v>11</v>
      </c>
      <c r="AT6" s="1">
        <v>21</v>
      </c>
      <c r="AU6" s="1">
        <v>10</v>
      </c>
      <c r="AV6" s="1" t="s">
        <v>112</v>
      </c>
    </row>
    <row r="7" spans="1:48">
      <c r="A7" s="1">
        <v>1610612739</v>
      </c>
      <c r="B7" s="1" t="s">
        <v>114</v>
      </c>
      <c r="C7" s="1">
        <v>10</v>
      </c>
      <c r="D7" s="1">
        <v>4</v>
      </c>
      <c r="E7" s="1">
        <v>6</v>
      </c>
      <c r="F7" s="1">
        <v>0.4</v>
      </c>
      <c r="G7" s="1">
        <v>313</v>
      </c>
      <c r="H7" s="1">
        <v>106.2</v>
      </c>
      <c r="I7" s="1">
        <v>71.7</v>
      </c>
      <c r="J7" s="1">
        <v>103.5</v>
      </c>
      <c r="K7" s="1">
        <v>69.400000000000006</v>
      </c>
      <c r="L7" s="1">
        <v>2.7</v>
      </c>
      <c r="M7" s="1">
        <v>2.2999999999999998</v>
      </c>
      <c r="N7" s="1">
        <v>0.53900000000000003</v>
      </c>
      <c r="O7" s="1">
        <v>1.53</v>
      </c>
      <c r="P7" s="1">
        <v>11</v>
      </c>
      <c r="Q7" s="1">
        <v>0.27500000000000002</v>
      </c>
      <c r="R7" s="1">
        <v>0.74299999999999999</v>
      </c>
      <c r="S7" s="1">
        <v>0.50900000000000001</v>
      </c>
      <c r="T7" s="1">
        <v>9.1999999999999998E-2</v>
      </c>
      <c r="U7" s="1">
        <v>0.50800000000000001</v>
      </c>
      <c r="V7" s="1">
        <v>0.54100000000000004</v>
      </c>
      <c r="W7" s="1">
        <v>101.8</v>
      </c>
      <c r="X7" s="1">
        <v>151.38999999999999</v>
      </c>
      <c r="Y7" s="1">
        <v>126.16</v>
      </c>
      <c r="Z7" s="1">
        <v>989</v>
      </c>
      <c r="AA7" s="1">
        <v>0.51600000000000001</v>
      </c>
      <c r="AB7" s="1">
        <v>17</v>
      </c>
      <c r="AC7" s="1">
        <v>16</v>
      </c>
      <c r="AD7" s="1">
        <v>15</v>
      </c>
      <c r="AE7" s="1">
        <v>16</v>
      </c>
      <c r="AF7" s="1">
        <v>14</v>
      </c>
      <c r="AG7" s="1">
        <v>13</v>
      </c>
      <c r="AH7" s="1">
        <v>15</v>
      </c>
      <c r="AI7" s="1">
        <v>13</v>
      </c>
      <c r="AJ7" s="1">
        <v>28</v>
      </c>
      <c r="AK7" s="1">
        <v>13</v>
      </c>
      <c r="AL7" s="1">
        <v>24</v>
      </c>
      <c r="AM7" s="1">
        <v>12</v>
      </c>
      <c r="AN7" s="1">
        <v>13</v>
      </c>
      <c r="AO7" s="1">
        <v>10</v>
      </c>
      <c r="AP7" s="1">
        <v>11</v>
      </c>
      <c r="AQ7" s="1">
        <v>25</v>
      </c>
      <c r="AR7" s="1">
        <v>25</v>
      </c>
      <c r="AS7" s="1">
        <v>22</v>
      </c>
      <c r="AT7" s="1">
        <v>13</v>
      </c>
      <c r="AU7" s="1">
        <v>10</v>
      </c>
      <c r="AV7" s="1" t="s">
        <v>114</v>
      </c>
    </row>
    <row r="8" spans="1:48">
      <c r="A8" s="1">
        <v>1610612742</v>
      </c>
      <c r="B8" s="1" t="s">
        <v>118</v>
      </c>
      <c r="C8" s="1">
        <v>10</v>
      </c>
      <c r="D8" s="1">
        <v>6</v>
      </c>
      <c r="E8" s="1">
        <v>4</v>
      </c>
      <c r="F8" s="1">
        <v>0.6</v>
      </c>
      <c r="G8" s="1">
        <v>267</v>
      </c>
      <c r="H8" s="1">
        <v>107.3</v>
      </c>
      <c r="I8" s="1">
        <v>66.2</v>
      </c>
      <c r="J8" s="1">
        <v>114.2</v>
      </c>
      <c r="K8" s="1">
        <v>68.599999999999994</v>
      </c>
      <c r="L8" s="1">
        <v>-7</v>
      </c>
      <c r="M8" s="1">
        <v>-2.4</v>
      </c>
      <c r="N8" s="1">
        <v>0.57799999999999996</v>
      </c>
      <c r="O8" s="1">
        <v>1.44</v>
      </c>
      <c r="P8" s="1">
        <v>12.7</v>
      </c>
      <c r="Q8" s="1">
        <v>0.29599999999999999</v>
      </c>
      <c r="R8" s="1">
        <v>0.73</v>
      </c>
      <c r="S8" s="1">
        <v>0.50700000000000001</v>
      </c>
      <c r="T8" s="1">
        <v>9.4E-2</v>
      </c>
      <c r="U8" s="1">
        <v>0.52300000000000002</v>
      </c>
      <c r="V8" s="1">
        <v>0.57399999999999995</v>
      </c>
      <c r="W8" s="1">
        <v>101.8</v>
      </c>
      <c r="X8" s="1">
        <v>167.23</v>
      </c>
      <c r="Y8" s="1">
        <v>139.36000000000001</v>
      </c>
      <c r="Z8" s="1">
        <v>929</v>
      </c>
      <c r="AA8" s="1">
        <v>0.46500000000000002</v>
      </c>
      <c r="AB8" s="1">
        <v>17</v>
      </c>
      <c r="AC8" s="1">
        <v>13</v>
      </c>
      <c r="AD8" s="1">
        <v>9</v>
      </c>
      <c r="AE8" s="1">
        <v>13</v>
      </c>
      <c r="AF8" s="1">
        <v>29</v>
      </c>
      <c r="AG8" s="1">
        <v>24</v>
      </c>
      <c r="AH8" s="1">
        <v>12</v>
      </c>
      <c r="AI8" s="1">
        <v>20</v>
      </c>
      <c r="AJ8" s="1">
        <v>18</v>
      </c>
      <c r="AK8" s="1">
        <v>20</v>
      </c>
      <c r="AL8" s="1">
        <v>13</v>
      </c>
      <c r="AM8" s="1">
        <v>4</v>
      </c>
      <c r="AN8" s="1">
        <v>21</v>
      </c>
      <c r="AO8" s="1">
        <v>12</v>
      </c>
      <c r="AP8" s="1">
        <v>12</v>
      </c>
      <c r="AQ8" s="1">
        <v>19</v>
      </c>
      <c r="AR8" s="1">
        <v>10</v>
      </c>
      <c r="AS8" s="1">
        <v>6</v>
      </c>
      <c r="AT8" s="1">
        <v>25</v>
      </c>
      <c r="AU8" s="1">
        <v>10</v>
      </c>
      <c r="AV8" s="1" t="s">
        <v>118</v>
      </c>
    </row>
    <row r="9" spans="1:48">
      <c r="A9" s="1">
        <v>1610612743</v>
      </c>
      <c r="B9" s="1" t="s">
        <v>121</v>
      </c>
      <c r="C9" s="1">
        <v>10</v>
      </c>
      <c r="D9" s="1">
        <v>7</v>
      </c>
      <c r="E9" s="1">
        <v>3</v>
      </c>
      <c r="F9" s="1">
        <v>0.7</v>
      </c>
      <c r="G9" s="1">
        <v>309</v>
      </c>
      <c r="H9" s="1">
        <v>106</v>
      </c>
      <c r="I9" s="1">
        <v>83</v>
      </c>
      <c r="J9" s="1">
        <v>98.8</v>
      </c>
      <c r="K9" s="1">
        <v>75.599999999999994</v>
      </c>
      <c r="L9" s="1">
        <v>7.2</v>
      </c>
      <c r="M9" s="1">
        <v>7.4</v>
      </c>
      <c r="N9" s="1">
        <v>0.61199999999999999</v>
      </c>
      <c r="O9" s="1">
        <v>1.91</v>
      </c>
      <c r="P9" s="1">
        <v>14.5</v>
      </c>
      <c r="Q9" s="1">
        <v>0.27900000000000003</v>
      </c>
      <c r="R9" s="1">
        <v>0.73599999999999999</v>
      </c>
      <c r="S9" s="1">
        <v>0.50600000000000001</v>
      </c>
      <c r="T9" s="1">
        <v>9.7000000000000003E-2</v>
      </c>
      <c r="U9" s="1">
        <v>0.499</v>
      </c>
      <c r="V9" s="1">
        <v>0.53400000000000003</v>
      </c>
      <c r="W9" s="1">
        <v>99</v>
      </c>
      <c r="X9" s="1">
        <v>127.9</v>
      </c>
      <c r="Y9" s="1">
        <v>106.58</v>
      </c>
      <c r="Z9" s="1">
        <v>825</v>
      </c>
      <c r="AA9" s="1">
        <v>0.55200000000000005</v>
      </c>
      <c r="AB9" s="1">
        <v>17</v>
      </c>
      <c r="AC9" s="1">
        <v>5</v>
      </c>
      <c r="AD9" s="1">
        <v>3</v>
      </c>
      <c r="AE9" s="1">
        <v>5</v>
      </c>
      <c r="AF9" s="1">
        <v>17</v>
      </c>
      <c r="AG9" s="1">
        <v>1</v>
      </c>
      <c r="AH9" s="1">
        <v>28</v>
      </c>
      <c r="AI9" s="1">
        <v>3</v>
      </c>
      <c r="AJ9" s="1">
        <v>12</v>
      </c>
      <c r="AK9" s="1">
        <v>5</v>
      </c>
      <c r="AL9" s="1">
        <v>5</v>
      </c>
      <c r="AM9" s="1">
        <v>10</v>
      </c>
      <c r="AN9" s="1">
        <v>17</v>
      </c>
      <c r="AO9" s="1">
        <v>13</v>
      </c>
      <c r="AP9" s="1">
        <v>16</v>
      </c>
      <c r="AQ9" s="1">
        <v>29</v>
      </c>
      <c r="AR9" s="1">
        <v>29</v>
      </c>
      <c r="AS9" s="1">
        <v>30</v>
      </c>
      <c r="AT9" s="1">
        <v>7</v>
      </c>
      <c r="AU9" s="1">
        <v>10</v>
      </c>
      <c r="AV9" s="1" t="s">
        <v>121</v>
      </c>
    </row>
    <row r="10" spans="1:48">
      <c r="A10" s="1">
        <v>1610612765</v>
      </c>
      <c r="B10" s="1" t="s">
        <v>124</v>
      </c>
      <c r="C10" s="1">
        <v>12</v>
      </c>
      <c r="D10" s="1">
        <v>4</v>
      </c>
      <c r="E10" s="1">
        <v>8</v>
      </c>
      <c r="F10" s="1">
        <v>0.33300000000000002</v>
      </c>
      <c r="G10" s="1">
        <v>354</v>
      </c>
      <c r="H10" s="1">
        <v>104.8</v>
      </c>
      <c r="I10" s="1">
        <v>69.2</v>
      </c>
      <c r="J10" s="1">
        <v>110.4</v>
      </c>
      <c r="K10" s="1">
        <v>72.8</v>
      </c>
      <c r="L10" s="1">
        <v>-5.7</v>
      </c>
      <c r="M10" s="1">
        <v>-3.7</v>
      </c>
      <c r="N10" s="1">
        <v>0.65400000000000003</v>
      </c>
      <c r="O10" s="1">
        <v>1.5</v>
      </c>
      <c r="P10" s="1">
        <v>13.8</v>
      </c>
      <c r="Q10" s="1">
        <v>0.25700000000000001</v>
      </c>
      <c r="R10" s="1">
        <v>0.74199999999999999</v>
      </c>
      <c r="S10" s="1">
        <v>0.497</v>
      </c>
      <c r="T10" s="1">
        <v>0.111</v>
      </c>
      <c r="U10" s="1">
        <v>0.53600000000000003</v>
      </c>
      <c r="V10" s="1">
        <v>0.55500000000000005</v>
      </c>
      <c r="W10" s="1">
        <v>101.2</v>
      </c>
      <c r="X10" s="1">
        <v>153.34</v>
      </c>
      <c r="Y10" s="1">
        <v>127.78</v>
      </c>
      <c r="Z10" s="1">
        <v>1130</v>
      </c>
      <c r="AA10" s="1">
        <v>0.46700000000000003</v>
      </c>
      <c r="AB10" s="1">
        <v>1</v>
      </c>
      <c r="AC10" s="1">
        <v>16</v>
      </c>
      <c r="AD10" s="1">
        <v>27</v>
      </c>
      <c r="AE10" s="1">
        <v>26</v>
      </c>
      <c r="AF10" s="1">
        <v>2</v>
      </c>
      <c r="AG10" s="1">
        <v>17</v>
      </c>
      <c r="AH10" s="1">
        <v>21</v>
      </c>
      <c r="AI10" s="1">
        <v>24</v>
      </c>
      <c r="AJ10" s="1">
        <v>3</v>
      </c>
      <c r="AK10" s="1">
        <v>15</v>
      </c>
      <c r="AL10" s="1">
        <v>9</v>
      </c>
      <c r="AM10" s="1">
        <v>21</v>
      </c>
      <c r="AN10" s="1">
        <v>15</v>
      </c>
      <c r="AO10" s="1">
        <v>20</v>
      </c>
      <c r="AP10" s="1">
        <v>25</v>
      </c>
      <c r="AQ10" s="1">
        <v>9</v>
      </c>
      <c r="AR10" s="1">
        <v>19</v>
      </c>
      <c r="AS10" s="1">
        <v>19</v>
      </c>
      <c r="AT10" s="1">
        <v>24</v>
      </c>
      <c r="AU10" s="1">
        <v>10</v>
      </c>
      <c r="AV10" s="1" t="s">
        <v>124</v>
      </c>
    </row>
    <row r="11" spans="1:48">
      <c r="A11" s="1">
        <v>1610612744</v>
      </c>
      <c r="B11" s="1" t="s">
        <v>126</v>
      </c>
      <c r="C11" s="1">
        <v>11</v>
      </c>
      <c r="D11" s="1">
        <v>2</v>
      </c>
      <c r="E11" s="1">
        <v>9</v>
      </c>
      <c r="F11" s="1">
        <v>0.182</v>
      </c>
      <c r="G11" s="1">
        <v>325</v>
      </c>
      <c r="H11" s="1">
        <v>105.3</v>
      </c>
      <c r="I11" s="1">
        <v>67.2</v>
      </c>
      <c r="J11" s="1">
        <v>116.2</v>
      </c>
      <c r="K11" s="1">
        <v>74.900000000000006</v>
      </c>
      <c r="L11" s="1">
        <v>-10.8</v>
      </c>
      <c r="M11" s="1">
        <v>-7.7</v>
      </c>
      <c r="N11" s="1">
        <v>0.63100000000000001</v>
      </c>
      <c r="O11" s="1">
        <v>1.8</v>
      </c>
      <c r="P11" s="1">
        <v>12.8</v>
      </c>
      <c r="Q11" s="1">
        <v>0.25800000000000001</v>
      </c>
      <c r="R11" s="1">
        <v>0.69699999999999995</v>
      </c>
      <c r="S11" s="1">
        <v>0.47599999999999998</v>
      </c>
      <c r="T11" s="1">
        <v>8.6999999999999994E-2</v>
      </c>
      <c r="U11" s="1">
        <v>0.50800000000000001</v>
      </c>
      <c r="V11" s="1">
        <v>0.55100000000000005</v>
      </c>
      <c r="W11" s="1">
        <v>104.2</v>
      </c>
      <c r="X11" s="1">
        <v>162.38</v>
      </c>
      <c r="Y11" s="1">
        <v>135.31</v>
      </c>
      <c r="Z11" s="1">
        <v>1100</v>
      </c>
      <c r="AA11" s="1">
        <v>0.44900000000000001</v>
      </c>
      <c r="AB11" s="1">
        <v>2</v>
      </c>
      <c r="AC11" s="1">
        <v>27</v>
      </c>
      <c r="AD11" s="1">
        <v>29</v>
      </c>
      <c r="AE11" s="1">
        <v>29</v>
      </c>
      <c r="AF11" s="1">
        <v>10</v>
      </c>
      <c r="AG11" s="1">
        <v>22</v>
      </c>
      <c r="AH11" s="1">
        <v>25</v>
      </c>
      <c r="AI11" s="1">
        <v>29</v>
      </c>
      <c r="AJ11" s="1">
        <v>6</v>
      </c>
      <c r="AK11" s="1">
        <v>8</v>
      </c>
      <c r="AL11" s="1">
        <v>12</v>
      </c>
      <c r="AM11" s="1">
        <v>20</v>
      </c>
      <c r="AN11" s="1">
        <v>30</v>
      </c>
      <c r="AO11" s="1">
        <v>30</v>
      </c>
      <c r="AP11" s="1">
        <v>6</v>
      </c>
      <c r="AQ11" s="1">
        <v>26</v>
      </c>
      <c r="AR11" s="1">
        <v>22</v>
      </c>
      <c r="AS11" s="1">
        <v>10</v>
      </c>
      <c r="AT11" s="1">
        <v>28</v>
      </c>
      <c r="AU11" s="1">
        <v>10</v>
      </c>
      <c r="AV11" s="1" t="s">
        <v>126</v>
      </c>
    </row>
    <row r="12" spans="1:48">
      <c r="A12" s="1">
        <v>1610612745</v>
      </c>
      <c r="B12" s="1" t="s">
        <v>128</v>
      </c>
      <c r="C12" s="1">
        <v>11</v>
      </c>
      <c r="D12" s="1">
        <v>8</v>
      </c>
      <c r="E12" s="1">
        <v>3</v>
      </c>
      <c r="F12" s="1">
        <v>0.72699999999999998</v>
      </c>
      <c r="G12" s="1">
        <v>358</v>
      </c>
      <c r="H12" s="1">
        <v>106.2</v>
      </c>
      <c r="I12" s="1">
        <v>75.5</v>
      </c>
      <c r="J12" s="1">
        <v>105.1</v>
      </c>
      <c r="K12" s="1">
        <v>73.8</v>
      </c>
      <c r="L12" s="1">
        <v>1.2</v>
      </c>
      <c r="M12" s="1">
        <v>1.6</v>
      </c>
      <c r="N12" s="1">
        <v>0.56899999999999995</v>
      </c>
      <c r="O12" s="1">
        <v>1.31</v>
      </c>
      <c r="P12" s="1">
        <v>13.4</v>
      </c>
      <c r="Q12" s="1">
        <v>0.255</v>
      </c>
      <c r="R12" s="1">
        <v>0.74199999999999999</v>
      </c>
      <c r="S12" s="1">
        <v>0.498</v>
      </c>
      <c r="T12" s="1">
        <v>0.111</v>
      </c>
      <c r="U12" s="1">
        <v>0.52100000000000002</v>
      </c>
      <c r="V12" s="1">
        <v>0.59299999999999997</v>
      </c>
      <c r="W12" s="1">
        <v>109.6</v>
      </c>
      <c r="X12" s="1">
        <v>155.1</v>
      </c>
      <c r="Y12" s="1">
        <v>129.25</v>
      </c>
      <c r="Z12" s="1">
        <v>1155</v>
      </c>
      <c r="AA12" s="1">
        <v>0.497</v>
      </c>
      <c r="AB12" s="1">
        <v>2</v>
      </c>
      <c r="AC12" s="1">
        <v>2</v>
      </c>
      <c r="AD12" s="1">
        <v>3</v>
      </c>
      <c r="AE12" s="1">
        <v>3</v>
      </c>
      <c r="AF12" s="1">
        <v>1</v>
      </c>
      <c r="AG12" s="1">
        <v>6</v>
      </c>
      <c r="AH12" s="1">
        <v>24</v>
      </c>
      <c r="AI12" s="1">
        <v>14</v>
      </c>
      <c r="AJ12" s="1">
        <v>20</v>
      </c>
      <c r="AK12" s="1">
        <v>27</v>
      </c>
      <c r="AL12" s="1">
        <v>11</v>
      </c>
      <c r="AM12" s="1">
        <v>22</v>
      </c>
      <c r="AN12" s="1">
        <v>14</v>
      </c>
      <c r="AO12" s="1">
        <v>19</v>
      </c>
      <c r="AP12" s="1">
        <v>26</v>
      </c>
      <c r="AQ12" s="1">
        <v>20</v>
      </c>
      <c r="AR12" s="1">
        <v>2</v>
      </c>
      <c r="AS12" s="1">
        <v>16</v>
      </c>
      <c r="AT12" s="1">
        <v>17</v>
      </c>
      <c r="AU12" s="1">
        <v>10</v>
      </c>
      <c r="AV12" s="1" t="s">
        <v>128</v>
      </c>
    </row>
    <row r="13" spans="1:48">
      <c r="A13" s="1">
        <v>1610612754</v>
      </c>
      <c r="B13" s="1" t="s">
        <v>130</v>
      </c>
      <c r="C13" s="1">
        <v>11</v>
      </c>
      <c r="D13" s="1">
        <v>7</v>
      </c>
      <c r="E13" s="1">
        <v>4</v>
      </c>
      <c r="F13" s="1">
        <v>0.63600000000000001</v>
      </c>
      <c r="G13" s="1">
        <v>340</v>
      </c>
      <c r="H13" s="1">
        <v>110.1</v>
      </c>
      <c r="I13" s="1">
        <v>75.900000000000006</v>
      </c>
      <c r="J13" s="1">
        <v>102.4</v>
      </c>
      <c r="K13" s="1">
        <v>70.2</v>
      </c>
      <c r="L13" s="1">
        <v>7.6</v>
      </c>
      <c r="M13" s="1">
        <v>5.8</v>
      </c>
      <c r="N13" s="1">
        <v>0.58299999999999996</v>
      </c>
      <c r="O13" s="1">
        <v>1.97</v>
      </c>
      <c r="P13" s="1">
        <v>13.6</v>
      </c>
      <c r="Q13" s="1">
        <v>0.26300000000000001</v>
      </c>
      <c r="R13" s="1">
        <v>0.755</v>
      </c>
      <c r="S13" s="1">
        <v>0.51400000000000001</v>
      </c>
      <c r="T13" s="1">
        <v>8.8999999999999996E-2</v>
      </c>
      <c r="U13" s="1">
        <v>0.53200000000000003</v>
      </c>
      <c r="V13" s="1">
        <v>0.58099999999999996</v>
      </c>
      <c r="W13" s="1">
        <v>100.4</v>
      </c>
      <c r="X13" s="1">
        <v>146.03</v>
      </c>
      <c r="Y13" s="1">
        <v>121.69</v>
      </c>
      <c r="Z13" s="1">
        <v>1034</v>
      </c>
      <c r="AA13" s="1">
        <v>0.55200000000000005</v>
      </c>
      <c r="AB13" s="1">
        <v>2</v>
      </c>
      <c r="AC13" s="1">
        <v>5</v>
      </c>
      <c r="AD13" s="1">
        <v>9</v>
      </c>
      <c r="AE13" s="1">
        <v>9</v>
      </c>
      <c r="AF13" s="1">
        <v>6</v>
      </c>
      <c r="AG13" s="1">
        <v>5</v>
      </c>
      <c r="AH13" s="1">
        <v>16</v>
      </c>
      <c r="AI13" s="1">
        <v>5</v>
      </c>
      <c r="AJ13" s="1">
        <v>16</v>
      </c>
      <c r="AK13" s="1">
        <v>4</v>
      </c>
      <c r="AL13" s="1">
        <v>10</v>
      </c>
      <c r="AM13" s="1">
        <v>15</v>
      </c>
      <c r="AN13" s="1">
        <v>8</v>
      </c>
      <c r="AO13" s="1">
        <v>7</v>
      </c>
      <c r="AP13" s="1">
        <v>7</v>
      </c>
      <c r="AQ13" s="1">
        <v>10</v>
      </c>
      <c r="AR13" s="1">
        <v>6</v>
      </c>
      <c r="AS13" s="1">
        <v>28</v>
      </c>
      <c r="AT13" s="1">
        <v>6</v>
      </c>
      <c r="AU13" s="1">
        <v>10</v>
      </c>
      <c r="AV13" s="1" t="s">
        <v>130</v>
      </c>
    </row>
    <row r="14" spans="1:48">
      <c r="A14" s="1">
        <v>1610612746</v>
      </c>
      <c r="B14" s="1" t="s">
        <v>132</v>
      </c>
      <c r="C14" s="1">
        <v>11</v>
      </c>
      <c r="D14" s="1">
        <v>7</v>
      </c>
      <c r="E14" s="1">
        <v>4</v>
      </c>
      <c r="F14" s="1">
        <v>0.63600000000000001</v>
      </c>
      <c r="G14" s="1">
        <v>284</v>
      </c>
      <c r="H14" s="1">
        <v>105.3</v>
      </c>
      <c r="I14" s="1">
        <v>61.2</v>
      </c>
      <c r="J14" s="1">
        <v>101</v>
      </c>
      <c r="K14" s="1">
        <v>57.9</v>
      </c>
      <c r="L14" s="1">
        <v>4.3</v>
      </c>
      <c r="M14" s="1">
        <v>3.2</v>
      </c>
      <c r="N14" s="1">
        <v>0.53600000000000003</v>
      </c>
      <c r="O14" s="1">
        <v>1.42</v>
      </c>
      <c r="P14" s="1">
        <v>10.5</v>
      </c>
      <c r="Q14" s="1">
        <v>0.29399999999999998</v>
      </c>
      <c r="R14" s="1">
        <v>0.76700000000000002</v>
      </c>
      <c r="S14" s="1">
        <v>0.52600000000000002</v>
      </c>
      <c r="T14" s="1">
        <v>8.4000000000000005E-2</v>
      </c>
      <c r="U14" s="1">
        <v>0.501</v>
      </c>
      <c r="V14" s="1">
        <v>0.53600000000000003</v>
      </c>
      <c r="W14" s="1">
        <v>104.4</v>
      </c>
      <c r="X14" s="1">
        <v>180.82</v>
      </c>
      <c r="Y14" s="1">
        <v>150.69</v>
      </c>
      <c r="Z14" s="1">
        <v>1069</v>
      </c>
      <c r="AA14" s="1">
        <v>0.53100000000000003</v>
      </c>
      <c r="AB14" s="1">
        <v>2</v>
      </c>
      <c r="AC14" s="1">
        <v>5</v>
      </c>
      <c r="AD14" s="1">
        <v>9</v>
      </c>
      <c r="AE14" s="1">
        <v>9</v>
      </c>
      <c r="AF14" s="1">
        <v>25</v>
      </c>
      <c r="AG14" s="1">
        <v>30</v>
      </c>
      <c r="AH14" s="1">
        <v>1</v>
      </c>
      <c r="AI14" s="1">
        <v>9</v>
      </c>
      <c r="AJ14" s="1">
        <v>29</v>
      </c>
      <c r="AK14" s="1">
        <v>22</v>
      </c>
      <c r="AL14" s="1">
        <v>28</v>
      </c>
      <c r="AM14" s="1">
        <v>5</v>
      </c>
      <c r="AN14" s="1">
        <v>6</v>
      </c>
      <c r="AO14" s="1">
        <v>2</v>
      </c>
      <c r="AP14" s="1">
        <v>5</v>
      </c>
      <c r="AQ14" s="1">
        <v>28</v>
      </c>
      <c r="AR14" s="1">
        <v>28</v>
      </c>
      <c r="AS14" s="1">
        <v>1</v>
      </c>
      <c r="AT14" s="1">
        <v>11</v>
      </c>
      <c r="AU14" s="1">
        <v>10</v>
      </c>
      <c r="AV14" s="1" t="s">
        <v>132</v>
      </c>
    </row>
    <row r="15" spans="1:48">
      <c r="A15" s="1">
        <v>1610612747</v>
      </c>
      <c r="B15" s="1" t="s">
        <v>135</v>
      </c>
      <c r="C15" s="1">
        <v>10</v>
      </c>
      <c r="D15" s="1">
        <v>8</v>
      </c>
      <c r="E15" s="1">
        <v>2</v>
      </c>
      <c r="F15" s="1">
        <v>0.8</v>
      </c>
      <c r="G15" s="1">
        <v>280</v>
      </c>
      <c r="H15" s="1">
        <v>105.9</v>
      </c>
      <c r="I15" s="1">
        <v>64.599999999999994</v>
      </c>
      <c r="J15" s="1">
        <v>96.9</v>
      </c>
      <c r="K15" s="1">
        <v>59.3</v>
      </c>
      <c r="L15" s="1">
        <v>9</v>
      </c>
      <c r="M15" s="1">
        <v>5.3</v>
      </c>
      <c r="N15" s="1">
        <v>0.626</v>
      </c>
      <c r="O15" s="1">
        <v>1.77</v>
      </c>
      <c r="P15" s="1">
        <v>14.4</v>
      </c>
      <c r="Q15" s="1">
        <v>0.26300000000000001</v>
      </c>
      <c r="R15" s="1">
        <v>0.75600000000000001</v>
      </c>
      <c r="S15" s="1">
        <v>0.51300000000000001</v>
      </c>
      <c r="T15" s="1">
        <v>8.8999999999999996E-2</v>
      </c>
      <c r="U15" s="1">
        <v>0.52900000000000003</v>
      </c>
      <c r="V15" s="1">
        <v>0.57299999999999995</v>
      </c>
      <c r="W15" s="1">
        <v>103.7</v>
      </c>
      <c r="X15" s="1">
        <v>169.66</v>
      </c>
      <c r="Y15" s="1">
        <v>141.38</v>
      </c>
      <c r="Z15" s="1">
        <v>992</v>
      </c>
      <c r="AA15" s="1">
        <v>0.56000000000000005</v>
      </c>
      <c r="AB15" s="1">
        <v>17</v>
      </c>
      <c r="AC15" s="1">
        <v>2</v>
      </c>
      <c r="AD15" s="1">
        <v>2</v>
      </c>
      <c r="AE15" s="1">
        <v>2</v>
      </c>
      <c r="AF15" s="1">
        <v>27</v>
      </c>
      <c r="AG15" s="1">
        <v>27</v>
      </c>
      <c r="AH15" s="1">
        <v>2</v>
      </c>
      <c r="AI15" s="1">
        <v>7</v>
      </c>
      <c r="AJ15" s="1">
        <v>9</v>
      </c>
      <c r="AK15" s="1">
        <v>9</v>
      </c>
      <c r="AL15" s="1">
        <v>6</v>
      </c>
      <c r="AM15" s="1">
        <v>17</v>
      </c>
      <c r="AN15" s="1">
        <v>7</v>
      </c>
      <c r="AO15" s="1">
        <v>8</v>
      </c>
      <c r="AP15" s="1">
        <v>8</v>
      </c>
      <c r="AQ15" s="1">
        <v>13</v>
      </c>
      <c r="AR15" s="1">
        <v>11</v>
      </c>
      <c r="AS15" s="1">
        <v>4</v>
      </c>
      <c r="AT15" s="1">
        <v>5</v>
      </c>
      <c r="AU15" s="1">
        <v>10</v>
      </c>
      <c r="AV15" s="1" t="s">
        <v>135</v>
      </c>
    </row>
    <row r="16" spans="1:48">
      <c r="A16" s="1">
        <v>1610612763</v>
      </c>
      <c r="B16" s="1" t="s">
        <v>138</v>
      </c>
      <c r="C16" s="1">
        <v>11</v>
      </c>
      <c r="D16" s="1">
        <v>4</v>
      </c>
      <c r="E16" s="1">
        <v>7</v>
      </c>
      <c r="F16" s="1">
        <v>0.36399999999999999</v>
      </c>
      <c r="G16" s="1">
        <v>294</v>
      </c>
      <c r="H16" s="1">
        <v>103.5</v>
      </c>
      <c r="I16" s="1">
        <v>65</v>
      </c>
      <c r="J16" s="1">
        <v>108.2</v>
      </c>
      <c r="K16" s="1">
        <v>68.5</v>
      </c>
      <c r="L16" s="1">
        <v>-4.5999999999999996</v>
      </c>
      <c r="M16" s="1">
        <v>-3.5</v>
      </c>
      <c r="N16" s="1">
        <v>0.627</v>
      </c>
      <c r="O16" s="1">
        <v>1.52</v>
      </c>
      <c r="P16" s="1">
        <v>12</v>
      </c>
      <c r="Q16" s="1">
        <v>0.28399999999999997</v>
      </c>
      <c r="R16" s="1">
        <v>0.73199999999999998</v>
      </c>
      <c r="S16" s="1">
        <v>0.51100000000000001</v>
      </c>
      <c r="T16" s="1">
        <v>0.104</v>
      </c>
      <c r="U16" s="1">
        <v>0.52300000000000002</v>
      </c>
      <c r="V16" s="1">
        <v>0.55100000000000005</v>
      </c>
      <c r="W16" s="1">
        <v>106.7</v>
      </c>
      <c r="X16" s="1">
        <v>169.21</v>
      </c>
      <c r="Y16" s="1">
        <v>141.01</v>
      </c>
      <c r="Z16" s="1">
        <v>1033</v>
      </c>
      <c r="AA16" s="1">
        <v>0.48</v>
      </c>
      <c r="AB16" s="1">
        <v>2</v>
      </c>
      <c r="AC16" s="1">
        <v>16</v>
      </c>
      <c r="AD16" s="1">
        <v>20</v>
      </c>
      <c r="AE16" s="1">
        <v>20</v>
      </c>
      <c r="AF16" s="1">
        <v>22</v>
      </c>
      <c r="AG16" s="1">
        <v>25</v>
      </c>
      <c r="AH16" s="1">
        <v>11</v>
      </c>
      <c r="AI16" s="1">
        <v>23</v>
      </c>
      <c r="AJ16" s="1">
        <v>8</v>
      </c>
      <c r="AK16" s="1">
        <v>14</v>
      </c>
      <c r="AL16" s="1">
        <v>18</v>
      </c>
      <c r="AM16" s="1">
        <v>6</v>
      </c>
      <c r="AN16" s="1">
        <v>20</v>
      </c>
      <c r="AO16" s="1">
        <v>9</v>
      </c>
      <c r="AP16" s="1">
        <v>19</v>
      </c>
      <c r="AQ16" s="1">
        <v>18</v>
      </c>
      <c r="AR16" s="1">
        <v>21</v>
      </c>
      <c r="AS16" s="1">
        <v>5</v>
      </c>
      <c r="AT16" s="1">
        <v>19</v>
      </c>
      <c r="AU16" s="1">
        <v>10</v>
      </c>
      <c r="AV16" s="1" t="s">
        <v>138</v>
      </c>
    </row>
    <row r="17" spans="1:48">
      <c r="A17" s="1">
        <v>1610612748</v>
      </c>
      <c r="B17" s="1" t="s">
        <v>141</v>
      </c>
      <c r="C17" s="1">
        <v>10</v>
      </c>
      <c r="D17" s="1">
        <v>7</v>
      </c>
      <c r="E17" s="1">
        <v>3</v>
      </c>
      <c r="F17" s="1">
        <v>0.7</v>
      </c>
      <c r="G17" s="1">
        <v>292</v>
      </c>
      <c r="H17" s="1">
        <v>102.8</v>
      </c>
      <c r="I17" s="1">
        <v>62.8</v>
      </c>
      <c r="J17" s="1">
        <v>97.2</v>
      </c>
      <c r="K17" s="1">
        <v>59.9</v>
      </c>
      <c r="L17" s="1">
        <v>5.6</v>
      </c>
      <c r="M17" s="1">
        <v>2.9</v>
      </c>
      <c r="N17" s="1">
        <v>0.66700000000000004</v>
      </c>
      <c r="O17" s="1">
        <v>1.42</v>
      </c>
      <c r="P17" s="1">
        <v>12.1</v>
      </c>
      <c r="Q17" s="1">
        <v>0.26</v>
      </c>
      <c r="R17" s="1">
        <v>0.754</v>
      </c>
      <c r="S17" s="1">
        <v>0.51500000000000001</v>
      </c>
      <c r="T17" s="1">
        <v>0.106</v>
      </c>
      <c r="U17" s="1">
        <v>0.53100000000000003</v>
      </c>
      <c r="V17" s="1">
        <v>0.56399999999999995</v>
      </c>
      <c r="W17" s="1">
        <v>104.9</v>
      </c>
      <c r="X17" s="1">
        <v>171.08</v>
      </c>
      <c r="Y17" s="1">
        <v>142.57</v>
      </c>
      <c r="Z17" s="1">
        <v>1044</v>
      </c>
      <c r="AA17" s="1">
        <v>0.54100000000000004</v>
      </c>
      <c r="AB17" s="1">
        <v>17</v>
      </c>
      <c r="AC17" s="1">
        <v>5</v>
      </c>
      <c r="AD17" s="1">
        <v>3</v>
      </c>
      <c r="AE17" s="1">
        <v>5</v>
      </c>
      <c r="AF17" s="1">
        <v>23</v>
      </c>
      <c r="AG17" s="1">
        <v>28</v>
      </c>
      <c r="AH17" s="1">
        <v>3</v>
      </c>
      <c r="AI17" s="1">
        <v>10</v>
      </c>
      <c r="AJ17" s="1">
        <v>2</v>
      </c>
      <c r="AK17" s="1">
        <v>21</v>
      </c>
      <c r="AL17" s="1">
        <v>17</v>
      </c>
      <c r="AM17" s="1">
        <v>19</v>
      </c>
      <c r="AN17" s="1">
        <v>9</v>
      </c>
      <c r="AO17" s="1">
        <v>5</v>
      </c>
      <c r="AP17" s="1">
        <v>20</v>
      </c>
      <c r="AQ17" s="1">
        <v>11</v>
      </c>
      <c r="AR17" s="1">
        <v>15</v>
      </c>
      <c r="AS17" s="1">
        <v>3</v>
      </c>
      <c r="AT17" s="1">
        <v>10</v>
      </c>
      <c r="AU17" s="1">
        <v>10</v>
      </c>
      <c r="AV17" s="1" t="s">
        <v>141</v>
      </c>
    </row>
    <row r="18" spans="1:48">
      <c r="A18" s="1">
        <v>1610612749</v>
      </c>
      <c r="B18" s="1" t="s">
        <v>142</v>
      </c>
      <c r="C18" s="1">
        <v>10</v>
      </c>
      <c r="D18" s="1">
        <v>7</v>
      </c>
      <c r="E18" s="1">
        <v>3</v>
      </c>
      <c r="F18" s="1">
        <v>0.7</v>
      </c>
      <c r="G18" s="1">
        <v>284</v>
      </c>
      <c r="H18" s="1">
        <v>111.3</v>
      </c>
      <c r="I18" s="1">
        <v>72.900000000000006</v>
      </c>
      <c r="J18" s="1">
        <v>100.4</v>
      </c>
      <c r="K18" s="1">
        <v>66</v>
      </c>
      <c r="L18" s="1">
        <v>10.9</v>
      </c>
      <c r="M18" s="1">
        <v>6.9</v>
      </c>
      <c r="N18" s="1">
        <v>0.56699999999999995</v>
      </c>
      <c r="O18" s="1">
        <v>1.86</v>
      </c>
      <c r="P18" s="1">
        <v>14.2</v>
      </c>
      <c r="Q18" s="1">
        <v>0.183</v>
      </c>
      <c r="R18" s="1">
        <v>0.79300000000000004</v>
      </c>
      <c r="S18" s="1">
        <v>0.505</v>
      </c>
      <c r="T18" s="1">
        <v>8.1000000000000003E-2</v>
      </c>
      <c r="U18" s="1">
        <v>0.56000000000000005</v>
      </c>
      <c r="V18" s="1">
        <v>0.59</v>
      </c>
      <c r="W18" s="1">
        <v>109.4</v>
      </c>
      <c r="X18" s="1">
        <v>166.64</v>
      </c>
      <c r="Y18" s="1">
        <v>138.87</v>
      </c>
      <c r="Z18" s="1">
        <v>983</v>
      </c>
      <c r="AA18" s="1">
        <v>0.56699999999999995</v>
      </c>
      <c r="AB18" s="1">
        <v>17</v>
      </c>
      <c r="AC18" s="1">
        <v>5</v>
      </c>
      <c r="AD18" s="1">
        <v>3</v>
      </c>
      <c r="AE18" s="1">
        <v>5</v>
      </c>
      <c r="AF18" s="1">
        <v>26</v>
      </c>
      <c r="AG18" s="1">
        <v>12</v>
      </c>
      <c r="AH18" s="1">
        <v>4</v>
      </c>
      <c r="AI18" s="1">
        <v>4</v>
      </c>
      <c r="AJ18" s="1">
        <v>22</v>
      </c>
      <c r="AK18" s="1">
        <v>6</v>
      </c>
      <c r="AL18" s="1">
        <v>8</v>
      </c>
      <c r="AM18" s="1">
        <v>30</v>
      </c>
      <c r="AN18" s="1">
        <v>1</v>
      </c>
      <c r="AO18" s="1">
        <v>14</v>
      </c>
      <c r="AP18" s="1">
        <v>3</v>
      </c>
      <c r="AQ18" s="1">
        <v>2</v>
      </c>
      <c r="AR18" s="1">
        <v>3</v>
      </c>
      <c r="AS18" s="1">
        <v>8</v>
      </c>
      <c r="AT18" s="1">
        <v>3</v>
      </c>
      <c r="AU18" s="1">
        <v>10</v>
      </c>
      <c r="AV18" s="1" t="s">
        <v>142</v>
      </c>
    </row>
    <row r="19" spans="1:48">
      <c r="A19" s="1">
        <v>1610612750</v>
      </c>
      <c r="B19" s="1" t="s">
        <v>145</v>
      </c>
      <c r="C19" s="1">
        <v>11</v>
      </c>
      <c r="D19" s="1">
        <v>7</v>
      </c>
      <c r="E19" s="1">
        <v>4</v>
      </c>
      <c r="F19" s="1">
        <v>0.63600000000000001</v>
      </c>
      <c r="G19" s="1">
        <v>314</v>
      </c>
      <c r="H19" s="1">
        <v>108.2</v>
      </c>
      <c r="I19" s="1">
        <v>68</v>
      </c>
      <c r="J19" s="1">
        <v>107.4</v>
      </c>
      <c r="K19" s="1">
        <v>67.599999999999994</v>
      </c>
      <c r="L19" s="1">
        <v>0.7</v>
      </c>
      <c r="M19" s="1">
        <v>0.3</v>
      </c>
      <c r="N19" s="1">
        <v>0.56699999999999995</v>
      </c>
      <c r="O19" s="1">
        <v>1.68</v>
      </c>
      <c r="P19" s="1">
        <v>11.4</v>
      </c>
      <c r="Q19" s="1">
        <v>0.28100000000000003</v>
      </c>
      <c r="R19" s="1">
        <v>0.73</v>
      </c>
      <c r="S19" s="1">
        <v>0.5</v>
      </c>
      <c r="T19" s="1">
        <v>8.3000000000000004E-2</v>
      </c>
      <c r="U19" s="1">
        <v>0.51300000000000001</v>
      </c>
      <c r="V19" s="1">
        <v>0.56599999999999995</v>
      </c>
      <c r="W19" s="1">
        <v>107.8</v>
      </c>
      <c r="X19" s="1">
        <v>171.36</v>
      </c>
      <c r="Y19" s="1">
        <v>142.80000000000001</v>
      </c>
      <c r="Z19" s="1">
        <v>1122</v>
      </c>
      <c r="AA19" s="1">
        <v>0.51300000000000001</v>
      </c>
      <c r="AB19" s="1">
        <v>2</v>
      </c>
      <c r="AC19" s="1">
        <v>5</v>
      </c>
      <c r="AD19" s="1">
        <v>9</v>
      </c>
      <c r="AE19" s="1">
        <v>9</v>
      </c>
      <c r="AF19" s="1">
        <v>12</v>
      </c>
      <c r="AG19" s="1">
        <v>20</v>
      </c>
      <c r="AH19" s="1">
        <v>7</v>
      </c>
      <c r="AI19" s="1">
        <v>16</v>
      </c>
      <c r="AJ19" s="1">
        <v>21</v>
      </c>
      <c r="AK19" s="1">
        <v>10</v>
      </c>
      <c r="AL19" s="1">
        <v>21</v>
      </c>
      <c r="AM19" s="1">
        <v>9</v>
      </c>
      <c r="AN19" s="1">
        <v>22</v>
      </c>
      <c r="AO19" s="1">
        <v>16</v>
      </c>
      <c r="AP19" s="1">
        <v>4</v>
      </c>
      <c r="AQ19" s="1">
        <v>21</v>
      </c>
      <c r="AR19" s="1">
        <v>14</v>
      </c>
      <c r="AS19" s="1">
        <v>2</v>
      </c>
      <c r="AT19" s="1">
        <v>14</v>
      </c>
      <c r="AU19" s="1">
        <v>10</v>
      </c>
      <c r="AV19" s="1" t="s">
        <v>145</v>
      </c>
    </row>
    <row r="20" spans="1:48">
      <c r="A20" s="1">
        <v>1610612740</v>
      </c>
      <c r="B20" s="1" t="s">
        <v>146</v>
      </c>
      <c r="C20" s="1">
        <v>10</v>
      </c>
      <c r="D20" s="1">
        <v>2</v>
      </c>
      <c r="E20" s="1">
        <v>8</v>
      </c>
      <c r="F20" s="1">
        <v>0.2</v>
      </c>
      <c r="G20" s="1">
        <v>286</v>
      </c>
      <c r="H20" s="1">
        <v>105.1</v>
      </c>
      <c r="I20" s="1">
        <v>71.099999999999994</v>
      </c>
      <c r="J20" s="1">
        <v>110.3</v>
      </c>
      <c r="K20" s="1">
        <v>75.599999999999994</v>
      </c>
      <c r="L20" s="1">
        <v>-5.2</v>
      </c>
      <c r="M20" s="1">
        <v>-4.5</v>
      </c>
      <c r="N20" s="1">
        <v>0.64100000000000001</v>
      </c>
      <c r="O20" s="1">
        <v>1.47</v>
      </c>
      <c r="P20" s="1">
        <v>14.8</v>
      </c>
      <c r="Q20" s="1">
        <v>0.251</v>
      </c>
      <c r="R20" s="1">
        <v>0.73199999999999998</v>
      </c>
      <c r="S20" s="1">
        <v>0.49</v>
      </c>
      <c r="T20" s="1">
        <v>0.115</v>
      </c>
      <c r="U20" s="1">
        <v>0.54600000000000004</v>
      </c>
      <c r="V20" s="1">
        <v>0.57399999999999995</v>
      </c>
      <c r="W20" s="1">
        <v>110.9</v>
      </c>
      <c r="X20" s="1">
        <v>162.80000000000001</v>
      </c>
      <c r="Y20" s="1">
        <v>135.66999999999999</v>
      </c>
      <c r="Z20" s="1">
        <v>972</v>
      </c>
      <c r="AA20" s="1">
        <v>0.47199999999999998</v>
      </c>
      <c r="AB20" s="1">
        <v>17</v>
      </c>
      <c r="AC20" s="1">
        <v>27</v>
      </c>
      <c r="AD20" s="1">
        <v>27</v>
      </c>
      <c r="AE20" s="1">
        <v>28</v>
      </c>
      <c r="AF20" s="1">
        <v>24</v>
      </c>
      <c r="AG20" s="1">
        <v>14</v>
      </c>
      <c r="AH20" s="1">
        <v>27</v>
      </c>
      <c r="AI20" s="1">
        <v>26</v>
      </c>
      <c r="AJ20" s="1">
        <v>4</v>
      </c>
      <c r="AK20" s="1">
        <v>17</v>
      </c>
      <c r="AL20" s="1">
        <v>4</v>
      </c>
      <c r="AM20" s="1">
        <v>24</v>
      </c>
      <c r="AN20" s="1">
        <v>19</v>
      </c>
      <c r="AO20" s="1">
        <v>25</v>
      </c>
      <c r="AP20" s="1">
        <v>29</v>
      </c>
      <c r="AQ20" s="1">
        <v>5</v>
      </c>
      <c r="AR20" s="1">
        <v>9</v>
      </c>
      <c r="AS20" s="1">
        <v>9</v>
      </c>
      <c r="AT20" s="1">
        <v>22</v>
      </c>
      <c r="AU20" s="1">
        <v>10</v>
      </c>
      <c r="AV20" s="1" t="s">
        <v>146</v>
      </c>
    </row>
    <row r="21" spans="1:48">
      <c r="A21" s="1">
        <v>1610612752</v>
      </c>
      <c r="B21" s="1" t="s">
        <v>149</v>
      </c>
      <c r="C21" s="1">
        <v>11</v>
      </c>
      <c r="D21" s="1">
        <v>2</v>
      </c>
      <c r="E21" s="1">
        <v>9</v>
      </c>
      <c r="F21" s="1">
        <v>0.182</v>
      </c>
      <c r="G21" s="1">
        <v>329</v>
      </c>
      <c r="H21" s="1">
        <v>98.1</v>
      </c>
      <c r="I21" s="1">
        <v>64.8</v>
      </c>
      <c r="J21" s="1">
        <v>111.2</v>
      </c>
      <c r="K21" s="1">
        <v>73.3</v>
      </c>
      <c r="L21" s="1">
        <v>-13.1</v>
      </c>
      <c r="M21" s="1">
        <v>-8.5</v>
      </c>
      <c r="N21" s="1">
        <v>0.55100000000000005</v>
      </c>
      <c r="O21" s="1">
        <v>1.2</v>
      </c>
      <c r="P21" s="1">
        <v>10.7</v>
      </c>
      <c r="Q21" s="1">
        <v>0.29699999999999999</v>
      </c>
      <c r="R21" s="1">
        <v>0.753</v>
      </c>
      <c r="S21" s="1">
        <v>0.50700000000000001</v>
      </c>
      <c r="T21" s="1">
        <v>0.109</v>
      </c>
      <c r="U21" s="1">
        <v>0.47699999999999998</v>
      </c>
      <c r="V21" s="1">
        <v>0.51</v>
      </c>
      <c r="W21" s="1">
        <v>101.3</v>
      </c>
      <c r="X21" s="1">
        <v>153.53</v>
      </c>
      <c r="Y21" s="1">
        <v>127.94</v>
      </c>
      <c r="Z21" s="1">
        <v>1053</v>
      </c>
      <c r="AA21" s="1">
        <v>0.41299999999999998</v>
      </c>
      <c r="AB21" s="1">
        <v>2</v>
      </c>
      <c r="AC21" s="1">
        <v>27</v>
      </c>
      <c r="AD21" s="1">
        <v>29</v>
      </c>
      <c r="AE21" s="1">
        <v>29</v>
      </c>
      <c r="AF21" s="1">
        <v>8</v>
      </c>
      <c r="AG21" s="1">
        <v>26</v>
      </c>
      <c r="AH21" s="1">
        <v>22</v>
      </c>
      <c r="AI21" s="1">
        <v>30</v>
      </c>
      <c r="AJ21" s="1">
        <v>26</v>
      </c>
      <c r="AK21" s="1">
        <v>29</v>
      </c>
      <c r="AL21" s="1">
        <v>27</v>
      </c>
      <c r="AM21" s="1">
        <v>3</v>
      </c>
      <c r="AN21" s="1">
        <v>10</v>
      </c>
      <c r="AO21" s="1">
        <v>11</v>
      </c>
      <c r="AP21" s="1">
        <v>22</v>
      </c>
      <c r="AQ21" s="1">
        <v>30</v>
      </c>
      <c r="AR21" s="1">
        <v>30</v>
      </c>
      <c r="AS21" s="1">
        <v>18</v>
      </c>
      <c r="AT21" s="1">
        <v>30</v>
      </c>
      <c r="AU21" s="1">
        <v>10</v>
      </c>
      <c r="AV21" s="1" t="s">
        <v>149</v>
      </c>
    </row>
    <row r="22" spans="1:48">
      <c r="A22" s="1">
        <v>1610612760</v>
      </c>
      <c r="B22" s="1" t="s">
        <v>152</v>
      </c>
      <c r="C22" s="1">
        <v>11</v>
      </c>
      <c r="D22" s="1">
        <v>4</v>
      </c>
      <c r="E22" s="1">
        <v>7</v>
      </c>
      <c r="F22" s="1">
        <v>0.36399999999999999</v>
      </c>
      <c r="G22" s="1">
        <v>311</v>
      </c>
      <c r="H22" s="1">
        <v>107.1</v>
      </c>
      <c r="I22" s="1">
        <v>68.400000000000006</v>
      </c>
      <c r="J22" s="1">
        <v>106.2</v>
      </c>
      <c r="K22" s="1">
        <v>68.2</v>
      </c>
      <c r="L22" s="1">
        <v>0.9</v>
      </c>
      <c r="M22" s="1">
        <v>0.3</v>
      </c>
      <c r="N22" s="1">
        <v>0.56599999999999995</v>
      </c>
      <c r="O22" s="1">
        <v>1.53</v>
      </c>
      <c r="P22" s="1">
        <v>11.4</v>
      </c>
      <c r="Q22" s="1">
        <v>0.216</v>
      </c>
      <c r="R22" s="1">
        <v>0.74099999999999999</v>
      </c>
      <c r="S22" s="1">
        <v>0.48199999999999998</v>
      </c>
      <c r="T22" s="1">
        <v>9.0999999999999998E-2</v>
      </c>
      <c r="U22" s="1">
        <v>0.53100000000000003</v>
      </c>
      <c r="V22" s="1">
        <v>0.57599999999999996</v>
      </c>
      <c r="W22" s="1">
        <v>102.4</v>
      </c>
      <c r="X22" s="1">
        <v>159.97</v>
      </c>
      <c r="Y22" s="1">
        <v>133.31</v>
      </c>
      <c r="Z22" s="1">
        <v>1035</v>
      </c>
      <c r="AA22" s="1">
        <v>0.504</v>
      </c>
      <c r="AB22" s="1">
        <v>2</v>
      </c>
      <c r="AC22" s="1">
        <v>16</v>
      </c>
      <c r="AD22" s="1">
        <v>20</v>
      </c>
      <c r="AE22" s="1">
        <v>20</v>
      </c>
      <c r="AF22" s="1">
        <v>15</v>
      </c>
      <c r="AG22" s="1">
        <v>19</v>
      </c>
      <c r="AH22" s="1">
        <v>9</v>
      </c>
      <c r="AI22" s="1">
        <v>17</v>
      </c>
      <c r="AJ22" s="1">
        <v>23</v>
      </c>
      <c r="AK22" s="1">
        <v>12</v>
      </c>
      <c r="AL22" s="1">
        <v>20</v>
      </c>
      <c r="AM22" s="1">
        <v>28</v>
      </c>
      <c r="AN22" s="1">
        <v>16</v>
      </c>
      <c r="AO22" s="1">
        <v>27</v>
      </c>
      <c r="AP22" s="1">
        <v>9</v>
      </c>
      <c r="AQ22" s="1">
        <v>12</v>
      </c>
      <c r="AR22" s="1">
        <v>8</v>
      </c>
      <c r="AS22" s="1">
        <v>12</v>
      </c>
      <c r="AT22" s="1">
        <v>15</v>
      </c>
      <c r="AU22" s="1">
        <v>10</v>
      </c>
      <c r="AV22" s="1" t="s">
        <v>152</v>
      </c>
    </row>
    <row r="23" spans="1:48">
      <c r="A23" s="1">
        <v>1610612753</v>
      </c>
      <c r="B23" s="1" t="s">
        <v>154</v>
      </c>
      <c r="C23" s="1">
        <v>11</v>
      </c>
      <c r="D23" s="1">
        <v>4</v>
      </c>
      <c r="E23" s="1">
        <v>7</v>
      </c>
      <c r="F23" s="1">
        <v>0.36399999999999999</v>
      </c>
      <c r="G23" s="1">
        <v>322</v>
      </c>
      <c r="H23" s="1">
        <v>105.2</v>
      </c>
      <c r="I23" s="1">
        <v>69</v>
      </c>
      <c r="J23" s="1">
        <v>100.7</v>
      </c>
      <c r="K23" s="1">
        <v>67.5</v>
      </c>
      <c r="L23" s="1">
        <v>4.5</v>
      </c>
      <c r="M23" s="1">
        <v>1.5</v>
      </c>
      <c r="N23" s="1">
        <v>0.61299999999999999</v>
      </c>
      <c r="O23" s="1">
        <v>2.0299999999999998</v>
      </c>
      <c r="P23" s="1">
        <v>12.3</v>
      </c>
      <c r="Q23" s="1">
        <v>0.221</v>
      </c>
      <c r="R23" s="1">
        <v>0.77800000000000002</v>
      </c>
      <c r="S23" s="1">
        <v>0.499</v>
      </c>
      <c r="T23" s="1">
        <v>7.9000000000000001E-2</v>
      </c>
      <c r="U23" s="1">
        <v>0.504</v>
      </c>
      <c r="V23" s="1">
        <v>0.55200000000000005</v>
      </c>
      <c r="W23" s="1">
        <v>99.1</v>
      </c>
      <c r="X23" s="1">
        <v>149.38999999999999</v>
      </c>
      <c r="Y23" s="1">
        <v>124.49</v>
      </c>
      <c r="Z23" s="1">
        <v>1002</v>
      </c>
      <c r="AA23" s="1">
        <v>0.52600000000000002</v>
      </c>
      <c r="AB23" s="1">
        <v>2</v>
      </c>
      <c r="AC23" s="1">
        <v>16</v>
      </c>
      <c r="AD23" s="1">
        <v>20</v>
      </c>
      <c r="AE23" s="1">
        <v>20</v>
      </c>
      <c r="AF23" s="1">
        <v>11</v>
      </c>
      <c r="AG23" s="1">
        <v>18</v>
      </c>
      <c r="AH23" s="1">
        <v>6</v>
      </c>
      <c r="AI23" s="1">
        <v>15</v>
      </c>
      <c r="AJ23" s="1">
        <v>11</v>
      </c>
      <c r="AK23" s="1">
        <v>2</v>
      </c>
      <c r="AL23" s="1">
        <v>16</v>
      </c>
      <c r="AM23" s="1">
        <v>27</v>
      </c>
      <c r="AN23" s="1">
        <v>3</v>
      </c>
      <c r="AO23" s="1">
        <v>17</v>
      </c>
      <c r="AP23" s="1">
        <v>2</v>
      </c>
      <c r="AQ23" s="1">
        <v>27</v>
      </c>
      <c r="AR23" s="1">
        <v>20</v>
      </c>
      <c r="AS23" s="1">
        <v>26</v>
      </c>
      <c r="AT23" s="1">
        <v>12</v>
      </c>
      <c r="AU23" s="1">
        <v>10</v>
      </c>
      <c r="AV23" s="1" t="s">
        <v>154</v>
      </c>
    </row>
    <row r="24" spans="1:48">
      <c r="A24" s="1">
        <v>1610612755</v>
      </c>
      <c r="B24" s="1" t="s">
        <v>157</v>
      </c>
      <c r="C24" s="1">
        <v>11</v>
      </c>
      <c r="D24" s="1">
        <v>7</v>
      </c>
      <c r="E24" s="1">
        <v>4</v>
      </c>
      <c r="F24" s="1">
        <v>0.63600000000000001</v>
      </c>
      <c r="G24" s="1">
        <v>350</v>
      </c>
      <c r="H24" s="1">
        <v>102.8</v>
      </c>
      <c r="I24" s="1">
        <v>71</v>
      </c>
      <c r="J24" s="1">
        <v>100.3</v>
      </c>
      <c r="K24" s="1">
        <v>68.099999999999994</v>
      </c>
      <c r="L24" s="1">
        <v>2.5</v>
      </c>
      <c r="M24" s="1">
        <v>2.9</v>
      </c>
      <c r="N24" s="1">
        <v>0.629</v>
      </c>
      <c r="O24" s="1">
        <v>1.46</v>
      </c>
      <c r="P24" s="1">
        <v>15.2</v>
      </c>
      <c r="Q24" s="1">
        <v>0.28399999999999997</v>
      </c>
      <c r="R24" s="1">
        <v>0.78500000000000003</v>
      </c>
      <c r="S24" s="1">
        <v>0.53300000000000003</v>
      </c>
      <c r="T24" s="1">
        <v>0.11700000000000001</v>
      </c>
      <c r="U24" s="1">
        <v>0.52400000000000002</v>
      </c>
      <c r="V24" s="1">
        <v>0.53900000000000003</v>
      </c>
      <c r="W24" s="1">
        <v>104.4</v>
      </c>
      <c r="X24" s="1">
        <v>152.58000000000001</v>
      </c>
      <c r="Y24" s="1">
        <v>127.15</v>
      </c>
      <c r="Z24" s="1">
        <v>1114</v>
      </c>
      <c r="AA24" s="1">
        <v>0.54200000000000004</v>
      </c>
      <c r="AB24" s="1">
        <v>2</v>
      </c>
      <c r="AC24" s="1">
        <v>5</v>
      </c>
      <c r="AD24" s="1">
        <v>9</v>
      </c>
      <c r="AE24" s="1">
        <v>9</v>
      </c>
      <c r="AF24" s="1">
        <v>3</v>
      </c>
      <c r="AG24" s="1">
        <v>15</v>
      </c>
      <c r="AH24" s="1">
        <v>8</v>
      </c>
      <c r="AI24" s="1">
        <v>11</v>
      </c>
      <c r="AJ24" s="1">
        <v>7</v>
      </c>
      <c r="AK24" s="1">
        <v>19</v>
      </c>
      <c r="AL24" s="1">
        <v>3</v>
      </c>
      <c r="AM24" s="1">
        <v>7</v>
      </c>
      <c r="AN24" s="1">
        <v>2</v>
      </c>
      <c r="AO24" s="1">
        <v>1</v>
      </c>
      <c r="AP24" s="1">
        <v>30</v>
      </c>
      <c r="AQ24" s="1">
        <v>17</v>
      </c>
      <c r="AR24" s="1">
        <v>27</v>
      </c>
      <c r="AS24" s="1">
        <v>20</v>
      </c>
      <c r="AT24" s="1">
        <v>9</v>
      </c>
      <c r="AU24" s="1">
        <v>10</v>
      </c>
      <c r="AV24" s="1" t="s">
        <v>157</v>
      </c>
    </row>
    <row r="25" spans="1:48">
      <c r="A25" s="1">
        <v>1610612756</v>
      </c>
      <c r="B25" s="1" t="s">
        <v>159</v>
      </c>
      <c r="C25" s="1">
        <v>10</v>
      </c>
      <c r="D25" s="1">
        <v>6</v>
      </c>
      <c r="E25" s="1">
        <v>4</v>
      </c>
      <c r="F25" s="1">
        <v>0.6</v>
      </c>
      <c r="G25" s="1">
        <v>302</v>
      </c>
      <c r="H25" s="1">
        <v>113.2</v>
      </c>
      <c r="I25" s="1">
        <v>79.900000000000006</v>
      </c>
      <c r="J25" s="1">
        <v>102.7</v>
      </c>
      <c r="K25" s="1">
        <v>71.8</v>
      </c>
      <c r="L25" s="1">
        <v>10.6</v>
      </c>
      <c r="M25" s="1">
        <v>8.1</v>
      </c>
      <c r="N25" s="1">
        <v>0.68200000000000005</v>
      </c>
      <c r="O25" s="1">
        <v>1.98</v>
      </c>
      <c r="P25" s="1">
        <v>16.8</v>
      </c>
      <c r="Q25" s="1">
        <v>0.26300000000000001</v>
      </c>
      <c r="R25" s="1">
        <v>0.77200000000000002</v>
      </c>
      <c r="S25" s="1">
        <v>0.52300000000000002</v>
      </c>
      <c r="T25" s="1">
        <v>0.10100000000000001</v>
      </c>
      <c r="U25" s="1">
        <v>0.57199999999999995</v>
      </c>
      <c r="V25" s="1">
        <v>0.61199999999999999</v>
      </c>
      <c r="W25" s="1">
        <v>106.3</v>
      </c>
      <c r="X25" s="1">
        <v>151.36000000000001</v>
      </c>
      <c r="Y25" s="1">
        <v>126.13</v>
      </c>
      <c r="Z25" s="1">
        <v>952</v>
      </c>
      <c r="AA25" s="1">
        <v>0.57099999999999995</v>
      </c>
      <c r="AB25" s="1">
        <v>17</v>
      </c>
      <c r="AC25" s="1">
        <v>13</v>
      </c>
      <c r="AD25" s="1">
        <v>9</v>
      </c>
      <c r="AE25" s="1">
        <v>13</v>
      </c>
      <c r="AF25" s="1">
        <v>19</v>
      </c>
      <c r="AG25" s="1">
        <v>2</v>
      </c>
      <c r="AH25" s="1">
        <v>19</v>
      </c>
      <c r="AI25" s="1">
        <v>2</v>
      </c>
      <c r="AJ25" s="1">
        <v>1</v>
      </c>
      <c r="AK25" s="1">
        <v>3</v>
      </c>
      <c r="AL25" s="1">
        <v>1</v>
      </c>
      <c r="AM25" s="1">
        <v>16</v>
      </c>
      <c r="AN25" s="1">
        <v>5</v>
      </c>
      <c r="AO25" s="1">
        <v>3</v>
      </c>
      <c r="AP25" s="1">
        <v>18</v>
      </c>
      <c r="AQ25" s="1">
        <v>1</v>
      </c>
      <c r="AR25" s="1">
        <v>1</v>
      </c>
      <c r="AS25" s="1">
        <v>23</v>
      </c>
      <c r="AT25" s="1">
        <v>2</v>
      </c>
      <c r="AU25" s="1">
        <v>10</v>
      </c>
      <c r="AV25" s="1" t="s">
        <v>159</v>
      </c>
    </row>
    <row r="26" spans="1:48">
      <c r="A26" s="1">
        <v>1610612757</v>
      </c>
      <c r="B26" s="1" t="s">
        <v>161</v>
      </c>
      <c r="C26" s="1">
        <v>11</v>
      </c>
      <c r="D26" s="1">
        <v>4</v>
      </c>
      <c r="E26" s="1">
        <v>7</v>
      </c>
      <c r="F26" s="1">
        <v>0.36399999999999999</v>
      </c>
      <c r="G26" s="1">
        <v>350</v>
      </c>
      <c r="H26" s="1">
        <v>108.5</v>
      </c>
      <c r="I26" s="1">
        <v>74.2</v>
      </c>
      <c r="J26" s="1">
        <v>105.8</v>
      </c>
      <c r="K26" s="1">
        <v>71.8</v>
      </c>
      <c r="L26" s="1">
        <v>2.7</v>
      </c>
      <c r="M26" s="1">
        <v>2.4</v>
      </c>
      <c r="N26" s="1">
        <v>0.42599999999999999</v>
      </c>
      <c r="O26" s="1">
        <v>1.19</v>
      </c>
      <c r="P26" s="1">
        <v>10.3</v>
      </c>
      <c r="Q26" s="1">
        <v>0.27900000000000003</v>
      </c>
      <c r="R26" s="1">
        <v>0.69899999999999995</v>
      </c>
      <c r="S26" s="1">
        <v>0.496</v>
      </c>
      <c r="T26" s="1">
        <v>9.7000000000000003E-2</v>
      </c>
      <c r="U26" s="1">
        <v>0.52500000000000002</v>
      </c>
      <c r="V26" s="1">
        <v>0.57099999999999995</v>
      </c>
      <c r="W26" s="1">
        <v>105.5</v>
      </c>
      <c r="X26" s="1">
        <v>154.80000000000001</v>
      </c>
      <c r="Y26" s="1">
        <v>129</v>
      </c>
      <c r="Z26" s="1">
        <v>1126</v>
      </c>
      <c r="AA26" s="1">
        <v>0.498</v>
      </c>
      <c r="AB26" s="1">
        <v>2</v>
      </c>
      <c r="AC26" s="1">
        <v>16</v>
      </c>
      <c r="AD26" s="1">
        <v>20</v>
      </c>
      <c r="AE26" s="1">
        <v>20</v>
      </c>
      <c r="AF26" s="1">
        <v>4</v>
      </c>
      <c r="AG26" s="1">
        <v>9</v>
      </c>
      <c r="AH26" s="1">
        <v>20</v>
      </c>
      <c r="AI26" s="1">
        <v>12</v>
      </c>
      <c r="AJ26" s="1">
        <v>30</v>
      </c>
      <c r="AK26" s="1">
        <v>30</v>
      </c>
      <c r="AL26" s="1">
        <v>29</v>
      </c>
      <c r="AM26" s="1">
        <v>11</v>
      </c>
      <c r="AN26" s="1">
        <v>28</v>
      </c>
      <c r="AO26" s="1">
        <v>21</v>
      </c>
      <c r="AP26" s="1">
        <v>15</v>
      </c>
      <c r="AQ26" s="1">
        <v>16</v>
      </c>
      <c r="AR26" s="1">
        <v>12</v>
      </c>
      <c r="AS26" s="1">
        <v>17</v>
      </c>
      <c r="AT26" s="1">
        <v>16</v>
      </c>
      <c r="AU26" s="1">
        <v>10</v>
      </c>
      <c r="AV26" s="1" t="s">
        <v>161</v>
      </c>
    </row>
    <row r="27" spans="1:48">
      <c r="A27" s="1">
        <v>1610612758</v>
      </c>
      <c r="B27" s="1" t="s">
        <v>163</v>
      </c>
      <c r="C27" s="1">
        <v>10</v>
      </c>
      <c r="D27" s="1">
        <v>4</v>
      </c>
      <c r="E27" s="1">
        <v>6</v>
      </c>
      <c r="F27" s="1">
        <v>0.4</v>
      </c>
      <c r="G27" s="1">
        <v>296</v>
      </c>
      <c r="H27" s="1">
        <v>108.2</v>
      </c>
      <c r="I27" s="1">
        <v>73.2</v>
      </c>
      <c r="J27" s="1">
        <v>113</v>
      </c>
      <c r="K27" s="1">
        <v>76.400000000000006</v>
      </c>
      <c r="L27" s="1">
        <v>-4.8</v>
      </c>
      <c r="M27" s="1">
        <v>-3.3</v>
      </c>
      <c r="N27" s="1">
        <v>0.55700000000000005</v>
      </c>
      <c r="O27" s="1">
        <v>1.36</v>
      </c>
      <c r="P27" s="1">
        <v>10.8</v>
      </c>
      <c r="Q27" s="1">
        <v>0.28199999999999997</v>
      </c>
      <c r="R27" s="1">
        <v>0.73399999999999999</v>
      </c>
      <c r="S27" s="1">
        <v>0.498</v>
      </c>
      <c r="T27" s="1">
        <v>0.11</v>
      </c>
      <c r="U27" s="1">
        <v>0.54200000000000004</v>
      </c>
      <c r="V27" s="1">
        <v>0.56299999999999994</v>
      </c>
      <c r="W27" s="1">
        <v>101.7</v>
      </c>
      <c r="X27" s="1">
        <v>150.33000000000001</v>
      </c>
      <c r="Y27" s="1">
        <v>125.27</v>
      </c>
      <c r="Z27" s="1">
        <v>927</v>
      </c>
      <c r="AA27" s="1">
        <v>0.45100000000000001</v>
      </c>
      <c r="AB27" s="1">
        <v>17</v>
      </c>
      <c r="AC27" s="1">
        <v>16</v>
      </c>
      <c r="AD27" s="1">
        <v>15</v>
      </c>
      <c r="AE27" s="1">
        <v>16</v>
      </c>
      <c r="AF27" s="1">
        <v>21</v>
      </c>
      <c r="AG27" s="1">
        <v>11</v>
      </c>
      <c r="AH27" s="1">
        <v>29</v>
      </c>
      <c r="AI27" s="1">
        <v>21</v>
      </c>
      <c r="AJ27" s="1">
        <v>24</v>
      </c>
      <c r="AK27" s="1">
        <v>24</v>
      </c>
      <c r="AL27" s="1">
        <v>26</v>
      </c>
      <c r="AM27" s="1">
        <v>8</v>
      </c>
      <c r="AN27" s="1">
        <v>18</v>
      </c>
      <c r="AO27" s="1">
        <v>18</v>
      </c>
      <c r="AP27" s="1">
        <v>23</v>
      </c>
      <c r="AQ27" s="1">
        <v>7</v>
      </c>
      <c r="AR27" s="1">
        <v>16</v>
      </c>
      <c r="AS27" s="1">
        <v>25</v>
      </c>
      <c r="AT27" s="1">
        <v>26</v>
      </c>
      <c r="AU27" s="1">
        <v>10</v>
      </c>
      <c r="AV27" s="1" t="s">
        <v>163</v>
      </c>
    </row>
    <row r="28" spans="1:48">
      <c r="A28" s="1">
        <v>1610612759</v>
      </c>
      <c r="B28" s="1" t="s">
        <v>165</v>
      </c>
      <c r="C28" s="1">
        <v>11</v>
      </c>
      <c r="D28" s="1">
        <v>5</v>
      </c>
      <c r="E28" s="1">
        <v>6</v>
      </c>
      <c r="F28" s="1">
        <v>0.45500000000000002</v>
      </c>
      <c r="G28" s="1">
        <v>299</v>
      </c>
      <c r="H28" s="1">
        <v>106.3</v>
      </c>
      <c r="I28" s="1">
        <v>70.5</v>
      </c>
      <c r="J28" s="1">
        <v>110.7</v>
      </c>
      <c r="K28" s="1">
        <v>73.8</v>
      </c>
      <c r="L28" s="1">
        <v>-4.4000000000000004</v>
      </c>
      <c r="M28" s="1">
        <v>-3.3</v>
      </c>
      <c r="N28" s="1">
        <v>0.58299999999999996</v>
      </c>
      <c r="O28" s="1">
        <v>1.67</v>
      </c>
      <c r="P28" s="1">
        <v>12.6</v>
      </c>
      <c r="Q28" s="1">
        <v>0.254</v>
      </c>
      <c r="R28" s="1">
        <v>0.77700000000000002</v>
      </c>
      <c r="S28" s="1">
        <v>0.51500000000000001</v>
      </c>
      <c r="T28" s="1">
        <v>9.1999999999999998E-2</v>
      </c>
      <c r="U28" s="1">
        <v>0.50900000000000001</v>
      </c>
      <c r="V28" s="1">
        <v>0.56100000000000005</v>
      </c>
      <c r="W28" s="1">
        <v>103.6</v>
      </c>
      <c r="X28" s="1">
        <v>155.82</v>
      </c>
      <c r="Y28" s="1">
        <v>129.85</v>
      </c>
      <c r="Z28" s="1">
        <v>967</v>
      </c>
      <c r="AA28" s="1">
        <v>0.47499999999999998</v>
      </c>
      <c r="AB28" s="1">
        <v>2</v>
      </c>
      <c r="AC28" s="1">
        <v>15</v>
      </c>
      <c r="AD28" s="1">
        <v>15</v>
      </c>
      <c r="AE28" s="1">
        <v>15</v>
      </c>
      <c r="AF28" s="1">
        <v>20</v>
      </c>
      <c r="AG28" s="1">
        <v>16</v>
      </c>
      <c r="AH28" s="1">
        <v>23</v>
      </c>
      <c r="AI28" s="1">
        <v>22</v>
      </c>
      <c r="AJ28" s="1">
        <v>15</v>
      </c>
      <c r="AK28" s="1">
        <v>11</v>
      </c>
      <c r="AL28" s="1">
        <v>15</v>
      </c>
      <c r="AM28" s="1">
        <v>23</v>
      </c>
      <c r="AN28" s="1">
        <v>4</v>
      </c>
      <c r="AO28" s="1">
        <v>6</v>
      </c>
      <c r="AP28" s="1">
        <v>10</v>
      </c>
      <c r="AQ28" s="1">
        <v>22</v>
      </c>
      <c r="AR28" s="1">
        <v>17</v>
      </c>
      <c r="AS28" s="1">
        <v>15</v>
      </c>
      <c r="AT28" s="1">
        <v>20</v>
      </c>
      <c r="AU28" s="1">
        <v>10</v>
      </c>
      <c r="AV28" s="1" t="s">
        <v>165</v>
      </c>
    </row>
    <row r="29" spans="1:48">
      <c r="A29" s="1">
        <v>1610612761</v>
      </c>
      <c r="B29" s="1" t="s">
        <v>166</v>
      </c>
      <c r="C29" s="1">
        <v>10</v>
      </c>
      <c r="D29" s="1">
        <v>7</v>
      </c>
      <c r="E29" s="1">
        <v>3</v>
      </c>
      <c r="F29" s="1">
        <v>0.7</v>
      </c>
      <c r="G29" s="1">
        <v>334</v>
      </c>
      <c r="H29" s="1">
        <v>107.2</v>
      </c>
      <c r="I29" s="1">
        <v>76.099999999999994</v>
      </c>
      <c r="J29" s="1">
        <v>99</v>
      </c>
      <c r="K29" s="1">
        <v>70.8</v>
      </c>
      <c r="L29" s="1">
        <v>8.1999999999999993</v>
      </c>
      <c r="M29" s="1">
        <v>5.4</v>
      </c>
      <c r="N29" s="1">
        <v>0.63100000000000001</v>
      </c>
      <c r="O29" s="1">
        <v>1.49</v>
      </c>
      <c r="P29" s="1">
        <v>16.399999999999999</v>
      </c>
      <c r="Q29" s="1">
        <v>0.191</v>
      </c>
      <c r="R29" s="1">
        <v>0.72299999999999998</v>
      </c>
      <c r="S29" s="1">
        <v>0.48299999999999998</v>
      </c>
      <c r="T29" s="1">
        <v>0.113</v>
      </c>
      <c r="U29" s="1">
        <v>0.55100000000000005</v>
      </c>
      <c r="V29" s="1">
        <v>0.58099999999999996</v>
      </c>
      <c r="W29" s="1">
        <v>105.3</v>
      </c>
      <c r="X29" s="1">
        <v>147.82</v>
      </c>
      <c r="Y29" s="1">
        <v>123.18</v>
      </c>
      <c r="Z29" s="1">
        <v>1031</v>
      </c>
      <c r="AA29" s="1">
        <v>0.54700000000000004</v>
      </c>
      <c r="AB29" s="1">
        <v>17</v>
      </c>
      <c r="AC29" s="1">
        <v>5</v>
      </c>
      <c r="AD29" s="1">
        <v>3</v>
      </c>
      <c r="AE29" s="1">
        <v>5</v>
      </c>
      <c r="AF29" s="1">
        <v>7</v>
      </c>
      <c r="AG29" s="1">
        <v>4</v>
      </c>
      <c r="AH29" s="1">
        <v>17</v>
      </c>
      <c r="AI29" s="1">
        <v>6</v>
      </c>
      <c r="AJ29" s="1">
        <v>5</v>
      </c>
      <c r="AK29" s="1">
        <v>16</v>
      </c>
      <c r="AL29" s="1">
        <v>2</v>
      </c>
      <c r="AM29" s="1">
        <v>29</v>
      </c>
      <c r="AN29" s="1">
        <v>24</v>
      </c>
      <c r="AO29" s="1">
        <v>26</v>
      </c>
      <c r="AP29" s="1">
        <v>28</v>
      </c>
      <c r="AQ29" s="1">
        <v>3</v>
      </c>
      <c r="AR29" s="1">
        <v>5</v>
      </c>
      <c r="AS29" s="1">
        <v>27</v>
      </c>
      <c r="AT29" s="1">
        <v>8</v>
      </c>
      <c r="AU29" s="1">
        <v>10</v>
      </c>
      <c r="AV29" s="1" t="s">
        <v>166</v>
      </c>
    </row>
    <row r="30" spans="1:48">
      <c r="A30" s="1">
        <v>1610612762</v>
      </c>
      <c r="B30" s="1" t="s">
        <v>168</v>
      </c>
      <c r="C30" s="1">
        <v>11</v>
      </c>
      <c r="D30" s="1">
        <v>8</v>
      </c>
      <c r="E30" s="1">
        <v>3</v>
      </c>
      <c r="F30" s="1">
        <v>0.72699999999999998</v>
      </c>
      <c r="G30" s="1">
        <v>349</v>
      </c>
      <c r="H30" s="1">
        <v>105.5</v>
      </c>
      <c r="I30" s="1">
        <v>73.2</v>
      </c>
      <c r="J30" s="1">
        <v>97.7</v>
      </c>
      <c r="K30" s="1">
        <v>68.5</v>
      </c>
      <c r="L30" s="1">
        <v>7.8</v>
      </c>
      <c r="M30" s="1">
        <v>4.7</v>
      </c>
      <c r="N30" s="1">
        <v>0.55600000000000005</v>
      </c>
      <c r="O30" s="1">
        <v>1.3</v>
      </c>
      <c r="P30" s="1">
        <v>11.1</v>
      </c>
      <c r="Q30" s="1">
        <v>0.223</v>
      </c>
      <c r="R30" s="1">
        <v>0.75</v>
      </c>
      <c r="S30" s="1">
        <v>0.504</v>
      </c>
      <c r="T30" s="1">
        <v>0.11</v>
      </c>
      <c r="U30" s="1">
        <v>0.54</v>
      </c>
      <c r="V30" s="1">
        <v>0.58499999999999996</v>
      </c>
      <c r="W30" s="1">
        <v>101.6</v>
      </c>
      <c r="X30" s="1">
        <v>145.65</v>
      </c>
      <c r="Y30" s="1">
        <v>121.37</v>
      </c>
      <c r="Z30" s="1">
        <v>1061</v>
      </c>
      <c r="AA30" s="1">
        <v>0.56100000000000005</v>
      </c>
      <c r="AB30" s="1">
        <v>2</v>
      </c>
      <c r="AC30" s="1">
        <v>2</v>
      </c>
      <c r="AD30" s="1">
        <v>3</v>
      </c>
      <c r="AE30" s="1">
        <v>3</v>
      </c>
      <c r="AF30" s="1">
        <v>5</v>
      </c>
      <c r="AG30" s="1">
        <v>10</v>
      </c>
      <c r="AH30" s="1">
        <v>10</v>
      </c>
      <c r="AI30" s="1">
        <v>8</v>
      </c>
      <c r="AJ30" s="1">
        <v>25</v>
      </c>
      <c r="AK30" s="1">
        <v>28</v>
      </c>
      <c r="AL30" s="1">
        <v>23</v>
      </c>
      <c r="AM30" s="1">
        <v>26</v>
      </c>
      <c r="AN30" s="1">
        <v>11</v>
      </c>
      <c r="AO30" s="1">
        <v>15</v>
      </c>
      <c r="AP30" s="1">
        <v>24</v>
      </c>
      <c r="AQ30" s="1">
        <v>8</v>
      </c>
      <c r="AR30" s="1">
        <v>4</v>
      </c>
      <c r="AS30" s="1">
        <v>29</v>
      </c>
      <c r="AT30" s="1">
        <v>4</v>
      </c>
      <c r="AU30" s="1">
        <v>10</v>
      </c>
      <c r="AV30" s="1" t="s">
        <v>168</v>
      </c>
    </row>
    <row r="31" spans="1:48">
      <c r="A31" s="1">
        <v>1610612764</v>
      </c>
      <c r="B31" s="1" t="s">
        <v>171</v>
      </c>
      <c r="C31" s="1">
        <v>9</v>
      </c>
      <c r="D31" s="1">
        <v>2</v>
      </c>
      <c r="E31" s="1">
        <v>7</v>
      </c>
      <c r="F31" s="1">
        <v>0.222</v>
      </c>
      <c r="G31" s="1">
        <v>258</v>
      </c>
      <c r="H31" s="1">
        <v>108.8</v>
      </c>
      <c r="I31" s="1">
        <v>75.5</v>
      </c>
      <c r="J31" s="1">
        <v>119.4</v>
      </c>
      <c r="K31" s="1">
        <v>82</v>
      </c>
      <c r="L31" s="1">
        <v>-10.7</v>
      </c>
      <c r="M31" s="1">
        <v>-6.5</v>
      </c>
      <c r="N31" s="1">
        <v>0.60299999999999998</v>
      </c>
      <c r="O31" s="1">
        <v>1.83</v>
      </c>
      <c r="P31" s="1">
        <v>14.2</v>
      </c>
      <c r="Q31" s="1">
        <v>0.30299999999999999</v>
      </c>
      <c r="R31" s="1">
        <v>0.69899999999999995</v>
      </c>
      <c r="S31" s="1">
        <v>0.495</v>
      </c>
      <c r="T31" s="1">
        <v>9.7000000000000003E-2</v>
      </c>
      <c r="U31" s="1">
        <v>0.52900000000000003</v>
      </c>
      <c r="V31" s="1">
        <v>0.54</v>
      </c>
      <c r="W31" s="1">
        <v>104.3</v>
      </c>
      <c r="X31" s="1">
        <v>151.16999999999999</v>
      </c>
      <c r="Y31" s="1">
        <v>125.98</v>
      </c>
      <c r="Z31" s="1">
        <v>811</v>
      </c>
      <c r="AA31" s="1">
        <v>0.45100000000000001</v>
      </c>
      <c r="AB31" s="1">
        <v>30</v>
      </c>
      <c r="AC31" s="1">
        <v>27</v>
      </c>
      <c r="AD31" s="1">
        <v>20</v>
      </c>
      <c r="AE31" s="1">
        <v>27</v>
      </c>
      <c r="AF31" s="1">
        <v>30</v>
      </c>
      <c r="AG31" s="1">
        <v>7</v>
      </c>
      <c r="AH31" s="1">
        <v>30</v>
      </c>
      <c r="AI31" s="1">
        <v>28</v>
      </c>
      <c r="AJ31" s="1">
        <v>13</v>
      </c>
      <c r="AK31" s="1">
        <v>7</v>
      </c>
      <c r="AL31" s="1">
        <v>7</v>
      </c>
      <c r="AM31" s="1">
        <v>1</v>
      </c>
      <c r="AN31" s="1">
        <v>29</v>
      </c>
      <c r="AO31" s="1">
        <v>23</v>
      </c>
      <c r="AP31" s="1">
        <v>14</v>
      </c>
      <c r="AQ31" s="1">
        <v>14</v>
      </c>
      <c r="AR31" s="1">
        <v>26</v>
      </c>
      <c r="AS31" s="1">
        <v>24</v>
      </c>
      <c r="AT31" s="1">
        <v>27</v>
      </c>
      <c r="AU31" s="1">
        <v>10</v>
      </c>
      <c r="AV31" s="1" t="s">
        <v>171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15621-0D52-4689-B1F6-887AAB3D2D13}">
  <sheetPr codeName="Sheet4"/>
  <dimension ref="A1:AV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5.36328125" customWidth="1"/>
    <col min="9" max="9" width="13.36328125" customWidth="1"/>
    <col min="10" max="10" width="15.36328125" customWidth="1"/>
    <col min="11" max="11" width="13.36328125" customWidth="1"/>
    <col min="12" max="12" width="15.453125" customWidth="1"/>
    <col min="13" max="13" width="13.453125" customWidth="1"/>
    <col min="14" max="14" width="10.08984375" customWidth="1"/>
    <col min="15" max="15" width="9.26953125" customWidth="1"/>
    <col min="16" max="16" width="12.08984375" customWidth="1"/>
    <col min="17" max="17" width="11.54296875" customWidth="1"/>
    <col min="18" max="18" width="11.453125" customWidth="1"/>
    <col min="19" max="19" width="10.1796875" customWidth="1"/>
    <col min="20" max="20" width="14.26953125" customWidth="1"/>
    <col min="21" max="21" width="10.1796875" customWidth="1"/>
    <col min="22" max="22" width="8.90625" customWidth="1"/>
    <col min="23" max="23" width="9.1796875" customWidth="1"/>
    <col min="25" max="25" width="13.36328125" customWidth="1"/>
    <col min="28" max="28" width="10.81640625" customWidth="1"/>
    <col min="29" max="29" width="10.26953125" customWidth="1"/>
    <col min="30" max="30" width="9.26953125" customWidth="1"/>
    <col min="31" max="31" width="14.453125" customWidth="1"/>
    <col min="32" max="32" width="12" customWidth="1"/>
    <col min="33" max="34" width="19" customWidth="1"/>
    <col min="35" max="35" width="19.08984375" customWidth="1"/>
    <col min="36" max="36" width="15.7265625" customWidth="1"/>
    <col min="37" max="37" width="14.90625" customWidth="1"/>
    <col min="38" max="38" width="17.7265625" customWidth="1"/>
    <col min="39" max="39" width="17.1796875" customWidth="1"/>
    <col min="40" max="40" width="17.08984375" customWidth="1"/>
    <col min="41" max="41" width="15.81640625" customWidth="1"/>
    <col min="42" max="42" width="19.90625" customWidth="1"/>
    <col min="43" max="43" width="15.81640625" customWidth="1"/>
    <col min="44" max="44" width="14.54296875" customWidth="1"/>
    <col min="45" max="45" width="12.81640625" customWidth="1"/>
    <col min="46" max="46" width="11.08984375" customWidth="1"/>
    <col min="48" max="48" width="12" customWidth="1"/>
  </cols>
  <sheetData>
    <row r="1" spans="1:48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232</v>
      </c>
      <c r="I1" s="1" t="s">
        <v>233</v>
      </c>
      <c r="J1" s="1" t="s">
        <v>234</v>
      </c>
      <c r="K1" s="1" t="s">
        <v>235</v>
      </c>
      <c r="L1" s="1" t="s">
        <v>236</v>
      </c>
      <c r="M1" s="1" t="s">
        <v>237</v>
      </c>
      <c r="N1" s="1" t="s">
        <v>238</v>
      </c>
      <c r="O1" s="1" t="s">
        <v>239</v>
      </c>
      <c r="P1" s="1" t="s">
        <v>240</v>
      </c>
      <c r="Q1" s="1" t="s">
        <v>241</v>
      </c>
      <c r="R1" s="1" t="s">
        <v>242</v>
      </c>
      <c r="S1" s="1" t="s">
        <v>243</v>
      </c>
      <c r="T1" s="1" t="s">
        <v>244</v>
      </c>
      <c r="U1" s="1" t="s">
        <v>245</v>
      </c>
      <c r="V1" s="1" t="s">
        <v>246</v>
      </c>
      <c r="W1" s="1" t="s">
        <v>247</v>
      </c>
      <c r="X1" s="1" t="s">
        <v>248</v>
      </c>
      <c r="Y1" s="1" t="s">
        <v>249</v>
      </c>
      <c r="Z1" s="1" t="s">
        <v>250</v>
      </c>
      <c r="AA1" s="1" t="s">
        <v>251</v>
      </c>
      <c r="AB1" s="1" t="s">
        <v>76</v>
      </c>
      <c r="AC1" s="1" t="s">
        <v>77</v>
      </c>
      <c r="AD1" s="1" t="s">
        <v>78</v>
      </c>
      <c r="AE1" s="1" t="s">
        <v>79</v>
      </c>
      <c r="AF1" s="1" t="s">
        <v>80</v>
      </c>
      <c r="AG1" s="1" t="s">
        <v>252</v>
      </c>
      <c r="AH1" s="1" t="s">
        <v>253</v>
      </c>
      <c r="AI1" s="1" t="s">
        <v>254</v>
      </c>
      <c r="AJ1" s="1" t="s">
        <v>255</v>
      </c>
      <c r="AK1" s="1" t="s">
        <v>256</v>
      </c>
      <c r="AL1" s="1" t="s">
        <v>257</v>
      </c>
      <c r="AM1" s="1" t="s">
        <v>258</v>
      </c>
      <c r="AN1" s="1" t="s">
        <v>259</v>
      </c>
      <c r="AO1" s="1" t="s">
        <v>260</v>
      </c>
      <c r="AP1" s="1" t="s">
        <v>261</v>
      </c>
      <c r="AQ1" s="1" t="s">
        <v>262</v>
      </c>
      <c r="AR1" s="1" t="s">
        <v>263</v>
      </c>
      <c r="AS1" s="1" t="s">
        <v>264</v>
      </c>
      <c r="AT1" s="1" t="s">
        <v>265</v>
      </c>
      <c r="AU1" s="1" t="s">
        <v>102</v>
      </c>
      <c r="AV1" s="1" t="s">
        <v>103</v>
      </c>
    </row>
    <row r="2" spans="1:48">
      <c r="A2" s="1">
        <v>1610612737</v>
      </c>
      <c r="B2" s="1" t="s">
        <v>104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104</v>
      </c>
    </row>
    <row r="3" spans="1:48">
      <c r="A3" s="1">
        <v>1610612738</v>
      </c>
      <c r="B3" s="1" t="s">
        <v>106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106</v>
      </c>
    </row>
    <row r="4" spans="1:48">
      <c r="A4" s="1">
        <v>1610612751</v>
      </c>
      <c r="B4" s="1" t="s">
        <v>107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107</v>
      </c>
    </row>
    <row r="5" spans="1:48">
      <c r="A5" s="1">
        <v>1610612766</v>
      </c>
      <c r="B5" s="1" t="s">
        <v>109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109</v>
      </c>
    </row>
    <row r="6" spans="1:48">
      <c r="A6" s="1">
        <v>1610612741</v>
      </c>
      <c r="B6" s="1" t="s">
        <v>112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112</v>
      </c>
    </row>
    <row r="7" spans="1:48">
      <c r="A7" s="1">
        <v>1610612739</v>
      </c>
      <c r="B7" s="1" t="s">
        <v>114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114</v>
      </c>
    </row>
    <row r="8" spans="1:48">
      <c r="A8" s="1">
        <v>1610612742</v>
      </c>
      <c r="B8" s="1" t="s">
        <v>118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118</v>
      </c>
    </row>
    <row r="9" spans="1:48">
      <c r="A9" s="1">
        <v>1610612743</v>
      </c>
      <c r="B9" s="1" t="s">
        <v>121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121</v>
      </c>
    </row>
    <row r="10" spans="1:48">
      <c r="A10" s="1">
        <v>1610612765</v>
      </c>
      <c r="B10" s="1" t="s">
        <v>124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124</v>
      </c>
    </row>
    <row r="11" spans="1:48">
      <c r="A11" s="1">
        <v>1610612744</v>
      </c>
      <c r="B11" s="1" t="s">
        <v>126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126</v>
      </c>
    </row>
    <row r="12" spans="1:48">
      <c r="A12" s="1">
        <v>1610612745</v>
      </c>
      <c r="B12" s="1" t="s">
        <v>128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128</v>
      </c>
    </row>
    <row r="13" spans="1:48">
      <c r="A13" s="1">
        <v>1610612754</v>
      </c>
      <c r="B13" s="1" t="s">
        <v>130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130</v>
      </c>
    </row>
    <row r="14" spans="1:48">
      <c r="A14" s="1">
        <v>1610612746</v>
      </c>
      <c r="B14" s="1" t="s">
        <v>132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132</v>
      </c>
    </row>
    <row r="15" spans="1:48">
      <c r="A15" s="1">
        <v>1610612747</v>
      </c>
      <c r="B15" s="1" t="s">
        <v>135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135</v>
      </c>
    </row>
    <row r="16" spans="1:48">
      <c r="A16" s="1">
        <v>1610612763</v>
      </c>
      <c r="B16" s="1" t="s">
        <v>138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138</v>
      </c>
    </row>
    <row r="17" spans="1:48">
      <c r="A17" s="1">
        <v>1610612748</v>
      </c>
      <c r="B17" s="1" t="s">
        <v>141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141</v>
      </c>
    </row>
    <row r="18" spans="1:48">
      <c r="A18" s="1">
        <v>1610612749</v>
      </c>
      <c r="B18" s="1" t="s">
        <v>142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142</v>
      </c>
    </row>
    <row r="19" spans="1:48">
      <c r="A19" s="1">
        <v>1610612750</v>
      </c>
      <c r="B19" s="1" t="s">
        <v>145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145</v>
      </c>
    </row>
    <row r="20" spans="1:48">
      <c r="A20" s="1">
        <v>1610612740</v>
      </c>
      <c r="B20" s="1" t="s">
        <v>146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146</v>
      </c>
    </row>
    <row r="21" spans="1:48">
      <c r="A21" s="1">
        <v>1610612752</v>
      </c>
      <c r="B21" s="1" t="s">
        <v>149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149</v>
      </c>
    </row>
    <row r="22" spans="1:48">
      <c r="A22" s="1">
        <v>1610612760</v>
      </c>
      <c r="B22" s="1" t="s">
        <v>152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152</v>
      </c>
    </row>
    <row r="23" spans="1:48">
      <c r="A23" s="1">
        <v>1610612753</v>
      </c>
      <c r="B23" s="1" t="s">
        <v>154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154</v>
      </c>
    </row>
    <row r="24" spans="1:48">
      <c r="A24" s="1">
        <v>1610612755</v>
      </c>
      <c r="B24" s="1" t="s">
        <v>157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157</v>
      </c>
    </row>
    <row r="25" spans="1:48">
      <c r="A25" s="1">
        <v>1610612756</v>
      </c>
      <c r="B25" s="1" t="s">
        <v>159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159</v>
      </c>
    </row>
    <row r="26" spans="1:48">
      <c r="A26" s="1">
        <v>1610612757</v>
      </c>
      <c r="B26" s="1" t="s">
        <v>161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161</v>
      </c>
    </row>
    <row r="27" spans="1:48">
      <c r="A27" s="1">
        <v>1610612758</v>
      </c>
      <c r="B27" s="1" t="s">
        <v>163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163</v>
      </c>
    </row>
    <row r="28" spans="1:48">
      <c r="A28" s="1">
        <v>1610612759</v>
      </c>
      <c r="B28" s="1" t="s">
        <v>165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165</v>
      </c>
    </row>
    <row r="29" spans="1:48">
      <c r="A29" s="1">
        <v>1610612761</v>
      </c>
      <c r="B29" s="1" t="s">
        <v>166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166</v>
      </c>
    </row>
    <row r="30" spans="1:48">
      <c r="A30" s="1">
        <v>1610612762</v>
      </c>
      <c r="B30" s="1" t="s">
        <v>168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168</v>
      </c>
    </row>
    <row r="31" spans="1:48">
      <c r="A31" s="1">
        <v>1610612764</v>
      </c>
      <c r="B31" s="1" t="s">
        <v>171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171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AB6DE-7BEE-48C4-A7EC-014436E49118}">
  <sheetPr codeName="Sheet5"/>
  <dimension ref="A1:AV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5.36328125" customWidth="1"/>
    <col min="9" max="9" width="13.36328125" customWidth="1"/>
    <col min="10" max="10" width="15.36328125" customWidth="1"/>
    <col min="11" max="11" width="13.36328125" customWidth="1"/>
    <col min="12" max="12" width="15.453125" customWidth="1"/>
    <col min="13" max="13" width="13.453125" customWidth="1"/>
    <col min="14" max="14" width="10.08984375" customWidth="1"/>
    <col min="15" max="15" width="9.26953125" customWidth="1"/>
    <col min="16" max="16" width="12.08984375" customWidth="1"/>
    <col min="17" max="17" width="11.54296875" customWidth="1"/>
    <col min="18" max="18" width="11.453125" customWidth="1"/>
    <col min="19" max="19" width="10.1796875" customWidth="1"/>
    <col min="20" max="20" width="14.26953125" customWidth="1"/>
    <col min="21" max="21" width="10.1796875" customWidth="1"/>
    <col min="22" max="22" width="8.90625" customWidth="1"/>
    <col min="23" max="23" width="9.1796875" customWidth="1"/>
    <col min="25" max="25" width="13.36328125" customWidth="1"/>
    <col min="28" max="28" width="10.81640625" customWidth="1"/>
    <col min="29" max="29" width="10.26953125" customWidth="1"/>
    <col min="30" max="30" width="9.26953125" customWidth="1"/>
    <col min="31" max="31" width="14.453125" customWidth="1"/>
    <col min="32" max="32" width="12" customWidth="1"/>
    <col min="33" max="34" width="19" customWidth="1"/>
    <col min="35" max="35" width="19.08984375" customWidth="1"/>
    <col min="36" max="36" width="15.7265625" customWidth="1"/>
    <col min="37" max="37" width="14.90625" customWidth="1"/>
    <col min="38" max="38" width="17.7265625" customWidth="1"/>
    <col min="39" max="39" width="17.1796875" customWidth="1"/>
    <col min="40" max="40" width="17.08984375" customWidth="1"/>
    <col min="41" max="41" width="15.81640625" customWidth="1"/>
    <col min="42" max="42" width="19.90625" customWidth="1"/>
    <col min="43" max="43" width="15.81640625" customWidth="1"/>
    <col min="44" max="44" width="14.54296875" customWidth="1"/>
    <col min="45" max="45" width="12.81640625" customWidth="1"/>
    <col min="46" max="46" width="11.08984375" customWidth="1"/>
    <col min="48" max="48" width="12" customWidth="1"/>
  </cols>
  <sheetData>
    <row r="1" spans="1:48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232</v>
      </c>
      <c r="I1" s="1" t="s">
        <v>233</v>
      </c>
      <c r="J1" s="1" t="s">
        <v>234</v>
      </c>
      <c r="K1" s="1" t="s">
        <v>235</v>
      </c>
      <c r="L1" s="1" t="s">
        <v>236</v>
      </c>
      <c r="M1" s="1" t="s">
        <v>237</v>
      </c>
      <c r="N1" s="1" t="s">
        <v>238</v>
      </c>
      <c r="O1" s="1" t="s">
        <v>239</v>
      </c>
      <c r="P1" s="1" t="s">
        <v>240</v>
      </c>
      <c r="Q1" s="1" t="s">
        <v>241</v>
      </c>
      <c r="R1" s="1" t="s">
        <v>242</v>
      </c>
      <c r="S1" s="1" t="s">
        <v>243</v>
      </c>
      <c r="T1" s="1" t="s">
        <v>244</v>
      </c>
      <c r="U1" s="1" t="s">
        <v>245</v>
      </c>
      <c r="V1" s="1" t="s">
        <v>246</v>
      </c>
      <c r="W1" s="1" t="s">
        <v>247</v>
      </c>
      <c r="X1" s="1" t="s">
        <v>248</v>
      </c>
      <c r="Y1" s="1" t="s">
        <v>249</v>
      </c>
      <c r="Z1" s="1" t="s">
        <v>250</v>
      </c>
      <c r="AA1" s="1" t="s">
        <v>251</v>
      </c>
      <c r="AB1" s="1" t="s">
        <v>76</v>
      </c>
      <c r="AC1" s="1" t="s">
        <v>77</v>
      </c>
      <c r="AD1" s="1" t="s">
        <v>78</v>
      </c>
      <c r="AE1" s="1" t="s">
        <v>79</v>
      </c>
      <c r="AF1" s="1" t="s">
        <v>80</v>
      </c>
      <c r="AG1" s="1" t="s">
        <v>252</v>
      </c>
      <c r="AH1" s="1" t="s">
        <v>253</v>
      </c>
      <c r="AI1" s="1" t="s">
        <v>254</v>
      </c>
      <c r="AJ1" s="1" t="s">
        <v>255</v>
      </c>
      <c r="AK1" s="1" t="s">
        <v>256</v>
      </c>
      <c r="AL1" s="1" t="s">
        <v>257</v>
      </c>
      <c r="AM1" s="1" t="s">
        <v>258</v>
      </c>
      <c r="AN1" s="1" t="s">
        <v>259</v>
      </c>
      <c r="AO1" s="1" t="s">
        <v>260</v>
      </c>
      <c r="AP1" s="1" t="s">
        <v>261</v>
      </c>
      <c r="AQ1" s="1" t="s">
        <v>262</v>
      </c>
      <c r="AR1" s="1" t="s">
        <v>263</v>
      </c>
      <c r="AS1" s="1" t="s">
        <v>264</v>
      </c>
      <c r="AT1" s="1" t="s">
        <v>265</v>
      </c>
      <c r="AU1" s="1" t="s">
        <v>102</v>
      </c>
      <c r="AV1" s="1" t="s">
        <v>103</v>
      </c>
    </row>
    <row r="2" spans="1:48">
      <c r="A2" s="1">
        <v>1610612737</v>
      </c>
      <c r="B2" s="1" t="s">
        <v>104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104</v>
      </c>
    </row>
    <row r="3" spans="1:48">
      <c r="A3" s="1">
        <v>1610612738</v>
      </c>
      <c r="B3" s="1" t="s">
        <v>106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106</v>
      </c>
    </row>
    <row r="4" spans="1:48">
      <c r="A4" s="1">
        <v>1610612751</v>
      </c>
      <c r="B4" s="1" t="s">
        <v>107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107</v>
      </c>
    </row>
    <row r="5" spans="1:48">
      <c r="A5" s="1">
        <v>1610612766</v>
      </c>
      <c r="B5" s="1" t="s">
        <v>109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109</v>
      </c>
    </row>
    <row r="6" spans="1:48">
      <c r="A6" s="1">
        <v>1610612741</v>
      </c>
      <c r="B6" s="1" t="s">
        <v>112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112</v>
      </c>
    </row>
    <row r="7" spans="1:48">
      <c r="A7" s="1">
        <v>1610612739</v>
      </c>
      <c r="B7" s="1" t="s">
        <v>114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114</v>
      </c>
    </row>
    <row r="8" spans="1:48">
      <c r="A8" s="1">
        <v>1610612742</v>
      </c>
      <c r="B8" s="1" t="s">
        <v>118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118</v>
      </c>
    </row>
    <row r="9" spans="1:48">
      <c r="A9" s="1">
        <v>1610612743</v>
      </c>
      <c r="B9" s="1" t="s">
        <v>121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121</v>
      </c>
    </row>
    <row r="10" spans="1:48">
      <c r="A10" s="1">
        <v>1610612765</v>
      </c>
      <c r="B10" s="1" t="s">
        <v>124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124</v>
      </c>
    </row>
    <row r="11" spans="1:48">
      <c r="A11" s="1">
        <v>1610612744</v>
      </c>
      <c r="B11" s="1" t="s">
        <v>126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126</v>
      </c>
    </row>
    <row r="12" spans="1:48">
      <c r="A12" s="1">
        <v>1610612745</v>
      </c>
      <c r="B12" s="1" t="s">
        <v>128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128</v>
      </c>
    </row>
    <row r="13" spans="1:48">
      <c r="A13" s="1">
        <v>1610612754</v>
      </c>
      <c r="B13" s="1" t="s">
        <v>130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130</v>
      </c>
    </row>
    <row r="14" spans="1:48">
      <c r="A14" s="1">
        <v>1610612746</v>
      </c>
      <c r="B14" s="1" t="s">
        <v>132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132</v>
      </c>
    </row>
    <row r="15" spans="1:48">
      <c r="A15" s="1">
        <v>1610612747</v>
      </c>
      <c r="B15" s="1" t="s">
        <v>135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135</v>
      </c>
    </row>
    <row r="16" spans="1:48">
      <c r="A16" s="1">
        <v>1610612763</v>
      </c>
      <c r="B16" s="1" t="s">
        <v>138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138</v>
      </c>
    </row>
    <row r="17" spans="1:48">
      <c r="A17" s="1">
        <v>1610612748</v>
      </c>
      <c r="B17" s="1" t="s">
        <v>141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141</v>
      </c>
    </row>
    <row r="18" spans="1:48">
      <c r="A18" s="1">
        <v>1610612749</v>
      </c>
      <c r="B18" s="1" t="s">
        <v>142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142</v>
      </c>
    </row>
    <row r="19" spans="1:48">
      <c r="A19" s="1">
        <v>1610612750</v>
      </c>
      <c r="B19" s="1" t="s">
        <v>145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145</v>
      </c>
    </row>
    <row r="20" spans="1:48">
      <c r="A20" s="1">
        <v>1610612740</v>
      </c>
      <c r="B20" s="1" t="s">
        <v>146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146</v>
      </c>
    </row>
    <row r="21" spans="1:48">
      <c r="A21" s="1">
        <v>1610612752</v>
      </c>
      <c r="B21" s="1" t="s">
        <v>149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149</v>
      </c>
    </row>
    <row r="22" spans="1:48">
      <c r="A22" s="1">
        <v>1610612760</v>
      </c>
      <c r="B22" s="1" t="s">
        <v>152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152</v>
      </c>
    </row>
    <row r="23" spans="1:48">
      <c r="A23" s="1">
        <v>1610612753</v>
      </c>
      <c r="B23" s="1" t="s">
        <v>154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154</v>
      </c>
    </row>
    <row r="24" spans="1:48">
      <c r="A24" s="1">
        <v>1610612755</v>
      </c>
      <c r="B24" s="1" t="s">
        <v>157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157</v>
      </c>
    </row>
    <row r="25" spans="1:48">
      <c r="A25" s="1">
        <v>1610612756</v>
      </c>
      <c r="B25" s="1" t="s">
        <v>159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159</v>
      </c>
    </row>
    <row r="26" spans="1:48">
      <c r="A26" s="1">
        <v>1610612757</v>
      </c>
      <c r="B26" s="1" t="s">
        <v>161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161</v>
      </c>
    </row>
    <row r="27" spans="1:48">
      <c r="A27" s="1">
        <v>1610612758</v>
      </c>
      <c r="B27" s="1" t="s">
        <v>163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163</v>
      </c>
    </row>
    <row r="28" spans="1:48">
      <c r="A28" s="1">
        <v>1610612759</v>
      </c>
      <c r="B28" s="1" t="s">
        <v>165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165</v>
      </c>
    </row>
    <row r="29" spans="1:48">
      <c r="A29" s="1">
        <v>1610612761</v>
      </c>
      <c r="B29" s="1" t="s">
        <v>166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166</v>
      </c>
    </row>
    <row r="30" spans="1:48">
      <c r="A30" s="1">
        <v>1610612762</v>
      </c>
      <c r="B30" s="1" t="s">
        <v>168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168</v>
      </c>
    </row>
    <row r="31" spans="1:48">
      <c r="A31" s="1">
        <v>1610612764</v>
      </c>
      <c r="B31" s="1" t="s">
        <v>171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171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BCED5-49DC-4340-8FE4-A238604B736D}">
  <sheetPr codeName="Sheet6"/>
  <dimension ref="A1:AV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5.36328125" customWidth="1"/>
    <col min="9" max="9" width="13.36328125" customWidth="1"/>
    <col min="10" max="10" width="15.36328125" customWidth="1"/>
    <col min="11" max="11" width="13.36328125" customWidth="1"/>
    <col min="12" max="12" width="15.453125" customWidth="1"/>
    <col min="13" max="13" width="13.453125" customWidth="1"/>
    <col min="14" max="14" width="10.08984375" customWidth="1"/>
    <col min="15" max="15" width="9.26953125" customWidth="1"/>
    <col min="16" max="16" width="12.08984375" customWidth="1"/>
    <col min="17" max="17" width="11.54296875" customWidth="1"/>
    <col min="18" max="18" width="11.453125" customWidth="1"/>
    <col min="19" max="19" width="10.1796875" customWidth="1"/>
    <col min="20" max="20" width="14.26953125" customWidth="1"/>
    <col min="21" max="21" width="10.1796875" customWidth="1"/>
    <col min="22" max="22" width="8.90625" customWidth="1"/>
    <col min="23" max="23" width="9.1796875" customWidth="1"/>
    <col min="25" max="25" width="13.36328125" customWidth="1"/>
    <col min="28" max="28" width="10.81640625" customWidth="1"/>
    <col min="29" max="29" width="10.26953125" customWidth="1"/>
    <col min="30" max="30" width="9.26953125" customWidth="1"/>
    <col min="31" max="31" width="14.453125" customWidth="1"/>
    <col min="32" max="32" width="12" customWidth="1"/>
    <col min="33" max="34" width="19" customWidth="1"/>
    <col min="35" max="35" width="19.08984375" customWidth="1"/>
    <col min="36" max="36" width="15.7265625" customWidth="1"/>
    <col min="37" max="37" width="14.90625" customWidth="1"/>
    <col min="38" max="38" width="17.7265625" customWidth="1"/>
    <col min="39" max="39" width="17.1796875" customWidth="1"/>
    <col min="40" max="40" width="17.08984375" customWidth="1"/>
    <col min="41" max="41" width="15.81640625" customWidth="1"/>
    <col min="42" max="42" width="19.90625" customWidth="1"/>
    <col min="43" max="43" width="15.81640625" customWidth="1"/>
    <col min="44" max="44" width="14.54296875" customWidth="1"/>
    <col min="45" max="45" width="12.81640625" customWidth="1"/>
    <col min="46" max="46" width="11.08984375" customWidth="1"/>
    <col min="48" max="48" width="12" customWidth="1"/>
  </cols>
  <sheetData>
    <row r="1" spans="1:48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232</v>
      </c>
      <c r="I1" s="1" t="s">
        <v>233</v>
      </c>
      <c r="J1" s="1" t="s">
        <v>234</v>
      </c>
      <c r="K1" s="1" t="s">
        <v>235</v>
      </c>
      <c r="L1" s="1" t="s">
        <v>236</v>
      </c>
      <c r="M1" s="1" t="s">
        <v>237</v>
      </c>
      <c r="N1" s="1" t="s">
        <v>238</v>
      </c>
      <c r="O1" s="1" t="s">
        <v>239</v>
      </c>
      <c r="P1" s="1" t="s">
        <v>240</v>
      </c>
      <c r="Q1" s="1" t="s">
        <v>241</v>
      </c>
      <c r="R1" s="1" t="s">
        <v>242</v>
      </c>
      <c r="S1" s="1" t="s">
        <v>243</v>
      </c>
      <c r="T1" s="1" t="s">
        <v>244</v>
      </c>
      <c r="U1" s="1" t="s">
        <v>245</v>
      </c>
      <c r="V1" s="1" t="s">
        <v>246</v>
      </c>
      <c r="W1" s="1" t="s">
        <v>247</v>
      </c>
      <c r="X1" s="1" t="s">
        <v>248</v>
      </c>
      <c r="Y1" s="1" t="s">
        <v>249</v>
      </c>
      <c r="Z1" s="1" t="s">
        <v>250</v>
      </c>
      <c r="AA1" s="1" t="s">
        <v>251</v>
      </c>
      <c r="AB1" s="1" t="s">
        <v>76</v>
      </c>
      <c r="AC1" s="1" t="s">
        <v>77</v>
      </c>
      <c r="AD1" s="1" t="s">
        <v>78</v>
      </c>
      <c r="AE1" s="1" t="s">
        <v>79</v>
      </c>
      <c r="AF1" s="1" t="s">
        <v>80</v>
      </c>
      <c r="AG1" s="1" t="s">
        <v>252</v>
      </c>
      <c r="AH1" s="1" t="s">
        <v>253</v>
      </c>
      <c r="AI1" s="1" t="s">
        <v>254</v>
      </c>
      <c r="AJ1" s="1" t="s">
        <v>255</v>
      </c>
      <c r="AK1" s="1" t="s">
        <v>256</v>
      </c>
      <c r="AL1" s="1" t="s">
        <v>257</v>
      </c>
      <c r="AM1" s="1" t="s">
        <v>258</v>
      </c>
      <c r="AN1" s="1" t="s">
        <v>259</v>
      </c>
      <c r="AO1" s="1" t="s">
        <v>260</v>
      </c>
      <c r="AP1" s="1" t="s">
        <v>261</v>
      </c>
      <c r="AQ1" s="1" t="s">
        <v>262</v>
      </c>
      <c r="AR1" s="1" t="s">
        <v>263</v>
      </c>
      <c r="AS1" s="1" t="s">
        <v>264</v>
      </c>
      <c r="AT1" s="1" t="s">
        <v>265</v>
      </c>
      <c r="AU1" s="1" t="s">
        <v>102</v>
      </c>
      <c r="AV1" s="1" t="s">
        <v>103</v>
      </c>
    </row>
    <row r="2" spans="1:48">
      <c r="A2" s="1">
        <v>1610612737</v>
      </c>
      <c r="B2" s="1" t="s">
        <v>104</v>
      </c>
      <c r="C2" s="1">
        <v>10</v>
      </c>
      <c r="D2" s="1">
        <v>4</v>
      </c>
      <c r="E2" s="1">
        <v>6</v>
      </c>
      <c r="F2" s="1">
        <v>0.4</v>
      </c>
      <c r="G2" s="1">
        <v>211</v>
      </c>
      <c r="H2" s="1">
        <v>103.2</v>
      </c>
      <c r="I2" s="1">
        <v>56</v>
      </c>
      <c r="J2" s="1">
        <v>104</v>
      </c>
      <c r="K2" s="1">
        <v>55.4</v>
      </c>
      <c r="L2" s="1">
        <v>-0.8</v>
      </c>
      <c r="M2" s="1">
        <v>0.6</v>
      </c>
      <c r="N2" s="1">
        <v>0.60499999999999998</v>
      </c>
      <c r="O2" s="1">
        <v>1.35</v>
      </c>
      <c r="P2" s="1">
        <v>8.6</v>
      </c>
      <c r="Q2" s="1">
        <v>0.32300000000000001</v>
      </c>
      <c r="R2" s="1">
        <v>0.70899999999999996</v>
      </c>
      <c r="S2" s="1">
        <v>0.52</v>
      </c>
      <c r="T2" s="1">
        <v>9.5000000000000001E-2</v>
      </c>
      <c r="U2" s="1">
        <v>0.53500000000000003</v>
      </c>
      <c r="V2" s="1">
        <v>0.55900000000000005</v>
      </c>
      <c r="W2" s="1">
        <v>103.6</v>
      </c>
      <c r="X2" s="1">
        <v>192.76</v>
      </c>
      <c r="Y2" s="1">
        <v>160.63</v>
      </c>
      <c r="Z2" s="1">
        <v>843</v>
      </c>
      <c r="AA2" s="1">
        <v>0.502</v>
      </c>
      <c r="AB2" s="1">
        <v>17</v>
      </c>
      <c r="AC2" s="1">
        <v>16</v>
      </c>
      <c r="AD2" s="1">
        <v>15</v>
      </c>
      <c r="AE2" s="1">
        <v>16</v>
      </c>
      <c r="AF2" s="1">
        <v>9</v>
      </c>
      <c r="AG2" s="1">
        <v>12</v>
      </c>
      <c r="AH2" s="1">
        <v>15</v>
      </c>
      <c r="AI2" s="1">
        <v>10</v>
      </c>
      <c r="AJ2" s="1">
        <v>10</v>
      </c>
      <c r="AK2" s="1">
        <v>18</v>
      </c>
      <c r="AL2" s="1">
        <v>14</v>
      </c>
      <c r="AM2" s="1">
        <v>1</v>
      </c>
      <c r="AN2" s="1">
        <v>24</v>
      </c>
      <c r="AO2" s="1">
        <v>6</v>
      </c>
      <c r="AP2" s="1">
        <v>27</v>
      </c>
      <c r="AQ2" s="1">
        <v>6</v>
      </c>
      <c r="AR2" s="1">
        <v>10</v>
      </c>
      <c r="AS2" s="1">
        <v>18</v>
      </c>
      <c r="AT2" s="1">
        <v>12</v>
      </c>
      <c r="AU2" s="1">
        <v>10</v>
      </c>
      <c r="AV2" s="1" t="s">
        <v>104</v>
      </c>
    </row>
    <row r="3" spans="1:48">
      <c r="A3" s="1">
        <v>1610612738</v>
      </c>
      <c r="B3" s="1" t="s">
        <v>106</v>
      </c>
      <c r="C3" s="1">
        <v>10</v>
      </c>
      <c r="D3" s="1">
        <v>9</v>
      </c>
      <c r="E3" s="1">
        <v>1</v>
      </c>
      <c r="F3" s="1">
        <v>0.9</v>
      </c>
      <c r="G3" s="1">
        <v>166</v>
      </c>
      <c r="H3" s="1">
        <v>104.8</v>
      </c>
      <c r="I3" s="1">
        <v>49</v>
      </c>
      <c r="J3" s="1">
        <v>105.2</v>
      </c>
      <c r="K3" s="1">
        <v>48.8</v>
      </c>
      <c r="L3" s="1">
        <v>-0.4</v>
      </c>
      <c r="M3" s="1">
        <v>0.2</v>
      </c>
      <c r="N3" s="1">
        <v>0.60399999999999998</v>
      </c>
      <c r="O3" s="1">
        <v>2.0099999999999998</v>
      </c>
      <c r="P3" s="1">
        <v>8.8000000000000007</v>
      </c>
      <c r="Q3" s="1">
        <v>0.22700000000000001</v>
      </c>
      <c r="R3" s="1">
        <v>0.71699999999999997</v>
      </c>
      <c r="S3" s="1">
        <v>0.46899999999999997</v>
      </c>
      <c r="T3" s="1">
        <v>5.1999999999999998E-2</v>
      </c>
      <c r="U3" s="1">
        <v>0.48899999999999999</v>
      </c>
      <c r="V3" s="1">
        <v>0.53800000000000003</v>
      </c>
      <c r="W3" s="1">
        <v>104.8</v>
      </c>
      <c r="X3" s="1">
        <v>224.95</v>
      </c>
      <c r="Y3" s="1">
        <v>187.45</v>
      </c>
      <c r="Z3" s="1">
        <v>781</v>
      </c>
      <c r="AA3" s="1">
        <v>0.503</v>
      </c>
      <c r="AB3" s="1">
        <v>17</v>
      </c>
      <c r="AC3" s="1">
        <v>1</v>
      </c>
      <c r="AD3" s="1">
        <v>1</v>
      </c>
      <c r="AE3" s="1">
        <v>1</v>
      </c>
      <c r="AF3" s="1">
        <v>29</v>
      </c>
      <c r="AG3" s="1">
        <v>26</v>
      </c>
      <c r="AH3" s="1">
        <v>5</v>
      </c>
      <c r="AI3" s="1">
        <v>11</v>
      </c>
      <c r="AJ3" s="1">
        <v>11</v>
      </c>
      <c r="AK3" s="1">
        <v>2</v>
      </c>
      <c r="AL3" s="1">
        <v>12</v>
      </c>
      <c r="AM3" s="1">
        <v>28</v>
      </c>
      <c r="AN3" s="1">
        <v>18</v>
      </c>
      <c r="AO3" s="1">
        <v>27</v>
      </c>
      <c r="AP3" s="1">
        <v>1</v>
      </c>
      <c r="AQ3" s="1">
        <v>22</v>
      </c>
      <c r="AR3" s="1">
        <v>17</v>
      </c>
      <c r="AS3" s="1">
        <v>4</v>
      </c>
      <c r="AT3" s="1">
        <v>11</v>
      </c>
      <c r="AU3" s="1">
        <v>10</v>
      </c>
      <c r="AV3" s="1" t="s">
        <v>106</v>
      </c>
    </row>
    <row r="4" spans="1:48">
      <c r="A4" s="1">
        <v>1610612751</v>
      </c>
      <c r="B4" s="1" t="s">
        <v>107</v>
      </c>
      <c r="C4" s="1">
        <v>10</v>
      </c>
      <c r="D4" s="1">
        <v>4</v>
      </c>
      <c r="E4" s="1">
        <v>6</v>
      </c>
      <c r="F4" s="1">
        <v>0.4</v>
      </c>
      <c r="G4" s="1">
        <v>181</v>
      </c>
      <c r="H4" s="1">
        <v>104.7</v>
      </c>
      <c r="I4" s="1">
        <v>55.3</v>
      </c>
      <c r="J4" s="1">
        <v>107.5</v>
      </c>
      <c r="K4" s="1">
        <v>56.7</v>
      </c>
      <c r="L4" s="1">
        <v>-2.8</v>
      </c>
      <c r="M4" s="1">
        <v>-1.5</v>
      </c>
      <c r="N4" s="1">
        <v>0.53900000000000003</v>
      </c>
      <c r="O4" s="1">
        <v>1.1499999999999999</v>
      </c>
      <c r="P4" s="1">
        <v>9.1</v>
      </c>
      <c r="Q4" s="1">
        <v>0.318</v>
      </c>
      <c r="R4" s="1">
        <v>0.72099999999999997</v>
      </c>
      <c r="S4" s="1">
        <v>0.53100000000000003</v>
      </c>
      <c r="T4" s="1">
        <v>9.4E-2</v>
      </c>
      <c r="U4" s="1">
        <v>0.53</v>
      </c>
      <c r="V4" s="1">
        <v>0.58099999999999996</v>
      </c>
      <c r="W4" s="1">
        <v>109.3</v>
      </c>
      <c r="X4" s="1">
        <v>207.12</v>
      </c>
      <c r="Y4" s="1">
        <v>172.6</v>
      </c>
      <c r="Z4" s="1">
        <v>778</v>
      </c>
      <c r="AA4" s="1">
        <v>0.48599999999999999</v>
      </c>
      <c r="AB4" s="1">
        <v>17</v>
      </c>
      <c r="AC4" s="1">
        <v>16</v>
      </c>
      <c r="AD4" s="1">
        <v>15</v>
      </c>
      <c r="AE4" s="1">
        <v>16</v>
      </c>
      <c r="AF4" s="1">
        <v>23</v>
      </c>
      <c r="AG4" s="1">
        <v>15</v>
      </c>
      <c r="AH4" s="1">
        <v>21</v>
      </c>
      <c r="AI4" s="1">
        <v>19</v>
      </c>
      <c r="AJ4" s="1">
        <v>24</v>
      </c>
      <c r="AK4" s="1">
        <v>27</v>
      </c>
      <c r="AL4" s="1">
        <v>10</v>
      </c>
      <c r="AM4" s="1">
        <v>4</v>
      </c>
      <c r="AN4" s="1">
        <v>14</v>
      </c>
      <c r="AO4" s="1">
        <v>3</v>
      </c>
      <c r="AP4" s="1">
        <v>26</v>
      </c>
      <c r="AQ4" s="1">
        <v>7</v>
      </c>
      <c r="AR4" s="1">
        <v>5</v>
      </c>
      <c r="AS4" s="1">
        <v>8</v>
      </c>
      <c r="AT4" s="1">
        <v>19</v>
      </c>
      <c r="AU4" s="1">
        <v>10</v>
      </c>
      <c r="AV4" s="1" t="s">
        <v>107</v>
      </c>
    </row>
    <row r="5" spans="1:48">
      <c r="A5" s="1">
        <v>1610612766</v>
      </c>
      <c r="B5" s="1" t="s">
        <v>109</v>
      </c>
      <c r="C5" s="1">
        <v>11</v>
      </c>
      <c r="D5" s="1">
        <v>4</v>
      </c>
      <c r="E5" s="1">
        <v>7</v>
      </c>
      <c r="F5" s="1">
        <v>0.36399999999999999</v>
      </c>
      <c r="G5" s="1">
        <v>206</v>
      </c>
      <c r="H5" s="1">
        <v>101.1</v>
      </c>
      <c r="I5" s="1">
        <v>49.5</v>
      </c>
      <c r="J5" s="1">
        <v>105.1</v>
      </c>
      <c r="K5" s="1">
        <v>52.2</v>
      </c>
      <c r="L5" s="1">
        <v>-4</v>
      </c>
      <c r="M5" s="1">
        <v>-2.7</v>
      </c>
      <c r="N5" s="1">
        <v>0.61</v>
      </c>
      <c r="O5" s="1">
        <v>1.35</v>
      </c>
      <c r="P5" s="1">
        <v>11.5</v>
      </c>
      <c r="Q5" s="1">
        <v>0.26300000000000001</v>
      </c>
      <c r="R5" s="1">
        <v>0.72599999999999998</v>
      </c>
      <c r="S5" s="1">
        <v>0.48599999999999999</v>
      </c>
      <c r="T5" s="1">
        <v>8.1000000000000003E-2</v>
      </c>
      <c r="U5" s="1">
        <v>0.51400000000000001</v>
      </c>
      <c r="V5" s="1">
        <v>0.57199999999999995</v>
      </c>
      <c r="W5" s="1">
        <v>104.2</v>
      </c>
      <c r="X5" s="1">
        <v>211.17</v>
      </c>
      <c r="Y5" s="1">
        <v>175.97</v>
      </c>
      <c r="Z5" s="1">
        <v>906</v>
      </c>
      <c r="AA5" s="1">
        <v>0.45600000000000002</v>
      </c>
      <c r="AB5" s="1">
        <v>2</v>
      </c>
      <c r="AC5" s="1">
        <v>16</v>
      </c>
      <c r="AD5" s="1">
        <v>20</v>
      </c>
      <c r="AE5" s="1">
        <v>20</v>
      </c>
      <c r="AF5" s="1">
        <v>12</v>
      </c>
      <c r="AG5" s="1">
        <v>24</v>
      </c>
      <c r="AH5" s="1">
        <v>7</v>
      </c>
      <c r="AI5" s="1">
        <v>24</v>
      </c>
      <c r="AJ5" s="1">
        <v>9</v>
      </c>
      <c r="AK5" s="1">
        <v>17</v>
      </c>
      <c r="AL5" s="1">
        <v>2</v>
      </c>
      <c r="AM5" s="1">
        <v>18</v>
      </c>
      <c r="AN5" s="1">
        <v>13</v>
      </c>
      <c r="AO5" s="1">
        <v>19</v>
      </c>
      <c r="AP5" s="1">
        <v>15</v>
      </c>
      <c r="AQ5" s="1">
        <v>13</v>
      </c>
      <c r="AR5" s="1">
        <v>7</v>
      </c>
      <c r="AS5" s="1">
        <v>7</v>
      </c>
      <c r="AT5" s="1">
        <v>26</v>
      </c>
      <c r="AU5" s="1">
        <v>10</v>
      </c>
      <c r="AV5" s="1" t="s">
        <v>109</v>
      </c>
    </row>
    <row r="6" spans="1:48">
      <c r="A6" s="1">
        <v>1610612741</v>
      </c>
      <c r="B6" s="1" t="s">
        <v>112</v>
      </c>
      <c r="C6" s="1">
        <v>11</v>
      </c>
      <c r="D6" s="1">
        <v>4</v>
      </c>
      <c r="E6" s="1">
        <v>7</v>
      </c>
      <c r="F6" s="1">
        <v>0.36399999999999999</v>
      </c>
      <c r="G6" s="1">
        <v>219</v>
      </c>
      <c r="H6" s="1">
        <v>97.5</v>
      </c>
      <c r="I6" s="1">
        <v>57.9</v>
      </c>
      <c r="J6" s="1">
        <v>101</v>
      </c>
      <c r="K6" s="1">
        <v>59</v>
      </c>
      <c r="L6" s="1">
        <v>-3.4</v>
      </c>
      <c r="M6" s="1">
        <v>-1.2</v>
      </c>
      <c r="N6" s="1">
        <v>0.59499999999999997</v>
      </c>
      <c r="O6" s="1">
        <v>1.65</v>
      </c>
      <c r="P6" s="1">
        <v>10</v>
      </c>
      <c r="Q6" s="1">
        <v>0.23899999999999999</v>
      </c>
      <c r="R6" s="1">
        <v>0.72</v>
      </c>
      <c r="S6" s="1">
        <v>0.46700000000000003</v>
      </c>
      <c r="T6" s="1">
        <v>7.8E-2</v>
      </c>
      <c r="U6" s="1">
        <v>0.48099999999999998</v>
      </c>
      <c r="V6" s="1">
        <v>0.49399999999999999</v>
      </c>
      <c r="W6" s="1">
        <v>106.1</v>
      </c>
      <c r="X6" s="1">
        <v>180.18</v>
      </c>
      <c r="Y6" s="1">
        <v>150.15</v>
      </c>
      <c r="Z6" s="1">
        <v>823</v>
      </c>
      <c r="AA6" s="1">
        <v>0.47899999999999998</v>
      </c>
      <c r="AB6" s="1">
        <v>2</v>
      </c>
      <c r="AC6" s="1">
        <v>16</v>
      </c>
      <c r="AD6" s="1">
        <v>20</v>
      </c>
      <c r="AE6" s="1">
        <v>20</v>
      </c>
      <c r="AF6" s="1">
        <v>6</v>
      </c>
      <c r="AG6" s="1">
        <v>8</v>
      </c>
      <c r="AH6" s="1">
        <v>23</v>
      </c>
      <c r="AI6" s="1">
        <v>18</v>
      </c>
      <c r="AJ6" s="1">
        <v>13</v>
      </c>
      <c r="AK6" s="1">
        <v>6</v>
      </c>
      <c r="AL6" s="1">
        <v>4</v>
      </c>
      <c r="AM6" s="1">
        <v>27</v>
      </c>
      <c r="AN6" s="1">
        <v>15</v>
      </c>
      <c r="AO6" s="1">
        <v>29</v>
      </c>
      <c r="AP6" s="1">
        <v>11</v>
      </c>
      <c r="AQ6" s="1">
        <v>23</v>
      </c>
      <c r="AR6" s="1">
        <v>28</v>
      </c>
      <c r="AS6" s="1">
        <v>25</v>
      </c>
      <c r="AT6" s="1">
        <v>21</v>
      </c>
      <c r="AU6" s="1">
        <v>10</v>
      </c>
      <c r="AV6" s="1" t="s">
        <v>112</v>
      </c>
    </row>
    <row r="7" spans="1:48">
      <c r="A7" s="1">
        <v>1610612739</v>
      </c>
      <c r="B7" s="1" t="s">
        <v>114</v>
      </c>
      <c r="C7" s="1">
        <v>10</v>
      </c>
      <c r="D7" s="1">
        <v>4</v>
      </c>
      <c r="E7" s="1">
        <v>6</v>
      </c>
      <c r="F7" s="1">
        <v>0.4</v>
      </c>
      <c r="G7" s="1">
        <v>167</v>
      </c>
      <c r="H7" s="1">
        <v>98.8</v>
      </c>
      <c r="I7" s="1">
        <v>51.4</v>
      </c>
      <c r="J7" s="1">
        <v>107.8</v>
      </c>
      <c r="K7" s="1">
        <v>56.4</v>
      </c>
      <c r="L7" s="1">
        <v>-9.1</v>
      </c>
      <c r="M7" s="1">
        <v>-5</v>
      </c>
      <c r="N7" s="1">
        <v>0.51</v>
      </c>
      <c r="O7" s="1">
        <v>1.29</v>
      </c>
      <c r="P7" s="1">
        <v>7.8</v>
      </c>
      <c r="Q7" s="1">
        <v>0.253</v>
      </c>
      <c r="R7" s="1">
        <v>0.69399999999999995</v>
      </c>
      <c r="S7" s="1">
        <v>0.46700000000000003</v>
      </c>
      <c r="T7" s="1">
        <v>7.1999999999999995E-2</v>
      </c>
      <c r="U7" s="1">
        <v>0.47</v>
      </c>
      <c r="V7" s="1">
        <v>0.53200000000000003</v>
      </c>
      <c r="W7" s="1">
        <v>102.7</v>
      </c>
      <c r="X7" s="1">
        <v>196.95</v>
      </c>
      <c r="Y7" s="1">
        <v>164.13</v>
      </c>
      <c r="Z7" s="1">
        <v>685</v>
      </c>
      <c r="AA7" s="1">
        <v>0.434</v>
      </c>
      <c r="AB7" s="1">
        <v>17</v>
      </c>
      <c r="AC7" s="1">
        <v>16</v>
      </c>
      <c r="AD7" s="1">
        <v>15</v>
      </c>
      <c r="AE7" s="1">
        <v>16</v>
      </c>
      <c r="AF7" s="1">
        <v>28</v>
      </c>
      <c r="AG7" s="1">
        <v>20</v>
      </c>
      <c r="AH7" s="1">
        <v>20</v>
      </c>
      <c r="AI7" s="1">
        <v>28</v>
      </c>
      <c r="AJ7" s="1">
        <v>28</v>
      </c>
      <c r="AK7" s="1">
        <v>23</v>
      </c>
      <c r="AL7" s="1">
        <v>22</v>
      </c>
      <c r="AM7" s="1">
        <v>23</v>
      </c>
      <c r="AN7" s="1">
        <v>25</v>
      </c>
      <c r="AO7" s="1">
        <v>28</v>
      </c>
      <c r="AP7" s="1">
        <v>7</v>
      </c>
      <c r="AQ7" s="1">
        <v>28</v>
      </c>
      <c r="AR7" s="1">
        <v>18</v>
      </c>
      <c r="AS7" s="1">
        <v>16</v>
      </c>
      <c r="AT7" s="1">
        <v>27</v>
      </c>
      <c r="AU7" s="1">
        <v>10</v>
      </c>
      <c r="AV7" s="1" t="s">
        <v>114</v>
      </c>
    </row>
    <row r="8" spans="1:48">
      <c r="A8" s="1">
        <v>1610612742</v>
      </c>
      <c r="B8" s="1" t="s">
        <v>118</v>
      </c>
      <c r="C8" s="1">
        <v>10</v>
      </c>
      <c r="D8" s="1">
        <v>6</v>
      </c>
      <c r="E8" s="1">
        <v>4</v>
      </c>
      <c r="F8" s="1">
        <v>0.6</v>
      </c>
      <c r="G8" s="1">
        <v>218</v>
      </c>
      <c r="H8" s="1">
        <v>114</v>
      </c>
      <c r="I8" s="1">
        <v>66.7</v>
      </c>
      <c r="J8" s="1">
        <v>102.5</v>
      </c>
      <c r="K8" s="1">
        <v>59.7</v>
      </c>
      <c r="L8" s="1">
        <v>11.6</v>
      </c>
      <c r="M8" s="1">
        <v>7</v>
      </c>
      <c r="N8" s="1">
        <v>0.59399999999999997</v>
      </c>
      <c r="O8" s="1">
        <v>2.1</v>
      </c>
      <c r="P8" s="1">
        <v>8.5</v>
      </c>
      <c r="Q8" s="1">
        <v>0.28399999999999997</v>
      </c>
      <c r="R8" s="1">
        <v>0.74099999999999999</v>
      </c>
      <c r="S8" s="1">
        <v>0.51500000000000001</v>
      </c>
      <c r="T8" s="1">
        <v>6.8000000000000005E-2</v>
      </c>
      <c r="U8" s="1">
        <v>0.54</v>
      </c>
      <c r="V8" s="1">
        <v>0.55900000000000005</v>
      </c>
      <c r="W8" s="1">
        <v>103.9</v>
      </c>
      <c r="X8" s="1">
        <v>177.98</v>
      </c>
      <c r="Y8" s="1">
        <v>148.31</v>
      </c>
      <c r="Z8" s="1">
        <v>806</v>
      </c>
      <c r="AA8" s="1">
        <v>0.56599999999999995</v>
      </c>
      <c r="AB8" s="1">
        <v>17</v>
      </c>
      <c r="AC8" s="1">
        <v>13</v>
      </c>
      <c r="AD8" s="1">
        <v>9</v>
      </c>
      <c r="AE8" s="1">
        <v>13</v>
      </c>
      <c r="AF8" s="1">
        <v>7</v>
      </c>
      <c r="AG8" s="1">
        <v>1</v>
      </c>
      <c r="AH8" s="1">
        <v>24</v>
      </c>
      <c r="AI8" s="1">
        <v>1</v>
      </c>
      <c r="AJ8" s="1">
        <v>14</v>
      </c>
      <c r="AK8" s="1">
        <v>1</v>
      </c>
      <c r="AL8" s="1">
        <v>15</v>
      </c>
      <c r="AM8" s="1">
        <v>14</v>
      </c>
      <c r="AN8" s="1">
        <v>5</v>
      </c>
      <c r="AO8" s="1">
        <v>7</v>
      </c>
      <c r="AP8" s="1">
        <v>4</v>
      </c>
      <c r="AQ8" s="1">
        <v>4</v>
      </c>
      <c r="AR8" s="1">
        <v>11</v>
      </c>
      <c r="AS8" s="1">
        <v>26</v>
      </c>
      <c r="AT8" s="1">
        <v>1</v>
      </c>
      <c r="AU8" s="1">
        <v>10</v>
      </c>
      <c r="AV8" s="1" t="s">
        <v>118</v>
      </c>
    </row>
    <row r="9" spans="1:48">
      <c r="A9" s="1">
        <v>1610612743</v>
      </c>
      <c r="B9" s="1" t="s">
        <v>121</v>
      </c>
      <c r="C9" s="1">
        <v>10</v>
      </c>
      <c r="D9" s="1">
        <v>7</v>
      </c>
      <c r="E9" s="1">
        <v>3</v>
      </c>
      <c r="F9" s="1">
        <v>0.7</v>
      </c>
      <c r="G9" s="1">
        <v>181</v>
      </c>
      <c r="H9" s="1">
        <v>95.2</v>
      </c>
      <c r="I9" s="1">
        <v>62.2</v>
      </c>
      <c r="J9" s="1">
        <v>104.6</v>
      </c>
      <c r="K9" s="1">
        <v>68.5</v>
      </c>
      <c r="L9" s="1">
        <v>-9.4</v>
      </c>
      <c r="M9" s="1">
        <v>-6.3</v>
      </c>
      <c r="N9" s="1">
        <v>0.68200000000000005</v>
      </c>
      <c r="O9" s="1">
        <v>1.59</v>
      </c>
      <c r="P9" s="1">
        <v>11.4</v>
      </c>
      <c r="Q9" s="1">
        <v>0.318</v>
      </c>
      <c r="R9" s="1">
        <v>0.67200000000000004</v>
      </c>
      <c r="S9" s="1">
        <v>0.48899999999999999</v>
      </c>
      <c r="T9" s="1">
        <v>0.1</v>
      </c>
      <c r="U9" s="1">
        <v>0.46600000000000003</v>
      </c>
      <c r="V9" s="1">
        <v>0.50800000000000001</v>
      </c>
      <c r="W9" s="1">
        <v>102.5</v>
      </c>
      <c r="X9" s="1">
        <v>156.81</v>
      </c>
      <c r="Y9" s="1">
        <v>130.66999999999999</v>
      </c>
      <c r="Z9" s="1">
        <v>589</v>
      </c>
      <c r="AA9" s="1">
        <v>0.433</v>
      </c>
      <c r="AB9" s="1">
        <v>17</v>
      </c>
      <c r="AC9" s="1">
        <v>5</v>
      </c>
      <c r="AD9" s="1">
        <v>3</v>
      </c>
      <c r="AE9" s="1">
        <v>5</v>
      </c>
      <c r="AF9" s="1">
        <v>22</v>
      </c>
      <c r="AG9" s="1">
        <v>5</v>
      </c>
      <c r="AH9" s="1">
        <v>30</v>
      </c>
      <c r="AI9" s="1">
        <v>30</v>
      </c>
      <c r="AJ9" s="1">
        <v>1</v>
      </c>
      <c r="AK9" s="1">
        <v>7</v>
      </c>
      <c r="AL9" s="1">
        <v>3</v>
      </c>
      <c r="AM9" s="1">
        <v>3</v>
      </c>
      <c r="AN9" s="1">
        <v>29</v>
      </c>
      <c r="AO9" s="1">
        <v>17</v>
      </c>
      <c r="AP9" s="1">
        <v>29</v>
      </c>
      <c r="AQ9" s="1">
        <v>29</v>
      </c>
      <c r="AR9" s="1">
        <v>24</v>
      </c>
      <c r="AS9" s="1">
        <v>30</v>
      </c>
      <c r="AT9" s="1">
        <v>28</v>
      </c>
      <c r="AU9" s="1">
        <v>10</v>
      </c>
      <c r="AV9" s="1" t="s">
        <v>121</v>
      </c>
    </row>
    <row r="10" spans="1:48">
      <c r="A10" s="1">
        <v>1610612765</v>
      </c>
      <c r="B10" s="1" t="s">
        <v>124</v>
      </c>
      <c r="C10" s="1">
        <v>12</v>
      </c>
      <c r="D10" s="1">
        <v>4</v>
      </c>
      <c r="E10" s="1">
        <v>8</v>
      </c>
      <c r="F10" s="1">
        <v>0.33300000000000002</v>
      </c>
      <c r="G10" s="1">
        <v>222</v>
      </c>
      <c r="H10" s="1">
        <v>109.3</v>
      </c>
      <c r="I10" s="1">
        <v>56</v>
      </c>
      <c r="J10" s="1">
        <v>108.3</v>
      </c>
      <c r="K10" s="1">
        <v>56.2</v>
      </c>
      <c r="L10" s="1">
        <v>1</v>
      </c>
      <c r="M10" s="1">
        <v>-0.3</v>
      </c>
      <c r="N10" s="1">
        <v>0.60099999999999998</v>
      </c>
      <c r="O10" s="1">
        <v>1.32</v>
      </c>
      <c r="P10" s="1">
        <v>8.1999999999999993</v>
      </c>
      <c r="Q10" s="1">
        <v>0.28799999999999998</v>
      </c>
      <c r="R10" s="1">
        <v>0.71099999999999997</v>
      </c>
      <c r="S10" s="1">
        <v>0.505</v>
      </c>
      <c r="T10" s="1">
        <v>8.6999999999999994E-2</v>
      </c>
      <c r="U10" s="1">
        <v>0.54800000000000004</v>
      </c>
      <c r="V10" s="1">
        <v>0.61699999999999999</v>
      </c>
      <c r="W10" s="1">
        <v>104.4</v>
      </c>
      <c r="X10" s="1">
        <v>202.53</v>
      </c>
      <c r="Y10" s="1">
        <v>168.78</v>
      </c>
      <c r="Z10" s="1">
        <v>939</v>
      </c>
      <c r="AA10" s="1">
        <v>0.495</v>
      </c>
      <c r="AB10" s="1">
        <v>1</v>
      </c>
      <c r="AC10" s="1">
        <v>16</v>
      </c>
      <c r="AD10" s="1">
        <v>27</v>
      </c>
      <c r="AE10" s="1">
        <v>26</v>
      </c>
      <c r="AF10" s="1">
        <v>5</v>
      </c>
      <c r="AG10" s="1">
        <v>13</v>
      </c>
      <c r="AH10" s="1">
        <v>18</v>
      </c>
      <c r="AI10" s="1">
        <v>16</v>
      </c>
      <c r="AJ10" s="1">
        <v>12</v>
      </c>
      <c r="AK10" s="1">
        <v>20</v>
      </c>
      <c r="AL10" s="1">
        <v>19</v>
      </c>
      <c r="AM10" s="1">
        <v>12</v>
      </c>
      <c r="AN10" s="1">
        <v>23</v>
      </c>
      <c r="AO10" s="1">
        <v>14</v>
      </c>
      <c r="AP10" s="1">
        <v>20</v>
      </c>
      <c r="AQ10" s="1">
        <v>2</v>
      </c>
      <c r="AR10" s="1">
        <v>1</v>
      </c>
      <c r="AS10" s="1">
        <v>12</v>
      </c>
      <c r="AT10" s="1">
        <v>16</v>
      </c>
      <c r="AU10" s="1">
        <v>10</v>
      </c>
      <c r="AV10" s="1" t="s">
        <v>124</v>
      </c>
    </row>
    <row r="11" spans="1:48">
      <c r="A11" s="1">
        <v>1610612744</v>
      </c>
      <c r="B11" s="1" t="s">
        <v>126</v>
      </c>
      <c r="C11" s="1">
        <v>11</v>
      </c>
      <c r="D11" s="1">
        <v>2</v>
      </c>
      <c r="E11" s="1">
        <v>9</v>
      </c>
      <c r="F11" s="1">
        <v>0.182</v>
      </c>
      <c r="G11" s="1">
        <v>208</v>
      </c>
      <c r="H11" s="1">
        <v>105.6</v>
      </c>
      <c r="I11" s="1">
        <v>54.5</v>
      </c>
      <c r="J11" s="1">
        <v>111.7</v>
      </c>
      <c r="K11" s="1">
        <v>57.3</v>
      </c>
      <c r="L11" s="1">
        <v>-6.1</v>
      </c>
      <c r="M11" s="1">
        <v>-2.8</v>
      </c>
      <c r="N11" s="1">
        <v>0.56499999999999995</v>
      </c>
      <c r="O11" s="1">
        <v>1.48</v>
      </c>
      <c r="P11" s="1">
        <v>7.5</v>
      </c>
      <c r="Q11" s="1">
        <v>0.31900000000000001</v>
      </c>
      <c r="R11" s="1">
        <v>0.72699999999999998</v>
      </c>
      <c r="S11" s="1">
        <v>0.51300000000000001</v>
      </c>
      <c r="T11" s="1">
        <v>7.0999999999999994E-2</v>
      </c>
      <c r="U11" s="1">
        <v>0.47499999999999998</v>
      </c>
      <c r="V11" s="1">
        <v>0.54100000000000004</v>
      </c>
      <c r="W11" s="1">
        <v>106.1</v>
      </c>
      <c r="X11" s="1">
        <v>206.15</v>
      </c>
      <c r="Y11" s="1">
        <v>171.79</v>
      </c>
      <c r="Z11" s="1">
        <v>898</v>
      </c>
      <c r="AA11" s="1">
        <v>0.48799999999999999</v>
      </c>
      <c r="AB11" s="1">
        <v>2</v>
      </c>
      <c r="AC11" s="1">
        <v>27</v>
      </c>
      <c r="AD11" s="1">
        <v>29</v>
      </c>
      <c r="AE11" s="1">
        <v>29</v>
      </c>
      <c r="AF11" s="1">
        <v>10</v>
      </c>
      <c r="AG11" s="1">
        <v>16</v>
      </c>
      <c r="AH11" s="1">
        <v>22</v>
      </c>
      <c r="AI11" s="1">
        <v>25</v>
      </c>
      <c r="AJ11" s="1">
        <v>20</v>
      </c>
      <c r="AK11" s="1">
        <v>13</v>
      </c>
      <c r="AL11" s="1">
        <v>23</v>
      </c>
      <c r="AM11" s="1">
        <v>2</v>
      </c>
      <c r="AN11" s="1">
        <v>12</v>
      </c>
      <c r="AO11" s="1">
        <v>9</v>
      </c>
      <c r="AP11" s="1">
        <v>6</v>
      </c>
      <c r="AQ11" s="1">
        <v>27</v>
      </c>
      <c r="AR11" s="1">
        <v>13</v>
      </c>
      <c r="AS11" s="1">
        <v>9</v>
      </c>
      <c r="AT11" s="1">
        <v>18</v>
      </c>
      <c r="AU11" s="1">
        <v>10</v>
      </c>
      <c r="AV11" s="1" t="s">
        <v>126</v>
      </c>
    </row>
    <row r="12" spans="1:48">
      <c r="A12" s="1">
        <v>1610612745</v>
      </c>
      <c r="B12" s="1" t="s">
        <v>128</v>
      </c>
      <c r="C12" s="1">
        <v>11</v>
      </c>
      <c r="D12" s="1">
        <v>8</v>
      </c>
      <c r="E12" s="1">
        <v>3</v>
      </c>
      <c r="F12" s="1">
        <v>0.72699999999999998</v>
      </c>
      <c r="G12" s="1">
        <v>170</v>
      </c>
      <c r="H12" s="1">
        <v>110.9</v>
      </c>
      <c r="I12" s="1">
        <v>50.6</v>
      </c>
      <c r="J12" s="1">
        <v>109.3</v>
      </c>
      <c r="K12" s="1">
        <v>48.6</v>
      </c>
      <c r="L12" s="1">
        <v>1.6</v>
      </c>
      <c r="M12" s="1">
        <v>2</v>
      </c>
      <c r="N12" s="1">
        <v>0.52100000000000002</v>
      </c>
      <c r="O12" s="1">
        <v>1.54</v>
      </c>
      <c r="P12" s="1">
        <v>4.4000000000000004</v>
      </c>
      <c r="Q12" s="1">
        <v>0.25600000000000001</v>
      </c>
      <c r="R12" s="1">
        <v>0.71699999999999997</v>
      </c>
      <c r="S12" s="1">
        <v>0.48399999999999999</v>
      </c>
      <c r="T12" s="1">
        <v>5.8000000000000003E-2</v>
      </c>
      <c r="U12" s="1">
        <v>0.53900000000000003</v>
      </c>
      <c r="V12" s="1">
        <v>0.5</v>
      </c>
      <c r="W12" s="1">
        <v>109.6</v>
      </c>
      <c r="X12" s="1">
        <v>243.46</v>
      </c>
      <c r="Y12" s="1">
        <v>202.88</v>
      </c>
      <c r="Z12" s="1">
        <v>857</v>
      </c>
      <c r="AA12" s="1">
        <v>0.49299999999999999</v>
      </c>
      <c r="AB12" s="1">
        <v>2</v>
      </c>
      <c r="AC12" s="1">
        <v>2</v>
      </c>
      <c r="AD12" s="1">
        <v>3</v>
      </c>
      <c r="AE12" s="1">
        <v>3</v>
      </c>
      <c r="AF12" s="1">
        <v>27</v>
      </c>
      <c r="AG12" s="1">
        <v>23</v>
      </c>
      <c r="AH12" s="1">
        <v>4</v>
      </c>
      <c r="AI12" s="1">
        <v>6</v>
      </c>
      <c r="AJ12" s="1">
        <v>27</v>
      </c>
      <c r="AK12" s="1">
        <v>9</v>
      </c>
      <c r="AL12" s="1">
        <v>28</v>
      </c>
      <c r="AM12" s="1">
        <v>20</v>
      </c>
      <c r="AN12" s="1">
        <v>16</v>
      </c>
      <c r="AO12" s="1">
        <v>20</v>
      </c>
      <c r="AP12" s="1">
        <v>2</v>
      </c>
      <c r="AQ12" s="1">
        <v>5</v>
      </c>
      <c r="AR12" s="1">
        <v>27</v>
      </c>
      <c r="AS12" s="1">
        <v>1</v>
      </c>
      <c r="AT12" s="1">
        <v>17</v>
      </c>
      <c r="AU12" s="1">
        <v>10</v>
      </c>
      <c r="AV12" s="1" t="s">
        <v>128</v>
      </c>
    </row>
    <row r="13" spans="1:48">
      <c r="A13" s="1">
        <v>1610612754</v>
      </c>
      <c r="B13" s="1" t="s">
        <v>130</v>
      </c>
      <c r="C13" s="1">
        <v>11</v>
      </c>
      <c r="D13" s="1">
        <v>7</v>
      </c>
      <c r="E13" s="1">
        <v>4</v>
      </c>
      <c r="F13" s="1">
        <v>0.63600000000000001</v>
      </c>
      <c r="G13" s="1">
        <v>193</v>
      </c>
      <c r="H13" s="1">
        <v>102.2</v>
      </c>
      <c r="I13" s="1">
        <v>50.7</v>
      </c>
      <c r="J13" s="1">
        <v>99.2</v>
      </c>
      <c r="K13" s="1">
        <v>50.6</v>
      </c>
      <c r="L13" s="1">
        <v>2.9</v>
      </c>
      <c r="M13" s="1">
        <v>0.1</v>
      </c>
      <c r="N13" s="1">
        <v>0.621</v>
      </c>
      <c r="O13" s="1">
        <v>1.78</v>
      </c>
      <c r="P13" s="1">
        <v>9.6999999999999993</v>
      </c>
      <c r="Q13" s="1">
        <v>0.27500000000000002</v>
      </c>
      <c r="R13" s="1">
        <v>0.67300000000000004</v>
      </c>
      <c r="S13" s="1">
        <v>0.47599999999999998</v>
      </c>
      <c r="T13" s="1">
        <v>6.9000000000000006E-2</v>
      </c>
      <c r="U13" s="1">
        <v>0.498</v>
      </c>
      <c r="V13" s="1">
        <v>0.49</v>
      </c>
      <c r="W13" s="1">
        <v>103.4</v>
      </c>
      <c r="X13" s="1">
        <v>205.68</v>
      </c>
      <c r="Y13" s="1">
        <v>171.4</v>
      </c>
      <c r="Z13" s="1">
        <v>827</v>
      </c>
      <c r="AA13" s="1">
        <v>0.50600000000000001</v>
      </c>
      <c r="AB13" s="1">
        <v>2</v>
      </c>
      <c r="AC13" s="1">
        <v>5</v>
      </c>
      <c r="AD13" s="1">
        <v>9</v>
      </c>
      <c r="AE13" s="1">
        <v>9</v>
      </c>
      <c r="AF13" s="1">
        <v>17</v>
      </c>
      <c r="AG13" s="1">
        <v>22</v>
      </c>
      <c r="AH13" s="1">
        <v>6</v>
      </c>
      <c r="AI13" s="1">
        <v>12</v>
      </c>
      <c r="AJ13" s="1">
        <v>6</v>
      </c>
      <c r="AK13" s="1">
        <v>4</v>
      </c>
      <c r="AL13" s="1">
        <v>7</v>
      </c>
      <c r="AM13" s="1">
        <v>16</v>
      </c>
      <c r="AN13" s="1">
        <v>28</v>
      </c>
      <c r="AO13" s="1">
        <v>24</v>
      </c>
      <c r="AP13" s="1">
        <v>5</v>
      </c>
      <c r="AQ13" s="1">
        <v>19</v>
      </c>
      <c r="AR13" s="1">
        <v>29</v>
      </c>
      <c r="AS13" s="1">
        <v>10</v>
      </c>
      <c r="AT13" s="1">
        <v>10</v>
      </c>
      <c r="AU13" s="1">
        <v>10</v>
      </c>
      <c r="AV13" s="1" t="s">
        <v>130</v>
      </c>
    </row>
    <row r="14" spans="1:48">
      <c r="A14" s="1">
        <v>1610612746</v>
      </c>
      <c r="B14" s="1" t="s">
        <v>132</v>
      </c>
      <c r="C14" s="1">
        <v>11</v>
      </c>
      <c r="D14" s="1">
        <v>7</v>
      </c>
      <c r="E14" s="1">
        <v>4</v>
      </c>
      <c r="F14" s="1">
        <v>0.63600000000000001</v>
      </c>
      <c r="G14" s="1">
        <v>244</v>
      </c>
      <c r="H14" s="1">
        <v>104</v>
      </c>
      <c r="I14" s="1">
        <v>63.1</v>
      </c>
      <c r="J14" s="1">
        <v>103.8</v>
      </c>
      <c r="K14" s="1">
        <v>62.1</v>
      </c>
      <c r="L14" s="1">
        <v>0.1</v>
      </c>
      <c r="M14" s="1">
        <v>1.1000000000000001</v>
      </c>
      <c r="N14" s="1">
        <v>0.52700000000000002</v>
      </c>
      <c r="O14" s="1">
        <v>1.17</v>
      </c>
      <c r="P14" s="1">
        <v>8</v>
      </c>
      <c r="Q14" s="1">
        <v>0.30599999999999999</v>
      </c>
      <c r="R14" s="1">
        <v>0.72799999999999998</v>
      </c>
      <c r="S14" s="1">
        <v>0.52500000000000002</v>
      </c>
      <c r="T14" s="1">
        <v>0.10199999999999999</v>
      </c>
      <c r="U14" s="1">
        <v>0.51</v>
      </c>
      <c r="V14" s="1">
        <v>0.56499999999999995</v>
      </c>
      <c r="W14" s="1">
        <v>104.9</v>
      </c>
      <c r="X14" s="1">
        <v>174.22</v>
      </c>
      <c r="Y14" s="1">
        <v>145.18</v>
      </c>
      <c r="Z14" s="1">
        <v>884</v>
      </c>
      <c r="AA14" s="1">
        <v>0.51800000000000002</v>
      </c>
      <c r="AB14" s="1">
        <v>2</v>
      </c>
      <c r="AC14" s="1">
        <v>5</v>
      </c>
      <c r="AD14" s="1">
        <v>9</v>
      </c>
      <c r="AE14" s="1">
        <v>9</v>
      </c>
      <c r="AF14" s="1">
        <v>1</v>
      </c>
      <c r="AG14" s="1">
        <v>4</v>
      </c>
      <c r="AH14" s="1">
        <v>26</v>
      </c>
      <c r="AI14" s="1">
        <v>9</v>
      </c>
      <c r="AJ14" s="1">
        <v>26</v>
      </c>
      <c r="AK14" s="1">
        <v>26</v>
      </c>
      <c r="AL14" s="1">
        <v>21</v>
      </c>
      <c r="AM14" s="1">
        <v>9</v>
      </c>
      <c r="AN14" s="1">
        <v>11</v>
      </c>
      <c r="AO14" s="1">
        <v>4</v>
      </c>
      <c r="AP14" s="1">
        <v>30</v>
      </c>
      <c r="AQ14" s="1">
        <v>16</v>
      </c>
      <c r="AR14" s="1">
        <v>8</v>
      </c>
      <c r="AS14" s="1">
        <v>29</v>
      </c>
      <c r="AT14" s="1">
        <v>6</v>
      </c>
      <c r="AU14" s="1">
        <v>10</v>
      </c>
      <c r="AV14" s="1" t="s">
        <v>132</v>
      </c>
    </row>
    <row r="15" spans="1:48">
      <c r="A15" s="1">
        <v>1610612747</v>
      </c>
      <c r="B15" s="1" t="s">
        <v>135</v>
      </c>
      <c r="C15" s="1">
        <v>10</v>
      </c>
      <c r="D15" s="1">
        <v>8</v>
      </c>
      <c r="E15" s="1">
        <v>2</v>
      </c>
      <c r="F15" s="1">
        <v>0.8</v>
      </c>
      <c r="G15" s="1">
        <v>205</v>
      </c>
      <c r="H15" s="1">
        <v>104.1</v>
      </c>
      <c r="I15" s="1">
        <v>58.8</v>
      </c>
      <c r="J15" s="1">
        <v>98</v>
      </c>
      <c r="K15" s="1">
        <v>55.7</v>
      </c>
      <c r="L15" s="1">
        <v>6.2</v>
      </c>
      <c r="M15" s="1">
        <v>3.1</v>
      </c>
      <c r="N15" s="1">
        <v>0.61699999999999999</v>
      </c>
      <c r="O15" s="1">
        <v>1.88</v>
      </c>
      <c r="P15" s="1">
        <v>8.3000000000000007</v>
      </c>
      <c r="Q15" s="1">
        <v>0.27100000000000002</v>
      </c>
      <c r="R15" s="1">
        <v>0.73799999999999999</v>
      </c>
      <c r="S15" s="1">
        <v>0.50700000000000001</v>
      </c>
      <c r="T15" s="1">
        <v>7.3999999999999996E-2</v>
      </c>
      <c r="U15" s="1">
        <v>0.51500000000000001</v>
      </c>
      <c r="V15" s="1">
        <v>0.50900000000000001</v>
      </c>
      <c r="W15" s="1">
        <v>102.9</v>
      </c>
      <c r="X15" s="1">
        <v>181.65</v>
      </c>
      <c r="Y15" s="1">
        <v>151.37</v>
      </c>
      <c r="Z15" s="1">
        <v>779</v>
      </c>
      <c r="AA15" s="1">
        <v>0.54700000000000004</v>
      </c>
      <c r="AB15" s="1">
        <v>17</v>
      </c>
      <c r="AC15" s="1">
        <v>2</v>
      </c>
      <c r="AD15" s="1">
        <v>2</v>
      </c>
      <c r="AE15" s="1">
        <v>2</v>
      </c>
      <c r="AF15" s="1">
        <v>13</v>
      </c>
      <c r="AG15" s="1">
        <v>7</v>
      </c>
      <c r="AH15" s="1">
        <v>17</v>
      </c>
      <c r="AI15" s="1">
        <v>3</v>
      </c>
      <c r="AJ15" s="1">
        <v>8</v>
      </c>
      <c r="AK15" s="1">
        <v>3</v>
      </c>
      <c r="AL15" s="1">
        <v>17</v>
      </c>
      <c r="AM15" s="1">
        <v>17</v>
      </c>
      <c r="AN15" s="1">
        <v>7</v>
      </c>
      <c r="AO15" s="1">
        <v>12</v>
      </c>
      <c r="AP15" s="1">
        <v>9</v>
      </c>
      <c r="AQ15" s="1">
        <v>11</v>
      </c>
      <c r="AR15" s="1">
        <v>22</v>
      </c>
      <c r="AS15" s="1">
        <v>24</v>
      </c>
      <c r="AT15" s="1">
        <v>3</v>
      </c>
      <c r="AU15" s="1">
        <v>10</v>
      </c>
      <c r="AV15" s="1" t="s">
        <v>135</v>
      </c>
    </row>
    <row r="16" spans="1:48">
      <c r="A16" s="1">
        <v>1610612763</v>
      </c>
      <c r="B16" s="1" t="s">
        <v>138</v>
      </c>
      <c r="C16" s="1">
        <v>11</v>
      </c>
      <c r="D16" s="1">
        <v>4</v>
      </c>
      <c r="E16" s="1">
        <v>7</v>
      </c>
      <c r="F16" s="1">
        <v>0.36399999999999999</v>
      </c>
      <c r="G16" s="1">
        <v>239</v>
      </c>
      <c r="H16" s="1">
        <v>99.9</v>
      </c>
      <c r="I16" s="1">
        <v>57.2</v>
      </c>
      <c r="J16" s="1">
        <v>109.7</v>
      </c>
      <c r="K16" s="1">
        <v>62.7</v>
      </c>
      <c r="L16" s="1">
        <v>-9.8000000000000007</v>
      </c>
      <c r="M16" s="1">
        <v>-5.5</v>
      </c>
      <c r="N16" s="1">
        <v>0.65200000000000002</v>
      </c>
      <c r="O16" s="1">
        <v>1.51</v>
      </c>
      <c r="P16" s="1">
        <v>11.6</v>
      </c>
      <c r="Q16" s="1">
        <v>0.24099999999999999</v>
      </c>
      <c r="R16" s="1">
        <v>0.71499999999999997</v>
      </c>
      <c r="S16" s="1">
        <v>0.47599999999999998</v>
      </c>
      <c r="T16" s="1">
        <v>9.2999999999999999E-2</v>
      </c>
      <c r="U16" s="1">
        <v>0.50600000000000001</v>
      </c>
      <c r="V16" s="1">
        <v>0.54100000000000004</v>
      </c>
      <c r="W16" s="1">
        <v>108.6</v>
      </c>
      <c r="X16" s="1">
        <v>189.72</v>
      </c>
      <c r="Y16" s="1">
        <v>158.1</v>
      </c>
      <c r="Z16" s="1">
        <v>941</v>
      </c>
      <c r="AA16" s="1">
        <v>0.45600000000000002</v>
      </c>
      <c r="AB16" s="1">
        <v>2</v>
      </c>
      <c r="AC16" s="1">
        <v>16</v>
      </c>
      <c r="AD16" s="1">
        <v>20</v>
      </c>
      <c r="AE16" s="1">
        <v>20</v>
      </c>
      <c r="AF16" s="1">
        <v>2</v>
      </c>
      <c r="AG16" s="1">
        <v>11</v>
      </c>
      <c r="AH16" s="1">
        <v>28</v>
      </c>
      <c r="AI16" s="1">
        <v>29</v>
      </c>
      <c r="AJ16" s="1">
        <v>3</v>
      </c>
      <c r="AK16" s="1">
        <v>12</v>
      </c>
      <c r="AL16" s="1">
        <v>1</v>
      </c>
      <c r="AM16" s="1">
        <v>26</v>
      </c>
      <c r="AN16" s="1">
        <v>20</v>
      </c>
      <c r="AO16" s="1">
        <v>25</v>
      </c>
      <c r="AP16" s="1">
        <v>25</v>
      </c>
      <c r="AQ16" s="1">
        <v>17</v>
      </c>
      <c r="AR16" s="1">
        <v>14</v>
      </c>
      <c r="AS16" s="1">
        <v>21</v>
      </c>
      <c r="AT16" s="1">
        <v>25</v>
      </c>
      <c r="AU16" s="1">
        <v>10</v>
      </c>
      <c r="AV16" s="1" t="s">
        <v>138</v>
      </c>
    </row>
    <row r="17" spans="1:48">
      <c r="A17" s="1">
        <v>1610612748</v>
      </c>
      <c r="B17" s="1" t="s">
        <v>141</v>
      </c>
      <c r="C17" s="1">
        <v>10</v>
      </c>
      <c r="D17" s="1">
        <v>7</v>
      </c>
      <c r="E17" s="1">
        <v>3</v>
      </c>
      <c r="F17" s="1">
        <v>0.7</v>
      </c>
      <c r="G17" s="1">
        <v>193</v>
      </c>
      <c r="H17" s="1">
        <v>108.4</v>
      </c>
      <c r="I17" s="1">
        <v>57.4</v>
      </c>
      <c r="J17" s="1">
        <v>100.9</v>
      </c>
      <c r="K17" s="1">
        <v>54.1</v>
      </c>
      <c r="L17" s="1">
        <v>7.5</v>
      </c>
      <c r="M17" s="1">
        <v>3.2</v>
      </c>
      <c r="N17" s="1">
        <v>0.64300000000000002</v>
      </c>
      <c r="O17" s="1">
        <v>1.37</v>
      </c>
      <c r="P17" s="1">
        <v>9.8000000000000007</v>
      </c>
      <c r="Q17" s="1">
        <v>0.29499999999999998</v>
      </c>
      <c r="R17" s="1">
        <v>0.72899999999999998</v>
      </c>
      <c r="S17" s="1">
        <v>0.52500000000000002</v>
      </c>
      <c r="T17" s="1">
        <v>9.1999999999999998E-2</v>
      </c>
      <c r="U17" s="1">
        <v>0.55800000000000005</v>
      </c>
      <c r="V17" s="1">
        <v>0.60299999999999998</v>
      </c>
      <c r="W17" s="1">
        <v>106.7</v>
      </c>
      <c r="X17" s="1">
        <v>200.2</v>
      </c>
      <c r="Y17" s="1">
        <v>166.84</v>
      </c>
      <c r="Z17" s="1">
        <v>805</v>
      </c>
      <c r="AA17" s="1">
        <v>0.54900000000000004</v>
      </c>
      <c r="AB17" s="1">
        <v>17</v>
      </c>
      <c r="AC17" s="1">
        <v>5</v>
      </c>
      <c r="AD17" s="1">
        <v>3</v>
      </c>
      <c r="AE17" s="1">
        <v>5</v>
      </c>
      <c r="AF17" s="1">
        <v>18</v>
      </c>
      <c r="AG17" s="1">
        <v>10</v>
      </c>
      <c r="AH17" s="1">
        <v>12</v>
      </c>
      <c r="AI17" s="1">
        <v>2</v>
      </c>
      <c r="AJ17" s="1">
        <v>4</v>
      </c>
      <c r="AK17" s="1">
        <v>16</v>
      </c>
      <c r="AL17" s="1">
        <v>6</v>
      </c>
      <c r="AM17" s="1">
        <v>10</v>
      </c>
      <c r="AN17" s="1">
        <v>10</v>
      </c>
      <c r="AO17" s="1">
        <v>5</v>
      </c>
      <c r="AP17" s="1">
        <v>24</v>
      </c>
      <c r="AQ17" s="1">
        <v>1</v>
      </c>
      <c r="AR17" s="1">
        <v>2</v>
      </c>
      <c r="AS17" s="1">
        <v>13</v>
      </c>
      <c r="AT17" s="1">
        <v>2</v>
      </c>
      <c r="AU17" s="1">
        <v>10</v>
      </c>
      <c r="AV17" s="1" t="s">
        <v>141</v>
      </c>
    </row>
    <row r="18" spans="1:48">
      <c r="A18" s="1">
        <v>1610612749</v>
      </c>
      <c r="B18" s="1" t="s">
        <v>142</v>
      </c>
      <c r="C18" s="1">
        <v>10</v>
      </c>
      <c r="D18" s="1">
        <v>7</v>
      </c>
      <c r="E18" s="1">
        <v>3</v>
      </c>
      <c r="F18" s="1">
        <v>0.7</v>
      </c>
      <c r="G18" s="1">
        <v>201</v>
      </c>
      <c r="H18" s="1">
        <v>108.4</v>
      </c>
      <c r="I18" s="1">
        <v>57.7</v>
      </c>
      <c r="J18" s="1">
        <v>101.8</v>
      </c>
      <c r="K18" s="1">
        <v>55.6</v>
      </c>
      <c r="L18" s="1">
        <v>6.5</v>
      </c>
      <c r="M18" s="1">
        <v>2.1</v>
      </c>
      <c r="N18" s="1">
        <v>0.53200000000000003</v>
      </c>
      <c r="O18" s="1">
        <v>1.33</v>
      </c>
      <c r="P18" s="1">
        <v>6.6</v>
      </c>
      <c r="Q18" s="1">
        <v>0.24299999999999999</v>
      </c>
      <c r="R18" s="1">
        <v>0.754</v>
      </c>
      <c r="S18" s="1">
        <v>0.51300000000000001</v>
      </c>
      <c r="T18" s="1">
        <v>8.3000000000000004E-2</v>
      </c>
      <c r="U18" s="1">
        <v>0.54300000000000004</v>
      </c>
      <c r="V18" s="1">
        <v>0.56499999999999995</v>
      </c>
      <c r="W18" s="1">
        <v>107.6</v>
      </c>
      <c r="X18" s="1">
        <v>199.75</v>
      </c>
      <c r="Y18" s="1">
        <v>166.45</v>
      </c>
      <c r="Z18" s="1">
        <v>836</v>
      </c>
      <c r="AA18" s="1">
        <v>0.53300000000000003</v>
      </c>
      <c r="AB18" s="1">
        <v>17</v>
      </c>
      <c r="AC18" s="1">
        <v>5</v>
      </c>
      <c r="AD18" s="1">
        <v>3</v>
      </c>
      <c r="AE18" s="1">
        <v>5</v>
      </c>
      <c r="AF18" s="1">
        <v>14</v>
      </c>
      <c r="AG18" s="1">
        <v>9</v>
      </c>
      <c r="AH18" s="1">
        <v>16</v>
      </c>
      <c r="AI18" s="1">
        <v>4</v>
      </c>
      <c r="AJ18" s="1">
        <v>25</v>
      </c>
      <c r="AK18" s="1">
        <v>19</v>
      </c>
      <c r="AL18" s="1">
        <v>26</v>
      </c>
      <c r="AM18" s="1">
        <v>25</v>
      </c>
      <c r="AN18" s="1">
        <v>4</v>
      </c>
      <c r="AO18" s="1">
        <v>10</v>
      </c>
      <c r="AP18" s="1">
        <v>16</v>
      </c>
      <c r="AQ18" s="1">
        <v>3</v>
      </c>
      <c r="AR18" s="1">
        <v>9</v>
      </c>
      <c r="AS18" s="1">
        <v>14</v>
      </c>
      <c r="AT18" s="1">
        <v>4</v>
      </c>
      <c r="AU18" s="1">
        <v>10</v>
      </c>
      <c r="AV18" s="1" t="s">
        <v>142</v>
      </c>
    </row>
    <row r="19" spans="1:48">
      <c r="A19" s="1">
        <v>1610612750</v>
      </c>
      <c r="B19" s="1" t="s">
        <v>145</v>
      </c>
      <c r="C19" s="1">
        <v>11</v>
      </c>
      <c r="D19" s="1">
        <v>7</v>
      </c>
      <c r="E19" s="1">
        <v>4</v>
      </c>
      <c r="F19" s="1">
        <v>0.63600000000000001</v>
      </c>
      <c r="G19" s="1">
        <v>229</v>
      </c>
      <c r="H19" s="1">
        <v>100.3</v>
      </c>
      <c r="I19" s="1">
        <v>55.8</v>
      </c>
      <c r="J19" s="1">
        <v>100.3</v>
      </c>
      <c r="K19" s="1">
        <v>54.6</v>
      </c>
      <c r="L19" s="1">
        <v>0</v>
      </c>
      <c r="M19" s="1">
        <v>1.1000000000000001</v>
      </c>
      <c r="N19" s="1">
        <v>0.56899999999999995</v>
      </c>
      <c r="O19" s="1">
        <v>1.29</v>
      </c>
      <c r="P19" s="1">
        <v>8.3000000000000007</v>
      </c>
      <c r="Q19" s="1">
        <v>0.28799999999999998</v>
      </c>
      <c r="R19" s="1">
        <v>0.71699999999999997</v>
      </c>
      <c r="S19" s="1">
        <v>0.496</v>
      </c>
      <c r="T19" s="1">
        <v>8.7999999999999995E-2</v>
      </c>
      <c r="U19" s="1">
        <v>0.49299999999999999</v>
      </c>
      <c r="V19" s="1">
        <v>0.504</v>
      </c>
      <c r="W19" s="1">
        <v>109.4</v>
      </c>
      <c r="X19" s="1">
        <v>198.76</v>
      </c>
      <c r="Y19" s="1">
        <v>165.63</v>
      </c>
      <c r="Z19" s="1">
        <v>944</v>
      </c>
      <c r="AA19" s="1">
        <v>0.502</v>
      </c>
      <c r="AB19" s="1">
        <v>2</v>
      </c>
      <c r="AC19" s="1">
        <v>5</v>
      </c>
      <c r="AD19" s="1">
        <v>9</v>
      </c>
      <c r="AE19" s="1">
        <v>9</v>
      </c>
      <c r="AF19" s="1">
        <v>4</v>
      </c>
      <c r="AG19" s="1">
        <v>14</v>
      </c>
      <c r="AH19" s="1">
        <v>13</v>
      </c>
      <c r="AI19" s="1">
        <v>8</v>
      </c>
      <c r="AJ19" s="1">
        <v>19</v>
      </c>
      <c r="AK19" s="1">
        <v>22</v>
      </c>
      <c r="AL19" s="1">
        <v>16</v>
      </c>
      <c r="AM19" s="1">
        <v>11</v>
      </c>
      <c r="AN19" s="1">
        <v>17</v>
      </c>
      <c r="AO19" s="1">
        <v>15</v>
      </c>
      <c r="AP19" s="1">
        <v>21</v>
      </c>
      <c r="AQ19" s="1">
        <v>21</v>
      </c>
      <c r="AR19" s="1">
        <v>25</v>
      </c>
      <c r="AS19" s="1">
        <v>15</v>
      </c>
      <c r="AT19" s="1">
        <v>13</v>
      </c>
      <c r="AU19" s="1">
        <v>10</v>
      </c>
      <c r="AV19" s="1" t="s">
        <v>145</v>
      </c>
    </row>
    <row r="20" spans="1:48">
      <c r="A20" s="1">
        <v>1610612740</v>
      </c>
      <c r="B20" s="1" t="s">
        <v>146</v>
      </c>
      <c r="C20" s="1">
        <v>10</v>
      </c>
      <c r="D20" s="1">
        <v>2</v>
      </c>
      <c r="E20" s="1">
        <v>8</v>
      </c>
      <c r="F20" s="1">
        <v>0.2</v>
      </c>
      <c r="G20" s="1">
        <v>199</v>
      </c>
      <c r="H20" s="1">
        <v>106.7</v>
      </c>
      <c r="I20" s="1">
        <v>60.5</v>
      </c>
      <c r="J20" s="1">
        <v>109.3</v>
      </c>
      <c r="K20" s="1">
        <v>62.2</v>
      </c>
      <c r="L20" s="1">
        <v>-2.6</v>
      </c>
      <c r="M20" s="1">
        <v>-1.7</v>
      </c>
      <c r="N20" s="1">
        <v>0.59</v>
      </c>
      <c r="O20" s="1">
        <v>1.54</v>
      </c>
      <c r="P20" s="1">
        <v>8.1</v>
      </c>
      <c r="Q20" s="1">
        <v>0.30599999999999999</v>
      </c>
      <c r="R20" s="1">
        <v>0.65800000000000003</v>
      </c>
      <c r="S20" s="1">
        <v>0.47799999999999998</v>
      </c>
      <c r="T20" s="1">
        <v>8.5000000000000006E-2</v>
      </c>
      <c r="U20" s="1">
        <v>0.52300000000000002</v>
      </c>
      <c r="V20" s="1">
        <v>0.54400000000000004</v>
      </c>
      <c r="W20" s="1">
        <v>108.4</v>
      </c>
      <c r="X20" s="1">
        <v>190.92</v>
      </c>
      <c r="Y20" s="1">
        <v>159.1</v>
      </c>
      <c r="Z20" s="1">
        <v>792</v>
      </c>
      <c r="AA20" s="1">
        <v>0.47599999999999998</v>
      </c>
      <c r="AB20" s="1">
        <v>17</v>
      </c>
      <c r="AC20" s="1">
        <v>27</v>
      </c>
      <c r="AD20" s="1">
        <v>27</v>
      </c>
      <c r="AE20" s="1">
        <v>28</v>
      </c>
      <c r="AF20" s="1">
        <v>15</v>
      </c>
      <c r="AG20" s="1">
        <v>6</v>
      </c>
      <c r="AH20" s="1">
        <v>27</v>
      </c>
      <c r="AI20" s="1">
        <v>20</v>
      </c>
      <c r="AJ20" s="1">
        <v>16</v>
      </c>
      <c r="AK20" s="1">
        <v>8</v>
      </c>
      <c r="AL20" s="1">
        <v>20</v>
      </c>
      <c r="AM20" s="1">
        <v>8</v>
      </c>
      <c r="AN20" s="1">
        <v>30</v>
      </c>
      <c r="AO20" s="1">
        <v>22</v>
      </c>
      <c r="AP20" s="1">
        <v>18</v>
      </c>
      <c r="AQ20" s="1">
        <v>8</v>
      </c>
      <c r="AR20" s="1">
        <v>12</v>
      </c>
      <c r="AS20" s="1">
        <v>20</v>
      </c>
      <c r="AT20" s="1">
        <v>23</v>
      </c>
      <c r="AU20" s="1">
        <v>10</v>
      </c>
      <c r="AV20" s="1" t="s">
        <v>146</v>
      </c>
    </row>
    <row r="21" spans="1:48">
      <c r="A21" s="1">
        <v>1610612752</v>
      </c>
      <c r="B21" s="1" t="s">
        <v>149</v>
      </c>
      <c r="C21" s="1">
        <v>11</v>
      </c>
      <c r="D21" s="1">
        <v>2</v>
      </c>
      <c r="E21" s="1">
        <v>9</v>
      </c>
      <c r="F21" s="1">
        <v>0.182</v>
      </c>
      <c r="G21" s="1">
        <v>199</v>
      </c>
      <c r="H21" s="1">
        <v>97.3</v>
      </c>
      <c r="I21" s="1">
        <v>48.6</v>
      </c>
      <c r="J21" s="1">
        <v>105.1</v>
      </c>
      <c r="K21" s="1">
        <v>52.3</v>
      </c>
      <c r="L21" s="1">
        <v>-7.7</v>
      </c>
      <c r="M21" s="1">
        <v>-3.7</v>
      </c>
      <c r="N21" s="1">
        <v>0.59099999999999997</v>
      </c>
      <c r="O21" s="1">
        <v>1.25</v>
      </c>
      <c r="P21" s="1">
        <v>7.4</v>
      </c>
      <c r="Q21" s="1">
        <v>0.27900000000000003</v>
      </c>
      <c r="R21" s="1">
        <v>0.76300000000000001</v>
      </c>
      <c r="S21" s="1">
        <v>0.50900000000000001</v>
      </c>
      <c r="T21" s="1">
        <v>0.08</v>
      </c>
      <c r="U21" s="1">
        <v>0.47899999999999998</v>
      </c>
      <c r="V21" s="1">
        <v>0.50800000000000001</v>
      </c>
      <c r="W21" s="1">
        <v>101.7</v>
      </c>
      <c r="X21" s="1">
        <v>204.03</v>
      </c>
      <c r="Y21" s="1">
        <v>170.03</v>
      </c>
      <c r="Z21" s="1">
        <v>847</v>
      </c>
      <c r="AA21" s="1">
        <v>0.432</v>
      </c>
      <c r="AB21" s="1">
        <v>2</v>
      </c>
      <c r="AC21" s="1">
        <v>27</v>
      </c>
      <c r="AD21" s="1">
        <v>29</v>
      </c>
      <c r="AE21" s="1">
        <v>29</v>
      </c>
      <c r="AF21" s="1">
        <v>16</v>
      </c>
      <c r="AG21" s="1">
        <v>27</v>
      </c>
      <c r="AH21" s="1">
        <v>8</v>
      </c>
      <c r="AI21" s="1">
        <v>26</v>
      </c>
      <c r="AJ21" s="1">
        <v>15</v>
      </c>
      <c r="AK21" s="1">
        <v>24</v>
      </c>
      <c r="AL21" s="1">
        <v>24</v>
      </c>
      <c r="AM21" s="1">
        <v>15</v>
      </c>
      <c r="AN21" s="1">
        <v>2</v>
      </c>
      <c r="AO21" s="1">
        <v>11</v>
      </c>
      <c r="AP21" s="1">
        <v>14</v>
      </c>
      <c r="AQ21" s="1">
        <v>25</v>
      </c>
      <c r="AR21" s="1">
        <v>23</v>
      </c>
      <c r="AS21" s="1">
        <v>11</v>
      </c>
      <c r="AT21" s="1">
        <v>29</v>
      </c>
      <c r="AU21" s="1">
        <v>10</v>
      </c>
      <c r="AV21" s="1" t="s">
        <v>149</v>
      </c>
    </row>
    <row r="22" spans="1:48">
      <c r="A22" s="1">
        <v>1610612760</v>
      </c>
      <c r="B22" s="1" t="s">
        <v>152</v>
      </c>
      <c r="C22" s="1">
        <v>11</v>
      </c>
      <c r="D22" s="1">
        <v>4</v>
      </c>
      <c r="E22" s="1">
        <v>7</v>
      </c>
      <c r="F22" s="1">
        <v>0.36399999999999999</v>
      </c>
      <c r="G22" s="1">
        <v>217</v>
      </c>
      <c r="H22" s="1">
        <v>95.9</v>
      </c>
      <c r="I22" s="1">
        <v>52.7</v>
      </c>
      <c r="J22" s="1">
        <v>96.5</v>
      </c>
      <c r="K22" s="1">
        <v>53.5</v>
      </c>
      <c r="L22" s="1">
        <v>-0.6</v>
      </c>
      <c r="M22" s="1">
        <v>-0.7</v>
      </c>
      <c r="N22" s="1">
        <v>0.56200000000000006</v>
      </c>
      <c r="O22" s="1">
        <v>1.1299999999999999</v>
      </c>
      <c r="P22" s="1">
        <v>8.6999999999999993</v>
      </c>
      <c r="Q22" s="1">
        <v>0.22500000000000001</v>
      </c>
      <c r="R22" s="1">
        <v>0.71599999999999997</v>
      </c>
      <c r="S22" s="1">
        <v>0.48</v>
      </c>
      <c r="T22" s="1">
        <v>9.5000000000000001E-2</v>
      </c>
      <c r="U22" s="1">
        <v>0.497</v>
      </c>
      <c r="V22" s="1">
        <v>0.51900000000000002</v>
      </c>
      <c r="W22" s="1">
        <v>104.4</v>
      </c>
      <c r="X22" s="1">
        <v>189.15</v>
      </c>
      <c r="Y22" s="1">
        <v>157.62</v>
      </c>
      <c r="Z22" s="1">
        <v>853</v>
      </c>
      <c r="AA22" s="1">
        <v>0.501</v>
      </c>
      <c r="AB22" s="1">
        <v>2</v>
      </c>
      <c r="AC22" s="1">
        <v>16</v>
      </c>
      <c r="AD22" s="1">
        <v>20</v>
      </c>
      <c r="AE22" s="1">
        <v>20</v>
      </c>
      <c r="AF22" s="1">
        <v>8</v>
      </c>
      <c r="AG22" s="1">
        <v>19</v>
      </c>
      <c r="AH22" s="1">
        <v>11</v>
      </c>
      <c r="AI22" s="1">
        <v>17</v>
      </c>
      <c r="AJ22" s="1">
        <v>22</v>
      </c>
      <c r="AK22" s="1">
        <v>28</v>
      </c>
      <c r="AL22" s="1">
        <v>13</v>
      </c>
      <c r="AM22" s="1">
        <v>29</v>
      </c>
      <c r="AN22" s="1">
        <v>19</v>
      </c>
      <c r="AO22" s="1">
        <v>21</v>
      </c>
      <c r="AP22" s="1">
        <v>28</v>
      </c>
      <c r="AQ22" s="1">
        <v>20</v>
      </c>
      <c r="AR22" s="1">
        <v>21</v>
      </c>
      <c r="AS22" s="1">
        <v>22</v>
      </c>
      <c r="AT22" s="1">
        <v>14</v>
      </c>
      <c r="AU22" s="1">
        <v>10</v>
      </c>
      <c r="AV22" s="1" t="s">
        <v>152</v>
      </c>
    </row>
    <row r="23" spans="1:48">
      <c r="A23" s="1">
        <v>1610612753</v>
      </c>
      <c r="B23" s="1" t="s">
        <v>154</v>
      </c>
      <c r="C23" s="1">
        <v>11</v>
      </c>
      <c r="D23" s="1">
        <v>4</v>
      </c>
      <c r="E23" s="1">
        <v>7</v>
      </c>
      <c r="F23" s="1">
        <v>0.36399999999999999</v>
      </c>
      <c r="G23" s="1">
        <v>206</v>
      </c>
      <c r="H23" s="1">
        <v>91.8</v>
      </c>
      <c r="I23" s="1">
        <v>52.7</v>
      </c>
      <c r="J23" s="1">
        <v>95.9</v>
      </c>
      <c r="K23" s="1">
        <v>54.8</v>
      </c>
      <c r="L23" s="1">
        <v>-4.0999999999999996</v>
      </c>
      <c r="M23" s="1">
        <v>-2.1</v>
      </c>
      <c r="N23" s="1">
        <v>0.58599999999999997</v>
      </c>
      <c r="O23" s="1">
        <v>1.29</v>
      </c>
      <c r="P23" s="1">
        <v>9</v>
      </c>
      <c r="Q23" s="1">
        <v>0.314</v>
      </c>
      <c r="R23" s="1">
        <v>0.74</v>
      </c>
      <c r="S23" s="1">
        <v>0.51500000000000001</v>
      </c>
      <c r="T23" s="1">
        <v>8.6999999999999994E-2</v>
      </c>
      <c r="U23" s="1">
        <v>0.42199999999999999</v>
      </c>
      <c r="V23" s="1">
        <v>0.439</v>
      </c>
      <c r="W23" s="1">
        <v>101.2</v>
      </c>
      <c r="X23" s="1">
        <v>176.54</v>
      </c>
      <c r="Y23" s="1">
        <v>147.11000000000001</v>
      </c>
      <c r="Z23" s="1">
        <v>761</v>
      </c>
      <c r="AA23" s="1">
        <v>0.47599999999999998</v>
      </c>
      <c r="AB23" s="1">
        <v>2</v>
      </c>
      <c r="AC23" s="1">
        <v>16</v>
      </c>
      <c r="AD23" s="1">
        <v>20</v>
      </c>
      <c r="AE23" s="1">
        <v>20</v>
      </c>
      <c r="AF23" s="1">
        <v>11</v>
      </c>
      <c r="AG23" s="1">
        <v>18</v>
      </c>
      <c r="AH23" s="1">
        <v>14</v>
      </c>
      <c r="AI23" s="1">
        <v>22</v>
      </c>
      <c r="AJ23" s="1">
        <v>18</v>
      </c>
      <c r="AK23" s="1">
        <v>21</v>
      </c>
      <c r="AL23" s="1">
        <v>11</v>
      </c>
      <c r="AM23" s="1">
        <v>7</v>
      </c>
      <c r="AN23" s="1">
        <v>6</v>
      </c>
      <c r="AO23" s="1">
        <v>8</v>
      </c>
      <c r="AP23" s="1">
        <v>19</v>
      </c>
      <c r="AQ23" s="1">
        <v>30</v>
      </c>
      <c r="AR23" s="1">
        <v>30</v>
      </c>
      <c r="AS23" s="1">
        <v>28</v>
      </c>
      <c r="AT23" s="1">
        <v>22</v>
      </c>
      <c r="AU23" s="1">
        <v>10</v>
      </c>
      <c r="AV23" s="1" t="s">
        <v>154</v>
      </c>
    </row>
    <row r="24" spans="1:48">
      <c r="A24" s="1">
        <v>1610612755</v>
      </c>
      <c r="B24" s="1" t="s">
        <v>157</v>
      </c>
      <c r="C24" s="1">
        <v>11</v>
      </c>
      <c r="D24" s="1">
        <v>7</v>
      </c>
      <c r="E24" s="1">
        <v>4</v>
      </c>
      <c r="F24" s="1">
        <v>0.63600000000000001</v>
      </c>
      <c r="G24" s="1">
        <v>178</v>
      </c>
      <c r="H24" s="1">
        <v>101</v>
      </c>
      <c r="I24" s="1">
        <v>47.5</v>
      </c>
      <c r="J24" s="1">
        <v>104.6</v>
      </c>
      <c r="K24" s="1">
        <v>47.7</v>
      </c>
      <c r="L24" s="1">
        <v>-3.6</v>
      </c>
      <c r="M24" s="1">
        <v>-0.2</v>
      </c>
      <c r="N24" s="1">
        <v>0.62</v>
      </c>
      <c r="O24" s="1">
        <v>1.37</v>
      </c>
      <c r="P24" s="1">
        <v>5.7</v>
      </c>
      <c r="Q24" s="1">
        <v>0.314</v>
      </c>
      <c r="R24" s="1">
        <v>0.78200000000000003</v>
      </c>
      <c r="S24" s="1">
        <v>0.54100000000000004</v>
      </c>
      <c r="T24" s="1">
        <v>0.08</v>
      </c>
      <c r="U24" s="1">
        <v>0.51</v>
      </c>
      <c r="V24" s="1">
        <v>0.57999999999999996</v>
      </c>
      <c r="W24" s="1">
        <v>106.6</v>
      </c>
      <c r="X24" s="1">
        <v>230.06</v>
      </c>
      <c r="Y24" s="1">
        <v>191.72</v>
      </c>
      <c r="Z24" s="1">
        <v>850</v>
      </c>
      <c r="AA24" s="1">
        <v>0.499</v>
      </c>
      <c r="AB24" s="1">
        <v>2</v>
      </c>
      <c r="AC24" s="1">
        <v>5</v>
      </c>
      <c r="AD24" s="1">
        <v>9</v>
      </c>
      <c r="AE24" s="1">
        <v>9</v>
      </c>
      <c r="AF24" s="1">
        <v>25</v>
      </c>
      <c r="AG24" s="1">
        <v>28</v>
      </c>
      <c r="AH24" s="1">
        <v>3</v>
      </c>
      <c r="AI24" s="1">
        <v>15</v>
      </c>
      <c r="AJ24" s="1">
        <v>7</v>
      </c>
      <c r="AK24" s="1">
        <v>15</v>
      </c>
      <c r="AL24" s="1">
        <v>27</v>
      </c>
      <c r="AM24" s="1">
        <v>6</v>
      </c>
      <c r="AN24" s="1">
        <v>1</v>
      </c>
      <c r="AO24" s="1">
        <v>1</v>
      </c>
      <c r="AP24" s="1">
        <v>13</v>
      </c>
      <c r="AQ24" s="1">
        <v>15</v>
      </c>
      <c r="AR24" s="1">
        <v>6</v>
      </c>
      <c r="AS24" s="1">
        <v>3</v>
      </c>
      <c r="AT24" s="1">
        <v>15</v>
      </c>
      <c r="AU24" s="1">
        <v>10</v>
      </c>
      <c r="AV24" s="1" t="s">
        <v>157</v>
      </c>
    </row>
    <row r="25" spans="1:48">
      <c r="A25" s="1">
        <v>1610612756</v>
      </c>
      <c r="B25" s="1" t="s">
        <v>159</v>
      </c>
      <c r="C25" s="1">
        <v>10</v>
      </c>
      <c r="D25" s="1">
        <v>6</v>
      </c>
      <c r="E25" s="1">
        <v>4</v>
      </c>
      <c r="F25" s="1">
        <v>0.6</v>
      </c>
      <c r="G25" s="1">
        <v>183</v>
      </c>
      <c r="H25" s="1">
        <v>102.6</v>
      </c>
      <c r="I25" s="1">
        <v>54.2</v>
      </c>
      <c r="J25" s="1">
        <v>102.3</v>
      </c>
      <c r="K25" s="1">
        <v>56.3</v>
      </c>
      <c r="L25" s="1">
        <v>0.4</v>
      </c>
      <c r="M25" s="1">
        <v>-2.1</v>
      </c>
      <c r="N25" s="1">
        <v>0.67100000000000004</v>
      </c>
      <c r="O25" s="1">
        <v>1.72</v>
      </c>
      <c r="P25" s="1">
        <v>8.1999999999999993</v>
      </c>
      <c r="Q25" s="1">
        <v>0.185</v>
      </c>
      <c r="R25" s="1">
        <v>0.71199999999999997</v>
      </c>
      <c r="S25" s="1">
        <v>0.45100000000000001</v>
      </c>
      <c r="T25" s="1">
        <v>7.3999999999999996E-2</v>
      </c>
      <c r="U25" s="1">
        <v>0.51500000000000001</v>
      </c>
      <c r="V25" s="1">
        <v>0.54</v>
      </c>
      <c r="W25" s="1">
        <v>105.6</v>
      </c>
      <c r="X25" s="1">
        <v>196.01</v>
      </c>
      <c r="Y25" s="1">
        <v>163.34</v>
      </c>
      <c r="Z25" s="1">
        <v>748</v>
      </c>
      <c r="AA25" s="1">
        <v>0.48399999999999999</v>
      </c>
      <c r="AB25" s="1">
        <v>17</v>
      </c>
      <c r="AC25" s="1">
        <v>13</v>
      </c>
      <c r="AD25" s="1">
        <v>9</v>
      </c>
      <c r="AE25" s="1">
        <v>13</v>
      </c>
      <c r="AF25" s="1">
        <v>21</v>
      </c>
      <c r="AG25" s="1">
        <v>17</v>
      </c>
      <c r="AH25" s="1">
        <v>19</v>
      </c>
      <c r="AI25" s="1">
        <v>23</v>
      </c>
      <c r="AJ25" s="1">
        <v>2</v>
      </c>
      <c r="AK25" s="1">
        <v>5</v>
      </c>
      <c r="AL25" s="1">
        <v>18</v>
      </c>
      <c r="AM25" s="1">
        <v>30</v>
      </c>
      <c r="AN25" s="1">
        <v>21</v>
      </c>
      <c r="AO25" s="1">
        <v>30</v>
      </c>
      <c r="AP25" s="1">
        <v>8</v>
      </c>
      <c r="AQ25" s="1">
        <v>12</v>
      </c>
      <c r="AR25" s="1">
        <v>15</v>
      </c>
      <c r="AS25" s="1">
        <v>17</v>
      </c>
      <c r="AT25" s="1">
        <v>20</v>
      </c>
      <c r="AU25" s="1">
        <v>10</v>
      </c>
      <c r="AV25" s="1" t="s">
        <v>159</v>
      </c>
    </row>
    <row r="26" spans="1:48">
      <c r="A26" s="1">
        <v>1610612757</v>
      </c>
      <c r="B26" s="1" t="s">
        <v>161</v>
      </c>
      <c r="C26" s="1">
        <v>11</v>
      </c>
      <c r="D26" s="1">
        <v>4</v>
      </c>
      <c r="E26" s="1">
        <v>7</v>
      </c>
      <c r="F26" s="1">
        <v>0.36399999999999999</v>
      </c>
      <c r="G26" s="1">
        <v>183</v>
      </c>
      <c r="H26" s="1">
        <v>100.5</v>
      </c>
      <c r="I26" s="1">
        <v>49.2</v>
      </c>
      <c r="J26" s="1">
        <v>107.2</v>
      </c>
      <c r="K26" s="1">
        <v>53.4</v>
      </c>
      <c r="L26" s="1">
        <v>-6.7</v>
      </c>
      <c r="M26" s="1">
        <v>-4.2</v>
      </c>
      <c r="N26" s="1">
        <v>0.39300000000000002</v>
      </c>
      <c r="O26" s="1">
        <v>1.04</v>
      </c>
      <c r="P26" s="1">
        <v>4.2</v>
      </c>
      <c r="Q26" s="1">
        <v>0.25</v>
      </c>
      <c r="R26" s="1">
        <v>0.71199999999999997</v>
      </c>
      <c r="S26" s="1">
        <v>0.47699999999999998</v>
      </c>
      <c r="T26" s="1">
        <v>6.7000000000000004E-2</v>
      </c>
      <c r="U26" s="1">
        <v>0.47799999999999998</v>
      </c>
      <c r="V26" s="1">
        <v>0.501</v>
      </c>
      <c r="W26" s="1">
        <v>106.6</v>
      </c>
      <c r="X26" s="1">
        <v>215.73</v>
      </c>
      <c r="Y26" s="1">
        <v>179.77</v>
      </c>
      <c r="Z26" s="1">
        <v>821</v>
      </c>
      <c r="AA26" s="1">
        <v>0.41399999999999998</v>
      </c>
      <c r="AB26" s="1">
        <v>2</v>
      </c>
      <c r="AC26" s="1">
        <v>16</v>
      </c>
      <c r="AD26" s="1">
        <v>20</v>
      </c>
      <c r="AE26" s="1">
        <v>20</v>
      </c>
      <c r="AF26" s="1">
        <v>20</v>
      </c>
      <c r="AG26" s="1">
        <v>25</v>
      </c>
      <c r="AH26" s="1">
        <v>10</v>
      </c>
      <c r="AI26" s="1">
        <v>27</v>
      </c>
      <c r="AJ26" s="1">
        <v>30</v>
      </c>
      <c r="AK26" s="1">
        <v>30</v>
      </c>
      <c r="AL26" s="1">
        <v>30</v>
      </c>
      <c r="AM26" s="1">
        <v>24</v>
      </c>
      <c r="AN26" s="1">
        <v>22</v>
      </c>
      <c r="AO26" s="1">
        <v>23</v>
      </c>
      <c r="AP26" s="1">
        <v>3</v>
      </c>
      <c r="AQ26" s="1">
        <v>26</v>
      </c>
      <c r="AR26" s="1">
        <v>26</v>
      </c>
      <c r="AS26" s="1">
        <v>6</v>
      </c>
      <c r="AT26" s="1">
        <v>30</v>
      </c>
      <c r="AU26" s="1">
        <v>10</v>
      </c>
      <c r="AV26" s="1" t="s">
        <v>161</v>
      </c>
    </row>
    <row r="27" spans="1:48">
      <c r="A27" s="1">
        <v>1610612758</v>
      </c>
      <c r="B27" s="1" t="s">
        <v>163</v>
      </c>
      <c r="C27" s="1">
        <v>10</v>
      </c>
      <c r="D27" s="1">
        <v>4</v>
      </c>
      <c r="E27" s="1">
        <v>6</v>
      </c>
      <c r="F27" s="1">
        <v>0.4</v>
      </c>
      <c r="G27" s="1">
        <v>184</v>
      </c>
      <c r="H27" s="1">
        <v>97.3</v>
      </c>
      <c r="I27" s="1">
        <v>51.4</v>
      </c>
      <c r="J27" s="1">
        <v>102.5</v>
      </c>
      <c r="K27" s="1">
        <v>53.2</v>
      </c>
      <c r="L27" s="1">
        <v>-5.2</v>
      </c>
      <c r="M27" s="1">
        <v>-1.9</v>
      </c>
      <c r="N27" s="1">
        <v>0.56000000000000005</v>
      </c>
      <c r="O27" s="1">
        <v>1.23</v>
      </c>
      <c r="P27" s="1">
        <v>9.4</v>
      </c>
      <c r="Q27" s="1">
        <v>0.28399999999999997</v>
      </c>
      <c r="R27" s="1">
        <v>0.73199999999999998</v>
      </c>
      <c r="S27" s="1">
        <v>0.48799999999999999</v>
      </c>
      <c r="T27" s="1">
        <v>8.4000000000000005E-2</v>
      </c>
      <c r="U27" s="1">
        <v>0.48</v>
      </c>
      <c r="V27" s="1">
        <v>0.52700000000000002</v>
      </c>
      <c r="W27" s="1">
        <v>100.8</v>
      </c>
      <c r="X27" s="1">
        <v>192.46</v>
      </c>
      <c r="Y27" s="1">
        <v>160.38</v>
      </c>
      <c r="Z27" s="1">
        <v>735</v>
      </c>
      <c r="AA27" s="1">
        <v>0.46100000000000002</v>
      </c>
      <c r="AB27" s="1">
        <v>17</v>
      </c>
      <c r="AC27" s="1">
        <v>16</v>
      </c>
      <c r="AD27" s="1">
        <v>15</v>
      </c>
      <c r="AE27" s="1">
        <v>16</v>
      </c>
      <c r="AF27" s="1">
        <v>19</v>
      </c>
      <c r="AG27" s="1">
        <v>21</v>
      </c>
      <c r="AH27" s="1">
        <v>9</v>
      </c>
      <c r="AI27" s="1">
        <v>21</v>
      </c>
      <c r="AJ27" s="1">
        <v>23</v>
      </c>
      <c r="AK27" s="1">
        <v>25</v>
      </c>
      <c r="AL27" s="1">
        <v>9</v>
      </c>
      <c r="AM27" s="1">
        <v>13</v>
      </c>
      <c r="AN27" s="1">
        <v>9</v>
      </c>
      <c r="AO27" s="1">
        <v>18</v>
      </c>
      <c r="AP27" s="1">
        <v>17</v>
      </c>
      <c r="AQ27" s="1">
        <v>24</v>
      </c>
      <c r="AR27" s="1">
        <v>19</v>
      </c>
      <c r="AS27" s="1">
        <v>19</v>
      </c>
      <c r="AT27" s="1">
        <v>24</v>
      </c>
      <c r="AU27" s="1">
        <v>10</v>
      </c>
      <c r="AV27" s="1" t="s">
        <v>163</v>
      </c>
    </row>
    <row r="28" spans="1:48">
      <c r="A28" s="1">
        <v>1610612759</v>
      </c>
      <c r="B28" s="1" t="s">
        <v>165</v>
      </c>
      <c r="C28" s="1">
        <v>11</v>
      </c>
      <c r="D28" s="1">
        <v>5</v>
      </c>
      <c r="E28" s="1">
        <v>6</v>
      </c>
      <c r="F28" s="1">
        <v>0.45500000000000002</v>
      </c>
      <c r="G28" s="1">
        <v>229</v>
      </c>
      <c r="H28" s="1">
        <v>108.4</v>
      </c>
      <c r="I28" s="1">
        <v>65.7</v>
      </c>
      <c r="J28" s="1">
        <v>106.6</v>
      </c>
      <c r="K28" s="1">
        <v>63.7</v>
      </c>
      <c r="L28" s="1">
        <v>1.8</v>
      </c>
      <c r="M28" s="1">
        <v>2</v>
      </c>
      <c r="N28" s="1">
        <v>0.56299999999999994</v>
      </c>
      <c r="O28" s="1">
        <v>1.52</v>
      </c>
      <c r="P28" s="1">
        <v>9.9</v>
      </c>
      <c r="Q28" s="1">
        <v>0.316</v>
      </c>
      <c r="R28" s="1">
        <v>0.76200000000000001</v>
      </c>
      <c r="S28" s="1">
        <v>0.53300000000000003</v>
      </c>
      <c r="T28" s="1">
        <v>0.09</v>
      </c>
      <c r="U28" s="1">
        <v>0.51100000000000001</v>
      </c>
      <c r="V28" s="1">
        <v>0.53900000000000003</v>
      </c>
      <c r="W28" s="1">
        <v>106.4</v>
      </c>
      <c r="X28" s="1">
        <v>176.64</v>
      </c>
      <c r="Y28" s="1">
        <v>147.19999999999999</v>
      </c>
      <c r="Z28" s="1">
        <v>843</v>
      </c>
      <c r="AA28" s="1">
        <v>0.51100000000000001</v>
      </c>
      <c r="AB28" s="1">
        <v>2</v>
      </c>
      <c r="AC28" s="1">
        <v>15</v>
      </c>
      <c r="AD28" s="1">
        <v>15</v>
      </c>
      <c r="AE28" s="1">
        <v>15</v>
      </c>
      <c r="AF28" s="1">
        <v>3</v>
      </c>
      <c r="AG28" s="1">
        <v>2</v>
      </c>
      <c r="AH28" s="1">
        <v>29</v>
      </c>
      <c r="AI28" s="1">
        <v>5</v>
      </c>
      <c r="AJ28" s="1">
        <v>21</v>
      </c>
      <c r="AK28" s="1">
        <v>10</v>
      </c>
      <c r="AL28" s="1">
        <v>5</v>
      </c>
      <c r="AM28" s="1">
        <v>5</v>
      </c>
      <c r="AN28" s="1">
        <v>3</v>
      </c>
      <c r="AO28" s="1">
        <v>2</v>
      </c>
      <c r="AP28" s="1">
        <v>23</v>
      </c>
      <c r="AQ28" s="1">
        <v>14</v>
      </c>
      <c r="AR28" s="1">
        <v>16</v>
      </c>
      <c r="AS28" s="1">
        <v>27</v>
      </c>
      <c r="AT28" s="1">
        <v>7</v>
      </c>
      <c r="AU28" s="1">
        <v>10</v>
      </c>
      <c r="AV28" s="1" t="s">
        <v>165</v>
      </c>
    </row>
    <row r="29" spans="1:48">
      <c r="A29" s="1">
        <v>1610612761</v>
      </c>
      <c r="B29" s="1" t="s">
        <v>166</v>
      </c>
      <c r="C29" s="1">
        <v>10</v>
      </c>
      <c r="D29" s="1">
        <v>7</v>
      </c>
      <c r="E29" s="1">
        <v>3</v>
      </c>
      <c r="F29" s="1">
        <v>0.7</v>
      </c>
      <c r="G29" s="1">
        <v>151</v>
      </c>
      <c r="H29" s="1">
        <v>102.4</v>
      </c>
      <c r="I29" s="1">
        <v>46.7</v>
      </c>
      <c r="J29" s="1">
        <v>101</v>
      </c>
      <c r="K29" s="1">
        <v>46.7</v>
      </c>
      <c r="L29" s="1">
        <v>1.5</v>
      </c>
      <c r="M29" s="1">
        <v>0</v>
      </c>
      <c r="N29" s="1">
        <v>0.64</v>
      </c>
      <c r="O29" s="1">
        <v>1.42</v>
      </c>
      <c r="P29" s="1">
        <v>4.3</v>
      </c>
      <c r="Q29" s="1">
        <v>0.253</v>
      </c>
      <c r="R29" s="1">
        <v>0.68500000000000005</v>
      </c>
      <c r="S29" s="1">
        <v>0.48899999999999999</v>
      </c>
      <c r="T29" s="1">
        <v>7.3999999999999996E-2</v>
      </c>
      <c r="U29" s="1">
        <v>0.51700000000000002</v>
      </c>
      <c r="V29" s="1">
        <v>0.58799999999999997</v>
      </c>
      <c r="W29" s="1">
        <v>106.4</v>
      </c>
      <c r="X29" s="1">
        <v>231.73</v>
      </c>
      <c r="Y29" s="1">
        <v>193.11</v>
      </c>
      <c r="Z29" s="1">
        <v>728</v>
      </c>
      <c r="AA29" s="1">
        <v>0.52</v>
      </c>
      <c r="AB29" s="1">
        <v>17</v>
      </c>
      <c r="AC29" s="1">
        <v>5</v>
      </c>
      <c r="AD29" s="1">
        <v>3</v>
      </c>
      <c r="AE29" s="1">
        <v>5</v>
      </c>
      <c r="AF29" s="1">
        <v>30</v>
      </c>
      <c r="AG29" s="1">
        <v>29</v>
      </c>
      <c r="AH29" s="1">
        <v>2</v>
      </c>
      <c r="AI29" s="1">
        <v>14</v>
      </c>
      <c r="AJ29" s="1">
        <v>5</v>
      </c>
      <c r="AK29" s="1">
        <v>14</v>
      </c>
      <c r="AL29" s="1">
        <v>29</v>
      </c>
      <c r="AM29" s="1">
        <v>22</v>
      </c>
      <c r="AN29" s="1">
        <v>27</v>
      </c>
      <c r="AO29" s="1">
        <v>16</v>
      </c>
      <c r="AP29" s="1">
        <v>10</v>
      </c>
      <c r="AQ29" s="1">
        <v>10</v>
      </c>
      <c r="AR29" s="1">
        <v>4</v>
      </c>
      <c r="AS29" s="1">
        <v>2</v>
      </c>
      <c r="AT29" s="1">
        <v>5</v>
      </c>
      <c r="AU29" s="1">
        <v>10</v>
      </c>
      <c r="AV29" s="1" t="s">
        <v>166</v>
      </c>
    </row>
    <row r="30" spans="1:48">
      <c r="A30" s="1">
        <v>1610612762</v>
      </c>
      <c r="B30" s="1" t="s">
        <v>168</v>
      </c>
      <c r="C30" s="1">
        <v>11</v>
      </c>
      <c r="D30" s="1">
        <v>8</v>
      </c>
      <c r="E30" s="1">
        <v>3</v>
      </c>
      <c r="F30" s="1">
        <v>0.72699999999999998</v>
      </c>
      <c r="G30" s="1">
        <v>179</v>
      </c>
      <c r="H30" s="1">
        <v>98.5</v>
      </c>
      <c r="I30" s="1">
        <v>46</v>
      </c>
      <c r="J30" s="1">
        <v>96.7</v>
      </c>
      <c r="K30" s="1">
        <v>45.9</v>
      </c>
      <c r="L30" s="1">
        <v>1.9</v>
      </c>
      <c r="M30" s="1">
        <v>0.1</v>
      </c>
      <c r="N30" s="1">
        <v>0.504</v>
      </c>
      <c r="O30" s="1">
        <v>1.06</v>
      </c>
      <c r="P30" s="1">
        <v>7.4</v>
      </c>
      <c r="Q30" s="1">
        <v>0.25600000000000001</v>
      </c>
      <c r="R30" s="1">
        <v>0.73399999999999999</v>
      </c>
      <c r="S30" s="1">
        <v>0.505</v>
      </c>
      <c r="T30" s="1">
        <v>7.9000000000000001E-2</v>
      </c>
      <c r="U30" s="1">
        <v>0.504</v>
      </c>
      <c r="V30" s="1">
        <v>0.52600000000000002</v>
      </c>
      <c r="W30" s="1">
        <v>102.3</v>
      </c>
      <c r="X30" s="1">
        <v>217.34</v>
      </c>
      <c r="Y30" s="1">
        <v>181.12</v>
      </c>
      <c r="Z30" s="1">
        <v>812</v>
      </c>
      <c r="AA30" s="1">
        <v>0.51</v>
      </c>
      <c r="AB30" s="1">
        <v>2</v>
      </c>
      <c r="AC30" s="1">
        <v>2</v>
      </c>
      <c r="AD30" s="1">
        <v>3</v>
      </c>
      <c r="AE30" s="1">
        <v>3</v>
      </c>
      <c r="AF30" s="1">
        <v>24</v>
      </c>
      <c r="AG30" s="1">
        <v>30</v>
      </c>
      <c r="AH30" s="1">
        <v>1</v>
      </c>
      <c r="AI30" s="1">
        <v>13</v>
      </c>
      <c r="AJ30" s="1">
        <v>29</v>
      </c>
      <c r="AK30" s="1">
        <v>29</v>
      </c>
      <c r="AL30" s="1">
        <v>25</v>
      </c>
      <c r="AM30" s="1">
        <v>21</v>
      </c>
      <c r="AN30" s="1">
        <v>8</v>
      </c>
      <c r="AO30" s="1">
        <v>13</v>
      </c>
      <c r="AP30" s="1">
        <v>12</v>
      </c>
      <c r="AQ30" s="1">
        <v>18</v>
      </c>
      <c r="AR30" s="1">
        <v>20</v>
      </c>
      <c r="AS30" s="1">
        <v>5</v>
      </c>
      <c r="AT30" s="1">
        <v>8</v>
      </c>
      <c r="AU30" s="1">
        <v>10</v>
      </c>
      <c r="AV30" s="1" t="s">
        <v>168</v>
      </c>
    </row>
    <row r="31" spans="1:48">
      <c r="A31" s="1">
        <v>1610612764</v>
      </c>
      <c r="B31" s="1" t="s">
        <v>171</v>
      </c>
      <c r="C31" s="1">
        <v>9</v>
      </c>
      <c r="D31" s="1">
        <v>2</v>
      </c>
      <c r="E31" s="1">
        <v>7</v>
      </c>
      <c r="F31" s="1">
        <v>0.222</v>
      </c>
      <c r="G31" s="1">
        <v>174</v>
      </c>
      <c r="H31" s="1">
        <v>106</v>
      </c>
      <c r="I31" s="1">
        <v>63.6</v>
      </c>
      <c r="J31" s="1">
        <v>102.7</v>
      </c>
      <c r="K31" s="1">
        <v>61.7</v>
      </c>
      <c r="L31" s="1">
        <v>3.3</v>
      </c>
      <c r="M31" s="1">
        <v>1.9</v>
      </c>
      <c r="N31" s="1">
        <v>0.58699999999999997</v>
      </c>
      <c r="O31" s="1">
        <v>1.52</v>
      </c>
      <c r="P31" s="1">
        <v>9.6</v>
      </c>
      <c r="Q31" s="1">
        <v>0.26100000000000001</v>
      </c>
      <c r="R31" s="1">
        <v>0.68700000000000006</v>
      </c>
      <c r="S31" s="1">
        <v>0.47</v>
      </c>
      <c r="T31" s="1">
        <v>8.7999999999999995E-2</v>
      </c>
      <c r="U31" s="1">
        <v>0.51900000000000002</v>
      </c>
      <c r="V31" s="1">
        <v>0.59499999999999997</v>
      </c>
      <c r="W31" s="1">
        <v>111.1</v>
      </c>
      <c r="X31" s="1">
        <v>185.06</v>
      </c>
      <c r="Y31" s="1">
        <v>154.21</v>
      </c>
      <c r="Z31" s="1">
        <v>673</v>
      </c>
      <c r="AA31" s="1">
        <v>0.50700000000000001</v>
      </c>
      <c r="AB31" s="1">
        <v>30</v>
      </c>
      <c r="AC31" s="1">
        <v>27</v>
      </c>
      <c r="AD31" s="1">
        <v>20</v>
      </c>
      <c r="AE31" s="1">
        <v>27</v>
      </c>
      <c r="AF31" s="1">
        <v>26</v>
      </c>
      <c r="AG31" s="1">
        <v>3</v>
      </c>
      <c r="AH31" s="1">
        <v>25</v>
      </c>
      <c r="AI31" s="1">
        <v>7</v>
      </c>
      <c r="AJ31" s="1">
        <v>17</v>
      </c>
      <c r="AK31" s="1">
        <v>11</v>
      </c>
      <c r="AL31" s="1">
        <v>8</v>
      </c>
      <c r="AM31" s="1">
        <v>19</v>
      </c>
      <c r="AN31" s="1">
        <v>26</v>
      </c>
      <c r="AO31" s="1">
        <v>26</v>
      </c>
      <c r="AP31" s="1">
        <v>22</v>
      </c>
      <c r="AQ31" s="1">
        <v>9</v>
      </c>
      <c r="AR31" s="1">
        <v>3</v>
      </c>
      <c r="AS31" s="1">
        <v>23</v>
      </c>
      <c r="AT31" s="1">
        <v>9</v>
      </c>
      <c r="AU31" s="1">
        <v>10</v>
      </c>
      <c r="AV31" s="1" t="s">
        <v>171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D11FD-FB13-4BEC-BA45-CF478F0E8B55}">
  <sheetPr codeName="Sheet7"/>
  <dimension ref="A1:CC31"/>
  <sheetViews>
    <sheetView workbookViewId="0"/>
  </sheetViews>
  <sheetFormatPr defaultRowHeight="14.5"/>
  <cols>
    <col min="1" max="1" width="10.453125" customWidth="1"/>
    <col min="2" max="2" width="10.54296875" customWidth="1"/>
    <col min="3" max="3" width="9.26953125" customWidth="1"/>
    <col min="4" max="4" width="10.6328125" customWidth="1"/>
    <col min="5" max="6" width="12.36328125" customWidth="1"/>
    <col min="7" max="7" width="18.1796875" customWidth="1"/>
    <col min="8" max="8" width="12.81640625" customWidth="1"/>
    <col min="9" max="9" width="15.36328125" customWidth="1"/>
    <col min="10" max="10" width="9.36328125" customWidth="1"/>
    <col min="11" max="11" width="15.1796875" customWidth="1"/>
    <col min="12" max="12" width="13.54296875" customWidth="1"/>
    <col min="15" max="15" width="9.36328125" customWidth="1"/>
    <col min="16" max="16" width="12.81640625" customWidth="1"/>
    <col min="21" max="21" width="13.1796875" customWidth="1"/>
    <col min="22" max="22" width="12.453125" customWidth="1"/>
    <col min="24" max="24" width="16.1796875" customWidth="1"/>
    <col min="25" max="25" width="15.54296875" customWidth="1"/>
    <col min="26" max="26" width="17.08984375" customWidth="1"/>
    <col min="27" max="27" width="19.36328125" customWidth="1"/>
    <col min="28" max="28" width="16.36328125" customWidth="1"/>
    <col min="29" max="29" width="18.6328125" customWidth="1"/>
    <col min="30" max="30" width="15.453125" customWidth="1"/>
    <col min="31" max="31" width="15.6328125" customWidth="1"/>
    <col min="32" max="32" width="19.6328125" customWidth="1"/>
    <col min="33" max="33" width="21.90625" customWidth="1"/>
    <col min="34" max="34" width="18.90625" customWidth="1"/>
    <col min="35" max="35" width="21.1796875" customWidth="1"/>
    <col min="36" max="36" width="14.6328125" customWidth="1"/>
    <col min="37" max="37" width="16.90625" customWidth="1"/>
    <col min="38" max="38" width="22" customWidth="1"/>
    <col min="39" max="39" width="19" customWidth="1"/>
    <col min="40" max="40" width="23.08984375" customWidth="1"/>
    <col min="41" max="41" width="20.08984375" customWidth="1"/>
    <col min="42" max="42" width="19.81640625" customWidth="1"/>
    <col min="43" max="43" width="21.26953125" customWidth="1"/>
    <col min="44" max="44" width="18.26953125" customWidth="1"/>
    <col min="45" max="45" width="13.453125" customWidth="1"/>
    <col min="46" max="46" width="13.90625" customWidth="1"/>
    <col min="47" max="47" width="11.6328125" customWidth="1"/>
    <col min="48" max="48" width="14.453125" customWidth="1"/>
    <col min="49" max="49" width="14.90625" customWidth="1"/>
    <col min="50" max="50" width="12.6328125" customWidth="1"/>
    <col min="51" max="51" width="13.36328125" customWidth="1"/>
    <col min="52" max="52" width="16.90625" customWidth="1"/>
    <col min="53" max="53" width="13.36328125" customWidth="1"/>
    <col min="54" max="54" width="13.7265625" customWidth="1"/>
    <col min="55" max="55" width="11.54296875" customWidth="1"/>
    <col min="56" max="56" width="16.36328125" customWidth="1"/>
    <col min="57" max="57" width="10.453125" customWidth="1"/>
    <col min="58" max="58" width="14" customWidth="1"/>
    <col min="59" max="59" width="13.453125" customWidth="1"/>
    <col min="61" max="61" width="11" customWidth="1"/>
    <col min="62" max="62" width="10.6328125" customWidth="1"/>
    <col min="63" max="63" width="13" customWidth="1"/>
    <col min="64" max="64" width="8.90625" customWidth="1"/>
    <col min="65" max="65" width="13.453125" customWidth="1"/>
    <col min="66" max="66" width="9.81640625" customWidth="1"/>
    <col min="67" max="67" width="13.453125" customWidth="1"/>
  </cols>
  <sheetData>
    <row r="1" spans="1:81">
      <c r="A1" s="1" t="s">
        <v>272</v>
      </c>
      <c r="B1" s="1" t="s">
        <v>273</v>
      </c>
      <c r="C1" s="1" t="s">
        <v>274</v>
      </c>
      <c r="D1" s="1" t="s">
        <v>275</v>
      </c>
      <c r="E1" s="1" t="s">
        <v>276</v>
      </c>
      <c r="F1" s="1" t="s">
        <v>277</v>
      </c>
      <c r="G1" s="1" t="s">
        <v>278</v>
      </c>
      <c r="H1" s="1" t="s">
        <v>279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292</v>
      </c>
      <c r="V1" s="1" t="s">
        <v>293</v>
      </c>
      <c r="W1" s="1" t="s">
        <v>294</v>
      </c>
      <c r="X1" s="1" t="s">
        <v>295</v>
      </c>
      <c r="Y1" s="1" t="s">
        <v>296</v>
      </c>
      <c r="Z1" s="1" t="s">
        <v>297</v>
      </c>
      <c r="AA1" s="1" t="s">
        <v>298</v>
      </c>
      <c r="AB1" s="1" t="s">
        <v>299</v>
      </c>
      <c r="AC1" s="1" t="s">
        <v>300</v>
      </c>
      <c r="AD1" s="1" t="s">
        <v>301</v>
      </c>
      <c r="AE1" s="1" t="s">
        <v>302</v>
      </c>
      <c r="AF1" s="1" t="s">
        <v>303</v>
      </c>
      <c r="AG1" s="1" t="s">
        <v>304</v>
      </c>
      <c r="AH1" s="1" t="s">
        <v>305</v>
      </c>
      <c r="AI1" s="1" t="s">
        <v>306</v>
      </c>
      <c r="AJ1" s="1" t="s">
        <v>307</v>
      </c>
      <c r="AK1" s="1" t="s">
        <v>308</v>
      </c>
      <c r="AL1" s="1" t="s">
        <v>309</v>
      </c>
      <c r="AM1" s="1" t="s">
        <v>310</v>
      </c>
      <c r="AN1" s="1" t="s">
        <v>311</v>
      </c>
      <c r="AO1" s="1" t="s">
        <v>312</v>
      </c>
      <c r="AP1" s="1" t="s">
        <v>313</v>
      </c>
      <c r="AQ1" s="1" t="s">
        <v>314</v>
      </c>
      <c r="AR1" s="1" t="s">
        <v>315</v>
      </c>
      <c r="AS1" s="1" t="s">
        <v>316</v>
      </c>
      <c r="AT1" s="1" t="s">
        <v>317</v>
      </c>
      <c r="AU1" s="1" t="s">
        <v>318</v>
      </c>
      <c r="AV1" s="1" t="s">
        <v>319</v>
      </c>
      <c r="AW1" s="1" t="s">
        <v>320</v>
      </c>
      <c r="AX1" s="1" t="s">
        <v>321</v>
      </c>
      <c r="AY1" s="1" t="s">
        <v>322</v>
      </c>
      <c r="AZ1" s="1" t="s">
        <v>323</v>
      </c>
      <c r="BA1" s="1" t="s">
        <v>324</v>
      </c>
      <c r="BB1" s="1" t="s">
        <v>325</v>
      </c>
      <c r="BC1" s="1" t="s">
        <v>326</v>
      </c>
      <c r="BD1" s="1" t="s">
        <v>327</v>
      </c>
      <c r="BE1" s="1" t="s">
        <v>328</v>
      </c>
      <c r="BF1" s="1" t="s">
        <v>329</v>
      </c>
      <c r="BG1" s="1" t="s">
        <v>330</v>
      </c>
      <c r="BH1" s="1" t="s">
        <v>331</v>
      </c>
      <c r="BI1" s="1" t="s">
        <v>332</v>
      </c>
      <c r="BJ1" s="1" t="s">
        <v>333</v>
      </c>
      <c r="BK1" s="1" t="s">
        <v>334</v>
      </c>
      <c r="BL1" s="1" t="s">
        <v>335</v>
      </c>
      <c r="BM1" s="1" t="s">
        <v>336</v>
      </c>
      <c r="BN1" s="1" t="s">
        <v>337</v>
      </c>
      <c r="BO1" s="1" t="s">
        <v>338</v>
      </c>
      <c r="BP1" s="1" t="s">
        <v>339</v>
      </c>
      <c r="BQ1" s="1" t="s">
        <v>340</v>
      </c>
      <c r="BR1" s="1" t="s">
        <v>341</v>
      </c>
      <c r="BS1" s="1" t="s">
        <v>342</v>
      </c>
      <c r="BT1" s="1" t="s">
        <v>343</v>
      </c>
      <c r="BU1" s="1" t="s">
        <v>344</v>
      </c>
      <c r="BV1" s="1" t="s">
        <v>345</v>
      </c>
      <c r="BW1" s="1" t="s">
        <v>346</v>
      </c>
      <c r="BX1" s="1" t="s">
        <v>347</v>
      </c>
      <c r="BY1" s="1" t="s">
        <v>348</v>
      </c>
      <c r="BZ1" s="1" t="s">
        <v>349</v>
      </c>
      <c r="CA1" s="1" t="s">
        <v>350</v>
      </c>
      <c r="CB1" s="1" t="s">
        <v>351</v>
      </c>
      <c r="CC1" s="1" t="s">
        <v>352</v>
      </c>
    </row>
    <row r="2" spans="1:81">
      <c r="A2" s="1" t="s">
        <v>353</v>
      </c>
      <c r="B2" s="1" t="s">
        <v>354</v>
      </c>
      <c r="C2" s="1">
        <v>1610612738</v>
      </c>
      <c r="D2" s="1" t="s">
        <v>355</v>
      </c>
      <c r="E2" s="1" t="s">
        <v>356</v>
      </c>
      <c r="F2" s="1" t="s">
        <v>357</v>
      </c>
      <c r="G2" s="1" t="s">
        <v>358</v>
      </c>
      <c r="H2" s="1">
        <v>1</v>
      </c>
      <c r="I2" s="1" t="s">
        <v>359</v>
      </c>
      <c r="J2" s="1" t="s">
        <v>360</v>
      </c>
      <c r="K2" s="1" t="s">
        <v>361</v>
      </c>
      <c r="L2" s="1">
        <v>1</v>
      </c>
      <c r="M2" s="1">
        <v>9</v>
      </c>
      <c r="N2" s="1">
        <v>1</v>
      </c>
      <c r="O2" s="1">
        <v>0.9</v>
      </c>
      <c r="P2" s="1">
        <v>0</v>
      </c>
      <c r="Q2" s="1" t="s">
        <v>362</v>
      </c>
      <c r="R2" s="1" t="s">
        <v>363</v>
      </c>
      <c r="S2" s="1" t="s">
        <v>364</v>
      </c>
      <c r="T2" s="1" t="s">
        <v>365</v>
      </c>
      <c r="U2" s="1" t="s">
        <v>363</v>
      </c>
      <c r="V2" s="1" t="s">
        <v>364</v>
      </c>
      <c r="W2" s="1" t="s">
        <v>366</v>
      </c>
      <c r="X2" s="1" t="s">
        <v>367</v>
      </c>
      <c r="Y2" s="1" t="s">
        <v>368</v>
      </c>
      <c r="Z2" s="1">
        <v>5</v>
      </c>
      <c r="AA2" s="1" t="s">
        <v>369</v>
      </c>
      <c r="AB2" s="1">
        <v>4</v>
      </c>
      <c r="AC2" s="1" t="s">
        <v>370</v>
      </c>
      <c r="AD2" s="1">
        <v>9</v>
      </c>
      <c r="AE2" s="1">
        <v>1</v>
      </c>
      <c r="AF2" s="1">
        <v>5</v>
      </c>
      <c r="AG2" s="1" t="s">
        <v>369</v>
      </c>
      <c r="AH2" s="1">
        <v>4</v>
      </c>
      <c r="AI2" s="1" t="s">
        <v>370</v>
      </c>
      <c r="AJ2" s="1">
        <v>9</v>
      </c>
      <c r="AK2" s="1" t="s">
        <v>371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363</v>
      </c>
      <c r="AT2" s="1" t="s">
        <v>361</v>
      </c>
      <c r="AU2" s="1" t="s">
        <v>367</v>
      </c>
      <c r="AV2" s="1" t="s">
        <v>372</v>
      </c>
      <c r="AW2" s="1" t="s">
        <v>373</v>
      </c>
      <c r="AX2" s="1" t="s">
        <v>366</v>
      </c>
      <c r="AY2" s="1" t="s">
        <v>374</v>
      </c>
      <c r="AZ2" s="1" t="s">
        <v>358</v>
      </c>
      <c r="BA2" s="1" t="s">
        <v>368</v>
      </c>
      <c r="BB2" s="1" t="s">
        <v>375</v>
      </c>
      <c r="BC2" s="1" t="s">
        <v>376</v>
      </c>
      <c r="BD2" s="1" t="s">
        <v>368</v>
      </c>
      <c r="BE2" s="1">
        <v>116.1</v>
      </c>
      <c r="BF2" s="1">
        <v>106.9</v>
      </c>
      <c r="BG2" s="1">
        <v>9.1999999999999993</v>
      </c>
      <c r="BH2" s="1" t="s">
        <v>377</v>
      </c>
      <c r="BI2" s="1" t="s">
        <v>378</v>
      </c>
      <c r="BJ2" s="1" t="s">
        <v>379</v>
      </c>
      <c r="BK2" s="1" t="s">
        <v>379</v>
      </c>
      <c r="BL2" s="1" t="s">
        <v>379</v>
      </c>
      <c r="BM2" s="1" t="s">
        <v>380</v>
      </c>
      <c r="BN2" s="1" t="s">
        <v>380</v>
      </c>
      <c r="BO2" s="1" t="s">
        <v>379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378</v>
      </c>
      <c r="BZ2" s="1" t="s">
        <v>381</v>
      </c>
      <c r="CA2" s="1"/>
      <c r="CB2" s="1" t="s">
        <v>362</v>
      </c>
      <c r="CC2" s="1"/>
    </row>
    <row r="3" spans="1:81">
      <c r="A3" s="1" t="s">
        <v>353</v>
      </c>
      <c r="B3" s="1" t="s">
        <v>354</v>
      </c>
      <c r="C3" s="1">
        <v>1610612747</v>
      </c>
      <c r="D3" s="1" t="s">
        <v>382</v>
      </c>
      <c r="E3" s="1" t="s">
        <v>383</v>
      </c>
      <c r="F3" s="1" t="s">
        <v>384</v>
      </c>
      <c r="G3" s="1" t="s">
        <v>368</v>
      </c>
      <c r="H3" s="1">
        <v>1</v>
      </c>
      <c r="I3" s="1" t="s">
        <v>359</v>
      </c>
      <c r="J3" s="1" t="s">
        <v>385</v>
      </c>
      <c r="K3" s="1" t="s">
        <v>373</v>
      </c>
      <c r="L3" s="1">
        <v>1</v>
      </c>
      <c r="M3" s="1">
        <v>8</v>
      </c>
      <c r="N3" s="1">
        <v>2</v>
      </c>
      <c r="O3" s="1">
        <v>0.8</v>
      </c>
      <c r="P3" s="1">
        <v>0</v>
      </c>
      <c r="Q3" s="1" t="s">
        <v>386</v>
      </c>
      <c r="R3" s="1" t="s">
        <v>364</v>
      </c>
      <c r="S3" s="1" t="s">
        <v>364</v>
      </c>
      <c r="T3" s="1" t="s">
        <v>387</v>
      </c>
      <c r="U3" s="1" t="s">
        <v>364</v>
      </c>
      <c r="V3" s="1" t="s">
        <v>364</v>
      </c>
      <c r="W3" s="1" t="s">
        <v>367</v>
      </c>
      <c r="X3" s="1" t="s">
        <v>366</v>
      </c>
      <c r="Y3" s="1" t="s">
        <v>361</v>
      </c>
      <c r="Z3" s="1">
        <v>4</v>
      </c>
      <c r="AA3" s="1" t="s">
        <v>370</v>
      </c>
      <c r="AB3" s="1">
        <v>4</v>
      </c>
      <c r="AC3" s="1" t="s">
        <v>370</v>
      </c>
      <c r="AD3" s="1">
        <v>7</v>
      </c>
      <c r="AE3" s="1">
        <v>1</v>
      </c>
      <c r="AF3" s="1">
        <v>-1</v>
      </c>
      <c r="AG3" s="1" t="s">
        <v>388</v>
      </c>
      <c r="AH3" s="1">
        <v>4</v>
      </c>
      <c r="AI3" s="1" t="s">
        <v>370</v>
      </c>
      <c r="AJ3" s="1">
        <v>1</v>
      </c>
      <c r="AK3" s="1" t="s">
        <v>389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390</v>
      </c>
      <c r="AT3" s="1" t="s">
        <v>391</v>
      </c>
      <c r="AU3" s="1" t="s">
        <v>366</v>
      </c>
      <c r="AV3" s="1" t="s">
        <v>375</v>
      </c>
      <c r="AW3" s="1" t="s">
        <v>392</v>
      </c>
      <c r="AX3" s="1" t="s">
        <v>393</v>
      </c>
      <c r="AY3" s="1" t="s">
        <v>394</v>
      </c>
      <c r="AZ3" s="1" t="s">
        <v>395</v>
      </c>
      <c r="BA3" s="1" t="s">
        <v>394</v>
      </c>
      <c r="BB3" s="1" t="s">
        <v>375</v>
      </c>
      <c r="BC3" s="1" t="s">
        <v>390</v>
      </c>
      <c r="BD3" s="1" t="s">
        <v>368</v>
      </c>
      <c r="BE3" s="1">
        <v>109.9</v>
      </c>
      <c r="BF3" s="1">
        <v>101.6</v>
      </c>
      <c r="BG3" s="1">
        <v>8.3000000000000007</v>
      </c>
      <c r="BH3" s="1" t="s">
        <v>378</v>
      </c>
      <c r="BI3" s="1" t="s">
        <v>396</v>
      </c>
      <c r="BJ3" s="1" t="s">
        <v>397</v>
      </c>
      <c r="BK3" s="1" t="s">
        <v>379</v>
      </c>
      <c r="BL3" s="1" t="s">
        <v>398</v>
      </c>
      <c r="BM3" s="1" t="s">
        <v>397</v>
      </c>
      <c r="BN3" s="1" t="s">
        <v>399</v>
      </c>
      <c r="BO3" s="1" t="s">
        <v>400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378</v>
      </c>
      <c r="BZ3" s="1" t="s">
        <v>398</v>
      </c>
      <c r="CA3" s="1"/>
      <c r="CB3" s="1" t="s">
        <v>386</v>
      </c>
      <c r="CC3" s="1"/>
    </row>
    <row r="4" spans="1:81">
      <c r="A4" s="1" t="s">
        <v>353</v>
      </c>
      <c r="B4" s="1" t="s">
        <v>354</v>
      </c>
      <c r="C4" s="1">
        <v>1610612745</v>
      </c>
      <c r="D4" s="1" t="s">
        <v>401</v>
      </c>
      <c r="E4" s="1" t="s">
        <v>402</v>
      </c>
      <c r="F4" s="1" t="s">
        <v>384</v>
      </c>
      <c r="G4" s="1" t="s">
        <v>375</v>
      </c>
      <c r="H4" s="1">
        <v>2</v>
      </c>
      <c r="I4" s="1" t="s">
        <v>359</v>
      </c>
      <c r="J4" s="1" t="s">
        <v>403</v>
      </c>
      <c r="K4" s="1" t="s">
        <v>404</v>
      </c>
      <c r="L4" s="1">
        <v>1</v>
      </c>
      <c r="M4" s="1">
        <v>8</v>
      </c>
      <c r="N4" s="1">
        <v>3</v>
      </c>
      <c r="O4" s="1">
        <v>0.72699999999999998</v>
      </c>
      <c r="P4" s="1">
        <v>0</v>
      </c>
      <c r="Q4" s="1" t="s">
        <v>405</v>
      </c>
      <c r="R4" s="1" t="s">
        <v>364</v>
      </c>
      <c r="S4" s="1" t="s">
        <v>395</v>
      </c>
      <c r="T4" s="1" t="s">
        <v>387</v>
      </c>
      <c r="U4" s="1" t="s">
        <v>364</v>
      </c>
      <c r="V4" s="1" t="s">
        <v>395</v>
      </c>
      <c r="W4" s="1" t="s">
        <v>366</v>
      </c>
      <c r="X4" s="1" t="s">
        <v>392</v>
      </c>
      <c r="Y4" s="1" t="s">
        <v>391</v>
      </c>
      <c r="Z4" s="1">
        <v>4</v>
      </c>
      <c r="AA4" s="1" t="s">
        <v>370</v>
      </c>
      <c r="AB4" s="1">
        <v>3</v>
      </c>
      <c r="AC4" s="1" t="s">
        <v>406</v>
      </c>
      <c r="AD4" s="1">
        <v>5</v>
      </c>
      <c r="AE4" s="1">
        <v>2</v>
      </c>
      <c r="AF4" s="1">
        <v>4</v>
      </c>
      <c r="AG4" s="1" t="s">
        <v>370</v>
      </c>
      <c r="AH4" s="1">
        <v>3</v>
      </c>
      <c r="AI4" s="1" t="s">
        <v>406</v>
      </c>
      <c r="AJ4" s="1">
        <v>5</v>
      </c>
      <c r="AK4" s="1" t="s">
        <v>369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368</v>
      </c>
      <c r="AT4" s="1" t="s">
        <v>407</v>
      </c>
      <c r="AU4" s="1" t="s">
        <v>367</v>
      </c>
      <c r="AV4" s="1" t="s">
        <v>390</v>
      </c>
      <c r="AW4" s="1" t="s">
        <v>407</v>
      </c>
      <c r="AX4" s="1" t="s">
        <v>366</v>
      </c>
      <c r="AY4" s="1" t="s">
        <v>408</v>
      </c>
      <c r="AZ4" s="1" t="s">
        <v>409</v>
      </c>
      <c r="BA4" s="1" t="s">
        <v>410</v>
      </c>
      <c r="BB4" s="1" t="s">
        <v>404</v>
      </c>
      <c r="BC4" s="1" t="s">
        <v>364</v>
      </c>
      <c r="BD4" s="1" t="s">
        <v>361</v>
      </c>
      <c r="BE4" s="1">
        <v>118.6</v>
      </c>
      <c r="BF4" s="1">
        <v>116.1</v>
      </c>
      <c r="BG4" s="1">
        <v>2.5</v>
      </c>
      <c r="BH4" s="1" t="s">
        <v>411</v>
      </c>
      <c r="BI4" s="1" t="s">
        <v>396</v>
      </c>
      <c r="BJ4" s="1" t="s">
        <v>399</v>
      </c>
      <c r="BK4" s="1" t="s">
        <v>399</v>
      </c>
      <c r="BL4" s="1" t="s">
        <v>412</v>
      </c>
      <c r="BM4" s="1" t="s">
        <v>397</v>
      </c>
      <c r="BN4" s="1" t="s">
        <v>379</v>
      </c>
      <c r="BO4" s="1" t="s">
        <v>400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378</v>
      </c>
      <c r="BZ4" s="1" t="s">
        <v>413</v>
      </c>
      <c r="CA4" s="1"/>
      <c r="CB4" s="1" t="s">
        <v>405</v>
      </c>
      <c r="CC4" s="1"/>
    </row>
    <row r="5" spans="1:81">
      <c r="A5" s="1" t="s">
        <v>353</v>
      </c>
      <c r="B5" s="1" t="s">
        <v>354</v>
      </c>
      <c r="C5" s="1">
        <v>1610612748</v>
      </c>
      <c r="D5" s="1" t="s">
        <v>414</v>
      </c>
      <c r="E5" s="1" t="s">
        <v>415</v>
      </c>
      <c r="F5" s="1" t="s">
        <v>357</v>
      </c>
      <c r="G5" s="1" t="s">
        <v>376</v>
      </c>
      <c r="H5" s="1">
        <v>2</v>
      </c>
      <c r="I5" s="1" t="s">
        <v>359</v>
      </c>
      <c r="J5" s="1" t="s">
        <v>416</v>
      </c>
      <c r="K5" s="1" t="s">
        <v>392</v>
      </c>
      <c r="L5" s="1">
        <v>1</v>
      </c>
      <c r="M5" s="1">
        <v>7</v>
      </c>
      <c r="N5" s="1">
        <v>3</v>
      </c>
      <c r="O5" s="1">
        <v>0.7</v>
      </c>
      <c r="P5" s="1">
        <v>0</v>
      </c>
      <c r="Q5" s="1" t="s">
        <v>417</v>
      </c>
      <c r="R5" s="1" t="s">
        <v>376</v>
      </c>
      <c r="S5" s="1" t="s">
        <v>418</v>
      </c>
      <c r="T5" s="1" t="s">
        <v>419</v>
      </c>
      <c r="U5" s="1" t="s">
        <v>376</v>
      </c>
      <c r="V5" s="1" t="s">
        <v>418</v>
      </c>
      <c r="W5" s="1" t="s">
        <v>367</v>
      </c>
      <c r="X5" s="1" t="s">
        <v>366</v>
      </c>
      <c r="Y5" s="1" t="s">
        <v>395</v>
      </c>
      <c r="Z5" s="1">
        <v>4</v>
      </c>
      <c r="AA5" s="1" t="s">
        <v>370</v>
      </c>
      <c r="AB5" s="1">
        <v>1</v>
      </c>
      <c r="AC5" s="1" t="s">
        <v>389</v>
      </c>
      <c r="AD5" s="1">
        <v>3</v>
      </c>
      <c r="AE5" s="1">
        <v>1</v>
      </c>
      <c r="AF5" s="1">
        <v>4</v>
      </c>
      <c r="AG5" s="1" t="s">
        <v>370</v>
      </c>
      <c r="AH5" s="1">
        <v>-1</v>
      </c>
      <c r="AI5" s="1" t="s">
        <v>388</v>
      </c>
      <c r="AJ5" s="1">
        <v>1</v>
      </c>
      <c r="AK5" s="1" t="s">
        <v>389</v>
      </c>
      <c r="AL5" s="1">
        <v>2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368</v>
      </c>
      <c r="AT5" s="1" t="s">
        <v>407</v>
      </c>
      <c r="AU5" s="1" t="s">
        <v>366</v>
      </c>
      <c r="AV5" s="1" t="s">
        <v>368</v>
      </c>
      <c r="AW5" s="1" t="s">
        <v>407</v>
      </c>
      <c r="AX5" s="1" t="s">
        <v>366</v>
      </c>
      <c r="AY5" s="1" t="s">
        <v>358</v>
      </c>
      <c r="AZ5" s="1" t="s">
        <v>420</v>
      </c>
      <c r="BA5" s="1" t="s">
        <v>409</v>
      </c>
      <c r="BB5" s="1" t="s">
        <v>358</v>
      </c>
      <c r="BC5" s="1" t="s">
        <v>375</v>
      </c>
      <c r="BD5" s="1" t="s">
        <v>421</v>
      </c>
      <c r="BE5" s="1">
        <v>111.7</v>
      </c>
      <c r="BF5" s="1">
        <v>105.7</v>
      </c>
      <c r="BG5" s="1">
        <v>6</v>
      </c>
      <c r="BH5" s="1" t="s">
        <v>422</v>
      </c>
      <c r="BI5" s="1" t="s">
        <v>380</v>
      </c>
      <c r="BJ5" s="1" t="s">
        <v>379</v>
      </c>
      <c r="BK5" s="1" t="s">
        <v>379</v>
      </c>
      <c r="BL5" s="1" t="s">
        <v>423</v>
      </c>
      <c r="BM5" s="1" t="s">
        <v>424</v>
      </c>
      <c r="BN5" s="1" t="s">
        <v>399</v>
      </c>
      <c r="BO5" s="1" t="s">
        <v>379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425</v>
      </c>
      <c r="BZ5" s="1" t="s">
        <v>426</v>
      </c>
      <c r="CA5" s="1"/>
      <c r="CB5" s="1" t="s">
        <v>417</v>
      </c>
      <c r="CC5" s="1"/>
    </row>
    <row r="6" spans="1:81">
      <c r="A6" s="1" t="s">
        <v>353</v>
      </c>
      <c r="B6" s="1" t="s">
        <v>354</v>
      </c>
      <c r="C6" s="1">
        <v>1610612762</v>
      </c>
      <c r="D6" s="1" t="s">
        <v>427</v>
      </c>
      <c r="E6" s="1" t="s">
        <v>428</v>
      </c>
      <c r="F6" s="1" t="s">
        <v>384</v>
      </c>
      <c r="G6" s="1" t="s">
        <v>429</v>
      </c>
      <c r="H6" s="1">
        <v>3</v>
      </c>
      <c r="I6" s="1" t="s">
        <v>359</v>
      </c>
      <c r="J6" s="1" t="s">
        <v>430</v>
      </c>
      <c r="K6" s="1" t="s">
        <v>367</v>
      </c>
      <c r="L6" s="1">
        <v>1</v>
      </c>
      <c r="M6" s="1">
        <v>8</v>
      </c>
      <c r="N6" s="1">
        <v>3</v>
      </c>
      <c r="O6" s="1">
        <v>0.72699999999999998</v>
      </c>
      <c r="P6" s="1">
        <v>0</v>
      </c>
      <c r="Q6" s="1" t="s">
        <v>405</v>
      </c>
      <c r="R6" s="1" t="s">
        <v>375</v>
      </c>
      <c r="S6" s="1" t="s">
        <v>431</v>
      </c>
      <c r="T6" s="1" t="s">
        <v>419</v>
      </c>
      <c r="U6" s="1" t="s">
        <v>375</v>
      </c>
      <c r="V6" s="1" t="s">
        <v>431</v>
      </c>
      <c r="W6" s="1" t="s">
        <v>366</v>
      </c>
      <c r="X6" s="1" t="s">
        <v>361</v>
      </c>
      <c r="Y6" s="1" t="s">
        <v>361</v>
      </c>
      <c r="Z6" s="1">
        <v>6</v>
      </c>
      <c r="AA6" s="1" t="s">
        <v>432</v>
      </c>
      <c r="AB6" s="1">
        <v>-2</v>
      </c>
      <c r="AC6" s="1" t="s">
        <v>433</v>
      </c>
      <c r="AD6" s="1">
        <v>4</v>
      </c>
      <c r="AE6" s="1">
        <v>2</v>
      </c>
      <c r="AF6" s="1">
        <v>6</v>
      </c>
      <c r="AG6" s="1" t="s">
        <v>432</v>
      </c>
      <c r="AH6" s="1">
        <v>1</v>
      </c>
      <c r="AI6" s="1" t="s">
        <v>389</v>
      </c>
      <c r="AJ6" s="1">
        <v>4</v>
      </c>
      <c r="AK6" s="1" t="s">
        <v>370</v>
      </c>
      <c r="AL6" s="1">
        <v>0.5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358</v>
      </c>
      <c r="AT6" s="1" t="s">
        <v>410</v>
      </c>
      <c r="AU6" s="1" t="s">
        <v>366</v>
      </c>
      <c r="AV6" s="1" t="s">
        <v>368</v>
      </c>
      <c r="AW6" s="1" t="s">
        <v>407</v>
      </c>
      <c r="AX6" s="1" t="s">
        <v>367</v>
      </c>
      <c r="AY6" s="1" t="s">
        <v>358</v>
      </c>
      <c r="AZ6" s="1" t="s">
        <v>395</v>
      </c>
      <c r="BA6" s="1" t="s">
        <v>368</v>
      </c>
      <c r="BB6" s="1" t="s">
        <v>434</v>
      </c>
      <c r="BC6" s="1" t="s">
        <v>375</v>
      </c>
      <c r="BD6" s="1" t="s">
        <v>376</v>
      </c>
      <c r="BE6" s="1">
        <v>104.5</v>
      </c>
      <c r="BF6" s="1">
        <v>99.5</v>
      </c>
      <c r="BG6" s="1">
        <v>5</v>
      </c>
      <c r="BH6" s="1" t="s">
        <v>400</v>
      </c>
      <c r="BI6" s="1" t="s">
        <v>379</v>
      </c>
      <c r="BJ6" s="1" t="s">
        <v>397</v>
      </c>
      <c r="BK6" s="1" t="s">
        <v>380</v>
      </c>
      <c r="BL6" s="1" t="s">
        <v>435</v>
      </c>
      <c r="BM6" s="1" t="s">
        <v>397</v>
      </c>
      <c r="BN6" s="1" t="s">
        <v>436</v>
      </c>
      <c r="BO6" s="1" t="s">
        <v>380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425</v>
      </c>
      <c r="BZ6" s="1" t="s">
        <v>413</v>
      </c>
      <c r="CA6" s="1"/>
      <c r="CB6" s="1" t="s">
        <v>405</v>
      </c>
      <c r="CC6" s="1"/>
    </row>
    <row r="7" spans="1:81">
      <c r="A7" s="1" t="s">
        <v>353</v>
      </c>
      <c r="B7" s="1" t="s">
        <v>354</v>
      </c>
      <c r="C7" s="1">
        <v>1610612749</v>
      </c>
      <c r="D7" s="1" t="s">
        <v>437</v>
      </c>
      <c r="E7" s="1" t="s">
        <v>438</v>
      </c>
      <c r="F7" s="1" t="s">
        <v>357</v>
      </c>
      <c r="G7" s="1" t="s">
        <v>421</v>
      </c>
      <c r="H7" s="1">
        <v>3</v>
      </c>
      <c r="I7" s="1" t="s">
        <v>359</v>
      </c>
      <c r="J7" s="1" t="s">
        <v>439</v>
      </c>
      <c r="K7" s="1" t="s">
        <v>367</v>
      </c>
      <c r="L7" s="1">
        <v>1</v>
      </c>
      <c r="M7" s="1">
        <v>7</v>
      </c>
      <c r="N7" s="1">
        <v>3</v>
      </c>
      <c r="O7" s="1">
        <v>0.7</v>
      </c>
      <c r="P7" s="1">
        <v>0</v>
      </c>
      <c r="Q7" s="1" t="s">
        <v>417</v>
      </c>
      <c r="R7" s="1" t="s">
        <v>391</v>
      </c>
      <c r="S7" s="1" t="s">
        <v>420</v>
      </c>
      <c r="T7" s="1" t="s">
        <v>419</v>
      </c>
      <c r="U7" s="1" t="s">
        <v>391</v>
      </c>
      <c r="V7" s="1" t="s">
        <v>420</v>
      </c>
      <c r="W7" s="1" t="s">
        <v>440</v>
      </c>
      <c r="X7" s="1" t="s">
        <v>373</v>
      </c>
      <c r="Y7" s="1" t="s">
        <v>364</v>
      </c>
      <c r="Z7" s="1">
        <v>2</v>
      </c>
      <c r="AA7" s="1" t="s">
        <v>441</v>
      </c>
      <c r="AB7" s="1">
        <v>3</v>
      </c>
      <c r="AC7" s="1" t="s">
        <v>406</v>
      </c>
      <c r="AD7" s="1">
        <v>4</v>
      </c>
      <c r="AE7" s="1">
        <v>1</v>
      </c>
      <c r="AF7" s="1">
        <v>2</v>
      </c>
      <c r="AG7" s="1" t="s">
        <v>441</v>
      </c>
      <c r="AH7" s="1">
        <v>1</v>
      </c>
      <c r="AI7" s="1" t="s">
        <v>389</v>
      </c>
      <c r="AJ7" s="1">
        <v>1</v>
      </c>
      <c r="AK7" s="1" t="s">
        <v>389</v>
      </c>
      <c r="AL7" s="1">
        <v>2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420</v>
      </c>
      <c r="AT7" s="1" t="s">
        <v>391</v>
      </c>
      <c r="AU7" s="1" t="s">
        <v>366</v>
      </c>
      <c r="AV7" s="1" t="s">
        <v>390</v>
      </c>
      <c r="AW7" s="1" t="s">
        <v>410</v>
      </c>
      <c r="AX7" s="1" t="s">
        <v>366</v>
      </c>
      <c r="AY7" s="1" t="s">
        <v>419</v>
      </c>
      <c r="AZ7" s="1" t="s">
        <v>409</v>
      </c>
      <c r="BA7" s="1" t="s">
        <v>409</v>
      </c>
      <c r="BB7" s="1" t="s">
        <v>358</v>
      </c>
      <c r="BC7" s="1" t="s">
        <v>363</v>
      </c>
      <c r="BD7" s="1" t="s">
        <v>364</v>
      </c>
      <c r="BE7" s="1">
        <v>119.9</v>
      </c>
      <c r="BF7" s="1">
        <v>111.8</v>
      </c>
      <c r="BG7" s="1">
        <v>8.1</v>
      </c>
      <c r="BH7" s="1" t="s">
        <v>426</v>
      </c>
      <c r="BI7" s="1" t="s">
        <v>399</v>
      </c>
      <c r="BJ7" s="1" t="s">
        <v>397</v>
      </c>
      <c r="BK7" s="1" t="s">
        <v>399</v>
      </c>
      <c r="BL7" s="1" t="s">
        <v>425</v>
      </c>
      <c r="BM7" s="1" t="s">
        <v>442</v>
      </c>
      <c r="BN7" s="1" t="s">
        <v>397</v>
      </c>
      <c r="BO7" s="1" t="s">
        <v>397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443</v>
      </c>
      <c r="BZ7" s="1" t="s">
        <v>398</v>
      </c>
      <c r="CA7" s="1"/>
      <c r="CB7" s="1" t="s">
        <v>417</v>
      </c>
      <c r="CC7" s="1"/>
    </row>
    <row r="8" spans="1:81">
      <c r="A8" s="1" t="s">
        <v>353</v>
      </c>
      <c r="B8" s="1" t="s">
        <v>354</v>
      </c>
      <c r="C8" s="1">
        <v>1610612761</v>
      </c>
      <c r="D8" s="1" t="s">
        <v>444</v>
      </c>
      <c r="E8" s="1" t="s">
        <v>445</v>
      </c>
      <c r="F8" s="1" t="s">
        <v>357</v>
      </c>
      <c r="G8" s="1" t="s">
        <v>421</v>
      </c>
      <c r="H8" s="1">
        <v>4</v>
      </c>
      <c r="I8" s="1" t="s">
        <v>359</v>
      </c>
      <c r="J8" s="1" t="s">
        <v>360</v>
      </c>
      <c r="K8" s="1" t="s">
        <v>440</v>
      </c>
      <c r="L8" s="1">
        <v>2</v>
      </c>
      <c r="M8" s="1">
        <v>7</v>
      </c>
      <c r="N8" s="1">
        <v>3</v>
      </c>
      <c r="O8" s="1">
        <v>0.7</v>
      </c>
      <c r="P8" s="1">
        <v>0</v>
      </c>
      <c r="Q8" s="1" t="s">
        <v>417</v>
      </c>
      <c r="R8" s="1" t="s">
        <v>376</v>
      </c>
      <c r="S8" s="1" t="s">
        <v>418</v>
      </c>
      <c r="T8" s="1" t="s">
        <v>419</v>
      </c>
      <c r="U8" s="1" t="s">
        <v>376</v>
      </c>
      <c r="V8" s="1" t="s">
        <v>418</v>
      </c>
      <c r="W8" s="1" t="s">
        <v>367</v>
      </c>
      <c r="X8" s="1" t="s">
        <v>366</v>
      </c>
      <c r="Y8" s="1" t="s">
        <v>421</v>
      </c>
      <c r="Z8" s="1">
        <v>4</v>
      </c>
      <c r="AA8" s="1" t="s">
        <v>370</v>
      </c>
      <c r="AB8" s="1">
        <v>2</v>
      </c>
      <c r="AC8" s="1" t="s">
        <v>441</v>
      </c>
      <c r="AD8" s="1">
        <v>3</v>
      </c>
      <c r="AE8" s="1">
        <v>1</v>
      </c>
      <c r="AF8" s="1">
        <v>4</v>
      </c>
      <c r="AG8" s="1" t="s">
        <v>370</v>
      </c>
      <c r="AH8" s="1">
        <v>-1</v>
      </c>
      <c r="AI8" s="1" t="s">
        <v>388</v>
      </c>
      <c r="AJ8" s="1">
        <v>-1</v>
      </c>
      <c r="AK8" s="1" t="s">
        <v>388</v>
      </c>
      <c r="AL8" s="1">
        <v>2</v>
      </c>
      <c r="AM8" s="1">
        <v>2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363</v>
      </c>
      <c r="AT8" s="1" t="s">
        <v>431</v>
      </c>
      <c r="AU8" s="1" t="s">
        <v>366</v>
      </c>
      <c r="AV8" s="1" t="s">
        <v>394</v>
      </c>
      <c r="AW8" s="1" t="s">
        <v>440</v>
      </c>
      <c r="AX8" s="1" t="s">
        <v>367</v>
      </c>
      <c r="AY8" s="1" t="s">
        <v>434</v>
      </c>
      <c r="AZ8" s="1" t="s">
        <v>420</v>
      </c>
      <c r="BA8" s="1" t="s">
        <v>420</v>
      </c>
      <c r="BB8" s="1" t="s">
        <v>394</v>
      </c>
      <c r="BC8" s="1" t="s">
        <v>404</v>
      </c>
      <c r="BD8" s="1" t="s">
        <v>361</v>
      </c>
      <c r="BE8" s="1">
        <v>112.5</v>
      </c>
      <c r="BF8" s="1">
        <v>106.7</v>
      </c>
      <c r="BG8" s="1">
        <v>5.8</v>
      </c>
      <c r="BH8" s="1" t="s">
        <v>426</v>
      </c>
      <c r="BI8" s="1" t="s">
        <v>396</v>
      </c>
      <c r="BJ8" s="1" t="s">
        <v>442</v>
      </c>
      <c r="BK8" s="1" t="s">
        <v>397</v>
      </c>
      <c r="BL8" s="1" t="s">
        <v>425</v>
      </c>
      <c r="BM8" s="1" t="s">
        <v>380</v>
      </c>
      <c r="BN8" s="1" t="s">
        <v>442</v>
      </c>
      <c r="BO8" s="1" t="s">
        <v>379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425</v>
      </c>
      <c r="BZ8" s="1" t="s">
        <v>426</v>
      </c>
      <c r="CA8" s="1"/>
      <c r="CB8" s="1" t="s">
        <v>417</v>
      </c>
      <c r="CC8" s="1"/>
    </row>
    <row r="9" spans="1:81">
      <c r="A9" s="1" t="s">
        <v>353</v>
      </c>
      <c r="B9" s="1" t="s">
        <v>354</v>
      </c>
      <c r="C9" s="1">
        <v>1610612743</v>
      </c>
      <c r="D9" s="1" t="s">
        <v>446</v>
      </c>
      <c r="E9" s="1" t="s">
        <v>447</v>
      </c>
      <c r="F9" s="1" t="s">
        <v>384</v>
      </c>
      <c r="G9" s="1" t="s">
        <v>395</v>
      </c>
      <c r="H9" s="1">
        <v>4</v>
      </c>
      <c r="I9" s="1" t="s">
        <v>359</v>
      </c>
      <c r="J9" s="1" t="s">
        <v>430</v>
      </c>
      <c r="K9" s="1" t="s">
        <v>392</v>
      </c>
      <c r="L9" s="1">
        <v>2</v>
      </c>
      <c r="M9" s="1">
        <v>7</v>
      </c>
      <c r="N9" s="1">
        <v>3</v>
      </c>
      <c r="O9" s="1">
        <v>0.7</v>
      </c>
      <c r="P9" s="1">
        <v>0</v>
      </c>
      <c r="Q9" s="1" t="s">
        <v>417</v>
      </c>
      <c r="R9" s="1" t="s">
        <v>421</v>
      </c>
      <c r="S9" s="1" t="s">
        <v>364</v>
      </c>
      <c r="T9" s="1" t="s">
        <v>419</v>
      </c>
      <c r="U9" s="1" t="s">
        <v>421</v>
      </c>
      <c r="V9" s="1" t="s">
        <v>364</v>
      </c>
      <c r="W9" s="1" t="s">
        <v>392</v>
      </c>
      <c r="X9" s="1" t="s">
        <v>361</v>
      </c>
      <c r="Y9" s="1" t="s">
        <v>373</v>
      </c>
      <c r="Z9" s="1">
        <v>2</v>
      </c>
      <c r="AA9" s="1" t="s">
        <v>441</v>
      </c>
      <c r="AB9" s="1">
        <v>2</v>
      </c>
      <c r="AC9" s="1" t="s">
        <v>441</v>
      </c>
      <c r="AD9" s="1">
        <v>4</v>
      </c>
      <c r="AE9" s="1">
        <v>2</v>
      </c>
      <c r="AF9" s="1">
        <v>-1</v>
      </c>
      <c r="AG9" s="1" t="s">
        <v>388</v>
      </c>
      <c r="AH9" s="1">
        <v>2</v>
      </c>
      <c r="AI9" s="1" t="s">
        <v>441</v>
      </c>
      <c r="AJ9" s="1">
        <v>-1</v>
      </c>
      <c r="AK9" s="1" t="s">
        <v>388</v>
      </c>
      <c r="AL9" s="1">
        <v>1</v>
      </c>
      <c r="AM9" s="1">
        <v>0.5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391</v>
      </c>
      <c r="AT9" s="1" t="s">
        <v>420</v>
      </c>
      <c r="AU9" s="1" t="s">
        <v>366</v>
      </c>
      <c r="AV9" s="1" t="s">
        <v>368</v>
      </c>
      <c r="AW9" s="1" t="s">
        <v>407</v>
      </c>
      <c r="AX9" s="1" t="s">
        <v>366</v>
      </c>
      <c r="AY9" s="1" t="s">
        <v>409</v>
      </c>
      <c r="AZ9" s="1" t="s">
        <v>431</v>
      </c>
      <c r="BA9" s="1" t="s">
        <v>368</v>
      </c>
      <c r="BB9" s="1" t="s">
        <v>376</v>
      </c>
      <c r="BC9" s="1" t="s">
        <v>361</v>
      </c>
      <c r="BD9" s="1" t="s">
        <v>395</v>
      </c>
      <c r="BE9" s="1">
        <v>105.1</v>
      </c>
      <c r="BF9" s="1">
        <v>102.8</v>
      </c>
      <c r="BG9" s="1">
        <v>2.2999999999999998</v>
      </c>
      <c r="BH9" s="1" t="s">
        <v>378</v>
      </c>
      <c r="BI9" s="1" t="s">
        <v>397</v>
      </c>
      <c r="BJ9" s="1" t="s">
        <v>380</v>
      </c>
      <c r="BK9" s="1" t="s">
        <v>442</v>
      </c>
      <c r="BL9" s="1" t="s">
        <v>413</v>
      </c>
      <c r="BM9" s="1" t="s">
        <v>379</v>
      </c>
      <c r="BN9" s="1" t="s">
        <v>379</v>
      </c>
      <c r="BO9" s="1" t="s">
        <v>424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426</v>
      </c>
      <c r="BZ9" s="1" t="s">
        <v>425</v>
      </c>
      <c r="CA9" s="1"/>
      <c r="CB9" s="1" t="s">
        <v>417</v>
      </c>
      <c r="CC9" s="1"/>
    </row>
    <row r="10" spans="1:81">
      <c r="A10" s="1" t="s">
        <v>353</v>
      </c>
      <c r="B10" s="1" t="s">
        <v>354</v>
      </c>
      <c r="C10" s="1">
        <v>1610612746</v>
      </c>
      <c r="D10" s="1" t="s">
        <v>448</v>
      </c>
      <c r="E10" s="1" t="s">
        <v>449</v>
      </c>
      <c r="F10" s="1" t="s">
        <v>384</v>
      </c>
      <c r="G10" s="1" t="s">
        <v>429</v>
      </c>
      <c r="H10" s="1">
        <v>5</v>
      </c>
      <c r="I10" s="1" t="s">
        <v>359</v>
      </c>
      <c r="J10" s="1" t="s">
        <v>385</v>
      </c>
      <c r="K10" s="1" t="s">
        <v>391</v>
      </c>
      <c r="L10" s="1">
        <v>2</v>
      </c>
      <c r="M10" s="1">
        <v>7</v>
      </c>
      <c r="N10" s="1">
        <v>4</v>
      </c>
      <c r="O10" s="1">
        <v>0.63600000000000001</v>
      </c>
      <c r="P10" s="1">
        <v>0</v>
      </c>
      <c r="Q10" s="1" t="s">
        <v>450</v>
      </c>
      <c r="R10" s="1" t="s">
        <v>390</v>
      </c>
      <c r="S10" s="1" t="s">
        <v>451</v>
      </c>
      <c r="T10" s="1" t="s">
        <v>452</v>
      </c>
      <c r="U10" s="1" t="s">
        <v>390</v>
      </c>
      <c r="V10" s="1" t="s">
        <v>451</v>
      </c>
      <c r="W10" s="1" t="s">
        <v>366</v>
      </c>
      <c r="X10" s="1" t="s">
        <v>366</v>
      </c>
      <c r="Y10" s="1" t="s">
        <v>368</v>
      </c>
      <c r="Z10" s="1">
        <v>4</v>
      </c>
      <c r="AA10" s="1" t="s">
        <v>370</v>
      </c>
      <c r="AB10" s="1">
        <v>-3</v>
      </c>
      <c r="AC10" s="1" t="s">
        <v>453</v>
      </c>
      <c r="AD10" s="1">
        <v>2</v>
      </c>
      <c r="AE10" s="1">
        <v>1</v>
      </c>
      <c r="AF10" s="1">
        <v>2</v>
      </c>
      <c r="AG10" s="1" t="s">
        <v>441</v>
      </c>
      <c r="AH10" s="1">
        <v>-3</v>
      </c>
      <c r="AI10" s="1" t="s">
        <v>453</v>
      </c>
      <c r="AJ10" s="1">
        <v>-1</v>
      </c>
      <c r="AK10" s="1" t="s">
        <v>388</v>
      </c>
      <c r="AL10" s="1">
        <v>1.5</v>
      </c>
      <c r="AM10" s="1">
        <v>1.5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375</v>
      </c>
      <c r="AT10" s="1" t="s">
        <v>451</v>
      </c>
      <c r="AU10" s="1" t="s">
        <v>440</v>
      </c>
      <c r="AV10" s="1" t="s">
        <v>404</v>
      </c>
      <c r="AW10" s="1" t="s">
        <v>454</v>
      </c>
      <c r="AX10" s="1" t="s">
        <v>367</v>
      </c>
      <c r="AY10" s="1" t="s">
        <v>394</v>
      </c>
      <c r="AZ10" s="1" t="s">
        <v>454</v>
      </c>
      <c r="BA10" s="1" t="s">
        <v>455</v>
      </c>
      <c r="BB10" s="1" t="s">
        <v>364</v>
      </c>
      <c r="BC10" s="1" t="s">
        <v>363</v>
      </c>
      <c r="BD10" s="1" t="s">
        <v>361</v>
      </c>
      <c r="BE10" s="1">
        <v>110.2</v>
      </c>
      <c r="BF10" s="1">
        <v>106.5</v>
      </c>
      <c r="BG10" s="1">
        <v>3.7</v>
      </c>
      <c r="BH10" s="1" t="s">
        <v>442</v>
      </c>
      <c r="BI10" s="1" t="s">
        <v>397</v>
      </c>
      <c r="BJ10" s="1" t="s">
        <v>396</v>
      </c>
      <c r="BK10" s="1" t="s">
        <v>397</v>
      </c>
      <c r="BL10" s="1" t="s">
        <v>435</v>
      </c>
      <c r="BM10" s="1" t="s">
        <v>442</v>
      </c>
      <c r="BN10" s="1" t="s">
        <v>442</v>
      </c>
      <c r="BO10" s="1" t="s">
        <v>399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413</v>
      </c>
      <c r="BZ10" s="1" t="s">
        <v>378</v>
      </c>
      <c r="CA10" s="1"/>
      <c r="CB10" s="1" t="s">
        <v>450</v>
      </c>
      <c r="CC10" s="1"/>
    </row>
    <row r="11" spans="1:81">
      <c r="A11" s="1" t="s">
        <v>353</v>
      </c>
      <c r="B11" s="1" t="s">
        <v>354</v>
      </c>
      <c r="C11" s="1">
        <v>1610612755</v>
      </c>
      <c r="D11" s="1" t="s">
        <v>456</v>
      </c>
      <c r="E11" s="1" t="s">
        <v>457</v>
      </c>
      <c r="F11" s="1" t="s">
        <v>357</v>
      </c>
      <c r="G11" s="1" t="s">
        <v>368</v>
      </c>
      <c r="H11" s="1">
        <v>5</v>
      </c>
      <c r="I11" s="1" t="s">
        <v>359</v>
      </c>
      <c r="J11" s="1" t="s">
        <v>360</v>
      </c>
      <c r="K11" s="1" t="s">
        <v>367</v>
      </c>
      <c r="L11" s="1">
        <v>3</v>
      </c>
      <c r="M11" s="1">
        <v>7</v>
      </c>
      <c r="N11" s="1">
        <v>4</v>
      </c>
      <c r="O11" s="1">
        <v>0.63600000000000001</v>
      </c>
      <c r="P11" s="1">
        <v>0</v>
      </c>
      <c r="Q11" s="1" t="s">
        <v>450</v>
      </c>
      <c r="R11" s="1" t="s">
        <v>376</v>
      </c>
      <c r="S11" s="1" t="s">
        <v>454</v>
      </c>
      <c r="T11" s="1" t="s">
        <v>452</v>
      </c>
      <c r="U11" s="1" t="s">
        <v>376</v>
      </c>
      <c r="V11" s="1" t="s">
        <v>454</v>
      </c>
      <c r="W11" s="1" t="s">
        <v>366</v>
      </c>
      <c r="X11" s="1" t="s">
        <v>421</v>
      </c>
      <c r="Y11" s="1" t="s">
        <v>391</v>
      </c>
      <c r="Z11" s="1">
        <v>4</v>
      </c>
      <c r="AA11" s="1" t="s">
        <v>370</v>
      </c>
      <c r="AB11" s="1">
        <v>-4</v>
      </c>
      <c r="AC11" s="1" t="s">
        <v>458</v>
      </c>
      <c r="AD11" s="1">
        <v>5</v>
      </c>
      <c r="AE11" s="1">
        <v>3</v>
      </c>
      <c r="AF11" s="1">
        <v>4</v>
      </c>
      <c r="AG11" s="1" t="s">
        <v>370</v>
      </c>
      <c r="AH11" s="1">
        <v>-4</v>
      </c>
      <c r="AI11" s="1" t="s">
        <v>458</v>
      </c>
      <c r="AJ11" s="1">
        <v>-1</v>
      </c>
      <c r="AK11" s="1" t="s">
        <v>388</v>
      </c>
      <c r="AL11" s="1">
        <v>2.5</v>
      </c>
      <c r="AM11" s="1">
        <v>2.5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421</v>
      </c>
      <c r="AT11" s="1" t="s">
        <v>364</v>
      </c>
      <c r="AU11" s="1" t="s">
        <v>440</v>
      </c>
      <c r="AV11" s="1" t="s">
        <v>459</v>
      </c>
      <c r="AW11" s="1" t="s">
        <v>391</v>
      </c>
      <c r="AX11" s="1" t="s">
        <v>367</v>
      </c>
      <c r="AY11" s="1" t="s">
        <v>394</v>
      </c>
      <c r="AZ11" s="1" t="s">
        <v>460</v>
      </c>
      <c r="BA11" s="1" t="s">
        <v>429</v>
      </c>
      <c r="BB11" s="1" t="s">
        <v>376</v>
      </c>
      <c r="BC11" s="1" t="s">
        <v>358</v>
      </c>
      <c r="BD11" s="1" t="s">
        <v>392</v>
      </c>
      <c r="BE11" s="1">
        <v>108.5</v>
      </c>
      <c r="BF11" s="1">
        <v>105.9</v>
      </c>
      <c r="BG11" s="1">
        <v>2.6</v>
      </c>
      <c r="BH11" s="1" t="s">
        <v>398</v>
      </c>
      <c r="BI11" s="1" t="s">
        <v>397</v>
      </c>
      <c r="BJ11" s="1" t="s">
        <v>379</v>
      </c>
      <c r="BK11" s="1" t="s">
        <v>442</v>
      </c>
      <c r="BL11" s="1" t="s">
        <v>411</v>
      </c>
      <c r="BM11" s="1" t="s">
        <v>443</v>
      </c>
      <c r="BN11" s="1" t="s">
        <v>396</v>
      </c>
      <c r="BO11" s="1" t="s">
        <v>380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422</v>
      </c>
      <c r="BZ11" s="1" t="s">
        <v>423</v>
      </c>
      <c r="CA11" s="1"/>
      <c r="CB11" s="1" t="s">
        <v>450</v>
      </c>
      <c r="CC11" s="1"/>
    </row>
    <row r="12" spans="1:81">
      <c r="A12" s="1" t="s">
        <v>353</v>
      </c>
      <c r="B12" s="1" t="s">
        <v>354</v>
      </c>
      <c r="C12" s="1">
        <v>1610612750</v>
      </c>
      <c r="D12" s="1" t="s">
        <v>461</v>
      </c>
      <c r="E12" s="1" t="s">
        <v>462</v>
      </c>
      <c r="F12" s="1" t="s">
        <v>384</v>
      </c>
      <c r="G12" s="1" t="s">
        <v>407</v>
      </c>
      <c r="H12" s="1">
        <v>6</v>
      </c>
      <c r="I12" s="1" t="s">
        <v>359</v>
      </c>
      <c r="J12" s="1" t="s">
        <v>430</v>
      </c>
      <c r="K12" s="1" t="s">
        <v>440</v>
      </c>
      <c r="L12" s="1">
        <v>3</v>
      </c>
      <c r="M12" s="1">
        <v>7</v>
      </c>
      <c r="N12" s="1">
        <v>4</v>
      </c>
      <c r="O12" s="1">
        <v>0.63600000000000001</v>
      </c>
      <c r="P12" s="1">
        <v>0</v>
      </c>
      <c r="Q12" s="1" t="s">
        <v>450</v>
      </c>
      <c r="R12" s="1" t="s">
        <v>421</v>
      </c>
      <c r="S12" s="1" t="s">
        <v>395</v>
      </c>
      <c r="T12" s="1" t="s">
        <v>452</v>
      </c>
      <c r="U12" s="1" t="s">
        <v>421</v>
      </c>
      <c r="V12" s="1" t="s">
        <v>395</v>
      </c>
      <c r="W12" s="1" t="s">
        <v>391</v>
      </c>
      <c r="X12" s="1" t="s">
        <v>373</v>
      </c>
      <c r="Y12" s="1" t="s">
        <v>418</v>
      </c>
      <c r="Z12" s="1">
        <v>1</v>
      </c>
      <c r="AA12" s="1" t="s">
        <v>389</v>
      </c>
      <c r="AB12" s="1">
        <v>2</v>
      </c>
      <c r="AC12" s="1" t="s">
        <v>441</v>
      </c>
      <c r="AD12" s="1">
        <v>3</v>
      </c>
      <c r="AE12" s="1">
        <v>2</v>
      </c>
      <c r="AF12" s="1">
        <v>1</v>
      </c>
      <c r="AG12" s="1" t="s">
        <v>389</v>
      </c>
      <c r="AH12" s="1">
        <v>1</v>
      </c>
      <c r="AI12" s="1" t="s">
        <v>389</v>
      </c>
      <c r="AJ12" s="1">
        <v>2</v>
      </c>
      <c r="AK12" s="1" t="s">
        <v>441</v>
      </c>
      <c r="AL12" s="1">
        <v>1.5</v>
      </c>
      <c r="AM12" s="1">
        <v>1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368</v>
      </c>
      <c r="AT12" s="1" t="s">
        <v>431</v>
      </c>
      <c r="AU12" s="1" t="s">
        <v>366</v>
      </c>
      <c r="AV12" s="1" t="s">
        <v>376</v>
      </c>
      <c r="AW12" s="1" t="s">
        <v>454</v>
      </c>
      <c r="AX12" s="1" t="s">
        <v>366</v>
      </c>
      <c r="AY12" s="1" t="s">
        <v>434</v>
      </c>
      <c r="AZ12" s="1" t="s">
        <v>452</v>
      </c>
      <c r="BA12" s="1" t="s">
        <v>459</v>
      </c>
      <c r="BB12" s="1" t="s">
        <v>363</v>
      </c>
      <c r="BC12" s="1" t="s">
        <v>463</v>
      </c>
      <c r="BD12" s="1" t="s">
        <v>429</v>
      </c>
      <c r="BE12" s="1">
        <v>117.2</v>
      </c>
      <c r="BF12" s="1">
        <v>116.2</v>
      </c>
      <c r="BG12" s="1">
        <v>1</v>
      </c>
      <c r="BH12" s="1" t="s">
        <v>464</v>
      </c>
      <c r="BI12" s="1" t="s">
        <v>399</v>
      </c>
      <c r="BJ12" s="1" t="s">
        <v>399</v>
      </c>
      <c r="BK12" s="1" t="s">
        <v>400</v>
      </c>
      <c r="BL12" s="1" t="s">
        <v>443</v>
      </c>
      <c r="BM12" s="1" t="s">
        <v>396</v>
      </c>
      <c r="BN12" s="1" t="s">
        <v>397</v>
      </c>
      <c r="BO12" s="1" t="s">
        <v>399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378</v>
      </c>
      <c r="BZ12" s="1" t="s">
        <v>423</v>
      </c>
      <c r="CA12" s="1"/>
      <c r="CB12" s="1" t="s">
        <v>450</v>
      </c>
      <c r="CC12" s="1"/>
    </row>
    <row r="13" spans="1:81">
      <c r="A13" s="1" t="s">
        <v>353</v>
      </c>
      <c r="B13" s="1" t="s">
        <v>354</v>
      </c>
      <c r="C13" s="1">
        <v>1610612754</v>
      </c>
      <c r="D13" s="1" t="s">
        <v>465</v>
      </c>
      <c r="E13" s="1" t="s">
        <v>466</v>
      </c>
      <c r="F13" s="1" t="s">
        <v>357</v>
      </c>
      <c r="G13" s="1" t="s">
        <v>452</v>
      </c>
      <c r="H13" s="1">
        <v>6</v>
      </c>
      <c r="I13" s="1" t="s">
        <v>359</v>
      </c>
      <c r="J13" s="1" t="s">
        <v>439</v>
      </c>
      <c r="K13" s="1" t="s">
        <v>418</v>
      </c>
      <c r="L13" s="1">
        <v>2</v>
      </c>
      <c r="M13" s="1">
        <v>7</v>
      </c>
      <c r="N13" s="1">
        <v>4</v>
      </c>
      <c r="O13" s="1">
        <v>0.63600000000000001</v>
      </c>
      <c r="P13" s="1">
        <v>0</v>
      </c>
      <c r="Q13" s="1" t="s">
        <v>450</v>
      </c>
      <c r="R13" s="1" t="s">
        <v>368</v>
      </c>
      <c r="S13" s="1" t="s">
        <v>431</v>
      </c>
      <c r="T13" s="1" t="s">
        <v>419</v>
      </c>
      <c r="U13" s="1" t="s">
        <v>368</v>
      </c>
      <c r="V13" s="1" t="s">
        <v>431</v>
      </c>
      <c r="W13" s="1" t="s">
        <v>440</v>
      </c>
      <c r="X13" s="1" t="s">
        <v>393</v>
      </c>
      <c r="Y13" s="1" t="s">
        <v>364</v>
      </c>
      <c r="Z13" s="1">
        <v>5</v>
      </c>
      <c r="AA13" s="1" t="s">
        <v>369</v>
      </c>
      <c r="AB13" s="1">
        <v>-2</v>
      </c>
      <c r="AC13" s="1" t="s">
        <v>433</v>
      </c>
      <c r="AD13" s="1">
        <v>4</v>
      </c>
      <c r="AE13" s="1">
        <v>3</v>
      </c>
      <c r="AF13" s="1">
        <v>5</v>
      </c>
      <c r="AG13" s="1" t="s">
        <v>369</v>
      </c>
      <c r="AH13" s="1">
        <v>1</v>
      </c>
      <c r="AI13" s="1" t="s">
        <v>389</v>
      </c>
      <c r="AJ13" s="1">
        <v>4</v>
      </c>
      <c r="AK13" s="1" t="s">
        <v>370</v>
      </c>
      <c r="AL13" s="1">
        <v>2.5</v>
      </c>
      <c r="AM13" s="1">
        <v>0.5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420</v>
      </c>
      <c r="AT13" s="1" t="s">
        <v>407</v>
      </c>
      <c r="AU13" s="1" t="s">
        <v>366</v>
      </c>
      <c r="AV13" s="1" t="s">
        <v>434</v>
      </c>
      <c r="AW13" s="1" t="s">
        <v>393</v>
      </c>
      <c r="AX13" s="1" t="s">
        <v>366</v>
      </c>
      <c r="AY13" s="1" t="s">
        <v>434</v>
      </c>
      <c r="AZ13" s="1" t="s">
        <v>459</v>
      </c>
      <c r="BA13" s="1" t="s">
        <v>410</v>
      </c>
      <c r="BB13" s="1" t="s">
        <v>358</v>
      </c>
      <c r="BC13" s="1" t="s">
        <v>368</v>
      </c>
      <c r="BD13" s="1" t="s">
        <v>429</v>
      </c>
      <c r="BE13" s="1">
        <v>109.5</v>
      </c>
      <c r="BF13" s="1">
        <v>104</v>
      </c>
      <c r="BG13" s="1">
        <v>5.5</v>
      </c>
      <c r="BH13" s="1" t="s">
        <v>467</v>
      </c>
      <c r="BI13" s="1" t="s">
        <v>397</v>
      </c>
      <c r="BJ13" s="1" t="s">
        <v>423</v>
      </c>
      <c r="BK13" s="1" t="s">
        <v>442</v>
      </c>
      <c r="BL13" s="1" t="s">
        <v>397</v>
      </c>
      <c r="BM13" s="1" t="s">
        <v>397</v>
      </c>
      <c r="BN13" s="1" t="s">
        <v>380</v>
      </c>
      <c r="BO13" s="1" t="s">
        <v>380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468</v>
      </c>
      <c r="BZ13" s="1" t="s">
        <v>469</v>
      </c>
      <c r="CA13" s="1"/>
      <c r="CB13" s="1" t="s">
        <v>450</v>
      </c>
      <c r="CC13" s="1"/>
    </row>
    <row r="14" spans="1:81">
      <c r="A14" s="1" t="s">
        <v>353</v>
      </c>
      <c r="B14" s="1" t="s">
        <v>354</v>
      </c>
      <c r="C14" s="1">
        <v>1610612739</v>
      </c>
      <c r="D14" s="1" t="s">
        <v>470</v>
      </c>
      <c r="E14" s="1" t="s">
        <v>471</v>
      </c>
      <c r="F14" s="1" t="s">
        <v>357</v>
      </c>
      <c r="G14" s="1" t="s">
        <v>472</v>
      </c>
      <c r="H14" s="1">
        <v>7</v>
      </c>
      <c r="I14" s="1" t="s">
        <v>359</v>
      </c>
      <c r="J14" s="1" t="s">
        <v>439</v>
      </c>
      <c r="K14" s="1" t="s">
        <v>407</v>
      </c>
      <c r="L14" s="1">
        <v>3</v>
      </c>
      <c r="M14" s="1">
        <v>4</v>
      </c>
      <c r="N14" s="1">
        <v>6</v>
      </c>
      <c r="O14" s="1">
        <v>0.4</v>
      </c>
      <c r="P14" s="1">
        <v>0</v>
      </c>
      <c r="Q14" s="1" t="s">
        <v>473</v>
      </c>
      <c r="R14" s="1" t="s">
        <v>407</v>
      </c>
      <c r="S14" s="1" t="s">
        <v>474</v>
      </c>
      <c r="T14" s="1" t="s">
        <v>475</v>
      </c>
      <c r="U14" s="1" t="s">
        <v>407</v>
      </c>
      <c r="V14" s="1" t="s">
        <v>474</v>
      </c>
      <c r="W14" s="1" t="s">
        <v>366</v>
      </c>
      <c r="X14" s="1" t="s">
        <v>440</v>
      </c>
      <c r="Y14" s="1" t="s">
        <v>421</v>
      </c>
      <c r="Z14" s="1">
        <v>2</v>
      </c>
      <c r="AA14" s="1" t="s">
        <v>441</v>
      </c>
      <c r="AB14" s="1">
        <v>-3</v>
      </c>
      <c r="AC14" s="1" t="s">
        <v>453</v>
      </c>
      <c r="AD14" s="1">
        <v>2</v>
      </c>
      <c r="AE14" s="1">
        <v>3</v>
      </c>
      <c r="AF14" s="1">
        <v>-2</v>
      </c>
      <c r="AG14" s="1" t="s">
        <v>433</v>
      </c>
      <c r="AH14" s="1">
        <v>-1</v>
      </c>
      <c r="AI14" s="1" t="s">
        <v>388</v>
      </c>
      <c r="AJ14" s="1">
        <v>-1</v>
      </c>
      <c r="AK14" s="1" t="s">
        <v>388</v>
      </c>
      <c r="AL14" s="1">
        <v>5</v>
      </c>
      <c r="AM14" s="1">
        <v>3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404</v>
      </c>
      <c r="AT14" s="1" t="s">
        <v>476</v>
      </c>
      <c r="AU14" s="1" t="s">
        <v>366</v>
      </c>
      <c r="AV14" s="1" t="s">
        <v>404</v>
      </c>
      <c r="AW14" s="1" t="s">
        <v>476</v>
      </c>
      <c r="AX14" s="1" t="s">
        <v>366</v>
      </c>
      <c r="AY14" s="1" t="s">
        <v>459</v>
      </c>
      <c r="AZ14" s="1" t="s">
        <v>474</v>
      </c>
      <c r="BA14" s="1" t="s">
        <v>477</v>
      </c>
      <c r="BB14" s="1" t="s">
        <v>404</v>
      </c>
      <c r="BC14" s="1" t="s">
        <v>361</v>
      </c>
      <c r="BD14" s="1" t="s">
        <v>407</v>
      </c>
      <c r="BE14" s="1">
        <v>106.1</v>
      </c>
      <c r="BF14" s="1">
        <v>107</v>
      </c>
      <c r="BG14" s="1">
        <v>-0.9</v>
      </c>
      <c r="BH14" s="1" t="s">
        <v>478</v>
      </c>
      <c r="BI14" s="1" t="s">
        <v>479</v>
      </c>
      <c r="BJ14" s="1" t="s">
        <v>443</v>
      </c>
      <c r="BK14" s="1" t="s">
        <v>399</v>
      </c>
      <c r="BL14" s="1" t="s">
        <v>396</v>
      </c>
      <c r="BM14" s="1" t="s">
        <v>380</v>
      </c>
      <c r="BN14" s="1" t="s">
        <v>380</v>
      </c>
      <c r="BO14" s="1" t="s">
        <v>396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443</v>
      </c>
      <c r="BZ14" s="1" t="s">
        <v>480</v>
      </c>
      <c r="CA14" s="1"/>
      <c r="CB14" s="1" t="s">
        <v>473</v>
      </c>
      <c r="CC14" s="1"/>
    </row>
    <row r="15" spans="1:81">
      <c r="A15" s="1" t="s">
        <v>353</v>
      </c>
      <c r="B15" s="1" t="s">
        <v>354</v>
      </c>
      <c r="C15" s="1">
        <v>1610612742</v>
      </c>
      <c r="D15" s="1" t="s">
        <v>481</v>
      </c>
      <c r="E15" s="1" t="s">
        <v>482</v>
      </c>
      <c r="F15" s="1" t="s">
        <v>384</v>
      </c>
      <c r="G15" s="1" t="s">
        <v>421</v>
      </c>
      <c r="H15" s="1">
        <v>7</v>
      </c>
      <c r="I15" s="1" t="s">
        <v>359</v>
      </c>
      <c r="J15" s="1" t="s">
        <v>403</v>
      </c>
      <c r="K15" s="1" t="s">
        <v>392</v>
      </c>
      <c r="L15" s="1">
        <v>2</v>
      </c>
      <c r="M15" s="1">
        <v>6</v>
      </c>
      <c r="N15" s="1">
        <v>4</v>
      </c>
      <c r="O15" s="1">
        <v>0.6</v>
      </c>
      <c r="P15" s="1">
        <v>0</v>
      </c>
      <c r="Q15" s="1" t="s">
        <v>467</v>
      </c>
      <c r="R15" s="1" t="s">
        <v>431</v>
      </c>
      <c r="S15" s="1" t="s">
        <v>364</v>
      </c>
      <c r="T15" s="1" t="s">
        <v>452</v>
      </c>
      <c r="U15" s="1" t="s">
        <v>431</v>
      </c>
      <c r="V15" s="1" t="s">
        <v>364</v>
      </c>
      <c r="W15" s="1" t="s">
        <v>440</v>
      </c>
      <c r="X15" s="1" t="s">
        <v>391</v>
      </c>
      <c r="Y15" s="1" t="s">
        <v>391</v>
      </c>
      <c r="Z15" s="1">
        <v>-2</v>
      </c>
      <c r="AA15" s="1" t="s">
        <v>433</v>
      </c>
      <c r="AB15" s="1">
        <v>4</v>
      </c>
      <c r="AC15" s="1" t="s">
        <v>370</v>
      </c>
      <c r="AD15" s="1">
        <v>2</v>
      </c>
      <c r="AE15" s="1">
        <v>1</v>
      </c>
      <c r="AF15" s="1">
        <v>-1</v>
      </c>
      <c r="AG15" s="1" t="s">
        <v>388</v>
      </c>
      <c r="AH15" s="1">
        <v>-1</v>
      </c>
      <c r="AI15" s="1" t="s">
        <v>388</v>
      </c>
      <c r="AJ15" s="1">
        <v>-1</v>
      </c>
      <c r="AK15" s="1" t="s">
        <v>388</v>
      </c>
      <c r="AL15" s="1">
        <v>2</v>
      </c>
      <c r="AM15" s="1">
        <v>1.5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395</v>
      </c>
      <c r="AT15" s="1" t="s">
        <v>391</v>
      </c>
      <c r="AU15" s="1" t="s">
        <v>440</v>
      </c>
      <c r="AV15" s="1" t="s">
        <v>368</v>
      </c>
      <c r="AW15" s="1" t="s">
        <v>410</v>
      </c>
      <c r="AX15" s="1" t="s">
        <v>440</v>
      </c>
      <c r="AY15" s="1" t="s">
        <v>452</v>
      </c>
      <c r="AZ15" s="1" t="s">
        <v>452</v>
      </c>
      <c r="BA15" s="1" t="s">
        <v>431</v>
      </c>
      <c r="BB15" s="1" t="s">
        <v>363</v>
      </c>
      <c r="BC15" s="1" t="s">
        <v>361</v>
      </c>
      <c r="BD15" s="1" t="s">
        <v>395</v>
      </c>
      <c r="BE15" s="1">
        <v>115.3</v>
      </c>
      <c r="BF15" s="1">
        <v>112.3</v>
      </c>
      <c r="BG15" s="1">
        <v>3</v>
      </c>
      <c r="BH15" s="1" t="s">
        <v>426</v>
      </c>
      <c r="BI15" s="1" t="s">
        <v>424</v>
      </c>
      <c r="BJ15" s="1" t="s">
        <v>397</v>
      </c>
      <c r="BK15" s="1" t="s">
        <v>379</v>
      </c>
      <c r="BL15" s="1" t="s">
        <v>426</v>
      </c>
      <c r="BM15" s="1" t="s">
        <v>399</v>
      </c>
      <c r="BN15" s="1" t="s">
        <v>396</v>
      </c>
      <c r="BO15" s="1" t="s">
        <v>379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378</v>
      </c>
      <c r="BZ15" s="1" t="s">
        <v>423</v>
      </c>
      <c r="CA15" s="1"/>
      <c r="CB15" s="1" t="s">
        <v>467</v>
      </c>
      <c r="CC15" s="1"/>
    </row>
    <row r="16" spans="1:81">
      <c r="A16" s="1" t="s">
        <v>353</v>
      </c>
      <c r="B16" s="1" t="s">
        <v>354</v>
      </c>
      <c r="C16" s="1">
        <v>1610612756</v>
      </c>
      <c r="D16" s="1" t="s">
        <v>483</v>
      </c>
      <c r="E16" s="1" t="s">
        <v>484</v>
      </c>
      <c r="F16" s="1" t="s">
        <v>384</v>
      </c>
      <c r="G16" s="1" t="s">
        <v>459</v>
      </c>
      <c r="H16" s="1">
        <v>8</v>
      </c>
      <c r="I16" s="1" t="s">
        <v>359</v>
      </c>
      <c r="J16" s="1" t="s">
        <v>385</v>
      </c>
      <c r="K16" s="1" t="s">
        <v>361</v>
      </c>
      <c r="L16" s="1">
        <v>3</v>
      </c>
      <c r="M16" s="1">
        <v>6</v>
      </c>
      <c r="N16" s="1">
        <v>4</v>
      </c>
      <c r="O16" s="1">
        <v>0.6</v>
      </c>
      <c r="P16" s="1">
        <v>0</v>
      </c>
      <c r="Q16" s="1" t="s">
        <v>467</v>
      </c>
      <c r="R16" s="1" t="s">
        <v>459</v>
      </c>
      <c r="S16" s="1" t="s">
        <v>391</v>
      </c>
      <c r="T16" s="1" t="s">
        <v>452</v>
      </c>
      <c r="U16" s="1" t="s">
        <v>459</v>
      </c>
      <c r="V16" s="1" t="s">
        <v>391</v>
      </c>
      <c r="W16" s="1" t="s">
        <v>440</v>
      </c>
      <c r="X16" s="1" t="s">
        <v>393</v>
      </c>
      <c r="Y16" s="1" t="s">
        <v>361</v>
      </c>
      <c r="Z16" s="1">
        <v>2</v>
      </c>
      <c r="AA16" s="1" t="s">
        <v>441</v>
      </c>
      <c r="AB16" s="1">
        <v>2</v>
      </c>
      <c r="AC16" s="1" t="s">
        <v>441</v>
      </c>
      <c r="AD16" s="1">
        <v>3</v>
      </c>
      <c r="AE16" s="1">
        <v>1</v>
      </c>
      <c r="AF16" s="1">
        <v>-1</v>
      </c>
      <c r="AG16" s="1" t="s">
        <v>388</v>
      </c>
      <c r="AH16" s="1">
        <v>2</v>
      </c>
      <c r="AI16" s="1" t="s">
        <v>441</v>
      </c>
      <c r="AJ16" s="1">
        <v>-1</v>
      </c>
      <c r="AK16" s="1" t="s">
        <v>388</v>
      </c>
      <c r="AL16" s="1">
        <v>2</v>
      </c>
      <c r="AM16" s="1">
        <v>2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391</v>
      </c>
      <c r="AT16" s="1" t="s">
        <v>418</v>
      </c>
      <c r="AU16" s="1" t="s">
        <v>367</v>
      </c>
      <c r="AV16" s="1" t="s">
        <v>363</v>
      </c>
      <c r="AW16" s="1" t="s">
        <v>451</v>
      </c>
      <c r="AX16" s="1" t="s">
        <v>440</v>
      </c>
      <c r="AY16" s="1" t="s">
        <v>409</v>
      </c>
      <c r="AZ16" s="1" t="s">
        <v>429</v>
      </c>
      <c r="BA16" s="1" t="s">
        <v>460</v>
      </c>
      <c r="BB16" s="1" t="s">
        <v>394</v>
      </c>
      <c r="BC16" s="1" t="s">
        <v>361</v>
      </c>
      <c r="BD16" s="1" t="s">
        <v>364</v>
      </c>
      <c r="BE16" s="1">
        <v>116.6</v>
      </c>
      <c r="BF16" s="1">
        <v>110.4</v>
      </c>
      <c r="BG16" s="1">
        <v>6.2</v>
      </c>
      <c r="BH16" s="1" t="s">
        <v>442</v>
      </c>
      <c r="BI16" s="1" t="s">
        <v>379</v>
      </c>
      <c r="BJ16" s="1" t="s">
        <v>380</v>
      </c>
      <c r="BK16" s="1" t="s">
        <v>396</v>
      </c>
      <c r="BL16" s="1" t="s">
        <v>436</v>
      </c>
      <c r="BM16" s="1" t="s">
        <v>424</v>
      </c>
      <c r="BN16" s="1" t="s">
        <v>378</v>
      </c>
      <c r="BO16" s="1" t="s">
        <v>397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426</v>
      </c>
      <c r="BZ16" s="1" t="s">
        <v>426</v>
      </c>
      <c r="CA16" s="1"/>
      <c r="CB16" s="1" t="s">
        <v>467</v>
      </c>
      <c r="CC16" s="1"/>
    </row>
    <row r="17" spans="1:81">
      <c r="A17" s="1" t="s">
        <v>353</v>
      </c>
      <c r="B17" s="1" t="s">
        <v>354</v>
      </c>
      <c r="C17" s="1">
        <v>1610612737</v>
      </c>
      <c r="D17" s="1" t="s">
        <v>485</v>
      </c>
      <c r="E17" s="1" t="s">
        <v>486</v>
      </c>
      <c r="F17" s="1" t="s">
        <v>357</v>
      </c>
      <c r="G17" s="1" t="s">
        <v>474</v>
      </c>
      <c r="H17" s="1">
        <v>8</v>
      </c>
      <c r="I17" s="1" t="s">
        <v>359</v>
      </c>
      <c r="J17" s="1" t="s">
        <v>416</v>
      </c>
      <c r="K17" s="1" t="s">
        <v>410</v>
      </c>
      <c r="L17" s="1">
        <v>2</v>
      </c>
      <c r="M17" s="1">
        <v>4</v>
      </c>
      <c r="N17" s="1">
        <v>6</v>
      </c>
      <c r="O17" s="1">
        <v>0.4</v>
      </c>
      <c r="P17" s="1">
        <v>0</v>
      </c>
      <c r="Q17" s="1" t="s">
        <v>473</v>
      </c>
      <c r="R17" s="1" t="s">
        <v>474</v>
      </c>
      <c r="S17" s="1" t="s">
        <v>407</v>
      </c>
      <c r="T17" s="1" t="s">
        <v>475</v>
      </c>
      <c r="U17" s="1" t="s">
        <v>474</v>
      </c>
      <c r="V17" s="1" t="s">
        <v>407</v>
      </c>
      <c r="W17" s="1" t="s">
        <v>440</v>
      </c>
      <c r="X17" s="1" t="s">
        <v>440</v>
      </c>
      <c r="Y17" s="1" t="s">
        <v>487</v>
      </c>
      <c r="Z17" s="1">
        <v>-2</v>
      </c>
      <c r="AA17" s="1" t="s">
        <v>433</v>
      </c>
      <c r="AB17" s="1">
        <v>-2</v>
      </c>
      <c r="AC17" s="1" t="s">
        <v>433</v>
      </c>
      <c r="AD17" s="1">
        <v>2</v>
      </c>
      <c r="AE17" s="1">
        <v>3</v>
      </c>
      <c r="AF17" s="1">
        <v>-2</v>
      </c>
      <c r="AG17" s="1" t="s">
        <v>433</v>
      </c>
      <c r="AH17" s="1">
        <v>1</v>
      </c>
      <c r="AI17" s="1" t="s">
        <v>389</v>
      </c>
      <c r="AJ17" s="1">
        <v>1</v>
      </c>
      <c r="AK17" s="1" t="s">
        <v>389</v>
      </c>
      <c r="AL17" s="1">
        <v>5</v>
      </c>
      <c r="AM17" s="1">
        <v>3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391</v>
      </c>
      <c r="AT17" s="1" t="s">
        <v>488</v>
      </c>
      <c r="AU17" s="1" t="s">
        <v>366</v>
      </c>
      <c r="AV17" s="1" t="s">
        <v>361</v>
      </c>
      <c r="AW17" s="1" t="s">
        <v>487</v>
      </c>
      <c r="AX17" s="1" t="s">
        <v>440</v>
      </c>
      <c r="AY17" s="1" t="s">
        <v>459</v>
      </c>
      <c r="AZ17" s="1" t="s">
        <v>489</v>
      </c>
      <c r="BA17" s="1" t="s">
        <v>459</v>
      </c>
      <c r="BB17" s="1" t="s">
        <v>364</v>
      </c>
      <c r="BC17" s="1" t="s">
        <v>364</v>
      </c>
      <c r="BD17" s="1" t="s">
        <v>487</v>
      </c>
      <c r="BE17" s="1">
        <v>106.5</v>
      </c>
      <c r="BF17" s="1">
        <v>110.1</v>
      </c>
      <c r="BG17" s="1">
        <v>-3.6</v>
      </c>
      <c r="BH17" s="1" t="s">
        <v>480</v>
      </c>
      <c r="BI17" s="1" t="s">
        <v>396</v>
      </c>
      <c r="BJ17" s="1" t="s">
        <v>399</v>
      </c>
      <c r="BK17" s="1" t="s">
        <v>479</v>
      </c>
      <c r="BL17" s="1" t="s">
        <v>443</v>
      </c>
      <c r="BM17" s="1" t="s">
        <v>399</v>
      </c>
      <c r="BN17" s="1" t="s">
        <v>396</v>
      </c>
      <c r="BO17" s="1" t="s">
        <v>397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411</v>
      </c>
      <c r="BZ17" s="1" t="s">
        <v>411</v>
      </c>
      <c r="CA17" s="1"/>
      <c r="CB17" s="1" t="s">
        <v>473</v>
      </c>
      <c r="CC17" s="1"/>
    </row>
    <row r="18" spans="1:81">
      <c r="A18" s="1" t="s">
        <v>353</v>
      </c>
      <c r="B18" s="1" t="s">
        <v>354</v>
      </c>
      <c r="C18" s="1">
        <v>1610612751</v>
      </c>
      <c r="D18" s="1" t="s">
        <v>490</v>
      </c>
      <c r="E18" s="1" t="s">
        <v>491</v>
      </c>
      <c r="F18" s="1" t="s">
        <v>357</v>
      </c>
      <c r="G18" s="1" t="s">
        <v>410</v>
      </c>
      <c r="H18" s="1">
        <v>9</v>
      </c>
      <c r="I18" s="1" t="s">
        <v>359</v>
      </c>
      <c r="J18" s="1" t="s">
        <v>360</v>
      </c>
      <c r="K18" s="1" t="s">
        <v>367</v>
      </c>
      <c r="L18" s="1">
        <v>4</v>
      </c>
      <c r="M18" s="1">
        <v>4</v>
      </c>
      <c r="N18" s="1">
        <v>6</v>
      </c>
      <c r="O18" s="1">
        <v>0.4</v>
      </c>
      <c r="P18" s="1">
        <v>0</v>
      </c>
      <c r="Q18" s="1" t="s">
        <v>473</v>
      </c>
      <c r="R18" s="1" t="s">
        <v>421</v>
      </c>
      <c r="S18" s="1" t="s">
        <v>487</v>
      </c>
      <c r="T18" s="1" t="s">
        <v>475</v>
      </c>
      <c r="U18" s="1" t="s">
        <v>421</v>
      </c>
      <c r="V18" s="1" t="s">
        <v>487</v>
      </c>
      <c r="W18" s="1" t="s">
        <v>393</v>
      </c>
      <c r="X18" s="1" t="s">
        <v>393</v>
      </c>
      <c r="Y18" s="1" t="s">
        <v>410</v>
      </c>
      <c r="Z18" s="1">
        <v>2</v>
      </c>
      <c r="AA18" s="1" t="s">
        <v>441</v>
      </c>
      <c r="AB18" s="1">
        <v>-2</v>
      </c>
      <c r="AC18" s="1" t="s">
        <v>433</v>
      </c>
      <c r="AD18" s="1">
        <v>2</v>
      </c>
      <c r="AE18" s="1">
        <v>2</v>
      </c>
      <c r="AF18" s="1">
        <v>2</v>
      </c>
      <c r="AG18" s="1" t="s">
        <v>441</v>
      </c>
      <c r="AH18" s="1">
        <v>-2</v>
      </c>
      <c r="AI18" s="1" t="s">
        <v>433</v>
      </c>
      <c r="AJ18" s="1">
        <v>-2</v>
      </c>
      <c r="AK18" s="1" t="s">
        <v>433</v>
      </c>
      <c r="AL18" s="1">
        <v>5</v>
      </c>
      <c r="AM18" s="1">
        <v>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459</v>
      </c>
      <c r="AT18" s="1" t="s">
        <v>492</v>
      </c>
      <c r="AU18" s="1" t="s">
        <v>366</v>
      </c>
      <c r="AV18" s="1" t="s">
        <v>459</v>
      </c>
      <c r="AW18" s="1" t="s">
        <v>492</v>
      </c>
      <c r="AX18" s="1" t="s">
        <v>366</v>
      </c>
      <c r="AY18" s="1" t="s">
        <v>475</v>
      </c>
      <c r="AZ18" s="1" t="s">
        <v>475</v>
      </c>
      <c r="BA18" s="1" t="s">
        <v>451</v>
      </c>
      <c r="BB18" s="1" t="s">
        <v>395</v>
      </c>
      <c r="BC18" s="1" t="s">
        <v>460</v>
      </c>
      <c r="BD18" s="1" t="s">
        <v>367</v>
      </c>
      <c r="BE18" s="1">
        <v>119.2</v>
      </c>
      <c r="BF18" s="1">
        <v>121.4</v>
      </c>
      <c r="BG18" s="1">
        <v>-2.2000000000000002</v>
      </c>
      <c r="BH18" s="1" t="s">
        <v>479</v>
      </c>
      <c r="BI18" s="1" t="s">
        <v>397</v>
      </c>
      <c r="BJ18" s="1" t="s">
        <v>424</v>
      </c>
      <c r="BK18" s="1" t="s">
        <v>380</v>
      </c>
      <c r="BL18" s="1" t="s">
        <v>493</v>
      </c>
      <c r="BM18" s="1" t="s">
        <v>479</v>
      </c>
      <c r="BN18" s="1" t="s">
        <v>396</v>
      </c>
      <c r="BO18" s="1" t="s">
        <v>442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468</v>
      </c>
      <c r="BZ18" s="1" t="s">
        <v>423</v>
      </c>
      <c r="CA18" s="1"/>
      <c r="CB18" s="1" t="s">
        <v>473</v>
      </c>
      <c r="CC18" s="1"/>
    </row>
    <row r="19" spans="1:81">
      <c r="A19" s="1" t="s">
        <v>353</v>
      </c>
      <c r="B19" s="1" t="s">
        <v>354</v>
      </c>
      <c r="C19" s="1">
        <v>1610612759</v>
      </c>
      <c r="D19" s="1" t="s">
        <v>494</v>
      </c>
      <c r="E19" s="1" t="s">
        <v>495</v>
      </c>
      <c r="F19" s="1" t="s">
        <v>384</v>
      </c>
      <c r="G19" s="1" t="s">
        <v>454</v>
      </c>
      <c r="H19" s="1">
        <v>9</v>
      </c>
      <c r="I19" s="1" t="s">
        <v>359</v>
      </c>
      <c r="J19" s="1" t="s">
        <v>403</v>
      </c>
      <c r="K19" s="1" t="s">
        <v>440</v>
      </c>
      <c r="L19" s="1">
        <v>3</v>
      </c>
      <c r="M19" s="1">
        <v>5</v>
      </c>
      <c r="N19" s="1">
        <v>6</v>
      </c>
      <c r="O19" s="1">
        <v>0.45500000000000002</v>
      </c>
      <c r="P19" s="1">
        <v>0</v>
      </c>
      <c r="Q19" s="1" t="s">
        <v>496</v>
      </c>
      <c r="R19" s="1" t="s">
        <v>459</v>
      </c>
      <c r="S19" s="1" t="s">
        <v>451</v>
      </c>
      <c r="T19" s="1" t="s">
        <v>475</v>
      </c>
      <c r="U19" s="1" t="s">
        <v>459</v>
      </c>
      <c r="V19" s="1" t="s">
        <v>451</v>
      </c>
      <c r="W19" s="1" t="s">
        <v>366</v>
      </c>
      <c r="X19" s="1" t="s">
        <v>392</v>
      </c>
      <c r="Y19" s="1" t="s">
        <v>410</v>
      </c>
      <c r="Z19" s="1">
        <v>3</v>
      </c>
      <c r="AA19" s="1" t="s">
        <v>406</v>
      </c>
      <c r="AB19" s="1">
        <v>-2</v>
      </c>
      <c r="AC19" s="1" t="s">
        <v>433</v>
      </c>
      <c r="AD19" s="1">
        <v>3</v>
      </c>
      <c r="AE19" s="1">
        <v>3</v>
      </c>
      <c r="AF19" s="1">
        <v>-2</v>
      </c>
      <c r="AG19" s="1" t="s">
        <v>433</v>
      </c>
      <c r="AH19" s="1">
        <v>-2</v>
      </c>
      <c r="AI19" s="1" t="s">
        <v>433</v>
      </c>
      <c r="AJ19" s="1">
        <v>-3</v>
      </c>
      <c r="AK19" s="1" t="s">
        <v>453</v>
      </c>
      <c r="AL19" s="1">
        <v>3.5</v>
      </c>
      <c r="AM19" s="1">
        <v>3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391</v>
      </c>
      <c r="AT19" s="1" t="s">
        <v>488</v>
      </c>
      <c r="AU19" s="1" t="s">
        <v>367</v>
      </c>
      <c r="AV19" s="1" t="s">
        <v>364</v>
      </c>
      <c r="AW19" s="1" t="s">
        <v>497</v>
      </c>
      <c r="AX19" s="1" t="s">
        <v>366</v>
      </c>
      <c r="AY19" s="1" t="s">
        <v>455</v>
      </c>
      <c r="AZ19" s="1" t="s">
        <v>498</v>
      </c>
      <c r="BA19" s="1" t="s">
        <v>454</v>
      </c>
      <c r="BB19" s="1" t="s">
        <v>364</v>
      </c>
      <c r="BC19" s="1" t="s">
        <v>429</v>
      </c>
      <c r="BD19" s="1" t="s">
        <v>373</v>
      </c>
      <c r="BE19" s="1">
        <v>112.4</v>
      </c>
      <c r="BF19" s="1">
        <v>114.2</v>
      </c>
      <c r="BG19" s="1">
        <v>-1.8</v>
      </c>
      <c r="BH19" s="1" t="s">
        <v>443</v>
      </c>
      <c r="BI19" s="1" t="s">
        <v>399</v>
      </c>
      <c r="BJ19" s="1" t="s">
        <v>380</v>
      </c>
      <c r="BK19" s="1" t="s">
        <v>399</v>
      </c>
      <c r="BL19" s="1" t="s">
        <v>493</v>
      </c>
      <c r="BM19" s="1" t="s">
        <v>442</v>
      </c>
      <c r="BN19" s="1" t="s">
        <v>479</v>
      </c>
      <c r="BO19" s="1" t="s">
        <v>396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378</v>
      </c>
      <c r="BZ19" s="1" t="s">
        <v>480</v>
      </c>
      <c r="CA19" s="1"/>
      <c r="CB19" s="1" t="s">
        <v>496</v>
      </c>
      <c r="CC19" s="1"/>
    </row>
    <row r="20" spans="1:81">
      <c r="A20" s="1" t="s">
        <v>353</v>
      </c>
      <c r="B20" s="1" t="s">
        <v>354</v>
      </c>
      <c r="C20" s="1">
        <v>1610612758</v>
      </c>
      <c r="D20" s="1" t="s">
        <v>499</v>
      </c>
      <c r="E20" s="1" t="s">
        <v>500</v>
      </c>
      <c r="F20" s="1" t="s">
        <v>384</v>
      </c>
      <c r="G20" s="1" t="s">
        <v>474</v>
      </c>
      <c r="H20" s="1">
        <v>10</v>
      </c>
      <c r="I20" s="1" t="s">
        <v>359</v>
      </c>
      <c r="J20" s="1" t="s">
        <v>385</v>
      </c>
      <c r="K20" s="1" t="s">
        <v>440</v>
      </c>
      <c r="L20" s="1">
        <v>4</v>
      </c>
      <c r="M20" s="1">
        <v>4</v>
      </c>
      <c r="N20" s="1">
        <v>6</v>
      </c>
      <c r="O20" s="1">
        <v>0.4</v>
      </c>
      <c r="P20" s="1">
        <v>0</v>
      </c>
      <c r="Q20" s="1" t="s">
        <v>473</v>
      </c>
      <c r="R20" s="1" t="s">
        <v>431</v>
      </c>
      <c r="S20" s="1" t="s">
        <v>431</v>
      </c>
      <c r="T20" s="1" t="s">
        <v>475</v>
      </c>
      <c r="U20" s="1" t="s">
        <v>431</v>
      </c>
      <c r="V20" s="1" t="s">
        <v>431</v>
      </c>
      <c r="W20" s="1" t="s">
        <v>366</v>
      </c>
      <c r="X20" s="1" t="s">
        <v>367</v>
      </c>
      <c r="Y20" s="1" t="s">
        <v>431</v>
      </c>
      <c r="Z20" s="1">
        <v>-3</v>
      </c>
      <c r="AA20" s="1" t="s">
        <v>453</v>
      </c>
      <c r="AB20" s="1">
        <v>-2</v>
      </c>
      <c r="AC20" s="1" t="s">
        <v>433</v>
      </c>
      <c r="AD20" s="1">
        <v>2</v>
      </c>
      <c r="AE20" s="1">
        <v>5</v>
      </c>
      <c r="AF20" s="1">
        <v>2</v>
      </c>
      <c r="AG20" s="1" t="s">
        <v>441</v>
      </c>
      <c r="AH20" s="1">
        <v>1</v>
      </c>
      <c r="AI20" s="1" t="s">
        <v>389</v>
      </c>
      <c r="AJ20" s="1">
        <v>2</v>
      </c>
      <c r="AK20" s="1" t="s">
        <v>441</v>
      </c>
      <c r="AL20" s="1">
        <v>4</v>
      </c>
      <c r="AM20" s="1">
        <v>4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418</v>
      </c>
      <c r="AT20" s="1" t="s">
        <v>410</v>
      </c>
      <c r="AU20" s="1" t="s">
        <v>440</v>
      </c>
      <c r="AV20" s="1" t="s">
        <v>376</v>
      </c>
      <c r="AW20" s="1" t="s">
        <v>501</v>
      </c>
      <c r="AX20" s="1" t="s">
        <v>366</v>
      </c>
      <c r="AY20" s="1" t="s">
        <v>459</v>
      </c>
      <c r="AZ20" s="1" t="s">
        <v>502</v>
      </c>
      <c r="BA20" s="1" t="s">
        <v>487</v>
      </c>
      <c r="BB20" s="1" t="s">
        <v>364</v>
      </c>
      <c r="BC20" s="1" t="s">
        <v>459</v>
      </c>
      <c r="BD20" s="1" t="s">
        <v>410</v>
      </c>
      <c r="BE20" s="1">
        <v>105.6</v>
      </c>
      <c r="BF20" s="1">
        <v>110.3</v>
      </c>
      <c r="BG20" s="1">
        <v>-4.7</v>
      </c>
      <c r="BH20" s="1" t="s">
        <v>443</v>
      </c>
      <c r="BI20" s="1" t="s">
        <v>399</v>
      </c>
      <c r="BJ20" s="1" t="s">
        <v>380</v>
      </c>
      <c r="BK20" s="1" t="s">
        <v>399</v>
      </c>
      <c r="BL20" s="1" t="s">
        <v>480</v>
      </c>
      <c r="BM20" s="1" t="s">
        <v>411</v>
      </c>
      <c r="BN20" s="1" t="s">
        <v>396</v>
      </c>
      <c r="BO20" s="1" t="s">
        <v>380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503</v>
      </c>
      <c r="BZ20" s="1" t="s">
        <v>425</v>
      </c>
      <c r="CA20" s="1"/>
      <c r="CB20" s="1" t="s">
        <v>473</v>
      </c>
      <c r="CC20" s="1"/>
    </row>
    <row r="21" spans="1:81">
      <c r="A21" s="1" t="s">
        <v>353</v>
      </c>
      <c r="B21" s="1" t="s">
        <v>354</v>
      </c>
      <c r="C21" s="1">
        <v>1610612766</v>
      </c>
      <c r="D21" s="1" t="s">
        <v>504</v>
      </c>
      <c r="E21" s="1" t="s">
        <v>505</v>
      </c>
      <c r="F21" s="1" t="s">
        <v>357</v>
      </c>
      <c r="G21" s="1" t="s">
        <v>407</v>
      </c>
      <c r="H21" s="1">
        <v>10</v>
      </c>
      <c r="I21" s="1" t="s">
        <v>359</v>
      </c>
      <c r="J21" s="1" t="s">
        <v>416</v>
      </c>
      <c r="K21" s="1" t="s">
        <v>366</v>
      </c>
      <c r="L21" s="1">
        <v>4</v>
      </c>
      <c r="M21" s="1">
        <v>4</v>
      </c>
      <c r="N21" s="1">
        <v>7</v>
      </c>
      <c r="O21" s="1">
        <v>0.36399999999999999</v>
      </c>
      <c r="P21" s="1">
        <v>0</v>
      </c>
      <c r="Q21" s="1" t="s">
        <v>506</v>
      </c>
      <c r="R21" s="1" t="s">
        <v>474</v>
      </c>
      <c r="S21" s="1" t="s">
        <v>431</v>
      </c>
      <c r="T21" s="1" t="s">
        <v>507</v>
      </c>
      <c r="U21" s="1" t="s">
        <v>474</v>
      </c>
      <c r="V21" s="1" t="s">
        <v>431</v>
      </c>
      <c r="W21" s="1" t="s">
        <v>367</v>
      </c>
      <c r="X21" s="1" t="s">
        <v>391</v>
      </c>
      <c r="Y21" s="1" t="s">
        <v>508</v>
      </c>
      <c r="Z21" s="1">
        <v>-3</v>
      </c>
      <c r="AA21" s="1" t="s">
        <v>453</v>
      </c>
      <c r="AB21" s="1">
        <v>2</v>
      </c>
      <c r="AC21" s="1" t="s">
        <v>441</v>
      </c>
      <c r="AD21" s="1">
        <v>3</v>
      </c>
      <c r="AE21" s="1">
        <v>4</v>
      </c>
      <c r="AF21" s="1">
        <v>-3</v>
      </c>
      <c r="AG21" s="1" t="s">
        <v>453</v>
      </c>
      <c r="AH21" s="1">
        <v>-1</v>
      </c>
      <c r="AI21" s="1" t="s">
        <v>388</v>
      </c>
      <c r="AJ21" s="1">
        <v>-4</v>
      </c>
      <c r="AK21" s="1" t="s">
        <v>458</v>
      </c>
      <c r="AL21" s="1">
        <v>5.5</v>
      </c>
      <c r="AM21" s="1">
        <v>3.5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451</v>
      </c>
      <c r="AT21" s="1" t="s">
        <v>454</v>
      </c>
      <c r="AU21" s="1" t="s">
        <v>366</v>
      </c>
      <c r="AV21" s="1" t="s">
        <v>407</v>
      </c>
      <c r="AW21" s="1" t="s">
        <v>488</v>
      </c>
      <c r="AX21" s="1" t="s">
        <v>366</v>
      </c>
      <c r="AY21" s="1" t="s">
        <v>454</v>
      </c>
      <c r="AZ21" s="1" t="s">
        <v>507</v>
      </c>
      <c r="BA21" s="1" t="s">
        <v>488</v>
      </c>
      <c r="BB21" s="1" t="s">
        <v>392</v>
      </c>
      <c r="BC21" s="1" t="s">
        <v>392</v>
      </c>
      <c r="BD21" s="1" t="s">
        <v>431</v>
      </c>
      <c r="BE21" s="1">
        <v>106.8</v>
      </c>
      <c r="BF21" s="1">
        <v>113.7</v>
      </c>
      <c r="BG21" s="1">
        <v>-6.9</v>
      </c>
      <c r="BH21" s="1" t="s">
        <v>443</v>
      </c>
      <c r="BI21" s="1" t="s">
        <v>424</v>
      </c>
      <c r="BJ21" s="1" t="s">
        <v>379</v>
      </c>
      <c r="BK21" s="1" t="s">
        <v>380</v>
      </c>
      <c r="BL21" s="1" t="s">
        <v>509</v>
      </c>
      <c r="BM21" s="1" t="s">
        <v>396</v>
      </c>
      <c r="BN21" s="1" t="s">
        <v>443</v>
      </c>
      <c r="BO21" s="1" t="s">
        <v>424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411</v>
      </c>
      <c r="BZ21" s="1" t="s">
        <v>411</v>
      </c>
      <c r="CA21" s="1"/>
      <c r="CB21" s="1" t="s">
        <v>506</v>
      </c>
      <c r="CC21" s="1"/>
    </row>
    <row r="22" spans="1:81">
      <c r="A22" s="1" t="s">
        <v>353</v>
      </c>
      <c r="B22" s="1" t="s">
        <v>354</v>
      </c>
      <c r="C22" s="1">
        <v>1610612757</v>
      </c>
      <c r="D22" s="1" t="s">
        <v>510</v>
      </c>
      <c r="E22" s="1" t="s">
        <v>511</v>
      </c>
      <c r="F22" s="1" t="s">
        <v>384</v>
      </c>
      <c r="G22" s="1" t="s">
        <v>512</v>
      </c>
      <c r="H22" s="1">
        <v>11</v>
      </c>
      <c r="I22" s="1" t="s">
        <v>359</v>
      </c>
      <c r="J22" s="1" t="s">
        <v>430</v>
      </c>
      <c r="K22" s="1" t="s">
        <v>373</v>
      </c>
      <c r="L22" s="1">
        <v>4</v>
      </c>
      <c r="M22" s="1">
        <v>4</v>
      </c>
      <c r="N22" s="1">
        <v>7</v>
      </c>
      <c r="O22" s="1">
        <v>0.36399999999999999</v>
      </c>
      <c r="P22" s="1">
        <v>0</v>
      </c>
      <c r="Q22" s="1" t="s">
        <v>506</v>
      </c>
      <c r="R22" s="1" t="s">
        <v>451</v>
      </c>
      <c r="S22" s="1" t="s">
        <v>454</v>
      </c>
      <c r="T22" s="1" t="s">
        <v>475</v>
      </c>
      <c r="U22" s="1" t="s">
        <v>451</v>
      </c>
      <c r="V22" s="1" t="s">
        <v>454</v>
      </c>
      <c r="W22" s="1" t="s">
        <v>367</v>
      </c>
      <c r="X22" s="1" t="s">
        <v>407</v>
      </c>
      <c r="Y22" s="1" t="s">
        <v>392</v>
      </c>
      <c r="Z22" s="1">
        <v>-3</v>
      </c>
      <c r="AA22" s="1" t="s">
        <v>453</v>
      </c>
      <c r="AB22" s="1">
        <v>-3</v>
      </c>
      <c r="AC22" s="1" t="s">
        <v>453</v>
      </c>
      <c r="AD22" s="1">
        <v>2</v>
      </c>
      <c r="AE22" s="1">
        <v>4</v>
      </c>
      <c r="AF22" s="1">
        <v>1</v>
      </c>
      <c r="AG22" s="1" t="s">
        <v>389</v>
      </c>
      <c r="AH22" s="1">
        <v>-3</v>
      </c>
      <c r="AI22" s="1" t="s">
        <v>453</v>
      </c>
      <c r="AJ22" s="1">
        <v>-1</v>
      </c>
      <c r="AK22" s="1" t="s">
        <v>388</v>
      </c>
      <c r="AL22" s="1">
        <v>4.5</v>
      </c>
      <c r="AM22" s="1">
        <v>4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474</v>
      </c>
      <c r="AT22" s="1" t="s">
        <v>451</v>
      </c>
      <c r="AU22" s="1" t="s">
        <v>367</v>
      </c>
      <c r="AV22" s="1" t="s">
        <v>451</v>
      </c>
      <c r="AW22" s="1" t="s">
        <v>487</v>
      </c>
      <c r="AX22" s="1" t="s">
        <v>392</v>
      </c>
      <c r="AY22" s="1" t="s">
        <v>475</v>
      </c>
      <c r="AZ22" s="1" t="s">
        <v>507</v>
      </c>
      <c r="BA22" s="1" t="s">
        <v>487</v>
      </c>
      <c r="BB22" s="1" t="s">
        <v>364</v>
      </c>
      <c r="BC22" s="1" t="s">
        <v>391</v>
      </c>
      <c r="BD22" s="1" t="s">
        <v>451</v>
      </c>
      <c r="BE22" s="1">
        <v>112.7</v>
      </c>
      <c r="BF22" s="1">
        <v>113.9</v>
      </c>
      <c r="BG22" s="1">
        <v>-1.2</v>
      </c>
      <c r="BH22" s="1" t="s">
        <v>479</v>
      </c>
      <c r="BI22" s="1" t="s">
        <v>424</v>
      </c>
      <c r="BJ22" s="1" t="s">
        <v>380</v>
      </c>
      <c r="BK22" s="1" t="s">
        <v>397</v>
      </c>
      <c r="BL22" s="1" t="s">
        <v>513</v>
      </c>
      <c r="BM22" s="1" t="s">
        <v>399</v>
      </c>
      <c r="BN22" s="1" t="s">
        <v>468</v>
      </c>
      <c r="BO22" s="1" t="s">
        <v>399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426</v>
      </c>
      <c r="BZ22" s="1" t="s">
        <v>514</v>
      </c>
      <c r="CA22" s="1"/>
      <c r="CB22" s="1" t="s">
        <v>506</v>
      </c>
      <c r="CC22" s="1"/>
    </row>
    <row r="23" spans="1:81">
      <c r="A23" s="1" t="s">
        <v>353</v>
      </c>
      <c r="B23" s="1" t="s">
        <v>354</v>
      </c>
      <c r="C23" s="1">
        <v>1610612741</v>
      </c>
      <c r="D23" s="1" t="s">
        <v>515</v>
      </c>
      <c r="E23" s="1" t="s">
        <v>516</v>
      </c>
      <c r="F23" s="1" t="s">
        <v>357</v>
      </c>
      <c r="G23" s="1" t="s">
        <v>512</v>
      </c>
      <c r="H23" s="1">
        <v>11</v>
      </c>
      <c r="I23" s="1" t="s">
        <v>359</v>
      </c>
      <c r="J23" s="1" t="s">
        <v>439</v>
      </c>
      <c r="K23" s="1" t="s">
        <v>410</v>
      </c>
      <c r="L23" s="1">
        <v>4</v>
      </c>
      <c r="M23" s="1">
        <v>4</v>
      </c>
      <c r="N23" s="1">
        <v>7</v>
      </c>
      <c r="O23" s="1">
        <v>0.36399999999999999</v>
      </c>
      <c r="P23" s="1">
        <v>0</v>
      </c>
      <c r="Q23" s="1" t="s">
        <v>506</v>
      </c>
      <c r="R23" s="1" t="s">
        <v>431</v>
      </c>
      <c r="S23" s="1" t="s">
        <v>474</v>
      </c>
      <c r="T23" s="1" t="s">
        <v>475</v>
      </c>
      <c r="U23" s="1" t="s">
        <v>431</v>
      </c>
      <c r="V23" s="1" t="s">
        <v>474</v>
      </c>
      <c r="W23" s="1" t="s">
        <v>366</v>
      </c>
      <c r="X23" s="1" t="s">
        <v>440</v>
      </c>
      <c r="Y23" s="1" t="s">
        <v>431</v>
      </c>
      <c r="Z23" s="1">
        <v>-2</v>
      </c>
      <c r="AA23" s="1" t="s">
        <v>433</v>
      </c>
      <c r="AB23" s="1">
        <v>-3</v>
      </c>
      <c r="AC23" s="1" t="s">
        <v>453</v>
      </c>
      <c r="AD23" s="1">
        <v>1</v>
      </c>
      <c r="AE23" s="1">
        <v>3</v>
      </c>
      <c r="AF23" s="1">
        <v>1</v>
      </c>
      <c r="AG23" s="1" t="s">
        <v>389</v>
      </c>
      <c r="AH23" s="1">
        <v>1</v>
      </c>
      <c r="AI23" s="1" t="s">
        <v>389</v>
      </c>
      <c r="AJ23" s="1">
        <v>1</v>
      </c>
      <c r="AK23" s="1" t="s">
        <v>389</v>
      </c>
      <c r="AL23" s="1">
        <v>5.5</v>
      </c>
      <c r="AM23" s="1">
        <v>3.5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418</v>
      </c>
      <c r="AT23" s="1" t="s">
        <v>487</v>
      </c>
      <c r="AU23" s="1" t="s">
        <v>366</v>
      </c>
      <c r="AV23" s="1" t="s">
        <v>431</v>
      </c>
      <c r="AW23" s="1" t="s">
        <v>487</v>
      </c>
      <c r="AX23" s="1" t="s">
        <v>367</v>
      </c>
      <c r="AY23" s="1" t="s">
        <v>459</v>
      </c>
      <c r="AZ23" s="1" t="s">
        <v>507</v>
      </c>
      <c r="BA23" s="1" t="s">
        <v>487</v>
      </c>
      <c r="BB23" s="1" t="s">
        <v>421</v>
      </c>
      <c r="BC23" s="1" t="s">
        <v>391</v>
      </c>
      <c r="BD23" s="1" t="s">
        <v>488</v>
      </c>
      <c r="BE23" s="1">
        <v>106.7</v>
      </c>
      <c r="BF23" s="1">
        <v>109.3</v>
      </c>
      <c r="BG23" s="1">
        <v>-2.5</v>
      </c>
      <c r="BH23" s="1" t="s">
        <v>513</v>
      </c>
      <c r="BI23" s="1" t="s">
        <v>479</v>
      </c>
      <c r="BJ23" s="1" t="s">
        <v>479</v>
      </c>
      <c r="BK23" s="1" t="s">
        <v>399</v>
      </c>
      <c r="BL23" s="1" t="s">
        <v>479</v>
      </c>
      <c r="BM23" s="1" t="s">
        <v>380</v>
      </c>
      <c r="BN23" s="1" t="s">
        <v>396</v>
      </c>
      <c r="BO23" s="1" t="s">
        <v>399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517</v>
      </c>
      <c r="BZ23" s="1" t="s">
        <v>423</v>
      </c>
      <c r="CA23" s="1"/>
      <c r="CB23" s="1" t="s">
        <v>506</v>
      </c>
      <c r="CC23" s="1"/>
    </row>
    <row r="24" spans="1:81">
      <c r="A24" s="1" t="s">
        <v>353</v>
      </c>
      <c r="B24" s="1" t="s">
        <v>354</v>
      </c>
      <c r="C24" s="1">
        <v>1610612753</v>
      </c>
      <c r="D24" s="1" t="s">
        <v>518</v>
      </c>
      <c r="E24" s="1" t="s">
        <v>519</v>
      </c>
      <c r="F24" s="1" t="s">
        <v>357</v>
      </c>
      <c r="G24" s="1" t="s">
        <v>454</v>
      </c>
      <c r="H24" s="1">
        <v>12</v>
      </c>
      <c r="I24" s="1" t="s">
        <v>359</v>
      </c>
      <c r="J24" s="1" t="s">
        <v>416</v>
      </c>
      <c r="K24" s="1" t="s">
        <v>440</v>
      </c>
      <c r="L24" s="1">
        <v>3</v>
      </c>
      <c r="M24" s="1">
        <v>4</v>
      </c>
      <c r="N24" s="1">
        <v>7</v>
      </c>
      <c r="O24" s="1">
        <v>0.36399999999999999</v>
      </c>
      <c r="P24" s="1">
        <v>0</v>
      </c>
      <c r="Q24" s="1" t="s">
        <v>506</v>
      </c>
      <c r="R24" s="1" t="s">
        <v>459</v>
      </c>
      <c r="S24" s="1" t="s">
        <v>508</v>
      </c>
      <c r="T24" s="1" t="s">
        <v>507</v>
      </c>
      <c r="U24" s="1" t="s">
        <v>459</v>
      </c>
      <c r="V24" s="1" t="s">
        <v>508</v>
      </c>
      <c r="W24" s="1" t="s">
        <v>366</v>
      </c>
      <c r="X24" s="1" t="s">
        <v>440</v>
      </c>
      <c r="Y24" s="1" t="s">
        <v>361</v>
      </c>
      <c r="Z24" s="1">
        <v>2</v>
      </c>
      <c r="AA24" s="1" t="s">
        <v>441</v>
      </c>
      <c r="AB24" s="1">
        <v>-4</v>
      </c>
      <c r="AC24" s="1" t="s">
        <v>458</v>
      </c>
      <c r="AD24" s="1">
        <v>1</v>
      </c>
      <c r="AE24" s="1">
        <v>4</v>
      </c>
      <c r="AF24" s="1">
        <v>1</v>
      </c>
      <c r="AG24" s="1" t="s">
        <v>389</v>
      </c>
      <c r="AH24" s="1">
        <v>-4</v>
      </c>
      <c r="AI24" s="1" t="s">
        <v>458</v>
      </c>
      <c r="AJ24" s="1">
        <v>1</v>
      </c>
      <c r="AK24" s="1" t="s">
        <v>389</v>
      </c>
      <c r="AL24" s="1">
        <v>5.5</v>
      </c>
      <c r="AM24" s="1">
        <v>3.5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431</v>
      </c>
      <c r="AT24" s="1" t="s">
        <v>487</v>
      </c>
      <c r="AU24" s="1" t="s">
        <v>367</v>
      </c>
      <c r="AV24" s="1" t="s">
        <v>404</v>
      </c>
      <c r="AW24" s="1" t="s">
        <v>520</v>
      </c>
      <c r="AX24" s="1" t="s">
        <v>366</v>
      </c>
      <c r="AY24" s="1" t="s">
        <v>407</v>
      </c>
      <c r="AZ24" s="1" t="s">
        <v>501</v>
      </c>
      <c r="BA24" s="1" t="s">
        <v>502</v>
      </c>
      <c r="BB24" s="1" t="s">
        <v>395</v>
      </c>
      <c r="BC24" s="1" t="s">
        <v>418</v>
      </c>
      <c r="BD24" s="1" t="s">
        <v>395</v>
      </c>
      <c r="BE24" s="1">
        <v>99.4</v>
      </c>
      <c r="BF24" s="1">
        <v>99.1</v>
      </c>
      <c r="BG24" s="1">
        <v>0.3</v>
      </c>
      <c r="BH24" s="1" t="s">
        <v>493</v>
      </c>
      <c r="BI24" s="1" t="s">
        <v>442</v>
      </c>
      <c r="BJ24" s="1" t="s">
        <v>479</v>
      </c>
      <c r="BK24" s="1" t="s">
        <v>396</v>
      </c>
      <c r="BL24" s="1" t="s">
        <v>468</v>
      </c>
      <c r="BM24" s="1" t="s">
        <v>424</v>
      </c>
      <c r="BN24" s="1" t="s">
        <v>380</v>
      </c>
      <c r="BO24" s="1" t="s">
        <v>399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443</v>
      </c>
      <c r="BZ24" s="1" t="s">
        <v>514</v>
      </c>
      <c r="CA24" s="1"/>
      <c r="CB24" s="1" t="s">
        <v>506</v>
      </c>
      <c r="CC24" s="1"/>
    </row>
    <row r="25" spans="1:81">
      <c r="A25" s="1" t="s">
        <v>353</v>
      </c>
      <c r="B25" s="1" t="s">
        <v>354</v>
      </c>
      <c r="C25" s="1">
        <v>1610612760</v>
      </c>
      <c r="D25" s="1" t="s">
        <v>521</v>
      </c>
      <c r="E25" s="1" t="s">
        <v>522</v>
      </c>
      <c r="F25" s="1" t="s">
        <v>384</v>
      </c>
      <c r="G25" s="1" t="s">
        <v>454</v>
      </c>
      <c r="H25" s="1">
        <v>12</v>
      </c>
      <c r="I25" s="1" t="s">
        <v>359</v>
      </c>
      <c r="J25" s="1" t="s">
        <v>430</v>
      </c>
      <c r="K25" s="1" t="s">
        <v>393</v>
      </c>
      <c r="L25" s="1">
        <v>5</v>
      </c>
      <c r="M25" s="1">
        <v>4</v>
      </c>
      <c r="N25" s="1">
        <v>7</v>
      </c>
      <c r="O25" s="1">
        <v>0.36399999999999999</v>
      </c>
      <c r="P25" s="1">
        <v>0</v>
      </c>
      <c r="Q25" s="1" t="s">
        <v>506</v>
      </c>
      <c r="R25" s="1" t="s">
        <v>459</v>
      </c>
      <c r="S25" s="1" t="s">
        <v>508</v>
      </c>
      <c r="T25" s="1" t="s">
        <v>475</v>
      </c>
      <c r="U25" s="1" t="s">
        <v>459</v>
      </c>
      <c r="V25" s="1" t="s">
        <v>508</v>
      </c>
      <c r="W25" s="1" t="s">
        <v>366</v>
      </c>
      <c r="X25" s="1" t="s">
        <v>393</v>
      </c>
      <c r="Y25" s="1" t="s">
        <v>407</v>
      </c>
      <c r="Z25" s="1">
        <v>3</v>
      </c>
      <c r="AA25" s="1" t="s">
        <v>406</v>
      </c>
      <c r="AB25" s="1">
        <v>-4</v>
      </c>
      <c r="AC25" s="1" t="s">
        <v>458</v>
      </c>
      <c r="AD25" s="1">
        <v>2</v>
      </c>
      <c r="AE25" s="1">
        <v>2</v>
      </c>
      <c r="AF25" s="1">
        <v>-1</v>
      </c>
      <c r="AG25" s="1" t="s">
        <v>388</v>
      </c>
      <c r="AH25" s="1">
        <v>-4</v>
      </c>
      <c r="AI25" s="1" t="s">
        <v>458</v>
      </c>
      <c r="AJ25" s="1">
        <v>-2</v>
      </c>
      <c r="AK25" s="1" t="s">
        <v>433</v>
      </c>
      <c r="AL25" s="1">
        <v>4.5</v>
      </c>
      <c r="AM25" s="1">
        <v>4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459</v>
      </c>
      <c r="AT25" s="1" t="s">
        <v>508</v>
      </c>
      <c r="AU25" s="1" t="s">
        <v>366</v>
      </c>
      <c r="AV25" s="1" t="s">
        <v>421</v>
      </c>
      <c r="AW25" s="1" t="s">
        <v>477</v>
      </c>
      <c r="AX25" s="1" t="s">
        <v>367</v>
      </c>
      <c r="AY25" s="1" t="s">
        <v>459</v>
      </c>
      <c r="AZ25" s="1" t="s">
        <v>502</v>
      </c>
      <c r="BA25" s="1" t="s">
        <v>501</v>
      </c>
      <c r="BB25" s="1" t="s">
        <v>364</v>
      </c>
      <c r="BC25" s="1" t="s">
        <v>431</v>
      </c>
      <c r="BD25" s="1" t="s">
        <v>391</v>
      </c>
      <c r="BE25" s="1">
        <v>105.3</v>
      </c>
      <c r="BF25" s="1">
        <v>106</v>
      </c>
      <c r="BG25" s="1">
        <v>-0.7</v>
      </c>
      <c r="BH25" s="1" t="s">
        <v>468</v>
      </c>
      <c r="BI25" s="1" t="s">
        <v>380</v>
      </c>
      <c r="BJ25" s="1" t="s">
        <v>424</v>
      </c>
      <c r="BK25" s="1" t="s">
        <v>399</v>
      </c>
      <c r="BL25" s="1" t="s">
        <v>493</v>
      </c>
      <c r="BM25" s="1" t="s">
        <v>424</v>
      </c>
      <c r="BN25" s="1" t="s">
        <v>379</v>
      </c>
      <c r="BO25" s="1" t="s">
        <v>479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517</v>
      </c>
      <c r="BZ25" s="1" t="s">
        <v>423</v>
      </c>
      <c r="CA25" s="1"/>
      <c r="CB25" s="1" t="s">
        <v>506</v>
      </c>
      <c r="CC25" s="1"/>
    </row>
    <row r="26" spans="1:81">
      <c r="A26" s="1" t="s">
        <v>353</v>
      </c>
      <c r="B26" s="1" t="s">
        <v>354</v>
      </c>
      <c r="C26" s="1">
        <v>1610612763</v>
      </c>
      <c r="D26" s="1" t="s">
        <v>523</v>
      </c>
      <c r="E26" s="1" t="s">
        <v>524</v>
      </c>
      <c r="F26" s="1" t="s">
        <v>384</v>
      </c>
      <c r="G26" s="1" t="s">
        <v>474</v>
      </c>
      <c r="H26" s="1">
        <v>13</v>
      </c>
      <c r="I26" s="1" t="s">
        <v>359</v>
      </c>
      <c r="J26" s="1" t="s">
        <v>403</v>
      </c>
      <c r="K26" s="1" t="s">
        <v>410</v>
      </c>
      <c r="L26" s="1">
        <v>4</v>
      </c>
      <c r="M26" s="1">
        <v>4</v>
      </c>
      <c r="N26" s="1">
        <v>7</v>
      </c>
      <c r="O26" s="1">
        <v>0.36399999999999999</v>
      </c>
      <c r="P26" s="1">
        <v>0</v>
      </c>
      <c r="Q26" s="1" t="s">
        <v>506</v>
      </c>
      <c r="R26" s="1" t="s">
        <v>474</v>
      </c>
      <c r="S26" s="1" t="s">
        <v>431</v>
      </c>
      <c r="T26" s="1" t="s">
        <v>475</v>
      </c>
      <c r="U26" s="1" t="s">
        <v>474</v>
      </c>
      <c r="V26" s="1" t="s">
        <v>431</v>
      </c>
      <c r="W26" s="1" t="s">
        <v>367</v>
      </c>
      <c r="X26" s="1" t="s">
        <v>392</v>
      </c>
      <c r="Y26" s="1" t="s">
        <v>487</v>
      </c>
      <c r="Z26" s="1">
        <v>-2</v>
      </c>
      <c r="AA26" s="1" t="s">
        <v>433</v>
      </c>
      <c r="AB26" s="1">
        <v>-3</v>
      </c>
      <c r="AC26" s="1" t="s">
        <v>453</v>
      </c>
      <c r="AD26" s="1">
        <v>2</v>
      </c>
      <c r="AE26" s="1">
        <v>3</v>
      </c>
      <c r="AF26" s="1">
        <v>-1</v>
      </c>
      <c r="AG26" s="1" t="s">
        <v>388</v>
      </c>
      <c r="AH26" s="1">
        <v>2</v>
      </c>
      <c r="AI26" s="1" t="s">
        <v>441</v>
      </c>
      <c r="AJ26" s="1">
        <v>2</v>
      </c>
      <c r="AK26" s="1" t="s">
        <v>441</v>
      </c>
      <c r="AL26" s="1">
        <v>4.5</v>
      </c>
      <c r="AM26" s="1">
        <v>4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418</v>
      </c>
      <c r="AT26" s="1" t="s">
        <v>487</v>
      </c>
      <c r="AU26" s="1" t="s">
        <v>366</v>
      </c>
      <c r="AV26" s="1" t="s">
        <v>407</v>
      </c>
      <c r="AW26" s="1" t="s">
        <v>488</v>
      </c>
      <c r="AX26" s="1" t="s">
        <v>366</v>
      </c>
      <c r="AY26" s="1" t="s">
        <v>472</v>
      </c>
      <c r="AZ26" s="1" t="s">
        <v>525</v>
      </c>
      <c r="BA26" s="1" t="s">
        <v>512</v>
      </c>
      <c r="BB26" s="1" t="s">
        <v>364</v>
      </c>
      <c r="BC26" s="1" t="s">
        <v>421</v>
      </c>
      <c r="BD26" s="1" t="s">
        <v>391</v>
      </c>
      <c r="BE26" s="1">
        <v>110</v>
      </c>
      <c r="BF26" s="1">
        <v>118.8</v>
      </c>
      <c r="BG26" s="1">
        <v>-8.8000000000000007</v>
      </c>
      <c r="BH26" s="1" t="s">
        <v>411</v>
      </c>
      <c r="BI26" s="1" t="s">
        <v>397</v>
      </c>
      <c r="BJ26" s="1" t="s">
        <v>396</v>
      </c>
      <c r="BK26" s="1" t="s">
        <v>479</v>
      </c>
      <c r="BL26" s="1" t="s">
        <v>480</v>
      </c>
      <c r="BM26" s="1" t="s">
        <v>397</v>
      </c>
      <c r="BN26" s="1" t="s">
        <v>424</v>
      </c>
      <c r="BO26" s="1" t="s">
        <v>479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468</v>
      </c>
      <c r="BZ26" s="1" t="s">
        <v>480</v>
      </c>
      <c r="CA26" s="1"/>
      <c r="CB26" s="1" t="s">
        <v>506</v>
      </c>
      <c r="CC26" s="1"/>
    </row>
    <row r="27" spans="1:81">
      <c r="A27" s="1" t="s">
        <v>353</v>
      </c>
      <c r="B27" s="1" t="s">
        <v>354</v>
      </c>
      <c r="C27" s="1">
        <v>1610612765</v>
      </c>
      <c r="D27" s="1" t="s">
        <v>526</v>
      </c>
      <c r="E27" s="1" t="s">
        <v>527</v>
      </c>
      <c r="F27" s="1" t="s">
        <v>357</v>
      </c>
      <c r="G27" s="1" t="s">
        <v>525</v>
      </c>
      <c r="H27" s="1">
        <v>13</v>
      </c>
      <c r="I27" s="1" t="s">
        <v>359</v>
      </c>
      <c r="J27" s="1" t="s">
        <v>439</v>
      </c>
      <c r="K27" s="1" t="s">
        <v>407</v>
      </c>
      <c r="L27" s="1">
        <v>5</v>
      </c>
      <c r="M27" s="1">
        <v>4</v>
      </c>
      <c r="N27" s="1">
        <v>8</v>
      </c>
      <c r="O27" s="1">
        <v>0.33300000000000002</v>
      </c>
      <c r="P27" s="1">
        <v>0</v>
      </c>
      <c r="Q27" s="1" t="s">
        <v>528</v>
      </c>
      <c r="R27" s="1" t="s">
        <v>418</v>
      </c>
      <c r="S27" s="1" t="s">
        <v>497</v>
      </c>
      <c r="T27" s="1" t="s">
        <v>507</v>
      </c>
      <c r="U27" s="1" t="s">
        <v>418</v>
      </c>
      <c r="V27" s="1" t="s">
        <v>497</v>
      </c>
      <c r="W27" s="1" t="s">
        <v>366</v>
      </c>
      <c r="X27" s="1" t="s">
        <v>367</v>
      </c>
      <c r="Y27" s="1" t="s">
        <v>451</v>
      </c>
      <c r="Z27" s="1">
        <v>3</v>
      </c>
      <c r="AA27" s="1" t="s">
        <v>406</v>
      </c>
      <c r="AB27" s="1">
        <v>-5</v>
      </c>
      <c r="AC27" s="1" t="s">
        <v>529</v>
      </c>
      <c r="AD27" s="1">
        <v>1</v>
      </c>
      <c r="AE27" s="1">
        <v>3</v>
      </c>
      <c r="AF27" s="1">
        <v>-1</v>
      </c>
      <c r="AG27" s="1" t="s">
        <v>388</v>
      </c>
      <c r="AH27" s="1">
        <v>-5</v>
      </c>
      <c r="AI27" s="1" t="s">
        <v>529</v>
      </c>
      <c r="AJ27" s="1">
        <v>-3</v>
      </c>
      <c r="AK27" s="1" t="s">
        <v>453</v>
      </c>
      <c r="AL27" s="1">
        <v>6</v>
      </c>
      <c r="AM27" s="1">
        <v>4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407</v>
      </c>
      <c r="AT27" s="1" t="s">
        <v>502</v>
      </c>
      <c r="AU27" s="1" t="s">
        <v>366</v>
      </c>
      <c r="AV27" s="1" t="s">
        <v>404</v>
      </c>
      <c r="AW27" s="1" t="s">
        <v>520</v>
      </c>
      <c r="AX27" s="1" t="s">
        <v>440</v>
      </c>
      <c r="AY27" s="1" t="s">
        <v>507</v>
      </c>
      <c r="AZ27" s="1" t="s">
        <v>530</v>
      </c>
      <c r="BA27" s="1" t="s">
        <v>476</v>
      </c>
      <c r="BB27" s="1" t="s">
        <v>421</v>
      </c>
      <c r="BC27" s="1" t="s">
        <v>418</v>
      </c>
      <c r="BD27" s="1" t="s">
        <v>410</v>
      </c>
      <c r="BE27" s="1">
        <v>108.9</v>
      </c>
      <c r="BF27" s="1">
        <v>112.5</v>
      </c>
      <c r="BG27" s="1">
        <v>-3.6</v>
      </c>
      <c r="BH27" s="1" t="s">
        <v>506</v>
      </c>
      <c r="BI27" s="1" t="s">
        <v>443</v>
      </c>
      <c r="BJ27" s="1" t="s">
        <v>443</v>
      </c>
      <c r="BK27" s="1" t="s">
        <v>531</v>
      </c>
      <c r="BL27" s="1" t="s">
        <v>396</v>
      </c>
      <c r="BM27" s="1" t="s">
        <v>396</v>
      </c>
      <c r="BN27" s="1" t="s">
        <v>380</v>
      </c>
      <c r="BO27" s="1" t="s">
        <v>380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411</v>
      </c>
      <c r="BZ27" s="1" t="s">
        <v>509</v>
      </c>
      <c r="CA27" s="1"/>
      <c r="CB27" s="1" t="s">
        <v>528</v>
      </c>
      <c r="CC27" s="1"/>
    </row>
    <row r="28" spans="1:81">
      <c r="A28" s="1" t="s">
        <v>353</v>
      </c>
      <c r="B28" s="1" t="s">
        <v>354</v>
      </c>
      <c r="C28" s="1">
        <v>1610612740</v>
      </c>
      <c r="D28" s="1" t="s">
        <v>532</v>
      </c>
      <c r="E28" s="1" t="s">
        <v>533</v>
      </c>
      <c r="F28" s="1" t="s">
        <v>384</v>
      </c>
      <c r="G28" s="1" t="s">
        <v>497</v>
      </c>
      <c r="H28" s="1">
        <v>14</v>
      </c>
      <c r="I28" s="1" t="s">
        <v>359</v>
      </c>
      <c r="J28" s="1" t="s">
        <v>403</v>
      </c>
      <c r="K28" s="1" t="s">
        <v>492</v>
      </c>
      <c r="L28" s="1">
        <v>5</v>
      </c>
      <c r="M28" s="1">
        <v>2</v>
      </c>
      <c r="N28" s="1">
        <v>8</v>
      </c>
      <c r="O28" s="1">
        <v>0.2</v>
      </c>
      <c r="P28" s="1">
        <v>0</v>
      </c>
      <c r="Q28" s="1" t="s">
        <v>534</v>
      </c>
      <c r="R28" s="1" t="s">
        <v>487</v>
      </c>
      <c r="S28" s="1" t="s">
        <v>487</v>
      </c>
      <c r="T28" s="1" t="s">
        <v>535</v>
      </c>
      <c r="U28" s="1" t="s">
        <v>487</v>
      </c>
      <c r="V28" s="1" t="s">
        <v>487</v>
      </c>
      <c r="W28" s="1" t="s">
        <v>440</v>
      </c>
      <c r="X28" s="1" t="s">
        <v>440</v>
      </c>
      <c r="Y28" s="1" t="s">
        <v>487</v>
      </c>
      <c r="Z28" s="1">
        <v>-2</v>
      </c>
      <c r="AA28" s="1" t="s">
        <v>433</v>
      </c>
      <c r="AB28" s="1">
        <v>-4</v>
      </c>
      <c r="AC28" s="1" t="s">
        <v>458</v>
      </c>
      <c r="AD28" s="1">
        <v>1</v>
      </c>
      <c r="AE28" s="1">
        <v>4</v>
      </c>
      <c r="AF28" s="1">
        <v>-2</v>
      </c>
      <c r="AG28" s="1" t="s">
        <v>433</v>
      </c>
      <c r="AH28" s="1">
        <v>1</v>
      </c>
      <c r="AI28" s="1" t="s">
        <v>389</v>
      </c>
      <c r="AJ28" s="1">
        <v>-1</v>
      </c>
      <c r="AK28" s="1" t="s">
        <v>388</v>
      </c>
      <c r="AL28" s="1">
        <v>6</v>
      </c>
      <c r="AM28" s="1">
        <v>5.5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373</v>
      </c>
      <c r="AT28" s="1" t="s">
        <v>476</v>
      </c>
      <c r="AU28" s="1" t="s">
        <v>440</v>
      </c>
      <c r="AV28" s="1" t="s">
        <v>373</v>
      </c>
      <c r="AW28" s="1" t="s">
        <v>520</v>
      </c>
      <c r="AX28" s="1" t="s">
        <v>366</v>
      </c>
      <c r="AY28" s="1" t="s">
        <v>535</v>
      </c>
      <c r="AZ28" s="1" t="s">
        <v>535</v>
      </c>
      <c r="BA28" s="1" t="s">
        <v>474</v>
      </c>
      <c r="BB28" s="1" t="s">
        <v>407</v>
      </c>
      <c r="BC28" s="1" t="s">
        <v>391</v>
      </c>
      <c r="BD28" s="1" t="s">
        <v>508</v>
      </c>
      <c r="BE28" s="1">
        <v>117</v>
      </c>
      <c r="BF28" s="1">
        <v>122.4</v>
      </c>
      <c r="BG28" s="1">
        <v>-5.4</v>
      </c>
      <c r="BH28" s="1" t="s">
        <v>468</v>
      </c>
      <c r="BI28" s="1" t="s">
        <v>531</v>
      </c>
      <c r="BJ28" s="1" t="s">
        <v>380</v>
      </c>
      <c r="BK28" s="1" t="s">
        <v>397</v>
      </c>
      <c r="BL28" s="1" t="s">
        <v>514</v>
      </c>
      <c r="BM28" s="1" t="s">
        <v>399</v>
      </c>
      <c r="BN28" s="1" t="s">
        <v>396</v>
      </c>
      <c r="BO28" s="1" t="s">
        <v>531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517</v>
      </c>
      <c r="BZ28" s="1" t="s">
        <v>517</v>
      </c>
      <c r="CA28" s="1"/>
      <c r="CB28" s="1" t="s">
        <v>534</v>
      </c>
      <c r="CC28" s="1"/>
    </row>
    <row r="29" spans="1:81">
      <c r="A29" s="1" t="s">
        <v>353</v>
      </c>
      <c r="B29" s="1" t="s">
        <v>354</v>
      </c>
      <c r="C29" s="1">
        <v>1610612764</v>
      </c>
      <c r="D29" s="1" t="s">
        <v>536</v>
      </c>
      <c r="E29" s="1" t="s">
        <v>537</v>
      </c>
      <c r="F29" s="1" t="s">
        <v>357</v>
      </c>
      <c r="G29" s="1" t="s">
        <v>451</v>
      </c>
      <c r="H29" s="1">
        <v>14</v>
      </c>
      <c r="I29" s="1" t="s">
        <v>359</v>
      </c>
      <c r="J29" s="1" t="s">
        <v>416</v>
      </c>
      <c r="K29" s="1" t="s">
        <v>366</v>
      </c>
      <c r="L29" s="1">
        <v>5</v>
      </c>
      <c r="M29" s="1">
        <v>2</v>
      </c>
      <c r="N29" s="1">
        <v>7</v>
      </c>
      <c r="O29" s="1">
        <v>0.222</v>
      </c>
      <c r="P29" s="1">
        <v>0</v>
      </c>
      <c r="Q29" s="1" t="s">
        <v>538</v>
      </c>
      <c r="R29" s="1" t="s">
        <v>451</v>
      </c>
      <c r="S29" s="1" t="s">
        <v>487</v>
      </c>
      <c r="T29" s="1" t="s">
        <v>539</v>
      </c>
      <c r="U29" s="1" t="s">
        <v>451</v>
      </c>
      <c r="V29" s="1" t="s">
        <v>487</v>
      </c>
      <c r="W29" s="1" t="s">
        <v>366</v>
      </c>
      <c r="X29" s="1" t="s">
        <v>393</v>
      </c>
      <c r="Y29" s="1" t="s">
        <v>431</v>
      </c>
      <c r="Z29" s="1">
        <v>-2</v>
      </c>
      <c r="AA29" s="1" t="s">
        <v>433</v>
      </c>
      <c r="AB29" s="1">
        <v>-3</v>
      </c>
      <c r="AC29" s="1" t="s">
        <v>453</v>
      </c>
      <c r="AD29" s="1">
        <v>1</v>
      </c>
      <c r="AE29" s="1">
        <v>3</v>
      </c>
      <c r="AF29" s="1">
        <v>-1</v>
      </c>
      <c r="AG29" s="1" t="s">
        <v>388</v>
      </c>
      <c r="AH29" s="1">
        <v>-3</v>
      </c>
      <c r="AI29" s="1" t="s">
        <v>453</v>
      </c>
      <c r="AJ29" s="1">
        <v>-3</v>
      </c>
      <c r="AK29" s="1" t="s">
        <v>453</v>
      </c>
      <c r="AL29" s="1">
        <v>6.5</v>
      </c>
      <c r="AM29" s="1">
        <v>4.5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391</v>
      </c>
      <c r="AT29" s="1" t="s">
        <v>477</v>
      </c>
      <c r="AU29" s="1" t="s">
        <v>440</v>
      </c>
      <c r="AV29" s="1" t="s">
        <v>391</v>
      </c>
      <c r="AW29" s="1" t="s">
        <v>501</v>
      </c>
      <c r="AX29" s="1" t="s">
        <v>366</v>
      </c>
      <c r="AY29" s="1" t="s">
        <v>520</v>
      </c>
      <c r="AZ29" s="1" t="s">
        <v>540</v>
      </c>
      <c r="BA29" s="1" t="s">
        <v>477</v>
      </c>
      <c r="BB29" s="1" t="s">
        <v>474</v>
      </c>
      <c r="BC29" s="1" t="s">
        <v>440</v>
      </c>
      <c r="BD29" s="1" t="s">
        <v>431</v>
      </c>
      <c r="BE29" s="1">
        <v>115.6</v>
      </c>
      <c r="BF29" s="1">
        <v>120</v>
      </c>
      <c r="BG29" s="1">
        <v>-4.4000000000000004</v>
      </c>
      <c r="BH29" s="1" t="s">
        <v>468</v>
      </c>
      <c r="BI29" s="1" t="s">
        <v>396</v>
      </c>
      <c r="BJ29" s="1" t="s">
        <v>479</v>
      </c>
      <c r="BK29" s="1" t="s">
        <v>380</v>
      </c>
      <c r="BL29" s="1" t="s">
        <v>517</v>
      </c>
      <c r="BM29" s="1" t="s">
        <v>399</v>
      </c>
      <c r="BN29" s="1" t="s">
        <v>380</v>
      </c>
      <c r="BO29" s="1" t="s">
        <v>531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468</v>
      </c>
      <c r="BZ29" s="1" t="s">
        <v>468</v>
      </c>
      <c r="CA29" s="1"/>
      <c r="CB29" s="1" t="s">
        <v>538</v>
      </c>
      <c r="CC29" s="1"/>
    </row>
    <row r="30" spans="1:81">
      <c r="A30" s="1" t="s">
        <v>353</v>
      </c>
      <c r="B30" s="1" t="s">
        <v>354</v>
      </c>
      <c r="C30" s="1">
        <v>1610612752</v>
      </c>
      <c r="D30" s="1" t="s">
        <v>541</v>
      </c>
      <c r="E30" s="1" t="s">
        <v>542</v>
      </c>
      <c r="F30" s="1" t="s">
        <v>357</v>
      </c>
      <c r="G30" s="1" t="s">
        <v>520</v>
      </c>
      <c r="H30" s="1">
        <v>15</v>
      </c>
      <c r="I30" s="1" t="s">
        <v>359</v>
      </c>
      <c r="J30" s="1" t="s">
        <v>360</v>
      </c>
      <c r="K30" s="1" t="s">
        <v>492</v>
      </c>
      <c r="L30" s="1">
        <v>5</v>
      </c>
      <c r="M30" s="1">
        <v>2</v>
      </c>
      <c r="N30" s="1">
        <v>9</v>
      </c>
      <c r="O30" s="1">
        <v>0.182</v>
      </c>
      <c r="P30" s="1">
        <v>0</v>
      </c>
      <c r="Q30" s="1" t="s">
        <v>543</v>
      </c>
      <c r="R30" s="1" t="s">
        <v>451</v>
      </c>
      <c r="S30" s="1" t="s">
        <v>476</v>
      </c>
      <c r="T30" s="1" t="s">
        <v>535</v>
      </c>
      <c r="U30" s="1" t="s">
        <v>451</v>
      </c>
      <c r="V30" s="1" t="s">
        <v>476</v>
      </c>
      <c r="W30" s="1" t="s">
        <v>366</v>
      </c>
      <c r="X30" s="1" t="s">
        <v>440</v>
      </c>
      <c r="Y30" s="1" t="s">
        <v>501</v>
      </c>
      <c r="Z30" s="1">
        <v>-2</v>
      </c>
      <c r="AA30" s="1" t="s">
        <v>433</v>
      </c>
      <c r="AB30" s="1">
        <v>-5</v>
      </c>
      <c r="AC30" s="1" t="s">
        <v>529</v>
      </c>
      <c r="AD30" s="1">
        <v>1</v>
      </c>
      <c r="AE30" s="1">
        <v>4</v>
      </c>
      <c r="AF30" s="1">
        <v>-2</v>
      </c>
      <c r="AG30" s="1" t="s">
        <v>433</v>
      </c>
      <c r="AH30" s="1">
        <v>-1</v>
      </c>
      <c r="AI30" s="1" t="s">
        <v>388</v>
      </c>
      <c r="AJ30" s="1">
        <v>-2</v>
      </c>
      <c r="AK30" s="1" t="s">
        <v>433</v>
      </c>
      <c r="AL30" s="1">
        <v>7.5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451</v>
      </c>
      <c r="AT30" s="1" t="s">
        <v>476</v>
      </c>
      <c r="AU30" s="1" t="s">
        <v>366</v>
      </c>
      <c r="AV30" s="1" t="s">
        <v>373</v>
      </c>
      <c r="AW30" s="1" t="s">
        <v>520</v>
      </c>
      <c r="AX30" s="1" t="s">
        <v>440</v>
      </c>
      <c r="AY30" s="1" t="s">
        <v>488</v>
      </c>
      <c r="AZ30" s="1" t="s">
        <v>544</v>
      </c>
      <c r="BA30" s="1" t="s">
        <v>451</v>
      </c>
      <c r="BB30" s="1" t="s">
        <v>367</v>
      </c>
      <c r="BC30" s="1" t="s">
        <v>431</v>
      </c>
      <c r="BD30" s="1" t="s">
        <v>497</v>
      </c>
      <c r="BE30" s="1">
        <v>99.5</v>
      </c>
      <c r="BF30" s="1">
        <v>110.3</v>
      </c>
      <c r="BG30" s="1">
        <v>-10.8</v>
      </c>
      <c r="BH30" s="1" t="s">
        <v>545</v>
      </c>
      <c r="BI30" s="1" t="s">
        <v>531</v>
      </c>
      <c r="BJ30" s="1" t="s">
        <v>468</v>
      </c>
      <c r="BK30" s="1" t="s">
        <v>396</v>
      </c>
      <c r="BL30" s="1" t="s">
        <v>479</v>
      </c>
      <c r="BM30" s="1" t="s">
        <v>380</v>
      </c>
      <c r="BN30" s="1" t="s">
        <v>396</v>
      </c>
      <c r="BO30" s="1" t="s">
        <v>399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517</v>
      </c>
      <c r="BZ30" s="1" t="s">
        <v>514</v>
      </c>
      <c r="CA30" s="1"/>
      <c r="CB30" s="1" t="s">
        <v>543</v>
      </c>
      <c r="CC30" s="1"/>
    </row>
    <row r="31" spans="1:81">
      <c r="A31" s="1" t="s">
        <v>353</v>
      </c>
      <c r="B31" s="1" t="s">
        <v>354</v>
      </c>
      <c r="C31" s="1">
        <v>1610612744</v>
      </c>
      <c r="D31" s="1" t="s">
        <v>546</v>
      </c>
      <c r="E31" s="1" t="s">
        <v>547</v>
      </c>
      <c r="F31" s="1" t="s">
        <v>384</v>
      </c>
      <c r="G31" s="1" t="s">
        <v>535</v>
      </c>
      <c r="H31" s="1">
        <v>15</v>
      </c>
      <c r="I31" s="1" t="s">
        <v>359</v>
      </c>
      <c r="J31" s="1" t="s">
        <v>385</v>
      </c>
      <c r="K31" s="1" t="s">
        <v>393</v>
      </c>
      <c r="L31" s="1">
        <v>5</v>
      </c>
      <c r="M31" s="1">
        <v>2</v>
      </c>
      <c r="N31" s="1">
        <v>9</v>
      </c>
      <c r="O31" s="1">
        <v>0.182</v>
      </c>
      <c r="P31" s="1">
        <v>0</v>
      </c>
      <c r="Q31" s="1" t="s">
        <v>543</v>
      </c>
      <c r="R31" s="1" t="s">
        <v>497</v>
      </c>
      <c r="S31" s="1" t="s">
        <v>487</v>
      </c>
      <c r="T31" s="1" t="s">
        <v>535</v>
      </c>
      <c r="U31" s="1" t="s">
        <v>497</v>
      </c>
      <c r="V31" s="1" t="s">
        <v>487</v>
      </c>
      <c r="W31" s="1" t="s">
        <v>440</v>
      </c>
      <c r="X31" s="1" t="s">
        <v>366</v>
      </c>
      <c r="Y31" s="1" t="s">
        <v>476</v>
      </c>
      <c r="Z31" s="1">
        <v>-4</v>
      </c>
      <c r="AA31" s="1" t="s">
        <v>458</v>
      </c>
      <c r="AB31" s="1">
        <v>-3</v>
      </c>
      <c r="AC31" s="1" t="s">
        <v>453</v>
      </c>
      <c r="AD31" s="1">
        <v>1</v>
      </c>
      <c r="AE31" s="1">
        <v>4</v>
      </c>
      <c r="AF31" s="1">
        <v>-1</v>
      </c>
      <c r="AG31" s="1" t="s">
        <v>388</v>
      </c>
      <c r="AH31" s="1">
        <v>-3</v>
      </c>
      <c r="AI31" s="1" t="s">
        <v>453</v>
      </c>
      <c r="AJ31" s="1">
        <v>-4</v>
      </c>
      <c r="AK31" s="1" t="s">
        <v>458</v>
      </c>
      <c r="AL31" s="1">
        <v>6.5</v>
      </c>
      <c r="AM31" s="1">
        <v>6.5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410</v>
      </c>
      <c r="AT31" s="1" t="s">
        <v>520</v>
      </c>
      <c r="AU31" s="1" t="s">
        <v>366</v>
      </c>
      <c r="AV31" s="1" t="s">
        <v>407</v>
      </c>
      <c r="AW31" s="1" t="s">
        <v>501</v>
      </c>
      <c r="AX31" s="1" t="s">
        <v>440</v>
      </c>
      <c r="AY31" s="1" t="s">
        <v>539</v>
      </c>
      <c r="AZ31" s="1" t="s">
        <v>535</v>
      </c>
      <c r="BA31" s="1" t="s">
        <v>476</v>
      </c>
      <c r="BB31" s="1" t="s">
        <v>391</v>
      </c>
      <c r="BC31" s="1" t="s">
        <v>431</v>
      </c>
      <c r="BD31" s="1" t="s">
        <v>477</v>
      </c>
      <c r="BE31" s="1">
        <v>111.7</v>
      </c>
      <c r="BF31" s="1">
        <v>121.2</v>
      </c>
      <c r="BG31" s="1">
        <v>-9.5</v>
      </c>
      <c r="BH31" s="1" t="s">
        <v>396</v>
      </c>
      <c r="BI31" s="1" t="s">
        <v>380</v>
      </c>
      <c r="BJ31" s="1" t="s">
        <v>380</v>
      </c>
      <c r="BK31" s="1" t="s">
        <v>396</v>
      </c>
      <c r="BL31" s="1" t="s">
        <v>534</v>
      </c>
      <c r="BM31" s="1" t="s">
        <v>517</v>
      </c>
      <c r="BN31" s="1" t="s">
        <v>424</v>
      </c>
      <c r="BO31" s="1" t="s">
        <v>479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468</v>
      </c>
      <c r="BZ31" s="1" t="s">
        <v>548</v>
      </c>
      <c r="CA31" s="1"/>
      <c r="CB31" s="1" t="s">
        <v>543</v>
      </c>
      <c r="CC31" s="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9E9B6-03A3-4A80-A01F-BFEDF22E8C23}">
  <sheetPr codeName="Sheet8"/>
  <dimension ref="A1:CC31"/>
  <sheetViews>
    <sheetView workbookViewId="0"/>
  </sheetViews>
  <sheetFormatPr defaultRowHeight="14.5"/>
  <cols>
    <col min="1" max="1" width="10.453125" customWidth="1"/>
    <col min="2" max="2" width="10.54296875" customWidth="1"/>
    <col min="3" max="3" width="9.26953125" customWidth="1"/>
    <col min="4" max="4" width="10.6328125" customWidth="1"/>
    <col min="5" max="6" width="12.36328125" customWidth="1"/>
    <col min="7" max="7" width="18.1796875" customWidth="1"/>
    <col min="8" max="8" width="12.81640625" customWidth="1"/>
    <col min="9" max="9" width="15.36328125" customWidth="1"/>
    <col min="10" max="10" width="9.36328125" customWidth="1"/>
    <col min="11" max="11" width="15.1796875" customWidth="1"/>
    <col min="12" max="12" width="13.54296875" customWidth="1"/>
    <col min="15" max="15" width="9.36328125" customWidth="1"/>
    <col min="16" max="16" width="12.81640625" customWidth="1"/>
    <col min="21" max="21" width="13.1796875" customWidth="1"/>
    <col min="22" max="22" width="12.453125" customWidth="1"/>
    <col min="24" max="24" width="16.1796875" customWidth="1"/>
    <col min="25" max="25" width="15.54296875" customWidth="1"/>
    <col min="26" max="26" width="17.08984375" customWidth="1"/>
    <col min="27" max="27" width="19.36328125" customWidth="1"/>
    <col min="28" max="28" width="16.36328125" customWidth="1"/>
    <col min="29" max="29" width="18.6328125" customWidth="1"/>
    <col min="30" max="30" width="15.453125" customWidth="1"/>
    <col min="31" max="31" width="15.6328125" customWidth="1"/>
    <col min="32" max="32" width="19.6328125" customWidth="1"/>
    <col min="33" max="33" width="21.90625" customWidth="1"/>
    <col min="34" max="34" width="18.90625" customWidth="1"/>
    <col min="35" max="35" width="21.1796875" customWidth="1"/>
    <col min="36" max="36" width="14.6328125" customWidth="1"/>
    <col min="37" max="37" width="16.90625" customWidth="1"/>
    <col min="38" max="38" width="22" customWidth="1"/>
    <col min="39" max="39" width="19" customWidth="1"/>
    <col min="40" max="40" width="23.08984375" customWidth="1"/>
    <col min="41" max="41" width="20.08984375" customWidth="1"/>
    <col min="42" max="42" width="19.81640625" customWidth="1"/>
    <col min="43" max="43" width="21.26953125" customWidth="1"/>
    <col min="44" max="44" width="18.26953125" customWidth="1"/>
    <col min="45" max="45" width="13.453125" customWidth="1"/>
    <col min="46" max="46" width="13.90625" customWidth="1"/>
    <col min="47" max="47" width="11.6328125" customWidth="1"/>
    <col min="48" max="48" width="14.453125" customWidth="1"/>
    <col min="49" max="49" width="14.90625" customWidth="1"/>
    <col min="50" max="50" width="12.6328125" customWidth="1"/>
    <col min="51" max="51" width="13.36328125" customWidth="1"/>
    <col min="52" max="52" width="16.90625" customWidth="1"/>
    <col min="53" max="53" width="13.36328125" customWidth="1"/>
    <col min="54" max="54" width="13.7265625" customWidth="1"/>
    <col min="55" max="55" width="11.54296875" customWidth="1"/>
    <col min="56" max="56" width="16.36328125" customWidth="1"/>
    <col min="57" max="57" width="10.453125" customWidth="1"/>
    <col min="58" max="58" width="14" customWidth="1"/>
    <col min="59" max="59" width="13.453125" customWidth="1"/>
    <col min="61" max="61" width="11" customWidth="1"/>
    <col min="62" max="62" width="10.6328125" customWidth="1"/>
    <col min="63" max="63" width="13" customWidth="1"/>
    <col min="64" max="64" width="8.90625" customWidth="1"/>
    <col min="65" max="65" width="13.453125" customWidth="1"/>
    <col min="66" max="66" width="9.81640625" customWidth="1"/>
    <col min="67" max="67" width="13.453125" customWidth="1"/>
  </cols>
  <sheetData>
    <row r="1" spans="1:81">
      <c r="A1" s="1" t="s">
        <v>272</v>
      </c>
      <c r="B1" s="1" t="s">
        <v>273</v>
      </c>
      <c r="C1" s="1" t="s">
        <v>274</v>
      </c>
      <c r="D1" s="1" t="s">
        <v>275</v>
      </c>
      <c r="E1" s="1" t="s">
        <v>276</v>
      </c>
      <c r="F1" s="1" t="s">
        <v>277</v>
      </c>
      <c r="G1" s="1" t="s">
        <v>278</v>
      </c>
      <c r="H1" s="1" t="s">
        <v>279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292</v>
      </c>
      <c r="V1" s="1" t="s">
        <v>293</v>
      </c>
      <c r="W1" s="1" t="s">
        <v>294</v>
      </c>
      <c r="X1" s="1" t="s">
        <v>295</v>
      </c>
      <c r="Y1" s="1" t="s">
        <v>296</v>
      </c>
      <c r="Z1" s="1" t="s">
        <v>297</v>
      </c>
      <c r="AA1" s="1" t="s">
        <v>298</v>
      </c>
      <c r="AB1" s="1" t="s">
        <v>299</v>
      </c>
      <c r="AC1" s="1" t="s">
        <v>300</v>
      </c>
      <c r="AD1" s="1" t="s">
        <v>301</v>
      </c>
      <c r="AE1" s="1" t="s">
        <v>302</v>
      </c>
      <c r="AF1" s="1" t="s">
        <v>303</v>
      </c>
      <c r="AG1" s="1" t="s">
        <v>304</v>
      </c>
      <c r="AH1" s="1" t="s">
        <v>305</v>
      </c>
      <c r="AI1" s="1" t="s">
        <v>306</v>
      </c>
      <c r="AJ1" s="1" t="s">
        <v>307</v>
      </c>
      <c r="AK1" s="1" t="s">
        <v>308</v>
      </c>
      <c r="AL1" s="1" t="s">
        <v>309</v>
      </c>
      <c r="AM1" s="1" t="s">
        <v>310</v>
      </c>
      <c r="AN1" s="1" t="s">
        <v>311</v>
      </c>
      <c r="AO1" s="1" t="s">
        <v>312</v>
      </c>
      <c r="AP1" s="1" t="s">
        <v>313</v>
      </c>
      <c r="AQ1" s="1" t="s">
        <v>314</v>
      </c>
      <c r="AR1" s="1" t="s">
        <v>315</v>
      </c>
      <c r="AS1" s="1" t="s">
        <v>316</v>
      </c>
      <c r="AT1" s="1" t="s">
        <v>317</v>
      </c>
      <c r="AU1" s="1" t="s">
        <v>318</v>
      </c>
      <c r="AV1" s="1" t="s">
        <v>319</v>
      </c>
      <c r="AW1" s="1" t="s">
        <v>320</v>
      </c>
      <c r="AX1" s="1" t="s">
        <v>321</v>
      </c>
      <c r="AY1" s="1" t="s">
        <v>322</v>
      </c>
      <c r="AZ1" s="1" t="s">
        <v>323</v>
      </c>
      <c r="BA1" s="1" t="s">
        <v>324</v>
      </c>
      <c r="BB1" s="1" t="s">
        <v>325</v>
      </c>
      <c r="BC1" s="1" t="s">
        <v>326</v>
      </c>
      <c r="BD1" s="1" t="s">
        <v>327</v>
      </c>
      <c r="BE1" s="1" t="s">
        <v>328</v>
      </c>
      <c r="BF1" s="1" t="s">
        <v>329</v>
      </c>
      <c r="BG1" s="1" t="s">
        <v>330</v>
      </c>
      <c r="BH1" s="1" t="s">
        <v>331</v>
      </c>
      <c r="BI1" s="1" t="s">
        <v>332</v>
      </c>
      <c r="BJ1" s="1" t="s">
        <v>333</v>
      </c>
      <c r="BK1" s="1" t="s">
        <v>334</v>
      </c>
      <c r="BL1" s="1" t="s">
        <v>335</v>
      </c>
      <c r="BM1" s="1" t="s">
        <v>336</v>
      </c>
      <c r="BN1" s="1" t="s">
        <v>337</v>
      </c>
      <c r="BO1" s="1" t="s">
        <v>338</v>
      </c>
      <c r="BP1" s="1" t="s">
        <v>339</v>
      </c>
      <c r="BQ1" s="1" t="s">
        <v>340</v>
      </c>
      <c r="BR1" s="1" t="s">
        <v>341</v>
      </c>
      <c r="BS1" s="1" t="s">
        <v>342</v>
      </c>
      <c r="BT1" s="1" t="s">
        <v>343</v>
      </c>
      <c r="BU1" s="1" t="s">
        <v>344</v>
      </c>
      <c r="BV1" s="1" t="s">
        <v>345</v>
      </c>
      <c r="BW1" s="1" t="s">
        <v>346</v>
      </c>
      <c r="BX1" s="1" t="s">
        <v>347</v>
      </c>
      <c r="BY1" s="1" t="s">
        <v>348</v>
      </c>
      <c r="BZ1" s="1" t="s">
        <v>349</v>
      </c>
      <c r="CA1" s="1" t="s">
        <v>350</v>
      </c>
      <c r="CB1" s="1" t="s">
        <v>351</v>
      </c>
      <c r="CC1" s="1" t="s">
        <v>352</v>
      </c>
    </row>
    <row r="2" spans="1:81">
      <c r="A2" s="1" t="s">
        <v>353</v>
      </c>
      <c r="B2" s="1" t="s">
        <v>549</v>
      </c>
      <c r="C2" s="1">
        <v>1610612749</v>
      </c>
      <c r="D2" s="1" t="s">
        <v>437</v>
      </c>
      <c r="E2" s="1" t="s">
        <v>438</v>
      </c>
      <c r="F2" s="1" t="s">
        <v>357</v>
      </c>
      <c r="G2" s="1" t="s">
        <v>550</v>
      </c>
      <c r="H2" s="1">
        <v>1</v>
      </c>
      <c r="I2" s="1" t="s">
        <v>551</v>
      </c>
      <c r="J2" s="1" t="s">
        <v>439</v>
      </c>
      <c r="K2" s="1" t="s">
        <v>552</v>
      </c>
      <c r="L2" s="1">
        <v>1</v>
      </c>
      <c r="M2" s="1">
        <v>60</v>
      </c>
      <c r="N2" s="1">
        <v>22</v>
      </c>
      <c r="O2" s="1">
        <v>0.73199999999999998</v>
      </c>
      <c r="P2" s="1">
        <v>0</v>
      </c>
      <c r="Q2" s="1" t="s">
        <v>553</v>
      </c>
      <c r="R2" s="1" t="s">
        <v>554</v>
      </c>
      <c r="S2" s="1" t="s">
        <v>555</v>
      </c>
      <c r="T2" s="1" t="s">
        <v>419</v>
      </c>
      <c r="U2" s="1" t="s">
        <v>419</v>
      </c>
      <c r="V2" s="1" t="s">
        <v>556</v>
      </c>
      <c r="W2" s="1" t="s">
        <v>451</v>
      </c>
      <c r="X2" s="1" t="s">
        <v>498</v>
      </c>
      <c r="Y2" s="1" t="s">
        <v>557</v>
      </c>
      <c r="Z2" s="1">
        <v>6</v>
      </c>
      <c r="AA2" s="1" t="s">
        <v>432</v>
      </c>
      <c r="AB2" s="1">
        <v>10</v>
      </c>
      <c r="AC2" s="1" t="s">
        <v>558</v>
      </c>
      <c r="AD2" s="1">
        <v>7</v>
      </c>
      <c r="AE2" s="1">
        <v>2</v>
      </c>
      <c r="AF2" s="1">
        <v>-1</v>
      </c>
      <c r="AG2" s="1" t="s">
        <v>388</v>
      </c>
      <c r="AH2" s="1">
        <v>2</v>
      </c>
      <c r="AI2" s="1" t="s">
        <v>441</v>
      </c>
      <c r="AJ2" s="1">
        <v>-1</v>
      </c>
      <c r="AK2" s="1" t="s">
        <v>388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559</v>
      </c>
      <c r="AT2" s="1" t="s">
        <v>560</v>
      </c>
      <c r="AU2" s="1" t="s">
        <v>366</v>
      </c>
      <c r="AV2" s="1" t="s">
        <v>561</v>
      </c>
      <c r="AW2" s="1" t="s">
        <v>562</v>
      </c>
      <c r="AX2" s="1" t="s">
        <v>373</v>
      </c>
      <c r="AY2" s="1" t="s">
        <v>563</v>
      </c>
      <c r="AZ2" s="1" t="s">
        <v>564</v>
      </c>
      <c r="BA2" s="1" t="s">
        <v>565</v>
      </c>
      <c r="BB2" s="1" t="s">
        <v>566</v>
      </c>
      <c r="BC2" s="1" t="s">
        <v>567</v>
      </c>
      <c r="BD2" s="1" t="s">
        <v>568</v>
      </c>
      <c r="BE2" s="1">
        <v>118.1</v>
      </c>
      <c r="BF2" s="1">
        <v>109.3</v>
      </c>
      <c r="BG2" s="1">
        <v>8.9</v>
      </c>
      <c r="BH2" s="1" t="s">
        <v>550</v>
      </c>
      <c r="BI2" s="1" t="s">
        <v>569</v>
      </c>
      <c r="BJ2" s="1" t="s">
        <v>570</v>
      </c>
      <c r="BK2" s="1" t="s">
        <v>569</v>
      </c>
      <c r="BL2" s="1" t="s">
        <v>571</v>
      </c>
      <c r="BM2" s="1" t="s">
        <v>467</v>
      </c>
      <c r="BN2" s="1" t="s">
        <v>467</v>
      </c>
      <c r="BO2" s="1" t="s">
        <v>386</v>
      </c>
      <c r="BP2" s="1" t="s">
        <v>572</v>
      </c>
      <c r="BQ2" s="1" t="s">
        <v>573</v>
      </c>
      <c r="BR2" s="1" t="s">
        <v>574</v>
      </c>
      <c r="BS2" s="1" t="s">
        <v>426</v>
      </c>
      <c r="BT2" s="1"/>
      <c r="BU2" s="1"/>
      <c r="BV2" s="1"/>
      <c r="BW2" s="1"/>
      <c r="BX2" s="1"/>
      <c r="BY2" s="1" t="s">
        <v>575</v>
      </c>
      <c r="BZ2" s="1" t="s">
        <v>576</v>
      </c>
      <c r="CA2" s="1" t="s">
        <v>577</v>
      </c>
      <c r="CB2" s="1" t="s">
        <v>578</v>
      </c>
      <c r="CC2" s="1" t="s">
        <v>579</v>
      </c>
    </row>
    <row r="3" spans="1:81">
      <c r="A3" s="1" t="s">
        <v>353</v>
      </c>
      <c r="B3" s="1" t="s">
        <v>549</v>
      </c>
      <c r="C3" s="1">
        <v>1610612744</v>
      </c>
      <c r="D3" s="1" t="s">
        <v>546</v>
      </c>
      <c r="E3" s="1" t="s">
        <v>547</v>
      </c>
      <c r="F3" s="1" t="s">
        <v>384</v>
      </c>
      <c r="G3" s="1" t="s">
        <v>580</v>
      </c>
      <c r="H3" s="1">
        <v>1</v>
      </c>
      <c r="I3" s="1" t="s">
        <v>581</v>
      </c>
      <c r="J3" s="1" t="s">
        <v>385</v>
      </c>
      <c r="K3" s="1" t="s">
        <v>582</v>
      </c>
      <c r="L3" s="1">
        <v>1</v>
      </c>
      <c r="M3" s="1">
        <v>57</v>
      </c>
      <c r="N3" s="1">
        <v>25</v>
      </c>
      <c r="O3" s="1">
        <v>0.69499999999999995</v>
      </c>
      <c r="P3" s="1">
        <v>0</v>
      </c>
      <c r="Q3" s="1" t="s">
        <v>583</v>
      </c>
      <c r="R3" s="1" t="s">
        <v>584</v>
      </c>
      <c r="S3" s="1" t="s">
        <v>555</v>
      </c>
      <c r="T3" s="1" t="s">
        <v>387</v>
      </c>
      <c r="U3" s="1" t="s">
        <v>419</v>
      </c>
      <c r="V3" s="1" t="s">
        <v>419</v>
      </c>
      <c r="W3" s="1" t="s">
        <v>477</v>
      </c>
      <c r="X3" s="1" t="s">
        <v>585</v>
      </c>
      <c r="Y3" s="1" t="s">
        <v>586</v>
      </c>
      <c r="Z3" s="1">
        <v>6</v>
      </c>
      <c r="AA3" s="1" t="s">
        <v>432</v>
      </c>
      <c r="AB3" s="1">
        <v>11</v>
      </c>
      <c r="AC3" s="1" t="s">
        <v>587</v>
      </c>
      <c r="AD3" s="1">
        <v>11</v>
      </c>
      <c r="AE3" s="1">
        <v>4</v>
      </c>
      <c r="AF3" s="1">
        <v>5</v>
      </c>
      <c r="AG3" s="1" t="s">
        <v>369</v>
      </c>
      <c r="AH3" s="1">
        <v>-1</v>
      </c>
      <c r="AI3" s="1" t="s">
        <v>388</v>
      </c>
      <c r="AJ3" s="1">
        <v>-1</v>
      </c>
      <c r="AK3" s="1" t="s">
        <v>388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588</v>
      </c>
      <c r="AT3" s="1" t="s">
        <v>589</v>
      </c>
      <c r="AU3" s="1" t="s">
        <v>404</v>
      </c>
      <c r="AV3" s="1" t="s">
        <v>590</v>
      </c>
      <c r="AW3" s="1" t="s">
        <v>591</v>
      </c>
      <c r="AX3" s="1" t="s">
        <v>440</v>
      </c>
      <c r="AY3" s="1" t="s">
        <v>592</v>
      </c>
      <c r="AZ3" s="1" t="s">
        <v>593</v>
      </c>
      <c r="BA3" s="1" t="s">
        <v>594</v>
      </c>
      <c r="BB3" s="1" t="s">
        <v>595</v>
      </c>
      <c r="BC3" s="1" t="s">
        <v>596</v>
      </c>
      <c r="BD3" s="1" t="s">
        <v>597</v>
      </c>
      <c r="BE3" s="1">
        <v>117.7</v>
      </c>
      <c r="BF3" s="1">
        <v>111.2</v>
      </c>
      <c r="BG3" s="1">
        <v>6.5</v>
      </c>
      <c r="BH3" s="1" t="s">
        <v>598</v>
      </c>
      <c r="BI3" s="1" t="s">
        <v>467</v>
      </c>
      <c r="BJ3" s="1" t="s">
        <v>386</v>
      </c>
      <c r="BK3" s="1" t="s">
        <v>386</v>
      </c>
      <c r="BL3" s="1" t="s">
        <v>580</v>
      </c>
      <c r="BM3" s="1" t="s">
        <v>599</v>
      </c>
      <c r="BN3" s="1" t="s">
        <v>600</v>
      </c>
      <c r="BO3" s="1" t="s">
        <v>601</v>
      </c>
      <c r="BP3" s="1" t="s">
        <v>602</v>
      </c>
      <c r="BQ3" s="1" t="s">
        <v>450</v>
      </c>
      <c r="BR3" s="1" t="s">
        <v>603</v>
      </c>
      <c r="BS3" s="1" t="s">
        <v>398</v>
      </c>
      <c r="BT3" s="1"/>
      <c r="BU3" s="1"/>
      <c r="BV3" s="1"/>
      <c r="BW3" s="1"/>
      <c r="BX3" s="1"/>
      <c r="BY3" s="1" t="s">
        <v>604</v>
      </c>
      <c r="BZ3" s="1" t="s">
        <v>605</v>
      </c>
      <c r="CA3" s="1" t="s">
        <v>606</v>
      </c>
      <c r="CB3" s="1" t="s">
        <v>607</v>
      </c>
      <c r="CC3" s="1" t="s">
        <v>608</v>
      </c>
    </row>
    <row r="4" spans="1:81">
      <c r="A4" s="1" t="s">
        <v>353</v>
      </c>
      <c r="B4" s="1" t="s">
        <v>549</v>
      </c>
      <c r="C4" s="1">
        <v>1610612761</v>
      </c>
      <c r="D4" s="1" t="s">
        <v>444</v>
      </c>
      <c r="E4" s="1" t="s">
        <v>445</v>
      </c>
      <c r="F4" s="1" t="s">
        <v>357</v>
      </c>
      <c r="G4" s="1" t="s">
        <v>609</v>
      </c>
      <c r="H4" s="1">
        <v>2</v>
      </c>
      <c r="I4" s="1" t="s">
        <v>610</v>
      </c>
      <c r="J4" s="1" t="s">
        <v>360</v>
      </c>
      <c r="K4" s="1" t="s">
        <v>611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612</v>
      </c>
      <c r="R4" s="1" t="s">
        <v>613</v>
      </c>
      <c r="S4" s="1" t="s">
        <v>614</v>
      </c>
      <c r="T4" s="1" t="s">
        <v>419</v>
      </c>
      <c r="U4" s="1" t="s">
        <v>419</v>
      </c>
      <c r="V4" s="1" t="s">
        <v>419</v>
      </c>
      <c r="W4" s="1" t="s">
        <v>459</v>
      </c>
      <c r="X4" s="1" t="s">
        <v>615</v>
      </c>
      <c r="Y4" s="1" t="s">
        <v>616</v>
      </c>
      <c r="Z4" s="1">
        <v>10</v>
      </c>
      <c r="AA4" s="1" t="s">
        <v>558</v>
      </c>
      <c r="AB4" s="1">
        <v>5</v>
      </c>
      <c r="AC4" s="1" t="s">
        <v>369</v>
      </c>
      <c r="AD4" s="1">
        <v>8</v>
      </c>
      <c r="AE4" s="1">
        <v>3</v>
      </c>
      <c r="AF4" s="1">
        <v>3</v>
      </c>
      <c r="AG4" s="1" t="s">
        <v>406</v>
      </c>
      <c r="AH4" s="1">
        <v>1</v>
      </c>
      <c r="AI4" s="1" t="s">
        <v>389</v>
      </c>
      <c r="AJ4" s="1">
        <v>2</v>
      </c>
      <c r="AK4" s="1" t="s">
        <v>441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617</v>
      </c>
      <c r="AT4" s="1" t="s">
        <v>618</v>
      </c>
      <c r="AU4" s="1" t="s">
        <v>440</v>
      </c>
      <c r="AV4" s="1" t="s">
        <v>619</v>
      </c>
      <c r="AW4" s="1" t="s">
        <v>620</v>
      </c>
      <c r="AX4" s="1" t="s">
        <v>367</v>
      </c>
      <c r="AY4" s="1" t="s">
        <v>621</v>
      </c>
      <c r="AZ4" s="1" t="s">
        <v>622</v>
      </c>
      <c r="BA4" s="1" t="s">
        <v>623</v>
      </c>
      <c r="BB4" s="1" t="s">
        <v>624</v>
      </c>
      <c r="BC4" s="1" t="s">
        <v>625</v>
      </c>
      <c r="BD4" s="1" t="s">
        <v>626</v>
      </c>
      <c r="BE4" s="1">
        <v>114.4</v>
      </c>
      <c r="BF4" s="1">
        <v>108.4</v>
      </c>
      <c r="BG4" s="1">
        <v>6.1</v>
      </c>
      <c r="BH4" s="1" t="s">
        <v>609</v>
      </c>
      <c r="BI4" s="1" t="s">
        <v>627</v>
      </c>
      <c r="BJ4" s="1" t="s">
        <v>601</v>
      </c>
      <c r="BK4" s="1" t="s">
        <v>628</v>
      </c>
      <c r="BL4" s="1" t="s">
        <v>598</v>
      </c>
      <c r="BM4" s="1" t="s">
        <v>467</v>
      </c>
      <c r="BN4" s="1" t="s">
        <v>629</v>
      </c>
      <c r="BO4" s="1" t="s">
        <v>467</v>
      </c>
      <c r="BP4" s="1" t="s">
        <v>606</v>
      </c>
      <c r="BQ4" s="1" t="s">
        <v>604</v>
      </c>
      <c r="BR4" s="1" t="s">
        <v>630</v>
      </c>
      <c r="BS4" s="1" t="s">
        <v>425</v>
      </c>
      <c r="BT4" s="1"/>
      <c r="BU4" s="1"/>
      <c r="BV4" s="1"/>
      <c r="BW4" s="1"/>
      <c r="BX4" s="1"/>
      <c r="BY4" s="1" t="s">
        <v>377</v>
      </c>
      <c r="BZ4" s="1" t="s">
        <v>572</v>
      </c>
      <c r="CA4" s="1" t="s">
        <v>631</v>
      </c>
      <c r="CB4" s="1" t="s">
        <v>632</v>
      </c>
      <c r="CC4" s="1" t="s">
        <v>633</v>
      </c>
    </row>
    <row r="5" spans="1:81">
      <c r="A5" s="1" t="s">
        <v>353</v>
      </c>
      <c r="B5" s="1" t="s">
        <v>549</v>
      </c>
      <c r="C5" s="1">
        <v>1610612743</v>
      </c>
      <c r="D5" s="1" t="s">
        <v>446</v>
      </c>
      <c r="E5" s="1" t="s">
        <v>447</v>
      </c>
      <c r="F5" s="1" t="s">
        <v>384</v>
      </c>
      <c r="G5" s="1" t="s">
        <v>634</v>
      </c>
      <c r="H5" s="1">
        <v>2</v>
      </c>
      <c r="I5" s="1" t="s">
        <v>635</v>
      </c>
      <c r="J5" s="1" t="s">
        <v>430</v>
      </c>
      <c r="K5" s="1" t="s">
        <v>611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636</v>
      </c>
      <c r="R5" s="1" t="s">
        <v>637</v>
      </c>
      <c r="S5" s="1" t="s">
        <v>638</v>
      </c>
      <c r="T5" s="1" t="s">
        <v>556</v>
      </c>
      <c r="U5" s="1" t="s">
        <v>419</v>
      </c>
      <c r="V5" s="1" t="s">
        <v>475</v>
      </c>
      <c r="W5" s="1" t="s">
        <v>392</v>
      </c>
      <c r="X5" s="1" t="s">
        <v>582</v>
      </c>
      <c r="Y5" s="1" t="s">
        <v>639</v>
      </c>
      <c r="Z5" s="1">
        <v>12</v>
      </c>
      <c r="AA5" s="1" t="s">
        <v>640</v>
      </c>
      <c r="AB5" s="1">
        <v>5</v>
      </c>
      <c r="AC5" s="1" t="s">
        <v>369</v>
      </c>
      <c r="AD5" s="1">
        <v>7</v>
      </c>
      <c r="AE5" s="1">
        <v>4</v>
      </c>
      <c r="AF5" s="1">
        <v>3</v>
      </c>
      <c r="AG5" s="1" t="s">
        <v>406</v>
      </c>
      <c r="AH5" s="1">
        <v>-3</v>
      </c>
      <c r="AI5" s="1" t="s">
        <v>453</v>
      </c>
      <c r="AJ5" s="1">
        <v>1</v>
      </c>
      <c r="AK5" s="1" t="s">
        <v>389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641</v>
      </c>
      <c r="AT5" s="1" t="s">
        <v>642</v>
      </c>
      <c r="AU5" s="1" t="s">
        <v>440</v>
      </c>
      <c r="AV5" s="1" t="s">
        <v>643</v>
      </c>
      <c r="AW5" s="1" t="s">
        <v>644</v>
      </c>
      <c r="AX5" s="1" t="s">
        <v>364</v>
      </c>
      <c r="AY5" s="1" t="s">
        <v>645</v>
      </c>
      <c r="AZ5" s="1" t="s">
        <v>646</v>
      </c>
      <c r="BA5" s="1" t="s">
        <v>647</v>
      </c>
      <c r="BB5" s="1" t="s">
        <v>648</v>
      </c>
      <c r="BC5" s="1" t="s">
        <v>649</v>
      </c>
      <c r="BD5" s="1" t="s">
        <v>650</v>
      </c>
      <c r="BE5" s="1">
        <v>110.7</v>
      </c>
      <c r="BF5" s="1">
        <v>106.7</v>
      </c>
      <c r="BG5" s="1">
        <v>4</v>
      </c>
      <c r="BH5" s="1" t="s">
        <v>571</v>
      </c>
      <c r="BI5" s="1" t="s">
        <v>417</v>
      </c>
      <c r="BJ5" s="1" t="s">
        <v>467</v>
      </c>
      <c r="BK5" s="1" t="s">
        <v>417</v>
      </c>
      <c r="BL5" s="1" t="s">
        <v>634</v>
      </c>
      <c r="BM5" s="1" t="s">
        <v>627</v>
      </c>
      <c r="BN5" s="1" t="s">
        <v>599</v>
      </c>
      <c r="BO5" s="1" t="s">
        <v>601</v>
      </c>
      <c r="BP5" s="1" t="s">
        <v>627</v>
      </c>
      <c r="BQ5" s="1" t="s">
        <v>450</v>
      </c>
      <c r="BR5" s="1" t="s">
        <v>630</v>
      </c>
      <c r="BS5" s="1" t="s">
        <v>423</v>
      </c>
      <c r="BT5" s="1"/>
      <c r="BU5" s="1"/>
      <c r="BV5" s="1"/>
      <c r="BW5" s="1"/>
      <c r="BX5" s="1"/>
      <c r="BY5" s="1" t="s">
        <v>469</v>
      </c>
      <c r="BZ5" s="1" t="s">
        <v>630</v>
      </c>
      <c r="CA5" s="1" t="s">
        <v>651</v>
      </c>
      <c r="CB5" s="1" t="s">
        <v>652</v>
      </c>
      <c r="CC5" s="1" t="s">
        <v>653</v>
      </c>
    </row>
    <row r="6" spans="1:81">
      <c r="A6" s="1" t="s">
        <v>353</v>
      </c>
      <c r="B6" s="1" t="s">
        <v>549</v>
      </c>
      <c r="C6" s="1">
        <v>1610612757</v>
      </c>
      <c r="D6" s="1" t="s">
        <v>510</v>
      </c>
      <c r="E6" s="1" t="s">
        <v>511</v>
      </c>
      <c r="F6" s="1" t="s">
        <v>384</v>
      </c>
      <c r="G6" s="1" t="s">
        <v>654</v>
      </c>
      <c r="H6" s="1">
        <v>3</v>
      </c>
      <c r="I6" s="1" t="s">
        <v>655</v>
      </c>
      <c r="J6" s="1" t="s">
        <v>430</v>
      </c>
      <c r="K6" s="1" t="s">
        <v>656</v>
      </c>
      <c r="L6" s="1">
        <v>2</v>
      </c>
      <c r="M6" s="1">
        <v>53</v>
      </c>
      <c r="N6" s="1">
        <v>29</v>
      </c>
      <c r="O6" s="1">
        <v>0.64600000000000002</v>
      </c>
      <c r="P6" s="1">
        <v>0</v>
      </c>
      <c r="Q6" s="1" t="s">
        <v>657</v>
      </c>
      <c r="R6" s="1" t="s">
        <v>613</v>
      </c>
      <c r="S6" s="1" t="s">
        <v>658</v>
      </c>
      <c r="T6" s="1" t="s">
        <v>387</v>
      </c>
      <c r="U6" s="1" t="s">
        <v>365</v>
      </c>
      <c r="V6" s="1" t="s">
        <v>452</v>
      </c>
      <c r="W6" s="1" t="s">
        <v>395</v>
      </c>
      <c r="X6" s="1" t="s">
        <v>475</v>
      </c>
      <c r="Y6" s="1" t="s">
        <v>659</v>
      </c>
      <c r="Z6" s="1">
        <v>8</v>
      </c>
      <c r="AA6" s="1" t="s">
        <v>660</v>
      </c>
      <c r="AB6" s="1">
        <v>-6</v>
      </c>
      <c r="AC6" s="1" t="s">
        <v>661</v>
      </c>
      <c r="AD6" s="1">
        <v>6</v>
      </c>
      <c r="AE6" s="1">
        <v>3</v>
      </c>
      <c r="AF6" s="1">
        <v>8</v>
      </c>
      <c r="AG6" s="1" t="s">
        <v>660</v>
      </c>
      <c r="AH6" s="1">
        <v>1</v>
      </c>
      <c r="AI6" s="1" t="s">
        <v>389</v>
      </c>
      <c r="AJ6" s="1">
        <v>3</v>
      </c>
      <c r="AK6" s="1" t="s">
        <v>406</v>
      </c>
      <c r="AL6" s="1">
        <v>4</v>
      </c>
      <c r="AM6" s="1">
        <v>1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662</v>
      </c>
      <c r="AT6" s="1" t="s">
        <v>663</v>
      </c>
      <c r="AU6" s="1" t="s">
        <v>391</v>
      </c>
      <c r="AV6" s="1" t="s">
        <v>664</v>
      </c>
      <c r="AW6" s="1" t="s">
        <v>665</v>
      </c>
      <c r="AX6" s="1" t="s">
        <v>366</v>
      </c>
      <c r="AY6" s="1" t="s">
        <v>666</v>
      </c>
      <c r="AZ6" s="1" t="s">
        <v>667</v>
      </c>
      <c r="BA6" s="1" t="s">
        <v>668</v>
      </c>
      <c r="BB6" s="1" t="s">
        <v>669</v>
      </c>
      <c r="BC6" s="1" t="s">
        <v>670</v>
      </c>
      <c r="BD6" s="1" t="s">
        <v>671</v>
      </c>
      <c r="BE6" s="1">
        <v>114.7</v>
      </c>
      <c r="BF6" s="1">
        <v>110.5</v>
      </c>
      <c r="BG6" s="1">
        <v>4.2</v>
      </c>
      <c r="BH6" s="1" t="s">
        <v>672</v>
      </c>
      <c r="BI6" s="1" t="s">
        <v>362</v>
      </c>
      <c r="BJ6" s="1" t="s">
        <v>386</v>
      </c>
      <c r="BK6" s="1" t="s">
        <v>417</v>
      </c>
      <c r="BL6" s="1" t="s">
        <v>654</v>
      </c>
      <c r="BM6" s="1" t="s">
        <v>673</v>
      </c>
      <c r="BN6" s="1" t="s">
        <v>599</v>
      </c>
      <c r="BO6" s="1" t="s">
        <v>674</v>
      </c>
      <c r="BP6" s="1" t="s">
        <v>675</v>
      </c>
      <c r="BQ6" s="1" t="s">
        <v>676</v>
      </c>
      <c r="BR6" s="1" t="s">
        <v>606</v>
      </c>
      <c r="BS6" s="1" t="s">
        <v>398</v>
      </c>
      <c r="BT6" s="1"/>
      <c r="BU6" s="1"/>
      <c r="BV6" s="1"/>
      <c r="BW6" s="1"/>
      <c r="BX6" s="1"/>
      <c r="BY6" s="1" t="s">
        <v>464</v>
      </c>
      <c r="BZ6" s="1" t="s">
        <v>631</v>
      </c>
      <c r="CA6" s="1" t="s">
        <v>631</v>
      </c>
      <c r="CB6" s="1" t="s">
        <v>677</v>
      </c>
      <c r="CC6" s="1" t="s">
        <v>678</v>
      </c>
    </row>
    <row r="7" spans="1:81">
      <c r="A7" s="1" t="s">
        <v>353</v>
      </c>
      <c r="B7" s="1" t="s">
        <v>549</v>
      </c>
      <c r="C7" s="1">
        <v>1610612755</v>
      </c>
      <c r="D7" s="1" t="s">
        <v>456</v>
      </c>
      <c r="E7" s="1" t="s">
        <v>457</v>
      </c>
      <c r="F7" s="1" t="s">
        <v>357</v>
      </c>
      <c r="G7" s="1" t="s">
        <v>679</v>
      </c>
      <c r="H7" s="1">
        <v>3</v>
      </c>
      <c r="I7" s="1" t="s">
        <v>655</v>
      </c>
      <c r="J7" s="1" t="s">
        <v>360</v>
      </c>
      <c r="K7" s="1" t="s">
        <v>680</v>
      </c>
      <c r="L7" s="1">
        <v>2</v>
      </c>
      <c r="M7" s="1">
        <v>51</v>
      </c>
      <c r="N7" s="1">
        <v>31</v>
      </c>
      <c r="O7" s="1">
        <v>0.622</v>
      </c>
      <c r="P7" s="1">
        <v>0</v>
      </c>
      <c r="Q7" s="1" t="s">
        <v>681</v>
      </c>
      <c r="R7" s="1" t="s">
        <v>682</v>
      </c>
      <c r="S7" s="1" t="s">
        <v>638</v>
      </c>
      <c r="T7" s="1" t="s">
        <v>475</v>
      </c>
      <c r="U7" s="1" t="s">
        <v>419</v>
      </c>
      <c r="V7" s="1" t="s">
        <v>475</v>
      </c>
      <c r="W7" s="1" t="s">
        <v>431</v>
      </c>
      <c r="X7" s="1" t="s">
        <v>683</v>
      </c>
      <c r="Y7" s="1" t="s">
        <v>684</v>
      </c>
      <c r="Z7" s="1">
        <v>10</v>
      </c>
      <c r="AA7" s="1" t="s">
        <v>558</v>
      </c>
      <c r="AB7" s="1">
        <v>-5</v>
      </c>
      <c r="AC7" s="1" t="s">
        <v>529</v>
      </c>
      <c r="AD7" s="1">
        <v>6</v>
      </c>
      <c r="AE7" s="1">
        <v>3</v>
      </c>
      <c r="AF7" s="1">
        <v>1</v>
      </c>
      <c r="AG7" s="1" t="s">
        <v>389</v>
      </c>
      <c r="AH7" s="1">
        <v>-1</v>
      </c>
      <c r="AI7" s="1" t="s">
        <v>388</v>
      </c>
      <c r="AJ7" s="1">
        <v>1</v>
      </c>
      <c r="AK7" s="1" t="s">
        <v>389</v>
      </c>
      <c r="AL7" s="1">
        <v>9</v>
      </c>
      <c r="AM7" s="1">
        <v>7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685</v>
      </c>
      <c r="AT7" s="1" t="s">
        <v>686</v>
      </c>
      <c r="AU7" s="1" t="s">
        <v>421</v>
      </c>
      <c r="AV7" s="1" t="s">
        <v>588</v>
      </c>
      <c r="AW7" s="1" t="s">
        <v>687</v>
      </c>
      <c r="AX7" s="1" t="s">
        <v>373</v>
      </c>
      <c r="AY7" s="1" t="s">
        <v>688</v>
      </c>
      <c r="AZ7" s="1" t="s">
        <v>689</v>
      </c>
      <c r="BA7" s="1" t="s">
        <v>690</v>
      </c>
      <c r="BB7" s="1" t="s">
        <v>649</v>
      </c>
      <c r="BC7" s="1" t="s">
        <v>607</v>
      </c>
      <c r="BD7" s="1" t="s">
        <v>691</v>
      </c>
      <c r="BE7" s="1">
        <v>115.2</v>
      </c>
      <c r="BF7" s="1">
        <v>112.5</v>
      </c>
      <c r="BG7" s="1">
        <v>2.7</v>
      </c>
      <c r="BH7" s="1" t="s">
        <v>679</v>
      </c>
      <c r="BI7" s="1" t="s">
        <v>692</v>
      </c>
      <c r="BJ7" s="1" t="s">
        <v>599</v>
      </c>
      <c r="BK7" s="1" t="s">
        <v>674</v>
      </c>
      <c r="BL7" s="1" t="s">
        <v>571</v>
      </c>
      <c r="BM7" s="1" t="s">
        <v>467</v>
      </c>
      <c r="BN7" s="1" t="s">
        <v>386</v>
      </c>
      <c r="BO7" s="1" t="s">
        <v>467</v>
      </c>
      <c r="BP7" s="1" t="s">
        <v>675</v>
      </c>
      <c r="BQ7" s="1" t="s">
        <v>467</v>
      </c>
      <c r="BR7" s="1" t="s">
        <v>603</v>
      </c>
      <c r="BS7" s="1" t="s">
        <v>480</v>
      </c>
      <c r="BT7" s="1"/>
      <c r="BU7" s="1"/>
      <c r="BV7" s="1"/>
      <c r="BW7" s="1"/>
      <c r="BX7" s="1"/>
      <c r="BY7" s="1" t="s">
        <v>693</v>
      </c>
      <c r="BZ7" s="1" t="s">
        <v>627</v>
      </c>
      <c r="CA7" s="1" t="s">
        <v>694</v>
      </c>
      <c r="CB7" s="1" t="s">
        <v>695</v>
      </c>
      <c r="CC7" s="1" t="s">
        <v>696</v>
      </c>
    </row>
    <row r="8" spans="1:81">
      <c r="A8" s="1" t="s">
        <v>353</v>
      </c>
      <c r="B8" s="1" t="s">
        <v>549</v>
      </c>
      <c r="C8" s="1">
        <v>1610612738</v>
      </c>
      <c r="D8" s="1" t="s">
        <v>355</v>
      </c>
      <c r="E8" s="1" t="s">
        <v>356</v>
      </c>
      <c r="F8" s="1" t="s">
        <v>357</v>
      </c>
      <c r="G8" s="1" t="s">
        <v>580</v>
      </c>
      <c r="H8" s="1">
        <v>4</v>
      </c>
      <c r="I8" s="1" t="s">
        <v>655</v>
      </c>
      <c r="J8" s="1" t="s">
        <v>360</v>
      </c>
      <c r="K8" s="1" t="s">
        <v>697</v>
      </c>
      <c r="L8" s="1">
        <v>3</v>
      </c>
      <c r="M8" s="1">
        <v>49</v>
      </c>
      <c r="N8" s="1">
        <v>33</v>
      </c>
      <c r="O8" s="1">
        <v>0.59799999999999998</v>
      </c>
      <c r="P8" s="1">
        <v>0</v>
      </c>
      <c r="Q8" s="1" t="s">
        <v>698</v>
      </c>
      <c r="R8" s="1" t="s">
        <v>699</v>
      </c>
      <c r="S8" s="1" t="s">
        <v>658</v>
      </c>
      <c r="T8" s="1" t="s">
        <v>452</v>
      </c>
      <c r="U8" s="1" t="s">
        <v>556</v>
      </c>
      <c r="V8" s="1" t="s">
        <v>452</v>
      </c>
      <c r="W8" s="1" t="s">
        <v>376</v>
      </c>
      <c r="X8" s="1" t="s">
        <v>498</v>
      </c>
      <c r="Y8" s="1" t="s">
        <v>700</v>
      </c>
      <c r="Z8" s="1">
        <v>10</v>
      </c>
      <c r="AA8" s="1" t="s">
        <v>558</v>
      </c>
      <c r="AB8" s="1">
        <v>4</v>
      </c>
      <c r="AC8" s="1" t="s">
        <v>370</v>
      </c>
      <c r="AD8" s="1">
        <v>8</v>
      </c>
      <c r="AE8" s="1">
        <v>4</v>
      </c>
      <c r="AF8" s="1">
        <v>-1</v>
      </c>
      <c r="AG8" s="1" t="s">
        <v>388</v>
      </c>
      <c r="AH8" s="1">
        <v>3</v>
      </c>
      <c r="AI8" s="1" t="s">
        <v>406</v>
      </c>
      <c r="AJ8" s="1">
        <v>1</v>
      </c>
      <c r="AK8" s="1" t="s">
        <v>389</v>
      </c>
      <c r="AL8" s="1">
        <v>11</v>
      </c>
      <c r="AM8" s="1">
        <v>9</v>
      </c>
      <c r="AN8" s="1">
        <v>0</v>
      </c>
      <c r="AO8" s="1">
        <v>0</v>
      </c>
      <c r="AP8" s="1">
        <v>1</v>
      </c>
      <c r="AQ8" s="1">
        <v>0</v>
      </c>
      <c r="AR8" s="1">
        <v>0</v>
      </c>
      <c r="AS8" s="1" t="s">
        <v>701</v>
      </c>
      <c r="AT8" s="1" t="s">
        <v>702</v>
      </c>
      <c r="AU8" s="1" t="s">
        <v>391</v>
      </c>
      <c r="AV8" s="1" t="s">
        <v>703</v>
      </c>
      <c r="AW8" s="1" t="s">
        <v>644</v>
      </c>
      <c r="AX8" s="1" t="s">
        <v>393</v>
      </c>
      <c r="AY8" s="1" t="s">
        <v>704</v>
      </c>
      <c r="AZ8" s="1" t="s">
        <v>705</v>
      </c>
      <c r="BA8" s="1" t="s">
        <v>706</v>
      </c>
      <c r="BB8" s="1" t="s">
        <v>707</v>
      </c>
      <c r="BC8" s="1" t="s">
        <v>568</v>
      </c>
      <c r="BD8" s="1" t="s">
        <v>708</v>
      </c>
      <c r="BE8" s="1">
        <v>112.4</v>
      </c>
      <c r="BF8" s="1">
        <v>108</v>
      </c>
      <c r="BG8" s="1">
        <v>4.4000000000000004</v>
      </c>
      <c r="BH8" s="1" t="s">
        <v>580</v>
      </c>
      <c r="BI8" s="1" t="s">
        <v>574</v>
      </c>
      <c r="BJ8" s="1" t="s">
        <v>569</v>
      </c>
      <c r="BK8" s="1" t="s">
        <v>599</v>
      </c>
      <c r="BL8" s="1" t="s">
        <v>709</v>
      </c>
      <c r="BM8" s="1" t="s">
        <v>473</v>
      </c>
      <c r="BN8" s="1" t="s">
        <v>710</v>
      </c>
      <c r="BO8" s="1" t="s">
        <v>710</v>
      </c>
      <c r="BP8" s="1" t="s">
        <v>675</v>
      </c>
      <c r="BQ8" s="1" t="s">
        <v>496</v>
      </c>
      <c r="BR8" s="1" t="s">
        <v>631</v>
      </c>
      <c r="BS8" s="1" t="s">
        <v>425</v>
      </c>
      <c r="BT8" s="1"/>
      <c r="BU8" s="1"/>
      <c r="BV8" s="1"/>
      <c r="BW8" s="1"/>
      <c r="BX8" s="1"/>
      <c r="BY8" s="1" t="s">
        <v>464</v>
      </c>
      <c r="BZ8" s="1" t="s">
        <v>711</v>
      </c>
      <c r="CA8" s="1" t="s">
        <v>603</v>
      </c>
      <c r="CB8" s="1" t="s">
        <v>695</v>
      </c>
      <c r="CC8" s="1" t="s">
        <v>712</v>
      </c>
    </row>
    <row r="9" spans="1:81">
      <c r="A9" s="1" t="s">
        <v>353</v>
      </c>
      <c r="B9" s="1" t="s">
        <v>549</v>
      </c>
      <c r="C9" s="1">
        <v>1610612745</v>
      </c>
      <c r="D9" s="1" t="s">
        <v>401</v>
      </c>
      <c r="E9" s="1" t="s">
        <v>402</v>
      </c>
      <c r="F9" s="1" t="s">
        <v>384</v>
      </c>
      <c r="G9" s="1" t="s">
        <v>713</v>
      </c>
      <c r="H9" s="1">
        <v>4</v>
      </c>
      <c r="I9" s="1" t="s">
        <v>714</v>
      </c>
      <c r="J9" s="1" t="s">
        <v>403</v>
      </c>
      <c r="K9" s="1" t="s">
        <v>697</v>
      </c>
      <c r="L9" s="1">
        <v>1</v>
      </c>
      <c r="M9" s="1">
        <v>53</v>
      </c>
      <c r="N9" s="1">
        <v>29</v>
      </c>
      <c r="O9" s="1">
        <v>0.64600000000000002</v>
      </c>
      <c r="P9" s="1">
        <v>0</v>
      </c>
      <c r="Q9" s="1" t="s">
        <v>657</v>
      </c>
      <c r="R9" s="1" t="s">
        <v>682</v>
      </c>
      <c r="S9" s="1" t="s">
        <v>715</v>
      </c>
      <c r="T9" s="1" t="s">
        <v>387</v>
      </c>
      <c r="U9" s="1" t="s">
        <v>365</v>
      </c>
      <c r="V9" s="1" t="s">
        <v>419</v>
      </c>
      <c r="W9" s="1" t="s">
        <v>474</v>
      </c>
      <c r="X9" s="1" t="s">
        <v>716</v>
      </c>
      <c r="Y9" s="1" t="s">
        <v>717</v>
      </c>
      <c r="Z9" s="1">
        <v>10</v>
      </c>
      <c r="AA9" s="1" t="s">
        <v>558</v>
      </c>
      <c r="AB9" s="1">
        <v>6</v>
      </c>
      <c r="AC9" s="1" t="s">
        <v>432</v>
      </c>
      <c r="AD9" s="1">
        <v>9</v>
      </c>
      <c r="AE9" s="1">
        <v>4</v>
      </c>
      <c r="AF9" s="1">
        <v>7</v>
      </c>
      <c r="AG9" s="1" t="s">
        <v>718</v>
      </c>
      <c r="AH9" s="1">
        <v>-1</v>
      </c>
      <c r="AI9" s="1" t="s">
        <v>388</v>
      </c>
      <c r="AJ9" s="1">
        <v>-1</v>
      </c>
      <c r="AK9" s="1" t="s">
        <v>388</v>
      </c>
      <c r="AL9" s="1">
        <v>4</v>
      </c>
      <c r="AM9" s="1">
        <v>0</v>
      </c>
      <c r="AN9" s="1">
        <v>0</v>
      </c>
      <c r="AO9" s="1">
        <v>1</v>
      </c>
      <c r="AP9" s="1">
        <v>1</v>
      </c>
      <c r="AQ9" s="1">
        <v>0</v>
      </c>
      <c r="AR9" s="1">
        <v>0</v>
      </c>
      <c r="AS9" s="1" t="s">
        <v>719</v>
      </c>
      <c r="AT9" s="1" t="s">
        <v>720</v>
      </c>
      <c r="AU9" s="1" t="s">
        <v>367</v>
      </c>
      <c r="AV9" s="1" t="s">
        <v>721</v>
      </c>
      <c r="AW9" s="1" t="s">
        <v>722</v>
      </c>
      <c r="AX9" s="1" t="s">
        <v>410</v>
      </c>
      <c r="AY9" s="1" t="s">
        <v>645</v>
      </c>
      <c r="AZ9" s="1" t="s">
        <v>723</v>
      </c>
      <c r="BA9" s="1" t="s">
        <v>623</v>
      </c>
      <c r="BB9" s="1" t="s">
        <v>724</v>
      </c>
      <c r="BC9" s="1" t="s">
        <v>725</v>
      </c>
      <c r="BD9" s="1" t="s">
        <v>726</v>
      </c>
      <c r="BE9" s="1">
        <v>113.9</v>
      </c>
      <c r="BF9" s="1">
        <v>109.1</v>
      </c>
      <c r="BG9" s="1">
        <v>4.8</v>
      </c>
      <c r="BH9" s="1" t="s">
        <v>727</v>
      </c>
      <c r="BI9" s="1" t="s">
        <v>386</v>
      </c>
      <c r="BJ9" s="1" t="s">
        <v>467</v>
      </c>
      <c r="BK9" s="1" t="s">
        <v>417</v>
      </c>
      <c r="BL9" s="1" t="s">
        <v>713</v>
      </c>
      <c r="BM9" s="1" t="s">
        <v>728</v>
      </c>
      <c r="BN9" s="1" t="s">
        <v>628</v>
      </c>
      <c r="BO9" s="1" t="s">
        <v>574</v>
      </c>
      <c r="BP9" s="1" t="s">
        <v>576</v>
      </c>
      <c r="BQ9" s="1" t="s">
        <v>651</v>
      </c>
      <c r="BR9" s="1" t="s">
        <v>572</v>
      </c>
      <c r="BS9" s="1" t="s">
        <v>425</v>
      </c>
      <c r="BT9" s="1"/>
      <c r="BU9" s="1"/>
      <c r="BV9" s="1"/>
      <c r="BW9" s="1"/>
      <c r="BX9" s="1"/>
      <c r="BY9" s="1" t="s">
        <v>514</v>
      </c>
      <c r="BZ9" s="1" t="s">
        <v>630</v>
      </c>
      <c r="CA9" s="1" t="s">
        <v>675</v>
      </c>
      <c r="CB9" s="1" t="s">
        <v>729</v>
      </c>
      <c r="CC9" s="1" t="s">
        <v>730</v>
      </c>
    </row>
    <row r="10" spans="1:81">
      <c r="A10" s="1" t="s">
        <v>353</v>
      </c>
      <c r="B10" s="1" t="s">
        <v>549</v>
      </c>
      <c r="C10" s="1">
        <v>1610612762</v>
      </c>
      <c r="D10" s="1" t="s">
        <v>427</v>
      </c>
      <c r="E10" s="1" t="s">
        <v>428</v>
      </c>
      <c r="F10" s="1" t="s">
        <v>384</v>
      </c>
      <c r="G10" s="1" t="s">
        <v>731</v>
      </c>
      <c r="H10" s="1">
        <v>5</v>
      </c>
      <c r="I10" s="1" t="s">
        <v>655</v>
      </c>
      <c r="J10" s="1" t="s">
        <v>430</v>
      </c>
      <c r="K10" s="1" t="s">
        <v>680</v>
      </c>
      <c r="L10" s="1">
        <v>3</v>
      </c>
      <c r="M10" s="1">
        <v>50</v>
      </c>
      <c r="N10" s="1">
        <v>32</v>
      </c>
      <c r="O10" s="1">
        <v>0.61</v>
      </c>
      <c r="P10" s="1">
        <v>0</v>
      </c>
      <c r="Q10" s="1" t="s">
        <v>732</v>
      </c>
      <c r="R10" s="1" t="s">
        <v>717</v>
      </c>
      <c r="S10" s="1" t="s">
        <v>658</v>
      </c>
      <c r="T10" s="1" t="s">
        <v>387</v>
      </c>
      <c r="U10" s="1" t="s">
        <v>387</v>
      </c>
      <c r="V10" s="1" t="s">
        <v>452</v>
      </c>
      <c r="W10" s="1" t="s">
        <v>393</v>
      </c>
      <c r="X10" s="1" t="s">
        <v>540</v>
      </c>
      <c r="Y10" s="1" t="s">
        <v>733</v>
      </c>
      <c r="Z10" s="1">
        <v>8</v>
      </c>
      <c r="AA10" s="1" t="s">
        <v>660</v>
      </c>
      <c r="AB10" s="1">
        <v>-5</v>
      </c>
      <c r="AC10" s="1" t="s">
        <v>529</v>
      </c>
      <c r="AD10" s="1">
        <v>7</v>
      </c>
      <c r="AE10" s="1">
        <v>4</v>
      </c>
      <c r="AF10" s="1">
        <v>8</v>
      </c>
      <c r="AG10" s="1" t="s">
        <v>660</v>
      </c>
      <c r="AH10" s="1">
        <v>-2</v>
      </c>
      <c r="AI10" s="1" t="s">
        <v>433</v>
      </c>
      <c r="AJ10" s="1">
        <v>-1</v>
      </c>
      <c r="AK10" s="1" t="s">
        <v>388</v>
      </c>
      <c r="AL10" s="1">
        <v>7</v>
      </c>
      <c r="AM10" s="1">
        <v>4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734</v>
      </c>
      <c r="AT10" s="1" t="s">
        <v>735</v>
      </c>
      <c r="AU10" s="1" t="s">
        <v>440</v>
      </c>
      <c r="AV10" s="1" t="s">
        <v>736</v>
      </c>
      <c r="AW10" s="1" t="s">
        <v>737</v>
      </c>
      <c r="AX10" s="1" t="s">
        <v>367</v>
      </c>
      <c r="AY10" s="1" t="s">
        <v>738</v>
      </c>
      <c r="AZ10" s="1" t="s">
        <v>739</v>
      </c>
      <c r="BA10" s="1" t="s">
        <v>740</v>
      </c>
      <c r="BB10" s="1" t="s">
        <v>741</v>
      </c>
      <c r="BC10" s="1" t="s">
        <v>701</v>
      </c>
      <c r="BD10" s="1" t="s">
        <v>742</v>
      </c>
      <c r="BE10" s="1">
        <v>111.7</v>
      </c>
      <c r="BF10" s="1">
        <v>106.5</v>
      </c>
      <c r="BG10" s="1">
        <v>5.3</v>
      </c>
      <c r="BH10" s="1" t="s">
        <v>571</v>
      </c>
      <c r="BI10" s="1" t="s">
        <v>467</v>
      </c>
      <c r="BJ10" s="1" t="s">
        <v>417</v>
      </c>
      <c r="BK10" s="1" t="s">
        <v>417</v>
      </c>
      <c r="BL10" s="1" t="s">
        <v>731</v>
      </c>
      <c r="BM10" s="1" t="s">
        <v>692</v>
      </c>
      <c r="BN10" s="1" t="s">
        <v>599</v>
      </c>
      <c r="BO10" s="1" t="s">
        <v>601</v>
      </c>
      <c r="BP10" s="1" t="s">
        <v>675</v>
      </c>
      <c r="BQ10" s="1" t="s">
        <v>676</v>
      </c>
      <c r="BR10" s="1" t="s">
        <v>675</v>
      </c>
      <c r="BS10" s="1" t="s">
        <v>413</v>
      </c>
      <c r="BT10" s="1"/>
      <c r="BU10" s="1"/>
      <c r="BV10" s="1"/>
      <c r="BW10" s="1"/>
      <c r="BX10" s="1"/>
      <c r="BY10" s="1" t="s">
        <v>436</v>
      </c>
      <c r="BZ10" s="1" t="s">
        <v>743</v>
      </c>
      <c r="CA10" s="1" t="s">
        <v>605</v>
      </c>
      <c r="CB10" s="1" t="s">
        <v>744</v>
      </c>
      <c r="CC10" s="1" t="s">
        <v>745</v>
      </c>
    </row>
    <row r="11" spans="1:81">
      <c r="A11" s="1" t="s">
        <v>353</v>
      </c>
      <c r="B11" s="1" t="s">
        <v>549</v>
      </c>
      <c r="C11" s="1">
        <v>1610612754</v>
      </c>
      <c r="D11" s="1" t="s">
        <v>465</v>
      </c>
      <c r="E11" s="1" t="s">
        <v>466</v>
      </c>
      <c r="F11" s="1" t="s">
        <v>357</v>
      </c>
      <c r="G11" s="1" t="s">
        <v>746</v>
      </c>
      <c r="H11" s="1">
        <v>5</v>
      </c>
      <c r="I11" s="1" t="s">
        <v>655</v>
      </c>
      <c r="J11" s="1" t="s">
        <v>439</v>
      </c>
      <c r="K11" s="1" t="s">
        <v>747</v>
      </c>
      <c r="L11" s="1">
        <v>2</v>
      </c>
      <c r="M11" s="1">
        <v>48</v>
      </c>
      <c r="N11" s="1">
        <v>34</v>
      </c>
      <c r="O11" s="1">
        <v>0.58499999999999996</v>
      </c>
      <c r="P11" s="1">
        <v>0</v>
      </c>
      <c r="Q11" s="1" t="s">
        <v>748</v>
      </c>
      <c r="R11" s="1" t="s">
        <v>717</v>
      </c>
      <c r="S11" s="1" t="s">
        <v>749</v>
      </c>
      <c r="T11" s="1" t="s">
        <v>475</v>
      </c>
      <c r="U11" s="1" t="s">
        <v>452</v>
      </c>
      <c r="V11" s="1" t="s">
        <v>535</v>
      </c>
      <c r="W11" s="1" t="s">
        <v>367</v>
      </c>
      <c r="X11" s="1" t="s">
        <v>750</v>
      </c>
      <c r="Y11" s="1" t="s">
        <v>751</v>
      </c>
      <c r="Z11" s="1">
        <v>5</v>
      </c>
      <c r="AA11" s="1" t="s">
        <v>369</v>
      </c>
      <c r="AB11" s="1">
        <v>-10</v>
      </c>
      <c r="AC11" s="1" t="s">
        <v>752</v>
      </c>
      <c r="AD11" s="1">
        <v>7</v>
      </c>
      <c r="AE11" s="1">
        <v>4</v>
      </c>
      <c r="AF11" s="1">
        <v>-2</v>
      </c>
      <c r="AG11" s="1" t="s">
        <v>433</v>
      </c>
      <c r="AH11" s="1">
        <v>2</v>
      </c>
      <c r="AI11" s="1" t="s">
        <v>441</v>
      </c>
      <c r="AJ11" s="1">
        <v>1</v>
      </c>
      <c r="AK11" s="1" t="s">
        <v>389</v>
      </c>
      <c r="AL11" s="1">
        <v>12</v>
      </c>
      <c r="AM11" s="1">
        <v>12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753</v>
      </c>
      <c r="AT11" s="1" t="s">
        <v>754</v>
      </c>
      <c r="AU11" s="1" t="s">
        <v>410</v>
      </c>
      <c r="AV11" s="1" t="s">
        <v>755</v>
      </c>
      <c r="AW11" s="1" t="s">
        <v>756</v>
      </c>
      <c r="AX11" s="1" t="s">
        <v>367</v>
      </c>
      <c r="AY11" s="1" t="s">
        <v>757</v>
      </c>
      <c r="AZ11" s="1" t="s">
        <v>758</v>
      </c>
      <c r="BA11" s="1" t="s">
        <v>759</v>
      </c>
      <c r="BB11" s="1" t="s">
        <v>760</v>
      </c>
      <c r="BC11" s="1" t="s">
        <v>761</v>
      </c>
      <c r="BD11" s="1" t="s">
        <v>762</v>
      </c>
      <c r="BE11" s="1">
        <v>108</v>
      </c>
      <c r="BF11" s="1">
        <v>104.7</v>
      </c>
      <c r="BG11" s="1">
        <v>3.3</v>
      </c>
      <c r="BH11" s="1" t="s">
        <v>746</v>
      </c>
      <c r="BI11" s="1" t="s">
        <v>763</v>
      </c>
      <c r="BJ11" s="1" t="s">
        <v>764</v>
      </c>
      <c r="BK11" s="1" t="s">
        <v>569</v>
      </c>
      <c r="BL11" s="1" t="s">
        <v>765</v>
      </c>
      <c r="BM11" s="1" t="s">
        <v>710</v>
      </c>
      <c r="BN11" s="1" t="s">
        <v>710</v>
      </c>
      <c r="BO11" s="1" t="s">
        <v>710</v>
      </c>
      <c r="BP11" s="1" t="s">
        <v>605</v>
      </c>
      <c r="BQ11" s="1" t="s">
        <v>766</v>
      </c>
      <c r="BR11" s="1" t="s">
        <v>767</v>
      </c>
      <c r="BS11" s="1" t="s">
        <v>426</v>
      </c>
      <c r="BT11" s="1"/>
      <c r="BU11" s="1"/>
      <c r="BV11" s="1"/>
      <c r="BW11" s="1"/>
      <c r="BX11" s="1"/>
      <c r="BY11" s="1" t="s">
        <v>435</v>
      </c>
      <c r="BZ11" s="1" t="s">
        <v>576</v>
      </c>
      <c r="CA11" s="1" t="s">
        <v>572</v>
      </c>
      <c r="CB11" s="1" t="s">
        <v>768</v>
      </c>
      <c r="CC11" s="1" t="s">
        <v>769</v>
      </c>
    </row>
    <row r="12" spans="1:81">
      <c r="A12" s="1" t="s">
        <v>353</v>
      </c>
      <c r="B12" s="1" t="s">
        <v>549</v>
      </c>
      <c r="C12" s="1">
        <v>1610612760</v>
      </c>
      <c r="D12" s="1" t="s">
        <v>521</v>
      </c>
      <c r="E12" s="1" t="s">
        <v>522</v>
      </c>
      <c r="F12" s="1" t="s">
        <v>384</v>
      </c>
      <c r="G12" s="1" t="s">
        <v>770</v>
      </c>
      <c r="H12" s="1">
        <v>6</v>
      </c>
      <c r="I12" s="1" t="s">
        <v>655</v>
      </c>
      <c r="J12" s="1" t="s">
        <v>430</v>
      </c>
      <c r="K12" s="1" t="s">
        <v>771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698</v>
      </c>
      <c r="R12" s="1" t="s">
        <v>555</v>
      </c>
      <c r="S12" s="1" t="s">
        <v>715</v>
      </c>
      <c r="T12" s="1" t="s">
        <v>419</v>
      </c>
      <c r="U12" s="1" t="s">
        <v>556</v>
      </c>
      <c r="V12" s="1" t="s">
        <v>556</v>
      </c>
      <c r="W12" s="1" t="s">
        <v>431</v>
      </c>
      <c r="X12" s="1" t="s">
        <v>772</v>
      </c>
      <c r="Y12" s="1" t="s">
        <v>773</v>
      </c>
      <c r="Z12" s="1">
        <v>7</v>
      </c>
      <c r="AA12" s="1" t="s">
        <v>718</v>
      </c>
      <c r="AB12" s="1">
        <v>4</v>
      </c>
      <c r="AC12" s="1" t="s">
        <v>370</v>
      </c>
      <c r="AD12" s="1">
        <v>7</v>
      </c>
      <c r="AE12" s="1">
        <v>4</v>
      </c>
      <c r="AF12" s="1">
        <v>3</v>
      </c>
      <c r="AG12" s="1" t="s">
        <v>406</v>
      </c>
      <c r="AH12" s="1">
        <v>2</v>
      </c>
      <c r="AI12" s="1" t="s">
        <v>441</v>
      </c>
      <c r="AJ12" s="1">
        <v>5</v>
      </c>
      <c r="AK12" s="1" t="s">
        <v>369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774</v>
      </c>
      <c r="AT12" s="1" t="s">
        <v>775</v>
      </c>
      <c r="AU12" s="1" t="s">
        <v>373</v>
      </c>
      <c r="AV12" s="1" t="s">
        <v>776</v>
      </c>
      <c r="AW12" s="1" t="s">
        <v>777</v>
      </c>
      <c r="AX12" s="1" t="s">
        <v>367</v>
      </c>
      <c r="AY12" s="1" t="s">
        <v>778</v>
      </c>
      <c r="AZ12" s="1" t="s">
        <v>779</v>
      </c>
      <c r="BA12" s="1" t="s">
        <v>780</v>
      </c>
      <c r="BB12" s="1" t="s">
        <v>781</v>
      </c>
      <c r="BC12" s="1" t="s">
        <v>717</v>
      </c>
      <c r="BD12" s="1" t="s">
        <v>782</v>
      </c>
      <c r="BE12" s="1">
        <v>114.5</v>
      </c>
      <c r="BF12" s="1">
        <v>111.1</v>
      </c>
      <c r="BG12" s="1">
        <v>3.4</v>
      </c>
      <c r="BH12" s="1" t="s">
        <v>727</v>
      </c>
      <c r="BI12" s="1" t="s">
        <v>467</v>
      </c>
      <c r="BJ12" s="1" t="s">
        <v>386</v>
      </c>
      <c r="BK12" s="1" t="s">
        <v>417</v>
      </c>
      <c r="BL12" s="1" t="s">
        <v>770</v>
      </c>
      <c r="BM12" s="1" t="s">
        <v>783</v>
      </c>
      <c r="BN12" s="1" t="s">
        <v>601</v>
      </c>
      <c r="BO12" s="1" t="s">
        <v>763</v>
      </c>
      <c r="BP12" s="1" t="s">
        <v>603</v>
      </c>
      <c r="BQ12" s="1" t="s">
        <v>784</v>
      </c>
      <c r="BR12" s="1" t="s">
        <v>673</v>
      </c>
      <c r="BS12" s="1" t="s">
        <v>381</v>
      </c>
      <c r="BT12" s="1"/>
      <c r="BU12" s="1"/>
      <c r="BV12" s="1"/>
      <c r="BW12" s="1"/>
      <c r="BX12" s="1"/>
      <c r="BY12" s="1" t="s">
        <v>480</v>
      </c>
      <c r="BZ12" s="1" t="s">
        <v>572</v>
      </c>
      <c r="CA12" s="1" t="s">
        <v>630</v>
      </c>
      <c r="CB12" s="1" t="s">
        <v>785</v>
      </c>
      <c r="CC12" s="1" t="s">
        <v>786</v>
      </c>
    </row>
    <row r="13" spans="1:81">
      <c r="A13" s="1" t="s">
        <v>353</v>
      </c>
      <c r="B13" s="1" t="s">
        <v>549</v>
      </c>
      <c r="C13" s="1">
        <v>1610612751</v>
      </c>
      <c r="D13" s="1" t="s">
        <v>490</v>
      </c>
      <c r="E13" s="1" t="s">
        <v>491</v>
      </c>
      <c r="F13" s="1" t="s">
        <v>357</v>
      </c>
      <c r="G13" s="1" t="s">
        <v>654</v>
      </c>
      <c r="H13" s="1">
        <v>6</v>
      </c>
      <c r="I13" s="1" t="s">
        <v>655</v>
      </c>
      <c r="J13" s="1" t="s">
        <v>360</v>
      </c>
      <c r="K13" s="1" t="s">
        <v>680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787</v>
      </c>
      <c r="R13" s="1" t="s">
        <v>788</v>
      </c>
      <c r="S13" s="1" t="s">
        <v>749</v>
      </c>
      <c r="T13" s="1" t="s">
        <v>452</v>
      </c>
      <c r="U13" s="1" t="s">
        <v>452</v>
      </c>
      <c r="V13" s="1" t="s">
        <v>556</v>
      </c>
      <c r="W13" s="1" t="s">
        <v>420</v>
      </c>
      <c r="X13" s="1" t="s">
        <v>789</v>
      </c>
      <c r="Y13" s="1" t="s">
        <v>790</v>
      </c>
      <c r="Z13" s="1">
        <v>9</v>
      </c>
      <c r="AA13" s="1" t="s">
        <v>371</v>
      </c>
      <c r="AB13" s="1">
        <v>-4</v>
      </c>
      <c r="AC13" s="1" t="s">
        <v>458</v>
      </c>
      <c r="AD13" s="1">
        <v>7</v>
      </c>
      <c r="AE13" s="1">
        <v>8</v>
      </c>
      <c r="AF13" s="1">
        <v>1</v>
      </c>
      <c r="AG13" s="1" t="s">
        <v>389</v>
      </c>
      <c r="AH13" s="1">
        <v>2</v>
      </c>
      <c r="AI13" s="1" t="s">
        <v>441</v>
      </c>
      <c r="AJ13" s="1">
        <v>3</v>
      </c>
      <c r="AK13" s="1" t="s">
        <v>406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659</v>
      </c>
      <c r="AT13" s="1" t="s">
        <v>791</v>
      </c>
      <c r="AU13" s="1" t="s">
        <v>455</v>
      </c>
      <c r="AV13" s="1" t="s">
        <v>792</v>
      </c>
      <c r="AW13" s="1" t="s">
        <v>793</v>
      </c>
      <c r="AX13" s="1" t="s">
        <v>407</v>
      </c>
      <c r="AY13" s="1" t="s">
        <v>794</v>
      </c>
      <c r="AZ13" s="1" t="s">
        <v>795</v>
      </c>
      <c r="BA13" s="1" t="s">
        <v>796</v>
      </c>
      <c r="BB13" s="1" t="s">
        <v>797</v>
      </c>
      <c r="BC13" s="1" t="s">
        <v>650</v>
      </c>
      <c r="BD13" s="1" t="s">
        <v>798</v>
      </c>
      <c r="BE13" s="1">
        <v>112.2</v>
      </c>
      <c r="BF13" s="1">
        <v>112.3</v>
      </c>
      <c r="BG13" s="1">
        <v>-0.1</v>
      </c>
      <c r="BH13" s="1" t="s">
        <v>654</v>
      </c>
      <c r="BI13" s="1" t="s">
        <v>692</v>
      </c>
      <c r="BJ13" s="1" t="s">
        <v>601</v>
      </c>
      <c r="BK13" s="1" t="s">
        <v>674</v>
      </c>
      <c r="BL13" s="1" t="s">
        <v>799</v>
      </c>
      <c r="BM13" s="1" t="s">
        <v>534</v>
      </c>
      <c r="BN13" s="1" t="s">
        <v>467</v>
      </c>
      <c r="BO13" s="1" t="s">
        <v>710</v>
      </c>
      <c r="BP13" s="1" t="s">
        <v>675</v>
      </c>
      <c r="BQ13" s="1" t="s">
        <v>473</v>
      </c>
      <c r="BR13" s="1" t="s">
        <v>605</v>
      </c>
      <c r="BS13" s="1" t="s">
        <v>426</v>
      </c>
      <c r="BT13" s="1"/>
      <c r="BU13" s="1"/>
      <c r="BV13" s="1"/>
      <c r="BW13" s="1"/>
      <c r="BX13" s="1"/>
      <c r="BY13" s="1" t="s">
        <v>513</v>
      </c>
      <c r="BZ13" s="1" t="s">
        <v>800</v>
      </c>
      <c r="CA13" s="1" t="s">
        <v>630</v>
      </c>
      <c r="CB13" s="1" t="s">
        <v>801</v>
      </c>
      <c r="CC13" s="1" t="s">
        <v>802</v>
      </c>
    </row>
    <row r="14" spans="1:81">
      <c r="A14" s="1" t="s">
        <v>353</v>
      </c>
      <c r="B14" s="1" t="s">
        <v>549</v>
      </c>
      <c r="C14" s="1">
        <v>1610612759</v>
      </c>
      <c r="D14" s="1" t="s">
        <v>494</v>
      </c>
      <c r="E14" s="1" t="s">
        <v>495</v>
      </c>
      <c r="F14" s="1" t="s">
        <v>384</v>
      </c>
      <c r="G14" s="1" t="s">
        <v>731</v>
      </c>
      <c r="H14" s="1">
        <v>7</v>
      </c>
      <c r="I14" s="1" t="s">
        <v>655</v>
      </c>
      <c r="J14" s="1" t="s">
        <v>403</v>
      </c>
      <c r="K14" s="1" t="s">
        <v>697</v>
      </c>
      <c r="L14" s="1">
        <v>2</v>
      </c>
      <c r="M14" s="1">
        <v>48</v>
      </c>
      <c r="N14" s="1">
        <v>34</v>
      </c>
      <c r="O14" s="1">
        <v>0.58499999999999996</v>
      </c>
      <c r="P14" s="1">
        <v>0</v>
      </c>
      <c r="Q14" s="1" t="s">
        <v>748</v>
      </c>
      <c r="R14" s="1" t="s">
        <v>613</v>
      </c>
      <c r="S14" s="1" t="s">
        <v>803</v>
      </c>
      <c r="T14" s="1" t="s">
        <v>452</v>
      </c>
      <c r="U14" s="1" t="s">
        <v>387</v>
      </c>
      <c r="V14" s="1" t="s">
        <v>556</v>
      </c>
      <c r="W14" s="1" t="s">
        <v>361</v>
      </c>
      <c r="X14" s="1" t="s">
        <v>804</v>
      </c>
      <c r="Y14" s="1" t="s">
        <v>805</v>
      </c>
      <c r="Z14" s="1">
        <v>11</v>
      </c>
      <c r="AA14" s="1" t="s">
        <v>587</v>
      </c>
      <c r="AB14" s="1">
        <v>-5</v>
      </c>
      <c r="AC14" s="1" t="s">
        <v>529</v>
      </c>
      <c r="AD14" s="1">
        <v>9</v>
      </c>
      <c r="AE14" s="1">
        <v>4</v>
      </c>
      <c r="AF14" s="1">
        <v>2</v>
      </c>
      <c r="AG14" s="1" t="s">
        <v>441</v>
      </c>
      <c r="AH14" s="1">
        <v>2</v>
      </c>
      <c r="AI14" s="1" t="s">
        <v>441</v>
      </c>
      <c r="AJ14" s="1">
        <v>3</v>
      </c>
      <c r="AK14" s="1" t="s">
        <v>406</v>
      </c>
      <c r="AL14" s="1">
        <v>9</v>
      </c>
      <c r="AM14" s="1">
        <v>5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806</v>
      </c>
      <c r="AT14" s="1" t="s">
        <v>807</v>
      </c>
      <c r="AU14" s="1" t="s">
        <v>392</v>
      </c>
      <c r="AV14" s="1" t="s">
        <v>808</v>
      </c>
      <c r="AW14" s="1" t="s">
        <v>807</v>
      </c>
      <c r="AX14" s="1" t="s">
        <v>393</v>
      </c>
      <c r="AY14" s="1" t="s">
        <v>809</v>
      </c>
      <c r="AZ14" s="1" t="s">
        <v>810</v>
      </c>
      <c r="BA14" s="1" t="s">
        <v>811</v>
      </c>
      <c r="BB14" s="1" t="s">
        <v>588</v>
      </c>
      <c r="BC14" s="1" t="s">
        <v>812</v>
      </c>
      <c r="BD14" s="1" t="s">
        <v>813</v>
      </c>
      <c r="BE14" s="1">
        <v>111.7</v>
      </c>
      <c r="BF14" s="1">
        <v>110</v>
      </c>
      <c r="BG14" s="1">
        <v>1.7</v>
      </c>
      <c r="BH14" s="1" t="s">
        <v>814</v>
      </c>
      <c r="BI14" s="1" t="s">
        <v>467</v>
      </c>
      <c r="BJ14" s="1" t="s">
        <v>417</v>
      </c>
      <c r="BK14" s="1" t="s">
        <v>710</v>
      </c>
      <c r="BL14" s="1" t="s">
        <v>731</v>
      </c>
      <c r="BM14" s="1" t="s">
        <v>601</v>
      </c>
      <c r="BN14" s="1" t="s">
        <v>601</v>
      </c>
      <c r="BO14" s="1" t="s">
        <v>574</v>
      </c>
      <c r="BP14" s="1" t="s">
        <v>606</v>
      </c>
      <c r="BQ14" s="1" t="s">
        <v>815</v>
      </c>
      <c r="BR14" s="1" t="s">
        <v>577</v>
      </c>
      <c r="BS14" s="1" t="s">
        <v>425</v>
      </c>
      <c r="BT14" s="1"/>
      <c r="BU14" s="1"/>
      <c r="BV14" s="1"/>
      <c r="BW14" s="1"/>
      <c r="BX14" s="1"/>
      <c r="BY14" s="1" t="s">
        <v>464</v>
      </c>
      <c r="BZ14" s="1" t="s">
        <v>800</v>
      </c>
      <c r="CA14" s="1" t="s">
        <v>764</v>
      </c>
      <c r="CB14" s="1" t="s">
        <v>816</v>
      </c>
      <c r="CC14" s="1" t="s">
        <v>633</v>
      </c>
    </row>
    <row r="15" spans="1:81">
      <c r="A15" s="1" t="s">
        <v>353</v>
      </c>
      <c r="B15" s="1" t="s">
        <v>549</v>
      </c>
      <c r="C15" s="1">
        <v>1610612753</v>
      </c>
      <c r="D15" s="1" t="s">
        <v>518</v>
      </c>
      <c r="E15" s="1" t="s">
        <v>519</v>
      </c>
      <c r="F15" s="1" t="s">
        <v>357</v>
      </c>
      <c r="G15" s="1" t="s">
        <v>731</v>
      </c>
      <c r="H15" s="1">
        <v>7</v>
      </c>
      <c r="I15" s="1" t="s">
        <v>817</v>
      </c>
      <c r="J15" s="1" t="s">
        <v>416</v>
      </c>
      <c r="K15" s="1" t="s">
        <v>697</v>
      </c>
      <c r="L15" s="1">
        <v>1</v>
      </c>
      <c r="M15" s="1">
        <v>42</v>
      </c>
      <c r="N15" s="1">
        <v>40</v>
      </c>
      <c r="O15" s="1">
        <v>0.51200000000000001</v>
      </c>
      <c r="P15" s="1">
        <v>0</v>
      </c>
      <c r="Q15" s="1" t="s">
        <v>787</v>
      </c>
      <c r="R15" s="1" t="s">
        <v>805</v>
      </c>
      <c r="S15" s="1" t="s">
        <v>818</v>
      </c>
      <c r="T15" s="1" t="s">
        <v>387</v>
      </c>
      <c r="U15" s="1" t="s">
        <v>365</v>
      </c>
      <c r="V15" s="1" t="s">
        <v>475</v>
      </c>
      <c r="W15" s="1" t="s">
        <v>451</v>
      </c>
      <c r="X15" s="1" t="s">
        <v>498</v>
      </c>
      <c r="Y15" s="1" t="s">
        <v>811</v>
      </c>
      <c r="Z15" s="1">
        <v>9</v>
      </c>
      <c r="AA15" s="1" t="s">
        <v>371</v>
      </c>
      <c r="AB15" s="1">
        <v>-5</v>
      </c>
      <c r="AC15" s="1" t="s">
        <v>529</v>
      </c>
      <c r="AD15" s="1">
        <v>6</v>
      </c>
      <c r="AE15" s="1">
        <v>4</v>
      </c>
      <c r="AF15" s="1">
        <v>9</v>
      </c>
      <c r="AG15" s="1" t="s">
        <v>371</v>
      </c>
      <c r="AH15" s="1">
        <v>2</v>
      </c>
      <c r="AI15" s="1" t="s">
        <v>441</v>
      </c>
      <c r="AJ15" s="1">
        <v>4</v>
      </c>
      <c r="AK15" s="1" t="s">
        <v>370</v>
      </c>
      <c r="AL15" s="1">
        <v>18</v>
      </c>
      <c r="AM15" s="1">
        <v>0</v>
      </c>
      <c r="AN15" s="1">
        <v>0</v>
      </c>
      <c r="AO15" s="1">
        <v>1</v>
      </c>
      <c r="AP15" s="1">
        <v>1</v>
      </c>
      <c r="AQ15" s="1">
        <v>0</v>
      </c>
      <c r="AR15" s="1">
        <v>0</v>
      </c>
      <c r="AS15" s="1" t="s">
        <v>584</v>
      </c>
      <c r="AT15" s="1" t="s">
        <v>819</v>
      </c>
      <c r="AU15" s="1" t="s">
        <v>393</v>
      </c>
      <c r="AV15" s="1" t="s">
        <v>820</v>
      </c>
      <c r="AW15" s="1" t="s">
        <v>821</v>
      </c>
      <c r="AX15" s="1" t="s">
        <v>440</v>
      </c>
      <c r="AY15" s="1" t="s">
        <v>822</v>
      </c>
      <c r="AZ15" s="1" t="s">
        <v>823</v>
      </c>
      <c r="BA15" s="1" t="s">
        <v>824</v>
      </c>
      <c r="BB15" s="1" t="s">
        <v>820</v>
      </c>
      <c r="BC15" s="1" t="s">
        <v>699</v>
      </c>
      <c r="BD15" s="1" t="s">
        <v>700</v>
      </c>
      <c r="BE15" s="1">
        <v>107.3</v>
      </c>
      <c r="BF15" s="1">
        <v>106.6</v>
      </c>
      <c r="BG15" s="1">
        <v>0.7</v>
      </c>
      <c r="BH15" s="1" t="s">
        <v>731</v>
      </c>
      <c r="BI15" s="1" t="s">
        <v>674</v>
      </c>
      <c r="BJ15" s="1" t="s">
        <v>763</v>
      </c>
      <c r="BK15" s="1" t="s">
        <v>574</v>
      </c>
      <c r="BL15" s="1" t="s">
        <v>825</v>
      </c>
      <c r="BM15" s="1" t="s">
        <v>534</v>
      </c>
      <c r="BN15" s="1" t="s">
        <v>473</v>
      </c>
      <c r="BO15" s="1" t="s">
        <v>467</v>
      </c>
      <c r="BP15" s="1" t="s">
        <v>826</v>
      </c>
      <c r="BQ15" s="1" t="s">
        <v>405</v>
      </c>
      <c r="BR15" s="1" t="s">
        <v>603</v>
      </c>
      <c r="BS15" s="1" t="s">
        <v>425</v>
      </c>
      <c r="BT15" s="1"/>
      <c r="BU15" s="1"/>
      <c r="BV15" s="1"/>
      <c r="BW15" s="1"/>
      <c r="BX15" s="1"/>
      <c r="BY15" s="1" t="s">
        <v>509</v>
      </c>
      <c r="BZ15" s="1" t="s">
        <v>783</v>
      </c>
      <c r="CA15" s="1" t="s">
        <v>827</v>
      </c>
      <c r="CB15" s="1" t="s">
        <v>828</v>
      </c>
      <c r="CC15" s="1" t="s">
        <v>633</v>
      </c>
    </row>
    <row r="16" spans="1:81">
      <c r="A16" s="1" t="s">
        <v>353</v>
      </c>
      <c r="B16" s="1" t="s">
        <v>549</v>
      </c>
      <c r="C16" s="1">
        <v>1610612746</v>
      </c>
      <c r="D16" s="1" t="s">
        <v>448</v>
      </c>
      <c r="E16" s="1" t="s">
        <v>449</v>
      </c>
      <c r="F16" s="1" t="s">
        <v>384</v>
      </c>
      <c r="G16" s="1" t="s">
        <v>770</v>
      </c>
      <c r="H16" s="1">
        <v>8</v>
      </c>
      <c r="I16" s="1" t="s">
        <v>655</v>
      </c>
      <c r="J16" s="1" t="s">
        <v>385</v>
      </c>
      <c r="K16" s="1" t="s">
        <v>747</v>
      </c>
      <c r="L16" s="1">
        <v>2</v>
      </c>
      <c r="M16" s="1">
        <v>48</v>
      </c>
      <c r="N16" s="1">
        <v>34</v>
      </c>
      <c r="O16" s="1">
        <v>0.58499999999999996</v>
      </c>
      <c r="P16" s="1">
        <v>0</v>
      </c>
      <c r="Q16" s="1" t="s">
        <v>748</v>
      </c>
      <c r="R16" s="1" t="s">
        <v>614</v>
      </c>
      <c r="S16" s="1" t="s">
        <v>715</v>
      </c>
      <c r="T16" s="1" t="s">
        <v>452</v>
      </c>
      <c r="U16" s="1" t="s">
        <v>419</v>
      </c>
      <c r="V16" s="1" t="s">
        <v>452</v>
      </c>
      <c r="W16" s="1" t="s">
        <v>368</v>
      </c>
      <c r="X16" s="1" t="s">
        <v>394</v>
      </c>
      <c r="Y16" s="1" t="s">
        <v>788</v>
      </c>
      <c r="Z16" s="1">
        <v>9</v>
      </c>
      <c r="AA16" s="1" t="s">
        <v>371</v>
      </c>
      <c r="AB16" s="1">
        <v>5</v>
      </c>
      <c r="AC16" s="1" t="s">
        <v>369</v>
      </c>
      <c r="AD16" s="1">
        <v>6</v>
      </c>
      <c r="AE16" s="1">
        <v>5</v>
      </c>
      <c r="AF16" s="1">
        <v>1</v>
      </c>
      <c r="AG16" s="1" t="s">
        <v>389</v>
      </c>
      <c r="AH16" s="1">
        <v>-2</v>
      </c>
      <c r="AI16" s="1" t="s">
        <v>433</v>
      </c>
      <c r="AJ16" s="1">
        <v>1</v>
      </c>
      <c r="AK16" s="1" t="s">
        <v>389</v>
      </c>
      <c r="AL16" s="1">
        <v>9</v>
      </c>
      <c r="AM16" s="1">
        <v>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820</v>
      </c>
      <c r="AT16" s="1" t="s">
        <v>829</v>
      </c>
      <c r="AU16" s="1" t="s">
        <v>391</v>
      </c>
      <c r="AV16" s="1" t="s">
        <v>830</v>
      </c>
      <c r="AW16" s="1" t="s">
        <v>831</v>
      </c>
      <c r="AX16" s="1" t="s">
        <v>410</v>
      </c>
      <c r="AY16" s="1" t="s">
        <v>832</v>
      </c>
      <c r="AZ16" s="1" t="s">
        <v>833</v>
      </c>
      <c r="BA16" s="1" t="s">
        <v>834</v>
      </c>
      <c r="BB16" s="1" t="s">
        <v>835</v>
      </c>
      <c r="BC16" s="1" t="s">
        <v>836</v>
      </c>
      <c r="BD16" s="1" t="s">
        <v>837</v>
      </c>
      <c r="BE16" s="1">
        <v>115.1</v>
      </c>
      <c r="BF16" s="1">
        <v>114.3</v>
      </c>
      <c r="BG16" s="1">
        <v>0.9</v>
      </c>
      <c r="BH16" s="1" t="s">
        <v>571</v>
      </c>
      <c r="BI16" s="1" t="s">
        <v>467</v>
      </c>
      <c r="BJ16" s="1" t="s">
        <v>417</v>
      </c>
      <c r="BK16" s="1" t="s">
        <v>417</v>
      </c>
      <c r="BL16" s="1" t="s">
        <v>770</v>
      </c>
      <c r="BM16" s="1" t="s">
        <v>838</v>
      </c>
      <c r="BN16" s="1" t="s">
        <v>764</v>
      </c>
      <c r="BO16" s="1" t="s">
        <v>601</v>
      </c>
      <c r="BP16" s="1" t="s">
        <v>743</v>
      </c>
      <c r="BQ16" s="1" t="s">
        <v>784</v>
      </c>
      <c r="BR16" s="1" t="s">
        <v>839</v>
      </c>
      <c r="BS16" s="1" t="s">
        <v>468</v>
      </c>
      <c r="BT16" s="1"/>
      <c r="BU16" s="1"/>
      <c r="BV16" s="1"/>
      <c r="BW16" s="1"/>
      <c r="BX16" s="1"/>
      <c r="BY16" s="1" t="s">
        <v>436</v>
      </c>
      <c r="BZ16" s="1" t="s">
        <v>840</v>
      </c>
      <c r="CA16" s="1" t="s">
        <v>841</v>
      </c>
      <c r="CB16" s="1" t="s">
        <v>842</v>
      </c>
      <c r="CC16" s="1" t="s">
        <v>843</v>
      </c>
    </row>
    <row r="17" spans="1:81">
      <c r="A17" s="1" t="s">
        <v>353</v>
      </c>
      <c r="B17" s="1" t="s">
        <v>549</v>
      </c>
      <c r="C17" s="1">
        <v>1610612765</v>
      </c>
      <c r="D17" s="1" t="s">
        <v>526</v>
      </c>
      <c r="E17" s="1" t="s">
        <v>527</v>
      </c>
      <c r="F17" s="1" t="s">
        <v>357</v>
      </c>
      <c r="G17" s="1" t="s">
        <v>844</v>
      </c>
      <c r="H17" s="1">
        <v>8</v>
      </c>
      <c r="I17" s="1" t="s">
        <v>655</v>
      </c>
      <c r="J17" s="1" t="s">
        <v>439</v>
      </c>
      <c r="K17" s="1" t="s">
        <v>680</v>
      </c>
      <c r="L17" s="1">
        <v>3</v>
      </c>
      <c r="M17" s="1">
        <v>41</v>
      </c>
      <c r="N17" s="1">
        <v>41</v>
      </c>
      <c r="O17" s="1">
        <v>0.5</v>
      </c>
      <c r="P17" s="1">
        <v>0</v>
      </c>
      <c r="Q17" s="1" t="s">
        <v>845</v>
      </c>
      <c r="R17" s="1" t="s">
        <v>614</v>
      </c>
      <c r="S17" s="1" t="s">
        <v>846</v>
      </c>
      <c r="T17" s="1" t="s">
        <v>475</v>
      </c>
      <c r="U17" s="1" t="s">
        <v>387</v>
      </c>
      <c r="V17" s="1" t="s">
        <v>535</v>
      </c>
      <c r="W17" s="1" t="s">
        <v>420</v>
      </c>
      <c r="X17" s="1" t="s">
        <v>847</v>
      </c>
      <c r="Y17" s="1" t="s">
        <v>848</v>
      </c>
      <c r="Z17" s="1">
        <v>11</v>
      </c>
      <c r="AA17" s="1" t="s">
        <v>587</v>
      </c>
      <c r="AB17" s="1">
        <v>-5</v>
      </c>
      <c r="AC17" s="1" t="s">
        <v>529</v>
      </c>
      <c r="AD17" s="1">
        <v>5</v>
      </c>
      <c r="AE17" s="1">
        <v>6</v>
      </c>
      <c r="AF17" s="1">
        <v>1</v>
      </c>
      <c r="AG17" s="1" t="s">
        <v>389</v>
      </c>
      <c r="AH17" s="1">
        <v>1</v>
      </c>
      <c r="AI17" s="1" t="s">
        <v>389</v>
      </c>
      <c r="AJ17" s="1">
        <v>2</v>
      </c>
      <c r="AK17" s="1" t="s">
        <v>441</v>
      </c>
      <c r="AL17" s="1">
        <v>19</v>
      </c>
      <c r="AM17" s="1">
        <v>19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849</v>
      </c>
      <c r="AT17" s="1" t="s">
        <v>850</v>
      </c>
      <c r="AU17" s="1" t="s">
        <v>373</v>
      </c>
      <c r="AV17" s="1" t="s">
        <v>659</v>
      </c>
      <c r="AW17" s="1" t="s">
        <v>851</v>
      </c>
      <c r="AX17" s="1" t="s">
        <v>366</v>
      </c>
      <c r="AY17" s="1" t="s">
        <v>852</v>
      </c>
      <c r="AZ17" s="1" t="s">
        <v>853</v>
      </c>
      <c r="BA17" s="1" t="s">
        <v>854</v>
      </c>
      <c r="BB17" s="1" t="s">
        <v>855</v>
      </c>
      <c r="BC17" s="1" t="s">
        <v>856</v>
      </c>
      <c r="BD17" s="1" t="s">
        <v>857</v>
      </c>
      <c r="BE17" s="1">
        <v>107</v>
      </c>
      <c r="BF17" s="1">
        <v>107.3</v>
      </c>
      <c r="BG17" s="1">
        <v>-0.2</v>
      </c>
      <c r="BH17" s="1" t="s">
        <v>844</v>
      </c>
      <c r="BI17" s="1" t="s">
        <v>601</v>
      </c>
      <c r="BJ17" s="1" t="s">
        <v>692</v>
      </c>
      <c r="BK17" s="1" t="s">
        <v>763</v>
      </c>
      <c r="BL17" s="1" t="s">
        <v>709</v>
      </c>
      <c r="BM17" s="1" t="s">
        <v>473</v>
      </c>
      <c r="BN17" s="1" t="s">
        <v>710</v>
      </c>
      <c r="BO17" s="1" t="s">
        <v>710</v>
      </c>
      <c r="BP17" s="1" t="s">
        <v>673</v>
      </c>
      <c r="BQ17" s="1" t="s">
        <v>417</v>
      </c>
      <c r="BR17" s="1" t="s">
        <v>574</v>
      </c>
      <c r="BS17" s="1" t="s">
        <v>480</v>
      </c>
      <c r="BT17" s="1"/>
      <c r="BU17" s="1"/>
      <c r="BV17" s="1"/>
      <c r="BW17" s="1"/>
      <c r="BX17" s="1"/>
      <c r="BY17" s="1" t="s">
        <v>436</v>
      </c>
      <c r="BZ17" s="1" t="s">
        <v>651</v>
      </c>
      <c r="CA17" s="1" t="s">
        <v>858</v>
      </c>
      <c r="CB17" s="1" t="s">
        <v>859</v>
      </c>
      <c r="CC17" s="1" t="s">
        <v>860</v>
      </c>
    </row>
    <row r="18" spans="1:81">
      <c r="A18" s="1" t="s">
        <v>353</v>
      </c>
      <c r="B18" s="1" t="s">
        <v>549</v>
      </c>
      <c r="C18" s="1">
        <v>1610612758</v>
      </c>
      <c r="D18" s="1" t="s">
        <v>499</v>
      </c>
      <c r="E18" s="1" t="s">
        <v>500</v>
      </c>
      <c r="F18" s="1" t="s">
        <v>384</v>
      </c>
      <c r="G18" s="1" t="s">
        <v>861</v>
      </c>
      <c r="H18" s="1">
        <v>9</v>
      </c>
      <c r="I18" s="1" t="s">
        <v>862</v>
      </c>
      <c r="J18" s="1" t="s">
        <v>385</v>
      </c>
      <c r="K18" s="1" t="s">
        <v>863</v>
      </c>
      <c r="L18" s="1">
        <v>3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864</v>
      </c>
      <c r="R18" s="1" t="s">
        <v>865</v>
      </c>
      <c r="S18" s="1" t="s">
        <v>846</v>
      </c>
      <c r="T18" s="1" t="s">
        <v>507</v>
      </c>
      <c r="U18" s="1" t="s">
        <v>556</v>
      </c>
      <c r="V18" s="1" t="s">
        <v>535</v>
      </c>
      <c r="W18" s="1" t="s">
        <v>393</v>
      </c>
      <c r="X18" s="1" t="s">
        <v>772</v>
      </c>
      <c r="Y18" s="1" t="s">
        <v>866</v>
      </c>
      <c r="Z18" s="1">
        <v>7</v>
      </c>
      <c r="AA18" s="1" t="s">
        <v>718</v>
      </c>
      <c r="AB18" s="1">
        <v>-5</v>
      </c>
      <c r="AC18" s="1" t="s">
        <v>529</v>
      </c>
      <c r="AD18" s="1">
        <v>5</v>
      </c>
      <c r="AE18" s="1">
        <v>4</v>
      </c>
      <c r="AF18" s="1">
        <v>-1</v>
      </c>
      <c r="AG18" s="1" t="s">
        <v>388</v>
      </c>
      <c r="AH18" s="1">
        <v>-2</v>
      </c>
      <c r="AI18" s="1" t="s">
        <v>433</v>
      </c>
      <c r="AJ18" s="1">
        <v>-3</v>
      </c>
      <c r="AK18" s="1" t="s">
        <v>453</v>
      </c>
      <c r="AL18" s="1">
        <v>18</v>
      </c>
      <c r="AM18" s="1">
        <v>18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867</v>
      </c>
      <c r="AT18" s="1" t="s">
        <v>868</v>
      </c>
      <c r="AU18" s="1" t="s">
        <v>391</v>
      </c>
      <c r="AV18" s="1" t="s">
        <v>869</v>
      </c>
      <c r="AW18" s="1" t="s">
        <v>870</v>
      </c>
      <c r="AX18" s="1" t="s">
        <v>451</v>
      </c>
      <c r="AY18" s="1" t="s">
        <v>871</v>
      </c>
      <c r="AZ18" s="1" t="s">
        <v>872</v>
      </c>
      <c r="BA18" s="1" t="s">
        <v>873</v>
      </c>
      <c r="BB18" s="1" t="s">
        <v>874</v>
      </c>
      <c r="BC18" s="1" t="s">
        <v>837</v>
      </c>
      <c r="BD18" s="1" t="s">
        <v>875</v>
      </c>
      <c r="BE18" s="1">
        <v>114.2</v>
      </c>
      <c r="BF18" s="1">
        <v>115.3</v>
      </c>
      <c r="BG18" s="1">
        <v>-1.1000000000000001</v>
      </c>
      <c r="BH18" s="1" t="s">
        <v>814</v>
      </c>
      <c r="BI18" s="1" t="s">
        <v>815</v>
      </c>
      <c r="BJ18" s="1" t="s">
        <v>417</v>
      </c>
      <c r="BK18" s="1" t="s">
        <v>386</v>
      </c>
      <c r="BL18" s="1" t="s">
        <v>861</v>
      </c>
      <c r="BM18" s="1" t="s">
        <v>838</v>
      </c>
      <c r="BN18" s="1" t="s">
        <v>876</v>
      </c>
      <c r="BO18" s="1" t="s">
        <v>601</v>
      </c>
      <c r="BP18" s="1" t="s">
        <v>711</v>
      </c>
      <c r="BQ18" s="1" t="s">
        <v>710</v>
      </c>
      <c r="BR18" s="1" t="s">
        <v>743</v>
      </c>
      <c r="BS18" s="1" t="s">
        <v>517</v>
      </c>
      <c r="BT18" s="1"/>
      <c r="BU18" s="1"/>
      <c r="BV18" s="1"/>
      <c r="BW18" s="1"/>
      <c r="BX18" s="1"/>
      <c r="BY18" s="1" t="s">
        <v>435</v>
      </c>
      <c r="BZ18" s="1" t="s">
        <v>827</v>
      </c>
      <c r="CA18" s="1" t="s">
        <v>630</v>
      </c>
      <c r="CB18" s="1" t="s">
        <v>877</v>
      </c>
      <c r="CC18" s="1" t="s">
        <v>878</v>
      </c>
    </row>
    <row r="19" spans="1:81">
      <c r="A19" s="1" t="s">
        <v>353</v>
      </c>
      <c r="B19" s="1" t="s">
        <v>549</v>
      </c>
      <c r="C19" s="1">
        <v>1610612766</v>
      </c>
      <c r="D19" s="1" t="s">
        <v>504</v>
      </c>
      <c r="E19" s="1" t="s">
        <v>505</v>
      </c>
      <c r="F19" s="1" t="s">
        <v>357</v>
      </c>
      <c r="G19" s="1" t="s">
        <v>654</v>
      </c>
      <c r="H19" s="1">
        <v>9</v>
      </c>
      <c r="I19" s="1" t="s">
        <v>862</v>
      </c>
      <c r="J19" s="1" t="s">
        <v>416</v>
      </c>
      <c r="K19" s="1" t="s">
        <v>697</v>
      </c>
      <c r="L19" s="1">
        <v>2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864</v>
      </c>
      <c r="R19" s="1" t="s">
        <v>805</v>
      </c>
      <c r="S19" s="1" t="s">
        <v>879</v>
      </c>
      <c r="T19" s="1" t="s">
        <v>452</v>
      </c>
      <c r="U19" s="1" t="s">
        <v>556</v>
      </c>
      <c r="V19" s="1" t="s">
        <v>556</v>
      </c>
      <c r="W19" s="1" t="s">
        <v>487</v>
      </c>
      <c r="X19" s="1" t="s">
        <v>656</v>
      </c>
      <c r="Y19" s="1" t="s">
        <v>658</v>
      </c>
      <c r="Z19" s="1">
        <v>5</v>
      </c>
      <c r="AA19" s="1" t="s">
        <v>369</v>
      </c>
      <c r="AB19" s="1">
        <v>-4</v>
      </c>
      <c r="AC19" s="1" t="s">
        <v>458</v>
      </c>
      <c r="AD19" s="1">
        <v>4</v>
      </c>
      <c r="AE19" s="1">
        <v>3</v>
      </c>
      <c r="AF19" s="1">
        <v>-1</v>
      </c>
      <c r="AG19" s="1" t="s">
        <v>388</v>
      </c>
      <c r="AH19" s="1">
        <v>3</v>
      </c>
      <c r="AI19" s="1" t="s">
        <v>406</v>
      </c>
      <c r="AJ19" s="1">
        <v>-1</v>
      </c>
      <c r="AK19" s="1" t="s">
        <v>388</v>
      </c>
      <c r="AL19" s="1">
        <v>21</v>
      </c>
      <c r="AM19" s="1">
        <v>3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880</v>
      </c>
      <c r="AT19" s="1" t="s">
        <v>881</v>
      </c>
      <c r="AU19" s="1" t="s">
        <v>410</v>
      </c>
      <c r="AV19" s="1" t="s">
        <v>554</v>
      </c>
      <c r="AW19" s="1" t="s">
        <v>882</v>
      </c>
      <c r="AX19" s="1" t="s">
        <v>373</v>
      </c>
      <c r="AY19" s="1" t="s">
        <v>883</v>
      </c>
      <c r="AZ19" s="1" t="s">
        <v>884</v>
      </c>
      <c r="BA19" s="1" t="s">
        <v>775</v>
      </c>
      <c r="BB19" s="1" t="s">
        <v>885</v>
      </c>
      <c r="BC19" s="1" t="s">
        <v>886</v>
      </c>
      <c r="BD19" s="1" t="s">
        <v>887</v>
      </c>
      <c r="BE19" s="1">
        <v>110.7</v>
      </c>
      <c r="BF19" s="1">
        <v>111.8</v>
      </c>
      <c r="BG19" s="1">
        <v>-1.1000000000000001</v>
      </c>
      <c r="BH19" s="1" t="s">
        <v>654</v>
      </c>
      <c r="BI19" s="1" t="s">
        <v>728</v>
      </c>
      <c r="BJ19" s="1" t="s">
        <v>674</v>
      </c>
      <c r="BK19" s="1" t="s">
        <v>574</v>
      </c>
      <c r="BL19" s="1" t="s">
        <v>888</v>
      </c>
      <c r="BM19" s="1" t="s">
        <v>534</v>
      </c>
      <c r="BN19" s="1" t="s">
        <v>815</v>
      </c>
      <c r="BO19" s="1" t="s">
        <v>710</v>
      </c>
      <c r="BP19" s="1" t="s">
        <v>889</v>
      </c>
      <c r="BQ19" s="1" t="s">
        <v>506</v>
      </c>
      <c r="BR19" s="1" t="s">
        <v>711</v>
      </c>
      <c r="BS19" s="1" t="s">
        <v>413</v>
      </c>
      <c r="BT19" s="1"/>
      <c r="BU19" s="1"/>
      <c r="BV19" s="1"/>
      <c r="BW19" s="1"/>
      <c r="BX19" s="1"/>
      <c r="BY19" s="1" t="s">
        <v>693</v>
      </c>
      <c r="BZ19" s="1" t="s">
        <v>605</v>
      </c>
      <c r="CA19" s="1" t="s">
        <v>605</v>
      </c>
      <c r="CB19" s="1" t="s">
        <v>890</v>
      </c>
      <c r="CC19" s="1" t="s">
        <v>786</v>
      </c>
    </row>
    <row r="20" spans="1:81">
      <c r="A20" s="1" t="s">
        <v>353</v>
      </c>
      <c r="B20" s="1" t="s">
        <v>549</v>
      </c>
      <c r="C20" s="1">
        <v>1610612748</v>
      </c>
      <c r="D20" s="1" t="s">
        <v>414</v>
      </c>
      <c r="E20" s="1" t="s">
        <v>415</v>
      </c>
      <c r="F20" s="1" t="s">
        <v>357</v>
      </c>
      <c r="G20" s="1" t="s">
        <v>891</v>
      </c>
      <c r="H20" s="1">
        <v>10</v>
      </c>
      <c r="I20" s="1" t="s">
        <v>862</v>
      </c>
      <c r="J20" s="1" t="s">
        <v>416</v>
      </c>
      <c r="K20" s="1" t="s">
        <v>892</v>
      </c>
      <c r="L20" s="1">
        <v>3</v>
      </c>
      <c r="M20" s="1">
        <v>39</v>
      </c>
      <c r="N20" s="1">
        <v>43</v>
      </c>
      <c r="O20" s="1">
        <v>0.47599999999999998</v>
      </c>
      <c r="P20" s="1">
        <v>0</v>
      </c>
      <c r="Q20" s="1" t="s">
        <v>864</v>
      </c>
      <c r="R20" s="1" t="s">
        <v>749</v>
      </c>
      <c r="S20" s="1" t="s">
        <v>638</v>
      </c>
      <c r="T20" s="1" t="s">
        <v>475</v>
      </c>
      <c r="U20" s="1" t="s">
        <v>452</v>
      </c>
      <c r="V20" s="1" t="s">
        <v>556</v>
      </c>
      <c r="W20" s="1" t="s">
        <v>373</v>
      </c>
      <c r="X20" s="1" t="s">
        <v>847</v>
      </c>
      <c r="Y20" s="1" t="s">
        <v>893</v>
      </c>
      <c r="Z20" s="1">
        <v>-6</v>
      </c>
      <c r="AA20" s="1" t="s">
        <v>661</v>
      </c>
      <c r="AB20" s="1">
        <v>4</v>
      </c>
      <c r="AC20" s="1" t="s">
        <v>370</v>
      </c>
      <c r="AD20" s="1">
        <v>5</v>
      </c>
      <c r="AE20" s="1">
        <v>4</v>
      </c>
      <c r="AF20" s="1">
        <v>1</v>
      </c>
      <c r="AG20" s="1" t="s">
        <v>389</v>
      </c>
      <c r="AH20" s="1">
        <v>-4</v>
      </c>
      <c r="AI20" s="1" t="s">
        <v>458</v>
      </c>
      <c r="AJ20" s="1">
        <v>-1</v>
      </c>
      <c r="AK20" s="1" t="s">
        <v>388</v>
      </c>
      <c r="AL20" s="1">
        <v>21</v>
      </c>
      <c r="AM20" s="1">
        <v>3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751</v>
      </c>
      <c r="AT20" s="1" t="s">
        <v>894</v>
      </c>
      <c r="AU20" s="1" t="s">
        <v>429</v>
      </c>
      <c r="AV20" s="1" t="s">
        <v>895</v>
      </c>
      <c r="AW20" s="1" t="s">
        <v>896</v>
      </c>
      <c r="AX20" s="1" t="s">
        <v>391</v>
      </c>
      <c r="AY20" s="1" t="s">
        <v>897</v>
      </c>
      <c r="AZ20" s="1" t="s">
        <v>898</v>
      </c>
      <c r="BA20" s="1" t="s">
        <v>899</v>
      </c>
      <c r="BB20" s="1" t="s">
        <v>900</v>
      </c>
      <c r="BC20" s="1" t="s">
        <v>901</v>
      </c>
      <c r="BD20" s="1" t="s">
        <v>902</v>
      </c>
      <c r="BE20" s="1">
        <v>105.7</v>
      </c>
      <c r="BF20" s="1">
        <v>105.9</v>
      </c>
      <c r="BG20" s="1">
        <v>-0.2</v>
      </c>
      <c r="BH20" s="1" t="s">
        <v>891</v>
      </c>
      <c r="BI20" s="1" t="s">
        <v>838</v>
      </c>
      <c r="BJ20" s="1" t="s">
        <v>763</v>
      </c>
      <c r="BK20" s="1" t="s">
        <v>743</v>
      </c>
      <c r="BL20" s="1" t="s">
        <v>903</v>
      </c>
      <c r="BM20" s="1" t="s">
        <v>473</v>
      </c>
      <c r="BN20" s="1" t="s">
        <v>815</v>
      </c>
      <c r="BO20" s="1" t="s">
        <v>362</v>
      </c>
      <c r="BP20" s="1" t="s">
        <v>605</v>
      </c>
      <c r="BQ20" s="1" t="s">
        <v>904</v>
      </c>
      <c r="BR20" s="1" t="s">
        <v>675</v>
      </c>
      <c r="BS20" s="1" t="s">
        <v>514</v>
      </c>
      <c r="BT20" s="1"/>
      <c r="BU20" s="1"/>
      <c r="BV20" s="1"/>
      <c r="BW20" s="1"/>
      <c r="BX20" s="1"/>
      <c r="BY20" s="1" t="s">
        <v>493</v>
      </c>
      <c r="BZ20" s="1" t="s">
        <v>905</v>
      </c>
      <c r="CA20" s="1" t="s">
        <v>603</v>
      </c>
      <c r="CB20" s="1" t="s">
        <v>859</v>
      </c>
      <c r="CC20" s="1" t="s">
        <v>906</v>
      </c>
    </row>
    <row r="21" spans="1:81">
      <c r="A21" s="1" t="s">
        <v>353</v>
      </c>
      <c r="B21" s="1" t="s">
        <v>549</v>
      </c>
      <c r="C21" s="1">
        <v>1610612747</v>
      </c>
      <c r="D21" s="1" t="s">
        <v>382</v>
      </c>
      <c r="E21" s="1" t="s">
        <v>383</v>
      </c>
      <c r="F21" s="1" t="s">
        <v>384</v>
      </c>
      <c r="G21" s="1" t="s">
        <v>907</v>
      </c>
      <c r="H21" s="1">
        <v>10</v>
      </c>
      <c r="I21" s="1" t="s">
        <v>862</v>
      </c>
      <c r="J21" s="1" t="s">
        <v>385</v>
      </c>
      <c r="K21" s="1" t="s">
        <v>771</v>
      </c>
      <c r="L21" s="1">
        <v>4</v>
      </c>
      <c r="M21" s="1">
        <v>37</v>
      </c>
      <c r="N21" s="1">
        <v>45</v>
      </c>
      <c r="O21" s="1">
        <v>0.45100000000000001</v>
      </c>
      <c r="P21" s="1">
        <v>0</v>
      </c>
      <c r="Q21" s="1" t="s">
        <v>908</v>
      </c>
      <c r="R21" s="1" t="s">
        <v>715</v>
      </c>
      <c r="S21" s="1" t="s">
        <v>846</v>
      </c>
      <c r="T21" s="1" t="s">
        <v>452</v>
      </c>
      <c r="U21" s="1" t="s">
        <v>475</v>
      </c>
      <c r="V21" s="1" t="s">
        <v>507</v>
      </c>
      <c r="W21" s="1" t="s">
        <v>407</v>
      </c>
      <c r="X21" s="1" t="s">
        <v>455</v>
      </c>
      <c r="Y21" s="1" t="s">
        <v>803</v>
      </c>
      <c r="Z21" s="1">
        <v>6</v>
      </c>
      <c r="AA21" s="1" t="s">
        <v>432</v>
      </c>
      <c r="AB21" s="1">
        <v>-5</v>
      </c>
      <c r="AC21" s="1" t="s">
        <v>529</v>
      </c>
      <c r="AD21" s="1">
        <v>4</v>
      </c>
      <c r="AE21" s="1">
        <v>5</v>
      </c>
      <c r="AF21" s="1">
        <v>-1</v>
      </c>
      <c r="AG21" s="1" t="s">
        <v>388</v>
      </c>
      <c r="AH21" s="1">
        <v>1</v>
      </c>
      <c r="AI21" s="1" t="s">
        <v>389</v>
      </c>
      <c r="AJ21" s="1">
        <v>-1</v>
      </c>
      <c r="AK21" s="1" t="s">
        <v>388</v>
      </c>
      <c r="AL21" s="1">
        <v>20</v>
      </c>
      <c r="AM21" s="1">
        <v>20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909</v>
      </c>
      <c r="AT21" s="1" t="s">
        <v>910</v>
      </c>
      <c r="AU21" s="1" t="s">
        <v>367</v>
      </c>
      <c r="AV21" s="1" t="s">
        <v>911</v>
      </c>
      <c r="AW21" s="1" t="s">
        <v>912</v>
      </c>
      <c r="AX21" s="1" t="s">
        <v>367</v>
      </c>
      <c r="AY21" s="1" t="s">
        <v>913</v>
      </c>
      <c r="AZ21" s="1" t="s">
        <v>914</v>
      </c>
      <c r="BA21" s="1" t="s">
        <v>915</v>
      </c>
      <c r="BB21" s="1" t="s">
        <v>916</v>
      </c>
      <c r="BC21" s="1" t="s">
        <v>917</v>
      </c>
      <c r="BD21" s="1" t="s">
        <v>918</v>
      </c>
      <c r="BE21" s="1">
        <v>111.8</v>
      </c>
      <c r="BF21" s="1">
        <v>113.5</v>
      </c>
      <c r="BG21" s="1">
        <v>-1.7</v>
      </c>
      <c r="BH21" s="1" t="s">
        <v>825</v>
      </c>
      <c r="BI21" s="1" t="s">
        <v>919</v>
      </c>
      <c r="BJ21" s="1" t="s">
        <v>710</v>
      </c>
      <c r="BK21" s="1" t="s">
        <v>467</v>
      </c>
      <c r="BL21" s="1" t="s">
        <v>907</v>
      </c>
      <c r="BM21" s="1" t="s">
        <v>838</v>
      </c>
      <c r="BN21" s="1" t="s">
        <v>783</v>
      </c>
      <c r="BO21" s="1" t="s">
        <v>763</v>
      </c>
      <c r="BP21" s="1" t="s">
        <v>841</v>
      </c>
      <c r="BQ21" s="1" t="s">
        <v>920</v>
      </c>
      <c r="BR21" s="1" t="s">
        <v>826</v>
      </c>
      <c r="BS21" s="1" t="s">
        <v>411</v>
      </c>
      <c r="BT21" s="1"/>
      <c r="BU21" s="1"/>
      <c r="BV21" s="1"/>
      <c r="BW21" s="1"/>
      <c r="BX21" s="1"/>
      <c r="BY21" s="1" t="s">
        <v>513</v>
      </c>
      <c r="BZ21" s="1" t="s">
        <v>577</v>
      </c>
      <c r="CA21" s="1" t="s">
        <v>631</v>
      </c>
      <c r="CB21" s="1" t="s">
        <v>921</v>
      </c>
      <c r="CC21" s="1" t="s">
        <v>878</v>
      </c>
    </row>
    <row r="22" spans="1:81">
      <c r="A22" s="1" t="s">
        <v>353</v>
      </c>
      <c r="B22" s="1" t="s">
        <v>549</v>
      </c>
      <c r="C22" s="1">
        <v>1610612750</v>
      </c>
      <c r="D22" s="1" t="s">
        <v>461</v>
      </c>
      <c r="E22" s="1" t="s">
        <v>462</v>
      </c>
      <c r="F22" s="1" t="s">
        <v>384</v>
      </c>
      <c r="G22" s="1" t="s">
        <v>922</v>
      </c>
      <c r="H22" s="1">
        <v>11</v>
      </c>
      <c r="I22" s="1" t="s">
        <v>862</v>
      </c>
      <c r="J22" s="1" t="s">
        <v>430</v>
      </c>
      <c r="K22" s="1" t="s">
        <v>923</v>
      </c>
      <c r="L22" s="1">
        <v>5</v>
      </c>
      <c r="M22" s="1">
        <v>36</v>
      </c>
      <c r="N22" s="1">
        <v>46</v>
      </c>
      <c r="O22" s="1">
        <v>0.439</v>
      </c>
      <c r="P22" s="1">
        <v>0</v>
      </c>
      <c r="Q22" s="1" t="s">
        <v>924</v>
      </c>
      <c r="R22" s="1" t="s">
        <v>805</v>
      </c>
      <c r="S22" s="1" t="s">
        <v>925</v>
      </c>
      <c r="T22" s="1" t="s">
        <v>475</v>
      </c>
      <c r="U22" s="1" t="s">
        <v>475</v>
      </c>
      <c r="V22" s="1" t="s">
        <v>535</v>
      </c>
      <c r="W22" s="1" t="s">
        <v>418</v>
      </c>
      <c r="X22" s="1" t="s">
        <v>926</v>
      </c>
      <c r="Y22" s="1" t="s">
        <v>749</v>
      </c>
      <c r="Z22" s="1">
        <v>6</v>
      </c>
      <c r="AA22" s="1" t="s">
        <v>432</v>
      </c>
      <c r="AB22" s="1">
        <v>-9</v>
      </c>
      <c r="AC22" s="1" t="s">
        <v>927</v>
      </c>
      <c r="AD22" s="1">
        <v>4</v>
      </c>
      <c r="AE22" s="1">
        <v>5</v>
      </c>
      <c r="AF22" s="1">
        <v>-2</v>
      </c>
      <c r="AG22" s="1" t="s">
        <v>433</v>
      </c>
      <c r="AH22" s="1">
        <v>-1</v>
      </c>
      <c r="AI22" s="1" t="s">
        <v>388</v>
      </c>
      <c r="AJ22" s="1">
        <v>-3</v>
      </c>
      <c r="AK22" s="1" t="s">
        <v>453</v>
      </c>
      <c r="AL22" s="1">
        <v>21</v>
      </c>
      <c r="AM22" s="1">
        <v>18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928</v>
      </c>
      <c r="AT22" s="1" t="s">
        <v>929</v>
      </c>
      <c r="AU22" s="1" t="s">
        <v>418</v>
      </c>
      <c r="AV22" s="1" t="s">
        <v>930</v>
      </c>
      <c r="AW22" s="1" t="s">
        <v>931</v>
      </c>
      <c r="AX22" s="1" t="s">
        <v>391</v>
      </c>
      <c r="AY22" s="1" t="s">
        <v>932</v>
      </c>
      <c r="AZ22" s="1" t="s">
        <v>933</v>
      </c>
      <c r="BA22" s="1" t="s">
        <v>934</v>
      </c>
      <c r="BB22" s="1" t="s">
        <v>935</v>
      </c>
      <c r="BC22" s="1" t="s">
        <v>936</v>
      </c>
      <c r="BD22" s="1" t="s">
        <v>937</v>
      </c>
      <c r="BE22" s="1">
        <v>112.5</v>
      </c>
      <c r="BF22" s="1">
        <v>114</v>
      </c>
      <c r="BG22" s="1">
        <v>-1.5</v>
      </c>
      <c r="BH22" s="1" t="s">
        <v>709</v>
      </c>
      <c r="BI22" s="1" t="s">
        <v>473</v>
      </c>
      <c r="BJ22" s="1" t="s">
        <v>710</v>
      </c>
      <c r="BK22" s="1" t="s">
        <v>710</v>
      </c>
      <c r="BL22" s="1" t="s">
        <v>922</v>
      </c>
      <c r="BM22" s="1" t="s">
        <v>826</v>
      </c>
      <c r="BN22" s="1" t="s">
        <v>763</v>
      </c>
      <c r="BO22" s="1" t="s">
        <v>728</v>
      </c>
      <c r="BP22" s="1" t="s">
        <v>576</v>
      </c>
      <c r="BQ22" s="1" t="s">
        <v>506</v>
      </c>
      <c r="BR22" s="1" t="s">
        <v>905</v>
      </c>
      <c r="BS22" s="1" t="s">
        <v>480</v>
      </c>
      <c r="BT22" s="1"/>
      <c r="BU22" s="1"/>
      <c r="BV22" s="1"/>
      <c r="BW22" s="1"/>
      <c r="BX22" s="1"/>
      <c r="BY22" s="1" t="s">
        <v>693</v>
      </c>
      <c r="BZ22" s="1" t="s">
        <v>605</v>
      </c>
      <c r="CA22" s="1" t="s">
        <v>841</v>
      </c>
      <c r="CB22" s="1" t="s">
        <v>890</v>
      </c>
      <c r="CC22" s="1" t="s">
        <v>878</v>
      </c>
    </row>
    <row r="23" spans="1:81">
      <c r="A23" s="1" t="s">
        <v>353</v>
      </c>
      <c r="B23" s="1" t="s">
        <v>549</v>
      </c>
      <c r="C23" s="1">
        <v>1610612764</v>
      </c>
      <c r="D23" s="1" t="s">
        <v>536</v>
      </c>
      <c r="E23" s="1" t="s">
        <v>537</v>
      </c>
      <c r="F23" s="1" t="s">
        <v>357</v>
      </c>
      <c r="G23" s="1" t="s">
        <v>938</v>
      </c>
      <c r="H23" s="1">
        <v>11</v>
      </c>
      <c r="I23" s="1" t="s">
        <v>862</v>
      </c>
      <c r="J23" s="1" t="s">
        <v>416</v>
      </c>
      <c r="K23" s="1" t="s">
        <v>892</v>
      </c>
      <c r="L23" s="1">
        <v>4</v>
      </c>
      <c r="M23" s="1">
        <v>32</v>
      </c>
      <c r="N23" s="1">
        <v>50</v>
      </c>
      <c r="O23" s="1">
        <v>0.39</v>
      </c>
      <c r="P23" s="1">
        <v>0</v>
      </c>
      <c r="Q23" s="1" t="s">
        <v>939</v>
      </c>
      <c r="R23" s="1" t="s">
        <v>715</v>
      </c>
      <c r="S23" s="1" t="s">
        <v>821</v>
      </c>
      <c r="T23" s="1" t="s">
        <v>535</v>
      </c>
      <c r="U23" s="1" t="s">
        <v>507</v>
      </c>
      <c r="V23" s="1" t="s">
        <v>507</v>
      </c>
      <c r="W23" s="1" t="s">
        <v>454</v>
      </c>
      <c r="X23" s="1" t="s">
        <v>498</v>
      </c>
      <c r="Y23" s="1" t="s">
        <v>940</v>
      </c>
      <c r="Z23" s="1">
        <v>-6</v>
      </c>
      <c r="AA23" s="1" t="s">
        <v>661</v>
      </c>
      <c r="AB23" s="1">
        <v>-8</v>
      </c>
      <c r="AC23" s="1" t="s">
        <v>941</v>
      </c>
      <c r="AD23" s="1">
        <v>3</v>
      </c>
      <c r="AE23" s="1">
        <v>5</v>
      </c>
      <c r="AF23" s="1">
        <v>-6</v>
      </c>
      <c r="AG23" s="1" t="s">
        <v>661</v>
      </c>
      <c r="AH23" s="1">
        <v>-1</v>
      </c>
      <c r="AI23" s="1" t="s">
        <v>388</v>
      </c>
      <c r="AJ23" s="1">
        <v>-4</v>
      </c>
      <c r="AK23" s="1" t="s">
        <v>458</v>
      </c>
      <c r="AL23" s="1">
        <v>28</v>
      </c>
      <c r="AM23" s="1">
        <v>10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942</v>
      </c>
      <c r="AT23" s="1" t="s">
        <v>943</v>
      </c>
      <c r="AU23" s="1" t="s">
        <v>368</v>
      </c>
      <c r="AV23" s="1" t="s">
        <v>944</v>
      </c>
      <c r="AW23" s="1" t="s">
        <v>945</v>
      </c>
      <c r="AX23" s="1" t="s">
        <v>410</v>
      </c>
      <c r="AY23" s="1" t="s">
        <v>946</v>
      </c>
      <c r="AZ23" s="1" t="s">
        <v>947</v>
      </c>
      <c r="BA23" s="1" t="s">
        <v>948</v>
      </c>
      <c r="BB23" s="1" t="s">
        <v>949</v>
      </c>
      <c r="BC23" s="1" t="s">
        <v>950</v>
      </c>
      <c r="BD23" s="1" t="s">
        <v>891</v>
      </c>
      <c r="BE23" s="1">
        <v>114</v>
      </c>
      <c r="BF23" s="1">
        <v>116.9</v>
      </c>
      <c r="BG23" s="1">
        <v>-2.9</v>
      </c>
      <c r="BH23" s="1" t="s">
        <v>938</v>
      </c>
      <c r="BI23" s="1" t="s">
        <v>951</v>
      </c>
      <c r="BJ23" s="1" t="s">
        <v>951</v>
      </c>
      <c r="BK23" s="1" t="s">
        <v>743</v>
      </c>
      <c r="BL23" s="1" t="s">
        <v>799</v>
      </c>
      <c r="BM23" s="1" t="s">
        <v>473</v>
      </c>
      <c r="BN23" s="1" t="s">
        <v>710</v>
      </c>
      <c r="BO23" s="1" t="s">
        <v>473</v>
      </c>
      <c r="BP23" s="1" t="s">
        <v>576</v>
      </c>
      <c r="BQ23" s="1" t="s">
        <v>815</v>
      </c>
      <c r="BR23" s="1" t="s">
        <v>952</v>
      </c>
      <c r="BS23" s="1" t="s">
        <v>953</v>
      </c>
      <c r="BT23" s="1"/>
      <c r="BU23" s="1"/>
      <c r="BV23" s="1"/>
      <c r="BW23" s="1"/>
      <c r="BX23" s="1"/>
      <c r="BY23" s="1" t="s">
        <v>548</v>
      </c>
      <c r="BZ23" s="1" t="s">
        <v>711</v>
      </c>
      <c r="CA23" s="1" t="s">
        <v>841</v>
      </c>
      <c r="CB23" s="1" t="s">
        <v>954</v>
      </c>
      <c r="CC23" s="1" t="s">
        <v>955</v>
      </c>
    </row>
    <row r="24" spans="1:81">
      <c r="A24" s="1" t="s">
        <v>353</v>
      </c>
      <c r="B24" s="1" t="s">
        <v>549</v>
      </c>
      <c r="C24" s="1">
        <v>1610612763</v>
      </c>
      <c r="D24" s="1" t="s">
        <v>523</v>
      </c>
      <c r="E24" s="1" t="s">
        <v>524</v>
      </c>
      <c r="F24" s="1" t="s">
        <v>384</v>
      </c>
      <c r="G24" s="1" t="s">
        <v>956</v>
      </c>
      <c r="H24" s="1">
        <v>12</v>
      </c>
      <c r="I24" s="1" t="s">
        <v>862</v>
      </c>
      <c r="J24" s="1" t="s">
        <v>403</v>
      </c>
      <c r="K24" s="1" t="s">
        <v>680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957</v>
      </c>
      <c r="R24" s="1" t="s">
        <v>658</v>
      </c>
      <c r="S24" s="1" t="s">
        <v>958</v>
      </c>
      <c r="T24" s="1" t="s">
        <v>475</v>
      </c>
      <c r="U24" s="1" t="s">
        <v>452</v>
      </c>
      <c r="V24" s="1" t="s">
        <v>507</v>
      </c>
      <c r="W24" s="1" t="s">
        <v>454</v>
      </c>
      <c r="X24" s="1" t="s">
        <v>847</v>
      </c>
      <c r="Y24" s="1" t="s">
        <v>959</v>
      </c>
      <c r="Z24" s="1">
        <v>5</v>
      </c>
      <c r="AA24" s="1" t="s">
        <v>369</v>
      </c>
      <c r="AB24" s="1">
        <v>-9</v>
      </c>
      <c r="AC24" s="1" t="s">
        <v>927</v>
      </c>
      <c r="AD24" s="1">
        <v>5</v>
      </c>
      <c r="AE24" s="1">
        <v>8</v>
      </c>
      <c r="AF24" s="1">
        <v>1</v>
      </c>
      <c r="AG24" s="1" t="s">
        <v>389</v>
      </c>
      <c r="AH24" s="1">
        <v>-1</v>
      </c>
      <c r="AI24" s="1" t="s">
        <v>388</v>
      </c>
      <c r="AJ24" s="1">
        <v>1</v>
      </c>
      <c r="AK24" s="1" t="s">
        <v>389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960</v>
      </c>
      <c r="AT24" s="1" t="s">
        <v>961</v>
      </c>
      <c r="AU24" s="1" t="s">
        <v>487</v>
      </c>
      <c r="AV24" s="1" t="s">
        <v>962</v>
      </c>
      <c r="AW24" s="1" t="s">
        <v>963</v>
      </c>
      <c r="AX24" s="1" t="s">
        <v>361</v>
      </c>
      <c r="AY24" s="1" t="s">
        <v>706</v>
      </c>
      <c r="AZ24" s="1" t="s">
        <v>964</v>
      </c>
      <c r="BA24" s="1" t="s">
        <v>899</v>
      </c>
      <c r="BB24" s="1" t="s">
        <v>965</v>
      </c>
      <c r="BC24" s="1" t="s">
        <v>966</v>
      </c>
      <c r="BD24" s="1" t="s">
        <v>967</v>
      </c>
      <c r="BE24" s="1">
        <v>103.5</v>
      </c>
      <c r="BF24" s="1">
        <v>106.1</v>
      </c>
      <c r="BG24" s="1">
        <v>-2.6</v>
      </c>
      <c r="BH24" s="1" t="s">
        <v>968</v>
      </c>
      <c r="BI24" s="1" t="s">
        <v>815</v>
      </c>
      <c r="BJ24" s="1" t="s">
        <v>815</v>
      </c>
      <c r="BK24" s="1" t="s">
        <v>815</v>
      </c>
      <c r="BL24" s="1" t="s">
        <v>956</v>
      </c>
      <c r="BM24" s="1" t="s">
        <v>763</v>
      </c>
      <c r="BN24" s="1" t="s">
        <v>838</v>
      </c>
      <c r="BO24" s="1" t="s">
        <v>692</v>
      </c>
      <c r="BP24" s="1" t="s">
        <v>969</v>
      </c>
      <c r="BQ24" s="1" t="s">
        <v>506</v>
      </c>
      <c r="BR24" s="1" t="s">
        <v>605</v>
      </c>
      <c r="BS24" s="1" t="s">
        <v>411</v>
      </c>
      <c r="BT24" s="1"/>
      <c r="BU24" s="1"/>
      <c r="BV24" s="1"/>
      <c r="BW24" s="1"/>
      <c r="BX24" s="1"/>
      <c r="BY24" s="1" t="s">
        <v>413</v>
      </c>
      <c r="BZ24" s="1" t="s">
        <v>630</v>
      </c>
      <c r="CA24" s="1" t="s">
        <v>800</v>
      </c>
      <c r="CB24" s="1" t="s">
        <v>970</v>
      </c>
      <c r="CC24" s="1" t="s">
        <v>971</v>
      </c>
    </row>
    <row r="25" spans="1:81">
      <c r="A25" s="1" t="s">
        <v>353</v>
      </c>
      <c r="B25" s="1" t="s">
        <v>549</v>
      </c>
      <c r="C25" s="1">
        <v>1610612737</v>
      </c>
      <c r="D25" s="1" t="s">
        <v>485</v>
      </c>
      <c r="E25" s="1" t="s">
        <v>486</v>
      </c>
      <c r="F25" s="1" t="s">
        <v>357</v>
      </c>
      <c r="G25" s="1" t="s">
        <v>972</v>
      </c>
      <c r="H25" s="1">
        <v>12</v>
      </c>
      <c r="I25" s="1" t="s">
        <v>862</v>
      </c>
      <c r="J25" s="1" t="s">
        <v>416</v>
      </c>
      <c r="K25" s="1" t="s">
        <v>656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973</v>
      </c>
      <c r="R25" s="1" t="s">
        <v>818</v>
      </c>
      <c r="S25" s="1" t="s">
        <v>958</v>
      </c>
      <c r="T25" s="1" t="s">
        <v>556</v>
      </c>
      <c r="U25" s="1" t="s">
        <v>452</v>
      </c>
      <c r="V25" s="1" t="s">
        <v>507</v>
      </c>
      <c r="W25" s="1" t="s">
        <v>361</v>
      </c>
      <c r="X25" s="1" t="s">
        <v>974</v>
      </c>
      <c r="Y25" s="1" t="s">
        <v>975</v>
      </c>
      <c r="Z25" s="1">
        <v>-5</v>
      </c>
      <c r="AA25" s="1" t="s">
        <v>529</v>
      </c>
      <c r="AB25" s="1">
        <v>-7</v>
      </c>
      <c r="AC25" s="1" t="s">
        <v>976</v>
      </c>
      <c r="AD25" s="1">
        <v>3</v>
      </c>
      <c r="AE25" s="1">
        <v>10</v>
      </c>
      <c r="AF25" s="1">
        <v>-1</v>
      </c>
      <c r="AG25" s="1" t="s">
        <v>388</v>
      </c>
      <c r="AH25" s="1">
        <v>-3</v>
      </c>
      <c r="AI25" s="1" t="s">
        <v>453</v>
      </c>
      <c r="AJ25" s="1">
        <v>-3</v>
      </c>
      <c r="AK25" s="1" t="s">
        <v>453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977</v>
      </c>
      <c r="AT25" s="1" t="s">
        <v>881</v>
      </c>
      <c r="AU25" s="1" t="s">
        <v>492</v>
      </c>
      <c r="AV25" s="1" t="s">
        <v>691</v>
      </c>
      <c r="AW25" s="1" t="s">
        <v>978</v>
      </c>
      <c r="AX25" s="1" t="s">
        <v>361</v>
      </c>
      <c r="AY25" s="1" t="s">
        <v>979</v>
      </c>
      <c r="AZ25" s="1" t="s">
        <v>980</v>
      </c>
      <c r="BA25" s="1" t="s">
        <v>981</v>
      </c>
      <c r="BB25" s="1" t="s">
        <v>798</v>
      </c>
      <c r="BC25" s="1" t="s">
        <v>982</v>
      </c>
      <c r="BD25" s="1" t="s">
        <v>983</v>
      </c>
      <c r="BE25" s="1">
        <v>113.3</v>
      </c>
      <c r="BF25" s="1">
        <v>119.4</v>
      </c>
      <c r="BG25" s="1">
        <v>-6</v>
      </c>
      <c r="BH25" s="1" t="s">
        <v>972</v>
      </c>
      <c r="BI25" s="1" t="s">
        <v>984</v>
      </c>
      <c r="BJ25" s="1" t="s">
        <v>951</v>
      </c>
      <c r="BK25" s="1" t="s">
        <v>673</v>
      </c>
      <c r="BL25" s="1" t="s">
        <v>799</v>
      </c>
      <c r="BM25" s="1" t="s">
        <v>710</v>
      </c>
      <c r="BN25" s="1" t="s">
        <v>473</v>
      </c>
      <c r="BO25" s="1" t="s">
        <v>473</v>
      </c>
      <c r="BP25" s="1" t="s">
        <v>905</v>
      </c>
      <c r="BQ25" s="1" t="s">
        <v>985</v>
      </c>
      <c r="BR25" s="1" t="s">
        <v>711</v>
      </c>
      <c r="BS25" s="1" t="s">
        <v>517</v>
      </c>
      <c r="BT25" s="1"/>
      <c r="BU25" s="1"/>
      <c r="BV25" s="1"/>
      <c r="BW25" s="1"/>
      <c r="BX25" s="1"/>
      <c r="BY25" s="1" t="s">
        <v>509</v>
      </c>
      <c r="BZ25" s="1" t="s">
        <v>986</v>
      </c>
      <c r="CA25" s="1" t="s">
        <v>987</v>
      </c>
      <c r="CB25" s="1" t="s">
        <v>988</v>
      </c>
      <c r="CC25" s="1" t="s">
        <v>769</v>
      </c>
    </row>
    <row r="26" spans="1:81">
      <c r="A26" s="1" t="s">
        <v>353</v>
      </c>
      <c r="B26" s="1" t="s">
        <v>549</v>
      </c>
      <c r="C26" s="1">
        <v>1610612741</v>
      </c>
      <c r="D26" s="1" t="s">
        <v>515</v>
      </c>
      <c r="E26" s="1" t="s">
        <v>516</v>
      </c>
      <c r="F26" s="1" t="s">
        <v>357</v>
      </c>
      <c r="G26" s="1" t="s">
        <v>972</v>
      </c>
      <c r="H26" s="1">
        <v>13</v>
      </c>
      <c r="I26" s="1" t="s">
        <v>862</v>
      </c>
      <c r="J26" s="1" t="s">
        <v>439</v>
      </c>
      <c r="K26" s="1" t="s">
        <v>989</v>
      </c>
      <c r="L26" s="1">
        <v>4</v>
      </c>
      <c r="M26" s="1">
        <v>22</v>
      </c>
      <c r="N26" s="1">
        <v>60</v>
      </c>
      <c r="O26" s="1">
        <v>0.26800000000000002</v>
      </c>
      <c r="P26" s="1">
        <v>0</v>
      </c>
      <c r="Q26" s="1" t="s">
        <v>990</v>
      </c>
      <c r="R26" s="1" t="s">
        <v>881</v>
      </c>
      <c r="S26" s="1" t="s">
        <v>991</v>
      </c>
      <c r="T26" s="1" t="s">
        <v>535</v>
      </c>
      <c r="U26" s="1" t="s">
        <v>535</v>
      </c>
      <c r="V26" s="1" t="s">
        <v>507</v>
      </c>
      <c r="W26" s="1" t="s">
        <v>421</v>
      </c>
      <c r="X26" s="1" t="s">
        <v>680</v>
      </c>
      <c r="Y26" s="1" t="s">
        <v>992</v>
      </c>
      <c r="Z26" s="1">
        <v>-11</v>
      </c>
      <c r="AA26" s="1" t="s">
        <v>993</v>
      </c>
      <c r="AB26" s="1">
        <v>-9</v>
      </c>
      <c r="AC26" s="1" t="s">
        <v>927</v>
      </c>
      <c r="AD26" s="1">
        <v>3</v>
      </c>
      <c r="AE26" s="1">
        <v>10</v>
      </c>
      <c r="AF26" s="1">
        <v>-5</v>
      </c>
      <c r="AG26" s="1" t="s">
        <v>529</v>
      </c>
      <c r="AH26" s="1">
        <v>-1</v>
      </c>
      <c r="AI26" s="1" t="s">
        <v>388</v>
      </c>
      <c r="AJ26" s="1">
        <v>-3</v>
      </c>
      <c r="AK26" s="1" t="s">
        <v>453</v>
      </c>
      <c r="AL26" s="1">
        <v>38</v>
      </c>
      <c r="AM26" s="1">
        <v>38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994</v>
      </c>
      <c r="AT26" s="1" t="s">
        <v>995</v>
      </c>
      <c r="AU26" s="1" t="s">
        <v>368</v>
      </c>
      <c r="AV26" s="1" t="s">
        <v>996</v>
      </c>
      <c r="AW26" s="1" t="s">
        <v>997</v>
      </c>
      <c r="AX26" s="1" t="s">
        <v>393</v>
      </c>
      <c r="AY26" s="1" t="s">
        <v>998</v>
      </c>
      <c r="AZ26" s="1" t="s">
        <v>999</v>
      </c>
      <c r="BA26" s="1" t="s">
        <v>1000</v>
      </c>
      <c r="BB26" s="1" t="s">
        <v>1001</v>
      </c>
      <c r="BC26" s="1" t="s">
        <v>696</v>
      </c>
      <c r="BD26" s="1" t="s">
        <v>1002</v>
      </c>
      <c r="BE26" s="1">
        <v>104.9</v>
      </c>
      <c r="BF26" s="1">
        <v>113.4</v>
      </c>
      <c r="BG26" s="1">
        <v>-8.4</v>
      </c>
      <c r="BH26" s="1" t="s">
        <v>972</v>
      </c>
      <c r="BI26" s="1" t="s">
        <v>984</v>
      </c>
      <c r="BJ26" s="1" t="s">
        <v>986</v>
      </c>
      <c r="BK26" s="1" t="s">
        <v>763</v>
      </c>
      <c r="BL26" s="1" t="s">
        <v>1003</v>
      </c>
      <c r="BM26" s="1" t="s">
        <v>919</v>
      </c>
      <c r="BN26" s="1" t="s">
        <v>534</v>
      </c>
      <c r="BO26" s="1" t="s">
        <v>815</v>
      </c>
      <c r="BP26" s="1" t="s">
        <v>1004</v>
      </c>
      <c r="BQ26" s="1" t="s">
        <v>710</v>
      </c>
      <c r="BR26" s="1" t="s">
        <v>858</v>
      </c>
      <c r="BS26" s="1" t="s">
        <v>517</v>
      </c>
      <c r="BT26" s="1"/>
      <c r="BU26" s="1"/>
      <c r="BV26" s="1"/>
      <c r="BW26" s="1"/>
      <c r="BX26" s="1"/>
      <c r="BY26" s="1" t="s">
        <v>1005</v>
      </c>
      <c r="BZ26" s="1" t="s">
        <v>1006</v>
      </c>
      <c r="CA26" s="1" t="s">
        <v>905</v>
      </c>
      <c r="CB26" s="1" t="s">
        <v>1007</v>
      </c>
      <c r="CC26" s="1" t="s">
        <v>955</v>
      </c>
    </row>
    <row r="27" spans="1:81">
      <c r="A27" s="1" t="s">
        <v>353</v>
      </c>
      <c r="B27" s="1" t="s">
        <v>549</v>
      </c>
      <c r="C27" s="1">
        <v>1610612740</v>
      </c>
      <c r="D27" s="1" t="s">
        <v>532</v>
      </c>
      <c r="E27" s="1" t="s">
        <v>533</v>
      </c>
      <c r="F27" s="1" t="s">
        <v>384</v>
      </c>
      <c r="G27" s="1" t="s">
        <v>891</v>
      </c>
      <c r="H27" s="1">
        <v>13</v>
      </c>
      <c r="I27" s="1" t="s">
        <v>862</v>
      </c>
      <c r="J27" s="1" t="s">
        <v>403</v>
      </c>
      <c r="K27" s="1" t="s">
        <v>680</v>
      </c>
      <c r="L27" s="1">
        <v>4</v>
      </c>
      <c r="M27" s="1">
        <v>33</v>
      </c>
      <c r="N27" s="1">
        <v>49</v>
      </c>
      <c r="O27" s="1">
        <v>0.40200000000000002</v>
      </c>
      <c r="P27" s="1">
        <v>0</v>
      </c>
      <c r="Q27" s="1" t="s">
        <v>957</v>
      </c>
      <c r="R27" s="1" t="s">
        <v>749</v>
      </c>
      <c r="S27" s="1" t="s">
        <v>879</v>
      </c>
      <c r="T27" s="1" t="s">
        <v>507</v>
      </c>
      <c r="U27" s="1" t="s">
        <v>1008</v>
      </c>
      <c r="V27" s="1" t="s">
        <v>556</v>
      </c>
      <c r="W27" s="1" t="s">
        <v>410</v>
      </c>
      <c r="X27" s="1" t="s">
        <v>475</v>
      </c>
      <c r="Y27" s="1" t="s">
        <v>1009</v>
      </c>
      <c r="Z27" s="1">
        <v>-8</v>
      </c>
      <c r="AA27" s="1" t="s">
        <v>941</v>
      </c>
      <c r="AB27" s="1">
        <v>-6</v>
      </c>
      <c r="AC27" s="1" t="s">
        <v>661</v>
      </c>
      <c r="AD27" s="1">
        <v>4</v>
      </c>
      <c r="AE27" s="1">
        <v>6</v>
      </c>
      <c r="AF27" s="1">
        <v>-3</v>
      </c>
      <c r="AG27" s="1" t="s">
        <v>453</v>
      </c>
      <c r="AH27" s="1">
        <v>1</v>
      </c>
      <c r="AI27" s="1" t="s">
        <v>389</v>
      </c>
      <c r="AJ27" s="1">
        <v>-1</v>
      </c>
      <c r="AK27" s="1" t="s">
        <v>388</v>
      </c>
      <c r="AL27" s="1">
        <v>24</v>
      </c>
      <c r="AM27" s="1">
        <v>20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1010</v>
      </c>
      <c r="AT27" s="1" t="s">
        <v>1011</v>
      </c>
      <c r="AU27" s="1" t="s">
        <v>410</v>
      </c>
      <c r="AV27" s="1" t="s">
        <v>1012</v>
      </c>
      <c r="AW27" s="1" t="s">
        <v>1013</v>
      </c>
      <c r="AX27" s="1" t="s">
        <v>373</v>
      </c>
      <c r="AY27" s="1" t="s">
        <v>1014</v>
      </c>
      <c r="AZ27" s="1" t="s">
        <v>1015</v>
      </c>
      <c r="BA27" s="1" t="s">
        <v>1016</v>
      </c>
      <c r="BB27" s="1" t="s">
        <v>1017</v>
      </c>
      <c r="BC27" s="1" t="s">
        <v>1018</v>
      </c>
      <c r="BD27" s="1" t="s">
        <v>1019</v>
      </c>
      <c r="BE27" s="1">
        <v>115.4</v>
      </c>
      <c r="BF27" s="1">
        <v>116.8</v>
      </c>
      <c r="BG27" s="1">
        <v>-1.3</v>
      </c>
      <c r="BH27" s="1" t="s">
        <v>888</v>
      </c>
      <c r="BI27" s="1" t="s">
        <v>815</v>
      </c>
      <c r="BJ27" s="1" t="s">
        <v>710</v>
      </c>
      <c r="BK27" s="1" t="s">
        <v>534</v>
      </c>
      <c r="BL27" s="1" t="s">
        <v>891</v>
      </c>
      <c r="BM27" s="1" t="s">
        <v>838</v>
      </c>
      <c r="BN27" s="1" t="s">
        <v>728</v>
      </c>
      <c r="BO27" s="1" t="s">
        <v>692</v>
      </c>
      <c r="BP27" s="1" t="s">
        <v>889</v>
      </c>
      <c r="BQ27" s="1" t="s">
        <v>506</v>
      </c>
      <c r="BR27" s="1" t="s">
        <v>800</v>
      </c>
      <c r="BS27" s="1" t="s">
        <v>468</v>
      </c>
      <c r="BT27" s="1"/>
      <c r="BU27" s="1"/>
      <c r="BV27" s="1"/>
      <c r="BW27" s="1"/>
      <c r="BX27" s="1"/>
      <c r="BY27" s="1" t="s">
        <v>436</v>
      </c>
      <c r="BZ27" s="1" t="s">
        <v>743</v>
      </c>
      <c r="CA27" s="1" t="s">
        <v>841</v>
      </c>
      <c r="CB27" s="1" t="s">
        <v>1020</v>
      </c>
      <c r="CC27" s="1" t="s">
        <v>1021</v>
      </c>
    </row>
    <row r="28" spans="1:81">
      <c r="A28" s="1" t="s">
        <v>353</v>
      </c>
      <c r="B28" s="1" t="s">
        <v>549</v>
      </c>
      <c r="C28" s="1">
        <v>1610612742</v>
      </c>
      <c r="D28" s="1" t="s">
        <v>481</v>
      </c>
      <c r="E28" s="1" t="s">
        <v>482</v>
      </c>
      <c r="F28" s="1" t="s">
        <v>384</v>
      </c>
      <c r="G28" s="1" t="s">
        <v>1022</v>
      </c>
      <c r="H28" s="1">
        <v>14</v>
      </c>
      <c r="I28" s="1" t="s">
        <v>862</v>
      </c>
      <c r="J28" s="1" t="s">
        <v>403</v>
      </c>
      <c r="K28" s="1" t="s">
        <v>863</v>
      </c>
      <c r="L28" s="1">
        <v>5</v>
      </c>
      <c r="M28" s="1">
        <v>33</v>
      </c>
      <c r="N28" s="1">
        <v>49</v>
      </c>
      <c r="O28" s="1">
        <v>0.40200000000000002</v>
      </c>
      <c r="P28" s="1">
        <v>0</v>
      </c>
      <c r="Q28" s="1" t="s">
        <v>957</v>
      </c>
      <c r="R28" s="1" t="s">
        <v>865</v>
      </c>
      <c r="S28" s="1" t="s">
        <v>881</v>
      </c>
      <c r="T28" s="1" t="s">
        <v>556</v>
      </c>
      <c r="U28" s="1" t="s">
        <v>507</v>
      </c>
      <c r="V28" s="1" t="s">
        <v>507</v>
      </c>
      <c r="W28" s="1" t="s">
        <v>451</v>
      </c>
      <c r="X28" s="1" t="s">
        <v>585</v>
      </c>
      <c r="Y28" s="1" t="s">
        <v>1023</v>
      </c>
      <c r="Z28" s="1">
        <v>11</v>
      </c>
      <c r="AA28" s="1" t="s">
        <v>587</v>
      </c>
      <c r="AB28" s="1">
        <v>-9</v>
      </c>
      <c r="AC28" s="1" t="s">
        <v>927</v>
      </c>
      <c r="AD28" s="1">
        <v>4</v>
      </c>
      <c r="AE28" s="1">
        <v>7</v>
      </c>
      <c r="AF28" s="1">
        <v>1</v>
      </c>
      <c r="AG28" s="1" t="s">
        <v>389</v>
      </c>
      <c r="AH28" s="1">
        <v>-1</v>
      </c>
      <c r="AI28" s="1" t="s">
        <v>388</v>
      </c>
      <c r="AJ28" s="1">
        <v>-1</v>
      </c>
      <c r="AK28" s="1" t="s">
        <v>388</v>
      </c>
      <c r="AL28" s="1">
        <v>24</v>
      </c>
      <c r="AM28" s="1">
        <v>20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1024</v>
      </c>
      <c r="AT28" s="1" t="s">
        <v>912</v>
      </c>
      <c r="AU28" s="1" t="s">
        <v>391</v>
      </c>
      <c r="AV28" s="1" t="s">
        <v>885</v>
      </c>
      <c r="AW28" s="1" t="s">
        <v>1025</v>
      </c>
      <c r="AX28" s="1" t="s">
        <v>373</v>
      </c>
      <c r="AY28" s="1" t="s">
        <v>1026</v>
      </c>
      <c r="AZ28" s="1" t="s">
        <v>1027</v>
      </c>
      <c r="BA28" s="1" t="s">
        <v>1028</v>
      </c>
      <c r="BB28" s="1" t="s">
        <v>1029</v>
      </c>
      <c r="BC28" s="1" t="s">
        <v>936</v>
      </c>
      <c r="BD28" s="1" t="s">
        <v>1030</v>
      </c>
      <c r="BE28" s="1">
        <v>108.9</v>
      </c>
      <c r="BF28" s="1">
        <v>110.1</v>
      </c>
      <c r="BG28" s="1">
        <v>-1.3</v>
      </c>
      <c r="BH28" s="1" t="s">
        <v>765</v>
      </c>
      <c r="BI28" s="1" t="s">
        <v>473</v>
      </c>
      <c r="BJ28" s="1" t="s">
        <v>467</v>
      </c>
      <c r="BK28" s="1" t="s">
        <v>710</v>
      </c>
      <c r="BL28" s="1" t="s">
        <v>1022</v>
      </c>
      <c r="BM28" s="1" t="s">
        <v>728</v>
      </c>
      <c r="BN28" s="1" t="s">
        <v>951</v>
      </c>
      <c r="BO28" s="1" t="s">
        <v>876</v>
      </c>
      <c r="BP28" s="1" t="s">
        <v>841</v>
      </c>
      <c r="BQ28" s="1" t="s">
        <v>473</v>
      </c>
      <c r="BR28" s="1" t="s">
        <v>1006</v>
      </c>
      <c r="BS28" s="1" t="s">
        <v>423</v>
      </c>
      <c r="BT28" s="1"/>
      <c r="BU28" s="1"/>
      <c r="BV28" s="1"/>
      <c r="BW28" s="1"/>
      <c r="BX28" s="1"/>
      <c r="BY28" s="1" t="s">
        <v>1005</v>
      </c>
      <c r="BZ28" s="1" t="s">
        <v>651</v>
      </c>
      <c r="CA28" s="1" t="s">
        <v>743</v>
      </c>
      <c r="CB28" s="1" t="s">
        <v>1031</v>
      </c>
      <c r="CC28" s="1" t="s">
        <v>1032</v>
      </c>
    </row>
    <row r="29" spans="1:81">
      <c r="A29" s="1" t="s">
        <v>353</v>
      </c>
      <c r="B29" s="1" t="s">
        <v>549</v>
      </c>
      <c r="C29" s="1">
        <v>1610612739</v>
      </c>
      <c r="D29" s="1" t="s">
        <v>470</v>
      </c>
      <c r="E29" s="1" t="s">
        <v>471</v>
      </c>
      <c r="F29" s="1" t="s">
        <v>357</v>
      </c>
      <c r="G29" s="1" t="s">
        <v>1033</v>
      </c>
      <c r="H29" s="1">
        <v>14</v>
      </c>
      <c r="I29" s="1" t="s">
        <v>862</v>
      </c>
      <c r="J29" s="1" t="s">
        <v>439</v>
      </c>
      <c r="K29" s="1" t="s">
        <v>863</v>
      </c>
      <c r="L29" s="1">
        <v>5</v>
      </c>
      <c r="M29" s="1">
        <v>19</v>
      </c>
      <c r="N29" s="1">
        <v>63</v>
      </c>
      <c r="O29" s="1">
        <v>0.23200000000000001</v>
      </c>
      <c r="P29" s="1">
        <v>0</v>
      </c>
      <c r="Q29" s="1" t="s">
        <v>1034</v>
      </c>
      <c r="R29" s="1" t="s">
        <v>991</v>
      </c>
      <c r="S29" s="1" t="s">
        <v>1035</v>
      </c>
      <c r="T29" s="1" t="s">
        <v>1036</v>
      </c>
      <c r="U29" s="1" t="s">
        <v>475</v>
      </c>
      <c r="V29" s="1" t="s">
        <v>1036</v>
      </c>
      <c r="W29" s="1" t="s">
        <v>440</v>
      </c>
      <c r="X29" s="1" t="s">
        <v>455</v>
      </c>
      <c r="Y29" s="1" t="s">
        <v>1037</v>
      </c>
      <c r="Z29" s="1">
        <v>-9</v>
      </c>
      <c r="AA29" s="1" t="s">
        <v>927</v>
      </c>
      <c r="AB29" s="1">
        <v>-11</v>
      </c>
      <c r="AC29" s="1" t="s">
        <v>993</v>
      </c>
      <c r="AD29" s="1">
        <v>2</v>
      </c>
      <c r="AE29" s="1">
        <v>12</v>
      </c>
      <c r="AF29" s="1">
        <v>-4</v>
      </c>
      <c r="AG29" s="1" t="s">
        <v>458</v>
      </c>
      <c r="AH29" s="1">
        <v>-11</v>
      </c>
      <c r="AI29" s="1" t="s">
        <v>993</v>
      </c>
      <c r="AJ29" s="1">
        <v>-10</v>
      </c>
      <c r="AK29" s="1" t="s">
        <v>752</v>
      </c>
      <c r="AL29" s="1">
        <v>41</v>
      </c>
      <c r="AM29" s="1">
        <v>41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653</v>
      </c>
      <c r="AT29" s="1" t="s">
        <v>1038</v>
      </c>
      <c r="AU29" s="1" t="s">
        <v>497</v>
      </c>
      <c r="AV29" s="1" t="s">
        <v>1039</v>
      </c>
      <c r="AW29" s="1" t="s">
        <v>1040</v>
      </c>
      <c r="AX29" s="1" t="s">
        <v>421</v>
      </c>
      <c r="AY29" s="1" t="s">
        <v>934</v>
      </c>
      <c r="AZ29" s="1" t="s">
        <v>1041</v>
      </c>
      <c r="BA29" s="1" t="s">
        <v>1042</v>
      </c>
      <c r="BB29" s="1" t="s">
        <v>1043</v>
      </c>
      <c r="BC29" s="1" t="s">
        <v>893</v>
      </c>
      <c r="BD29" s="1" t="s">
        <v>1044</v>
      </c>
      <c r="BE29" s="1">
        <v>104.5</v>
      </c>
      <c r="BF29" s="1">
        <v>114.1</v>
      </c>
      <c r="BG29" s="1">
        <v>-9.6</v>
      </c>
      <c r="BH29" s="1" t="s">
        <v>1033</v>
      </c>
      <c r="BI29" s="1" t="s">
        <v>951</v>
      </c>
      <c r="BJ29" s="1" t="s">
        <v>876</v>
      </c>
      <c r="BK29" s="1" t="s">
        <v>1045</v>
      </c>
      <c r="BL29" s="1" t="s">
        <v>1046</v>
      </c>
      <c r="BM29" s="1" t="s">
        <v>1047</v>
      </c>
      <c r="BN29" s="1" t="s">
        <v>534</v>
      </c>
      <c r="BO29" s="1" t="s">
        <v>534</v>
      </c>
      <c r="BP29" s="1" t="s">
        <v>1006</v>
      </c>
      <c r="BQ29" s="1" t="s">
        <v>473</v>
      </c>
      <c r="BR29" s="1" t="s">
        <v>858</v>
      </c>
      <c r="BS29" s="1" t="s">
        <v>503</v>
      </c>
      <c r="BT29" s="1"/>
      <c r="BU29" s="1"/>
      <c r="BV29" s="1"/>
      <c r="BW29" s="1"/>
      <c r="BX29" s="1"/>
      <c r="BY29" s="1" t="s">
        <v>548</v>
      </c>
      <c r="BZ29" s="1" t="s">
        <v>1048</v>
      </c>
      <c r="CA29" s="1" t="s">
        <v>876</v>
      </c>
      <c r="CB29" s="1" t="s">
        <v>1049</v>
      </c>
      <c r="CC29" s="1" t="s">
        <v>1050</v>
      </c>
    </row>
    <row r="30" spans="1:81">
      <c r="A30" s="1" t="s">
        <v>353</v>
      </c>
      <c r="B30" s="1" t="s">
        <v>549</v>
      </c>
      <c r="C30" s="1">
        <v>1610612752</v>
      </c>
      <c r="D30" s="1" t="s">
        <v>541</v>
      </c>
      <c r="E30" s="1" t="s">
        <v>542</v>
      </c>
      <c r="F30" s="1" t="s">
        <v>357</v>
      </c>
      <c r="G30" s="1" t="s">
        <v>1051</v>
      </c>
      <c r="H30" s="1">
        <v>15</v>
      </c>
      <c r="I30" s="1" t="s">
        <v>862</v>
      </c>
      <c r="J30" s="1" t="s">
        <v>360</v>
      </c>
      <c r="K30" s="1" t="s">
        <v>1052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1053</v>
      </c>
      <c r="R30" s="1" t="s">
        <v>881</v>
      </c>
      <c r="S30" s="1" t="s">
        <v>1054</v>
      </c>
      <c r="T30" s="1" t="s">
        <v>507</v>
      </c>
      <c r="U30" s="1" t="s">
        <v>507</v>
      </c>
      <c r="V30" s="1" t="s">
        <v>1008</v>
      </c>
      <c r="W30" s="1" t="s">
        <v>391</v>
      </c>
      <c r="X30" s="1" t="s">
        <v>525</v>
      </c>
      <c r="Y30" s="1" t="s">
        <v>1055</v>
      </c>
      <c r="Z30" s="1">
        <v>-18</v>
      </c>
      <c r="AA30" s="1" t="s">
        <v>1056</v>
      </c>
      <c r="AB30" s="1">
        <v>-9</v>
      </c>
      <c r="AC30" s="1" t="s">
        <v>927</v>
      </c>
      <c r="AD30" s="1">
        <v>3</v>
      </c>
      <c r="AE30" s="1">
        <v>18</v>
      </c>
      <c r="AF30" s="1">
        <v>-1</v>
      </c>
      <c r="AG30" s="1" t="s">
        <v>388</v>
      </c>
      <c r="AH30" s="1">
        <v>1</v>
      </c>
      <c r="AI30" s="1" t="s">
        <v>389</v>
      </c>
      <c r="AJ30" s="1">
        <v>-1</v>
      </c>
      <c r="AK30" s="1" t="s">
        <v>388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1057</v>
      </c>
      <c r="AT30" s="1" t="s">
        <v>1058</v>
      </c>
      <c r="AU30" s="1" t="s">
        <v>492</v>
      </c>
      <c r="AV30" s="1" t="s">
        <v>683</v>
      </c>
      <c r="AW30" s="1" t="s">
        <v>1059</v>
      </c>
      <c r="AX30" s="1" t="s">
        <v>492</v>
      </c>
      <c r="AY30" s="1" t="s">
        <v>1060</v>
      </c>
      <c r="AZ30" s="1" t="s">
        <v>1061</v>
      </c>
      <c r="BA30" s="1" t="s">
        <v>1062</v>
      </c>
      <c r="BB30" s="1" t="s">
        <v>1063</v>
      </c>
      <c r="BC30" s="1" t="s">
        <v>1064</v>
      </c>
      <c r="BD30" s="1" t="s">
        <v>1065</v>
      </c>
      <c r="BE30" s="1">
        <v>104.6</v>
      </c>
      <c r="BF30" s="1">
        <v>113.8</v>
      </c>
      <c r="BG30" s="1">
        <v>-9.1999999999999993</v>
      </c>
      <c r="BH30" s="1" t="s">
        <v>1051</v>
      </c>
      <c r="BI30" s="1" t="s">
        <v>969</v>
      </c>
      <c r="BJ30" s="1" t="s">
        <v>1066</v>
      </c>
      <c r="BK30" s="1" t="s">
        <v>951</v>
      </c>
      <c r="BL30" s="1" t="s">
        <v>1003</v>
      </c>
      <c r="BM30" s="1" t="s">
        <v>1047</v>
      </c>
      <c r="BN30" s="1" t="s">
        <v>534</v>
      </c>
      <c r="BO30" s="1" t="s">
        <v>473</v>
      </c>
      <c r="BP30" s="1" t="s">
        <v>1067</v>
      </c>
      <c r="BQ30" s="1" t="s">
        <v>904</v>
      </c>
      <c r="BR30" s="1" t="s">
        <v>1068</v>
      </c>
      <c r="BS30" s="1" t="s">
        <v>423</v>
      </c>
      <c r="BT30" s="1"/>
      <c r="BU30" s="1"/>
      <c r="BV30" s="1"/>
      <c r="BW30" s="1"/>
      <c r="BX30" s="1"/>
      <c r="BY30" s="1" t="s">
        <v>1005</v>
      </c>
      <c r="BZ30" s="1" t="s">
        <v>800</v>
      </c>
      <c r="CA30" s="1" t="s">
        <v>1069</v>
      </c>
      <c r="CB30" s="1" t="s">
        <v>1070</v>
      </c>
      <c r="CC30" s="1" t="s">
        <v>1071</v>
      </c>
    </row>
    <row r="31" spans="1:81">
      <c r="A31" s="1" t="s">
        <v>353</v>
      </c>
      <c r="B31" s="1" t="s">
        <v>549</v>
      </c>
      <c r="C31" s="1">
        <v>1610612756</v>
      </c>
      <c r="D31" s="1" t="s">
        <v>483</v>
      </c>
      <c r="E31" s="1" t="s">
        <v>484</v>
      </c>
      <c r="F31" s="1" t="s">
        <v>384</v>
      </c>
      <c r="G31" s="1" t="s">
        <v>1051</v>
      </c>
      <c r="H31" s="1">
        <v>15</v>
      </c>
      <c r="I31" s="1" t="s">
        <v>862</v>
      </c>
      <c r="J31" s="1" t="s">
        <v>385</v>
      </c>
      <c r="K31" s="1" t="s">
        <v>989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1034</v>
      </c>
      <c r="R31" s="1" t="s">
        <v>958</v>
      </c>
      <c r="S31" s="1" t="s">
        <v>1072</v>
      </c>
      <c r="T31" s="1" t="s">
        <v>535</v>
      </c>
      <c r="U31" s="1" t="s">
        <v>475</v>
      </c>
      <c r="V31" s="1" t="s">
        <v>507</v>
      </c>
      <c r="W31" s="1" t="s">
        <v>418</v>
      </c>
      <c r="X31" s="1" t="s">
        <v>556</v>
      </c>
      <c r="Y31" s="1" t="s">
        <v>1025</v>
      </c>
      <c r="Z31" s="1">
        <v>-6</v>
      </c>
      <c r="AA31" s="1" t="s">
        <v>661</v>
      </c>
      <c r="AB31" s="1">
        <v>-13</v>
      </c>
      <c r="AC31" s="1" t="s">
        <v>1073</v>
      </c>
      <c r="AD31" s="1">
        <v>4</v>
      </c>
      <c r="AE31" s="1">
        <v>17</v>
      </c>
      <c r="AF31" s="1">
        <v>1</v>
      </c>
      <c r="AG31" s="1" t="s">
        <v>389</v>
      </c>
      <c r="AH31" s="1">
        <v>-4</v>
      </c>
      <c r="AI31" s="1" t="s">
        <v>458</v>
      </c>
      <c r="AJ31" s="1">
        <v>-2</v>
      </c>
      <c r="AK31" s="1" t="s">
        <v>433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1074</v>
      </c>
      <c r="AT31" s="1" t="s">
        <v>1075</v>
      </c>
      <c r="AU31" s="1" t="s">
        <v>492</v>
      </c>
      <c r="AV31" s="1" t="s">
        <v>1076</v>
      </c>
      <c r="AW31" s="1" t="s">
        <v>1077</v>
      </c>
      <c r="AX31" s="1" t="s">
        <v>367</v>
      </c>
      <c r="AY31" s="1" t="s">
        <v>1078</v>
      </c>
      <c r="AZ31" s="1" t="s">
        <v>1079</v>
      </c>
      <c r="BA31" s="1" t="s">
        <v>1080</v>
      </c>
      <c r="BB31" s="1" t="s">
        <v>1081</v>
      </c>
      <c r="BC31" s="1" t="s">
        <v>1082</v>
      </c>
      <c r="BD31" s="1" t="s">
        <v>1083</v>
      </c>
      <c r="BE31" s="1">
        <v>107.5</v>
      </c>
      <c r="BF31" s="1">
        <v>116.8</v>
      </c>
      <c r="BG31" s="1">
        <v>-9.3000000000000007</v>
      </c>
      <c r="BH31" s="1" t="s">
        <v>1084</v>
      </c>
      <c r="BI31" s="1" t="s">
        <v>815</v>
      </c>
      <c r="BJ31" s="1" t="s">
        <v>815</v>
      </c>
      <c r="BK31" s="1" t="s">
        <v>534</v>
      </c>
      <c r="BL31" s="1" t="s">
        <v>1051</v>
      </c>
      <c r="BM31" s="1" t="s">
        <v>1085</v>
      </c>
      <c r="BN31" s="1" t="s">
        <v>986</v>
      </c>
      <c r="BO31" s="1" t="s">
        <v>951</v>
      </c>
      <c r="BP31" s="1" t="s">
        <v>1004</v>
      </c>
      <c r="BQ31" s="1" t="s">
        <v>1086</v>
      </c>
      <c r="BR31" s="1" t="s">
        <v>800</v>
      </c>
      <c r="BS31" s="1" t="s">
        <v>411</v>
      </c>
      <c r="BT31" s="1"/>
      <c r="BU31" s="1"/>
      <c r="BV31" s="1"/>
      <c r="BW31" s="1"/>
      <c r="BX31" s="1"/>
      <c r="BY31" s="1" t="s">
        <v>548</v>
      </c>
      <c r="BZ31" s="1" t="s">
        <v>1006</v>
      </c>
      <c r="CA31" s="1" t="s">
        <v>826</v>
      </c>
      <c r="CB31" s="1" t="s">
        <v>1087</v>
      </c>
      <c r="CC31" s="1" t="s">
        <v>1088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057EB-4B1B-43B0-8270-DC0F19078C4F}">
  <sheetPr codeName="Sheet9"/>
  <dimension ref="A1:BD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10" max="10" width="9.1796875" customWidth="1"/>
    <col min="13" max="13" width="10.1796875" customWidth="1"/>
    <col min="16" max="16" width="8.90625" customWidth="1"/>
    <col min="28" max="28" width="13.6328125" customWidth="1"/>
    <col min="29" max="29" width="10.81640625" customWidth="1"/>
    <col min="30" max="30" width="10.26953125" customWidth="1"/>
    <col min="31" max="31" width="9.26953125" customWidth="1"/>
    <col min="32" max="32" width="14.453125" customWidth="1"/>
    <col min="33" max="33" width="12" customWidth="1"/>
    <col min="34" max="34" width="12.36328125" customWidth="1"/>
    <col min="35" max="35" width="11.81640625" customWidth="1"/>
    <col min="36" max="36" width="14.81640625" customWidth="1"/>
    <col min="37" max="37" width="13.36328125" customWidth="1"/>
    <col min="38" max="38" width="12.81640625" customWidth="1"/>
    <col min="39" max="39" width="15.81640625" customWidth="1"/>
    <col min="40" max="40" width="12.08984375" customWidth="1"/>
    <col min="41" max="41" width="11.54296875" customWidth="1"/>
    <col min="42" max="42" width="14.54296875" customWidth="1"/>
    <col min="43" max="43" width="13" customWidth="1"/>
    <col min="44" max="44" width="12.90625" customWidth="1"/>
    <col min="45" max="45" width="11.6328125" customWidth="1"/>
    <col min="46" max="46" width="11.54296875" customWidth="1"/>
    <col min="47" max="47" width="12" customWidth="1"/>
    <col min="48" max="48" width="11.1796875" customWidth="1"/>
    <col min="49" max="49" width="11.453125" customWidth="1"/>
    <col min="50" max="50" width="12.6328125" customWidth="1"/>
    <col min="51" max="51" width="10.453125" customWidth="1"/>
    <col min="52" max="52" width="11.7265625" customWidth="1"/>
    <col min="53" max="53" width="11.453125" customWidth="1"/>
    <col min="54" max="54" width="19.26953125" customWidth="1"/>
    <col min="56" max="56" width="12" customWidth="1"/>
  </cols>
  <sheetData>
    <row r="1" spans="1:56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1089</v>
      </c>
      <c r="I1" s="1" t="s">
        <v>1090</v>
      </c>
      <c r="J1" s="1" t="s">
        <v>1091</v>
      </c>
      <c r="K1" s="1" t="s">
        <v>1092</v>
      </c>
      <c r="L1" s="1" t="s">
        <v>1093</v>
      </c>
      <c r="M1" s="1" t="s">
        <v>1094</v>
      </c>
      <c r="N1" s="1" t="s">
        <v>1095</v>
      </c>
      <c r="O1" s="1" t="s">
        <v>1096</v>
      </c>
      <c r="P1" s="1" t="s">
        <v>1097</v>
      </c>
      <c r="Q1" s="1" t="s">
        <v>1098</v>
      </c>
      <c r="R1" s="1" t="s">
        <v>1099</v>
      </c>
      <c r="S1" s="1" t="s">
        <v>1100</v>
      </c>
      <c r="T1" s="1" t="s">
        <v>1101</v>
      </c>
      <c r="U1" s="1" t="s">
        <v>1102</v>
      </c>
      <c r="V1" s="1" t="s">
        <v>1103</v>
      </c>
      <c r="W1" s="1" t="s">
        <v>1104</v>
      </c>
      <c r="X1" s="1" t="s">
        <v>1105</v>
      </c>
      <c r="Y1" s="1" t="s">
        <v>1106</v>
      </c>
      <c r="Z1" s="1" t="s">
        <v>1107</v>
      </c>
      <c r="AA1" s="1" t="s">
        <v>1108</v>
      </c>
      <c r="AB1" s="1" t="s">
        <v>75</v>
      </c>
      <c r="AC1" s="1" t="s">
        <v>76</v>
      </c>
      <c r="AD1" s="1" t="s">
        <v>77</v>
      </c>
      <c r="AE1" s="1" t="s">
        <v>78</v>
      </c>
      <c r="AF1" s="1" t="s">
        <v>79</v>
      </c>
      <c r="AG1" s="1" t="s">
        <v>80</v>
      </c>
      <c r="AH1" s="1" t="s">
        <v>1109</v>
      </c>
      <c r="AI1" s="1" t="s">
        <v>1110</v>
      </c>
      <c r="AJ1" s="1" t="s">
        <v>1111</v>
      </c>
      <c r="AK1" s="1" t="s">
        <v>1112</v>
      </c>
      <c r="AL1" s="1" t="s">
        <v>1113</v>
      </c>
      <c r="AM1" s="1" t="s">
        <v>1114</v>
      </c>
      <c r="AN1" s="1" t="s">
        <v>1115</v>
      </c>
      <c r="AO1" s="1" t="s">
        <v>1116</v>
      </c>
      <c r="AP1" s="1" t="s">
        <v>1117</v>
      </c>
      <c r="AQ1" s="1" t="s">
        <v>1118</v>
      </c>
      <c r="AR1" s="1" t="s">
        <v>1119</v>
      </c>
      <c r="AS1" s="1" t="s">
        <v>1120</v>
      </c>
      <c r="AT1" s="1" t="s">
        <v>1121</v>
      </c>
      <c r="AU1" s="1" t="s">
        <v>1122</v>
      </c>
      <c r="AV1" s="1" t="s">
        <v>1123</v>
      </c>
      <c r="AW1" s="1" t="s">
        <v>1124</v>
      </c>
      <c r="AX1" s="1" t="s">
        <v>1125</v>
      </c>
      <c r="AY1" s="1" t="s">
        <v>1126</v>
      </c>
      <c r="AZ1" s="1" t="s">
        <v>1127</v>
      </c>
      <c r="BA1" s="1" t="s">
        <v>1128</v>
      </c>
      <c r="BB1" s="1" t="s">
        <v>101</v>
      </c>
      <c r="BC1" s="1" t="s">
        <v>102</v>
      </c>
      <c r="BD1" s="1" t="s">
        <v>103</v>
      </c>
    </row>
    <row r="2" spans="1:56">
      <c r="A2" s="1">
        <v>1610612737</v>
      </c>
      <c r="B2" s="1" t="s">
        <v>104</v>
      </c>
      <c r="C2" s="1">
        <v>10</v>
      </c>
      <c r="D2" s="1">
        <v>4</v>
      </c>
      <c r="E2" s="1">
        <v>6</v>
      </c>
      <c r="F2" s="1">
        <v>0.4</v>
      </c>
      <c r="G2" s="1">
        <v>48.5</v>
      </c>
      <c r="H2" s="1">
        <v>39.9</v>
      </c>
      <c r="I2" s="1">
        <v>86.3</v>
      </c>
      <c r="J2" s="1">
        <v>0.46200000000000002</v>
      </c>
      <c r="K2" s="1">
        <v>9.9</v>
      </c>
      <c r="L2" s="1">
        <v>32.4</v>
      </c>
      <c r="M2" s="1">
        <v>0.30599999999999999</v>
      </c>
      <c r="N2" s="1">
        <v>16.8</v>
      </c>
      <c r="O2" s="1">
        <v>24.2</v>
      </c>
      <c r="P2" s="1">
        <v>0.69399999999999995</v>
      </c>
      <c r="Q2" s="1">
        <v>9.6999999999999993</v>
      </c>
      <c r="R2" s="1">
        <v>34.1</v>
      </c>
      <c r="S2" s="1">
        <v>43.8</v>
      </c>
      <c r="T2" s="1">
        <v>23.4</v>
      </c>
      <c r="U2" s="1" t="s">
        <v>1129</v>
      </c>
      <c r="V2" s="1">
        <v>8.1</v>
      </c>
      <c r="W2" s="1">
        <v>5.3</v>
      </c>
      <c r="X2" s="1">
        <v>7.6</v>
      </c>
      <c r="Y2" s="1">
        <v>22.2</v>
      </c>
      <c r="Z2" s="1">
        <v>21.6</v>
      </c>
      <c r="AA2" s="1">
        <v>106.5</v>
      </c>
      <c r="AB2" s="1" t="s">
        <v>1130</v>
      </c>
      <c r="AC2" s="1">
        <v>17</v>
      </c>
      <c r="AD2" s="1">
        <v>16</v>
      </c>
      <c r="AE2" s="1">
        <v>15</v>
      </c>
      <c r="AF2" s="1">
        <v>16</v>
      </c>
      <c r="AG2" s="1">
        <v>4</v>
      </c>
      <c r="AH2" s="1">
        <v>17</v>
      </c>
      <c r="AI2" s="1">
        <v>23</v>
      </c>
      <c r="AJ2" s="1">
        <v>8</v>
      </c>
      <c r="AK2" s="1">
        <v>25</v>
      </c>
      <c r="AL2" s="1">
        <v>16</v>
      </c>
      <c r="AM2" s="1">
        <v>29</v>
      </c>
      <c r="AN2" s="1">
        <v>21</v>
      </c>
      <c r="AO2" s="1">
        <v>14</v>
      </c>
      <c r="AP2" s="1">
        <v>29</v>
      </c>
      <c r="AQ2" s="1">
        <v>21</v>
      </c>
      <c r="AR2" s="1">
        <v>23</v>
      </c>
      <c r="AS2" s="1">
        <v>24</v>
      </c>
      <c r="AT2" s="1">
        <v>20</v>
      </c>
      <c r="AU2" s="1">
        <v>24</v>
      </c>
      <c r="AV2" s="1">
        <v>9</v>
      </c>
      <c r="AW2" s="1">
        <v>16</v>
      </c>
      <c r="AX2" s="1">
        <v>30</v>
      </c>
      <c r="AY2" s="1">
        <v>13</v>
      </c>
      <c r="AZ2" s="1">
        <v>22</v>
      </c>
      <c r="BA2" s="1">
        <v>23</v>
      </c>
      <c r="BB2" s="1">
        <v>23</v>
      </c>
      <c r="BC2" s="1">
        <v>10</v>
      </c>
      <c r="BD2" s="1" t="s">
        <v>104</v>
      </c>
    </row>
    <row r="3" spans="1:56">
      <c r="A3" s="1">
        <v>1610612738</v>
      </c>
      <c r="B3" s="1" t="s">
        <v>106</v>
      </c>
      <c r="C3" s="1">
        <v>10</v>
      </c>
      <c r="D3" s="1">
        <v>9</v>
      </c>
      <c r="E3" s="1">
        <v>1</v>
      </c>
      <c r="F3" s="1">
        <v>0.9</v>
      </c>
      <c r="G3" s="1">
        <v>48</v>
      </c>
      <c r="H3" s="1">
        <v>41.7</v>
      </c>
      <c r="I3" s="1">
        <v>91.2</v>
      </c>
      <c r="J3" s="1">
        <v>0.45700000000000002</v>
      </c>
      <c r="K3" s="1">
        <v>13</v>
      </c>
      <c r="L3" s="1">
        <v>35.1</v>
      </c>
      <c r="M3" s="1">
        <v>0.37</v>
      </c>
      <c r="N3" s="1">
        <v>19.7</v>
      </c>
      <c r="O3" s="1">
        <v>24.9</v>
      </c>
      <c r="P3" s="1">
        <v>0.79100000000000004</v>
      </c>
      <c r="Q3" s="1">
        <v>9.4</v>
      </c>
      <c r="R3" s="1">
        <v>36.799999999999997</v>
      </c>
      <c r="S3" s="1">
        <v>46.2</v>
      </c>
      <c r="T3" s="1">
        <v>24.7</v>
      </c>
      <c r="U3" s="1" t="s">
        <v>1131</v>
      </c>
      <c r="V3" s="1">
        <v>7.7</v>
      </c>
      <c r="W3" s="1">
        <v>6.5</v>
      </c>
      <c r="X3" s="1">
        <v>5.7</v>
      </c>
      <c r="Y3" s="1">
        <v>23.1</v>
      </c>
      <c r="Z3" s="1">
        <v>24</v>
      </c>
      <c r="AA3" s="1">
        <v>116.1</v>
      </c>
      <c r="AB3" s="1" t="s">
        <v>209</v>
      </c>
      <c r="AC3" s="1">
        <v>17</v>
      </c>
      <c r="AD3" s="1">
        <v>1</v>
      </c>
      <c r="AE3" s="1">
        <v>1</v>
      </c>
      <c r="AF3" s="1">
        <v>1</v>
      </c>
      <c r="AG3" s="1">
        <v>17</v>
      </c>
      <c r="AH3" s="1">
        <v>11</v>
      </c>
      <c r="AI3" s="1">
        <v>8</v>
      </c>
      <c r="AJ3" s="1">
        <v>16</v>
      </c>
      <c r="AK3" s="1">
        <v>8</v>
      </c>
      <c r="AL3" s="1">
        <v>9</v>
      </c>
      <c r="AM3" s="1">
        <v>8</v>
      </c>
      <c r="AN3" s="1">
        <v>7</v>
      </c>
      <c r="AO3" s="1">
        <v>13</v>
      </c>
      <c r="AP3" s="1">
        <v>8</v>
      </c>
      <c r="AQ3" s="1">
        <v>23</v>
      </c>
      <c r="AR3" s="1">
        <v>8</v>
      </c>
      <c r="AS3" s="1">
        <v>12</v>
      </c>
      <c r="AT3" s="1">
        <v>10</v>
      </c>
      <c r="AU3" s="1">
        <v>1</v>
      </c>
      <c r="AV3" s="1">
        <v>16</v>
      </c>
      <c r="AW3" s="1">
        <v>3</v>
      </c>
      <c r="AX3" s="1">
        <v>20</v>
      </c>
      <c r="AY3" s="1">
        <v>19</v>
      </c>
      <c r="AZ3" s="1">
        <v>6</v>
      </c>
      <c r="BA3" s="1">
        <v>7</v>
      </c>
      <c r="BB3" s="1">
        <v>1</v>
      </c>
      <c r="BC3" s="1">
        <v>10</v>
      </c>
      <c r="BD3" s="1" t="s">
        <v>106</v>
      </c>
    </row>
    <row r="4" spans="1:56">
      <c r="A4" s="1">
        <v>1610612751</v>
      </c>
      <c r="B4" s="1" t="s">
        <v>107</v>
      </c>
      <c r="C4" s="1">
        <v>10</v>
      </c>
      <c r="D4" s="1">
        <v>4</v>
      </c>
      <c r="E4" s="1">
        <v>6</v>
      </c>
      <c r="F4" s="1">
        <v>0.4</v>
      </c>
      <c r="G4" s="1">
        <v>49</v>
      </c>
      <c r="H4" s="1">
        <v>43</v>
      </c>
      <c r="I4" s="1">
        <v>92.3</v>
      </c>
      <c r="J4" s="1">
        <v>0.46600000000000003</v>
      </c>
      <c r="K4" s="1">
        <v>13.6</v>
      </c>
      <c r="L4" s="1">
        <v>36</v>
      </c>
      <c r="M4" s="1">
        <v>0.378</v>
      </c>
      <c r="N4" s="1">
        <v>19.600000000000001</v>
      </c>
      <c r="O4" s="1">
        <v>26.8</v>
      </c>
      <c r="P4" s="1">
        <v>0.73099999999999998</v>
      </c>
      <c r="Q4" s="1">
        <v>11.3</v>
      </c>
      <c r="R4" s="1">
        <v>37.299999999999997</v>
      </c>
      <c r="S4" s="1">
        <v>48.6</v>
      </c>
      <c r="T4" s="1">
        <v>23.5</v>
      </c>
      <c r="U4" s="1" t="s">
        <v>1132</v>
      </c>
      <c r="V4" s="1">
        <v>7.1</v>
      </c>
      <c r="W4" s="1">
        <v>5.4</v>
      </c>
      <c r="X4" s="1">
        <v>5.6</v>
      </c>
      <c r="Y4" s="1">
        <v>23.8</v>
      </c>
      <c r="Z4" s="1">
        <v>23</v>
      </c>
      <c r="AA4" s="1">
        <v>119.2</v>
      </c>
      <c r="AB4" s="1" t="s">
        <v>1133</v>
      </c>
      <c r="AC4" s="1">
        <v>17</v>
      </c>
      <c r="AD4" s="1">
        <v>16</v>
      </c>
      <c r="AE4" s="1">
        <v>15</v>
      </c>
      <c r="AF4" s="1">
        <v>16</v>
      </c>
      <c r="AG4" s="1">
        <v>2</v>
      </c>
      <c r="AH4" s="1">
        <v>5</v>
      </c>
      <c r="AI4" s="1">
        <v>4</v>
      </c>
      <c r="AJ4" s="1">
        <v>7</v>
      </c>
      <c r="AK4" s="1">
        <v>6</v>
      </c>
      <c r="AL4" s="1">
        <v>6</v>
      </c>
      <c r="AM4" s="1">
        <v>5</v>
      </c>
      <c r="AN4" s="1">
        <v>8</v>
      </c>
      <c r="AO4" s="1">
        <v>5</v>
      </c>
      <c r="AP4" s="1">
        <v>24</v>
      </c>
      <c r="AQ4" s="1">
        <v>5</v>
      </c>
      <c r="AR4" s="1">
        <v>3</v>
      </c>
      <c r="AS4" s="1">
        <v>3</v>
      </c>
      <c r="AT4" s="1">
        <v>19</v>
      </c>
      <c r="AU4" s="1">
        <v>29</v>
      </c>
      <c r="AV4" s="1">
        <v>22</v>
      </c>
      <c r="AW4" s="1">
        <v>13</v>
      </c>
      <c r="AX4" s="1">
        <v>19</v>
      </c>
      <c r="AY4" s="1">
        <v>24</v>
      </c>
      <c r="AZ4" s="1">
        <v>9</v>
      </c>
      <c r="BA4" s="1">
        <v>2</v>
      </c>
      <c r="BB4" s="1">
        <v>20</v>
      </c>
      <c r="BC4" s="1">
        <v>10</v>
      </c>
      <c r="BD4" s="1" t="s">
        <v>107</v>
      </c>
    </row>
    <row r="5" spans="1:56">
      <c r="A5" s="1">
        <v>1610612766</v>
      </c>
      <c r="B5" s="1" t="s">
        <v>109</v>
      </c>
      <c r="C5" s="1">
        <v>11</v>
      </c>
      <c r="D5" s="1">
        <v>4</v>
      </c>
      <c r="E5" s="1">
        <v>7</v>
      </c>
      <c r="F5" s="1">
        <v>0.36399999999999999</v>
      </c>
      <c r="G5" s="1">
        <v>48.5</v>
      </c>
      <c r="H5" s="1">
        <v>38.799999999999997</v>
      </c>
      <c r="I5" s="1">
        <v>86.3</v>
      </c>
      <c r="J5" s="1">
        <v>0.45</v>
      </c>
      <c r="K5" s="1">
        <v>12.5</v>
      </c>
      <c r="L5" s="1">
        <v>34.1</v>
      </c>
      <c r="M5" s="1">
        <v>0.36799999999999999</v>
      </c>
      <c r="N5" s="1">
        <v>16.600000000000001</v>
      </c>
      <c r="O5" s="1">
        <v>23.1</v>
      </c>
      <c r="P5" s="1">
        <v>0.72</v>
      </c>
      <c r="Q5" s="1">
        <v>10.1</v>
      </c>
      <c r="R5" s="1">
        <v>31.2</v>
      </c>
      <c r="S5" s="1">
        <v>41.3</v>
      </c>
      <c r="T5" s="1">
        <v>24</v>
      </c>
      <c r="U5" s="1" t="s">
        <v>136</v>
      </c>
      <c r="V5" s="1">
        <v>6.8</v>
      </c>
      <c r="W5" s="1">
        <v>3.8</v>
      </c>
      <c r="X5" s="1">
        <v>5.8</v>
      </c>
      <c r="Y5" s="1">
        <v>19.600000000000001</v>
      </c>
      <c r="Z5" s="1">
        <v>22.4</v>
      </c>
      <c r="AA5" s="1">
        <v>106.8</v>
      </c>
      <c r="AB5" s="1" t="s">
        <v>1134</v>
      </c>
      <c r="AC5" s="1">
        <v>2</v>
      </c>
      <c r="AD5" s="1">
        <v>16</v>
      </c>
      <c r="AE5" s="1">
        <v>20</v>
      </c>
      <c r="AF5" s="1">
        <v>20</v>
      </c>
      <c r="AG5" s="1">
        <v>12</v>
      </c>
      <c r="AH5" s="1">
        <v>23</v>
      </c>
      <c r="AI5" s="1">
        <v>25</v>
      </c>
      <c r="AJ5" s="1">
        <v>20</v>
      </c>
      <c r="AK5" s="1">
        <v>11</v>
      </c>
      <c r="AL5" s="1">
        <v>13</v>
      </c>
      <c r="AM5" s="1">
        <v>9</v>
      </c>
      <c r="AN5" s="1">
        <v>22</v>
      </c>
      <c r="AO5" s="1">
        <v>20</v>
      </c>
      <c r="AP5" s="1">
        <v>26</v>
      </c>
      <c r="AQ5" s="1">
        <v>18</v>
      </c>
      <c r="AR5" s="1">
        <v>30</v>
      </c>
      <c r="AS5" s="1">
        <v>29</v>
      </c>
      <c r="AT5" s="1">
        <v>14</v>
      </c>
      <c r="AU5" s="1">
        <v>25</v>
      </c>
      <c r="AV5" s="1">
        <v>25</v>
      </c>
      <c r="AW5" s="1">
        <v>27</v>
      </c>
      <c r="AX5" s="1">
        <v>22</v>
      </c>
      <c r="AY5" s="1">
        <v>3</v>
      </c>
      <c r="AZ5" s="1">
        <v>13</v>
      </c>
      <c r="BA5" s="1">
        <v>21</v>
      </c>
      <c r="BB5" s="1">
        <v>27</v>
      </c>
      <c r="BC5" s="1">
        <v>10</v>
      </c>
      <c r="BD5" s="1" t="s">
        <v>109</v>
      </c>
    </row>
    <row r="6" spans="1:56">
      <c r="A6" s="1">
        <v>1610612741</v>
      </c>
      <c r="B6" s="1" t="s">
        <v>112</v>
      </c>
      <c r="C6" s="1">
        <v>11</v>
      </c>
      <c r="D6" s="1">
        <v>4</v>
      </c>
      <c r="E6" s="1">
        <v>7</v>
      </c>
      <c r="F6" s="1">
        <v>0.36399999999999999</v>
      </c>
      <c r="G6" s="1">
        <v>48</v>
      </c>
      <c r="H6" s="1">
        <v>39.1</v>
      </c>
      <c r="I6" s="1">
        <v>89.9</v>
      </c>
      <c r="J6" s="1">
        <v>0.435</v>
      </c>
      <c r="K6" s="1">
        <v>11.2</v>
      </c>
      <c r="L6" s="1">
        <v>34.5</v>
      </c>
      <c r="M6" s="1">
        <v>0.32400000000000001</v>
      </c>
      <c r="N6" s="1">
        <v>17.399999999999999</v>
      </c>
      <c r="O6" s="1">
        <v>23.8</v>
      </c>
      <c r="P6" s="1">
        <v>0.72899999999999998</v>
      </c>
      <c r="Q6" s="1">
        <v>9.9</v>
      </c>
      <c r="R6" s="1">
        <v>32.799999999999997</v>
      </c>
      <c r="S6" s="1">
        <v>42.7</v>
      </c>
      <c r="T6" s="1">
        <v>22.9</v>
      </c>
      <c r="U6" s="1" t="s">
        <v>162</v>
      </c>
      <c r="V6" s="1">
        <v>9.5</v>
      </c>
      <c r="W6" s="1">
        <v>4.2</v>
      </c>
      <c r="X6" s="1">
        <v>6.7</v>
      </c>
      <c r="Y6" s="1">
        <v>22.4</v>
      </c>
      <c r="Z6" s="1">
        <v>22</v>
      </c>
      <c r="AA6" s="1">
        <v>106.7</v>
      </c>
      <c r="AB6" s="1" t="s">
        <v>1135</v>
      </c>
      <c r="AC6" s="1">
        <v>2</v>
      </c>
      <c r="AD6" s="1">
        <v>16</v>
      </c>
      <c r="AE6" s="1">
        <v>20</v>
      </c>
      <c r="AF6" s="1">
        <v>20</v>
      </c>
      <c r="AG6" s="1">
        <v>17</v>
      </c>
      <c r="AH6" s="1">
        <v>21</v>
      </c>
      <c r="AI6" s="1">
        <v>16</v>
      </c>
      <c r="AJ6" s="1">
        <v>27</v>
      </c>
      <c r="AK6" s="1">
        <v>16</v>
      </c>
      <c r="AL6" s="1">
        <v>12</v>
      </c>
      <c r="AM6" s="1">
        <v>25</v>
      </c>
      <c r="AN6" s="1">
        <v>18</v>
      </c>
      <c r="AO6" s="1">
        <v>15</v>
      </c>
      <c r="AP6" s="1">
        <v>25</v>
      </c>
      <c r="AQ6" s="1">
        <v>20</v>
      </c>
      <c r="AR6" s="1">
        <v>26</v>
      </c>
      <c r="AS6" s="1">
        <v>26</v>
      </c>
      <c r="AT6" s="1">
        <v>21</v>
      </c>
      <c r="AU6" s="1">
        <v>10</v>
      </c>
      <c r="AV6" s="1">
        <v>4</v>
      </c>
      <c r="AW6" s="1">
        <v>25</v>
      </c>
      <c r="AX6" s="1">
        <v>28</v>
      </c>
      <c r="AY6" s="1">
        <v>14</v>
      </c>
      <c r="AZ6" s="1">
        <v>16</v>
      </c>
      <c r="BA6" s="1">
        <v>22</v>
      </c>
      <c r="BB6" s="1">
        <v>21</v>
      </c>
      <c r="BC6" s="1">
        <v>10</v>
      </c>
      <c r="BD6" s="1" t="s">
        <v>112</v>
      </c>
    </row>
    <row r="7" spans="1:56">
      <c r="A7" s="1">
        <v>1610612739</v>
      </c>
      <c r="B7" s="1" t="s">
        <v>114</v>
      </c>
      <c r="C7" s="1">
        <v>10</v>
      </c>
      <c r="D7" s="1">
        <v>4</v>
      </c>
      <c r="E7" s="1">
        <v>6</v>
      </c>
      <c r="F7" s="1">
        <v>0.4</v>
      </c>
      <c r="G7" s="1">
        <v>48</v>
      </c>
      <c r="H7" s="1">
        <v>38.5</v>
      </c>
      <c r="I7" s="1">
        <v>88.2</v>
      </c>
      <c r="J7" s="1">
        <v>0.437</v>
      </c>
      <c r="K7" s="1">
        <v>10.3</v>
      </c>
      <c r="L7" s="1">
        <v>31.7</v>
      </c>
      <c r="M7" s="1">
        <v>0.32500000000000001</v>
      </c>
      <c r="N7" s="1">
        <v>18.8</v>
      </c>
      <c r="O7" s="1">
        <v>23.6</v>
      </c>
      <c r="P7" s="1">
        <v>0.79700000000000004</v>
      </c>
      <c r="Q7" s="1">
        <v>10.3</v>
      </c>
      <c r="R7" s="1">
        <v>35.700000000000003</v>
      </c>
      <c r="S7" s="1">
        <v>46</v>
      </c>
      <c r="T7" s="1">
        <v>20.399999999999999</v>
      </c>
      <c r="U7" s="1" t="s">
        <v>187</v>
      </c>
      <c r="V7" s="1">
        <v>7.4</v>
      </c>
      <c r="W7" s="1">
        <v>3.7</v>
      </c>
      <c r="X7" s="1">
        <v>6.8</v>
      </c>
      <c r="Y7" s="1">
        <v>18</v>
      </c>
      <c r="Z7" s="1">
        <v>22</v>
      </c>
      <c r="AA7" s="1">
        <v>106.1</v>
      </c>
      <c r="AB7" s="1" t="s">
        <v>194</v>
      </c>
      <c r="AC7" s="1">
        <v>17</v>
      </c>
      <c r="AD7" s="1">
        <v>16</v>
      </c>
      <c r="AE7" s="1">
        <v>15</v>
      </c>
      <c r="AF7" s="1">
        <v>16</v>
      </c>
      <c r="AG7" s="1">
        <v>17</v>
      </c>
      <c r="AH7" s="1">
        <v>25</v>
      </c>
      <c r="AI7" s="1">
        <v>20</v>
      </c>
      <c r="AJ7" s="1">
        <v>26</v>
      </c>
      <c r="AK7" s="1">
        <v>21</v>
      </c>
      <c r="AL7" s="1">
        <v>17</v>
      </c>
      <c r="AM7" s="1">
        <v>24</v>
      </c>
      <c r="AN7" s="1">
        <v>15</v>
      </c>
      <c r="AO7" s="1">
        <v>19</v>
      </c>
      <c r="AP7" s="1">
        <v>7</v>
      </c>
      <c r="AQ7" s="1">
        <v>16</v>
      </c>
      <c r="AR7" s="1">
        <v>16</v>
      </c>
      <c r="AS7" s="1">
        <v>14</v>
      </c>
      <c r="AT7" s="1">
        <v>27</v>
      </c>
      <c r="AU7" s="1">
        <v>5</v>
      </c>
      <c r="AV7" s="1">
        <v>19</v>
      </c>
      <c r="AW7" s="1">
        <v>29</v>
      </c>
      <c r="AX7" s="1">
        <v>29</v>
      </c>
      <c r="AY7" s="1">
        <v>1</v>
      </c>
      <c r="AZ7" s="1">
        <v>16</v>
      </c>
      <c r="BA7" s="1">
        <v>24</v>
      </c>
      <c r="BB7" s="1">
        <v>17</v>
      </c>
      <c r="BC7" s="1">
        <v>10</v>
      </c>
      <c r="BD7" s="1" t="s">
        <v>114</v>
      </c>
    </row>
    <row r="8" spans="1:56">
      <c r="A8" s="1">
        <v>1610612742</v>
      </c>
      <c r="B8" s="1" t="s">
        <v>118</v>
      </c>
      <c r="C8" s="1">
        <v>10</v>
      </c>
      <c r="D8" s="1">
        <v>6</v>
      </c>
      <c r="E8" s="1">
        <v>4</v>
      </c>
      <c r="F8" s="1">
        <v>0.6</v>
      </c>
      <c r="G8" s="1">
        <v>48.5</v>
      </c>
      <c r="H8" s="1">
        <v>41</v>
      </c>
      <c r="I8" s="1">
        <v>90.3</v>
      </c>
      <c r="J8" s="1">
        <v>0.45400000000000001</v>
      </c>
      <c r="K8" s="1">
        <v>13.9</v>
      </c>
      <c r="L8" s="1">
        <v>39.9</v>
      </c>
      <c r="M8" s="1">
        <v>0.34799999999999998</v>
      </c>
      <c r="N8" s="1">
        <v>19.399999999999999</v>
      </c>
      <c r="O8" s="1">
        <v>25.5</v>
      </c>
      <c r="P8" s="1">
        <v>0.76100000000000001</v>
      </c>
      <c r="Q8" s="1">
        <v>11.2</v>
      </c>
      <c r="R8" s="1">
        <v>36.6</v>
      </c>
      <c r="S8" s="1">
        <v>47.8</v>
      </c>
      <c r="T8" s="1">
        <v>24</v>
      </c>
      <c r="U8" s="1" t="s">
        <v>195</v>
      </c>
      <c r="V8" s="1">
        <v>5.5</v>
      </c>
      <c r="W8" s="1">
        <v>4.4000000000000004</v>
      </c>
      <c r="X8" s="1">
        <v>4.5999999999999996</v>
      </c>
      <c r="Y8" s="1">
        <v>20.3</v>
      </c>
      <c r="Z8" s="1">
        <v>24.2</v>
      </c>
      <c r="AA8" s="1">
        <v>115.3</v>
      </c>
      <c r="AB8" s="1" t="s">
        <v>1136</v>
      </c>
      <c r="AC8" s="1">
        <v>17</v>
      </c>
      <c r="AD8" s="1">
        <v>13</v>
      </c>
      <c r="AE8" s="1">
        <v>9</v>
      </c>
      <c r="AF8" s="1">
        <v>13</v>
      </c>
      <c r="AG8" s="1">
        <v>4</v>
      </c>
      <c r="AH8" s="1">
        <v>13</v>
      </c>
      <c r="AI8" s="1">
        <v>13</v>
      </c>
      <c r="AJ8" s="1">
        <v>17</v>
      </c>
      <c r="AK8" s="1">
        <v>5</v>
      </c>
      <c r="AL8" s="1">
        <v>3</v>
      </c>
      <c r="AM8" s="1">
        <v>15</v>
      </c>
      <c r="AN8" s="1">
        <v>10</v>
      </c>
      <c r="AO8" s="1">
        <v>10</v>
      </c>
      <c r="AP8" s="1">
        <v>15</v>
      </c>
      <c r="AQ8" s="1">
        <v>7</v>
      </c>
      <c r="AR8" s="1">
        <v>10</v>
      </c>
      <c r="AS8" s="1">
        <v>5</v>
      </c>
      <c r="AT8" s="1">
        <v>14</v>
      </c>
      <c r="AU8" s="1">
        <v>6</v>
      </c>
      <c r="AV8" s="1">
        <v>30</v>
      </c>
      <c r="AW8" s="1">
        <v>24</v>
      </c>
      <c r="AX8" s="1">
        <v>10</v>
      </c>
      <c r="AY8" s="1">
        <v>6</v>
      </c>
      <c r="AZ8" s="1">
        <v>4</v>
      </c>
      <c r="BA8" s="1">
        <v>9</v>
      </c>
      <c r="BB8" s="1">
        <v>10</v>
      </c>
      <c r="BC8" s="1">
        <v>10</v>
      </c>
      <c r="BD8" s="1" t="s">
        <v>118</v>
      </c>
    </row>
    <row r="9" spans="1:56">
      <c r="A9" s="1">
        <v>1610612743</v>
      </c>
      <c r="B9" s="1" t="s">
        <v>121</v>
      </c>
      <c r="C9" s="1">
        <v>10</v>
      </c>
      <c r="D9" s="1">
        <v>7</v>
      </c>
      <c r="E9" s="1">
        <v>3</v>
      </c>
      <c r="F9" s="1">
        <v>0.7</v>
      </c>
      <c r="G9" s="1">
        <v>49</v>
      </c>
      <c r="H9" s="1">
        <v>38.799999999999997</v>
      </c>
      <c r="I9" s="1">
        <v>90.2</v>
      </c>
      <c r="J9" s="1">
        <v>0.43</v>
      </c>
      <c r="K9" s="1">
        <v>10.199999999999999</v>
      </c>
      <c r="L9" s="1">
        <v>29.5</v>
      </c>
      <c r="M9" s="1">
        <v>0.34599999999999997</v>
      </c>
      <c r="N9" s="1">
        <v>17.3</v>
      </c>
      <c r="O9" s="1">
        <v>22.4</v>
      </c>
      <c r="P9" s="1">
        <v>0.77200000000000002</v>
      </c>
      <c r="Q9" s="1">
        <v>10.9</v>
      </c>
      <c r="R9" s="1">
        <v>34.6</v>
      </c>
      <c r="S9" s="1">
        <v>45.5</v>
      </c>
      <c r="T9" s="1">
        <v>24.7</v>
      </c>
      <c r="U9" s="1" t="s">
        <v>227</v>
      </c>
      <c r="V9" s="1">
        <v>7.8</v>
      </c>
      <c r="W9" s="1">
        <v>5.0999999999999996</v>
      </c>
      <c r="X9" s="1">
        <v>5.7</v>
      </c>
      <c r="Y9" s="1">
        <v>22</v>
      </c>
      <c r="Z9" s="1">
        <v>22.5</v>
      </c>
      <c r="AA9" s="1">
        <v>105.1</v>
      </c>
      <c r="AB9" s="1" t="s">
        <v>1137</v>
      </c>
      <c r="AC9" s="1">
        <v>17</v>
      </c>
      <c r="AD9" s="1">
        <v>5</v>
      </c>
      <c r="AE9" s="1">
        <v>3</v>
      </c>
      <c r="AF9" s="1">
        <v>5</v>
      </c>
      <c r="AG9" s="1">
        <v>2</v>
      </c>
      <c r="AH9" s="1">
        <v>24</v>
      </c>
      <c r="AI9" s="1">
        <v>15</v>
      </c>
      <c r="AJ9" s="1">
        <v>28</v>
      </c>
      <c r="AK9" s="1">
        <v>22</v>
      </c>
      <c r="AL9" s="1">
        <v>25</v>
      </c>
      <c r="AM9" s="1">
        <v>16</v>
      </c>
      <c r="AN9" s="1">
        <v>19</v>
      </c>
      <c r="AO9" s="1">
        <v>23</v>
      </c>
      <c r="AP9" s="1">
        <v>11</v>
      </c>
      <c r="AQ9" s="1">
        <v>10</v>
      </c>
      <c r="AR9" s="1">
        <v>21</v>
      </c>
      <c r="AS9" s="1">
        <v>18</v>
      </c>
      <c r="AT9" s="1">
        <v>10</v>
      </c>
      <c r="AU9" s="1">
        <v>4</v>
      </c>
      <c r="AV9" s="1">
        <v>13</v>
      </c>
      <c r="AW9" s="1">
        <v>18</v>
      </c>
      <c r="AX9" s="1">
        <v>20</v>
      </c>
      <c r="AY9" s="1">
        <v>11</v>
      </c>
      <c r="AZ9" s="1">
        <v>12</v>
      </c>
      <c r="BA9" s="1">
        <v>27</v>
      </c>
      <c r="BB9" s="1">
        <v>13</v>
      </c>
      <c r="BC9" s="1">
        <v>10</v>
      </c>
      <c r="BD9" s="1" t="s">
        <v>121</v>
      </c>
    </row>
    <row r="10" spans="1:56">
      <c r="A10" s="1">
        <v>1610612765</v>
      </c>
      <c r="B10" s="1" t="s">
        <v>124</v>
      </c>
      <c r="C10" s="1">
        <v>12</v>
      </c>
      <c r="D10" s="1">
        <v>4</v>
      </c>
      <c r="E10" s="1">
        <v>8</v>
      </c>
      <c r="F10" s="1">
        <v>0.33300000000000002</v>
      </c>
      <c r="G10" s="1">
        <v>48</v>
      </c>
      <c r="H10" s="1">
        <v>38.9</v>
      </c>
      <c r="I10" s="1">
        <v>83</v>
      </c>
      <c r="J10" s="1">
        <v>0.46899999999999997</v>
      </c>
      <c r="K10" s="1">
        <v>11.8</v>
      </c>
      <c r="L10" s="1">
        <v>29.4</v>
      </c>
      <c r="M10" s="1">
        <v>0.40200000000000002</v>
      </c>
      <c r="N10" s="1">
        <v>19.3</v>
      </c>
      <c r="O10" s="1">
        <v>25.3</v>
      </c>
      <c r="P10" s="1">
        <v>0.76</v>
      </c>
      <c r="Q10" s="1">
        <v>9.1999999999999993</v>
      </c>
      <c r="R10" s="1">
        <v>31.9</v>
      </c>
      <c r="S10" s="1">
        <v>41.1</v>
      </c>
      <c r="T10" s="1">
        <v>24.7</v>
      </c>
      <c r="U10" s="1" t="s">
        <v>147</v>
      </c>
      <c r="V10" s="1">
        <v>6.9</v>
      </c>
      <c r="W10" s="1">
        <v>5.4</v>
      </c>
      <c r="X10" s="1">
        <v>4</v>
      </c>
      <c r="Y10" s="1">
        <v>21.2</v>
      </c>
      <c r="Z10" s="1">
        <v>21.9</v>
      </c>
      <c r="AA10" s="1">
        <v>108.9</v>
      </c>
      <c r="AB10" s="1" t="s">
        <v>1130</v>
      </c>
      <c r="AC10" s="1">
        <v>1</v>
      </c>
      <c r="AD10" s="1">
        <v>16</v>
      </c>
      <c r="AE10" s="1">
        <v>27</v>
      </c>
      <c r="AF10" s="1">
        <v>26</v>
      </c>
      <c r="AG10" s="1">
        <v>17</v>
      </c>
      <c r="AH10" s="1">
        <v>22</v>
      </c>
      <c r="AI10" s="1">
        <v>29</v>
      </c>
      <c r="AJ10" s="1">
        <v>5</v>
      </c>
      <c r="AK10" s="1">
        <v>14</v>
      </c>
      <c r="AL10" s="1">
        <v>26</v>
      </c>
      <c r="AM10" s="1">
        <v>1</v>
      </c>
      <c r="AN10" s="1">
        <v>12</v>
      </c>
      <c r="AO10" s="1">
        <v>11</v>
      </c>
      <c r="AP10" s="1">
        <v>17</v>
      </c>
      <c r="AQ10" s="1">
        <v>24</v>
      </c>
      <c r="AR10" s="1">
        <v>27</v>
      </c>
      <c r="AS10" s="1">
        <v>30</v>
      </c>
      <c r="AT10" s="1">
        <v>12</v>
      </c>
      <c r="AU10" s="1">
        <v>23</v>
      </c>
      <c r="AV10" s="1">
        <v>23</v>
      </c>
      <c r="AW10" s="1">
        <v>12</v>
      </c>
      <c r="AX10" s="1">
        <v>3</v>
      </c>
      <c r="AY10" s="1">
        <v>8</v>
      </c>
      <c r="AZ10" s="1">
        <v>19</v>
      </c>
      <c r="BA10" s="1">
        <v>19</v>
      </c>
      <c r="BB10" s="1">
        <v>22</v>
      </c>
      <c r="BC10" s="1">
        <v>10</v>
      </c>
      <c r="BD10" s="1" t="s">
        <v>124</v>
      </c>
    </row>
    <row r="11" spans="1:56">
      <c r="A11" s="1">
        <v>1610612744</v>
      </c>
      <c r="B11" s="1" t="s">
        <v>126</v>
      </c>
      <c r="C11" s="1">
        <v>11</v>
      </c>
      <c r="D11" s="1">
        <v>2</v>
      </c>
      <c r="E11" s="1">
        <v>9</v>
      </c>
      <c r="F11" s="1">
        <v>0.182</v>
      </c>
      <c r="G11" s="1">
        <v>48.5</v>
      </c>
      <c r="H11" s="1">
        <v>39.9</v>
      </c>
      <c r="I11" s="1">
        <v>91.1</v>
      </c>
      <c r="J11" s="1">
        <v>0.438</v>
      </c>
      <c r="K11" s="1">
        <v>10.4</v>
      </c>
      <c r="L11" s="1">
        <v>31</v>
      </c>
      <c r="M11" s="1">
        <v>0.33400000000000002</v>
      </c>
      <c r="N11" s="1">
        <v>21.5</v>
      </c>
      <c r="O11" s="1">
        <v>24.9</v>
      </c>
      <c r="P11" s="1">
        <v>0.86499999999999999</v>
      </c>
      <c r="Q11" s="1">
        <v>10.5</v>
      </c>
      <c r="R11" s="1">
        <v>33.9</v>
      </c>
      <c r="S11" s="1">
        <v>44.5</v>
      </c>
      <c r="T11" s="1">
        <v>24.2</v>
      </c>
      <c r="U11" s="1" t="s">
        <v>1138</v>
      </c>
      <c r="V11" s="1">
        <v>7.7</v>
      </c>
      <c r="W11" s="1">
        <v>3.5</v>
      </c>
      <c r="X11" s="1">
        <v>5.2</v>
      </c>
      <c r="Y11" s="1">
        <v>20.100000000000001</v>
      </c>
      <c r="Z11" s="1">
        <v>20.5</v>
      </c>
      <c r="AA11" s="1">
        <v>111.7</v>
      </c>
      <c r="AB11" s="1" t="s">
        <v>1139</v>
      </c>
      <c r="AC11" s="1">
        <v>2</v>
      </c>
      <c r="AD11" s="1">
        <v>27</v>
      </c>
      <c r="AE11" s="1">
        <v>29</v>
      </c>
      <c r="AF11" s="1">
        <v>29</v>
      </c>
      <c r="AG11" s="1">
        <v>12</v>
      </c>
      <c r="AH11" s="1">
        <v>16</v>
      </c>
      <c r="AI11" s="1">
        <v>10</v>
      </c>
      <c r="AJ11" s="1">
        <v>25</v>
      </c>
      <c r="AK11" s="1">
        <v>20</v>
      </c>
      <c r="AL11" s="1">
        <v>18</v>
      </c>
      <c r="AM11" s="1">
        <v>22</v>
      </c>
      <c r="AN11" s="1">
        <v>2</v>
      </c>
      <c r="AO11" s="1">
        <v>12</v>
      </c>
      <c r="AP11" s="1">
        <v>1</v>
      </c>
      <c r="AQ11" s="1">
        <v>12</v>
      </c>
      <c r="AR11" s="1">
        <v>24</v>
      </c>
      <c r="AS11" s="1">
        <v>21</v>
      </c>
      <c r="AT11" s="1">
        <v>13</v>
      </c>
      <c r="AU11" s="1">
        <v>7</v>
      </c>
      <c r="AV11" s="1">
        <v>15</v>
      </c>
      <c r="AW11" s="1">
        <v>30</v>
      </c>
      <c r="AX11" s="1">
        <v>14</v>
      </c>
      <c r="AY11" s="1">
        <v>4</v>
      </c>
      <c r="AZ11" s="1">
        <v>26</v>
      </c>
      <c r="BA11" s="1">
        <v>13</v>
      </c>
      <c r="BB11" s="1">
        <v>29</v>
      </c>
      <c r="BC11" s="1">
        <v>10</v>
      </c>
      <c r="BD11" s="1" t="s">
        <v>126</v>
      </c>
    </row>
    <row r="12" spans="1:56">
      <c r="A12" s="1">
        <v>1610612745</v>
      </c>
      <c r="B12" s="1" t="s">
        <v>128</v>
      </c>
      <c r="C12" s="1">
        <v>11</v>
      </c>
      <c r="D12" s="1">
        <v>8</v>
      </c>
      <c r="E12" s="1">
        <v>3</v>
      </c>
      <c r="F12" s="1">
        <v>0.72699999999999998</v>
      </c>
      <c r="G12" s="1">
        <v>48</v>
      </c>
      <c r="H12" s="1">
        <v>40.1</v>
      </c>
      <c r="I12" s="1">
        <v>90.8</v>
      </c>
      <c r="J12" s="1">
        <v>0.441</v>
      </c>
      <c r="K12" s="1">
        <v>15.5</v>
      </c>
      <c r="L12" s="1">
        <v>46.3</v>
      </c>
      <c r="M12" s="1">
        <v>0.33600000000000002</v>
      </c>
      <c r="N12" s="1">
        <v>22.9</v>
      </c>
      <c r="O12" s="1">
        <v>29.8</v>
      </c>
      <c r="P12" s="1">
        <v>0.76800000000000002</v>
      </c>
      <c r="Q12" s="1">
        <v>10</v>
      </c>
      <c r="R12" s="1">
        <v>37.299999999999997</v>
      </c>
      <c r="S12" s="1">
        <v>47.3</v>
      </c>
      <c r="T12" s="1">
        <v>22.2</v>
      </c>
      <c r="U12" s="1" t="s">
        <v>1140</v>
      </c>
      <c r="V12" s="1">
        <v>8.1</v>
      </c>
      <c r="W12" s="1">
        <v>5.7</v>
      </c>
      <c r="X12" s="1">
        <v>4.7</v>
      </c>
      <c r="Y12" s="1">
        <v>21.9</v>
      </c>
      <c r="Z12" s="1">
        <v>22.9</v>
      </c>
      <c r="AA12" s="1">
        <v>118.6</v>
      </c>
      <c r="AB12" s="1" t="s">
        <v>1141</v>
      </c>
      <c r="AC12" s="1">
        <v>2</v>
      </c>
      <c r="AD12" s="1">
        <v>2</v>
      </c>
      <c r="AE12" s="1">
        <v>3</v>
      </c>
      <c r="AF12" s="1">
        <v>3</v>
      </c>
      <c r="AG12" s="1">
        <v>17</v>
      </c>
      <c r="AH12" s="1">
        <v>15</v>
      </c>
      <c r="AI12" s="1">
        <v>11</v>
      </c>
      <c r="AJ12" s="1">
        <v>23</v>
      </c>
      <c r="AK12" s="1">
        <v>1</v>
      </c>
      <c r="AL12" s="1">
        <v>1</v>
      </c>
      <c r="AM12" s="1">
        <v>20</v>
      </c>
      <c r="AN12" s="1">
        <v>1</v>
      </c>
      <c r="AO12" s="1">
        <v>1</v>
      </c>
      <c r="AP12" s="1">
        <v>13</v>
      </c>
      <c r="AQ12" s="1">
        <v>19</v>
      </c>
      <c r="AR12" s="1">
        <v>4</v>
      </c>
      <c r="AS12" s="1">
        <v>8</v>
      </c>
      <c r="AT12" s="1">
        <v>23</v>
      </c>
      <c r="AU12" s="1">
        <v>17</v>
      </c>
      <c r="AV12" s="1">
        <v>10</v>
      </c>
      <c r="AW12" s="1">
        <v>9</v>
      </c>
      <c r="AX12" s="1">
        <v>11</v>
      </c>
      <c r="AY12" s="1">
        <v>10</v>
      </c>
      <c r="AZ12" s="1">
        <v>10</v>
      </c>
      <c r="BA12" s="1">
        <v>3</v>
      </c>
      <c r="BB12" s="1">
        <v>12</v>
      </c>
      <c r="BC12" s="1">
        <v>10</v>
      </c>
      <c r="BD12" s="1" t="s">
        <v>128</v>
      </c>
    </row>
    <row r="13" spans="1:56">
      <c r="A13" s="1">
        <v>1610612754</v>
      </c>
      <c r="B13" s="1" t="s">
        <v>130</v>
      </c>
      <c r="C13" s="1">
        <v>11</v>
      </c>
      <c r="D13" s="1">
        <v>7</v>
      </c>
      <c r="E13" s="1">
        <v>4</v>
      </c>
      <c r="F13" s="1">
        <v>0.63600000000000001</v>
      </c>
      <c r="G13" s="1">
        <v>48.5</v>
      </c>
      <c r="H13" s="1">
        <v>43.2</v>
      </c>
      <c r="I13" s="1">
        <v>91.2</v>
      </c>
      <c r="J13" s="1">
        <v>0.47399999999999998</v>
      </c>
      <c r="K13" s="1">
        <v>8.4</v>
      </c>
      <c r="L13" s="1">
        <v>24.3</v>
      </c>
      <c r="M13" s="1">
        <v>0.34499999999999997</v>
      </c>
      <c r="N13" s="1">
        <v>14.7</v>
      </c>
      <c r="O13" s="1">
        <v>17.600000000000001</v>
      </c>
      <c r="P13" s="1">
        <v>0.83499999999999996</v>
      </c>
      <c r="Q13" s="1">
        <v>10.4</v>
      </c>
      <c r="R13" s="1">
        <v>34.5</v>
      </c>
      <c r="S13" s="1">
        <v>44.8</v>
      </c>
      <c r="T13" s="1">
        <v>25.7</v>
      </c>
      <c r="U13" s="1" t="s">
        <v>175</v>
      </c>
      <c r="V13" s="1">
        <v>7.3</v>
      </c>
      <c r="W13" s="1">
        <v>5.5</v>
      </c>
      <c r="X13" s="1">
        <v>4.5</v>
      </c>
      <c r="Y13" s="1">
        <v>22.8</v>
      </c>
      <c r="Z13" s="1">
        <v>19.5</v>
      </c>
      <c r="AA13" s="1">
        <v>109.5</v>
      </c>
      <c r="AB13" s="1" t="s">
        <v>1142</v>
      </c>
      <c r="AC13" s="1">
        <v>2</v>
      </c>
      <c r="AD13" s="1">
        <v>5</v>
      </c>
      <c r="AE13" s="1">
        <v>9</v>
      </c>
      <c r="AF13" s="1">
        <v>9</v>
      </c>
      <c r="AG13" s="1">
        <v>12</v>
      </c>
      <c r="AH13" s="1">
        <v>4</v>
      </c>
      <c r="AI13" s="1">
        <v>9</v>
      </c>
      <c r="AJ13" s="1">
        <v>2</v>
      </c>
      <c r="AK13" s="1">
        <v>30</v>
      </c>
      <c r="AL13" s="1">
        <v>30</v>
      </c>
      <c r="AM13" s="1">
        <v>18</v>
      </c>
      <c r="AN13" s="1">
        <v>30</v>
      </c>
      <c r="AO13" s="1">
        <v>30</v>
      </c>
      <c r="AP13" s="1">
        <v>2</v>
      </c>
      <c r="AQ13" s="1">
        <v>15</v>
      </c>
      <c r="AR13" s="1">
        <v>22</v>
      </c>
      <c r="AS13" s="1">
        <v>19</v>
      </c>
      <c r="AT13" s="1">
        <v>7</v>
      </c>
      <c r="AU13" s="1">
        <v>3</v>
      </c>
      <c r="AV13" s="1">
        <v>21</v>
      </c>
      <c r="AW13" s="1">
        <v>11</v>
      </c>
      <c r="AX13" s="1">
        <v>9</v>
      </c>
      <c r="AY13" s="1">
        <v>17</v>
      </c>
      <c r="AZ13" s="1">
        <v>30</v>
      </c>
      <c r="BA13" s="1">
        <v>18</v>
      </c>
      <c r="BB13" s="1">
        <v>7</v>
      </c>
      <c r="BC13" s="1">
        <v>10</v>
      </c>
      <c r="BD13" s="1" t="s">
        <v>130</v>
      </c>
    </row>
    <row r="14" spans="1:56">
      <c r="A14" s="1">
        <v>1610612746</v>
      </c>
      <c r="B14" s="1" t="s">
        <v>132</v>
      </c>
      <c r="C14" s="1">
        <v>11</v>
      </c>
      <c r="D14" s="1">
        <v>7</v>
      </c>
      <c r="E14" s="1">
        <v>4</v>
      </c>
      <c r="F14" s="1">
        <v>0.63600000000000001</v>
      </c>
      <c r="G14" s="1">
        <v>48</v>
      </c>
      <c r="H14" s="1">
        <v>39.799999999999997</v>
      </c>
      <c r="I14" s="1">
        <v>88.5</v>
      </c>
      <c r="J14" s="1">
        <v>0.45</v>
      </c>
      <c r="K14" s="1">
        <v>9.6999999999999993</v>
      </c>
      <c r="L14" s="1">
        <v>30.2</v>
      </c>
      <c r="M14" s="1">
        <v>0.32200000000000001</v>
      </c>
      <c r="N14" s="1">
        <v>20.8</v>
      </c>
      <c r="O14" s="1">
        <v>27</v>
      </c>
      <c r="P14" s="1">
        <v>0.77100000000000002</v>
      </c>
      <c r="Q14" s="1">
        <v>11.5</v>
      </c>
      <c r="R14" s="1">
        <v>37.299999999999997</v>
      </c>
      <c r="S14" s="1">
        <v>48.7</v>
      </c>
      <c r="T14" s="1">
        <v>21.2</v>
      </c>
      <c r="U14" s="1" t="s">
        <v>1143</v>
      </c>
      <c r="V14" s="1">
        <v>6.8</v>
      </c>
      <c r="W14" s="1">
        <v>5.3</v>
      </c>
      <c r="X14" s="1">
        <v>5.3</v>
      </c>
      <c r="Y14" s="1">
        <v>23.5</v>
      </c>
      <c r="Z14" s="1">
        <v>24.9</v>
      </c>
      <c r="AA14" s="1">
        <v>110.2</v>
      </c>
      <c r="AB14" s="1" t="s">
        <v>1144</v>
      </c>
      <c r="AC14" s="1">
        <v>2</v>
      </c>
      <c r="AD14" s="1">
        <v>5</v>
      </c>
      <c r="AE14" s="1">
        <v>9</v>
      </c>
      <c r="AF14" s="1">
        <v>9</v>
      </c>
      <c r="AG14" s="1">
        <v>17</v>
      </c>
      <c r="AH14" s="1">
        <v>18</v>
      </c>
      <c r="AI14" s="1">
        <v>19</v>
      </c>
      <c r="AJ14" s="1">
        <v>19</v>
      </c>
      <c r="AK14" s="1">
        <v>26</v>
      </c>
      <c r="AL14" s="1">
        <v>21</v>
      </c>
      <c r="AM14" s="1">
        <v>26</v>
      </c>
      <c r="AN14" s="1">
        <v>3</v>
      </c>
      <c r="AO14" s="1">
        <v>4</v>
      </c>
      <c r="AP14" s="1">
        <v>12</v>
      </c>
      <c r="AQ14" s="1">
        <v>4</v>
      </c>
      <c r="AR14" s="1">
        <v>4</v>
      </c>
      <c r="AS14" s="1">
        <v>2</v>
      </c>
      <c r="AT14" s="1">
        <v>26</v>
      </c>
      <c r="AU14" s="1">
        <v>18</v>
      </c>
      <c r="AV14" s="1">
        <v>25</v>
      </c>
      <c r="AW14" s="1">
        <v>17</v>
      </c>
      <c r="AX14" s="1">
        <v>17</v>
      </c>
      <c r="AY14" s="1">
        <v>22</v>
      </c>
      <c r="AZ14" s="1">
        <v>2</v>
      </c>
      <c r="BA14" s="1">
        <v>15</v>
      </c>
      <c r="BB14" s="1">
        <v>9</v>
      </c>
      <c r="BC14" s="1">
        <v>10</v>
      </c>
      <c r="BD14" s="1" t="s">
        <v>132</v>
      </c>
    </row>
    <row r="15" spans="1:56">
      <c r="A15" s="1">
        <v>1610612747</v>
      </c>
      <c r="B15" s="1" t="s">
        <v>135</v>
      </c>
      <c r="C15" s="1">
        <v>10</v>
      </c>
      <c r="D15" s="1">
        <v>8</v>
      </c>
      <c r="E15" s="1">
        <v>2</v>
      </c>
      <c r="F15" s="1">
        <v>0.8</v>
      </c>
      <c r="G15" s="1">
        <v>48.5</v>
      </c>
      <c r="H15" s="1">
        <v>42.6</v>
      </c>
      <c r="I15" s="1">
        <v>90.3</v>
      </c>
      <c r="J15" s="1">
        <v>0.47199999999999998</v>
      </c>
      <c r="K15" s="1">
        <v>9.3000000000000007</v>
      </c>
      <c r="L15" s="1">
        <v>29.2</v>
      </c>
      <c r="M15" s="1">
        <v>0.318</v>
      </c>
      <c r="N15" s="1">
        <v>15.4</v>
      </c>
      <c r="O15" s="1">
        <v>21</v>
      </c>
      <c r="P15" s="1">
        <v>0.73299999999999998</v>
      </c>
      <c r="Q15" s="1">
        <v>9.6</v>
      </c>
      <c r="R15" s="1">
        <v>36.700000000000003</v>
      </c>
      <c r="S15" s="1">
        <v>46.3</v>
      </c>
      <c r="T15" s="1">
        <v>26.5</v>
      </c>
      <c r="U15" s="1" t="s">
        <v>116</v>
      </c>
      <c r="V15" s="1">
        <v>7.9</v>
      </c>
      <c r="W15" s="1">
        <v>7.5</v>
      </c>
      <c r="X15" s="1">
        <v>3.7</v>
      </c>
      <c r="Y15" s="1">
        <v>21.2</v>
      </c>
      <c r="Z15" s="1">
        <v>20.8</v>
      </c>
      <c r="AA15" s="1">
        <v>109.9</v>
      </c>
      <c r="AB15" s="1" t="s">
        <v>1145</v>
      </c>
      <c r="AC15" s="1">
        <v>17</v>
      </c>
      <c r="AD15" s="1">
        <v>2</v>
      </c>
      <c r="AE15" s="1">
        <v>2</v>
      </c>
      <c r="AF15" s="1">
        <v>2</v>
      </c>
      <c r="AG15" s="1">
        <v>4</v>
      </c>
      <c r="AH15" s="1">
        <v>6</v>
      </c>
      <c r="AI15" s="1">
        <v>13</v>
      </c>
      <c r="AJ15" s="1">
        <v>4</v>
      </c>
      <c r="AK15" s="1">
        <v>27</v>
      </c>
      <c r="AL15" s="1">
        <v>27</v>
      </c>
      <c r="AM15" s="1">
        <v>27</v>
      </c>
      <c r="AN15" s="1">
        <v>29</v>
      </c>
      <c r="AO15" s="1">
        <v>25</v>
      </c>
      <c r="AP15" s="1">
        <v>22</v>
      </c>
      <c r="AQ15" s="1">
        <v>22</v>
      </c>
      <c r="AR15" s="1">
        <v>9</v>
      </c>
      <c r="AS15" s="1">
        <v>11</v>
      </c>
      <c r="AT15" s="1">
        <v>4</v>
      </c>
      <c r="AU15" s="1">
        <v>8</v>
      </c>
      <c r="AV15" s="1">
        <v>11</v>
      </c>
      <c r="AW15" s="1">
        <v>1</v>
      </c>
      <c r="AX15" s="1">
        <v>1</v>
      </c>
      <c r="AY15" s="1">
        <v>9</v>
      </c>
      <c r="AZ15" s="1">
        <v>25</v>
      </c>
      <c r="BA15" s="1">
        <v>17</v>
      </c>
      <c r="BB15" s="1">
        <v>2</v>
      </c>
      <c r="BC15" s="1">
        <v>10</v>
      </c>
      <c r="BD15" s="1" t="s">
        <v>135</v>
      </c>
    </row>
    <row r="16" spans="1:56">
      <c r="A16" s="1">
        <v>1610612763</v>
      </c>
      <c r="B16" s="1" t="s">
        <v>138</v>
      </c>
      <c r="C16" s="1">
        <v>11</v>
      </c>
      <c r="D16" s="1">
        <v>4</v>
      </c>
      <c r="E16" s="1">
        <v>7</v>
      </c>
      <c r="F16" s="1">
        <v>0.36399999999999999</v>
      </c>
      <c r="G16" s="1">
        <v>48.5</v>
      </c>
      <c r="H16" s="1">
        <v>42.2</v>
      </c>
      <c r="I16" s="1">
        <v>91.5</v>
      </c>
      <c r="J16" s="1">
        <v>0.46100000000000002</v>
      </c>
      <c r="K16" s="1">
        <v>10.1</v>
      </c>
      <c r="L16" s="1">
        <v>30.2</v>
      </c>
      <c r="M16" s="1">
        <v>0.33400000000000002</v>
      </c>
      <c r="N16" s="1">
        <v>15.5</v>
      </c>
      <c r="O16" s="1">
        <v>20.399999999999999</v>
      </c>
      <c r="P16" s="1">
        <v>0.76300000000000001</v>
      </c>
      <c r="Q16" s="1">
        <v>10.3</v>
      </c>
      <c r="R16" s="1">
        <v>35.5</v>
      </c>
      <c r="S16" s="1">
        <v>45.8</v>
      </c>
      <c r="T16" s="1">
        <v>26.9</v>
      </c>
      <c r="U16" s="1" t="s">
        <v>136</v>
      </c>
      <c r="V16" s="1">
        <v>8.3000000000000007</v>
      </c>
      <c r="W16" s="1">
        <v>5.9</v>
      </c>
      <c r="X16" s="1">
        <v>6.1</v>
      </c>
      <c r="Y16" s="1">
        <v>23.5</v>
      </c>
      <c r="Z16" s="1">
        <v>19.8</v>
      </c>
      <c r="AA16" s="1">
        <v>110</v>
      </c>
      <c r="AB16" s="1" t="s">
        <v>1146</v>
      </c>
      <c r="AC16" s="1">
        <v>2</v>
      </c>
      <c r="AD16" s="1">
        <v>16</v>
      </c>
      <c r="AE16" s="1">
        <v>20</v>
      </c>
      <c r="AF16" s="1">
        <v>20</v>
      </c>
      <c r="AG16" s="1">
        <v>12</v>
      </c>
      <c r="AH16" s="1">
        <v>7</v>
      </c>
      <c r="AI16" s="1">
        <v>7</v>
      </c>
      <c r="AJ16" s="1">
        <v>11</v>
      </c>
      <c r="AK16" s="1">
        <v>23</v>
      </c>
      <c r="AL16" s="1">
        <v>21</v>
      </c>
      <c r="AM16" s="1">
        <v>21</v>
      </c>
      <c r="AN16" s="1">
        <v>28</v>
      </c>
      <c r="AO16" s="1">
        <v>28</v>
      </c>
      <c r="AP16" s="1">
        <v>14</v>
      </c>
      <c r="AQ16" s="1">
        <v>17</v>
      </c>
      <c r="AR16" s="1">
        <v>17</v>
      </c>
      <c r="AS16" s="1">
        <v>17</v>
      </c>
      <c r="AT16" s="1">
        <v>2</v>
      </c>
      <c r="AU16" s="1">
        <v>25</v>
      </c>
      <c r="AV16" s="1">
        <v>7</v>
      </c>
      <c r="AW16" s="1">
        <v>8</v>
      </c>
      <c r="AX16" s="1">
        <v>26</v>
      </c>
      <c r="AY16" s="1">
        <v>22</v>
      </c>
      <c r="AZ16" s="1">
        <v>28</v>
      </c>
      <c r="BA16" s="1">
        <v>16</v>
      </c>
      <c r="BB16" s="1">
        <v>28</v>
      </c>
      <c r="BC16" s="1">
        <v>10</v>
      </c>
      <c r="BD16" s="1" t="s">
        <v>138</v>
      </c>
    </row>
    <row r="17" spans="1:56">
      <c r="A17" s="1">
        <v>1610612748</v>
      </c>
      <c r="B17" s="1" t="s">
        <v>141</v>
      </c>
      <c r="C17" s="1">
        <v>10</v>
      </c>
      <c r="D17" s="1">
        <v>7</v>
      </c>
      <c r="E17" s="1">
        <v>3</v>
      </c>
      <c r="F17" s="1">
        <v>0.7</v>
      </c>
      <c r="G17" s="1">
        <v>48.5</v>
      </c>
      <c r="H17" s="1">
        <v>39.4</v>
      </c>
      <c r="I17" s="1">
        <v>84.4</v>
      </c>
      <c r="J17" s="1">
        <v>0.46700000000000003</v>
      </c>
      <c r="K17" s="1">
        <v>12.7</v>
      </c>
      <c r="L17" s="1">
        <v>33.1</v>
      </c>
      <c r="M17" s="1">
        <v>0.38400000000000001</v>
      </c>
      <c r="N17" s="1">
        <v>20.2</v>
      </c>
      <c r="O17" s="1">
        <v>27.6</v>
      </c>
      <c r="P17" s="1">
        <v>0.73199999999999998</v>
      </c>
      <c r="Q17" s="1">
        <v>8.6999999999999993</v>
      </c>
      <c r="R17" s="1">
        <v>35.9</v>
      </c>
      <c r="S17" s="1">
        <v>44.6</v>
      </c>
      <c r="T17" s="1">
        <v>25.9</v>
      </c>
      <c r="U17" s="1" t="s">
        <v>1147</v>
      </c>
      <c r="V17" s="1">
        <v>9.6</v>
      </c>
      <c r="W17" s="1">
        <v>5.5</v>
      </c>
      <c r="X17" s="1">
        <v>4.9000000000000004</v>
      </c>
      <c r="Y17" s="1">
        <v>23.8</v>
      </c>
      <c r="Z17" s="1">
        <v>24.2</v>
      </c>
      <c r="AA17" s="1">
        <v>111.7</v>
      </c>
      <c r="AB17" s="1" t="s">
        <v>173</v>
      </c>
      <c r="AC17" s="1">
        <v>17</v>
      </c>
      <c r="AD17" s="1">
        <v>5</v>
      </c>
      <c r="AE17" s="1">
        <v>3</v>
      </c>
      <c r="AF17" s="1">
        <v>5</v>
      </c>
      <c r="AG17" s="1">
        <v>4</v>
      </c>
      <c r="AH17" s="1">
        <v>20</v>
      </c>
      <c r="AI17" s="1">
        <v>28</v>
      </c>
      <c r="AJ17" s="1">
        <v>6</v>
      </c>
      <c r="AK17" s="1">
        <v>10</v>
      </c>
      <c r="AL17" s="1">
        <v>14</v>
      </c>
      <c r="AM17" s="1">
        <v>4</v>
      </c>
      <c r="AN17" s="1">
        <v>5</v>
      </c>
      <c r="AO17" s="1">
        <v>2</v>
      </c>
      <c r="AP17" s="1">
        <v>23</v>
      </c>
      <c r="AQ17" s="1">
        <v>26</v>
      </c>
      <c r="AR17" s="1">
        <v>14</v>
      </c>
      <c r="AS17" s="1">
        <v>20</v>
      </c>
      <c r="AT17" s="1">
        <v>6</v>
      </c>
      <c r="AU17" s="1">
        <v>30</v>
      </c>
      <c r="AV17" s="1">
        <v>3</v>
      </c>
      <c r="AW17" s="1">
        <v>10</v>
      </c>
      <c r="AX17" s="1">
        <v>13</v>
      </c>
      <c r="AY17" s="1">
        <v>24</v>
      </c>
      <c r="AZ17" s="1">
        <v>4</v>
      </c>
      <c r="BA17" s="1">
        <v>14</v>
      </c>
      <c r="BB17" s="1">
        <v>5</v>
      </c>
      <c r="BC17" s="1">
        <v>10</v>
      </c>
      <c r="BD17" s="1" t="s">
        <v>141</v>
      </c>
    </row>
    <row r="18" spans="1:56">
      <c r="A18" s="1">
        <v>1610612749</v>
      </c>
      <c r="B18" s="1" t="s">
        <v>142</v>
      </c>
      <c r="C18" s="1">
        <v>10</v>
      </c>
      <c r="D18" s="1">
        <v>7</v>
      </c>
      <c r="E18" s="1">
        <v>3</v>
      </c>
      <c r="F18" s="1">
        <v>0.7</v>
      </c>
      <c r="G18" s="1">
        <v>48.5</v>
      </c>
      <c r="H18" s="1">
        <v>43.4</v>
      </c>
      <c r="I18" s="1">
        <v>91.8</v>
      </c>
      <c r="J18" s="1">
        <v>0.47299999999999998</v>
      </c>
      <c r="K18" s="1">
        <v>14.7</v>
      </c>
      <c r="L18" s="1">
        <v>42</v>
      </c>
      <c r="M18" s="1">
        <v>0.35</v>
      </c>
      <c r="N18" s="1">
        <v>18.399999999999999</v>
      </c>
      <c r="O18" s="1">
        <v>25.6</v>
      </c>
      <c r="P18" s="1">
        <v>0.71899999999999997</v>
      </c>
      <c r="Q18" s="1">
        <v>9.1</v>
      </c>
      <c r="R18" s="1">
        <v>42.6</v>
      </c>
      <c r="S18" s="1">
        <v>51.7</v>
      </c>
      <c r="T18" s="1">
        <v>24</v>
      </c>
      <c r="U18" s="1" t="s">
        <v>162</v>
      </c>
      <c r="V18" s="1">
        <v>7.4</v>
      </c>
      <c r="W18" s="1">
        <v>6.1</v>
      </c>
      <c r="X18" s="1">
        <v>3.7</v>
      </c>
      <c r="Y18" s="1">
        <v>23.1</v>
      </c>
      <c r="Z18" s="1">
        <v>23.3</v>
      </c>
      <c r="AA18" s="1">
        <v>119.9</v>
      </c>
      <c r="AB18" s="1" t="s">
        <v>1148</v>
      </c>
      <c r="AC18" s="1">
        <v>17</v>
      </c>
      <c r="AD18" s="1">
        <v>5</v>
      </c>
      <c r="AE18" s="1">
        <v>3</v>
      </c>
      <c r="AF18" s="1">
        <v>5</v>
      </c>
      <c r="AG18" s="1">
        <v>4</v>
      </c>
      <c r="AH18" s="1">
        <v>2</v>
      </c>
      <c r="AI18" s="1">
        <v>6</v>
      </c>
      <c r="AJ18" s="1">
        <v>3</v>
      </c>
      <c r="AK18" s="1">
        <v>2</v>
      </c>
      <c r="AL18" s="1">
        <v>2</v>
      </c>
      <c r="AM18" s="1">
        <v>14</v>
      </c>
      <c r="AN18" s="1">
        <v>16</v>
      </c>
      <c r="AO18" s="1">
        <v>8</v>
      </c>
      <c r="AP18" s="1">
        <v>27</v>
      </c>
      <c r="AQ18" s="1">
        <v>25</v>
      </c>
      <c r="AR18" s="1">
        <v>1</v>
      </c>
      <c r="AS18" s="1">
        <v>1</v>
      </c>
      <c r="AT18" s="1">
        <v>14</v>
      </c>
      <c r="AU18" s="1">
        <v>9</v>
      </c>
      <c r="AV18" s="1">
        <v>19</v>
      </c>
      <c r="AW18" s="1">
        <v>5</v>
      </c>
      <c r="AX18" s="1">
        <v>1</v>
      </c>
      <c r="AY18" s="1">
        <v>19</v>
      </c>
      <c r="AZ18" s="1">
        <v>8</v>
      </c>
      <c r="BA18" s="1">
        <v>1</v>
      </c>
      <c r="BB18" s="1">
        <v>3</v>
      </c>
      <c r="BC18" s="1">
        <v>10</v>
      </c>
      <c r="BD18" s="1" t="s">
        <v>142</v>
      </c>
    </row>
    <row r="19" spans="1:56">
      <c r="A19" s="1">
        <v>1610612750</v>
      </c>
      <c r="B19" s="1" t="s">
        <v>145</v>
      </c>
      <c r="C19" s="1">
        <v>11</v>
      </c>
      <c r="D19" s="1">
        <v>7</v>
      </c>
      <c r="E19" s="1">
        <v>4</v>
      </c>
      <c r="F19" s="1">
        <v>0.63600000000000001</v>
      </c>
      <c r="G19" s="1">
        <v>49.4</v>
      </c>
      <c r="H19" s="1">
        <v>42.1</v>
      </c>
      <c r="I19" s="1">
        <v>95.6</v>
      </c>
      <c r="J19" s="1">
        <v>0.44</v>
      </c>
      <c r="K19" s="1">
        <v>12.3</v>
      </c>
      <c r="L19" s="1">
        <v>39.700000000000003</v>
      </c>
      <c r="M19" s="1">
        <v>0.309</v>
      </c>
      <c r="N19" s="1">
        <v>20.7</v>
      </c>
      <c r="O19" s="1">
        <v>27.3</v>
      </c>
      <c r="P19" s="1">
        <v>0.76</v>
      </c>
      <c r="Q19" s="1">
        <v>11.8</v>
      </c>
      <c r="R19" s="1">
        <v>35.5</v>
      </c>
      <c r="S19" s="1">
        <v>47.4</v>
      </c>
      <c r="T19" s="1">
        <v>23.9</v>
      </c>
      <c r="U19" s="1" t="s">
        <v>129</v>
      </c>
      <c r="V19" s="1">
        <v>10.199999999999999</v>
      </c>
      <c r="W19" s="1">
        <v>6.2</v>
      </c>
      <c r="X19" s="1">
        <v>5.8</v>
      </c>
      <c r="Y19" s="1">
        <v>22.1</v>
      </c>
      <c r="Z19" s="1">
        <v>24.5</v>
      </c>
      <c r="AA19" s="1">
        <v>117.2</v>
      </c>
      <c r="AB19" s="1" t="s">
        <v>1149</v>
      </c>
      <c r="AC19" s="1">
        <v>2</v>
      </c>
      <c r="AD19" s="1">
        <v>5</v>
      </c>
      <c r="AE19" s="1">
        <v>9</v>
      </c>
      <c r="AF19" s="1">
        <v>9</v>
      </c>
      <c r="AG19" s="1">
        <v>1</v>
      </c>
      <c r="AH19" s="1">
        <v>8</v>
      </c>
      <c r="AI19" s="1">
        <v>1</v>
      </c>
      <c r="AJ19" s="1">
        <v>24</v>
      </c>
      <c r="AK19" s="1">
        <v>12</v>
      </c>
      <c r="AL19" s="1">
        <v>5</v>
      </c>
      <c r="AM19" s="1">
        <v>28</v>
      </c>
      <c r="AN19" s="1">
        <v>4</v>
      </c>
      <c r="AO19" s="1">
        <v>3</v>
      </c>
      <c r="AP19" s="1">
        <v>16</v>
      </c>
      <c r="AQ19" s="1">
        <v>3</v>
      </c>
      <c r="AR19" s="1">
        <v>17</v>
      </c>
      <c r="AS19" s="1">
        <v>7</v>
      </c>
      <c r="AT19" s="1">
        <v>18</v>
      </c>
      <c r="AU19" s="1">
        <v>15</v>
      </c>
      <c r="AV19" s="1">
        <v>1</v>
      </c>
      <c r="AW19" s="1">
        <v>4</v>
      </c>
      <c r="AX19" s="1">
        <v>22</v>
      </c>
      <c r="AY19" s="1">
        <v>12</v>
      </c>
      <c r="AZ19" s="1">
        <v>3</v>
      </c>
      <c r="BA19" s="1">
        <v>4</v>
      </c>
      <c r="BB19" s="1">
        <v>14</v>
      </c>
      <c r="BC19" s="1">
        <v>10</v>
      </c>
      <c r="BD19" s="1" t="s">
        <v>145</v>
      </c>
    </row>
    <row r="20" spans="1:56">
      <c r="A20" s="1">
        <v>1610612740</v>
      </c>
      <c r="B20" s="1" t="s">
        <v>146</v>
      </c>
      <c r="C20" s="1">
        <v>10</v>
      </c>
      <c r="D20" s="1">
        <v>2</v>
      </c>
      <c r="E20" s="1">
        <v>8</v>
      </c>
      <c r="F20" s="1">
        <v>0.2</v>
      </c>
      <c r="G20" s="1">
        <v>48.5</v>
      </c>
      <c r="H20" s="1">
        <v>43.2</v>
      </c>
      <c r="I20" s="1">
        <v>94</v>
      </c>
      <c r="J20" s="1">
        <v>0.46</v>
      </c>
      <c r="K20" s="1">
        <v>14.4</v>
      </c>
      <c r="L20" s="1">
        <v>39.9</v>
      </c>
      <c r="M20" s="1">
        <v>0.36099999999999999</v>
      </c>
      <c r="N20" s="1">
        <v>16.2</v>
      </c>
      <c r="O20" s="1">
        <v>22.6</v>
      </c>
      <c r="P20" s="1">
        <v>0.71699999999999997</v>
      </c>
      <c r="Q20" s="1">
        <v>11.2</v>
      </c>
      <c r="R20" s="1">
        <v>34.799999999999997</v>
      </c>
      <c r="S20" s="1">
        <v>46</v>
      </c>
      <c r="T20" s="1">
        <v>26.8</v>
      </c>
      <c r="U20" s="1" t="s">
        <v>1150</v>
      </c>
      <c r="V20" s="1">
        <v>9</v>
      </c>
      <c r="W20" s="1">
        <v>5</v>
      </c>
      <c r="X20" s="1">
        <v>4.4000000000000004</v>
      </c>
      <c r="Y20" s="1">
        <v>25.2</v>
      </c>
      <c r="Z20" s="1">
        <v>22.2</v>
      </c>
      <c r="AA20" s="1">
        <v>117</v>
      </c>
      <c r="AB20" s="1" t="s">
        <v>1151</v>
      </c>
      <c r="AC20" s="1">
        <v>17</v>
      </c>
      <c r="AD20" s="1">
        <v>27</v>
      </c>
      <c r="AE20" s="1">
        <v>27</v>
      </c>
      <c r="AF20" s="1">
        <v>28</v>
      </c>
      <c r="AG20" s="1">
        <v>4</v>
      </c>
      <c r="AH20" s="1">
        <v>3</v>
      </c>
      <c r="AI20" s="1">
        <v>3</v>
      </c>
      <c r="AJ20" s="1">
        <v>14</v>
      </c>
      <c r="AK20" s="1">
        <v>3</v>
      </c>
      <c r="AL20" s="1">
        <v>3</v>
      </c>
      <c r="AM20" s="1">
        <v>11</v>
      </c>
      <c r="AN20" s="1">
        <v>26</v>
      </c>
      <c r="AO20" s="1">
        <v>22</v>
      </c>
      <c r="AP20" s="1">
        <v>28</v>
      </c>
      <c r="AQ20" s="1">
        <v>7</v>
      </c>
      <c r="AR20" s="1">
        <v>20</v>
      </c>
      <c r="AS20" s="1">
        <v>14</v>
      </c>
      <c r="AT20" s="1">
        <v>3</v>
      </c>
      <c r="AU20" s="1">
        <v>27</v>
      </c>
      <c r="AV20" s="1">
        <v>5</v>
      </c>
      <c r="AW20" s="1">
        <v>19</v>
      </c>
      <c r="AX20" s="1">
        <v>6</v>
      </c>
      <c r="AY20" s="1">
        <v>30</v>
      </c>
      <c r="AZ20" s="1">
        <v>15</v>
      </c>
      <c r="BA20" s="1">
        <v>5</v>
      </c>
      <c r="BB20" s="1">
        <v>26</v>
      </c>
      <c r="BC20" s="1">
        <v>10</v>
      </c>
      <c r="BD20" s="1" t="s">
        <v>146</v>
      </c>
    </row>
    <row r="21" spans="1:56">
      <c r="A21" s="1">
        <v>1610612752</v>
      </c>
      <c r="B21" s="1" t="s">
        <v>149</v>
      </c>
      <c r="C21" s="1">
        <v>11</v>
      </c>
      <c r="D21" s="1">
        <v>2</v>
      </c>
      <c r="E21" s="1">
        <v>9</v>
      </c>
      <c r="F21" s="1">
        <v>0.182</v>
      </c>
      <c r="G21" s="1">
        <v>48</v>
      </c>
      <c r="H21" s="1">
        <v>35.799999999999997</v>
      </c>
      <c r="I21" s="1">
        <v>86</v>
      </c>
      <c r="J21" s="1">
        <v>0.41599999999999998</v>
      </c>
      <c r="K21" s="1">
        <v>10.5</v>
      </c>
      <c r="L21" s="1">
        <v>29.7</v>
      </c>
      <c r="M21" s="1">
        <v>0.35499999999999998</v>
      </c>
      <c r="N21" s="1">
        <v>17.3</v>
      </c>
      <c r="O21" s="1">
        <v>26.5</v>
      </c>
      <c r="P21" s="1">
        <v>0.65100000000000002</v>
      </c>
      <c r="Q21" s="1">
        <v>12.6</v>
      </c>
      <c r="R21" s="1">
        <v>33.299999999999997</v>
      </c>
      <c r="S21" s="1">
        <v>45.9</v>
      </c>
      <c r="T21" s="1">
        <v>20.3</v>
      </c>
      <c r="U21" s="1" t="s">
        <v>1152</v>
      </c>
      <c r="V21" s="1">
        <v>8.8000000000000007</v>
      </c>
      <c r="W21" s="1">
        <v>4.5</v>
      </c>
      <c r="X21" s="1">
        <v>4.3</v>
      </c>
      <c r="Y21" s="1">
        <v>23.9</v>
      </c>
      <c r="Z21" s="1">
        <v>21.5</v>
      </c>
      <c r="AA21" s="1">
        <v>99.5</v>
      </c>
      <c r="AB21" s="1" t="s">
        <v>1153</v>
      </c>
      <c r="AC21" s="1">
        <v>2</v>
      </c>
      <c r="AD21" s="1">
        <v>27</v>
      </c>
      <c r="AE21" s="1">
        <v>29</v>
      </c>
      <c r="AF21" s="1">
        <v>29</v>
      </c>
      <c r="AG21" s="1">
        <v>17</v>
      </c>
      <c r="AH21" s="1">
        <v>30</v>
      </c>
      <c r="AI21" s="1">
        <v>26</v>
      </c>
      <c r="AJ21" s="1">
        <v>30</v>
      </c>
      <c r="AK21" s="1">
        <v>19</v>
      </c>
      <c r="AL21" s="1">
        <v>24</v>
      </c>
      <c r="AM21" s="1">
        <v>13</v>
      </c>
      <c r="AN21" s="1">
        <v>20</v>
      </c>
      <c r="AO21" s="1">
        <v>6</v>
      </c>
      <c r="AP21" s="1">
        <v>30</v>
      </c>
      <c r="AQ21" s="1">
        <v>1</v>
      </c>
      <c r="AR21" s="1">
        <v>25</v>
      </c>
      <c r="AS21" s="1">
        <v>16</v>
      </c>
      <c r="AT21" s="1">
        <v>28</v>
      </c>
      <c r="AU21" s="1">
        <v>21</v>
      </c>
      <c r="AV21" s="1">
        <v>6</v>
      </c>
      <c r="AW21" s="1">
        <v>23</v>
      </c>
      <c r="AX21" s="1">
        <v>5</v>
      </c>
      <c r="AY21" s="1">
        <v>26</v>
      </c>
      <c r="AZ21" s="1">
        <v>24</v>
      </c>
      <c r="BA21" s="1">
        <v>29</v>
      </c>
      <c r="BB21" s="1">
        <v>30</v>
      </c>
      <c r="BC21" s="1">
        <v>10</v>
      </c>
      <c r="BD21" s="1" t="s">
        <v>149</v>
      </c>
    </row>
    <row r="22" spans="1:56">
      <c r="A22" s="1">
        <v>1610612760</v>
      </c>
      <c r="B22" s="1" t="s">
        <v>152</v>
      </c>
      <c r="C22" s="1">
        <v>11</v>
      </c>
      <c r="D22" s="1">
        <v>4</v>
      </c>
      <c r="E22" s="1">
        <v>7</v>
      </c>
      <c r="F22" s="1">
        <v>0.36399999999999999</v>
      </c>
      <c r="G22" s="1">
        <v>48</v>
      </c>
      <c r="H22" s="1">
        <v>38.200000000000003</v>
      </c>
      <c r="I22" s="1">
        <v>84.5</v>
      </c>
      <c r="J22" s="1">
        <v>0.45200000000000001</v>
      </c>
      <c r="K22" s="1">
        <v>11</v>
      </c>
      <c r="L22" s="1">
        <v>30.2</v>
      </c>
      <c r="M22" s="1">
        <v>0.36399999999999999</v>
      </c>
      <c r="N22" s="1">
        <v>17.899999999999999</v>
      </c>
      <c r="O22" s="1">
        <v>23.7</v>
      </c>
      <c r="P22" s="1">
        <v>0.755</v>
      </c>
      <c r="Q22" s="1">
        <v>8.3000000000000007</v>
      </c>
      <c r="R22" s="1">
        <v>35.700000000000003</v>
      </c>
      <c r="S22" s="1">
        <v>44</v>
      </c>
      <c r="T22" s="1">
        <v>21.5</v>
      </c>
      <c r="U22" s="1" t="s">
        <v>129</v>
      </c>
      <c r="V22" s="1">
        <v>7.8</v>
      </c>
      <c r="W22" s="1">
        <v>4.5999999999999996</v>
      </c>
      <c r="X22" s="1">
        <v>5.2</v>
      </c>
      <c r="Y22" s="1">
        <v>20.5</v>
      </c>
      <c r="Z22" s="1">
        <v>22.7</v>
      </c>
      <c r="AA22" s="1">
        <v>105.3</v>
      </c>
      <c r="AB22" s="1" t="s">
        <v>212</v>
      </c>
      <c r="AC22" s="1">
        <v>2</v>
      </c>
      <c r="AD22" s="1">
        <v>16</v>
      </c>
      <c r="AE22" s="1">
        <v>20</v>
      </c>
      <c r="AF22" s="1">
        <v>20</v>
      </c>
      <c r="AG22" s="1">
        <v>17</v>
      </c>
      <c r="AH22" s="1">
        <v>27</v>
      </c>
      <c r="AI22" s="1">
        <v>27</v>
      </c>
      <c r="AJ22" s="1">
        <v>18</v>
      </c>
      <c r="AK22" s="1">
        <v>17</v>
      </c>
      <c r="AL22" s="1">
        <v>21</v>
      </c>
      <c r="AM22" s="1">
        <v>10</v>
      </c>
      <c r="AN22" s="1">
        <v>17</v>
      </c>
      <c r="AO22" s="1">
        <v>17</v>
      </c>
      <c r="AP22" s="1">
        <v>18</v>
      </c>
      <c r="AQ22" s="1">
        <v>27</v>
      </c>
      <c r="AR22" s="1">
        <v>15</v>
      </c>
      <c r="AS22" s="1">
        <v>23</v>
      </c>
      <c r="AT22" s="1">
        <v>24</v>
      </c>
      <c r="AU22" s="1">
        <v>15</v>
      </c>
      <c r="AV22" s="1">
        <v>12</v>
      </c>
      <c r="AW22" s="1">
        <v>22</v>
      </c>
      <c r="AX22" s="1">
        <v>14</v>
      </c>
      <c r="AY22" s="1">
        <v>7</v>
      </c>
      <c r="AZ22" s="1">
        <v>11</v>
      </c>
      <c r="BA22" s="1">
        <v>26</v>
      </c>
      <c r="BB22" s="1">
        <v>16</v>
      </c>
      <c r="BC22" s="1">
        <v>10</v>
      </c>
      <c r="BD22" s="1" t="s">
        <v>152</v>
      </c>
    </row>
    <row r="23" spans="1:56">
      <c r="A23" s="1">
        <v>1610612753</v>
      </c>
      <c r="B23" s="1" t="s">
        <v>154</v>
      </c>
      <c r="C23" s="1">
        <v>11</v>
      </c>
      <c r="D23" s="1">
        <v>4</v>
      </c>
      <c r="E23" s="1">
        <v>7</v>
      </c>
      <c r="F23" s="1">
        <v>0.36399999999999999</v>
      </c>
      <c r="G23" s="1">
        <v>48</v>
      </c>
      <c r="H23" s="1">
        <v>37.1</v>
      </c>
      <c r="I23" s="1">
        <v>88.1</v>
      </c>
      <c r="J23" s="1">
        <v>0.42099999999999999</v>
      </c>
      <c r="K23" s="1">
        <v>8.8000000000000007</v>
      </c>
      <c r="L23" s="1">
        <v>30.9</v>
      </c>
      <c r="M23" s="1">
        <v>0.28499999999999998</v>
      </c>
      <c r="N23" s="1">
        <v>16.399999999999999</v>
      </c>
      <c r="O23" s="1">
        <v>20.8</v>
      </c>
      <c r="P23" s="1">
        <v>0.78600000000000003</v>
      </c>
      <c r="Q23" s="1">
        <v>10.9</v>
      </c>
      <c r="R23" s="1">
        <v>36.1</v>
      </c>
      <c r="S23" s="1">
        <v>47</v>
      </c>
      <c r="T23" s="1">
        <v>22.4</v>
      </c>
      <c r="U23" s="1" t="s">
        <v>108</v>
      </c>
      <c r="V23" s="1">
        <v>8.1999999999999993</v>
      </c>
      <c r="W23" s="1">
        <v>6.7</v>
      </c>
      <c r="X23" s="1">
        <v>4.5</v>
      </c>
      <c r="Y23" s="1">
        <v>19.5</v>
      </c>
      <c r="Z23" s="1">
        <v>19.7</v>
      </c>
      <c r="AA23" s="1">
        <v>99.4</v>
      </c>
      <c r="AB23" s="1" t="s">
        <v>1154</v>
      </c>
      <c r="AC23" s="1">
        <v>2</v>
      </c>
      <c r="AD23" s="1">
        <v>16</v>
      </c>
      <c r="AE23" s="1">
        <v>20</v>
      </c>
      <c r="AF23" s="1">
        <v>20</v>
      </c>
      <c r="AG23" s="1">
        <v>17</v>
      </c>
      <c r="AH23" s="1">
        <v>28</v>
      </c>
      <c r="AI23" s="1">
        <v>21</v>
      </c>
      <c r="AJ23" s="1">
        <v>29</v>
      </c>
      <c r="AK23" s="1">
        <v>28</v>
      </c>
      <c r="AL23" s="1">
        <v>19</v>
      </c>
      <c r="AM23" s="1">
        <v>30</v>
      </c>
      <c r="AN23" s="1">
        <v>23</v>
      </c>
      <c r="AO23" s="1">
        <v>27</v>
      </c>
      <c r="AP23" s="1">
        <v>9</v>
      </c>
      <c r="AQ23" s="1">
        <v>9</v>
      </c>
      <c r="AR23" s="1">
        <v>13</v>
      </c>
      <c r="AS23" s="1">
        <v>9</v>
      </c>
      <c r="AT23" s="1">
        <v>22</v>
      </c>
      <c r="AU23" s="1">
        <v>2</v>
      </c>
      <c r="AV23" s="1">
        <v>8</v>
      </c>
      <c r="AW23" s="1">
        <v>2</v>
      </c>
      <c r="AX23" s="1">
        <v>7</v>
      </c>
      <c r="AY23" s="1">
        <v>2</v>
      </c>
      <c r="AZ23" s="1">
        <v>29</v>
      </c>
      <c r="BA23" s="1">
        <v>30</v>
      </c>
      <c r="BB23" s="1">
        <v>15</v>
      </c>
      <c r="BC23" s="1">
        <v>10</v>
      </c>
      <c r="BD23" s="1" t="s">
        <v>154</v>
      </c>
    </row>
    <row r="24" spans="1:56">
      <c r="A24" s="1">
        <v>1610612755</v>
      </c>
      <c r="B24" s="1" t="s">
        <v>157</v>
      </c>
      <c r="C24" s="1">
        <v>11</v>
      </c>
      <c r="D24" s="1">
        <v>7</v>
      </c>
      <c r="E24" s="1">
        <v>4</v>
      </c>
      <c r="F24" s="1">
        <v>0.63600000000000001</v>
      </c>
      <c r="G24" s="1">
        <v>48</v>
      </c>
      <c r="H24" s="1">
        <v>41.1</v>
      </c>
      <c r="I24" s="1">
        <v>88.9</v>
      </c>
      <c r="J24" s="1">
        <v>0.46200000000000002</v>
      </c>
      <c r="K24" s="1">
        <v>10.1</v>
      </c>
      <c r="L24" s="1">
        <v>30.7</v>
      </c>
      <c r="M24" s="1">
        <v>0.32800000000000001</v>
      </c>
      <c r="N24" s="1">
        <v>16.3</v>
      </c>
      <c r="O24" s="1">
        <v>22.2</v>
      </c>
      <c r="P24" s="1">
        <v>0.73399999999999999</v>
      </c>
      <c r="Q24" s="1">
        <v>10.5</v>
      </c>
      <c r="R24" s="1">
        <v>37</v>
      </c>
      <c r="S24" s="1">
        <v>47.5</v>
      </c>
      <c r="T24" s="1">
        <v>25.7</v>
      </c>
      <c r="U24" s="1" t="s">
        <v>1155</v>
      </c>
      <c r="V24" s="1">
        <v>9.6999999999999993</v>
      </c>
      <c r="W24" s="1">
        <v>6</v>
      </c>
      <c r="X24" s="1">
        <v>4.0999999999999996</v>
      </c>
      <c r="Y24" s="1">
        <v>24.5</v>
      </c>
      <c r="Z24" s="1">
        <v>21.7</v>
      </c>
      <c r="AA24" s="1">
        <v>108.5</v>
      </c>
      <c r="AB24" s="1" t="s">
        <v>199</v>
      </c>
      <c r="AC24" s="1">
        <v>2</v>
      </c>
      <c r="AD24" s="1">
        <v>5</v>
      </c>
      <c r="AE24" s="1">
        <v>9</v>
      </c>
      <c r="AF24" s="1">
        <v>9</v>
      </c>
      <c r="AG24" s="1">
        <v>17</v>
      </c>
      <c r="AH24" s="1">
        <v>12</v>
      </c>
      <c r="AI24" s="1">
        <v>17</v>
      </c>
      <c r="AJ24" s="1">
        <v>9</v>
      </c>
      <c r="AK24" s="1">
        <v>23</v>
      </c>
      <c r="AL24" s="1">
        <v>20</v>
      </c>
      <c r="AM24" s="1">
        <v>23</v>
      </c>
      <c r="AN24" s="1">
        <v>25</v>
      </c>
      <c r="AO24" s="1">
        <v>24</v>
      </c>
      <c r="AP24" s="1">
        <v>21</v>
      </c>
      <c r="AQ24" s="1">
        <v>14</v>
      </c>
      <c r="AR24" s="1">
        <v>6</v>
      </c>
      <c r="AS24" s="1">
        <v>6</v>
      </c>
      <c r="AT24" s="1">
        <v>7</v>
      </c>
      <c r="AU24" s="1">
        <v>28</v>
      </c>
      <c r="AV24" s="1">
        <v>2</v>
      </c>
      <c r="AW24" s="1">
        <v>6</v>
      </c>
      <c r="AX24" s="1">
        <v>4</v>
      </c>
      <c r="AY24" s="1">
        <v>27</v>
      </c>
      <c r="AZ24" s="1">
        <v>21</v>
      </c>
      <c r="BA24" s="1">
        <v>20</v>
      </c>
      <c r="BB24" s="1">
        <v>11</v>
      </c>
      <c r="BC24" s="1">
        <v>10</v>
      </c>
      <c r="BD24" s="1" t="s">
        <v>157</v>
      </c>
    </row>
    <row r="25" spans="1:56">
      <c r="A25" s="1">
        <v>1610612756</v>
      </c>
      <c r="B25" s="1" t="s">
        <v>159</v>
      </c>
      <c r="C25" s="1">
        <v>10</v>
      </c>
      <c r="D25" s="1">
        <v>6</v>
      </c>
      <c r="E25" s="1">
        <v>4</v>
      </c>
      <c r="F25" s="1">
        <v>0.6</v>
      </c>
      <c r="G25" s="1">
        <v>48.5</v>
      </c>
      <c r="H25" s="1">
        <v>42</v>
      </c>
      <c r="I25" s="1">
        <v>88.5</v>
      </c>
      <c r="J25" s="1">
        <v>0.47499999999999998</v>
      </c>
      <c r="K25" s="1">
        <v>13.5</v>
      </c>
      <c r="L25" s="1">
        <v>34.799999999999997</v>
      </c>
      <c r="M25" s="1">
        <v>0.38800000000000001</v>
      </c>
      <c r="N25" s="1">
        <v>19.100000000000001</v>
      </c>
      <c r="O25" s="1">
        <v>23.8</v>
      </c>
      <c r="P25" s="1">
        <v>0.80300000000000005</v>
      </c>
      <c r="Q25" s="1">
        <v>7.4</v>
      </c>
      <c r="R25" s="1">
        <v>35.1</v>
      </c>
      <c r="S25" s="1">
        <v>42.5</v>
      </c>
      <c r="T25" s="1">
        <v>28.5</v>
      </c>
      <c r="U25" s="1" t="s">
        <v>151</v>
      </c>
      <c r="V25" s="1">
        <v>7.6</v>
      </c>
      <c r="W25" s="1">
        <v>4.0999999999999996</v>
      </c>
      <c r="X25" s="1">
        <v>5.3</v>
      </c>
      <c r="Y25" s="1">
        <v>25.1</v>
      </c>
      <c r="Z25" s="1">
        <v>25.5</v>
      </c>
      <c r="AA25" s="1">
        <v>116.6</v>
      </c>
      <c r="AB25" s="1" t="s">
        <v>1156</v>
      </c>
      <c r="AC25" s="1">
        <v>17</v>
      </c>
      <c r="AD25" s="1">
        <v>13</v>
      </c>
      <c r="AE25" s="1">
        <v>9</v>
      </c>
      <c r="AF25" s="1">
        <v>13</v>
      </c>
      <c r="AG25" s="1">
        <v>4</v>
      </c>
      <c r="AH25" s="1">
        <v>9</v>
      </c>
      <c r="AI25" s="1">
        <v>18</v>
      </c>
      <c r="AJ25" s="1">
        <v>1</v>
      </c>
      <c r="AK25" s="1">
        <v>7</v>
      </c>
      <c r="AL25" s="1">
        <v>11</v>
      </c>
      <c r="AM25" s="1">
        <v>3</v>
      </c>
      <c r="AN25" s="1">
        <v>14</v>
      </c>
      <c r="AO25" s="1">
        <v>16</v>
      </c>
      <c r="AP25" s="1">
        <v>6</v>
      </c>
      <c r="AQ25" s="1">
        <v>28</v>
      </c>
      <c r="AR25" s="1">
        <v>19</v>
      </c>
      <c r="AS25" s="1">
        <v>27</v>
      </c>
      <c r="AT25" s="1">
        <v>1</v>
      </c>
      <c r="AU25" s="1">
        <v>13</v>
      </c>
      <c r="AV25" s="1">
        <v>17</v>
      </c>
      <c r="AW25" s="1">
        <v>26</v>
      </c>
      <c r="AX25" s="1">
        <v>18</v>
      </c>
      <c r="AY25" s="1">
        <v>29</v>
      </c>
      <c r="AZ25" s="1">
        <v>1</v>
      </c>
      <c r="BA25" s="1">
        <v>6</v>
      </c>
      <c r="BB25" s="1">
        <v>4</v>
      </c>
      <c r="BC25" s="1">
        <v>10</v>
      </c>
      <c r="BD25" s="1" t="s">
        <v>159</v>
      </c>
    </row>
    <row r="26" spans="1:56">
      <c r="A26" s="1">
        <v>1610612757</v>
      </c>
      <c r="B26" s="1" t="s">
        <v>161</v>
      </c>
      <c r="C26" s="1">
        <v>11</v>
      </c>
      <c r="D26" s="1">
        <v>4</v>
      </c>
      <c r="E26" s="1">
        <v>7</v>
      </c>
      <c r="F26" s="1">
        <v>0.36399999999999999</v>
      </c>
      <c r="G26" s="1">
        <v>48.5</v>
      </c>
      <c r="H26" s="1">
        <v>40.9</v>
      </c>
      <c r="I26" s="1">
        <v>91.8</v>
      </c>
      <c r="J26" s="1">
        <v>0.44600000000000001</v>
      </c>
      <c r="K26" s="1">
        <v>11.6</v>
      </c>
      <c r="L26" s="1">
        <v>32.5</v>
      </c>
      <c r="M26" s="1">
        <v>0.35899999999999999</v>
      </c>
      <c r="N26" s="1">
        <v>19.3</v>
      </c>
      <c r="O26" s="1">
        <v>23.6</v>
      </c>
      <c r="P26" s="1">
        <v>0.81499999999999995</v>
      </c>
      <c r="Q26" s="1">
        <v>10.5</v>
      </c>
      <c r="R26" s="1">
        <v>36.200000000000003</v>
      </c>
      <c r="S26" s="1">
        <v>46.7</v>
      </c>
      <c r="T26" s="1">
        <v>17</v>
      </c>
      <c r="U26" s="1" t="s">
        <v>162</v>
      </c>
      <c r="V26" s="1">
        <v>6.5</v>
      </c>
      <c r="W26" s="1">
        <v>6</v>
      </c>
      <c r="X26" s="1">
        <v>6</v>
      </c>
      <c r="Y26" s="1">
        <v>24.6</v>
      </c>
      <c r="Z26" s="1">
        <v>21.9</v>
      </c>
      <c r="AA26" s="1">
        <v>112.7</v>
      </c>
      <c r="AB26" s="1" t="s">
        <v>1157</v>
      </c>
      <c r="AC26" s="1">
        <v>2</v>
      </c>
      <c r="AD26" s="1">
        <v>16</v>
      </c>
      <c r="AE26" s="1">
        <v>20</v>
      </c>
      <c r="AF26" s="1">
        <v>20</v>
      </c>
      <c r="AG26" s="1">
        <v>12</v>
      </c>
      <c r="AH26" s="1">
        <v>14</v>
      </c>
      <c r="AI26" s="1">
        <v>5</v>
      </c>
      <c r="AJ26" s="1">
        <v>21</v>
      </c>
      <c r="AK26" s="1">
        <v>15</v>
      </c>
      <c r="AL26" s="1">
        <v>15</v>
      </c>
      <c r="AM26" s="1">
        <v>12</v>
      </c>
      <c r="AN26" s="1">
        <v>11</v>
      </c>
      <c r="AO26" s="1">
        <v>18</v>
      </c>
      <c r="AP26" s="1">
        <v>5</v>
      </c>
      <c r="AQ26" s="1">
        <v>12</v>
      </c>
      <c r="AR26" s="1">
        <v>12</v>
      </c>
      <c r="AS26" s="1">
        <v>10</v>
      </c>
      <c r="AT26" s="1">
        <v>30</v>
      </c>
      <c r="AU26" s="1">
        <v>10</v>
      </c>
      <c r="AV26" s="1">
        <v>27</v>
      </c>
      <c r="AW26" s="1">
        <v>6</v>
      </c>
      <c r="AX26" s="1">
        <v>24</v>
      </c>
      <c r="AY26" s="1">
        <v>28</v>
      </c>
      <c r="AZ26" s="1">
        <v>20</v>
      </c>
      <c r="BA26" s="1">
        <v>10</v>
      </c>
      <c r="BB26" s="1">
        <v>18</v>
      </c>
      <c r="BC26" s="1">
        <v>10</v>
      </c>
      <c r="BD26" s="1" t="s">
        <v>161</v>
      </c>
    </row>
    <row r="27" spans="1:56">
      <c r="A27" s="1">
        <v>1610612758</v>
      </c>
      <c r="B27" s="1" t="s">
        <v>163</v>
      </c>
      <c r="C27" s="1">
        <v>10</v>
      </c>
      <c r="D27" s="1">
        <v>4</v>
      </c>
      <c r="E27" s="1">
        <v>6</v>
      </c>
      <c r="F27" s="1">
        <v>0.4</v>
      </c>
      <c r="G27" s="1">
        <v>48</v>
      </c>
      <c r="H27" s="1">
        <v>38.5</v>
      </c>
      <c r="I27" s="1">
        <v>86.8</v>
      </c>
      <c r="J27" s="1">
        <v>0.44400000000000001</v>
      </c>
      <c r="K27" s="1">
        <v>13</v>
      </c>
      <c r="L27" s="1">
        <v>35</v>
      </c>
      <c r="M27" s="1">
        <v>0.371</v>
      </c>
      <c r="N27" s="1">
        <v>15.6</v>
      </c>
      <c r="O27" s="1">
        <v>20.9</v>
      </c>
      <c r="P27" s="1">
        <v>0.746</v>
      </c>
      <c r="Q27" s="1">
        <v>10.9</v>
      </c>
      <c r="R27" s="1">
        <v>31.2</v>
      </c>
      <c r="S27" s="1">
        <v>42.1</v>
      </c>
      <c r="T27" s="1">
        <v>21.5</v>
      </c>
      <c r="U27" s="1" t="s">
        <v>1143</v>
      </c>
      <c r="V27" s="1">
        <v>7.6</v>
      </c>
      <c r="W27" s="1">
        <v>5</v>
      </c>
      <c r="X27" s="1">
        <v>4.8</v>
      </c>
      <c r="Y27" s="1">
        <v>22.8</v>
      </c>
      <c r="Z27" s="1">
        <v>20.399999999999999</v>
      </c>
      <c r="AA27" s="1">
        <v>105.6</v>
      </c>
      <c r="AB27" s="1" t="s">
        <v>1158</v>
      </c>
      <c r="AC27" s="1">
        <v>17</v>
      </c>
      <c r="AD27" s="1">
        <v>16</v>
      </c>
      <c r="AE27" s="1">
        <v>15</v>
      </c>
      <c r="AF27" s="1">
        <v>16</v>
      </c>
      <c r="AG27" s="1">
        <v>17</v>
      </c>
      <c r="AH27" s="1">
        <v>25</v>
      </c>
      <c r="AI27" s="1">
        <v>22</v>
      </c>
      <c r="AJ27" s="1">
        <v>22</v>
      </c>
      <c r="AK27" s="1">
        <v>8</v>
      </c>
      <c r="AL27" s="1">
        <v>10</v>
      </c>
      <c r="AM27" s="1">
        <v>7</v>
      </c>
      <c r="AN27" s="1">
        <v>27</v>
      </c>
      <c r="AO27" s="1">
        <v>26</v>
      </c>
      <c r="AP27" s="1">
        <v>20</v>
      </c>
      <c r="AQ27" s="1">
        <v>10</v>
      </c>
      <c r="AR27" s="1">
        <v>29</v>
      </c>
      <c r="AS27" s="1">
        <v>28</v>
      </c>
      <c r="AT27" s="1">
        <v>25</v>
      </c>
      <c r="AU27" s="1">
        <v>19</v>
      </c>
      <c r="AV27" s="1">
        <v>17</v>
      </c>
      <c r="AW27" s="1">
        <v>19</v>
      </c>
      <c r="AX27" s="1">
        <v>12</v>
      </c>
      <c r="AY27" s="1">
        <v>16</v>
      </c>
      <c r="AZ27" s="1">
        <v>27</v>
      </c>
      <c r="BA27" s="1">
        <v>25</v>
      </c>
      <c r="BB27" s="1">
        <v>25</v>
      </c>
      <c r="BC27" s="1">
        <v>10</v>
      </c>
      <c r="BD27" s="1" t="s">
        <v>163</v>
      </c>
    </row>
    <row r="28" spans="1:56">
      <c r="A28" s="1">
        <v>1610612759</v>
      </c>
      <c r="B28" s="1" t="s">
        <v>165</v>
      </c>
      <c r="C28" s="1">
        <v>11</v>
      </c>
      <c r="D28" s="1">
        <v>5</v>
      </c>
      <c r="E28" s="1">
        <v>6</v>
      </c>
      <c r="F28" s="1">
        <v>0.45500000000000002</v>
      </c>
      <c r="G28" s="1">
        <v>48</v>
      </c>
      <c r="H28" s="1">
        <v>41.8</v>
      </c>
      <c r="I28" s="1">
        <v>90.5</v>
      </c>
      <c r="J28" s="1">
        <v>0.46200000000000002</v>
      </c>
      <c r="K28" s="1">
        <v>8.6999999999999993</v>
      </c>
      <c r="L28" s="1">
        <v>25.6</v>
      </c>
      <c r="M28" s="1">
        <v>0.34</v>
      </c>
      <c r="N28" s="1">
        <v>20</v>
      </c>
      <c r="O28" s="1">
        <v>25.5</v>
      </c>
      <c r="P28" s="1">
        <v>0.78300000000000003</v>
      </c>
      <c r="Q28" s="1">
        <v>12</v>
      </c>
      <c r="R28" s="1">
        <v>36.5</v>
      </c>
      <c r="S28" s="1">
        <v>48.5</v>
      </c>
      <c r="T28" s="1">
        <v>24</v>
      </c>
      <c r="U28" s="1" t="s">
        <v>172</v>
      </c>
      <c r="V28" s="1">
        <v>5.5</v>
      </c>
      <c r="W28" s="1">
        <v>5.4</v>
      </c>
      <c r="X28" s="1">
        <v>5.2</v>
      </c>
      <c r="Y28" s="1">
        <v>20.100000000000001</v>
      </c>
      <c r="Z28" s="1">
        <v>22.3</v>
      </c>
      <c r="AA28" s="1">
        <v>112.4</v>
      </c>
      <c r="AB28" s="1" t="s">
        <v>153</v>
      </c>
      <c r="AC28" s="1">
        <v>2</v>
      </c>
      <c r="AD28" s="1">
        <v>15</v>
      </c>
      <c r="AE28" s="1">
        <v>15</v>
      </c>
      <c r="AF28" s="1">
        <v>15</v>
      </c>
      <c r="AG28" s="1">
        <v>17</v>
      </c>
      <c r="AH28" s="1">
        <v>10</v>
      </c>
      <c r="AI28" s="1">
        <v>12</v>
      </c>
      <c r="AJ28" s="1">
        <v>10</v>
      </c>
      <c r="AK28" s="1">
        <v>29</v>
      </c>
      <c r="AL28" s="1">
        <v>29</v>
      </c>
      <c r="AM28" s="1">
        <v>19</v>
      </c>
      <c r="AN28" s="1">
        <v>6</v>
      </c>
      <c r="AO28" s="1">
        <v>9</v>
      </c>
      <c r="AP28" s="1">
        <v>10</v>
      </c>
      <c r="AQ28" s="1">
        <v>2</v>
      </c>
      <c r="AR28" s="1">
        <v>11</v>
      </c>
      <c r="AS28" s="1">
        <v>4</v>
      </c>
      <c r="AT28" s="1">
        <v>14</v>
      </c>
      <c r="AU28" s="1">
        <v>12</v>
      </c>
      <c r="AV28" s="1">
        <v>29</v>
      </c>
      <c r="AW28" s="1">
        <v>15</v>
      </c>
      <c r="AX28" s="1">
        <v>14</v>
      </c>
      <c r="AY28" s="1">
        <v>4</v>
      </c>
      <c r="AZ28" s="1">
        <v>14</v>
      </c>
      <c r="BA28" s="1">
        <v>12</v>
      </c>
      <c r="BB28" s="1">
        <v>19</v>
      </c>
      <c r="BC28" s="1">
        <v>10</v>
      </c>
      <c r="BD28" s="1" t="s">
        <v>165</v>
      </c>
    </row>
    <row r="29" spans="1:56">
      <c r="A29" s="1">
        <v>1610612761</v>
      </c>
      <c r="B29" s="1" t="s">
        <v>166</v>
      </c>
      <c r="C29" s="1">
        <v>10</v>
      </c>
      <c r="D29" s="1">
        <v>7</v>
      </c>
      <c r="E29" s="1">
        <v>3</v>
      </c>
      <c r="F29" s="1">
        <v>0.7</v>
      </c>
      <c r="G29" s="1">
        <v>48.5</v>
      </c>
      <c r="H29" s="1">
        <v>39.6</v>
      </c>
      <c r="I29" s="1">
        <v>86.3</v>
      </c>
      <c r="J29" s="1">
        <v>0.45900000000000002</v>
      </c>
      <c r="K29" s="1">
        <v>14.1</v>
      </c>
      <c r="L29" s="1">
        <v>35.799999999999997</v>
      </c>
      <c r="M29" s="1">
        <v>0.39400000000000002</v>
      </c>
      <c r="N29" s="1">
        <v>19.2</v>
      </c>
      <c r="O29" s="1">
        <v>23</v>
      </c>
      <c r="P29" s="1">
        <v>0.83499999999999996</v>
      </c>
      <c r="Q29" s="1">
        <v>7.1</v>
      </c>
      <c r="R29" s="1">
        <v>39</v>
      </c>
      <c r="S29" s="1">
        <v>46.1</v>
      </c>
      <c r="T29" s="1">
        <v>25.1</v>
      </c>
      <c r="U29" s="1" t="s">
        <v>1159</v>
      </c>
      <c r="V29" s="1">
        <v>7.8</v>
      </c>
      <c r="W29" s="1">
        <v>5.4</v>
      </c>
      <c r="X29" s="1">
        <v>6</v>
      </c>
      <c r="Y29" s="1">
        <v>22.6</v>
      </c>
      <c r="Z29" s="1">
        <v>22</v>
      </c>
      <c r="AA29" s="1">
        <v>112.5</v>
      </c>
      <c r="AB29" s="1" t="s">
        <v>1160</v>
      </c>
      <c r="AC29" s="1">
        <v>17</v>
      </c>
      <c r="AD29" s="1">
        <v>5</v>
      </c>
      <c r="AE29" s="1">
        <v>3</v>
      </c>
      <c r="AF29" s="1">
        <v>5</v>
      </c>
      <c r="AG29" s="1">
        <v>4</v>
      </c>
      <c r="AH29" s="1">
        <v>19</v>
      </c>
      <c r="AI29" s="1">
        <v>23</v>
      </c>
      <c r="AJ29" s="1">
        <v>15</v>
      </c>
      <c r="AK29" s="1">
        <v>4</v>
      </c>
      <c r="AL29" s="1">
        <v>7</v>
      </c>
      <c r="AM29" s="1">
        <v>2</v>
      </c>
      <c r="AN29" s="1">
        <v>13</v>
      </c>
      <c r="AO29" s="1">
        <v>21</v>
      </c>
      <c r="AP29" s="1">
        <v>3</v>
      </c>
      <c r="AQ29" s="1">
        <v>29</v>
      </c>
      <c r="AR29" s="1">
        <v>2</v>
      </c>
      <c r="AS29" s="1">
        <v>13</v>
      </c>
      <c r="AT29" s="1">
        <v>9</v>
      </c>
      <c r="AU29" s="1">
        <v>22</v>
      </c>
      <c r="AV29" s="1">
        <v>13</v>
      </c>
      <c r="AW29" s="1">
        <v>13</v>
      </c>
      <c r="AX29" s="1">
        <v>24</v>
      </c>
      <c r="AY29" s="1">
        <v>15</v>
      </c>
      <c r="AZ29" s="1">
        <v>16</v>
      </c>
      <c r="BA29" s="1">
        <v>11</v>
      </c>
      <c r="BB29" s="1">
        <v>6</v>
      </c>
      <c r="BC29" s="1">
        <v>10</v>
      </c>
      <c r="BD29" s="1" t="s">
        <v>166</v>
      </c>
    </row>
    <row r="30" spans="1:56">
      <c r="A30" s="1">
        <v>1610612762</v>
      </c>
      <c r="B30" s="1" t="s">
        <v>168</v>
      </c>
      <c r="C30" s="1">
        <v>11</v>
      </c>
      <c r="D30" s="1">
        <v>8</v>
      </c>
      <c r="E30" s="1">
        <v>3</v>
      </c>
      <c r="F30" s="1">
        <v>0.72699999999999998</v>
      </c>
      <c r="G30" s="1">
        <v>48</v>
      </c>
      <c r="H30" s="1">
        <v>37.1</v>
      </c>
      <c r="I30" s="1">
        <v>80.5</v>
      </c>
      <c r="J30" s="1">
        <v>0.46</v>
      </c>
      <c r="K30" s="1">
        <v>10.8</v>
      </c>
      <c r="L30" s="1">
        <v>29</v>
      </c>
      <c r="M30" s="1">
        <v>0.373</v>
      </c>
      <c r="N30" s="1">
        <v>19.5</v>
      </c>
      <c r="O30" s="1">
        <v>26</v>
      </c>
      <c r="P30" s="1">
        <v>0.752</v>
      </c>
      <c r="Q30" s="1">
        <v>7.1</v>
      </c>
      <c r="R30" s="1">
        <v>37</v>
      </c>
      <c r="S30" s="1">
        <v>44.1</v>
      </c>
      <c r="T30" s="1">
        <v>20</v>
      </c>
      <c r="U30" s="1" t="s">
        <v>1161</v>
      </c>
      <c r="V30" s="1">
        <v>6.9</v>
      </c>
      <c r="W30" s="1">
        <v>3.7</v>
      </c>
      <c r="X30" s="1">
        <v>4.5</v>
      </c>
      <c r="Y30" s="1">
        <v>22.9</v>
      </c>
      <c r="Z30" s="1">
        <v>23.9</v>
      </c>
      <c r="AA30" s="1">
        <v>104.5</v>
      </c>
      <c r="AB30" s="1" t="s">
        <v>1162</v>
      </c>
      <c r="AC30" s="1">
        <v>2</v>
      </c>
      <c r="AD30" s="1">
        <v>2</v>
      </c>
      <c r="AE30" s="1">
        <v>3</v>
      </c>
      <c r="AF30" s="1">
        <v>3</v>
      </c>
      <c r="AG30" s="1">
        <v>17</v>
      </c>
      <c r="AH30" s="1">
        <v>28</v>
      </c>
      <c r="AI30" s="1">
        <v>30</v>
      </c>
      <c r="AJ30" s="1">
        <v>13</v>
      </c>
      <c r="AK30" s="1">
        <v>18</v>
      </c>
      <c r="AL30" s="1">
        <v>28</v>
      </c>
      <c r="AM30" s="1">
        <v>6</v>
      </c>
      <c r="AN30" s="1">
        <v>9</v>
      </c>
      <c r="AO30" s="1">
        <v>7</v>
      </c>
      <c r="AP30" s="1">
        <v>19</v>
      </c>
      <c r="AQ30" s="1">
        <v>30</v>
      </c>
      <c r="AR30" s="1">
        <v>6</v>
      </c>
      <c r="AS30" s="1">
        <v>22</v>
      </c>
      <c r="AT30" s="1">
        <v>29</v>
      </c>
      <c r="AU30" s="1">
        <v>20</v>
      </c>
      <c r="AV30" s="1">
        <v>24</v>
      </c>
      <c r="AW30" s="1">
        <v>28</v>
      </c>
      <c r="AX30" s="1">
        <v>7</v>
      </c>
      <c r="AY30" s="1">
        <v>18</v>
      </c>
      <c r="AZ30" s="1">
        <v>7</v>
      </c>
      <c r="BA30" s="1">
        <v>28</v>
      </c>
      <c r="BB30" s="1">
        <v>8</v>
      </c>
      <c r="BC30" s="1">
        <v>10</v>
      </c>
      <c r="BD30" s="1" t="s">
        <v>168</v>
      </c>
    </row>
    <row r="31" spans="1:56">
      <c r="A31" s="1">
        <v>1610612764</v>
      </c>
      <c r="B31" s="1" t="s">
        <v>171</v>
      </c>
      <c r="C31" s="1">
        <v>9</v>
      </c>
      <c r="D31" s="1">
        <v>2</v>
      </c>
      <c r="E31" s="1">
        <v>7</v>
      </c>
      <c r="F31" s="1">
        <v>0.222</v>
      </c>
      <c r="G31" s="1">
        <v>48</v>
      </c>
      <c r="H31" s="1">
        <v>43.6</v>
      </c>
      <c r="I31" s="1">
        <v>94.6</v>
      </c>
      <c r="J31" s="1">
        <v>0.46100000000000002</v>
      </c>
      <c r="K31" s="1">
        <v>12.1</v>
      </c>
      <c r="L31" s="1">
        <v>35.1</v>
      </c>
      <c r="M31" s="1">
        <v>0.34499999999999997</v>
      </c>
      <c r="N31" s="1">
        <v>16.3</v>
      </c>
      <c r="O31" s="1">
        <v>19.8</v>
      </c>
      <c r="P31" s="1">
        <v>0.82599999999999996</v>
      </c>
      <c r="Q31" s="1">
        <v>11.2</v>
      </c>
      <c r="R31" s="1">
        <v>31.7</v>
      </c>
      <c r="S31" s="1">
        <v>42.9</v>
      </c>
      <c r="T31" s="1">
        <v>26</v>
      </c>
      <c r="U31" s="1" t="s">
        <v>123</v>
      </c>
      <c r="V31" s="1">
        <v>6.3</v>
      </c>
      <c r="W31" s="1">
        <v>4.9000000000000004</v>
      </c>
      <c r="X31" s="1">
        <v>6.1</v>
      </c>
      <c r="Y31" s="1">
        <v>23.2</v>
      </c>
      <c r="Z31" s="1">
        <v>21.6</v>
      </c>
      <c r="AA31" s="1">
        <v>115.6</v>
      </c>
      <c r="AB31" s="1" t="s">
        <v>134</v>
      </c>
      <c r="AC31" s="1">
        <v>30</v>
      </c>
      <c r="AD31" s="1">
        <v>27</v>
      </c>
      <c r="AE31" s="1">
        <v>20</v>
      </c>
      <c r="AF31" s="1">
        <v>27</v>
      </c>
      <c r="AG31" s="1">
        <v>17</v>
      </c>
      <c r="AH31" s="1">
        <v>1</v>
      </c>
      <c r="AI31" s="1">
        <v>2</v>
      </c>
      <c r="AJ31" s="1">
        <v>12</v>
      </c>
      <c r="AK31" s="1">
        <v>13</v>
      </c>
      <c r="AL31" s="1">
        <v>8</v>
      </c>
      <c r="AM31" s="1">
        <v>17</v>
      </c>
      <c r="AN31" s="1">
        <v>24</v>
      </c>
      <c r="AO31" s="1">
        <v>29</v>
      </c>
      <c r="AP31" s="1">
        <v>4</v>
      </c>
      <c r="AQ31" s="1">
        <v>6</v>
      </c>
      <c r="AR31" s="1">
        <v>28</v>
      </c>
      <c r="AS31" s="1">
        <v>25</v>
      </c>
      <c r="AT31" s="1">
        <v>5</v>
      </c>
      <c r="AU31" s="1">
        <v>14</v>
      </c>
      <c r="AV31" s="1">
        <v>28</v>
      </c>
      <c r="AW31" s="1">
        <v>21</v>
      </c>
      <c r="AX31" s="1">
        <v>27</v>
      </c>
      <c r="AY31" s="1">
        <v>21</v>
      </c>
      <c r="AZ31" s="1">
        <v>23</v>
      </c>
      <c r="BA31" s="1">
        <v>8</v>
      </c>
      <c r="BB31" s="1">
        <v>24</v>
      </c>
      <c r="BC31" s="1">
        <v>10</v>
      </c>
      <c r="BD31" s="1" t="s">
        <v>171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BBD5D-D32E-410A-B6BB-24CC9E68F3E0}">
  <sheetPr codeName="Sheet10"/>
  <dimension ref="A1:BD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10" max="10" width="9.1796875" customWidth="1"/>
    <col min="13" max="13" width="10.1796875" customWidth="1"/>
    <col min="16" max="16" width="8.90625" customWidth="1"/>
    <col min="28" max="28" width="13.6328125" customWidth="1"/>
    <col min="29" max="29" width="10.81640625" customWidth="1"/>
    <col min="30" max="30" width="10.26953125" customWidth="1"/>
    <col min="31" max="31" width="9.26953125" customWidth="1"/>
    <col min="32" max="32" width="14.453125" customWidth="1"/>
    <col min="33" max="33" width="12" customWidth="1"/>
    <col min="34" max="34" width="12.36328125" customWidth="1"/>
    <col min="35" max="35" width="11.81640625" customWidth="1"/>
    <col min="36" max="36" width="14.81640625" customWidth="1"/>
    <col min="37" max="37" width="13.36328125" customWidth="1"/>
    <col min="38" max="38" width="12.81640625" customWidth="1"/>
    <col min="39" max="39" width="15.81640625" customWidth="1"/>
    <col min="40" max="40" width="12.08984375" customWidth="1"/>
    <col min="41" max="41" width="11.54296875" customWidth="1"/>
    <col min="42" max="42" width="14.54296875" customWidth="1"/>
    <col min="43" max="43" width="13" customWidth="1"/>
    <col min="44" max="44" width="12.90625" customWidth="1"/>
    <col min="45" max="45" width="11.6328125" customWidth="1"/>
    <col min="46" max="46" width="11.54296875" customWidth="1"/>
    <col min="47" max="47" width="12" customWidth="1"/>
    <col min="48" max="48" width="11.1796875" customWidth="1"/>
    <col min="49" max="49" width="11.453125" customWidth="1"/>
    <col min="50" max="50" width="12.6328125" customWidth="1"/>
    <col min="51" max="51" width="10.453125" customWidth="1"/>
    <col min="52" max="52" width="11.7265625" customWidth="1"/>
    <col min="53" max="53" width="11.453125" customWidth="1"/>
    <col min="54" max="54" width="19.26953125" customWidth="1"/>
    <col min="56" max="56" width="12" customWidth="1"/>
  </cols>
  <sheetData>
    <row r="1" spans="1:56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1089</v>
      </c>
      <c r="I1" s="1" t="s">
        <v>1090</v>
      </c>
      <c r="J1" s="1" t="s">
        <v>1091</v>
      </c>
      <c r="K1" s="1" t="s">
        <v>1092</v>
      </c>
      <c r="L1" s="1" t="s">
        <v>1093</v>
      </c>
      <c r="M1" s="1" t="s">
        <v>1094</v>
      </c>
      <c r="N1" s="1" t="s">
        <v>1095</v>
      </c>
      <c r="O1" s="1" t="s">
        <v>1096</v>
      </c>
      <c r="P1" s="1" t="s">
        <v>1097</v>
      </c>
      <c r="Q1" s="1" t="s">
        <v>1098</v>
      </c>
      <c r="R1" s="1" t="s">
        <v>1099</v>
      </c>
      <c r="S1" s="1" t="s">
        <v>1100</v>
      </c>
      <c r="T1" s="1" t="s">
        <v>1101</v>
      </c>
      <c r="U1" s="1" t="s">
        <v>1102</v>
      </c>
      <c r="V1" s="1" t="s">
        <v>1103</v>
      </c>
      <c r="W1" s="1" t="s">
        <v>1104</v>
      </c>
      <c r="X1" s="1" t="s">
        <v>1105</v>
      </c>
      <c r="Y1" s="1" t="s">
        <v>1106</v>
      </c>
      <c r="Z1" s="1" t="s">
        <v>1107</v>
      </c>
      <c r="AA1" s="1" t="s">
        <v>1108</v>
      </c>
      <c r="AB1" s="1" t="s">
        <v>75</v>
      </c>
      <c r="AC1" s="1" t="s">
        <v>76</v>
      </c>
      <c r="AD1" s="1" t="s">
        <v>77</v>
      </c>
      <c r="AE1" s="1" t="s">
        <v>78</v>
      </c>
      <c r="AF1" s="1" t="s">
        <v>79</v>
      </c>
      <c r="AG1" s="1" t="s">
        <v>80</v>
      </c>
      <c r="AH1" s="1" t="s">
        <v>1109</v>
      </c>
      <c r="AI1" s="1" t="s">
        <v>1110</v>
      </c>
      <c r="AJ1" s="1" t="s">
        <v>1111</v>
      </c>
      <c r="AK1" s="1" t="s">
        <v>1112</v>
      </c>
      <c r="AL1" s="1" t="s">
        <v>1113</v>
      </c>
      <c r="AM1" s="1" t="s">
        <v>1114</v>
      </c>
      <c r="AN1" s="1" t="s">
        <v>1115</v>
      </c>
      <c r="AO1" s="1" t="s">
        <v>1116</v>
      </c>
      <c r="AP1" s="1" t="s">
        <v>1117</v>
      </c>
      <c r="AQ1" s="1" t="s">
        <v>1118</v>
      </c>
      <c r="AR1" s="1" t="s">
        <v>1119</v>
      </c>
      <c r="AS1" s="1" t="s">
        <v>1120</v>
      </c>
      <c r="AT1" s="1" t="s">
        <v>1121</v>
      </c>
      <c r="AU1" s="1" t="s">
        <v>1122</v>
      </c>
      <c r="AV1" s="1" t="s">
        <v>1123</v>
      </c>
      <c r="AW1" s="1" t="s">
        <v>1124</v>
      </c>
      <c r="AX1" s="1" t="s">
        <v>1125</v>
      </c>
      <c r="AY1" s="1" t="s">
        <v>1126</v>
      </c>
      <c r="AZ1" s="1" t="s">
        <v>1127</v>
      </c>
      <c r="BA1" s="1" t="s">
        <v>1128</v>
      </c>
      <c r="BB1" s="1" t="s">
        <v>101</v>
      </c>
      <c r="BC1" s="1" t="s">
        <v>102</v>
      </c>
      <c r="BD1" s="1" t="s">
        <v>103</v>
      </c>
    </row>
    <row r="2" spans="1:56">
      <c r="A2" s="1">
        <v>1610612737</v>
      </c>
      <c r="B2" s="1" t="s">
        <v>104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1163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1164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104</v>
      </c>
    </row>
    <row r="3" spans="1:56">
      <c r="A3" s="1">
        <v>1610612738</v>
      </c>
      <c r="B3" s="1" t="s">
        <v>106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1165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105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106</v>
      </c>
    </row>
    <row r="4" spans="1:56">
      <c r="A4" s="1">
        <v>1610612751</v>
      </c>
      <c r="B4" s="1" t="s">
        <v>107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151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1166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107</v>
      </c>
    </row>
    <row r="5" spans="1:56">
      <c r="A5" s="1">
        <v>1610612766</v>
      </c>
      <c r="B5" s="1" t="s">
        <v>109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223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1167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109</v>
      </c>
    </row>
    <row r="6" spans="1:56">
      <c r="A6" s="1">
        <v>1610612741</v>
      </c>
      <c r="B6" s="1" t="s">
        <v>112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187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1168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112</v>
      </c>
    </row>
    <row r="7" spans="1:56">
      <c r="A7" s="1">
        <v>1610612739</v>
      </c>
      <c r="B7" s="1" t="s">
        <v>114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175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1169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114</v>
      </c>
    </row>
    <row r="8" spans="1:56">
      <c r="A8" s="1">
        <v>1610612742</v>
      </c>
      <c r="B8" s="1" t="s">
        <v>118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195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1170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118</v>
      </c>
    </row>
    <row r="9" spans="1:56">
      <c r="A9" s="1">
        <v>1610612743</v>
      </c>
      <c r="B9" s="1" t="s">
        <v>121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202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1171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121</v>
      </c>
    </row>
    <row r="10" spans="1:56">
      <c r="A10" s="1">
        <v>1610612765</v>
      </c>
      <c r="B10" s="1" t="s">
        <v>124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1172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1173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124</v>
      </c>
    </row>
    <row r="11" spans="1:56">
      <c r="A11" s="1">
        <v>1610612744</v>
      </c>
      <c r="B11" s="1" t="s">
        <v>126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155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1174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126</v>
      </c>
    </row>
    <row r="12" spans="1:56">
      <c r="A12" s="1">
        <v>1610612745</v>
      </c>
      <c r="B12" s="1" t="s">
        <v>128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119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1175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128</v>
      </c>
    </row>
    <row r="13" spans="1:56">
      <c r="A13" s="1">
        <v>1610612754</v>
      </c>
      <c r="B13" s="1" t="s">
        <v>130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1176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1177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130</v>
      </c>
    </row>
    <row r="14" spans="1:56">
      <c r="A14" s="1">
        <v>1610612746</v>
      </c>
      <c r="B14" s="1" t="s">
        <v>132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1138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117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132</v>
      </c>
    </row>
    <row r="15" spans="1:56">
      <c r="A15" s="1">
        <v>1610612747</v>
      </c>
      <c r="B15" s="1" t="s">
        <v>135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127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224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135</v>
      </c>
    </row>
    <row r="16" spans="1:56">
      <c r="A16" s="1">
        <v>1610612763</v>
      </c>
      <c r="B16" s="1" t="s">
        <v>138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1178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1179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138</v>
      </c>
    </row>
    <row r="17" spans="1:56">
      <c r="A17" s="1">
        <v>1610612748</v>
      </c>
      <c r="B17" s="1" t="s">
        <v>141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205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1173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141</v>
      </c>
    </row>
    <row r="18" spans="1:56">
      <c r="A18" s="1">
        <v>1610612749</v>
      </c>
      <c r="B18" s="1" t="s">
        <v>142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227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1180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142</v>
      </c>
    </row>
    <row r="19" spans="1:56">
      <c r="A19" s="1">
        <v>1610612750</v>
      </c>
      <c r="B19" s="1" t="s">
        <v>145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1181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1182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145</v>
      </c>
    </row>
    <row r="20" spans="1:56">
      <c r="A20" s="1">
        <v>1610612740</v>
      </c>
      <c r="B20" s="1" t="s">
        <v>146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1183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1170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146</v>
      </c>
    </row>
    <row r="21" spans="1:56">
      <c r="A21" s="1">
        <v>1610612752</v>
      </c>
      <c r="B21" s="1" t="s">
        <v>149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1178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1184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149</v>
      </c>
    </row>
    <row r="22" spans="1:56">
      <c r="A22" s="1">
        <v>1610612760</v>
      </c>
      <c r="B22" s="1" t="s">
        <v>152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1178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1185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152</v>
      </c>
    </row>
    <row r="23" spans="1:56">
      <c r="A23" s="1">
        <v>1610612753</v>
      </c>
      <c r="B23" s="1" t="s">
        <v>154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108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1186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154</v>
      </c>
    </row>
    <row r="24" spans="1:56">
      <c r="A24" s="1">
        <v>1610612755</v>
      </c>
      <c r="B24" s="1" t="s">
        <v>157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162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1187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157</v>
      </c>
    </row>
    <row r="25" spans="1:56">
      <c r="A25" s="1">
        <v>1610612756</v>
      </c>
      <c r="B25" s="1" t="s">
        <v>159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1188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1189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159</v>
      </c>
    </row>
    <row r="26" spans="1:56">
      <c r="A26" s="1">
        <v>1610612757</v>
      </c>
      <c r="B26" s="1" t="s">
        <v>161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1172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1190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161</v>
      </c>
    </row>
    <row r="27" spans="1:56">
      <c r="A27" s="1">
        <v>1610612758</v>
      </c>
      <c r="B27" s="1" t="s">
        <v>163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202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1167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163</v>
      </c>
    </row>
    <row r="28" spans="1:56">
      <c r="A28" s="1">
        <v>1610612759</v>
      </c>
      <c r="B28" s="1" t="s">
        <v>165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1191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196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165</v>
      </c>
    </row>
    <row r="29" spans="1:56">
      <c r="A29" s="1">
        <v>1610612761</v>
      </c>
      <c r="B29" s="1" t="s">
        <v>166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1178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164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166</v>
      </c>
    </row>
    <row r="30" spans="1:56">
      <c r="A30" s="1">
        <v>1610612762</v>
      </c>
      <c r="B30" s="1" t="s">
        <v>168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151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1192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168</v>
      </c>
    </row>
    <row r="31" spans="1:56">
      <c r="A31" s="1">
        <v>1610612764</v>
      </c>
      <c r="B31" s="1" t="s">
        <v>171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187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1193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171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0621-E50C-4FE8-B7F7-A35F1324A11E}">
  <sheetPr codeName="Sheet11"/>
  <dimension ref="A1:AV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5.36328125" customWidth="1"/>
    <col min="9" max="9" width="13.36328125" customWidth="1"/>
    <col min="10" max="10" width="15.36328125" customWidth="1"/>
    <col min="11" max="11" width="13.36328125" customWidth="1"/>
    <col min="12" max="12" width="15.453125" customWidth="1"/>
    <col min="13" max="13" width="13.453125" customWidth="1"/>
    <col min="14" max="14" width="10.08984375" customWidth="1"/>
    <col min="15" max="15" width="9.26953125" customWidth="1"/>
    <col min="16" max="16" width="12.08984375" customWidth="1"/>
    <col min="17" max="17" width="11.54296875" customWidth="1"/>
    <col min="18" max="18" width="11.453125" customWidth="1"/>
    <col min="19" max="19" width="10.1796875" customWidth="1"/>
    <col min="20" max="20" width="14.26953125" customWidth="1"/>
    <col min="21" max="21" width="10.1796875" customWidth="1"/>
    <col min="22" max="22" width="8.90625" customWidth="1"/>
    <col min="23" max="23" width="9.1796875" customWidth="1"/>
    <col min="25" max="25" width="13.36328125" customWidth="1"/>
    <col min="28" max="28" width="10.81640625" customWidth="1"/>
    <col min="29" max="29" width="10.26953125" customWidth="1"/>
    <col min="30" max="30" width="9.26953125" customWidth="1"/>
    <col min="31" max="31" width="14.453125" customWidth="1"/>
    <col min="32" max="32" width="12" customWidth="1"/>
    <col min="33" max="34" width="19" customWidth="1"/>
    <col min="35" max="35" width="19.08984375" customWidth="1"/>
    <col min="36" max="36" width="15.7265625" customWidth="1"/>
    <col min="37" max="37" width="14.90625" customWidth="1"/>
    <col min="38" max="38" width="17.7265625" customWidth="1"/>
    <col min="39" max="39" width="17.1796875" customWidth="1"/>
    <col min="40" max="40" width="17.08984375" customWidth="1"/>
    <col min="41" max="41" width="15.81640625" customWidth="1"/>
    <col min="42" max="42" width="19.90625" customWidth="1"/>
    <col min="43" max="43" width="15.81640625" customWidth="1"/>
    <col min="44" max="44" width="14.54296875" customWidth="1"/>
    <col min="45" max="45" width="12.81640625" customWidth="1"/>
    <col min="46" max="46" width="11.08984375" customWidth="1"/>
    <col min="48" max="48" width="12" customWidth="1"/>
  </cols>
  <sheetData>
    <row r="1" spans="1:48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232</v>
      </c>
      <c r="I1" s="1" t="s">
        <v>233</v>
      </c>
      <c r="J1" s="1" t="s">
        <v>234</v>
      </c>
      <c r="K1" s="1" t="s">
        <v>235</v>
      </c>
      <c r="L1" s="1" t="s">
        <v>236</v>
      </c>
      <c r="M1" s="1" t="s">
        <v>237</v>
      </c>
      <c r="N1" s="1" t="s">
        <v>238</v>
      </c>
      <c r="O1" s="1" t="s">
        <v>239</v>
      </c>
      <c r="P1" s="1" t="s">
        <v>240</v>
      </c>
      <c r="Q1" s="1" t="s">
        <v>241</v>
      </c>
      <c r="R1" s="1" t="s">
        <v>242</v>
      </c>
      <c r="S1" s="1" t="s">
        <v>243</v>
      </c>
      <c r="T1" s="1" t="s">
        <v>244</v>
      </c>
      <c r="U1" s="1" t="s">
        <v>245</v>
      </c>
      <c r="V1" s="1" t="s">
        <v>246</v>
      </c>
      <c r="W1" s="1" t="s">
        <v>247</v>
      </c>
      <c r="X1" s="1" t="s">
        <v>248</v>
      </c>
      <c r="Y1" s="1" t="s">
        <v>249</v>
      </c>
      <c r="Z1" s="1" t="s">
        <v>250</v>
      </c>
      <c r="AA1" s="1" t="s">
        <v>251</v>
      </c>
      <c r="AB1" s="1" t="s">
        <v>76</v>
      </c>
      <c r="AC1" s="1" t="s">
        <v>77</v>
      </c>
      <c r="AD1" s="1" t="s">
        <v>78</v>
      </c>
      <c r="AE1" s="1" t="s">
        <v>79</v>
      </c>
      <c r="AF1" s="1" t="s">
        <v>80</v>
      </c>
      <c r="AG1" s="1" t="s">
        <v>252</v>
      </c>
      <c r="AH1" s="1" t="s">
        <v>253</v>
      </c>
      <c r="AI1" s="1" t="s">
        <v>254</v>
      </c>
      <c r="AJ1" s="1" t="s">
        <v>255</v>
      </c>
      <c r="AK1" s="1" t="s">
        <v>256</v>
      </c>
      <c r="AL1" s="1" t="s">
        <v>257</v>
      </c>
      <c r="AM1" s="1" t="s">
        <v>258</v>
      </c>
      <c r="AN1" s="1" t="s">
        <v>259</v>
      </c>
      <c r="AO1" s="1" t="s">
        <v>260</v>
      </c>
      <c r="AP1" s="1" t="s">
        <v>261</v>
      </c>
      <c r="AQ1" s="1" t="s">
        <v>262</v>
      </c>
      <c r="AR1" s="1" t="s">
        <v>263</v>
      </c>
      <c r="AS1" s="1" t="s">
        <v>264</v>
      </c>
      <c r="AT1" s="1" t="s">
        <v>265</v>
      </c>
      <c r="AU1" s="1" t="s">
        <v>102</v>
      </c>
      <c r="AV1" s="1" t="s">
        <v>103</v>
      </c>
    </row>
    <row r="2" spans="1:48">
      <c r="A2" s="1">
        <v>1610612737</v>
      </c>
      <c r="B2" s="1" t="s">
        <v>104</v>
      </c>
      <c r="C2" s="1">
        <v>10</v>
      </c>
      <c r="D2" s="1">
        <v>4</v>
      </c>
      <c r="E2" s="1">
        <v>6</v>
      </c>
      <c r="F2" s="1">
        <v>0.4</v>
      </c>
      <c r="G2" s="1">
        <v>485</v>
      </c>
      <c r="H2" s="1">
        <v>101.8</v>
      </c>
      <c r="I2" s="1">
        <v>104.5</v>
      </c>
      <c r="J2" s="1">
        <v>105.9</v>
      </c>
      <c r="K2" s="1">
        <v>107.9</v>
      </c>
      <c r="L2" s="1">
        <v>-4.0999999999999996</v>
      </c>
      <c r="M2" s="1">
        <v>-3.4</v>
      </c>
      <c r="N2" s="1">
        <v>0.58599999999999997</v>
      </c>
      <c r="O2" s="1">
        <v>1.34</v>
      </c>
      <c r="P2" s="1">
        <v>16.8</v>
      </c>
      <c r="Q2" s="1">
        <v>0.29199999999999998</v>
      </c>
      <c r="R2" s="1">
        <v>0.70399999999999996</v>
      </c>
      <c r="S2" s="1">
        <v>0.503</v>
      </c>
      <c r="T2" s="1">
        <v>0.17100000000000001</v>
      </c>
      <c r="U2" s="1">
        <v>0.52</v>
      </c>
      <c r="V2" s="1">
        <v>0.54900000000000004</v>
      </c>
      <c r="W2" s="1">
        <v>103.2</v>
      </c>
      <c r="X2" s="1">
        <v>100.9</v>
      </c>
      <c r="Y2" s="1">
        <v>84.08</v>
      </c>
      <c r="Z2" s="1">
        <v>1019</v>
      </c>
      <c r="AA2" s="1">
        <v>0.48399999999999999</v>
      </c>
      <c r="AB2" s="1">
        <v>17</v>
      </c>
      <c r="AC2" s="1">
        <v>16</v>
      </c>
      <c r="AD2" s="1">
        <v>15</v>
      </c>
      <c r="AE2" s="1">
        <v>16</v>
      </c>
      <c r="AF2" s="1">
        <v>19</v>
      </c>
      <c r="AG2" s="1">
        <v>23</v>
      </c>
      <c r="AH2" s="1">
        <v>17</v>
      </c>
      <c r="AI2" s="1">
        <v>22</v>
      </c>
      <c r="AJ2" s="1">
        <v>16</v>
      </c>
      <c r="AK2" s="1">
        <v>24</v>
      </c>
      <c r="AL2" s="1">
        <v>17</v>
      </c>
      <c r="AM2" s="1">
        <v>5</v>
      </c>
      <c r="AN2" s="1">
        <v>28</v>
      </c>
      <c r="AO2" s="1">
        <v>12</v>
      </c>
      <c r="AP2" s="1">
        <v>26</v>
      </c>
      <c r="AQ2" s="1">
        <v>15</v>
      </c>
      <c r="AR2" s="1">
        <v>21</v>
      </c>
      <c r="AS2" s="1">
        <v>22</v>
      </c>
      <c r="AT2" s="1">
        <v>20</v>
      </c>
      <c r="AU2" s="1">
        <v>10</v>
      </c>
      <c r="AV2" s="1" t="s">
        <v>104</v>
      </c>
    </row>
    <row r="3" spans="1:48">
      <c r="A3" s="1">
        <v>1610612738</v>
      </c>
      <c r="B3" s="1" t="s">
        <v>106</v>
      </c>
      <c r="C3" s="1">
        <v>10</v>
      </c>
      <c r="D3" s="1">
        <v>9</v>
      </c>
      <c r="E3" s="1">
        <v>1</v>
      </c>
      <c r="F3" s="1">
        <v>0.9</v>
      </c>
      <c r="G3" s="1">
        <v>480</v>
      </c>
      <c r="H3" s="1">
        <v>111.4</v>
      </c>
      <c r="I3" s="1">
        <v>113.8</v>
      </c>
      <c r="J3" s="1">
        <v>103.1</v>
      </c>
      <c r="K3" s="1">
        <v>104.7</v>
      </c>
      <c r="L3" s="1">
        <v>8.1999999999999993</v>
      </c>
      <c r="M3" s="1">
        <v>9.1</v>
      </c>
      <c r="N3" s="1">
        <v>0.59199999999999997</v>
      </c>
      <c r="O3" s="1">
        <v>2.15</v>
      </c>
      <c r="P3" s="1">
        <v>17.7</v>
      </c>
      <c r="Q3" s="1">
        <v>0.24099999999999999</v>
      </c>
      <c r="R3" s="1">
        <v>0.72399999999999998</v>
      </c>
      <c r="S3" s="1">
        <v>0.48499999999999999</v>
      </c>
      <c r="T3" s="1">
        <v>0.113</v>
      </c>
      <c r="U3" s="1">
        <v>0.52900000000000003</v>
      </c>
      <c r="V3" s="1">
        <v>0.56799999999999995</v>
      </c>
      <c r="W3" s="1">
        <v>103.9</v>
      </c>
      <c r="X3" s="1">
        <v>102.05</v>
      </c>
      <c r="Y3" s="1">
        <v>85.04</v>
      </c>
      <c r="Z3" s="1">
        <v>1020</v>
      </c>
      <c r="AA3" s="1">
        <v>0.55600000000000005</v>
      </c>
      <c r="AB3" s="1">
        <v>17</v>
      </c>
      <c r="AC3" s="1">
        <v>1</v>
      </c>
      <c r="AD3" s="1">
        <v>1</v>
      </c>
      <c r="AE3" s="1">
        <v>1</v>
      </c>
      <c r="AF3" s="1">
        <v>27</v>
      </c>
      <c r="AG3" s="1">
        <v>1</v>
      </c>
      <c r="AH3" s="1">
        <v>12</v>
      </c>
      <c r="AI3" s="1">
        <v>1</v>
      </c>
      <c r="AJ3" s="1">
        <v>15</v>
      </c>
      <c r="AK3" s="1">
        <v>1</v>
      </c>
      <c r="AL3" s="1">
        <v>11</v>
      </c>
      <c r="AM3" s="1">
        <v>25</v>
      </c>
      <c r="AN3" s="1">
        <v>19</v>
      </c>
      <c r="AO3" s="1">
        <v>24</v>
      </c>
      <c r="AP3" s="1">
        <v>1</v>
      </c>
      <c r="AQ3" s="1">
        <v>9</v>
      </c>
      <c r="AR3" s="1">
        <v>9</v>
      </c>
      <c r="AS3" s="1">
        <v>18</v>
      </c>
      <c r="AT3" s="1">
        <v>1</v>
      </c>
      <c r="AU3" s="1">
        <v>10</v>
      </c>
      <c r="AV3" s="1" t="s">
        <v>106</v>
      </c>
    </row>
    <row r="4" spans="1:48">
      <c r="A4" s="1">
        <v>1610612751</v>
      </c>
      <c r="B4" s="1" t="s">
        <v>107</v>
      </c>
      <c r="C4" s="1">
        <v>10</v>
      </c>
      <c r="D4" s="1">
        <v>4</v>
      </c>
      <c r="E4" s="1">
        <v>6</v>
      </c>
      <c r="F4" s="1">
        <v>0.4</v>
      </c>
      <c r="G4" s="1">
        <v>490</v>
      </c>
      <c r="H4" s="1">
        <v>107.4</v>
      </c>
      <c r="I4" s="1">
        <v>110.1</v>
      </c>
      <c r="J4" s="1">
        <v>109.1</v>
      </c>
      <c r="K4" s="1">
        <v>111.8</v>
      </c>
      <c r="L4" s="1">
        <v>-1.7</v>
      </c>
      <c r="M4" s="1">
        <v>-1.7</v>
      </c>
      <c r="N4" s="1">
        <v>0.54700000000000004</v>
      </c>
      <c r="O4" s="1">
        <v>1.29</v>
      </c>
      <c r="P4" s="1">
        <v>15.9</v>
      </c>
      <c r="Q4" s="1">
        <v>0.30499999999999999</v>
      </c>
      <c r="R4" s="1">
        <v>0.73699999999999999</v>
      </c>
      <c r="S4" s="1">
        <v>0.52300000000000002</v>
      </c>
      <c r="T4" s="1">
        <v>0.16800000000000001</v>
      </c>
      <c r="U4" s="1">
        <v>0.54</v>
      </c>
      <c r="V4" s="1">
        <v>0.57299999999999995</v>
      </c>
      <c r="W4" s="1">
        <v>108.9</v>
      </c>
      <c r="X4" s="1">
        <v>106.24</v>
      </c>
      <c r="Y4" s="1">
        <v>88.53</v>
      </c>
      <c r="Z4" s="1">
        <v>1083</v>
      </c>
      <c r="AA4" s="1">
        <v>0.48799999999999999</v>
      </c>
      <c r="AB4" s="1">
        <v>17</v>
      </c>
      <c r="AC4" s="1">
        <v>16</v>
      </c>
      <c r="AD4" s="1">
        <v>15</v>
      </c>
      <c r="AE4" s="1">
        <v>16</v>
      </c>
      <c r="AF4" s="1">
        <v>17</v>
      </c>
      <c r="AG4" s="1">
        <v>7</v>
      </c>
      <c r="AH4" s="1">
        <v>26</v>
      </c>
      <c r="AI4" s="1">
        <v>20</v>
      </c>
      <c r="AJ4" s="1">
        <v>26</v>
      </c>
      <c r="AK4" s="1">
        <v>27</v>
      </c>
      <c r="AL4" s="1">
        <v>24</v>
      </c>
      <c r="AM4" s="1">
        <v>1</v>
      </c>
      <c r="AN4" s="1">
        <v>11</v>
      </c>
      <c r="AO4" s="1">
        <v>3</v>
      </c>
      <c r="AP4" s="1">
        <v>25</v>
      </c>
      <c r="AQ4" s="1">
        <v>6</v>
      </c>
      <c r="AR4" s="1">
        <v>6</v>
      </c>
      <c r="AS4" s="1">
        <v>5</v>
      </c>
      <c r="AT4" s="1">
        <v>18</v>
      </c>
      <c r="AU4" s="1">
        <v>10</v>
      </c>
      <c r="AV4" s="1" t="s">
        <v>107</v>
      </c>
    </row>
    <row r="5" spans="1:48">
      <c r="A5" s="1">
        <v>1610612766</v>
      </c>
      <c r="B5" s="1" t="s">
        <v>109</v>
      </c>
      <c r="C5" s="1">
        <v>11</v>
      </c>
      <c r="D5" s="1">
        <v>4</v>
      </c>
      <c r="E5" s="1">
        <v>7</v>
      </c>
      <c r="F5" s="1">
        <v>0.36399999999999999</v>
      </c>
      <c r="G5" s="1">
        <v>533</v>
      </c>
      <c r="H5" s="1">
        <v>102.6</v>
      </c>
      <c r="I5" s="1">
        <v>104.1</v>
      </c>
      <c r="J5" s="1">
        <v>108.6</v>
      </c>
      <c r="K5" s="1">
        <v>110.9</v>
      </c>
      <c r="L5" s="1">
        <v>-5.9</v>
      </c>
      <c r="M5" s="1">
        <v>-6.8</v>
      </c>
      <c r="N5" s="1">
        <v>0.61799999999999999</v>
      </c>
      <c r="O5" s="1">
        <v>1.35</v>
      </c>
      <c r="P5" s="1">
        <v>17.2</v>
      </c>
      <c r="Q5" s="1">
        <v>0.26200000000000001</v>
      </c>
      <c r="R5" s="1">
        <v>0.71499999999999997</v>
      </c>
      <c r="S5" s="1">
        <v>0.48099999999999998</v>
      </c>
      <c r="T5" s="1">
        <v>0.17299999999999999</v>
      </c>
      <c r="U5" s="1">
        <v>0.52300000000000002</v>
      </c>
      <c r="V5" s="1">
        <v>0.55400000000000005</v>
      </c>
      <c r="W5" s="1">
        <v>103.4</v>
      </c>
      <c r="X5" s="1">
        <v>101.63</v>
      </c>
      <c r="Y5" s="1">
        <v>84.69</v>
      </c>
      <c r="Z5" s="1">
        <v>1129</v>
      </c>
      <c r="AA5" s="1">
        <v>0.44800000000000001</v>
      </c>
      <c r="AB5" s="1">
        <v>2</v>
      </c>
      <c r="AC5" s="1">
        <v>16</v>
      </c>
      <c r="AD5" s="1">
        <v>20</v>
      </c>
      <c r="AE5" s="1">
        <v>20</v>
      </c>
      <c r="AF5" s="1">
        <v>3</v>
      </c>
      <c r="AG5" s="1">
        <v>25</v>
      </c>
      <c r="AH5" s="1">
        <v>23</v>
      </c>
      <c r="AI5" s="1">
        <v>27</v>
      </c>
      <c r="AJ5" s="1">
        <v>10</v>
      </c>
      <c r="AK5" s="1">
        <v>22</v>
      </c>
      <c r="AL5" s="1">
        <v>13</v>
      </c>
      <c r="AM5" s="1">
        <v>21</v>
      </c>
      <c r="AN5" s="1">
        <v>22</v>
      </c>
      <c r="AO5" s="1">
        <v>29</v>
      </c>
      <c r="AP5" s="1">
        <v>28</v>
      </c>
      <c r="AQ5" s="1">
        <v>14</v>
      </c>
      <c r="AR5" s="1">
        <v>14</v>
      </c>
      <c r="AS5" s="1">
        <v>19</v>
      </c>
      <c r="AT5" s="1">
        <v>29</v>
      </c>
      <c r="AU5" s="1">
        <v>10</v>
      </c>
      <c r="AV5" s="1" t="s">
        <v>109</v>
      </c>
    </row>
    <row r="6" spans="1:48">
      <c r="A6" s="1">
        <v>1610612741</v>
      </c>
      <c r="B6" s="1" t="s">
        <v>112</v>
      </c>
      <c r="C6" s="1">
        <v>11</v>
      </c>
      <c r="D6" s="1">
        <v>4</v>
      </c>
      <c r="E6" s="1">
        <v>7</v>
      </c>
      <c r="F6" s="1">
        <v>0.36399999999999999</v>
      </c>
      <c r="G6" s="1">
        <v>528</v>
      </c>
      <c r="H6" s="1">
        <v>101.3</v>
      </c>
      <c r="I6" s="1">
        <v>103.3</v>
      </c>
      <c r="J6" s="1">
        <v>104.5</v>
      </c>
      <c r="K6" s="1">
        <v>105.8</v>
      </c>
      <c r="L6" s="1">
        <v>-3.3</v>
      </c>
      <c r="M6" s="1">
        <v>-2.6</v>
      </c>
      <c r="N6" s="1">
        <v>0.58599999999999997</v>
      </c>
      <c r="O6" s="1">
        <v>1.54</v>
      </c>
      <c r="P6" s="1">
        <v>16.399999999999999</v>
      </c>
      <c r="Q6" s="1">
        <v>0.253</v>
      </c>
      <c r="R6" s="1">
        <v>0.71299999999999997</v>
      </c>
      <c r="S6" s="1">
        <v>0.47399999999999998</v>
      </c>
      <c r="T6" s="1">
        <v>0.14399999999999999</v>
      </c>
      <c r="U6" s="1">
        <v>0.497</v>
      </c>
      <c r="V6" s="1">
        <v>0.53200000000000003</v>
      </c>
      <c r="W6" s="1">
        <v>105</v>
      </c>
      <c r="X6" s="1">
        <v>103.32</v>
      </c>
      <c r="Y6" s="1">
        <v>86.1</v>
      </c>
      <c r="Z6" s="1">
        <v>1137</v>
      </c>
      <c r="AA6" s="1">
        <v>0.47499999999999998</v>
      </c>
      <c r="AB6" s="1">
        <v>2</v>
      </c>
      <c r="AC6" s="1">
        <v>16</v>
      </c>
      <c r="AD6" s="1">
        <v>20</v>
      </c>
      <c r="AE6" s="1">
        <v>20</v>
      </c>
      <c r="AF6" s="1">
        <v>8</v>
      </c>
      <c r="AG6" s="1">
        <v>27</v>
      </c>
      <c r="AH6" s="1">
        <v>15</v>
      </c>
      <c r="AI6" s="1">
        <v>21</v>
      </c>
      <c r="AJ6" s="1">
        <v>17</v>
      </c>
      <c r="AK6" s="1">
        <v>12</v>
      </c>
      <c r="AL6" s="1">
        <v>20</v>
      </c>
      <c r="AM6" s="1">
        <v>24</v>
      </c>
      <c r="AN6" s="1">
        <v>23</v>
      </c>
      <c r="AO6" s="1">
        <v>30</v>
      </c>
      <c r="AP6" s="1">
        <v>12</v>
      </c>
      <c r="AQ6" s="1">
        <v>25</v>
      </c>
      <c r="AR6" s="1">
        <v>27</v>
      </c>
      <c r="AS6" s="1">
        <v>11</v>
      </c>
      <c r="AT6" s="1">
        <v>22</v>
      </c>
      <c r="AU6" s="1">
        <v>10</v>
      </c>
      <c r="AV6" s="1" t="s">
        <v>112</v>
      </c>
    </row>
    <row r="7" spans="1:48">
      <c r="A7" s="1">
        <v>1610612739</v>
      </c>
      <c r="B7" s="1" t="s">
        <v>114</v>
      </c>
      <c r="C7" s="1">
        <v>10</v>
      </c>
      <c r="D7" s="1">
        <v>4</v>
      </c>
      <c r="E7" s="1">
        <v>6</v>
      </c>
      <c r="F7" s="1">
        <v>0.4</v>
      </c>
      <c r="G7" s="1">
        <v>480</v>
      </c>
      <c r="H7" s="1">
        <v>103.6</v>
      </c>
      <c r="I7" s="1">
        <v>105.5</v>
      </c>
      <c r="J7" s="1">
        <v>105</v>
      </c>
      <c r="K7" s="1">
        <v>106.6</v>
      </c>
      <c r="L7" s="1">
        <v>-1.4</v>
      </c>
      <c r="M7" s="1">
        <v>-1.1000000000000001</v>
      </c>
      <c r="N7" s="1">
        <v>0.53</v>
      </c>
      <c r="O7" s="1">
        <v>1.45</v>
      </c>
      <c r="P7" s="1">
        <v>15.2</v>
      </c>
      <c r="Q7" s="1">
        <v>0.26700000000000002</v>
      </c>
      <c r="R7" s="1">
        <v>0.72599999999999998</v>
      </c>
      <c r="S7" s="1">
        <v>0.49399999999999999</v>
      </c>
      <c r="T7" s="1">
        <v>0.14000000000000001</v>
      </c>
      <c r="U7" s="1">
        <v>0.495</v>
      </c>
      <c r="V7" s="1">
        <v>0.53800000000000003</v>
      </c>
      <c r="W7" s="1">
        <v>102.1</v>
      </c>
      <c r="X7" s="1">
        <v>100.5</v>
      </c>
      <c r="Y7" s="1">
        <v>83.75</v>
      </c>
      <c r="Z7" s="1">
        <v>1006</v>
      </c>
      <c r="AA7" s="1">
        <v>0.48799999999999999</v>
      </c>
      <c r="AB7" s="1">
        <v>17</v>
      </c>
      <c r="AC7" s="1">
        <v>16</v>
      </c>
      <c r="AD7" s="1">
        <v>15</v>
      </c>
      <c r="AE7" s="1">
        <v>16</v>
      </c>
      <c r="AF7" s="1">
        <v>27</v>
      </c>
      <c r="AG7" s="1">
        <v>20</v>
      </c>
      <c r="AH7" s="1">
        <v>16</v>
      </c>
      <c r="AI7" s="1">
        <v>18</v>
      </c>
      <c r="AJ7" s="1">
        <v>29</v>
      </c>
      <c r="AK7" s="1">
        <v>17</v>
      </c>
      <c r="AL7" s="1">
        <v>28</v>
      </c>
      <c r="AM7" s="1">
        <v>18</v>
      </c>
      <c r="AN7" s="1">
        <v>17</v>
      </c>
      <c r="AO7" s="1">
        <v>21</v>
      </c>
      <c r="AP7" s="1">
        <v>8</v>
      </c>
      <c r="AQ7" s="1">
        <v>27</v>
      </c>
      <c r="AR7" s="1">
        <v>26</v>
      </c>
      <c r="AS7" s="1">
        <v>23</v>
      </c>
      <c r="AT7" s="1">
        <v>19</v>
      </c>
      <c r="AU7" s="1">
        <v>10</v>
      </c>
      <c r="AV7" s="1" t="s">
        <v>114</v>
      </c>
    </row>
    <row r="8" spans="1:48">
      <c r="A8" s="1">
        <v>1610612742</v>
      </c>
      <c r="B8" s="1" t="s">
        <v>118</v>
      </c>
      <c r="C8" s="1">
        <v>10</v>
      </c>
      <c r="D8" s="1">
        <v>6</v>
      </c>
      <c r="E8" s="1">
        <v>4</v>
      </c>
      <c r="F8" s="1">
        <v>0.6</v>
      </c>
      <c r="G8" s="1">
        <v>485</v>
      </c>
      <c r="H8" s="1">
        <v>110.3</v>
      </c>
      <c r="I8" s="1">
        <v>112.9</v>
      </c>
      <c r="J8" s="1">
        <v>108.8</v>
      </c>
      <c r="K8" s="1">
        <v>110.1</v>
      </c>
      <c r="L8" s="1">
        <v>1.5</v>
      </c>
      <c r="M8" s="1">
        <v>2.8</v>
      </c>
      <c r="N8" s="1">
        <v>0.58499999999999996</v>
      </c>
      <c r="O8" s="1">
        <v>1.69</v>
      </c>
      <c r="P8" s="1">
        <v>17</v>
      </c>
      <c r="Q8" s="1">
        <v>0.29099999999999998</v>
      </c>
      <c r="R8" s="1">
        <v>0.73599999999999999</v>
      </c>
      <c r="S8" s="1">
        <v>0.51</v>
      </c>
      <c r="T8" s="1">
        <v>0.13900000000000001</v>
      </c>
      <c r="U8" s="1">
        <v>0.53100000000000003</v>
      </c>
      <c r="V8" s="1">
        <v>0.56799999999999995</v>
      </c>
      <c r="W8" s="1">
        <v>102.8</v>
      </c>
      <c r="X8" s="1">
        <v>101</v>
      </c>
      <c r="Y8" s="1">
        <v>84.16</v>
      </c>
      <c r="Z8" s="1">
        <v>1021</v>
      </c>
      <c r="AA8" s="1">
        <v>0.50900000000000001</v>
      </c>
      <c r="AB8" s="1">
        <v>17</v>
      </c>
      <c r="AC8" s="1">
        <v>13</v>
      </c>
      <c r="AD8" s="1">
        <v>9</v>
      </c>
      <c r="AE8" s="1">
        <v>13</v>
      </c>
      <c r="AF8" s="1">
        <v>19</v>
      </c>
      <c r="AG8" s="1">
        <v>2</v>
      </c>
      <c r="AH8" s="1">
        <v>20</v>
      </c>
      <c r="AI8" s="1">
        <v>10</v>
      </c>
      <c r="AJ8" s="1">
        <v>18</v>
      </c>
      <c r="AK8" s="1">
        <v>8</v>
      </c>
      <c r="AL8" s="1">
        <v>15</v>
      </c>
      <c r="AM8" s="1">
        <v>6</v>
      </c>
      <c r="AN8" s="1">
        <v>12</v>
      </c>
      <c r="AO8" s="1">
        <v>6</v>
      </c>
      <c r="AP8" s="1">
        <v>6</v>
      </c>
      <c r="AQ8" s="1">
        <v>8</v>
      </c>
      <c r="AR8" s="1">
        <v>10</v>
      </c>
      <c r="AS8" s="1">
        <v>21</v>
      </c>
      <c r="AT8" s="1">
        <v>11</v>
      </c>
      <c r="AU8" s="1">
        <v>10</v>
      </c>
      <c r="AV8" s="1" t="s">
        <v>118</v>
      </c>
    </row>
    <row r="9" spans="1:48">
      <c r="A9" s="1">
        <v>1610612743</v>
      </c>
      <c r="B9" s="1" t="s">
        <v>121</v>
      </c>
      <c r="C9" s="1">
        <v>10</v>
      </c>
      <c r="D9" s="1">
        <v>7</v>
      </c>
      <c r="E9" s="1">
        <v>3</v>
      </c>
      <c r="F9" s="1">
        <v>0.7</v>
      </c>
      <c r="G9" s="1">
        <v>490</v>
      </c>
      <c r="H9" s="1">
        <v>102</v>
      </c>
      <c r="I9" s="1">
        <v>105.4</v>
      </c>
      <c r="J9" s="1">
        <v>101</v>
      </c>
      <c r="K9" s="1">
        <v>103.4</v>
      </c>
      <c r="L9" s="1">
        <v>1</v>
      </c>
      <c r="M9" s="1">
        <v>2</v>
      </c>
      <c r="N9" s="1">
        <v>0.63700000000000001</v>
      </c>
      <c r="O9" s="1">
        <v>1.78</v>
      </c>
      <c r="P9" s="1">
        <v>17.7</v>
      </c>
      <c r="Q9" s="1">
        <v>0.29399999999999998</v>
      </c>
      <c r="R9" s="1">
        <v>0.71199999999999997</v>
      </c>
      <c r="S9" s="1">
        <v>0.5</v>
      </c>
      <c r="T9" s="1">
        <v>0.13900000000000001</v>
      </c>
      <c r="U9" s="1">
        <v>0.48699999999999999</v>
      </c>
      <c r="V9" s="1">
        <v>0.52500000000000002</v>
      </c>
      <c r="W9" s="1">
        <v>100.3</v>
      </c>
      <c r="X9" s="1">
        <v>97.52</v>
      </c>
      <c r="Y9" s="1">
        <v>81.27</v>
      </c>
      <c r="Z9" s="1">
        <v>997</v>
      </c>
      <c r="AA9" s="1">
        <v>0.50900000000000001</v>
      </c>
      <c r="AB9" s="1">
        <v>17</v>
      </c>
      <c r="AC9" s="1">
        <v>5</v>
      </c>
      <c r="AD9" s="1">
        <v>3</v>
      </c>
      <c r="AE9" s="1">
        <v>5</v>
      </c>
      <c r="AF9" s="1">
        <v>17</v>
      </c>
      <c r="AG9" s="1">
        <v>21</v>
      </c>
      <c r="AH9" s="1">
        <v>9</v>
      </c>
      <c r="AI9" s="1">
        <v>13</v>
      </c>
      <c r="AJ9" s="1">
        <v>4</v>
      </c>
      <c r="AK9" s="1">
        <v>5</v>
      </c>
      <c r="AL9" s="1">
        <v>12</v>
      </c>
      <c r="AM9" s="1">
        <v>4</v>
      </c>
      <c r="AN9" s="1">
        <v>24</v>
      </c>
      <c r="AO9" s="1">
        <v>15</v>
      </c>
      <c r="AP9" s="1">
        <v>7</v>
      </c>
      <c r="AQ9" s="1">
        <v>28</v>
      </c>
      <c r="AR9" s="1">
        <v>28</v>
      </c>
      <c r="AS9" s="1">
        <v>30</v>
      </c>
      <c r="AT9" s="1">
        <v>14</v>
      </c>
      <c r="AU9" s="1">
        <v>10</v>
      </c>
      <c r="AV9" s="1" t="s">
        <v>121</v>
      </c>
    </row>
    <row r="10" spans="1:48">
      <c r="A10" s="1">
        <v>1610612765</v>
      </c>
      <c r="B10" s="1" t="s">
        <v>124</v>
      </c>
      <c r="C10" s="1">
        <v>12</v>
      </c>
      <c r="D10" s="1">
        <v>4</v>
      </c>
      <c r="E10" s="1">
        <v>8</v>
      </c>
      <c r="F10" s="1">
        <v>0.33300000000000002</v>
      </c>
      <c r="G10" s="1">
        <v>576</v>
      </c>
      <c r="H10" s="1">
        <v>106.5</v>
      </c>
      <c r="I10" s="1">
        <v>108.6</v>
      </c>
      <c r="J10" s="1">
        <v>109.6</v>
      </c>
      <c r="K10" s="1">
        <v>112.1</v>
      </c>
      <c r="L10" s="1">
        <v>-3</v>
      </c>
      <c r="M10" s="1">
        <v>-3.6</v>
      </c>
      <c r="N10" s="1">
        <v>0.63400000000000001</v>
      </c>
      <c r="O10" s="1">
        <v>1.43</v>
      </c>
      <c r="P10" s="1">
        <v>18</v>
      </c>
      <c r="Q10" s="1">
        <v>0.26900000000000002</v>
      </c>
      <c r="R10" s="1">
        <v>0.73</v>
      </c>
      <c r="S10" s="1">
        <v>0.5</v>
      </c>
      <c r="T10" s="1">
        <v>0.17199999999999999</v>
      </c>
      <c r="U10" s="1">
        <v>0.54</v>
      </c>
      <c r="V10" s="1">
        <v>0.57799999999999996</v>
      </c>
      <c r="W10" s="1">
        <v>102.5</v>
      </c>
      <c r="X10" s="1">
        <v>100.33</v>
      </c>
      <c r="Y10" s="1">
        <v>83.61</v>
      </c>
      <c r="Z10" s="1">
        <v>1204</v>
      </c>
      <c r="AA10" s="1">
        <v>0.47799999999999998</v>
      </c>
      <c r="AB10" s="1">
        <v>1</v>
      </c>
      <c r="AC10" s="1">
        <v>16</v>
      </c>
      <c r="AD10" s="1">
        <v>27</v>
      </c>
      <c r="AE10" s="1">
        <v>26</v>
      </c>
      <c r="AF10" s="1">
        <v>1</v>
      </c>
      <c r="AG10" s="1">
        <v>10</v>
      </c>
      <c r="AH10" s="1">
        <v>27</v>
      </c>
      <c r="AI10" s="1">
        <v>23</v>
      </c>
      <c r="AJ10" s="1">
        <v>6</v>
      </c>
      <c r="AK10" s="1">
        <v>18</v>
      </c>
      <c r="AL10" s="1">
        <v>6</v>
      </c>
      <c r="AM10" s="1">
        <v>15</v>
      </c>
      <c r="AN10" s="1">
        <v>16</v>
      </c>
      <c r="AO10" s="1">
        <v>13</v>
      </c>
      <c r="AP10" s="1">
        <v>27</v>
      </c>
      <c r="AQ10" s="1">
        <v>5</v>
      </c>
      <c r="AR10" s="1">
        <v>5</v>
      </c>
      <c r="AS10" s="1">
        <v>24</v>
      </c>
      <c r="AT10" s="1">
        <v>21</v>
      </c>
      <c r="AU10" s="1">
        <v>10</v>
      </c>
      <c r="AV10" s="1" t="s">
        <v>124</v>
      </c>
    </row>
    <row r="11" spans="1:48">
      <c r="A11" s="1">
        <v>1610612744</v>
      </c>
      <c r="B11" s="1" t="s">
        <v>126</v>
      </c>
      <c r="C11" s="1">
        <v>11</v>
      </c>
      <c r="D11" s="1">
        <v>2</v>
      </c>
      <c r="E11" s="1">
        <v>9</v>
      </c>
      <c r="F11" s="1">
        <v>0.182</v>
      </c>
      <c r="G11" s="1">
        <v>533</v>
      </c>
      <c r="H11" s="1">
        <v>105.4</v>
      </c>
      <c r="I11" s="1">
        <v>107.2</v>
      </c>
      <c r="J11" s="1">
        <v>114.4</v>
      </c>
      <c r="K11" s="1">
        <v>116.8</v>
      </c>
      <c r="L11" s="1">
        <v>-9</v>
      </c>
      <c r="M11" s="1">
        <v>-9.6</v>
      </c>
      <c r="N11" s="1">
        <v>0.60599999999999998</v>
      </c>
      <c r="O11" s="1">
        <v>1.67</v>
      </c>
      <c r="P11" s="1">
        <v>16.899999999999999</v>
      </c>
      <c r="Q11" s="1">
        <v>0.28199999999999997</v>
      </c>
      <c r="R11" s="1">
        <v>0.70799999999999996</v>
      </c>
      <c r="S11" s="1">
        <v>0.49</v>
      </c>
      <c r="T11" s="1">
        <v>0.13900000000000001</v>
      </c>
      <c r="U11" s="1">
        <v>0.495</v>
      </c>
      <c r="V11" s="1">
        <v>0.54700000000000004</v>
      </c>
      <c r="W11" s="1">
        <v>104.9</v>
      </c>
      <c r="X11" s="1">
        <v>102.98</v>
      </c>
      <c r="Y11" s="1">
        <v>85.82</v>
      </c>
      <c r="Z11" s="1">
        <v>1146</v>
      </c>
      <c r="AA11" s="1">
        <v>0.46400000000000002</v>
      </c>
      <c r="AB11" s="1">
        <v>2</v>
      </c>
      <c r="AC11" s="1">
        <v>27</v>
      </c>
      <c r="AD11" s="1">
        <v>29</v>
      </c>
      <c r="AE11" s="1">
        <v>29</v>
      </c>
      <c r="AF11" s="1">
        <v>3</v>
      </c>
      <c r="AG11" s="1">
        <v>15</v>
      </c>
      <c r="AH11" s="1">
        <v>30</v>
      </c>
      <c r="AI11" s="1">
        <v>29</v>
      </c>
      <c r="AJ11" s="1">
        <v>11</v>
      </c>
      <c r="AK11" s="1">
        <v>9</v>
      </c>
      <c r="AL11" s="1">
        <v>16</v>
      </c>
      <c r="AM11" s="1">
        <v>11</v>
      </c>
      <c r="AN11" s="1">
        <v>26</v>
      </c>
      <c r="AO11" s="1">
        <v>22</v>
      </c>
      <c r="AP11" s="1">
        <v>5</v>
      </c>
      <c r="AQ11" s="1">
        <v>26</v>
      </c>
      <c r="AR11" s="1">
        <v>23</v>
      </c>
      <c r="AS11" s="1">
        <v>14</v>
      </c>
      <c r="AT11" s="1">
        <v>27</v>
      </c>
      <c r="AU11" s="1">
        <v>10</v>
      </c>
      <c r="AV11" s="1" t="s">
        <v>126</v>
      </c>
    </row>
    <row r="12" spans="1:48">
      <c r="A12" s="1">
        <v>1610612745</v>
      </c>
      <c r="B12" s="1" t="s">
        <v>128</v>
      </c>
      <c r="C12" s="1">
        <v>11</v>
      </c>
      <c r="D12" s="1">
        <v>8</v>
      </c>
      <c r="E12" s="1">
        <v>3</v>
      </c>
      <c r="F12" s="1">
        <v>0.72699999999999998</v>
      </c>
      <c r="G12" s="1">
        <v>528</v>
      </c>
      <c r="H12" s="1">
        <v>107.7</v>
      </c>
      <c r="I12" s="1">
        <v>110.9</v>
      </c>
      <c r="J12" s="1">
        <v>106.4</v>
      </c>
      <c r="K12" s="1">
        <v>108.3</v>
      </c>
      <c r="L12" s="1">
        <v>1.3</v>
      </c>
      <c r="M12" s="1">
        <v>2.6</v>
      </c>
      <c r="N12" s="1">
        <v>0.55300000000000005</v>
      </c>
      <c r="O12" s="1">
        <v>1.37</v>
      </c>
      <c r="P12" s="1">
        <v>15.5</v>
      </c>
      <c r="Q12" s="1">
        <v>0.255</v>
      </c>
      <c r="R12" s="1">
        <v>0.73399999999999999</v>
      </c>
      <c r="S12" s="1">
        <v>0.49399999999999999</v>
      </c>
      <c r="T12" s="1">
        <v>0.151</v>
      </c>
      <c r="U12" s="1">
        <v>0.52700000000000002</v>
      </c>
      <c r="V12" s="1">
        <v>0.57099999999999995</v>
      </c>
      <c r="W12" s="1">
        <v>109.6</v>
      </c>
      <c r="X12" s="1">
        <v>107.09</v>
      </c>
      <c r="Y12" s="1">
        <v>89.24</v>
      </c>
      <c r="Z12" s="1">
        <v>1177</v>
      </c>
      <c r="AA12" s="1">
        <v>0.496</v>
      </c>
      <c r="AB12" s="1">
        <v>2</v>
      </c>
      <c r="AC12" s="1">
        <v>2</v>
      </c>
      <c r="AD12" s="1">
        <v>3</v>
      </c>
      <c r="AE12" s="1">
        <v>3</v>
      </c>
      <c r="AF12" s="1">
        <v>8</v>
      </c>
      <c r="AG12" s="1">
        <v>4</v>
      </c>
      <c r="AH12" s="1">
        <v>18</v>
      </c>
      <c r="AI12" s="1">
        <v>11</v>
      </c>
      <c r="AJ12" s="1">
        <v>24</v>
      </c>
      <c r="AK12" s="1">
        <v>21</v>
      </c>
      <c r="AL12" s="1">
        <v>25</v>
      </c>
      <c r="AM12" s="1">
        <v>23</v>
      </c>
      <c r="AN12" s="1">
        <v>13</v>
      </c>
      <c r="AO12" s="1">
        <v>20</v>
      </c>
      <c r="AP12" s="1">
        <v>16</v>
      </c>
      <c r="AQ12" s="1">
        <v>11</v>
      </c>
      <c r="AR12" s="1">
        <v>7</v>
      </c>
      <c r="AS12" s="1">
        <v>2</v>
      </c>
      <c r="AT12" s="1">
        <v>16</v>
      </c>
      <c r="AU12" s="1">
        <v>10</v>
      </c>
      <c r="AV12" s="1" t="s">
        <v>128</v>
      </c>
    </row>
    <row r="13" spans="1:48">
      <c r="A13" s="1">
        <v>1610612754</v>
      </c>
      <c r="B13" s="1" t="s">
        <v>130</v>
      </c>
      <c r="C13" s="1">
        <v>11</v>
      </c>
      <c r="D13" s="1">
        <v>7</v>
      </c>
      <c r="E13" s="1">
        <v>4</v>
      </c>
      <c r="F13" s="1">
        <v>0.63600000000000001</v>
      </c>
      <c r="G13" s="1">
        <v>533</v>
      </c>
      <c r="H13" s="1">
        <v>107.2</v>
      </c>
      <c r="I13" s="1">
        <v>108.8</v>
      </c>
      <c r="J13" s="1">
        <v>101.2</v>
      </c>
      <c r="K13" s="1">
        <v>103</v>
      </c>
      <c r="L13" s="1">
        <v>5.9</v>
      </c>
      <c r="M13" s="1">
        <v>5.8</v>
      </c>
      <c r="N13" s="1">
        <v>0.59599999999999997</v>
      </c>
      <c r="O13" s="1">
        <v>1.9</v>
      </c>
      <c r="P13" s="1">
        <v>18.5</v>
      </c>
      <c r="Q13" s="1">
        <v>0.26800000000000002</v>
      </c>
      <c r="R13" s="1">
        <v>0.72299999999999998</v>
      </c>
      <c r="S13" s="1">
        <v>0.5</v>
      </c>
      <c r="T13" s="1">
        <v>0.13500000000000001</v>
      </c>
      <c r="U13" s="1">
        <v>0.51900000000000002</v>
      </c>
      <c r="V13" s="1">
        <v>0.55300000000000005</v>
      </c>
      <c r="W13" s="1">
        <v>101.5</v>
      </c>
      <c r="X13" s="1">
        <v>99.87</v>
      </c>
      <c r="Y13" s="1">
        <v>83.23</v>
      </c>
      <c r="Z13" s="1">
        <v>1107</v>
      </c>
      <c r="AA13" s="1">
        <v>0.53600000000000003</v>
      </c>
      <c r="AB13" s="1">
        <v>2</v>
      </c>
      <c r="AC13" s="1">
        <v>5</v>
      </c>
      <c r="AD13" s="1">
        <v>9</v>
      </c>
      <c r="AE13" s="1">
        <v>9</v>
      </c>
      <c r="AF13" s="1">
        <v>3</v>
      </c>
      <c r="AG13" s="1">
        <v>9</v>
      </c>
      <c r="AH13" s="1">
        <v>8</v>
      </c>
      <c r="AI13" s="1">
        <v>4</v>
      </c>
      <c r="AJ13" s="1">
        <v>14</v>
      </c>
      <c r="AK13" s="1">
        <v>2</v>
      </c>
      <c r="AL13" s="1">
        <v>3</v>
      </c>
      <c r="AM13" s="1">
        <v>17</v>
      </c>
      <c r="AN13" s="1">
        <v>21</v>
      </c>
      <c r="AO13" s="1">
        <v>14</v>
      </c>
      <c r="AP13" s="1">
        <v>3</v>
      </c>
      <c r="AQ13" s="1">
        <v>16</v>
      </c>
      <c r="AR13" s="1">
        <v>15</v>
      </c>
      <c r="AS13" s="1">
        <v>27</v>
      </c>
      <c r="AT13" s="1">
        <v>8</v>
      </c>
      <c r="AU13" s="1">
        <v>10</v>
      </c>
      <c r="AV13" s="1" t="s">
        <v>130</v>
      </c>
    </row>
    <row r="14" spans="1:48">
      <c r="A14" s="1">
        <v>1610612746</v>
      </c>
      <c r="B14" s="1" t="s">
        <v>132</v>
      </c>
      <c r="C14" s="1">
        <v>11</v>
      </c>
      <c r="D14" s="1">
        <v>7</v>
      </c>
      <c r="E14" s="1">
        <v>4</v>
      </c>
      <c r="F14" s="1">
        <v>0.63600000000000001</v>
      </c>
      <c r="G14" s="1">
        <v>528</v>
      </c>
      <c r="H14" s="1">
        <v>104.7</v>
      </c>
      <c r="I14" s="1">
        <v>107.4</v>
      </c>
      <c r="J14" s="1">
        <v>102.3</v>
      </c>
      <c r="K14" s="1">
        <v>103.5</v>
      </c>
      <c r="L14" s="1">
        <v>2.4</v>
      </c>
      <c r="M14" s="1">
        <v>3.9</v>
      </c>
      <c r="N14" s="1">
        <v>0.53200000000000003</v>
      </c>
      <c r="O14" s="1">
        <v>1.29</v>
      </c>
      <c r="P14" s="1">
        <v>15.2</v>
      </c>
      <c r="Q14" s="1">
        <v>0.29899999999999999</v>
      </c>
      <c r="R14" s="1">
        <v>0.748</v>
      </c>
      <c r="S14" s="1">
        <v>0.52600000000000002</v>
      </c>
      <c r="T14" s="1">
        <v>0.16</v>
      </c>
      <c r="U14" s="1">
        <v>0.505</v>
      </c>
      <c r="V14" s="1">
        <v>0.54900000000000004</v>
      </c>
      <c r="W14" s="1">
        <v>104.6</v>
      </c>
      <c r="X14" s="1">
        <v>102.68</v>
      </c>
      <c r="Y14" s="1">
        <v>85.57</v>
      </c>
      <c r="Z14" s="1">
        <v>1128</v>
      </c>
      <c r="AA14" s="1">
        <v>0.52500000000000002</v>
      </c>
      <c r="AB14" s="1">
        <v>2</v>
      </c>
      <c r="AC14" s="1">
        <v>5</v>
      </c>
      <c r="AD14" s="1">
        <v>9</v>
      </c>
      <c r="AE14" s="1">
        <v>9</v>
      </c>
      <c r="AF14" s="1">
        <v>8</v>
      </c>
      <c r="AG14" s="1">
        <v>13</v>
      </c>
      <c r="AH14" s="1">
        <v>10</v>
      </c>
      <c r="AI14" s="1">
        <v>9</v>
      </c>
      <c r="AJ14" s="1">
        <v>28</v>
      </c>
      <c r="AK14" s="1">
        <v>26</v>
      </c>
      <c r="AL14" s="1">
        <v>27</v>
      </c>
      <c r="AM14" s="1">
        <v>2</v>
      </c>
      <c r="AN14" s="1">
        <v>7</v>
      </c>
      <c r="AO14" s="1">
        <v>2</v>
      </c>
      <c r="AP14" s="1">
        <v>18</v>
      </c>
      <c r="AQ14" s="1">
        <v>23</v>
      </c>
      <c r="AR14" s="1">
        <v>22</v>
      </c>
      <c r="AS14" s="1">
        <v>16</v>
      </c>
      <c r="AT14" s="1">
        <v>10</v>
      </c>
      <c r="AU14" s="1">
        <v>10</v>
      </c>
      <c r="AV14" s="1" t="s">
        <v>132</v>
      </c>
    </row>
    <row r="15" spans="1:48">
      <c r="A15" s="1">
        <v>1610612747</v>
      </c>
      <c r="B15" s="1" t="s">
        <v>135</v>
      </c>
      <c r="C15" s="1">
        <v>10</v>
      </c>
      <c r="D15" s="1">
        <v>8</v>
      </c>
      <c r="E15" s="1">
        <v>2</v>
      </c>
      <c r="F15" s="1">
        <v>0.8</v>
      </c>
      <c r="G15" s="1">
        <v>485</v>
      </c>
      <c r="H15" s="1">
        <v>105.1</v>
      </c>
      <c r="I15" s="1">
        <v>107.2</v>
      </c>
      <c r="J15" s="1">
        <v>97.3</v>
      </c>
      <c r="K15" s="1">
        <v>99.8</v>
      </c>
      <c r="L15" s="1">
        <v>7.8</v>
      </c>
      <c r="M15" s="1">
        <v>7.4</v>
      </c>
      <c r="N15" s="1">
        <v>0.622</v>
      </c>
      <c r="O15" s="1">
        <v>1.82</v>
      </c>
      <c r="P15" s="1">
        <v>18.600000000000001</v>
      </c>
      <c r="Q15" s="1">
        <v>0.26600000000000001</v>
      </c>
      <c r="R15" s="1">
        <v>0.748</v>
      </c>
      <c r="S15" s="1">
        <v>0.51</v>
      </c>
      <c r="T15" s="1">
        <v>0.14199999999999999</v>
      </c>
      <c r="U15" s="1">
        <v>0.52300000000000002</v>
      </c>
      <c r="V15" s="1">
        <v>0.55200000000000005</v>
      </c>
      <c r="W15" s="1">
        <v>103.4</v>
      </c>
      <c r="X15" s="1">
        <v>101.1</v>
      </c>
      <c r="Y15" s="1">
        <v>84.25</v>
      </c>
      <c r="Z15" s="1">
        <v>1025</v>
      </c>
      <c r="AA15" s="1">
        <v>0.55400000000000005</v>
      </c>
      <c r="AB15" s="1">
        <v>17</v>
      </c>
      <c r="AC15" s="1">
        <v>2</v>
      </c>
      <c r="AD15" s="1">
        <v>2</v>
      </c>
      <c r="AE15" s="1">
        <v>2</v>
      </c>
      <c r="AF15" s="1">
        <v>19</v>
      </c>
      <c r="AG15" s="1">
        <v>16</v>
      </c>
      <c r="AH15" s="1">
        <v>2</v>
      </c>
      <c r="AI15" s="1">
        <v>3</v>
      </c>
      <c r="AJ15" s="1">
        <v>8</v>
      </c>
      <c r="AK15" s="1">
        <v>4</v>
      </c>
      <c r="AL15" s="1">
        <v>2</v>
      </c>
      <c r="AM15" s="1">
        <v>19</v>
      </c>
      <c r="AN15" s="1">
        <v>8</v>
      </c>
      <c r="AO15" s="1">
        <v>7</v>
      </c>
      <c r="AP15" s="1">
        <v>9</v>
      </c>
      <c r="AQ15" s="1">
        <v>13</v>
      </c>
      <c r="AR15" s="1">
        <v>16</v>
      </c>
      <c r="AS15" s="1">
        <v>20</v>
      </c>
      <c r="AT15" s="1">
        <v>2</v>
      </c>
      <c r="AU15" s="1">
        <v>10</v>
      </c>
      <c r="AV15" s="1" t="s">
        <v>135</v>
      </c>
    </row>
    <row r="16" spans="1:48">
      <c r="A16" s="1">
        <v>1610612763</v>
      </c>
      <c r="B16" s="1" t="s">
        <v>138</v>
      </c>
      <c r="C16" s="1">
        <v>11</v>
      </c>
      <c r="D16" s="1">
        <v>4</v>
      </c>
      <c r="E16" s="1">
        <v>7</v>
      </c>
      <c r="F16" s="1">
        <v>0.36399999999999999</v>
      </c>
      <c r="G16" s="1">
        <v>533</v>
      </c>
      <c r="H16" s="1">
        <v>101.9</v>
      </c>
      <c r="I16" s="1">
        <v>103.4</v>
      </c>
      <c r="J16" s="1">
        <v>108.8</v>
      </c>
      <c r="K16" s="1">
        <v>111.3</v>
      </c>
      <c r="L16" s="1">
        <v>-6.9</v>
      </c>
      <c r="M16" s="1">
        <v>-7.9</v>
      </c>
      <c r="N16" s="1">
        <v>0.63800000000000001</v>
      </c>
      <c r="O16" s="1">
        <v>1.52</v>
      </c>
      <c r="P16" s="1">
        <v>18.399999999999999</v>
      </c>
      <c r="Q16" s="1">
        <v>0.26400000000000001</v>
      </c>
      <c r="R16" s="1">
        <v>0.72499999999999998</v>
      </c>
      <c r="S16" s="1">
        <v>0.495</v>
      </c>
      <c r="T16" s="1">
        <v>0.16700000000000001</v>
      </c>
      <c r="U16" s="1">
        <v>0.51600000000000001</v>
      </c>
      <c r="V16" s="1">
        <v>0.54700000000000004</v>
      </c>
      <c r="W16" s="1">
        <v>107.5</v>
      </c>
      <c r="X16" s="1">
        <v>105.55</v>
      </c>
      <c r="Y16" s="1">
        <v>87.95</v>
      </c>
      <c r="Z16" s="1">
        <v>1170</v>
      </c>
      <c r="AA16" s="1">
        <v>0.46899999999999997</v>
      </c>
      <c r="AB16" s="1">
        <v>2</v>
      </c>
      <c r="AC16" s="1">
        <v>16</v>
      </c>
      <c r="AD16" s="1">
        <v>20</v>
      </c>
      <c r="AE16" s="1">
        <v>20</v>
      </c>
      <c r="AF16" s="1">
        <v>3</v>
      </c>
      <c r="AG16" s="1">
        <v>26</v>
      </c>
      <c r="AH16" s="1">
        <v>25</v>
      </c>
      <c r="AI16" s="1">
        <v>28</v>
      </c>
      <c r="AJ16" s="1">
        <v>3</v>
      </c>
      <c r="AK16" s="1">
        <v>13</v>
      </c>
      <c r="AL16" s="1">
        <v>4</v>
      </c>
      <c r="AM16" s="1">
        <v>20</v>
      </c>
      <c r="AN16" s="1">
        <v>18</v>
      </c>
      <c r="AO16" s="1">
        <v>17</v>
      </c>
      <c r="AP16" s="1">
        <v>24</v>
      </c>
      <c r="AQ16" s="1">
        <v>20</v>
      </c>
      <c r="AR16" s="1">
        <v>24</v>
      </c>
      <c r="AS16" s="1">
        <v>6</v>
      </c>
      <c r="AT16" s="1">
        <v>26</v>
      </c>
      <c r="AU16" s="1">
        <v>10</v>
      </c>
      <c r="AV16" s="1" t="s">
        <v>138</v>
      </c>
    </row>
    <row r="17" spans="1:48">
      <c r="A17" s="1">
        <v>1610612748</v>
      </c>
      <c r="B17" s="1" t="s">
        <v>141</v>
      </c>
      <c r="C17" s="1">
        <v>10</v>
      </c>
      <c r="D17" s="1">
        <v>7</v>
      </c>
      <c r="E17" s="1">
        <v>3</v>
      </c>
      <c r="F17" s="1">
        <v>0.7</v>
      </c>
      <c r="G17" s="1">
        <v>485</v>
      </c>
      <c r="H17" s="1">
        <v>105</v>
      </c>
      <c r="I17" s="1">
        <v>107</v>
      </c>
      <c r="J17" s="1">
        <v>98.7</v>
      </c>
      <c r="K17" s="1">
        <v>101.6</v>
      </c>
      <c r="L17" s="1">
        <v>6.4</v>
      </c>
      <c r="M17" s="1">
        <v>5.4</v>
      </c>
      <c r="N17" s="1">
        <v>0.65700000000000003</v>
      </c>
      <c r="O17" s="1">
        <v>1.4</v>
      </c>
      <c r="P17" s="1">
        <v>18.100000000000001</v>
      </c>
      <c r="Q17" s="1">
        <v>0.27400000000000002</v>
      </c>
      <c r="R17" s="1">
        <v>0.74399999999999999</v>
      </c>
      <c r="S17" s="1">
        <v>0.51900000000000002</v>
      </c>
      <c r="T17" s="1">
        <v>0.17699999999999999</v>
      </c>
      <c r="U17" s="1">
        <v>0.54200000000000004</v>
      </c>
      <c r="V17" s="1">
        <v>0.57799999999999996</v>
      </c>
      <c r="W17" s="1">
        <v>105.6</v>
      </c>
      <c r="X17" s="1">
        <v>103.13</v>
      </c>
      <c r="Y17" s="1">
        <v>85.94</v>
      </c>
      <c r="Z17" s="1">
        <v>1044</v>
      </c>
      <c r="AA17" s="1">
        <v>0.54400000000000004</v>
      </c>
      <c r="AB17" s="1">
        <v>17</v>
      </c>
      <c r="AC17" s="1">
        <v>5</v>
      </c>
      <c r="AD17" s="1">
        <v>3</v>
      </c>
      <c r="AE17" s="1">
        <v>5</v>
      </c>
      <c r="AF17" s="1">
        <v>19</v>
      </c>
      <c r="AG17" s="1">
        <v>18</v>
      </c>
      <c r="AH17" s="1">
        <v>4</v>
      </c>
      <c r="AI17" s="1">
        <v>6</v>
      </c>
      <c r="AJ17" s="1">
        <v>2</v>
      </c>
      <c r="AK17" s="1">
        <v>20</v>
      </c>
      <c r="AL17" s="1">
        <v>5</v>
      </c>
      <c r="AM17" s="1">
        <v>14</v>
      </c>
      <c r="AN17" s="1">
        <v>10</v>
      </c>
      <c r="AO17" s="1">
        <v>5</v>
      </c>
      <c r="AP17" s="1">
        <v>30</v>
      </c>
      <c r="AQ17" s="1">
        <v>3</v>
      </c>
      <c r="AR17" s="1">
        <v>4</v>
      </c>
      <c r="AS17" s="1">
        <v>12</v>
      </c>
      <c r="AT17" s="1">
        <v>5</v>
      </c>
      <c r="AU17" s="1">
        <v>10</v>
      </c>
      <c r="AV17" s="1" t="s">
        <v>141</v>
      </c>
    </row>
    <row r="18" spans="1:48">
      <c r="A18" s="1">
        <v>1610612749</v>
      </c>
      <c r="B18" s="1" t="s">
        <v>142</v>
      </c>
      <c r="C18" s="1">
        <v>10</v>
      </c>
      <c r="D18" s="1">
        <v>7</v>
      </c>
      <c r="E18" s="1">
        <v>3</v>
      </c>
      <c r="F18" s="1">
        <v>0.7</v>
      </c>
      <c r="G18" s="1">
        <v>485</v>
      </c>
      <c r="H18" s="1">
        <v>110.1</v>
      </c>
      <c r="I18" s="1">
        <v>110.4</v>
      </c>
      <c r="J18" s="1">
        <v>101</v>
      </c>
      <c r="K18" s="1">
        <v>102.9</v>
      </c>
      <c r="L18" s="1">
        <v>9.1</v>
      </c>
      <c r="M18" s="1">
        <v>7.6</v>
      </c>
      <c r="N18" s="1">
        <v>0.55300000000000005</v>
      </c>
      <c r="O18" s="1">
        <v>1.61</v>
      </c>
      <c r="P18" s="1">
        <v>16.8</v>
      </c>
      <c r="Q18" s="1">
        <v>0.20799999999999999</v>
      </c>
      <c r="R18" s="1">
        <v>0.77700000000000002</v>
      </c>
      <c r="S18" s="1">
        <v>0.50800000000000001</v>
      </c>
      <c r="T18" s="1">
        <v>0.13700000000000001</v>
      </c>
      <c r="U18" s="1">
        <v>0.55300000000000005</v>
      </c>
      <c r="V18" s="1">
        <v>0.58199999999999996</v>
      </c>
      <c r="W18" s="1">
        <v>108.6</v>
      </c>
      <c r="X18" s="1">
        <v>107.53</v>
      </c>
      <c r="Y18" s="1">
        <v>89.61</v>
      </c>
      <c r="Z18" s="1">
        <v>1086</v>
      </c>
      <c r="AA18" s="1">
        <v>0.55300000000000005</v>
      </c>
      <c r="AB18" s="1">
        <v>17</v>
      </c>
      <c r="AC18" s="1">
        <v>5</v>
      </c>
      <c r="AD18" s="1">
        <v>3</v>
      </c>
      <c r="AE18" s="1">
        <v>5</v>
      </c>
      <c r="AF18" s="1">
        <v>19</v>
      </c>
      <c r="AG18" s="1">
        <v>5</v>
      </c>
      <c r="AH18" s="1">
        <v>7</v>
      </c>
      <c r="AI18" s="1">
        <v>2</v>
      </c>
      <c r="AJ18" s="1">
        <v>25</v>
      </c>
      <c r="AK18" s="1">
        <v>10</v>
      </c>
      <c r="AL18" s="1">
        <v>18</v>
      </c>
      <c r="AM18" s="1">
        <v>30</v>
      </c>
      <c r="AN18" s="1">
        <v>2</v>
      </c>
      <c r="AO18" s="1">
        <v>8</v>
      </c>
      <c r="AP18" s="1">
        <v>4</v>
      </c>
      <c r="AQ18" s="1">
        <v>1</v>
      </c>
      <c r="AR18" s="1">
        <v>3</v>
      </c>
      <c r="AS18" s="1">
        <v>1</v>
      </c>
      <c r="AT18" s="1">
        <v>3</v>
      </c>
      <c r="AU18" s="1">
        <v>10</v>
      </c>
      <c r="AV18" s="1" t="s">
        <v>142</v>
      </c>
    </row>
    <row r="19" spans="1:48">
      <c r="A19" s="1">
        <v>1610612750</v>
      </c>
      <c r="B19" s="1" t="s">
        <v>145</v>
      </c>
      <c r="C19" s="1">
        <v>11</v>
      </c>
      <c r="D19" s="1">
        <v>7</v>
      </c>
      <c r="E19" s="1">
        <v>4</v>
      </c>
      <c r="F19" s="1">
        <v>0.63600000000000001</v>
      </c>
      <c r="G19" s="1">
        <v>543</v>
      </c>
      <c r="H19" s="1">
        <v>104.8</v>
      </c>
      <c r="I19" s="1">
        <v>107.1</v>
      </c>
      <c r="J19" s="1">
        <v>104.4</v>
      </c>
      <c r="K19" s="1">
        <v>105.7</v>
      </c>
      <c r="L19" s="1">
        <v>0.4</v>
      </c>
      <c r="M19" s="1">
        <v>1.4</v>
      </c>
      <c r="N19" s="1">
        <v>0.56799999999999995</v>
      </c>
      <c r="O19" s="1">
        <v>1.49</v>
      </c>
      <c r="P19" s="1">
        <v>16</v>
      </c>
      <c r="Q19" s="1">
        <v>0.28399999999999997</v>
      </c>
      <c r="R19" s="1">
        <v>0.72399999999999998</v>
      </c>
      <c r="S19" s="1">
        <v>0.498</v>
      </c>
      <c r="T19" s="1">
        <v>0.14599999999999999</v>
      </c>
      <c r="U19" s="1">
        <v>0.504</v>
      </c>
      <c r="V19" s="1">
        <v>0.54400000000000004</v>
      </c>
      <c r="W19" s="1">
        <v>108.5</v>
      </c>
      <c r="X19" s="1">
        <v>106.65</v>
      </c>
      <c r="Y19" s="1">
        <v>88.88</v>
      </c>
      <c r="Z19" s="1">
        <v>1204</v>
      </c>
      <c r="AA19" s="1">
        <v>0.50900000000000001</v>
      </c>
      <c r="AB19" s="1">
        <v>2</v>
      </c>
      <c r="AC19" s="1">
        <v>5</v>
      </c>
      <c r="AD19" s="1">
        <v>9</v>
      </c>
      <c r="AE19" s="1">
        <v>9</v>
      </c>
      <c r="AF19" s="1">
        <v>2</v>
      </c>
      <c r="AG19" s="1">
        <v>17</v>
      </c>
      <c r="AH19" s="1">
        <v>14</v>
      </c>
      <c r="AI19" s="1">
        <v>14</v>
      </c>
      <c r="AJ19" s="1">
        <v>20</v>
      </c>
      <c r="AK19" s="1">
        <v>15</v>
      </c>
      <c r="AL19" s="1">
        <v>22</v>
      </c>
      <c r="AM19" s="1">
        <v>9</v>
      </c>
      <c r="AN19" s="1">
        <v>20</v>
      </c>
      <c r="AO19" s="1">
        <v>16</v>
      </c>
      <c r="AP19" s="1">
        <v>14</v>
      </c>
      <c r="AQ19" s="1">
        <v>24</v>
      </c>
      <c r="AR19" s="1">
        <v>25</v>
      </c>
      <c r="AS19" s="1">
        <v>4</v>
      </c>
      <c r="AT19" s="1">
        <v>13</v>
      </c>
      <c r="AU19" s="1">
        <v>10</v>
      </c>
      <c r="AV19" s="1" t="s">
        <v>145</v>
      </c>
    </row>
    <row r="20" spans="1:48">
      <c r="A20" s="1">
        <v>1610612740</v>
      </c>
      <c r="B20" s="1" t="s">
        <v>146</v>
      </c>
      <c r="C20" s="1">
        <v>10</v>
      </c>
      <c r="D20" s="1">
        <v>2</v>
      </c>
      <c r="E20" s="1">
        <v>8</v>
      </c>
      <c r="F20" s="1">
        <v>0.2</v>
      </c>
      <c r="G20" s="1">
        <v>485</v>
      </c>
      <c r="H20" s="1">
        <v>105.7</v>
      </c>
      <c r="I20" s="1">
        <v>108.1</v>
      </c>
      <c r="J20" s="1">
        <v>109.9</v>
      </c>
      <c r="K20" s="1">
        <v>113.1</v>
      </c>
      <c r="L20" s="1">
        <v>-4.0999999999999996</v>
      </c>
      <c r="M20" s="1">
        <v>-5</v>
      </c>
      <c r="N20" s="1">
        <v>0.62</v>
      </c>
      <c r="O20" s="1">
        <v>1.5</v>
      </c>
      <c r="P20" s="1">
        <v>18</v>
      </c>
      <c r="Q20" s="1">
        <v>0.27500000000000002</v>
      </c>
      <c r="R20" s="1">
        <v>0.70099999999999996</v>
      </c>
      <c r="S20" s="1">
        <v>0.48499999999999999</v>
      </c>
      <c r="T20" s="1">
        <v>0.16500000000000001</v>
      </c>
      <c r="U20" s="1">
        <v>0.53600000000000003</v>
      </c>
      <c r="V20" s="1">
        <v>0.56299999999999994</v>
      </c>
      <c r="W20" s="1">
        <v>109.9</v>
      </c>
      <c r="X20" s="1">
        <v>107.08</v>
      </c>
      <c r="Y20" s="1">
        <v>89.24</v>
      </c>
      <c r="Z20" s="1">
        <v>1082</v>
      </c>
      <c r="AA20" s="1">
        <v>0.47399999999999998</v>
      </c>
      <c r="AB20" s="1">
        <v>17</v>
      </c>
      <c r="AC20" s="1">
        <v>27</v>
      </c>
      <c r="AD20" s="1">
        <v>27</v>
      </c>
      <c r="AE20" s="1">
        <v>28</v>
      </c>
      <c r="AF20" s="1">
        <v>19</v>
      </c>
      <c r="AG20" s="1">
        <v>11</v>
      </c>
      <c r="AH20" s="1">
        <v>28</v>
      </c>
      <c r="AI20" s="1">
        <v>26</v>
      </c>
      <c r="AJ20" s="1">
        <v>9</v>
      </c>
      <c r="AK20" s="1">
        <v>14</v>
      </c>
      <c r="AL20" s="1">
        <v>8</v>
      </c>
      <c r="AM20" s="1">
        <v>13</v>
      </c>
      <c r="AN20" s="1">
        <v>29</v>
      </c>
      <c r="AO20" s="1">
        <v>26</v>
      </c>
      <c r="AP20" s="1">
        <v>21</v>
      </c>
      <c r="AQ20" s="1">
        <v>7</v>
      </c>
      <c r="AR20" s="1">
        <v>11</v>
      </c>
      <c r="AS20" s="1">
        <v>3</v>
      </c>
      <c r="AT20" s="1">
        <v>23</v>
      </c>
      <c r="AU20" s="1">
        <v>10</v>
      </c>
      <c r="AV20" s="1" t="s">
        <v>146</v>
      </c>
    </row>
    <row r="21" spans="1:48">
      <c r="A21" s="1">
        <v>1610612752</v>
      </c>
      <c r="B21" s="1" t="s">
        <v>149</v>
      </c>
      <c r="C21" s="1">
        <v>11</v>
      </c>
      <c r="D21" s="1">
        <v>2</v>
      </c>
      <c r="E21" s="1">
        <v>9</v>
      </c>
      <c r="F21" s="1">
        <v>0.182</v>
      </c>
      <c r="G21" s="1">
        <v>528</v>
      </c>
      <c r="H21" s="1">
        <v>97.8</v>
      </c>
      <c r="I21" s="1">
        <v>99.3</v>
      </c>
      <c r="J21" s="1">
        <v>108.9</v>
      </c>
      <c r="K21" s="1">
        <v>110.2</v>
      </c>
      <c r="L21" s="1">
        <v>-11.1</v>
      </c>
      <c r="M21" s="1">
        <v>-10.9</v>
      </c>
      <c r="N21" s="1">
        <v>0.56599999999999995</v>
      </c>
      <c r="O21" s="1">
        <v>1.22</v>
      </c>
      <c r="P21" s="1">
        <v>14.9</v>
      </c>
      <c r="Q21" s="1">
        <v>0.28999999999999998</v>
      </c>
      <c r="R21" s="1">
        <v>0.75700000000000001</v>
      </c>
      <c r="S21" s="1">
        <v>0.50800000000000001</v>
      </c>
      <c r="T21" s="1">
        <v>0.16600000000000001</v>
      </c>
      <c r="U21" s="1">
        <v>0.47799999999999998</v>
      </c>
      <c r="V21" s="1">
        <v>0.50900000000000001</v>
      </c>
      <c r="W21" s="1">
        <v>101.5</v>
      </c>
      <c r="X21" s="1">
        <v>100.14</v>
      </c>
      <c r="Y21" s="1">
        <v>83.45</v>
      </c>
      <c r="Z21" s="1">
        <v>1102</v>
      </c>
      <c r="AA21" s="1">
        <v>0.42</v>
      </c>
      <c r="AB21" s="1">
        <v>2</v>
      </c>
      <c r="AC21" s="1">
        <v>27</v>
      </c>
      <c r="AD21" s="1">
        <v>29</v>
      </c>
      <c r="AE21" s="1">
        <v>29</v>
      </c>
      <c r="AF21" s="1">
        <v>8</v>
      </c>
      <c r="AG21" s="1">
        <v>30</v>
      </c>
      <c r="AH21" s="1">
        <v>21</v>
      </c>
      <c r="AI21" s="1">
        <v>30</v>
      </c>
      <c r="AJ21" s="1">
        <v>21</v>
      </c>
      <c r="AK21" s="1">
        <v>28</v>
      </c>
      <c r="AL21" s="1">
        <v>29</v>
      </c>
      <c r="AM21" s="1">
        <v>7</v>
      </c>
      <c r="AN21" s="1">
        <v>5</v>
      </c>
      <c r="AO21" s="1">
        <v>9</v>
      </c>
      <c r="AP21" s="1">
        <v>23</v>
      </c>
      <c r="AQ21" s="1">
        <v>29</v>
      </c>
      <c r="AR21" s="1">
        <v>30</v>
      </c>
      <c r="AS21" s="1">
        <v>25</v>
      </c>
      <c r="AT21" s="1">
        <v>30</v>
      </c>
      <c r="AU21" s="1">
        <v>10</v>
      </c>
      <c r="AV21" s="1" t="s">
        <v>149</v>
      </c>
    </row>
    <row r="22" spans="1:48">
      <c r="A22" s="1">
        <v>1610612760</v>
      </c>
      <c r="B22" s="1" t="s">
        <v>152</v>
      </c>
      <c r="C22" s="1">
        <v>11</v>
      </c>
      <c r="D22" s="1">
        <v>4</v>
      </c>
      <c r="E22" s="1">
        <v>7</v>
      </c>
      <c r="F22" s="1">
        <v>0.36399999999999999</v>
      </c>
      <c r="G22" s="1">
        <v>528</v>
      </c>
      <c r="H22" s="1">
        <v>102.5</v>
      </c>
      <c r="I22" s="1">
        <v>103.1</v>
      </c>
      <c r="J22" s="1">
        <v>102.2</v>
      </c>
      <c r="K22" s="1">
        <v>103.7</v>
      </c>
      <c r="L22" s="1">
        <v>0.3</v>
      </c>
      <c r="M22" s="1">
        <v>-0.6</v>
      </c>
      <c r="N22" s="1">
        <v>0.56399999999999995</v>
      </c>
      <c r="O22" s="1">
        <v>1.35</v>
      </c>
      <c r="P22" s="1">
        <v>16.100000000000001</v>
      </c>
      <c r="Q22" s="1">
        <v>0.22</v>
      </c>
      <c r="R22" s="1">
        <v>0.73</v>
      </c>
      <c r="S22" s="1">
        <v>0.48099999999999998</v>
      </c>
      <c r="T22" s="1">
        <v>0.157</v>
      </c>
      <c r="U22" s="1">
        <v>0.51700000000000002</v>
      </c>
      <c r="V22" s="1">
        <v>0.55400000000000005</v>
      </c>
      <c r="W22" s="1">
        <v>103.2</v>
      </c>
      <c r="X22" s="1">
        <v>102.14</v>
      </c>
      <c r="Y22" s="1">
        <v>85.11</v>
      </c>
      <c r="Z22" s="1">
        <v>1123</v>
      </c>
      <c r="AA22" s="1">
        <v>0.503</v>
      </c>
      <c r="AB22" s="1">
        <v>2</v>
      </c>
      <c r="AC22" s="1">
        <v>16</v>
      </c>
      <c r="AD22" s="1">
        <v>20</v>
      </c>
      <c r="AE22" s="1">
        <v>20</v>
      </c>
      <c r="AF22" s="1">
        <v>8</v>
      </c>
      <c r="AG22" s="1">
        <v>28</v>
      </c>
      <c r="AH22" s="1">
        <v>11</v>
      </c>
      <c r="AI22" s="1">
        <v>16</v>
      </c>
      <c r="AJ22" s="1">
        <v>22</v>
      </c>
      <c r="AK22" s="1">
        <v>23</v>
      </c>
      <c r="AL22" s="1">
        <v>21</v>
      </c>
      <c r="AM22" s="1">
        <v>28</v>
      </c>
      <c r="AN22" s="1">
        <v>15</v>
      </c>
      <c r="AO22" s="1">
        <v>28</v>
      </c>
      <c r="AP22" s="1">
        <v>17</v>
      </c>
      <c r="AQ22" s="1">
        <v>19</v>
      </c>
      <c r="AR22" s="1">
        <v>13</v>
      </c>
      <c r="AS22" s="1">
        <v>17</v>
      </c>
      <c r="AT22" s="1">
        <v>15</v>
      </c>
      <c r="AU22" s="1">
        <v>10</v>
      </c>
      <c r="AV22" s="1" t="s">
        <v>152</v>
      </c>
    </row>
    <row r="23" spans="1:48">
      <c r="A23" s="1">
        <v>1610612753</v>
      </c>
      <c r="B23" s="1" t="s">
        <v>154</v>
      </c>
      <c r="C23" s="1">
        <v>11</v>
      </c>
      <c r="D23" s="1">
        <v>4</v>
      </c>
      <c r="E23" s="1">
        <v>7</v>
      </c>
      <c r="F23" s="1">
        <v>0.36399999999999999</v>
      </c>
      <c r="G23" s="1">
        <v>528</v>
      </c>
      <c r="H23" s="1">
        <v>99.8</v>
      </c>
      <c r="I23" s="1">
        <v>100.6</v>
      </c>
      <c r="J23" s="1">
        <v>98.8</v>
      </c>
      <c r="K23" s="1">
        <v>100.6</v>
      </c>
      <c r="L23" s="1">
        <v>1</v>
      </c>
      <c r="M23" s="1">
        <v>0.1</v>
      </c>
      <c r="N23" s="1">
        <v>0.60299999999999998</v>
      </c>
      <c r="O23" s="1">
        <v>1.7</v>
      </c>
      <c r="P23" s="1">
        <v>16.600000000000001</v>
      </c>
      <c r="Q23" s="1">
        <v>0.26100000000000001</v>
      </c>
      <c r="R23" s="1">
        <v>0.76300000000000001</v>
      </c>
      <c r="S23" s="1">
        <v>0.505</v>
      </c>
      <c r="T23" s="1">
        <v>0.13400000000000001</v>
      </c>
      <c r="U23" s="1">
        <v>0.47099999999999997</v>
      </c>
      <c r="V23" s="1">
        <v>0.51100000000000001</v>
      </c>
      <c r="W23" s="1">
        <v>99.9</v>
      </c>
      <c r="X23" s="1">
        <v>98.64</v>
      </c>
      <c r="Y23" s="1">
        <v>82.2</v>
      </c>
      <c r="Z23" s="1">
        <v>1086</v>
      </c>
      <c r="AA23" s="1">
        <v>0.50900000000000001</v>
      </c>
      <c r="AB23" s="1">
        <v>2</v>
      </c>
      <c r="AC23" s="1">
        <v>16</v>
      </c>
      <c r="AD23" s="1">
        <v>20</v>
      </c>
      <c r="AE23" s="1">
        <v>20</v>
      </c>
      <c r="AF23" s="1">
        <v>8</v>
      </c>
      <c r="AG23" s="1">
        <v>29</v>
      </c>
      <c r="AH23" s="1">
        <v>3</v>
      </c>
      <c r="AI23" s="1">
        <v>15</v>
      </c>
      <c r="AJ23" s="1">
        <v>12</v>
      </c>
      <c r="AK23" s="1">
        <v>6</v>
      </c>
      <c r="AL23" s="1">
        <v>19</v>
      </c>
      <c r="AM23" s="1">
        <v>22</v>
      </c>
      <c r="AN23" s="1">
        <v>4</v>
      </c>
      <c r="AO23" s="1">
        <v>10</v>
      </c>
      <c r="AP23" s="1">
        <v>2</v>
      </c>
      <c r="AQ23" s="1">
        <v>30</v>
      </c>
      <c r="AR23" s="1">
        <v>29</v>
      </c>
      <c r="AS23" s="1">
        <v>29</v>
      </c>
      <c r="AT23" s="1">
        <v>12</v>
      </c>
      <c r="AU23" s="1">
        <v>10</v>
      </c>
      <c r="AV23" s="1" t="s">
        <v>154</v>
      </c>
    </row>
    <row r="24" spans="1:48">
      <c r="A24" s="1">
        <v>1610612755</v>
      </c>
      <c r="B24" s="1" t="s">
        <v>157</v>
      </c>
      <c r="C24" s="1">
        <v>11</v>
      </c>
      <c r="D24" s="1">
        <v>7</v>
      </c>
      <c r="E24" s="1">
        <v>4</v>
      </c>
      <c r="F24" s="1">
        <v>0.63600000000000001</v>
      </c>
      <c r="G24" s="1">
        <v>528</v>
      </c>
      <c r="H24" s="1">
        <v>102.2</v>
      </c>
      <c r="I24" s="1">
        <v>105.3</v>
      </c>
      <c r="J24" s="1">
        <v>101.8</v>
      </c>
      <c r="K24" s="1">
        <v>102.7</v>
      </c>
      <c r="L24" s="1">
        <v>0.4</v>
      </c>
      <c r="M24" s="1">
        <v>2.6</v>
      </c>
      <c r="N24" s="1">
        <v>0.626</v>
      </c>
      <c r="O24" s="1">
        <v>1.43</v>
      </c>
      <c r="P24" s="1">
        <v>17.899999999999999</v>
      </c>
      <c r="Q24" s="1">
        <v>0.29399999999999998</v>
      </c>
      <c r="R24" s="1">
        <v>0.78400000000000003</v>
      </c>
      <c r="S24" s="1">
        <v>0.53600000000000003</v>
      </c>
      <c r="T24" s="1">
        <v>0.17499999999999999</v>
      </c>
      <c r="U24" s="1">
        <v>0.51900000000000002</v>
      </c>
      <c r="V24" s="1">
        <v>0.55000000000000004</v>
      </c>
      <c r="W24" s="1">
        <v>105.1</v>
      </c>
      <c r="X24" s="1">
        <v>103.09</v>
      </c>
      <c r="Y24" s="1">
        <v>85.91</v>
      </c>
      <c r="Z24" s="1">
        <v>1134</v>
      </c>
      <c r="AA24" s="1">
        <v>0.52700000000000002</v>
      </c>
      <c r="AB24" s="1">
        <v>2</v>
      </c>
      <c r="AC24" s="1">
        <v>5</v>
      </c>
      <c r="AD24" s="1">
        <v>9</v>
      </c>
      <c r="AE24" s="1">
        <v>9</v>
      </c>
      <c r="AF24" s="1">
        <v>8</v>
      </c>
      <c r="AG24" s="1">
        <v>22</v>
      </c>
      <c r="AH24" s="1">
        <v>6</v>
      </c>
      <c r="AI24" s="1">
        <v>12</v>
      </c>
      <c r="AJ24" s="1">
        <v>7</v>
      </c>
      <c r="AK24" s="1">
        <v>19</v>
      </c>
      <c r="AL24" s="1">
        <v>9</v>
      </c>
      <c r="AM24" s="1">
        <v>3</v>
      </c>
      <c r="AN24" s="1">
        <v>1</v>
      </c>
      <c r="AO24" s="1">
        <v>1</v>
      </c>
      <c r="AP24" s="1">
        <v>29</v>
      </c>
      <c r="AQ24" s="1">
        <v>17</v>
      </c>
      <c r="AR24" s="1">
        <v>19</v>
      </c>
      <c r="AS24" s="1">
        <v>13</v>
      </c>
      <c r="AT24" s="1">
        <v>9</v>
      </c>
      <c r="AU24" s="1">
        <v>10</v>
      </c>
      <c r="AV24" s="1" t="s">
        <v>157</v>
      </c>
    </row>
    <row r="25" spans="1:48">
      <c r="A25" s="1">
        <v>1610612756</v>
      </c>
      <c r="B25" s="1" t="s">
        <v>159</v>
      </c>
      <c r="C25" s="1">
        <v>10</v>
      </c>
      <c r="D25" s="1">
        <v>6</v>
      </c>
      <c r="E25" s="1">
        <v>4</v>
      </c>
      <c r="F25" s="1">
        <v>0.6</v>
      </c>
      <c r="G25" s="1">
        <v>485</v>
      </c>
      <c r="H25" s="1">
        <v>109.3</v>
      </c>
      <c r="I25" s="1">
        <v>111.3</v>
      </c>
      <c r="J25" s="1">
        <v>102.5</v>
      </c>
      <c r="K25" s="1">
        <v>105.5</v>
      </c>
      <c r="L25" s="1">
        <v>6.8</v>
      </c>
      <c r="M25" s="1">
        <v>5.7</v>
      </c>
      <c r="N25" s="1">
        <v>0.67900000000000005</v>
      </c>
      <c r="O25" s="1">
        <v>1.89</v>
      </c>
      <c r="P25" s="1">
        <v>19.7</v>
      </c>
      <c r="Q25" s="1">
        <v>0.23300000000000001</v>
      </c>
      <c r="R25" s="1">
        <v>0.749</v>
      </c>
      <c r="S25" s="1">
        <v>0.495</v>
      </c>
      <c r="T25" s="1">
        <v>0.14399999999999999</v>
      </c>
      <c r="U25" s="1">
        <v>0.55100000000000005</v>
      </c>
      <c r="V25" s="1">
        <v>0.58899999999999997</v>
      </c>
      <c r="W25" s="1">
        <v>106.1</v>
      </c>
      <c r="X25" s="1">
        <v>103.62</v>
      </c>
      <c r="Y25" s="1">
        <v>86.35</v>
      </c>
      <c r="Z25" s="1">
        <v>1048</v>
      </c>
      <c r="AA25" s="1">
        <v>0.54</v>
      </c>
      <c r="AB25" s="1">
        <v>17</v>
      </c>
      <c r="AC25" s="1">
        <v>13</v>
      </c>
      <c r="AD25" s="1">
        <v>9</v>
      </c>
      <c r="AE25" s="1">
        <v>13</v>
      </c>
      <c r="AF25" s="1">
        <v>19</v>
      </c>
      <c r="AG25" s="1">
        <v>3</v>
      </c>
      <c r="AH25" s="1">
        <v>13</v>
      </c>
      <c r="AI25" s="1">
        <v>5</v>
      </c>
      <c r="AJ25" s="1">
        <v>1</v>
      </c>
      <c r="AK25" s="1">
        <v>3</v>
      </c>
      <c r="AL25" s="1">
        <v>1</v>
      </c>
      <c r="AM25" s="1">
        <v>27</v>
      </c>
      <c r="AN25" s="1">
        <v>6</v>
      </c>
      <c r="AO25" s="1">
        <v>18</v>
      </c>
      <c r="AP25" s="1">
        <v>11</v>
      </c>
      <c r="AQ25" s="1">
        <v>2</v>
      </c>
      <c r="AR25" s="1">
        <v>1</v>
      </c>
      <c r="AS25" s="1">
        <v>9</v>
      </c>
      <c r="AT25" s="1">
        <v>6</v>
      </c>
      <c r="AU25" s="1">
        <v>10</v>
      </c>
      <c r="AV25" s="1" t="s">
        <v>159</v>
      </c>
    </row>
    <row r="26" spans="1:48">
      <c r="A26" s="1">
        <v>1610612757</v>
      </c>
      <c r="B26" s="1" t="s">
        <v>161</v>
      </c>
      <c r="C26" s="1">
        <v>11</v>
      </c>
      <c r="D26" s="1">
        <v>4</v>
      </c>
      <c r="E26" s="1">
        <v>7</v>
      </c>
      <c r="F26" s="1">
        <v>0.36399999999999999</v>
      </c>
      <c r="G26" s="1">
        <v>533</v>
      </c>
      <c r="H26" s="1">
        <v>105.8</v>
      </c>
      <c r="I26" s="1">
        <v>107.9</v>
      </c>
      <c r="J26" s="1">
        <v>106.3</v>
      </c>
      <c r="K26" s="1">
        <v>108.6</v>
      </c>
      <c r="L26" s="1">
        <v>-0.5</v>
      </c>
      <c r="M26" s="1">
        <v>-0.7</v>
      </c>
      <c r="N26" s="1">
        <v>0.41599999999999998</v>
      </c>
      <c r="O26" s="1">
        <v>1.1399999999999999</v>
      </c>
      <c r="P26" s="1">
        <v>12.6</v>
      </c>
      <c r="Q26" s="1">
        <v>0.26800000000000002</v>
      </c>
      <c r="R26" s="1">
        <v>0.70399999999999996</v>
      </c>
      <c r="S26" s="1">
        <v>0.48899999999999999</v>
      </c>
      <c r="T26" s="1">
        <v>0.14299999999999999</v>
      </c>
      <c r="U26" s="1">
        <v>0.50900000000000001</v>
      </c>
      <c r="V26" s="1">
        <v>0.55100000000000005</v>
      </c>
      <c r="W26" s="1">
        <v>105.9</v>
      </c>
      <c r="X26" s="1">
        <v>103.7</v>
      </c>
      <c r="Y26" s="1">
        <v>86.42</v>
      </c>
      <c r="Z26" s="1">
        <v>1149</v>
      </c>
      <c r="AA26" s="1">
        <v>0.47</v>
      </c>
      <c r="AB26" s="1">
        <v>2</v>
      </c>
      <c r="AC26" s="1">
        <v>16</v>
      </c>
      <c r="AD26" s="1">
        <v>20</v>
      </c>
      <c r="AE26" s="1">
        <v>20</v>
      </c>
      <c r="AF26" s="1">
        <v>3</v>
      </c>
      <c r="AG26" s="1">
        <v>12</v>
      </c>
      <c r="AH26" s="1">
        <v>19</v>
      </c>
      <c r="AI26" s="1">
        <v>17</v>
      </c>
      <c r="AJ26" s="1">
        <v>30</v>
      </c>
      <c r="AK26" s="1">
        <v>30</v>
      </c>
      <c r="AL26" s="1">
        <v>30</v>
      </c>
      <c r="AM26" s="1">
        <v>16</v>
      </c>
      <c r="AN26" s="1">
        <v>27</v>
      </c>
      <c r="AO26" s="1">
        <v>23</v>
      </c>
      <c r="AP26" s="1">
        <v>10</v>
      </c>
      <c r="AQ26" s="1">
        <v>22</v>
      </c>
      <c r="AR26" s="1">
        <v>18</v>
      </c>
      <c r="AS26" s="1">
        <v>8</v>
      </c>
      <c r="AT26" s="1">
        <v>25</v>
      </c>
      <c r="AU26" s="1">
        <v>10</v>
      </c>
      <c r="AV26" s="1" t="s">
        <v>161</v>
      </c>
    </row>
    <row r="27" spans="1:48">
      <c r="A27" s="1">
        <v>1610612758</v>
      </c>
      <c r="B27" s="1" t="s">
        <v>163</v>
      </c>
      <c r="C27" s="1">
        <v>10</v>
      </c>
      <c r="D27" s="1">
        <v>4</v>
      </c>
      <c r="E27" s="1">
        <v>6</v>
      </c>
      <c r="F27" s="1">
        <v>0.4</v>
      </c>
      <c r="G27" s="1">
        <v>480</v>
      </c>
      <c r="H27" s="1">
        <v>104</v>
      </c>
      <c r="I27" s="1">
        <v>106.6</v>
      </c>
      <c r="J27" s="1">
        <v>109</v>
      </c>
      <c r="K27" s="1">
        <v>111</v>
      </c>
      <c r="L27" s="1">
        <v>-5</v>
      </c>
      <c r="M27" s="1">
        <v>-4.4000000000000004</v>
      </c>
      <c r="N27" s="1">
        <v>0.55800000000000005</v>
      </c>
      <c r="O27" s="1">
        <v>1.31</v>
      </c>
      <c r="P27" s="1">
        <v>16</v>
      </c>
      <c r="Q27" s="1">
        <v>0.28299999999999997</v>
      </c>
      <c r="R27" s="1">
        <v>0.73299999999999998</v>
      </c>
      <c r="S27" s="1">
        <v>0.49399999999999999</v>
      </c>
      <c r="T27" s="1">
        <v>0.16500000000000001</v>
      </c>
      <c r="U27" s="1">
        <v>0.51800000000000002</v>
      </c>
      <c r="V27" s="1">
        <v>0.55000000000000004</v>
      </c>
      <c r="W27" s="1">
        <v>101.3</v>
      </c>
      <c r="X27" s="1">
        <v>99.25</v>
      </c>
      <c r="Y27" s="1">
        <v>82.71</v>
      </c>
      <c r="Z27" s="1">
        <v>991</v>
      </c>
      <c r="AA27" s="1">
        <v>0.45400000000000001</v>
      </c>
      <c r="AB27" s="1">
        <v>17</v>
      </c>
      <c r="AC27" s="1">
        <v>16</v>
      </c>
      <c r="AD27" s="1">
        <v>15</v>
      </c>
      <c r="AE27" s="1">
        <v>16</v>
      </c>
      <c r="AF27" s="1">
        <v>27</v>
      </c>
      <c r="AG27" s="1">
        <v>19</v>
      </c>
      <c r="AH27" s="1">
        <v>24</v>
      </c>
      <c r="AI27" s="1">
        <v>25</v>
      </c>
      <c r="AJ27" s="1">
        <v>23</v>
      </c>
      <c r="AK27" s="1">
        <v>25</v>
      </c>
      <c r="AL27" s="1">
        <v>23</v>
      </c>
      <c r="AM27" s="1">
        <v>10</v>
      </c>
      <c r="AN27" s="1">
        <v>14</v>
      </c>
      <c r="AO27" s="1">
        <v>19</v>
      </c>
      <c r="AP27" s="1">
        <v>22</v>
      </c>
      <c r="AQ27" s="1">
        <v>18</v>
      </c>
      <c r="AR27" s="1">
        <v>20</v>
      </c>
      <c r="AS27" s="1">
        <v>28</v>
      </c>
      <c r="AT27" s="1">
        <v>28</v>
      </c>
      <c r="AU27" s="1">
        <v>10</v>
      </c>
      <c r="AV27" s="1" t="s">
        <v>163</v>
      </c>
    </row>
    <row r="28" spans="1:48">
      <c r="A28" s="1">
        <v>1610612759</v>
      </c>
      <c r="B28" s="1" t="s">
        <v>165</v>
      </c>
      <c r="C28" s="1">
        <v>11</v>
      </c>
      <c r="D28" s="1">
        <v>5</v>
      </c>
      <c r="E28" s="1">
        <v>6</v>
      </c>
      <c r="F28" s="1">
        <v>0.45500000000000002</v>
      </c>
      <c r="G28" s="1">
        <v>528</v>
      </c>
      <c r="H28" s="1">
        <v>107.2</v>
      </c>
      <c r="I28" s="1">
        <v>109.4</v>
      </c>
      <c r="J28" s="1">
        <v>108.9</v>
      </c>
      <c r="K28" s="1">
        <v>110.9</v>
      </c>
      <c r="L28" s="1">
        <v>-1.7</v>
      </c>
      <c r="M28" s="1">
        <v>-1.5</v>
      </c>
      <c r="N28" s="1">
        <v>0.57399999999999995</v>
      </c>
      <c r="O28" s="1">
        <v>1.6</v>
      </c>
      <c r="P28" s="1">
        <v>17</v>
      </c>
      <c r="Q28" s="1">
        <v>0.28199999999999997</v>
      </c>
      <c r="R28" s="1">
        <v>0.77</v>
      </c>
      <c r="S28" s="1">
        <v>0.52300000000000002</v>
      </c>
      <c r="T28" s="1">
        <v>0.14599999999999999</v>
      </c>
      <c r="U28" s="1">
        <v>0.51</v>
      </c>
      <c r="V28" s="1">
        <v>0.55200000000000005</v>
      </c>
      <c r="W28" s="1">
        <v>104.8</v>
      </c>
      <c r="X28" s="1">
        <v>102.86</v>
      </c>
      <c r="Y28" s="1">
        <v>85.72</v>
      </c>
      <c r="Z28" s="1">
        <v>1130</v>
      </c>
      <c r="AA28" s="1">
        <v>0.49099999999999999</v>
      </c>
      <c r="AB28" s="1">
        <v>2</v>
      </c>
      <c r="AC28" s="1">
        <v>15</v>
      </c>
      <c r="AD28" s="1">
        <v>15</v>
      </c>
      <c r="AE28" s="1">
        <v>15</v>
      </c>
      <c r="AF28" s="1">
        <v>8</v>
      </c>
      <c r="AG28" s="1">
        <v>8</v>
      </c>
      <c r="AH28" s="1">
        <v>22</v>
      </c>
      <c r="AI28" s="1">
        <v>19</v>
      </c>
      <c r="AJ28" s="1">
        <v>19</v>
      </c>
      <c r="AK28" s="1">
        <v>11</v>
      </c>
      <c r="AL28" s="1">
        <v>14</v>
      </c>
      <c r="AM28" s="1">
        <v>12</v>
      </c>
      <c r="AN28" s="1">
        <v>3</v>
      </c>
      <c r="AO28" s="1">
        <v>4</v>
      </c>
      <c r="AP28" s="1">
        <v>13</v>
      </c>
      <c r="AQ28" s="1">
        <v>21</v>
      </c>
      <c r="AR28" s="1">
        <v>17</v>
      </c>
      <c r="AS28" s="1">
        <v>15</v>
      </c>
      <c r="AT28" s="1">
        <v>17</v>
      </c>
      <c r="AU28" s="1">
        <v>10</v>
      </c>
      <c r="AV28" s="1" t="s">
        <v>165</v>
      </c>
    </row>
    <row r="29" spans="1:48">
      <c r="A29" s="1">
        <v>1610612761</v>
      </c>
      <c r="B29" s="1" t="s">
        <v>166</v>
      </c>
      <c r="C29" s="1">
        <v>10</v>
      </c>
      <c r="D29" s="1">
        <v>7</v>
      </c>
      <c r="E29" s="1">
        <v>3</v>
      </c>
      <c r="F29" s="1">
        <v>0.7</v>
      </c>
      <c r="G29" s="1">
        <v>485</v>
      </c>
      <c r="H29" s="1">
        <v>105.7</v>
      </c>
      <c r="I29" s="1">
        <v>107.3</v>
      </c>
      <c r="J29" s="1">
        <v>99.6</v>
      </c>
      <c r="K29" s="1">
        <v>102.1</v>
      </c>
      <c r="L29" s="1">
        <v>6.1</v>
      </c>
      <c r="M29" s="1">
        <v>5.2</v>
      </c>
      <c r="N29" s="1">
        <v>0.63400000000000001</v>
      </c>
      <c r="O29" s="1">
        <v>1.47</v>
      </c>
      <c r="P29" s="1">
        <v>18</v>
      </c>
      <c r="Q29" s="1">
        <v>0.21099999999999999</v>
      </c>
      <c r="R29" s="1">
        <v>0.71099999999999997</v>
      </c>
      <c r="S29" s="1">
        <v>0.48499999999999999</v>
      </c>
      <c r="T29" s="1">
        <v>0.16300000000000001</v>
      </c>
      <c r="U29" s="1">
        <v>0.54100000000000004</v>
      </c>
      <c r="V29" s="1">
        <v>0.58299999999999996</v>
      </c>
      <c r="W29" s="1">
        <v>105.7</v>
      </c>
      <c r="X29" s="1">
        <v>103.57</v>
      </c>
      <c r="Y29" s="1">
        <v>86.31</v>
      </c>
      <c r="Z29" s="1">
        <v>1048</v>
      </c>
      <c r="AA29" s="1">
        <v>0.53900000000000003</v>
      </c>
      <c r="AB29" s="1">
        <v>17</v>
      </c>
      <c r="AC29" s="1">
        <v>5</v>
      </c>
      <c r="AD29" s="1">
        <v>3</v>
      </c>
      <c r="AE29" s="1">
        <v>5</v>
      </c>
      <c r="AF29" s="1">
        <v>19</v>
      </c>
      <c r="AG29" s="1">
        <v>14</v>
      </c>
      <c r="AH29" s="1">
        <v>5</v>
      </c>
      <c r="AI29" s="1">
        <v>7</v>
      </c>
      <c r="AJ29" s="1">
        <v>5</v>
      </c>
      <c r="AK29" s="1">
        <v>16</v>
      </c>
      <c r="AL29" s="1">
        <v>7</v>
      </c>
      <c r="AM29" s="1">
        <v>29</v>
      </c>
      <c r="AN29" s="1">
        <v>25</v>
      </c>
      <c r="AO29" s="1">
        <v>25</v>
      </c>
      <c r="AP29" s="1">
        <v>19</v>
      </c>
      <c r="AQ29" s="1">
        <v>4</v>
      </c>
      <c r="AR29" s="1">
        <v>2</v>
      </c>
      <c r="AS29" s="1">
        <v>10</v>
      </c>
      <c r="AT29" s="1">
        <v>7</v>
      </c>
      <c r="AU29" s="1">
        <v>10</v>
      </c>
      <c r="AV29" s="1" t="s">
        <v>166</v>
      </c>
    </row>
    <row r="30" spans="1:48">
      <c r="A30" s="1">
        <v>1610612762</v>
      </c>
      <c r="B30" s="1" t="s">
        <v>168</v>
      </c>
      <c r="C30" s="1">
        <v>11</v>
      </c>
      <c r="D30" s="1">
        <v>8</v>
      </c>
      <c r="E30" s="1">
        <v>3</v>
      </c>
      <c r="F30" s="1">
        <v>0.72699999999999998</v>
      </c>
      <c r="G30" s="1">
        <v>528</v>
      </c>
      <c r="H30" s="1">
        <v>103.2</v>
      </c>
      <c r="I30" s="1">
        <v>104.5</v>
      </c>
      <c r="J30" s="1">
        <v>97.3</v>
      </c>
      <c r="K30" s="1">
        <v>99.7</v>
      </c>
      <c r="L30" s="1">
        <v>5.8</v>
      </c>
      <c r="M30" s="1">
        <v>4.7</v>
      </c>
      <c r="N30" s="1">
        <v>0.53900000000000003</v>
      </c>
      <c r="O30" s="1">
        <v>1.22</v>
      </c>
      <c r="P30" s="1">
        <v>15.3</v>
      </c>
      <c r="Q30" s="1">
        <v>0.23400000000000001</v>
      </c>
      <c r="R30" s="1">
        <v>0.74399999999999999</v>
      </c>
      <c r="S30" s="1">
        <v>0.504</v>
      </c>
      <c r="T30" s="1">
        <v>0.16400000000000001</v>
      </c>
      <c r="U30" s="1">
        <v>0.52800000000000002</v>
      </c>
      <c r="V30" s="1">
        <v>0.56799999999999995</v>
      </c>
      <c r="W30" s="1">
        <v>101.8</v>
      </c>
      <c r="X30" s="1">
        <v>99.95</v>
      </c>
      <c r="Y30" s="1">
        <v>83.3</v>
      </c>
      <c r="Z30" s="1">
        <v>1101</v>
      </c>
      <c r="AA30" s="1">
        <v>0.54500000000000004</v>
      </c>
      <c r="AB30" s="1">
        <v>2</v>
      </c>
      <c r="AC30" s="1">
        <v>2</v>
      </c>
      <c r="AD30" s="1">
        <v>3</v>
      </c>
      <c r="AE30" s="1">
        <v>3</v>
      </c>
      <c r="AF30" s="1">
        <v>8</v>
      </c>
      <c r="AG30" s="1">
        <v>24</v>
      </c>
      <c r="AH30" s="1">
        <v>1</v>
      </c>
      <c r="AI30" s="1">
        <v>8</v>
      </c>
      <c r="AJ30" s="1">
        <v>27</v>
      </c>
      <c r="AK30" s="1">
        <v>29</v>
      </c>
      <c r="AL30" s="1">
        <v>26</v>
      </c>
      <c r="AM30" s="1">
        <v>26</v>
      </c>
      <c r="AN30" s="1">
        <v>9</v>
      </c>
      <c r="AO30" s="1">
        <v>11</v>
      </c>
      <c r="AP30" s="1">
        <v>20</v>
      </c>
      <c r="AQ30" s="1">
        <v>10</v>
      </c>
      <c r="AR30" s="1">
        <v>8</v>
      </c>
      <c r="AS30" s="1">
        <v>26</v>
      </c>
      <c r="AT30" s="1">
        <v>4</v>
      </c>
      <c r="AU30" s="1">
        <v>10</v>
      </c>
      <c r="AV30" s="1" t="s">
        <v>168</v>
      </c>
    </row>
    <row r="31" spans="1:48">
      <c r="A31" s="1">
        <v>1610612764</v>
      </c>
      <c r="B31" s="1" t="s">
        <v>171</v>
      </c>
      <c r="C31" s="1">
        <v>9</v>
      </c>
      <c r="D31" s="1">
        <v>2</v>
      </c>
      <c r="E31" s="1">
        <v>7</v>
      </c>
      <c r="F31" s="1">
        <v>0.222</v>
      </c>
      <c r="G31" s="1">
        <v>432</v>
      </c>
      <c r="H31" s="1">
        <v>107.6</v>
      </c>
      <c r="I31" s="1">
        <v>110.3</v>
      </c>
      <c r="J31" s="1">
        <v>112.4</v>
      </c>
      <c r="K31" s="1">
        <v>114.6</v>
      </c>
      <c r="L31" s="1">
        <v>-4.8</v>
      </c>
      <c r="M31" s="1">
        <v>-4.4000000000000004</v>
      </c>
      <c r="N31" s="1">
        <v>0.59699999999999998</v>
      </c>
      <c r="O31" s="1">
        <v>1.7</v>
      </c>
      <c r="P31" s="1">
        <v>17.8</v>
      </c>
      <c r="Q31" s="1">
        <v>0.28599999999999998</v>
      </c>
      <c r="R31" s="1">
        <v>0.69399999999999995</v>
      </c>
      <c r="S31" s="1">
        <v>0.48399999999999999</v>
      </c>
      <c r="T31" s="1">
        <v>0.14599999999999999</v>
      </c>
      <c r="U31" s="1">
        <v>0.52500000000000002</v>
      </c>
      <c r="V31" s="1">
        <v>0.56000000000000005</v>
      </c>
      <c r="W31" s="1">
        <v>107.1</v>
      </c>
      <c r="X31" s="1">
        <v>104.72</v>
      </c>
      <c r="Y31" s="1">
        <v>87.27</v>
      </c>
      <c r="Z31" s="1">
        <v>943</v>
      </c>
      <c r="AA31" s="1">
        <v>0.47099999999999997</v>
      </c>
      <c r="AB31" s="1">
        <v>30</v>
      </c>
      <c r="AC31" s="1">
        <v>27</v>
      </c>
      <c r="AD31" s="1">
        <v>20</v>
      </c>
      <c r="AE31" s="1">
        <v>27</v>
      </c>
      <c r="AF31" s="1">
        <v>30</v>
      </c>
      <c r="AG31" s="1">
        <v>6</v>
      </c>
      <c r="AH31" s="1">
        <v>29</v>
      </c>
      <c r="AI31" s="1">
        <v>24</v>
      </c>
      <c r="AJ31" s="1">
        <v>13</v>
      </c>
      <c r="AK31" s="1">
        <v>7</v>
      </c>
      <c r="AL31" s="1">
        <v>10</v>
      </c>
      <c r="AM31" s="1">
        <v>8</v>
      </c>
      <c r="AN31" s="1">
        <v>30</v>
      </c>
      <c r="AO31" s="1">
        <v>27</v>
      </c>
      <c r="AP31" s="1">
        <v>15</v>
      </c>
      <c r="AQ31" s="1">
        <v>12</v>
      </c>
      <c r="AR31" s="1">
        <v>12</v>
      </c>
      <c r="AS31" s="1">
        <v>7</v>
      </c>
      <c r="AT31" s="1">
        <v>24</v>
      </c>
      <c r="AU31" s="1">
        <v>10</v>
      </c>
      <c r="AV31" s="1" t="s">
        <v>171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63D77-331D-4923-9A00-A478C36A4939}">
  <sheetPr codeName="Sheet12"/>
  <dimension ref="A1:AV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5.36328125" customWidth="1"/>
    <col min="9" max="9" width="13.36328125" customWidth="1"/>
    <col min="10" max="10" width="15.36328125" customWidth="1"/>
    <col min="11" max="11" width="13.36328125" customWidth="1"/>
    <col min="12" max="12" width="15.453125" customWidth="1"/>
    <col min="13" max="13" width="13.453125" customWidth="1"/>
    <col min="14" max="14" width="10.08984375" customWidth="1"/>
    <col min="15" max="15" width="9.26953125" customWidth="1"/>
    <col min="16" max="16" width="12.08984375" customWidth="1"/>
    <col min="17" max="17" width="11.54296875" customWidth="1"/>
    <col min="18" max="18" width="11.453125" customWidth="1"/>
    <col min="19" max="19" width="10.1796875" customWidth="1"/>
    <col min="20" max="20" width="14.26953125" customWidth="1"/>
    <col min="21" max="21" width="10.1796875" customWidth="1"/>
    <col min="22" max="22" width="8.90625" customWidth="1"/>
    <col min="23" max="23" width="9.1796875" customWidth="1"/>
    <col min="25" max="25" width="13.36328125" customWidth="1"/>
    <col min="28" max="28" width="10.81640625" customWidth="1"/>
    <col min="29" max="29" width="10.26953125" customWidth="1"/>
    <col min="30" max="30" width="9.26953125" customWidth="1"/>
    <col min="31" max="31" width="14.453125" customWidth="1"/>
    <col min="32" max="32" width="12" customWidth="1"/>
    <col min="33" max="34" width="19" customWidth="1"/>
    <col min="35" max="35" width="19.08984375" customWidth="1"/>
    <col min="36" max="36" width="15.7265625" customWidth="1"/>
    <col min="37" max="37" width="14.90625" customWidth="1"/>
    <col min="38" max="38" width="17.7265625" customWidth="1"/>
    <col min="39" max="39" width="17.1796875" customWidth="1"/>
    <col min="40" max="40" width="17.08984375" customWidth="1"/>
    <col min="41" max="41" width="15.81640625" customWidth="1"/>
    <col min="42" max="42" width="19.90625" customWidth="1"/>
    <col min="43" max="43" width="15.81640625" customWidth="1"/>
    <col min="44" max="44" width="14.54296875" customWidth="1"/>
    <col min="45" max="45" width="12.81640625" customWidth="1"/>
    <col min="46" max="46" width="11.08984375" customWidth="1"/>
    <col min="48" max="48" width="12" customWidth="1"/>
  </cols>
  <sheetData>
    <row r="1" spans="1:48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232</v>
      </c>
      <c r="I1" s="1" t="s">
        <v>233</v>
      </c>
      <c r="J1" s="1" t="s">
        <v>234</v>
      </c>
      <c r="K1" s="1" t="s">
        <v>235</v>
      </c>
      <c r="L1" s="1" t="s">
        <v>236</v>
      </c>
      <c r="M1" s="1" t="s">
        <v>237</v>
      </c>
      <c r="N1" s="1" t="s">
        <v>238</v>
      </c>
      <c r="O1" s="1" t="s">
        <v>239</v>
      </c>
      <c r="P1" s="1" t="s">
        <v>240</v>
      </c>
      <c r="Q1" s="1" t="s">
        <v>241</v>
      </c>
      <c r="R1" s="1" t="s">
        <v>242</v>
      </c>
      <c r="S1" s="1" t="s">
        <v>243</v>
      </c>
      <c r="T1" s="1" t="s">
        <v>244</v>
      </c>
      <c r="U1" s="1" t="s">
        <v>245</v>
      </c>
      <c r="V1" s="1" t="s">
        <v>246</v>
      </c>
      <c r="W1" s="1" t="s">
        <v>247</v>
      </c>
      <c r="X1" s="1" t="s">
        <v>248</v>
      </c>
      <c r="Y1" s="1" t="s">
        <v>249</v>
      </c>
      <c r="Z1" s="1" t="s">
        <v>250</v>
      </c>
      <c r="AA1" s="1" t="s">
        <v>251</v>
      </c>
      <c r="AB1" s="1" t="s">
        <v>76</v>
      </c>
      <c r="AC1" s="1" t="s">
        <v>77</v>
      </c>
      <c r="AD1" s="1" t="s">
        <v>78</v>
      </c>
      <c r="AE1" s="1" t="s">
        <v>79</v>
      </c>
      <c r="AF1" s="1" t="s">
        <v>80</v>
      </c>
      <c r="AG1" s="1" t="s">
        <v>252</v>
      </c>
      <c r="AH1" s="1" t="s">
        <v>253</v>
      </c>
      <c r="AI1" s="1" t="s">
        <v>254</v>
      </c>
      <c r="AJ1" s="1" t="s">
        <v>255</v>
      </c>
      <c r="AK1" s="1" t="s">
        <v>256</v>
      </c>
      <c r="AL1" s="1" t="s">
        <v>257</v>
      </c>
      <c r="AM1" s="1" t="s">
        <v>258</v>
      </c>
      <c r="AN1" s="1" t="s">
        <v>259</v>
      </c>
      <c r="AO1" s="1" t="s">
        <v>260</v>
      </c>
      <c r="AP1" s="1" t="s">
        <v>261</v>
      </c>
      <c r="AQ1" s="1" t="s">
        <v>262</v>
      </c>
      <c r="AR1" s="1" t="s">
        <v>263</v>
      </c>
      <c r="AS1" s="1" t="s">
        <v>264</v>
      </c>
      <c r="AT1" s="1" t="s">
        <v>265</v>
      </c>
      <c r="AU1" s="1" t="s">
        <v>102</v>
      </c>
      <c r="AV1" s="1" t="s">
        <v>103</v>
      </c>
    </row>
    <row r="2" spans="1:48">
      <c r="A2" s="1">
        <v>1610612737</v>
      </c>
      <c r="B2" s="1" t="s">
        <v>104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104</v>
      </c>
    </row>
    <row r="3" spans="1:48">
      <c r="A3" s="1">
        <v>1610612738</v>
      </c>
      <c r="B3" s="1" t="s">
        <v>106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106</v>
      </c>
    </row>
    <row r="4" spans="1:48">
      <c r="A4" s="1">
        <v>1610612751</v>
      </c>
      <c r="B4" s="1" t="s">
        <v>107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107</v>
      </c>
    </row>
    <row r="5" spans="1:48">
      <c r="A5" s="1">
        <v>1610612766</v>
      </c>
      <c r="B5" s="1" t="s">
        <v>109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109</v>
      </c>
    </row>
    <row r="6" spans="1:48">
      <c r="A6" s="1">
        <v>1610612741</v>
      </c>
      <c r="B6" s="1" t="s">
        <v>112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112</v>
      </c>
    </row>
    <row r="7" spans="1:48">
      <c r="A7" s="1">
        <v>1610612739</v>
      </c>
      <c r="B7" s="1" t="s">
        <v>114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114</v>
      </c>
    </row>
    <row r="8" spans="1:48">
      <c r="A8" s="1">
        <v>1610612742</v>
      </c>
      <c r="B8" s="1" t="s">
        <v>118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118</v>
      </c>
    </row>
    <row r="9" spans="1:48">
      <c r="A9" s="1">
        <v>1610612743</v>
      </c>
      <c r="B9" s="1" t="s">
        <v>121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121</v>
      </c>
    </row>
    <row r="10" spans="1:48">
      <c r="A10" s="1">
        <v>1610612765</v>
      </c>
      <c r="B10" s="1" t="s">
        <v>124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124</v>
      </c>
    </row>
    <row r="11" spans="1:48">
      <c r="A11" s="1">
        <v>1610612744</v>
      </c>
      <c r="B11" s="1" t="s">
        <v>126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126</v>
      </c>
    </row>
    <row r="12" spans="1:48">
      <c r="A12" s="1">
        <v>1610612745</v>
      </c>
      <c r="B12" s="1" t="s">
        <v>128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128</v>
      </c>
    </row>
    <row r="13" spans="1:48">
      <c r="A13" s="1">
        <v>1610612754</v>
      </c>
      <c r="B13" s="1" t="s">
        <v>130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130</v>
      </c>
    </row>
    <row r="14" spans="1:48">
      <c r="A14" s="1">
        <v>1610612746</v>
      </c>
      <c r="B14" s="1" t="s">
        <v>132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132</v>
      </c>
    </row>
    <row r="15" spans="1:48">
      <c r="A15" s="1">
        <v>1610612747</v>
      </c>
      <c r="B15" s="1" t="s">
        <v>135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135</v>
      </c>
    </row>
    <row r="16" spans="1:48">
      <c r="A16" s="1">
        <v>1610612763</v>
      </c>
      <c r="B16" s="1" t="s">
        <v>138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138</v>
      </c>
    </row>
    <row r="17" spans="1:48">
      <c r="A17" s="1">
        <v>1610612748</v>
      </c>
      <c r="B17" s="1" t="s">
        <v>141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141</v>
      </c>
    </row>
    <row r="18" spans="1:48">
      <c r="A18" s="1">
        <v>1610612749</v>
      </c>
      <c r="B18" s="1" t="s">
        <v>142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142</v>
      </c>
    </row>
    <row r="19" spans="1:48">
      <c r="A19" s="1">
        <v>1610612750</v>
      </c>
      <c r="B19" s="1" t="s">
        <v>145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145</v>
      </c>
    </row>
    <row r="20" spans="1:48">
      <c r="A20" s="1">
        <v>1610612740</v>
      </c>
      <c r="B20" s="1" t="s">
        <v>146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146</v>
      </c>
    </row>
    <row r="21" spans="1:48">
      <c r="A21" s="1">
        <v>1610612752</v>
      </c>
      <c r="B21" s="1" t="s">
        <v>149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149</v>
      </c>
    </row>
    <row r="22" spans="1:48">
      <c r="A22" s="1">
        <v>1610612760</v>
      </c>
      <c r="B22" s="1" t="s">
        <v>152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152</v>
      </c>
    </row>
    <row r="23" spans="1:48">
      <c r="A23" s="1">
        <v>1610612753</v>
      </c>
      <c r="B23" s="1" t="s">
        <v>154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154</v>
      </c>
    </row>
    <row r="24" spans="1:48">
      <c r="A24" s="1">
        <v>1610612755</v>
      </c>
      <c r="B24" s="1" t="s">
        <v>157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157</v>
      </c>
    </row>
    <row r="25" spans="1:48">
      <c r="A25" s="1">
        <v>1610612756</v>
      </c>
      <c r="B25" s="1" t="s">
        <v>159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159</v>
      </c>
    </row>
    <row r="26" spans="1:48">
      <c r="A26" s="1">
        <v>1610612757</v>
      </c>
      <c r="B26" s="1" t="s">
        <v>161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161</v>
      </c>
    </row>
    <row r="27" spans="1:48">
      <c r="A27" s="1">
        <v>1610612758</v>
      </c>
      <c r="B27" s="1" t="s">
        <v>163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163</v>
      </c>
    </row>
    <row r="28" spans="1:48">
      <c r="A28" s="1">
        <v>1610612759</v>
      </c>
      <c r="B28" s="1" t="s">
        <v>165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165</v>
      </c>
    </row>
    <row r="29" spans="1:48">
      <c r="A29" s="1">
        <v>1610612761</v>
      </c>
      <c r="B29" s="1" t="s">
        <v>166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166</v>
      </c>
    </row>
    <row r="30" spans="1:48">
      <c r="A30" s="1">
        <v>1610612762</v>
      </c>
      <c r="B30" s="1" t="s">
        <v>168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168</v>
      </c>
    </row>
    <row r="31" spans="1:48">
      <c r="A31" s="1">
        <v>1610612764</v>
      </c>
      <c r="B31" s="1" t="s">
        <v>171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171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5BCA1-F874-4235-9265-EB4312B00FA3}">
  <sheetPr codeName="Sheet13"/>
  <dimension ref="A1:AD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4.54296875" customWidth="1"/>
    <col min="9" max="9" width="18.26953125" customWidth="1"/>
    <col min="10" max="10" width="8.81640625" customWidth="1"/>
    <col min="11" max="11" width="11.90625" customWidth="1"/>
    <col min="12" max="12" width="19.08984375" customWidth="1"/>
    <col min="13" max="13" width="22.81640625" customWidth="1"/>
    <col min="14" max="14" width="13.36328125" customWidth="1"/>
    <col min="15" max="15" width="16.453125" customWidth="1"/>
    <col min="16" max="16" width="10.81640625" customWidth="1"/>
    <col min="17" max="17" width="10.26953125" customWidth="1"/>
    <col min="18" max="18" width="9.26953125" customWidth="1"/>
    <col min="19" max="19" width="14.453125" customWidth="1"/>
    <col min="20" max="20" width="12" customWidth="1"/>
    <col min="21" max="21" width="20.1796875" customWidth="1"/>
    <col min="22" max="22" width="23.90625" customWidth="1"/>
    <col min="23" max="23" width="14.453125" customWidth="1"/>
    <col min="24" max="24" width="17.54296875" customWidth="1"/>
    <col min="25" max="25" width="24.7265625" customWidth="1"/>
    <col min="26" max="26" width="28.453125" customWidth="1"/>
    <col min="27" max="27" width="19" customWidth="1"/>
    <col min="28" max="28" width="22.08984375" customWidth="1"/>
    <col min="30" max="30" width="12" customWidth="1"/>
  </cols>
  <sheetData>
    <row r="1" spans="1:30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1194</v>
      </c>
      <c r="I1" s="1" t="s">
        <v>1195</v>
      </c>
      <c r="J1" s="1" t="s">
        <v>1196</v>
      </c>
      <c r="K1" s="1" t="s">
        <v>1197</v>
      </c>
      <c r="L1" s="1" t="s">
        <v>1198</v>
      </c>
      <c r="M1" s="1" t="s">
        <v>1199</v>
      </c>
      <c r="N1" s="1" t="s">
        <v>1200</v>
      </c>
      <c r="O1" s="1" t="s">
        <v>1201</v>
      </c>
      <c r="P1" s="1" t="s">
        <v>76</v>
      </c>
      <c r="Q1" s="1" t="s">
        <v>77</v>
      </c>
      <c r="R1" s="1" t="s">
        <v>78</v>
      </c>
      <c r="S1" s="1" t="s">
        <v>79</v>
      </c>
      <c r="T1" s="1" t="s">
        <v>80</v>
      </c>
      <c r="U1" s="1" t="s">
        <v>1202</v>
      </c>
      <c r="V1" s="1" t="s">
        <v>1203</v>
      </c>
      <c r="W1" s="1" t="s">
        <v>1204</v>
      </c>
      <c r="X1" s="1" t="s">
        <v>1205</v>
      </c>
      <c r="Y1" s="1" t="s">
        <v>1206</v>
      </c>
      <c r="Z1" s="1" t="s">
        <v>1207</v>
      </c>
      <c r="AA1" s="1" t="s">
        <v>1208</v>
      </c>
      <c r="AB1" s="1" t="s">
        <v>1209</v>
      </c>
      <c r="AC1" s="1" t="s">
        <v>102</v>
      </c>
      <c r="AD1" s="1" t="s">
        <v>103</v>
      </c>
    </row>
    <row r="2" spans="1:30">
      <c r="A2" s="1">
        <v>1610612737</v>
      </c>
      <c r="B2" s="1" t="s">
        <v>104</v>
      </c>
      <c r="C2" s="1">
        <v>10</v>
      </c>
      <c r="D2" s="1">
        <v>4</v>
      </c>
      <c r="E2" s="1">
        <v>6</v>
      </c>
      <c r="F2" s="1">
        <v>0.4</v>
      </c>
      <c r="G2" s="1">
        <v>48.5</v>
      </c>
      <c r="H2" s="1">
        <v>16.3</v>
      </c>
      <c r="I2" s="1">
        <v>11.6</v>
      </c>
      <c r="J2" s="1">
        <v>11.3</v>
      </c>
      <c r="K2" s="1">
        <v>53.2</v>
      </c>
      <c r="L2" s="1">
        <v>18.600000000000001</v>
      </c>
      <c r="M2" s="1">
        <v>13.8</v>
      </c>
      <c r="N2" s="1">
        <v>11.3</v>
      </c>
      <c r="O2" s="1">
        <v>44</v>
      </c>
      <c r="P2" s="1">
        <v>17</v>
      </c>
      <c r="Q2" s="1">
        <v>16</v>
      </c>
      <c r="R2" s="1">
        <v>15</v>
      </c>
      <c r="S2" s="1">
        <v>16</v>
      </c>
      <c r="T2" s="1">
        <v>19</v>
      </c>
      <c r="U2" s="1">
        <v>22</v>
      </c>
      <c r="V2" s="1">
        <v>24</v>
      </c>
      <c r="W2" s="1">
        <v>26</v>
      </c>
      <c r="X2" s="1">
        <v>4</v>
      </c>
      <c r="Y2" s="1">
        <v>20</v>
      </c>
      <c r="Z2" s="1">
        <v>23</v>
      </c>
      <c r="AA2" s="1">
        <v>5</v>
      </c>
      <c r="AB2" s="1">
        <v>5</v>
      </c>
      <c r="AC2" s="1">
        <v>10</v>
      </c>
      <c r="AD2" s="1" t="s">
        <v>104</v>
      </c>
    </row>
    <row r="3" spans="1:30">
      <c r="A3" s="1">
        <v>1610612738</v>
      </c>
      <c r="B3" s="1" t="s">
        <v>106</v>
      </c>
      <c r="C3" s="1">
        <v>10</v>
      </c>
      <c r="D3" s="1">
        <v>9</v>
      </c>
      <c r="E3" s="1">
        <v>1</v>
      </c>
      <c r="F3" s="1">
        <v>0.9</v>
      </c>
      <c r="G3" s="1">
        <v>48</v>
      </c>
      <c r="H3" s="1">
        <v>17.600000000000001</v>
      </c>
      <c r="I3" s="1">
        <v>10.9</v>
      </c>
      <c r="J3" s="1">
        <v>12.6</v>
      </c>
      <c r="K3" s="1">
        <v>48.8</v>
      </c>
      <c r="L3" s="1">
        <v>11.9</v>
      </c>
      <c r="M3" s="1">
        <v>13.7</v>
      </c>
      <c r="N3" s="1">
        <v>11.7</v>
      </c>
      <c r="O3" s="1">
        <v>44.2</v>
      </c>
      <c r="P3" s="1">
        <v>17</v>
      </c>
      <c r="Q3" s="1">
        <v>1</v>
      </c>
      <c r="R3" s="1">
        <v>1</v>
      </c>
      <c r="S3" s="1">
        <v>1</v>
      </c>
      <c r="T3" s="1">
        <v>27</v>
      </c>
      <c r="U3" s="1">
        <v>16</v>
      </c>
      <c r="V3" s="1">
        <v>27</v>
      </c>
      <c r="W3" s="1">
        <v>16</v>
      </c>
      <c r="X3" s="1">
        <v>13</v>
      </c>
      <c r="Y3" s="1">
        <v>1</v>
      </c>
      <c r="Z3" s="1">
        <v>21</v>
      </c>
      <c r="AA3" s="1">
        <v>6</v>
      </c>
      <c r="AB3" s="1">
        <v>7</v>
      </c>
      <c r="AC3" s="1">
        <v>10</v>
      </c>
      <c r="AD3" s="1" t="s">
        <v>106</v>
      </c>
    </row>
    <row r="4" spans="1:30">
      <c r="A4" s="1">
        <v>1610612751</v>
      </c>
      <c r="B4" s="1" t="s">
        <v>107</v>
      </c>
      <c r="C4" s="1">
        <v>10</v>
      </c>
      <c r="D4" s="1">
        <v>4</v>
      </c>
      <c r="E4" s="1">
        <v>6</v>
      </c>
      <c r="F4" s="1">
        <v>0.4</v>
      </c>
      <c r="G4" s="1">
        <v>49</v>
      </c>
      <c r="H4" s="1">
        <v>17.5</v>
      </c>
      <c r="I4" s="1">
        <v>15.1</v>
      </c>
      <c r="J4" s="1">
        <v>15.5</v>
      </c>
      <c r="K4" s="1">
        <v>54.2</v>
      </c>
      <c r="L4" s="1">
        <v>20.6</v>
      </c>
      <c r="M4" s="1">
        <v>12.1</v>
      </c>
      <c r="N4" s="1">
        <v>12.6</v>
      </c>
      <c r="O4" s="1">
        <v>50.2</v>
      </c>
      <c r="P4" s="1">
        <v>17</v>
      </c>
      <c r="Q4" s="1">
        <v>16</v>
      </c>
      <c r="R4" s="1">
        <v>15</v>
      </c>
      <c r="S4" s="1">
        <v>16</v>
      </c>
      <c r="T4" s="1">
        <v>17</v>
      </c>
      <c r="U4" s="1">
        <v>17</v>
      </c>
      <c r="V4" s="1">
        <v>3</v>
      </c>
      <c r="W4" s="1">
        <v>8</v>
      </c>
      <c r="X4" s="1">
        <v>2</v>
      </c>
      <c r="Y4" s="1">
        <v>28</v>
      </c>
      <c r="Z4" s="1">
        <v>10</v>
      </c>
      <c r="AA4" s="1">
        <v>11</v>
      </c>
      <c r="AB4" s="1">
        <v>23</v>
      </c>
      <c r="AC4" s="1">
        <v>10</v>
      </c>
      <c r="AD4" s="1" t="s">
        <v>107</v>
      </c>
    </row>
    <row r="5" spans="1:30">
      <c r="A5" s="1">
        <v>1610612766</v>
      </c>
      <c r="B5" s="1" t="s">
        <v>109</v>
      </c>
      <c r="C5" s="1">
        <v>11</v>
      </c>
      <c r="D5" s="1">
        <v>4</v>
      </c>
      <c r="E5" s="1">
        <v>7</v>
      </c>
      <c r="F5" s="1">
        <v>0.36399999999999999</v>
      </c>
      <c r="G5" s="1">
        <v>48.5</v>
      </c>
      <c r="H5" s="1">
        <v>19.600000000000001</v>
      </c>
      <c r="I5" s="1">
        <v>12.5</v>
      </c>
      <c r="J5" s="1">
        <v>14.1</v>
      </c>
      <c r="K5" s="1">
        <v>48.4</v>
      </c>
      <c r="L5" s="1">
        <v>19.899999999999999</v>
      </c>
      <c r="M5" s="1">
        <v>13.4</v>
      </c>
      <c r="N5" s="1">
        <v>12.8</v>
      </c>
      <c r="O5" s="1">
        <v>56.2</v>
      </c>
      <c r="P5" s="1">
        <v>2</v>
      </c>
      <c r="Q5" s="1">
        <v>16</v>
      </c>
      <c r="R5" s="1">
        <v>20</v>
      </c>
      <c r="S5" s="1">
        <v>20</v>
      </c>
      <c r="T5" s="1">
        <v>3</v>
      </c>
      <c r="U5" s="1">
        <v>6</v>
      </c>
      <c r="V5" s="1">
        <v>21</v>
      </c>
      <c r="W5" s="1">
        <v>12</v>
      </c>
      <c r="X5" s="1">
        <v>14</v>
      </c>
      <c r="Y5" s="1">
        <v>24</v>
      </c>
      <c r="Z5" s="1">
        <v>19</v>
      </c>
      <c r="AA5" s="1">
        <v>12</v>
      </c>
      <c r="AB5" s="1">
        <v>30</v>
      </c>
      <c r="AC5" s="1">
        <v>10</v>
      </c>
      <c r="AD5" s="1" t="s">
        <v>109</v>
      </c>
    </row>
    <row r="6" spans="1:30">
      <c r="A6" s="1">
        <v>1610612741</v>
      </c>
      <c r="B6" s="1" t="s">
        <v>112</v>
      </c>
      <c r="C6" s="1">
        <v>11</v>
      </c>
      <c r="D6" s="1">
        <v>4</v>
      </c>
      <c r="E6" s="1">
        <v>7</v>
      </c>
      <c r="F6" s="1">
        <v>0.36399999999999999</v>
      </c>
      <c r="G6" s="1">
        <v>48</v>
      </c>
      <c r="H6" s="1">
        <v>22.1</v>
      </c>
      <c r="I6" s="1">
        <v>13.9</v>
      </c>
      <c r="J6" s="1">
        <v>16.100000000000001</v>
      </c>
      <c r="K6" s="1">
        <v>51.3</v>
      </c>
      <c r="L6" s="1">
        <v>17.3</v>
      </c>
      <c r="M6" s="1">
        <v>13.7</v>
      </c>
      <c r="N6" s="1">
        <v>15.5</v>
      </c>
      <c r="O6" s="1">
        <v>49.1</v>
      </c>
      <c r="P6" s="1">
        <v>2</v>
      </c>
      <c r="Q6" s="1">
        <v>16</v>
      </c>
      <c r="R6" s="1">
        <v>20</v>
      </c>
      <c r="S6" s="1">
        <v>20</v>
      </c>
      <c r="T6" s="1">
        <v>8</v>
      </c>
      <c r="U6" s="1">
        <v>1</v>
      </c>
      <c r="V6" s="1">
        <v>9</v>
      </c>
      <c r="W6" s="1">
        <v>4</v>
      </c>
      <c r="X6" s="1">
        <v>8</v>
      </c>
      <c r="Y6" s="1">
        <v>13</v>
      </c>
      <c r="Z6" s="1">
        <v>22</v>
      </c>
      <c r="AA6" s="1">
        <v>25</v>
      </c>
      <c r="AB6" s="1">
        <v>17</v>
      </c>
      <c r="AC6" s="1">
        <v>10</v>
      </c>
      <c r="AD6" s="1" t="s">
        <v>112</v>
      </c>
    </row>
    <row r="7" spans="1:30">
      <c r="A7" s="1">
        <v>1610612739</v>
      </c>
      <c r="B7" s="1" t="s">
        <v>114</v>
      </c>
      <c r="C7" s="1">
        <v>10</v>
      </c>
      <c r="D7" s="1">
        <v>4</v>
      </c>
      <c r="E7" s="1">
        <v>6</v>
      </c>
      <c r="F7" s="1">
        <v>0.4</v>
      </c>
      <c r="G7" s="1">
        <v>48</v>
      </c>
      <c r="H7" s="1">
        <v>14.7</v>
      </c>
      <c r="I7" s="1">
        <v>12.9</v>
      </c>
      <c r="J7" s="1">
        <v>11.7</v>
      </c>
      <c r="K7" s="1">
        <v>48</v>
      </c>
      <c r="L7" s="1">
        <v>14.8</v>
      </c>
      <c r="M7" s="1">
        <v>14.8</v>
      </c>
      <c r="N7" s="1">
        <v>14.2</v>
      </c>
      <c r="O7" s="1">
        <v>51.2</v>
      </c>
      <c r="P7" s="1">
        <v>17</v>
      </c>
      <c r="Q7" s="1">
        <v>16</v>
      </c>
      <c r="R7" s="1">
        <v>15</v>
      </c>
      <c r="S7" s="1">
        <v>16</v>
      </c>
      <c r="T7" s="1">
        <v>27</v>
      </c>
      <c r="U7" s="1">
        <v>28</v>
      </c>
      <c r="V7" s="1">
        <v>17</v>
      </c>
      <c r="W7" s="1">
        <v>24</v>
      </c>
      <c r="X7" s="1">
        <v>15</v>
      </c>
      <c r="Y7" s="1">
        <v>4</v>
      </c>
      <c r="Z7" s="1">
        <v>25</v>
      </c>
      <c r="AA7" s="1">
        <v>20</v>
      </c>
      <c r="AB7" s="1">
        <v>26</v>
      </c>
      <c r="AC7" s="1">
        <v>10</v>
      </c>
      <c r="AD7" s="1" t="s">
        <v>114</v>
      </c>
    </row>
    <row r="8" spans="1:30">
      <c r="A8" s="1">
        <v>1610612742</v>
      </c>
      <c r="B8" s="1" t="s">
        <v>118</v>
      </c>
      <c r="C8" s="1">
        <v>10</v>
      </c>
      <c r="D8" s="1">
        <v>6</v>
      </c>
      <c r="E8" s="1">
        <v>4</v>
      </c>
      <c r="F8" s="1">
        <v>0.6</v>
      </c>
      <c r="G8" s="1">
        <v>48.5</v>
      </c>
      <c r="H8" s="1">
        <v>15.8</v>
      </c>
      <c r="I8" s="1">
        <v>14.4</v>
      </c>
      <c r="J8" s="1">
        <v>12.1</v>
      </c>
      <c r="K8" s="1">
        <v>46.6</v>
      </c>
      <c r="L8" s="1">
        <v>17</v>
      </c>
      <c r="M8" s="1">
        <v>12.5</v>
      </c>
      <c r="N8" s="1">
        <v>14.9</v>
      </c>
      <c r="O8" s="1">
        <v>48.6</v>
      </c>
      <c r="P8" s="1">
        <v>17</v>
      </c>
      <c r="Q8" s="1">
        <v>13</v>
      </c>
      <c r="R8" s="1">
        <v>9</v>
      </c>
      <c r="S8" s="1">
        <v>13</v>
      </c>
      <c r="T8" s="1">
        <v>19</v>
      </c>
      <c r="U8" s="1">
        <v>25</v>
      </c>
      <c r="V8" s="1">
        <v>6</v>
      </c>
      <c r="W8" s="1">
        <v>20</v>
      </c>
      <c r="X8" s="1">
        <v>18</v>
      </c>
      <c r="Y8" s="1">
        <v>10</v>
      </c>
      <c r="Z8" s="1">
        <v>13</v>
      </c>
      <c r="AA8" s="1">
        <v>23</v>
      </c>
      <c r="AB8" s="1">
        <v>15</v>
      </c>
      <c r="AC8" s="1">
        <v>10</v>
      </c>
      <c r="AD8" s="1" t="s">
        <v>118</v>
      </c>
    </row>
    <row r="9" spans="1:30">
      <c r="A9" s="1">
        <v>1610612743</v>
      </c>
      <c r="B9" s="1" t="s">
        <v>121</v>
      </c>
      <c r="C9" s="1">
        <v>10</v>
      </c>
      <c r="D9" s="1">
        <v>7</v>
      </c>
      <c r="E9" s="1">
        <v>3</v>
      </c>
      <c r="F9" s="1">
        <v>0.7</v>
      </c>
      <c r="G9" s="1">
        <v>49</v>
      </c>
      <c r="H9" s="1">
        <v>17.3</v>
      </c>
      <c r="I9" s="1">
        <v>12.6</v>
      </c>
      <c r="J9" s="1">
        <v>11</v>
      </c>
      <c r="K9" s="1">
        <v>45.8</v>
      </c>
      <c r="L9" s="1">
        <v>14.2</v>
      </c>
      <c r="M9" s="1">
        <v>11</v>
      </c>
      <c r="N9" s="1">
        <v>14.2</v>
      </c>
      <c r="O9" s="1">
        <v>47.2</v>
      </c>
      <c r="P9" s="1">
        <v>17</v>
      </c>
      <c r="Q9" s="1">
        <v>5</v>
      </c>
      <c r="R9" s="1">
        <v>3</v>
      </c>
      <c r="S9" s="1">
        <v>5</v>
      </c>
      <c r="T9" s="1">
        <v>17</v>
      </c>
      <c r="U9" s="1">
        <v>19</v>
      </c>
      <c r="V9" s="1">
        <v>20</v>
      </c>
      <c r="W9" s="1">
        <v>27</v>
      </c>
      <c r="X9" s="1">
        <v>21</v>
      </c>
      <c r="Y9" s="1">
        <v>3</v>
      </c>
      <c r="Z9" s="1">
        <v>4</v>
      </c>
      <c r="AA9" s="1">
        <v>20</v>
      </c>
      <c r="AB9" s="1">
        <v>12</v>
      </c>
      <c r="AC9" s="1">
        <v>10</v>
      </c>
      <c r="AD9" s="1" t="s">
        <v>121</v>
      </c>
    </row>
    <row r="10" spans="1:30">
      <c r="A10" s="1">
        <v>1610612765</v>
      </c>
      <c r="B10" s="1" t="s">
        <v>124</v>
      </c>
      <c r="C10" s="1">
        <v>12</v>
      </c>
      <c r="D10" s="1">
        <v>4</v>
      </c>
      <c r="E10" s="1">
        <v>8</v>
      </c>
      <c r="F10" s="1">
        <v>0.33300000000000002</v>
      </c>
      <c r="G10" s="1">
        <v>48</v>
      </c>
      <c r="H10" s="1">
        <v>16.100000000000001</v>
      </c>
      <c r="I10" s="1">
        <v>12.8</v>
      </c>
      <c r="J10" s="1">
        <v>11.6</v>
      </c>
      <c r="K10" s="1">
        <v>45.8</v>
      </c>
      <c r="L10" s="1">
        <v>20.2</v>
      </c>
      <c r="M10" s="1">
        <v>13</v>
      </c>
      <c r="N10" s="1">
        <v>12.5</v>
      </c>
      <c r="O10" s="1">
        <v>50.8</v>
      </c>
      <c r="P10" s="1">
        <v>1</v>
      </c>
      <c r="Q10" s="1">
        <v>16</v>
      </c>
      <c r="R10" s="1">
        <v>27</v>
      </c>
      <c r="S10" s="1">
        <v>26</v>
      </c>
      <c r="T10" s="1">
        <v>1</v>
      </c>
      <c r="U10" s="1">
        <v>23</v>
      </c>
      <c r="V10" s="1">
        <v>19</v>
      </c>
      <c r="W10" s="1">
        <v>25</v>
      </c>
      <c r="X10" s="1">
        <v>19</v>
      </c>
      <c r="Y10" s="1">
        <v>26</v>
      </c>
      <c r="Z10" s="1">
        <v>16</v>
      </c>
      <c r="AA10" s="1">
        <v>10</v>
      </c>
      <c r="AB10" s="1">
        <v>24</v>
      </c>
      <c r="AC10" s="1">
        <v>10</v>
      </c>
      <c r="AD10" s="1" t="s">
        <v>124</v>
      </c>
    </row>
    <row r="11" spans="1:30">
      <c r="A11" s="1">
        <v>1610612744</v>
      </c>
      <c r="B11" s="1" t="s">
        <v>126</v>
      </c>
      <c r="C11" s="1">
        <v>11</v>
      </c>
      <c r="D11" s="1">
        <v>2</v>
      </c>
      <c r="E11" s="1">
        <v>9</v>
      </c>
      <c r="F11" s="1">
        <v>0.182</v>
      </c>
      <c r="G11" s="1">
        <v>48.5</v>
      </c>
      <c r="H11" s="1">
        <v>17.600000000000001</v>
      </c>
      <c r="I11" s="1">
        <v>13.2</v>
      </c>
      <c r="J11" s="1">
        <v>13.5</v>
      </c>
      <c r="K11" s="1">
        <v>44.4</v>
      </c>
      <c r="L11" s="1">
        <v>17.8</v>
      </c>
      <c r="M11" s="1">
        <v>15.8</v>
      </c>
      <c r="N11" s="1">
        <v>12.8</v>
      </c>
      <c r="O11" s="1">
        <v>52.9</v>
      </c>
      <c r="P11" s="1">
        <v>2</v>
      </c>
      <c r="Q11" s="1">
        <v>27</v>
      </c>
      <c r="R11" s="1">
        <v>29</v>
      </c>
      <c r="S11" s="1">
        <v>29</v>
      </c>
      <c r="T11" s="1">
        <v>3</v>
      </c>
      <c r="U11" s="1">
        <v>15</v>
      </c>
      <c r="V11" s="1">
        <v>16</v>
      </c>
      <c r="W11" s="1">
        <v>13</v>
      </c>
      <c r="X11" s="1">
        <v>26</v>
      </c>
      <c r="Y11" s="1">
        <v>16</v>
      </c>
      <c r="Z11" s="1">
        <v>27</v>
      </c>
      <c r="AA11" s="1">
        <v>12</v>
      </c>
      <c r="AB11" s="1">
        <v>28</v>
      </c>
      <c r="AC11" s="1">
        <v>10</v>
      </c>
      <c r="AD11" s="1" t="s">
        <v>126</v>
      </c>
    </row>
    <row r="12" spans="1:30">
      <c r="A12" s="1">
        <v>1610612745</v>
      </c>
      <c r="B12" s="1" t="s">
        <v>128</v>
      </c>
      <c r="C12" s="1">
        <v>11</v>
      </c>
      <c r="D12" s="1">
        <v>8</v>
      </c>
      <c r="E12" s="1">
        <v>3</v>
      </c>
      <c r="F12" s="1">
        <v>0.72699999999999998</v>
      </c>
      <c r="G12" s="1">
        <v>48</v>
      </c>
      <c r="H12" s="1">
        <v>18.7</v>
      </c>
      <c r="I12" s="1">
        <v>15</v>
      </c>
      <c r="J12" s="1">
        <v>15.8</v>
      </c>
      <c r="K12" s="1">
        <v>44.7</v>
      </c>
      <c r="L12" s="1">
        <v>19.899999999999999</v>
      </c>
      <c r="M12" s="1">
        <v>13.1</v>
      </c>
      <c r="N12" s="1">
        <v>17</v>
      </c>
      <c r="O12" s="1">
        <v>51.5</v>
      </c>
      <c r="P12" s="1">
        <v>2</v>
      </c>
      <c r="Q12" s="1">
        <v>2</v>
      </c>
      <c r="R12" s="1">
        <v>3</v>
      </c>
      <c r="S12" s="1">
        <v>3</v>
      </c>
      <c r="T12" s="1">
        <v>8</v>
      </c>
      <c r="U12" s="1">
        <v>9</v>
      </c>
      <c r="V12" s="1">
        <v>4</v>
      </c>
      <c r="W12" s="1">
        <v>5</v>
      </c>
      <c r="X12" s="1">
        <v>23</v>
      </c>
      <c r="Y12" s="1">
        <v>24</v>
      </c>
      <c r="Z12" s="1">
        <v>17</v>
      </c>
      <c r="AA12" s="1">
        <v>28</v>
      </c>
      <c r="AB12" s="1">
        <v>27</v>
      </c>
      <c r="AC12" s="1">
        <v>10</v>
      </c>
      <c r="AD12" s="1" t="s">
        <v>128</v>
      </c>
    </row>
    <row r="13" spans="1:30">
      <c r="A13" s="1">
        <v>1610612754</v>
      </c>
      <c r="B13" s="1" t="s">
        <v>130</v>
      </c>
      <c r="C13" s="1">
        <v>11</v>
      </c>
      <c r="D13" s="1">
        <v>7</v>
      </c>
      <c r="E13" s="1">
        <v>4</v>
      </c>
      <c r="F13" s="1">
        <v>0.63600000000000001</v>
      </c>
      <c r="G13" s="1">
        <v>48.5</v>
      </c>
      <c r="H13" s="1">
        <v>20.6</v>
      </c>
      <c r="I13" s="1">
        <v>14.2</v>
      </c>
      <c r="J13" s="1">
        <v>12.5</v>
      </c>
      <c r="K13" s="1">
        <v>52.4</v>
      </c>
      <c r="L13" s="1">
        <v>15.2</v>
      </c>
      <c r="M13" s="1">
        <v>12.2</v>
      </c>
      <c r="N13" s="1">
        <v>10.5</v>
      </c>
      <c r="O13" s="1">
        <v>45.8</v>
      </c>
      <c r="P13" s="1">
        <v>2</v>
      </c>
      <c r="Q13" s="1">
        <v>5</v>
      </c>
      <c r="R13" s="1">
        <v>9</v>
      </c>
      <c r="S13" s="1">
        <v>9</v>
      </c>
      <c r="T13" s="1">
        <v>3</v>
      </c>
      <c r="U13" s="1">
        <v>3</v>
      </c>
      <c r="V13" s="1">
        <v>7</v>
      </c>
      <c r="W13" s="1">
        <v>17</v>
      </c>
      <c r="X13" s="1">
        <v>5</v>
      </c>
      <c r="Y13" s="1">
        <v>5</v>
      </c>
      <c r="Z13" s="1">
        <v>11</v>
      </c>
      <c r="AA13" s="1">
        <v>2</v>
      </c>
      <c r="AB13" s="1">
        <v>10</v>
      </c>
      <c r="AC13" s="1">
        <v>10</v>
      </c>
      <c r="AD13" s="1" t="s">
        <v>130</v>
      </c>
    </row>
    <row r="14" spans="1:30">
      <c r="A14" s="1">
        <v>1610612746</v>
      </c>
      <c r="B14" s="1" t="s">
        <v>132</v>
      </c>
      <c r="C14" s="1">
        <v>11</v>
      </c>
      <c r="D14" s="1">
        <v>7</v>
      </c>
      <c r="E14" s="1">
        <v>4</v>
      </c>
      <c r="F14" s="1">
        <v>0.63600000000000001</v>
      </c>
      <c r="G14" s="1">
        <v>48</v>
      </c>
      <c r="H14" s="1">
        <v>19.2</v>
      </c>
      <c r="I14" s="1">
        <v>15.7</v>
      </c>
      <c r="J14" s="1">
        <v>15.1</v>
      </c>
      <c r="K14" s="1">
        <v>49.3</v>
      </c>
      <c r="L14" s="1">
        <v>18.2</v>
      </c>
      <c r="M14" s="1">
        <v>9.5</v>
      </c>
      <c r="N14" s="1">
        <v>13.8</v>
      </c>
      <c r="O14" s="1">
        <v>41.8</v>
      </c>
      <c r="P14" s="1">
        <v>2</v>
      </c>
      <c r="Q14" s="1">
        <v>5</v>
      </c>
      <c r="R14" s="1">
        <v>9</v>
      </c>
      <c r="S14" s="1">
        <v>9</v>
      </c>
      <c r="T14" s="1">
        <v>8</v>
      </c>
      <c r="U14" s="1">
        <v>7</v>
      </c>
      <c r="V14" s="1">
        <v>1</v>
      </c>
      <c r="W14" s="1">
        <v>10</v>
      </c>
      <c r="X14" s="1">
        <v>12</v>
      </c>
      <c r="Y14" s="1">
        <v>19</v>
      </c>
      <c r="Z14" s="1">
        <v>2</v>
      </c>
      <c r="AA14" s="1">
        <v>19</v>
      </c>
      <c r="AB14" s="1">
        <v>2</v>
      </c>
      <c r="AC14" s="1">
        <v>10</v>
      </c>
      <c r="AD14" s="1" t="s">
        <v>132</v>
      </c>
    </row>
    <row r="15" spans="1:30">
      <c r="A15" s="1">
        <v>1610612747</v>
      </c>
      <c r="B15" s="1" t="s">
        <v>135</v>
      </c>
      <c r="C15" s="1">
        <v>10</v>
      </c>
      <c r="D15" s="1">
        <v>8</v>
      </c>
      <c r="E15" s="1">
        <v>2</v>
      </c>
      <c r="F15" s="1">
        <v>0.8</v>
      </c>
      <c r="G15" s="1">
        <v>48.5</v>
      </c>
      <c r="H15" s="1">
        <v>18.399999999999999</v>
      </c>
      <c r="I15" s="1">
        <v>13.9</v>
      </c>
      <c r="J15" s="1">
        <v>13.3</v>
      </c>
      <c r="K15" s="1">
        <v>54</v>
      </c>
      <c r="L15" s="1">
        <v>17.2</v>
      </c>
      <c r="M15" s="1">
        <v>12.5</v>
      </c>
      <c r="N15" s="1">
        <v>18</v>
      </c>
      <c r="O15" s="1">
        <v>44.2</v>
      </c>
      <c r="P15" s="1">
        <v>17</v>
      </c>
      <c r="Q15" s="1">
        <v>2</v>
      </c>
      <c r="R15" s="1">
        <v>2</v>
      </c>
      <c r="S15" s="1">
        <v>2</v>
      </c>
      <c r="T15" s="1">
        <v>19</v>
      </c>
      <c r="U15" s="1">
        <v>12</v>
      </c>
      <c r="V15" s="1">
        <v>11</v>
      </c>
      <c r="W15" s="1">
        <v>14</v>
      </c>
      <c r="X15" s="1">
        <v>3</v>
      </c>
      <c r="Y15" s="1">
        <v>11</v>
      </c>
      <c r="Z15" s="1">
        <v>13</v>
      </c>
      <c r="AA15" s="1">
        <v>29</v>
      </c>
      <c r="AB15" s="1">
        <v>7</v>
      </c>
      <c r="AC15" s="1">
        <v>10</v>
      </c>
      <c r="AD15" s="1" t="s">
        <v>135</v>
      </c>
    </row>
    <row r="16" spans="1:30">
      <c r="A16" s="1">
        <v>1610612763</v>
      </c>
      <c r="B16" s="1" t="s">
        <v>138</v>
      </c>
      <c r="C16" s="1">
        <v>11</v>
      </c>
      <c r="D16" s="1">
        <v>4</v>
      </c>
      <c r="E16" s="1">
        <v>7</v>
      </c>
      <c r="F16" s="1">
        <v>0.36399999999999999</v>
      </c>
      <c r="G16" s="1">
        <v>48.5</v>
      </c>
      <c r="H16" s="1">
        <v>15</v>
      </c>
      <c r="I16" s="1">
        <v>13.5</v>
      </c>
      <c r="J16" s="1">
        <v>15.5</v>
      </c>
      <c r="K16" s="1">
        <v>54.9</v>
      </c>
      <c r="L16" s="1">
        <v>22.5</v>
      </c>
      <c r="M16" s="1">
        <v>15.3</v>
      </c>
      <c r="N16" s="1">
        <v>16.2</v>
      </c>
      <c r="O16" s="1">
        <v>49.8</v>
      </c>
      <c r="P16" s="1">
        <v>2</v>
      </c>
      <c r="Q16" s="1">
        <v>16</v>
      </c>
      <c r="R16" s="1">
        <v>20</v>
      </c>
      <c r="S16" s="1">
        <v>20</v>
      </c>
      <c r="T16" s="1">
        <v>3</v>
      </c>
      <c r="U16" s="1">
        <v>27</v>
      </c>
      <c r="V16" s="1">
        <v>13</v>
      </c>
      <c r="W16" s="1">
        <v>7</v>
      </c>
      <c r="X16" s="1">
        <v>1</v>
      </c>
      <c r="Y16" s="1">
        <v>29</v>
      </c>
      <c r="Z16" s="1">
        <v>26</v>
      </c>
      <c r="AA16" s="1">
        <v>27</v>
      </c>
      <c r="AB16" s="1">
        <v>22</v>
      </c>
      <c r="AC16" s="1">
        <v>10</v>
      </c>
      <c r="AD16" s="1" t="s">
        <v>138</v>
      </c>
    </row>
    <row r="17" spans="1:30">
      <c r="A17" s="1">
        <v>1610612748</v>
      </c>
      <c r="B17" s="1" t="s">
        <v>141</v>
      </c>
      <c r="C17" s="1">
        <v>10</v>
      </c>
      <c r="D17" s="1">
        <v>7</v>
      </c>
      <c r="E17" s="1">
        <v>3</v>
      </c>
      <c r="F17" s="1">
        <v>0.7</v>
      </c>
      <c r="G17" s="1">
        <v>48.5</v>
      </c>
      <c r="H17" s="1">
        <v>19.8</v>
      </c>
      <c r="I17" s="1">
        <v>11.5</v>
      </c>
      <c r="J17" s="1">
        <v>11.8</v>
      </c>
      <c r="K17" s="1">
        <v>47.6</v>
      </c>
      <c r="L17" s="1">
        <v>20.5</v>
      </c>
      <c r="M17" s="1">
        <v>13.1</v>
      </c>
      <c r="N17" s="1">
        <v>13.3</v>
      </c>
      <c r="O17" s="1">
        <v>47.2</v>
      </c>
      <c r="P17" s="1">
        <v>17</v>
      </c>
      <c r="Q17" s="1">
        <v>5</v>
      </c>
      <c r="R17" s="1">
        <v>3</v>
      </c>
      <c r="S17" s="1">
        <v>5</v>
      </c>
      <c r="T17" s="1">
        <v>19</v>
      </c>
      <c r="U17" s="1">
        <v>5</v>
      </c>
      <c r="V17" s="1">
        <v>25</v>
      </c>
      <c r="W17" s="1">
        <v>22</v>
      </c>
      <c r="X17" s="1">
        <v>16</v>
      </c>
      <c r="Y17" s="1">
        <v>27</v>
      </c>
      <c r="Z17" s="1">
        <v>18</v>
      </c>
      <c r="AA17" s="1">
        <v>16</v>
      </c>
      <c r="AB17" s="1">
        <v>12</v>
      </c>
      <c r="AC17" s="1">
        <v>10</v>
      </c>
      <c r="AD17" s="1" t="s">
        <v>141</v>
      </c>
    </row>
    <row r="18" spans="1:30">
      <c r="A18" s="1">
        <v>1610612749</v>
      </c>
      <c r="B18" s="1" t="s">
        <v>142</v>
      </c>
      <c r="C18" s="1">
        <v>10</v>
      </c>
      <c r="D18" s="1">
        <v>7</v>
      </c>
      <c r="E18" s="1">
        <v>3</v>
      </c>
      <c r="F18" s="1">
        <v>0.7</v>
      </c>
      <c r="G18" s="1">
        <v>48.5</v>
      </c>
      <c r="H18" s="1">
        <v>18.2</v>
      </c>
      <c r="I18" s="1">
        <v>13.9</v>
      </c>
      <c r="J18" s="1">
        <v>17.7</v>
      </c>
      <c r="K18" s="1">
        <v>50</v>
      </c>
      <c r="L18" s="1">
        <v>17.2</v>
      </c>
      <c r="M18" s="1">
        <v>10</v>
      </c>
      <c r="N18" s="1">
        <v>11.9</v>
      </c>
      <c r="O18" s="1">
        <v>38.6</v>
      </c>
      <c r="P18" s="1">
        <v>17</v>
      </c>
      <c r="Q18" s="1">
        <v>5</v>
      </c>
      <c r="R18" s="1">
        <v>3</v>
      </c>
      <c r="S18" s="1">
        <v>5</v>
      </c>
      <c r="T18" s="1">
        <v>19</v>
      </c>
      <c r="U18" s="1">
        <v>13</v>
      </c>
      <c r="V18" s="1">
        <v>11</v>
      </c>
      <c r="W18" s="1">
        <v>2</v>
      </c>
      <c r="X18" s="1">
        <v>10</v>
      </c>
      <c r="Y18" s="1">
        <v>11</v>
      </c>
      <c r="Z18" s="1">
        <v>3</v>
      </c>
      <c r="AA18" s="1">
        <v>7</v>
      </c>
      <c r="AB18" s="1">
        <v>1</v>
      </c>
      <c r="AC18" s="1">
        <v>10</v>
      </c>
      <c r="AD18" s="1" t="s">
        <v>142</v>
      </c>
    </row>
    <row r="19" spans="1:30">
      <c r="A19" s="1">
        <v>1610612750</v>
      </c>
      <c r="B19" s="1" t="s">
        <v>145</v>
      </c>
      <c r="C19" s="1">
        <v>11</v>
      </c>
      <c r="D19" s="1">
        <v>7</v>
      </c>
      <c r="E19" s="1">
        <v>4</v>
      </c>
      <c r="F19" s="1">
        <v>0.63600000000000001</v>
      </c>
      <c r="G19" s="1">
        <v>49.4</v>
      </c>
      <c r="H19" s="1">
        <v>18.5</v>
      </c>
      <c r="I19" s="1">
        <v>14.5</v>
      </c>
      <c r="J19" s="1">
        <v>10.4</v>
      </c>
      <c r="K19" s="1">
        <v>52</v>
      </c>
      <c r="L19" s="1">
        <v>16.5</v>
      </c>
      <c r="M19" s="1">
        <v>13.6</v>
      </c>
      <c r="N19" s="1">
        <v>12.8</v>
      </c>
      <c r="O19" s="1">
        <v>49.5</v>
      </c>
      <c r="P19" s="1">
        <v>2</v>
      </c>
      <c r="Q19" s="1">
        <v>5</v>
      </c>
      <c r="R19" s="1">
        <v>9</v>
      </c>
      <c r="S19" s="1">
        <v>9</v>
      </c>
      <c r="T19" s="1">
        <v>2</v>
      </c>
      <c r="U19" s="1">
        <v>11</v>
      </c>
      <c r="V19" s="1">
        <v>5</v>
      </c>
      <c r="W19" s="1">
        <v>29</v>
      </c>
      <c r="X19" s="1">
        <v>7</v>
      </c>
      <c r="Y19" s="1">
        <v>8</v>
      </c>
      <c r="Z19" s="1">
        <v>20</v>
      </c>
      <c r="AA19" s="1">
        <v>12</v>
      </c>
      <c r="AB19" s="1">
        <v>19</v>
      </c>
      <c r="AC19" s="1">
        <v>10</v>
      </c>
      <c r="AD19" s="1" t="s">
        <v>145</v>
      </c>
    </row>
    <row r="20" spans="1:30">
      <c r="A20" s="1">
        <v>1610612740</v>
      </c>
      <c r="B20" s="1" t="s">
        <v>146</v>
      </c>
      <c r="C20" s="1">
        <v>10</v>
      </c>
      <c r="D20" s="1">
        <v>2</v>
      </c>
      <c r="E20" s="1">
        <v>8</v>
      </c>
      <c r="F20" s="1">
        <v>0.2</v>
      </c>
      <c r="G20" s="1">
        <v>48.5</v>
      </c>
      <c r="H20" s="1">
        <v>20.100000000000001</v>
      </c>
      <c r="I20" s="1">
        <v>12.9</v>
      </c>
      <c r="J20" s="1">
        <v>17.399999999999999</v>
      </c>
      <c r="K20" s="1">
        <v>50.2</v>
      </c>
      <c r="L20" s="1">
        <v>23.1</v>
      </c>
      <c r="M20" s="1">
        <v>15.9</v>
      </c>
      <c r="N20" s="1">
        <v>20</v>
      </c>
      <c r="O20" s="1">
        <v>54.2</v>
      </c>
      <c r="P20" s="1">
        <v>17</v>
      </c>
      <c r="Q20" s="1">
        <v>27</v>
      </c>
      <c r="R20" s="1">
        <v>27</v>
      </c>
      <c r="S20" s="1">
        <v>28</v>
      </c>
      <c r="T20" s="1">
        <v>19</v>
      </c>
      <c r="U20" s="1">
        <v>4</v>
      </c>
      <c r="V20" s="1">
        <v>17</v>
      </c>
      <c r="W20" s="1">
        <v>3</v>
      </c>
      <c r="X20" s="1">
        <v>9</v>
      </c>
      <c r="Y20" s="1">
        <v>30</v>
      </c>
      <c r="Z20" s="1">
        <v>28</v>
      </c>
      <c r="AA20" s="1">
        <v>30</v>
      </c>
      <c r="AB20" s="1">
        <v>29</v>
      </c>
      <c r="AC20" s="1">
        <v>10</v>
      </c>
      <c r="AD20" s="1" t="s">
        <v>146</v>
      </c>
    </row>
    <row r="21" spans="1:30">
      <c r="A21" s="1">
        <v>1610612752</v>
      </c>
      <c r="B21" s="1" t="s">
        <v>149</v>
      </c>
      <c r="C21" s="1">
        <v>11</v>
      </c>
      <c r="D21" s="1">
        <v>2</v>
      </c>
      <c r="E21" s="1">
        <v>9</v>
      </c>
      <c r="F21" s="1">
        <v>0.182</v>
      </c>
      <c r="G21" s="1">
        <v>48</v>
      </c>
      <c r="H21" s="1">
        <v>17.8</v>
      </c>
      <c r="I21" s="1">
        <v>15.4</v>
      </c>
      <c r="J21" s="1">
        <v>11.9</v>
      </c>
      <c r="K21" s="1">
        <v>39.299999999999997</v>
      </c>
      <c r="L21" s="1">
        <v>18.600000000000001</v>
      </c>
      <c r="M21" s="1">
        <v>11.4</v>
      </c>
      <c r="N21" s="1">
        <v>15.6</v>
      </c>
      <c r="O21" s="1">
        <v>44.2</v>
      </c>
      <c r="P21" s="1">
        <v>2</v>
      </c>
      <c r="Q21" s="1">
        <v>27</v>
      </c>
      <c r="R21" s="1">
        <v>29</v>
      </c>
      <c r="S21" s="1">
        <v>29</v>
      </c>
      <c r="T21" s="1">
        <v>8</v>
      </c>
      <c r="U21" s="1">
        <v>14</v>
      </c>
      <c r="V21" s="1">
        <v>2</v>
      </c>
      <c r="W21" s="1">
        <v>21</v>
      </c>
      <c r="X21" s="1">
        <v>30</v>
      </c>
      <c r="Y21" s="1">
        <v>21</v>
      </c>
      <c r="Z21" s="1">
        <v>7</v>
      </c>
      <c r="AA21" s="1">
        <v>26</v>
      </c>
      <c r="AB21" s="1">
        <v>6</v>
      </c>
      <c r="AC21" s="1">
        <v>10</v>
      </c>
      <c r="AD21" s="1" t="s">
        <v>149</v>
      </c>
    </row>
    <row r="22" spans="1:30">
      <c r="A22" s="1">
        <v>1610612760</v>
      </c>
      <c r="B22" s="1" t="s">
        <v>152</v>
      </c>
      <c r="C22" s="1">
        <v>11</v>
      </c>
      <c r="D22" s="1">
        <v>4</v>
      </c>
      <c r="E22" s="1">
        <v>7</v>
      </c>
      <c r="F22" s="1">
        <v>0.36399999999999999</v>
      </c>
      <c r="G22" s="1">
        <v>48</v>
      </c>
      <c r="H22" s="1">
        <v>16</v>
      </c>
      <c r="I22" s="1">
        <v>10.3</v>
      </c>
      <c r="J22" s="1">
        <v>9.1999999999999993</v>
      </c>
      <c r="K22" s="1">
        <v>43.3</v>
      </c>
      <c r="L22" s="1">
        <v>16.600000000000001</v>
      </c>
      <c r="M22" s="1">
        <v>11.6</v>
      </c>
      <c r="N22" s="1">
        <v>10.9</v>
      </c>
      <c r="O22" s="1">
        <v>49.1</v>
      </c>
      <c r="P22" s="1">
        <v>2</v>
      </c>
      <c r="Q22" s="1">
        <v>16</v>
      </c>
      <c r="R22" s="1">
        <v>20</v>
      </c>
      <c r="S22" s="1">
        <v>20</v>
      </c>
      <c r="T22" s="1">
        <v>8</v>
      </c>
      <c r="U22" s="1">
        <v>24</v>
      </c>
      <c r="V22" s="1">
        <v>28</v>
      </c>
      <c r="W22" s="1">
        <v>30</v>
      </c>
      <c r="X22" s="1">
        <v>28</v>
      </c>
      <c r="Y22" s="1">
        <v>9</v>
      </c>
      <c r="Z22" s="1">
        <v>8</v>
      </c>
      <c r="AA22" s="1">
        <v>4</v>
      </c>
      <c r="AB22" s="1">
        <v>17</v>
      </c>
      <c r="AC22" s="1">
        <v>10</v>
      </c>
      <c r="AD22" s="1" t="s">
        <v>152</v>
      </c>
    </row>
    <row r="23" spans="1:30">
      <c r="A23" s="1">
        <v>1610612753</v>
      </c>
      <c r="B23" s="1" t="s">
        <v>154</v>
      </c>
      <c r="C23" s="1">
        <v>11</v>
      </c>
      <c r="D23" s="1">
        <v>4</v>
      </c>
      <c r="E23" s="1">
        <v>7</v>
      </c>
      <c r="F23" s="1">
        <v>0.36399999999999999</v>
      </c>
      <c r="G23" s="1">
        <v>48</v>
      </c>
      <c r="H23" s="1">
        <v>17</v>
      </c>
      <c r="I23" s="1">
        <v>13.3</v>
      </c>
      <c r="J23" s="1">
        <v>11.7</v>
      </c>
      <c r="K23" s="1">
        <v>45.8</v>
      </c>
      <c r="L23" s="1">
        <v>15.5</v>
      </c>
      <c r="M23" s="1">
        <v>11.2</v>
      </c>
      <c r="N23" s="1">
        <v>12</v>
      </c>
      <c r="O23" s="1">
        <v>43.1</v>
      </c>
      <c r="P23" s="1">
        <v>2</v>
      </c>
      <c r="Q23" s="1">
        <v>16</v>
      </c>
      <c r="R23" s="1">
        <v>20</v>
      </c>
      <c r="S23" s="1">
        <v>20</v>
      </c>
      <c r="T23" s="1">
        <v>8</v>
      </c>
      <c r="U23" s="1">
        <v>20</v>
      </c>
      <c r="V23" s="1">
        <v>15</v>
      </c>
      <c r="W23" s="1">
        <v>23</v>
      </c>
      <c r="X23" s="1">
        <v>20</v>
      </c>
      <c r="Y23" s="1">
        <v>7</v>
      </c>
      <c r="Z23" s="1">
        <v>6</v>
      </c>
      <c r="AA23" s="1">
        <v>9</v>
      </c>
      <c r="AB23" s="1">
        <v>3</v>
      </c>
      <c r="AC23" s="1">
        <v>10</v>
      </c>
      <c r="AD23" s="1" t="s">
        <v>154</v>
      </c>
    </row>
    <row r="24" spans="1:30">
      <c r="A24" s="1">
        <v>1610612755</v>
      </c>
      <c r="B24" s="1" t="s">
        <v>157</v>
      </c>
      <c r="C24" s="1">
        <v>11</v>
      </c>
      <c r="D24" s="1">
        <v>7</v>
      </c>
      <c r="E24" s="1">
        <v>4</v>
      </c>
      <c r="F24" s="1">
        <v>0.63600000000000001</v>
      </c>
      <c r="G24" s="1">
        <v>48</v>
      </c>
      <c r="H24" s="1">
        <v>19.2</v>
      </c>
      <c r="I24" s="1">
        <v>13.9</v>
      </c>
      <c r="J24" s="1">
        <v>12.5</v>
      </c>
      <c r="K24" s="1">
        <v>52.4</v>
      </c>
      <c r="L24" s="1">
        <v>18.7</v>
      </c>
      <c r="M24" s="1">
        <v>9.1</v>
      </c>
      <c r="N24" s="1">
        <v>13.2</v>
      </c>
      <c r="O24" s="1">
        <v>46.5</v>
      </c>
      <c r="P24" s="1">
        <v>2</v>
      </c>
      <c r="Q24" s="1">
        <v>5</v>
      </c>
      <c r="R24" s="1">
        <v>9</v>
      </c>
      <c r="S24" s="1">
        <v>9</v>
      </c>
      <c r="T24" s="1">
        <v>8</v>
      </c>
      <c r="U24" s="1">
        <v>7</v>
      </c>
      <c r="V24" s="1">
        <v>9</v>
      </c>
      <c r="W24" s="1">
        <v>18</v>
      </c>
      <c r="X24" s="1">
        <v>5</v>
      </c>
      <c r="Y24" s="1">
        <v>22</v>
      </c>
      <c r="Z24" s="1">
        <v>1</v>
      </c>
      <c r="AA24" s="1">
        <v>15</v>
      </c>
      <c r="AB24" s="1">
        <v>11</v>
      </c>
      <c r="AC24" s="1">
        <v>10</v>
      </c>
      <c r="AD24" s="1" t="s">
        <v>157</v>
      </c>
    </row>
    <row r="25" spans="1:30">
      <c r="A25" s="1">
        <v>1610612756</v>
      </c>
      <c r="B25" s="1" t="s">
        <v>159</v>
      </c>
      <c r="C25" s="1">
        <v>10</v>
      </c>
      <c r="D25" s="1">
        <v>6</v>
      </c>
      <c r="E25" s="1">
        <v>4</v>
      </c>
      <c r="F25" s="1">
        <v>0.6</v>
      </c>
      <c r="G25" s="1">
        <v>48.5</v>
      </c>
      <c r="H25" s="1">
        <v>22</v>
      </c>
      <c r="I25" s="1">
        <v>11</v>
      </c>
      <c r="J25" s="1">
        <v>15.8</v>
      </c>
      <c r="K25" s="1">
        <v>49.6</v>
      </c>
      <c r="L25" s="1">
        <v>17.399999999999999</v>
      </c>
      <c r="M25" s="1">
        <v>12.2</v>
      </c>
      <c r="N25" s="1">
        <v>13.6</v>
      </c>
      <c r="O25" s="1">
        <v>49.6</v>
      </c>
      <c r="P25" s="1">
        <v>17</v>
      </c>
      <c r="Q25" s="1">
        <v>13</v>
      </c>
      <c r="R25" s="1">
        <v>9</v>
      </c>
      <c r="S25" s="1">
        <v>13</v>
      </c>
      <c r="T25" s="1">
        <v>19</v>
      </c>
      <c r="U25" s="1">
        <v>2</v>
      </c>
      <c r="V25" s="1">
        <v>26</v>
      </c>
      <c r="W25" s="1">
        <v>6</v>
      </c>
      <c r="X25" s="1">
        <v>11</v>
      </c>
      <c r="Y25" s="1">
        <v>14</v>
      </c>
      <c r="Z25" s="1">
        <v>12</v>
      </c>
      <c r="AA25" s="1">
        <v>17</v>
      </c>
      <c r="AB25" s="1">
        <v>20</v>
      </c>
      <c r="AC25" s="1">
        <v>10</v>
      </c>
      <c r="AD25" s="1" t="s">
        <v>159</v>
      </c>
    </row>
    <row r="26" spans="1:30">
      <c r="A26" s="1">
        <v>1610612757</v>
      </c>
      <c r="B26" s="1" t="s">
        <v>161</v>
      </c>
      <c r="C26" s="1">
        <v>11</v>
      </c>
      <c r="D26" s="1">
        <v>4</v>
      </c>
      <c r="E26" s="1">
        <v>7</v>
      </c>
      <c r="F26" s="1">
        <v>0.36399999999999999</v>
      </c>
      <c r="G26" s="1">
        <v>48.5</v>
      </c>
      <c r="H26" s="1">
        <v>14.3</v>
      </c>
      <c r="I26" s="1">
        <v>12</v>
      </c>
      <c r="J26" s="1">
        <v>14.5</v>
      </c>
      <c r="K26" s="1">
        <v>44.7</v>
      </c>
      <c r="L26" s="1">
        <v>15.3</v>
      </c>
      <c r="M26" s="1">
        <v>16.399999999999999</v>
      </c>
      <c r="N26" s="1">
        <v>13.6</v>
      </c>
      <c r="O26" s="1">
        <v>47.8</v>
      </c>
      <c r="P26" s="1">
        <v>2</v>
      </c>
      <c r="Q26" s="1">
        <v>16</v>
      </c>
      <c r="R26" s="1">
        <v>20</v>
      </c>
      <c r="S26" s="1">
        <v>20</v>
      </c>
      <c r="T26" s="1">
        <v>3</v>
      </c>
      <c r="U26" s="1">
        <v>30</v>
      </c>
      <c r="V26" s="1">
        <v>22</v>
      </c>
      <c r="W26" s="1">
        <v>11</v>
      </c>
      <c r="X26" s="1">
        <v>23</v>
      </c>
      <c r="Y26" s="1">
        <v>6</v>
      </c>
      <c r="Z26" s="1">
        <v>30</v>
      </c>
      <c r="AA26" s="1">
        <v>18</v>
      </c>
      <c r="AB26" s="1">
        <v>14</v>
      </c>
      <c r="AC26" s="1">
        <v>10</v>
      </c>
      <c r="AD26" s="1" t="s">
        <v>161</v>
      </c>
    </row>
    <row r="27" spans="1:30">
      <c r="A27" s="1">
        <v>1610612758</v>
      </c>
      <c r="B27" s="1" t="s">
        <v>163</v>
      </c>
      <c r="C27" s="1">
        <v>10</v>
      </c>
      <c r="D27" s="1">
        <v>4</v>
      </c>
      <c r="E27" s="1">
        <v>6</v>
      </c>
      <c r="F27" s="1">
        <v>0.4</v>
      </c>
      <c r="G27" s="1">
        <v>48</v>
      </c>
      <c r="H27" s="1">
        <v>17.399999999999999</v>
      </c>
      <c r="I27" s="1">
        <v>13.5</v>
      </c>
      <c r="J27" s="1">
        <v>12.3</v>
      </c>
      <c r="K27" s="1">
        <v>40.200000000000003</v>
      </c>
      <c r="L27" s="1">
        <v>18.100000000000001</v>
      </c>
      <c r="M27" s="1">
        <v>12</v>
      </c>
      <c r="N27" s="1">
        <v>10.199999999999999</v>
      </c>
      <c r="O27" s="1">
        <v>49</v>
      </c>
      <c r="P27" s="1">
        <v>17</v>
      </c>
      <c r="Q27" s="1">
        <v>16</v>
      </c>
      <c r="R27" s="1">
        <v>15</v>
      </c>
      <c r="S27" s="1">
        <v>16</v>
      </c>
      <c r="T27" s="1">
        <v>27</v>
      </c>
      <c r="U27" s="1">
        <v>18</v>
      </c>
      <c r="V27" s="1">
        <v>14</v>
      </c>
      <c r="W27" s="1">
        <v>19</v>
      </c>
      <c r="X27" s="1">
        <v>29</v>
      </c>
      <c r="Y27" s="1">
        <v>17</v>
      </c>
      <c r="Z27" s="1">
        <v>9</v>
      </c>
      <c r="AA27" s="1">
        <v>1</v>
      </c>
      <c r="AB27" s="1">
        <v>16</v>
      </c>
      <c r="AC27" s="1">
        <v>10</v>
      </c>
      <c r="AD27" s="1" t="s">
        <v>163</v>
      </c>
    </row>
    <row r="28" spans="1:30">
      <c r="A28" s="1">
        <v>1610612759</v>
      </c>
      <c r="B28" s="1" t="s">
        <v>165</v>
      </c>
      <c r="C28" s="1">
        <v>11</v>
      </c>
      <c r="D28" s="1">
        <v>5</v>
      </c>
      <c r="E28" s="1">
        <v>6</v>
      </c>
      <c r="F28" s="1">
        <v>0.45500000000000002</v>
      </c>
      <c r="G28" s="1">
        <v>48</v>
      </c>
      <c r="H28" s="1">
        <v>14.4</v>
      </c>
      <c r="I28" s="1">
        <v>11.7</v>
      </c>
      <c r="J28" s="1">
        <v>15.3</v>
      </c>
      <c r="K28" s="1">
        <v>44.7</v>
      </c>
      <c r="L28" s="1">
        <v>14.2</v>
      </c>
      <c r="M28" s="1">
        <v>11.1</v>
      </c>
      <c r="N28" s="1">
        <v>15</v>
      </c>
      <c r="O28" s="1">
        <v>51.1</v>
      </c>
      <c r="P28" s="1">
        <v>2</v>
      </c>
      <c r="Q28" s="1">
        <v>15</v>
      </c>
      <c r="R28" s="1">
        <v>15</v>
      </c>
      <c r="S28" s="1">
        <v>15</v>
      </c>
      <c r="T28" s="1">
        <v>8</v>
      </c>
      <c r="U28" s="1">
        <v>29</v>
      </c>
      <c r="V28" s="1">
        <v>23</v>
      </c>
      <c r="W28" s="1">
        <v>9</v>
      </c>
      <c r="X28" s="1">
        <v>23</v>
      </c>
      <c r="Y28" s="1">
        <v>2</v>
      </c>
      <c r="Z28" s="1">
        <v>5</v>
      </c>
      <c r="AA28" s="1">
        <v>24</v>
      </c>
      <c r="AB28" s="1">
        <v>25</v>
      </c>
      <c r="AC28" s="1">
        <v>10</v>
      </c>
      <c r="AD28" s="1" t="s">
        <v>165</v>
      </c>
    </row>
    <row r="29" spans="1:30">
      <c r="A29" s="1">
        <v>1610612761</v>
      </c>
      <c r="B29" s="1" t="s">
        <v>166</v>
      </c>
      <c r="C29" s="1">
        <v>10</v>
      </c>
      <c r="D29" s="1">
        <v>7</v>
      </c>
      <c r="E29" s="1">
        <v>3</v>
      </c>
      <c r="F29" s="1">
        <v>0.7</v>
      </c>
      <c r="G29" s="1">
        <v>48.5</v>
      </c>
      <c r="H29" s="1">
        <v>18.600000000000001</v>
      </c>
      <c r="I29" s="1">
        <v>7.5</v>
      </c>
      <c r="J29" s="1">
        <v>22.3</v>
      </c>
      <c r="K29" s="1">
        <v>44.8</v>
      </c>
      <c r="L29" s="1">
        <v>18.8</v>
      </c>
      <c r="M29" s="1">
        <v>14.3</v>
      </c>
      <c r="N29" s="1">
        <v>11.9</v>
      </c>
      <c r="O29" s="1">
        <v>44.6</v>
      </c>
      <c r="P29" s="1">
        <v>17</v>
      </c>
      <c r="Q29" s="1">
        <v>5</v>
      </c>
      <c r="R29" s="1">
        <v>3</v>
      </c>
      <c r="S29" s="1">
        <v>5</v>
      </c>
      <c r="T29" s="1">
        <v>19</v>
      </c>
      <c r="U29" s="1">
        <v>10</v>
      </c>
      <c r="V29" s="1">
        <v>30</v>
      </c>
      <c r="W29" s="1">
        <v>1</v>
      </c>
      <c r="X29" s="1">
        <v>22</v>
      </c>
      <c r="Y29" s="1">
        <v>23</v>
      </c>
      <c r="Z29" s="1">
        <v>24</v>
      </c>
      <c r="AA29" s="1">
        <v>7</v>
      </c>
      <c r="AB29" s="1">
        <v>9</v>
      </c>
      <c r="AC29" s="1">
        <v>10</v>
      </c>
      <c r="AD29" s="1" t="s">
        <v>166</v>
      </c>
    </row>
    <row r="30" spans="1:30">
      <c r="A30" s="1">
        <v>1610612762</v>
      </c>
      <c r="B30" s="1" t="s">
        <v>168</v>
      </c>
      <c r="C30" s="1">
        <v>11</v>
      </c>
      <c r="D30" s="1">
        <v>8</v>
      </c>
      <c r="E30" s="1">
        <v>3</v>
      </c>
      <c r="F30" s="1">
        <v>0.72699999999999998</v>
      </c>
      <c r="G30" s="1">
        <v>48</v>
      </c>
      <c r="H30" s="1">
        <v>15.5</v>
      </c>
      <c r="I30" s="1">
        <v>8.6</v>
      </c>
      <c r="J30" s="1">
        <v>10.6</v>
      </c>
      <c r="K30" s="1">
        <v>43.6</v>
      </c>
      <c r="L30" s="1">
        <v>17.5</v>
      </c>
      <c r="M30" s="1">
        <v>12.9</v>
      </c>
      <c r="N30" s="1">
        <v>10.6</v>
      </c>
      <c r="O30" s="1">
        <v>43.1</v>
      </c>
      <c r="P30" s="1">
        <v>2</v>
      </c>
      <c r="Q30" s="1">
        <v>2</v>
      </c>
      <c r="R30" s="1">
        <v>3</v>
      </c>
      <c r="S30" s="1">
        <v>3</v>
      </c>
      <c r="T30" s="1">
        <v>8</v>
      </c>
      <c r="U30" s="1">
        <v>26</v>
      </c>
      <c r="V30" s="1">
        <v>29</v>
      </c>
      <c r="W30" s="1">
        <v>28</v>
      </c>
      <c r="X30" s="1">
        <v>27</v>
      </c>
      <c r="Y30" s="1">
        <v>15</v>
      </c>
      <c r="Z30" s="1">
        <v>15</v>
      </c>
      <c r="AA30" s="1">
        <v>3</v>
      </c>
      <c r="AB30" s="1">
        <v>3</v>
      </c>
      <c r="AC30" s="1">
        <v>10</v>
      </c>
      <c r="AD30" s="1" t="s">
        <v>168</v>
      </c>
    </row>
    <row r="31" spans="1:30">
      <c r="A31" s="1">
        <v>1610612764</v>
      </c>
      <c r="B31" s="1" t="s">
        <v>171</v>
      </c>
      <c r="C31" s="1">
        <v>9</v>
      </c>
      <c r="D31" s="1">
        <v>2</v>
      </c>
      <c r="E31" s="1">
        <v>7</v>
      </c>
      <c r="F31" s="1">
        <v>0.222</v>
      </c>
      <c r="G31" s="1">
        <v>48</v>
      </c>
      <c r="H31" s="1">
        <v>16.7</v>
      </c>
      <c r="I31" s="1">
        <v>14.1</v>
      </c>
      <c r="J31" s="1">
        <v>12.8</v>
      </c>
      <c r="K31" s="1">
        <v>46.7</v>
      </c>
      <c r="L31" s="1">
        <v>18.100000000000001</v>
      </c>
      <c r="M31" s="1">
        <v>16</v>
      </c>
      <c r="N31" s="1">
        <v>14.8</v>
      </c>
      <c r="O31" s="1">
        <v>49.8</v>
      </c>
      <c r="P31" s="1">
        <v>30</v>
      </c>
      <c r="Q31" s="1">
        <v>27</v>
      </c>
      <c r="R31" s="1">
        <v>20</v>
      </c>
      <c r="S31" s="1">
        <v>27</v>
      </c>
      <c r="T31" s="1">
        <v>30</v>
      </c>
      <c r="U31" s="1">
        <v>21</v>
      </c>
      <c r="V31" s="1">
        <v>8</v>
      </c>
      <c r="W31" s="1">
        <v>15</v>
      </c>
      <c r="X31" s="1">
        <v>17</v>
      </c>
      <c r="Y31" s="1">
        <v>18</v>
      </c>
      <c r="Z31" s="1">
        <v>29</v>
      </c>
      <c r="AA31" s="1">
        <v>22</v>
      </c>
      <c r="AB31" s="1">
        <v>21</v>
      </c>
      <c r="AC31" s="1">
        <v>10</v>
      </c>
      <c r="AD31" s="1" t="s">
        <v>171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4D659-1124-40CE-9835-EC293BAB3CC9}">
  <sheetPr codeName="Sheet14"/>
  <dimension ref="A1:AD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4.54296875" customWidth="1"/>
    <col min="9" max="9" width="18.26953125" customWidth="1"/>
    <col min="10" max="10" width="8.81640625" customWidth="1"/>
    <col min="11" max="11" width="11.90625" customWidth="1"/>
    <col min="12" max="12" width="19.08984375" customWidth="1"/>
    <col min="13" max="13" width="22.81640625" customWidth="1"/>
    <col min="14" max="14" width="13.36328125" customWidth="1"/>
    <col min="15" max="15" width="16.453125" customWidth="1"/>
    <col min="16" max="16" width="10.81640625" customWidth="1"/>
    <col min="17" max="17" width="10.26953125" customWidth="1"/>
    <col min="18" max="18" width="9.26953125" customWidth="1"/>
    <col min="19" max="19" width="14.453125" customWidth="1"/>
    <col min="20" max="20" width="12" customWidth="1"/>
    <col min="21" max="21" width="20.1796875" customWidth="1"/>
    <col min="22" max="22" width="23.90625" customWidth="1"/>
    <col min="23" max="23" width="14.453125" customWidth="1"/>
    <col min="24" max="24" width="17.54296875" customWidth="1"/>
    <col min="25" max="25" width="24.7265625" customWidth="1"/>
    <col min="26" max="26" width="28.453125" customWidth="1"/>
    <col min="27" max="27" width="19" customWidth="1"/>
    <col min="28" max="28" width="22.08984375" customWidth="1"/>
    <col min="30" max="30" width="12" customWidth="1"/>
  </cols>
  <sheetData>
    <row r="1" spans="1:30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1194</v>
      </c>
      <c r="I1" s="1" t="s">
        <v>1195</v>
      </c>
      <c r="J1" s="1" t="s">
        <v>1196</v>
      </c>
      <c r="K1" s="1" t="s">
        <v>1197</v>
      </c>
      <c r="L1" s="1" t="s">
        <v>1198</v>
      </c>
      <c r="M1" s="1" t="s">
        <v>1199</v>
      </c>
      <c r="N1" s="1" t="s">
        <v>1200</v>
      </c>
      <c r="O1" s="1" t="s">
        <v>1201</v>
      </c>
      <c r="P1" s="1" t="s">
        <v>76</v>
      </c>
      <c r="Q1" s="1" t="s">
        <v>77</v>
      </c>
      <c r="R1" s="1" t="s">
        <v>78</v>
      </c>
      <c r="S1" s="1" t="s">
        <v>79</v>
      </c>
      <c r="T1" s="1" t="s">
        <v>80</v>
      </c>
      <c r="U1" s="1" t="s">
        <v>1202</v>
      </c>
      <c r="V1" s="1" t="s">
        <v>1203</v>
      </c>
      <c r="W1" s="1" t="s">
        <v>1204</v>
      </c>
      <c r="X1" s="1" t="s">
        <v>1205</v>
      </c>
      <c r="Y1" s="1" t="s">
        <v>1206</v>
      </c>
      <c r="Z1" s="1" t="s">
        <v>1207</v>
      </c>
      <c r="AA1" s="1" t="s">
        <v>1208</v>
      </c>
      <c r="AB1" s="1" t="s">
        <v>1209</v>
      </c>
      <c r="AC1" s="1" t="s">
        <v>102</v>
      </c>
      <c r="AD1" s="1" t="s">
        <v>103</v>
      </c>
    </row>
    <row r="2" spans="1:30">
      <c r="A2" s="1">
        <v>1610612737</v>
      </c>
      <c r="B2" s="1" t="s">
        <v>104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104</v>
      </c>
    </row>
    <row r="3" spans="1:30">
      <c r="A3" s="1">
        <v>1610612738</v>
      </c>
      <c r="B3" s="1" t="s">
        <v>106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106</v>
      </c>
    </row>
    <row r="4" spans="1:30">
      <c r="A4" s="1">
        <v>1610612751</v>
      </c>
      <c r="B4" s="1" t="s">
        <v>107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107</v>
      </c>
    </row>
    <row r="5" spans="1:30">
      <c r="A5" s="1">
        <v>1610612766</v>
      </c>
      <c r="B5" s="1" t="s">
        <v>109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109</v>
      </c>
    </row>
    <row r="6" spans="1:30">
      <c r="A6" s="1">
        <v>1610612741</v>
      </c>
      <c r="B6" s="1" t="s">
        <v>112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112</v>
      </c>
    </row>
    <row r="7" spans="1:30">
      <c r="A7" s="1">
        <v>1610612739</v>
      </c>
      <c r="B7" s="1" t="s">
        <v>114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114</v>
      </c>
    </row>
    <row r="8" spans="1:30">
      <c r="A8" s="1">
        <v>1610612742</v>
      </c>
      <c r="B8" s="1" t="s">
        <v>118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118</v>
      </c>
    </row>
    <row r="9" spans="1:30">
      <c r="A9" s="1">
        <v>1610612743</v>
      </c>
      <c r="B9" s="1" t="s">
        <v>121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121</v>
      </c>
    </row>
    <row r="10" spans="1:30">
      <c r="A10" s="1">
        <v>1610612765</v>
      </c>
      <c r="B10" s="1" t="s">
        <v>124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124</v>
      </c>
    </row>
    <row r="11" spans="1:30">
      <c r="A11" s="1">
        <v>1610612744</v>
      </c>
      <c r="B11" s="1" t="s">
        <v>126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126</v>
      </c>
    </row>
    <row r="12" spans="1:30">
      <c r="A12" s="1">
        <v>1610612745</v>
      </c>
      <c r="B12" s="1" t="s">
        <v>128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128</v>
      </c>
    </row>
    <row r="13" spans="1:30">
      <c r="A13" s="1">
        <v>1610612754</v>
      </c>
      <c r="B13" s="1" t="s">
        <v>130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130</v>
      </c>
    </row>
    <row r="14" spans="1:30">
      <c r="A14" s="1">
        <v>1610612746</v>
      </c>
      <c r="B14" s="1" t="s">
        <v>132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132</v>
      </c>
    </row>
    <row r="15" spans="1:30">
      <c r="A15" s="1">
        <v>1610612747</v>
      </c>
      <c r="B15" s="1" t="s">
        <v>135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135</v>
      </c>
    </row>
    <row r="16" spans="1:30">
      <c r="A16" s="1">
        <v>1610612763</v>
      </c>
      <c r="B16" s="1" t="s">
        <v>138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138</v>
      </c>
    </row>
    <row r="17" spans="1:30">
      <c r="A17" s="1">
        <v>1610612748</v>
      </c>
      <c r="B17" s="1" t="s">
        <v>141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141</v>
      </c>
    </row>
    <row r="18" spans="1:30">
      <c r="A18" s="1">
        <v>1610612749</v>
      </c>
      <c r="B18" s="1" t="s">
        <v>142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142</v>
      </c>
    </row>
    <row r="19" spans="1:30">
      <c r="A19" s="1">
        <v>1610612750</v>
      </c>
      <c r="B19" s="1" t="s">
        <v>145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145</v>
      </c>
    </row>
    <row r="20" spans="1:30">
      <c r="A20" s="1">
        <v>1610612740</v>
      </c>
      <c r="B20" s="1" t="s">
        <v>146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146</v>
      </c>
    </row>
    <row r="21" spans="1:30">
      <c r="A21" s="1">
        <v>1610612752</v>
      </c>
      <c r="B21" s="1" t="s">
        <v>149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149</v>
      </c>
    </row>
    <row r="22" spans="1:30">
      <c r="A22" s="1">
        <v>1610612760</v>
      </c>
      <c r="B22" s="1" t="s">
        <v>152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152</v>
      </c>
    </row>
    <row r="23" spans="1:30">
      <c r="A23" s="1">
        <v>1610612753</v>
      </c>
      <c r="B23" s="1" t="s">
        <v>154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154</v>
      </c>
    </row>
    <row r="24" spans="1:30">
      <c r="A24" s="1">
        <v>1610612755</v>
      </c>
      <c r="B24" s="1" t="s">
        <v>157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157</v>
      </c>
    </row>
    <row r="25" spans="1:30">
      <c r="A25" s="1">
        <v>1610612756</v>
      </c>
      <c r="B25" s="1" t="s">
        <v>159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159</v>
      </c>
    </row>
    <row r="26" spans="1:30">
      <c r="A26" s="1">
        <v>1610612757</v>
      </c>
      <c r="B26" s="1" t="s">
        <v>161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161</v>
      </c>
    </row>
    <row r="27" spans="1:30">
      <c r="A27" s="1">
        <v>1610612758</v>
      </c>
      <c r="B27" s="1" t="s">
        <v>163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163</v>
      </c>
    </row>
    <row r="28" spans="1:30">
      <c r="A28" s="1">
        <v>1610612759</v>
      </c>
      <c r="B28" s="1" t="s">
        <v>165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165</v>
      </c>
    </row>
    <row r="29" spans="1:30">
      <c r="A29" s="1">
        <v>1610612761</v>
      </c>
      <c r="B29" s="1" t="s">
        <v>166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166</v>
      </c>
    </row>
    <row r="30" spans="1:30">
      <c r="A30" s="1">
        <v>1610612762</v>
      </c>
      <c r="B30" s="1" t="s">
        <v>168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168</v>
      </c>
    </row>
    <row r="31" spans="1:30">
      <c r="A31" s="1">
        <v>1610612764</v>
      </c>
      <c r="B31" s="1" t="s">
        <v>171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171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51BD-F0A4-4B2C-B9C5-B3C006FCF5BB}">
  <sheetPr codeName="Sheet15"/>
  <dimension ref="A1:BD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1.26953125" customWidth="1"/>
    <col min="9" max="9" width="10.7265625" customWidth="1"/>
    <col min="10" max="10" width="13.7265625" customWidth="1"/>
    <col min="11" max="11" width="12.26953125" customWidth="1"/>
    <col min="12" max="12" width="11.7265625" customWidth="1"/>
    <col min="13" max="13" width="14.7265625" customWidth="1"/>
    <col min="14" max="14" width="11" customWidth="1"/>
    <col min="15" max="15" width="10.453125" customWidth="1"/>
    <col min="16" max="16" width="13.453125" customWidth="1"/>
    <col min="17" max="17" width="11.90625" customWidth="1"/>
    <col min="18" max="18" width="11.81640625" customWidth="1"/>
    <col min="19" max="19" width="10.54296875" customWidth="1"/>
    <col min="20" max="20" width="10.453125" customWidth="1"/>
    <col min="21" max="21" width="10.90625" customWidth="1"/>
    <col min="22" max="22" width="10.08984375" customWidth="1"/>
    <col min="23" max="23" width="10.36328125" customWidth="1"/>
    <col min="24" max="24" width="11.54296875" customWidth="1"/>
    <col min="25" max="25" width="9.36328125" customWidth="1"/>
    <col min="26" max="26" width="10.6328125" customWidth="1"/>
    <col min="27" max="27" width="10.36328125" customWidth="1"/>
    <col min="28" max="28" width="13.6328125" customWidth="1"/>
    <col min="29" max="29" width="10.81640625" customWidth="1"/>
    <col min="30" max="30" width="10.26953125" customWidth="1"/>
    <col min="31" max="31" width="9.26953125" customWidth="1"/>
    <col min="32" max="32" width="14.453125" customWidth="1"/>
    <col min="33" max="33" width="12" customWidth="1"/>
    <col min="34" max="34" width="16.90625" customWidth="1"/>
    <col min="35" max="35" width="16.36328125" customWidth="1"/>
    <col min="36" max="36" width="19.36328125" customWidth="1"/>
    <col min="37" max="37" width="17.90625" customWidth="1"/>
    <col min="38" max="38" width="17.36328125" customWidth="1"/>
    <col min="39" max="39" width="20.36328125" customWidth="1"/>
    <col min="40" max="40" width="16.6328125" customWidth="1"/>
    <col min="41" max="41" width="16.08984375" customWidth="1"/>
    <col min="42" max="42" width="19.08984375" customWidth="1"/>
    <col min="43" max="43" width="17.54296875" customWidth="1"/>
    <col min="44" max="44" width="17.453125" customWidth="1"/>
    <col min="45" max="45" width="16.1796875" customWidth="1"/>
    <col min="46" max="46" width="16.08984375" customWidth="1"/>
    <col min="47" max="47" width="16.54296875" customWidth="1"/>
    <col min="48" max="48" width="15.7265625" customWidth="1"/>
    <col min="49" max="49" width="16" customWidth="1"/>
    <col min="50" max="50" width="17.1796875" customWidth="1"/>
    <col min="51" max="51" width="15" customWidth="1"/>
    <col min="52" max="52" width="16.26953125" customWidth="1"/>
    <col min="53" max="53" width="16" customWidth="1"/>
    <col min="54" max="54" width="19.26953125" customWidth="1"/>
    <col min="56" max="56" width="12" customWidth="1"/>
  </cols>
  <sheetData>
    <row r="1" spans="1:56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56</v>
      </c>
      <c r="J1" s="1" t="s">
        <v>57</v>
      </c>
      <c r="K1" s="1" t="s">
        <v>58</v>
      </c>
      <c r="L1" s="1" t="s">
        <v>59</v>
      </c>
      <c r="M1" s="1" t="s">
        <v>60</v>
      </c>
      <c r="N1" s="1" t="s">
        <v>61</v>
      </c>
      <c r="O1" s="1" t="s">
        <v>62</v>
      </c>
      <c r="P1" s="1" t="s">
        <v>63</v>
      </c>
      <c r="Q1" s="1" t="s">
        <v>64</v>
      </c>
      <c r="R1" s="1" t="s">
        <v>65</v>
      </c>
      <c r="S1" s="1" t="s">
        <v>66</v>
      </c>
      <c r="T1" s="1" t="s">
        <v>67</v>
      </c>
      <c r="U1" s="1" t="s">
        <v>68</v>
      </c>
      <c r="V1" s="1" t="s">
        <v>69</v>
      </c>
      <c r="W1" s="1" t="s">
        <v>70</v>
      </c>
      <c r="X1" s="1" t="s">
        <v>71</v>
      </c>
      <c r="Y1" s="1" t="s">
        <v>72</v>
      </c>
      <c r="Z1" s="1" t="s">
        <v>73</v>
      </c>
      <c r="AA1" s="1" t="s">
        <v>74</v>
      </c>
      <c r="AB1" s="1" t="s">
        <v>75</v>
      </c>
      <c r="AC1" s="1" t="s">
        <v>76</v>
      </c>
      <c r="AD1" s="1" t="s">
        <v>77</v>
      </c>
      <c r="AE1" s="1" t="s">
        <v>78</v>
      </c>
      <c r="AF1" s="1" t="s">
        <v>79</v>
      </c>
      <c r="AG1" s="1" t="s">
        <v>80</v>
      </c>
      <c r="AH1" s="1" t="s">
        <v>81</v>
      </c>
      <c r="AI1" s="1" t="s">
        <v>82</v>
      </c>
      <c r="AJ1" s="1" t="s">
        <v>83</v>
      </c>
      <c r="AK1" s="1" t="s">
        <v>84</v>
      </c>
      <c r="AL1" s="1" t="s">
        <v>85</v>
      </c>
      <c r="AM1" s="1" t="s">
        <v>86</v>
      </c>
      <c r="AN1" s="1" t="s">
        <v>87</v>
      </c>
      <c r="AO1" s="1" t="s">
        <v>88</v>
      </c>
      <c r="AP1" s="1" t="s">
        <v>89</v>
      </c>
      <c r="AQ1" s="1" t="s">
        <v>90</v>
      </c>
      <c r="AR1" s="1" t="s">
        <v>91</v>
      </c>
      <c r="AS1" s="1" t="s">
        <v>92</v>
      </c>
      <c r="AT1" s="1" t="s">
        <v>93</v>
      </c>
      <c r="AU1" s="1" t="s">
        <v>94</v>
      </c>
      <c r="AV1" s="1" t="s">
        <v>95</v>
      </c>
      <c r="AW1" s="1" t="s">
        <v>96</v>
      </c>
      <c r="AX1" s="1" t="s">
        <v>97</v>
      </c>
      <c r="AY1" s="1" t="s">
        <v>98</v>
      </c>
      <c r="AZ1" s="1" t="s">
        <v>99</v>
      </c>
      <c r="BA1" s="1" t="s">
        <v>100</v>
      </c>
      <c r="BB1" s="1" t="s">
        <v>101</v>
      </c>
      <c r="BC1" s="1" t="s">
        <v>102</v>
      </c>
      <c r="BD1" s="1" t="s">
        <v>103</v>
      </c>
    </row>
    <row r="2" spans="1:56">
      <c r="A2" s="1">
        <v>1610612737</v>
      </c>
      <c r="B2" s="1" t="s">
        <v>104</v>
      </c>
      <c r="C2" s="1">
        <v>10</v>
      </c>
      <c r="D2" s="1">
        <v>4</v>
      </c>
      <c r="E2" s="1">
        <v>6</v>
      </c>
      <c r="F2" s="1">
        <v>0.4</v>
      </c>
      <c r="G2" s="1">
        <v>48.5</v>
      </c>
      <c r="H2" s="1">
        <v>39.200000000000003</v>
      </c>
      <c r="I2" s="1">
        <v>88.6</v>
      </c>
      <c r="J2" s="1">
        <v>0.442</v>
      </c>
      <c r="K2" s="1">
        <v>11.5</v>
      </c>
      <c r="L2" s="1">
        <v>35.1</v>
      </c>
      <c r="M2" s="1">
        <v>0.32800000000000001</v>
      </c>
      <c r="N2" s="1">
        <v>20.2</v>
      </c>
      <c r="O2" s="1">
        <v>25.9</v>
      </c>
      <c r="P2" s="1">
        <v>0.78</v>
      </c>
      <c r="Q2" s="1">
        <v>11.8</v>
      </c>
      <c r="R2" s="1">
        <v>32.700000000000003</v>
      </c>
      <c r="S2" s="1" t="s">
        <v>1210</v>
      </c>
      <c r="T2" s="1">
        <v>22.6</v>
      </c>
      <c r="U2" s="1" t="s">
        <v>230</v>
      </c>
      <c r="V2" s="1">
        <v>9.3000000000000007</v>
      </c>
      <c r="W2" s="1">
        <v>7.6</v>
      </c>
      <c r="X2" s="1">
        <v>5.3</v>
      </c>
      <c r="Y2" s="1">
        <v>21.6</v>
      </c>
      <c r="Z2" s="1">
        <v>22.2</v>
      </c>
      <c r="AA2" s="1">
        <v>110.1</v>
      </c>
      <c r="AB2" s="1" t="s">
        <v>1211</v>
      </c>
      <c r="AC2" s="1">
        <v>17</v>
      </c>
      <c r="AD2" s="1">
        <v>16</v>
      </c>
      <c r="AE2" s="1">
        <v>15</v>
      </c>
      <c r="AF2" s="1">
        <v>16</v>
      </c>
      <c r="AG2" s="1">
        <v>4</v>
      </c>
      <c r="AH2" s="1">
        <v>13</v>
      </c>
      <c r="AI2" s="1">
        <v>15</v>
      </c>
      <c r="AJ2" s="1">
        <v>12</v>
      </c>
      <c r="AK2" s="1">
        <v>14</v>
      </c>
      <c r="AL2" s="1">
        <v>22</v>
      </c>
      <c r="AM2" s="1">
        <v>7</v>
      </c>
      <c r="AN2" s="1">
        <v>23</v>
      </c>
      <c r="AO2" s="1">
        <v>21</v>
      </c>
      <c r="AP2" s="1">
        <v>23</v>
      </c>
      <c r="AQ2" s="1">
        <v>28</v>
      </c>
      <c r="AR2" s="1">
        <v>2</v>
      </c>
      <c r="AS2" s="1">
        <v>11</v>
      </c>
      <c r="AT2" s="1">
        <v>8</v>
      </c>
      <c r="AU2" s="1">
        <v>10</v>
      </c>
      <c r="AV2" s="1">
        <v>28</v>
      </c>
      <c r="AW2" s="1">
        <v>30</v>
      </c>
      <c r="AX2" s="1">
        <v>16</v>
      </c>
      <c r="AY2" s="1">
        <v>9</v>
      </c>
      <c r="AZ2" s="1">
        <v>18</v>
      </c>
      <c r="BA2" s="1">
        <v>14</v>
      </c>
      <c r="BB2" s="1">
        <v>23</v>
      </c>
      <c r="BC2" s="1">
        <v>10</v>
      </c>
      <c r="BD2" s="1" t="s">
        <v>104</v>
      </c>
    </row>
    <row r="3" spans="1:56">
      <c r="A3" s="1">
        <v>1610612738</v>
      </c>
      <c r="B3" s="1" t="s">
        <v>106</v>
      </c>
      <c r="C3" s="1">
        <v>10</v>
      </c>
      <c r="D3" s="1">
        <v>9</v>
      </c>
      <c r="E3" s="1">
        <v>1</v>
      </c>
      <c r="F3" s="1">
        <v>0.9</v>
      </c>
      <c r="G3" s="1">
        <v>48</v>
      </c>
      <c r="H3" s="1">
        <v>37.9</v>
      </c>
      <c r="I3" s="1">
        <v>88.5</v>
      </c>
      <c r="J3" s="1">
        <v>0.42799999999999999</v>
      </c>
      <c r="K3" s="1">
        <v>11.5</v>
      </c>
      <c r="L3" s="1">
        <v>34</v>
      </c>
      <c r="M3" s="1">
        <v>0.33800000000000002</v>
      </c>
      <c r="N3" s="1">
        <v>19.600000000000001</v>
      </c>
      <c r="O3" s="1">
        <v>26</v>
      </c>
      <c r="P3" s="1">
        <v>0.754</v>
      </c>
      <c r="Q3" s="1">
        <v>11.7</v>
      </c>
      <c r="R3" s="1">
        <v>37.299999999999997</v>
      </c>
      <c r="S3" s="1" t="s">
        <v>167</v>
      </c>
      <c r="T3" s="1">
        <v>22.1</v>
      </c>
      <c r="U3" s="1" t="s">
        <v>140</v>
      </c>
      <c r="V3" s="1">
        <v>4.5</v>
      </c>
      <c r="W3" s="1">
        <v>5.7</v>
      </c>
      <c r="X3" s="1">
        <v>6.5</v>
      </c>
      <c r="Y3" s="1">
        <v>24</v>
      </c>
      <c r="Z3" s="1">
        <v>23.1</v>
      </c>
      <c r="AA3" s="1">
        <v>106.9</v>
      </c>
      <c r="AB3" s="1" t="s">
        <v>1184</v>
      </c>
      <c r="AC3" s="1">
        <v>17</v>
      </c>
      <c r="AD3" s="1">
        <v>1</v>
      </c>
      <c r="AE3" s="1">
        <v>1</v>
      </c>
      <c r="AF3" s="1">
        <v>1</v>
      </c>
      <c r="AG3" s="1">
        <v>17</v>
      </c>
      <c r="AH3" s="1">
        <v>8</v>
      </c>
      <c r="AI3" s="1">
        <v>14</v>
      </c>
      <c r="AJ3" s="1">
        <v>5</v>
      </c>
      <c r="AK3" s="1">
        <v>14</v>
      </c>
      <c r="AL3" s="1">
        <v>20</v>
      </c>
      <c r="AM3" s="1">
        <v>10</v>
      </c>
      <c r="AN3" s="1">
        <v>22</v>
      </c>
      <c r="AO3" s="1">
        <v>22</v>
      </c>
      <c r="AP3" s="1">
        <v>12</v>
      </c>
      <c r="AQ3" s="1">
        <v>26</v>
      </c>
      <c r="AR3" s="1">
        <v>26</v>
      </c>
      <c r="AS3" s="1">
        <v>28</v>
      </c>
      <c r="AT3" s="1">
        <v>6</v>
      </c>
      <c r="AU3" s="1">
        <v>16</v>
      </c>
      <c r="AV3" s="1">
        <v>1</v>
      </c>
      <c r="AW3" s="1">
        <v>20</v>
      </c>
      <c r="AX3" s="1">
        <v>3</v>
      </c>
      <c r="AY3" s="1">
        <v>25</v>
      </c>
      <c r="AZ3" s="1">
        <v>11</v>
      </c>
      <c r="BA3" s="1">
        <v>11</v>
      </c>
      <c r="BB3" s="1">
        <v>1</v>
      </c>
      <c r="BC3" s="1">
        <v>10</v>
      </c>
      <c r="BD3" s="1" t="s">
        <v>106</v>
      </c>
    </row>
    <row r="4" spans="1:56">
      <c r="A4" s="1">
        <v>1610612751</v>
      </c>
      <c r="B4" s="1" t="s">
        <v>107</v>
      </c>
      <c r="C4" s="1">
        <v>10</v>
      </c>
      <c r="D4" s="1">
        <v>4</v>
      </c>
      <c r="E4" s="1">
        <v>6</v>
      </c>
      <c r="F4" s="1">
        <v>0.4</v>
      </c>
      <c r="G4" s="1">
        <v>49</v>
      </c>
      <c r="H4" s="1">
        <v>44.4</v>
      </c>
      <c r="I4" s="1">
        <v>96.3</v>
      </c>
      <c r="J4" s="1">
        <v>0.46100000000000002</v>
      </c>
      <c r="K4" s="1">
        <v>12.4</v>
      </c>
      <c r="L4" s="1">
        <v>33.200000000000003</v>
      </c>
      <c r="M4" s="1">
        <v>0.373</v>
      </c>
      <c r="N4" s="1">
        <v>20.2</v>
      </c>
      <c r="O4" s="1">
        <v>25.7</v>
      </c>
      <c r="P4" s="1">
        <v>0.78600000000000003</v>
      </c>
      <c r="Q4" s="1">
        <v>9.3000000000000007</v>
      </c>
      <c r="R4" s="1">
        <v>34.4</v>
      </c>
      <c r="S4" s="1" t="s">
        <v>160</v>
      </c>
      <c r="T4" s="1">
        <v>22.2</v>
      </c>
      <c r="U4" s="1" t="s">
        <v>184</v>
      </c>
      <c r="V4" s="1">
        <v>9.6</v>
      </c>
      <c r="W4" s="1">
        <v>5.6</v>
      </c>
      <c r="X4" s="1">
        <v>5.4</v>
      </c>
      <c r="Y4" s="1">
        <v>23</v>
      </c>
      <c r="Z4" s="1">
        <v>23.8</v>
      </c>
      <c r="AA4" s="1">
        <v>121.4</v>
      </c>
      <c r="AB4" s="1" t="s">
        <v>1212</v>
      </c>
      <c r="AC4" s="1">
        <v>17</v>
      </c>
      <c r="AD4" s="1">
        <v>16</v>
      </c>
      <c r="AE4" s="1">
        <v>15</v>
      </c>
      <c r="AF4" s="1">
        <v>16</v>
      </c>
      <c r="AG4" s="1">
        <v>2</v>
      </c>
      <c r="AH4" s="1">
        <v>29</v>
      </c>
      <c r="AI4" s="1">
        <v>30</v>
      </c>
      <c r="AJ4" s="1">
        <v>18</v>
      </c>
      <c r="AK4" s="1">
        <v>22</v>
      </c>
      <c r="AL4" s="1">
        <v>16</v>
      </c>
      <c r="AM4" s="1">
        <v>26</v>
      </c>
      <c r="AN4" s="1">
        <v>23</v>
      </c>
      <c r="AO4" s="1">
        <v>20</v>
      </c>
      <c r="AP4" s="1">
        <v>25</v>
      </c>
      <c r="AQ4" s="1">
        <v>8</v>
      </c>
      <c r="AR4" s="1">
        <v>8</v>
      </c>
      <c r="AS4" s="1">
        <v>8</v>
      </c>
      <c r="AT4" s="1">
        <v>7</v>
      </c>
      <c r="AU4" s="1">
        <v>29</v>
      </c>
      <c r="AV4" s="1">
        <v>30</v>
      </c>
      <c r="AW4" s="1">
        <v>19</v>
      </c>
      <c r="AX4" s="1">
        <v>13</v>
      </c>
      <c r="AY4" s="1">
        <v>22</v>
      </c>
      <c r="AZ4" s="1">
        <v>6</v>
      </c>
      <c r="BA4" s="1">
        <v>29</v>
      </c>
      <c r="BB4" s="1">
        <v>20</v>
      </c>
      <c r="BC4" s="1">
        <v>10</v>
      </c>
      <c r="BD4" s="1" t="s">
        <v>107</v>
      </c>
    </row>
    <row r="5" spans="1:56">
      <c r="A5" s="1">
        <v>1610612766</v>
      </c>
      <c r="B5" s="1" t="s">
        <v>109</v>
      </c>
      <c r="C5" s="1">
        <v>11</v>
      </c>
      <c r="D5" s="1">
        <v>4</v>
      </c>
      <c r="E5" s="1">
        <v>7</v>
      </c>
      <c r="F5" s="1">
        <v>0.36399999999999999</v>
      </c>
      <c r="G5" s="1">
        <v>48.5</v>
      </c>
      <c r="H5" s="1">
        <v>44</v>
      </c>
      <c r="I5" s="1">
        <v>89.2</v>
      </c>
      <c r="J5" s="1">
        <v>0.49299999999999999</v>
      </c>
      <c r="K5" s="1">
        <v>11.8</v>
      </c>
      <c r="L5" s="1">
        <v>33.200000000000003</v>
      </c>
      <c r="M5" s="1">
        <v>0.35599999999999998</v>
      </c>
      <c r="N5" s="1">
        <v>13.9</v>
      </c>
      <c r="O5" s="1">
        <v>18</v>
      </c>
      <c r="P5" s="1">
        <v>0.77300000000000002</v>
      </c>
      <c r="Q5" s="1">
        <v>10.5</v>
      </c>
      <c r="R5" s="1">
        <v>35.5</v>
      </c>
      <c r="S5" s="1" t="s">
        <v>174</v>
      </c>
      <c r="T5" s="1">
        <v>27.2</v>
      </c>
      <c r="U5" s="1" t="s">
        <v>1213</v>
      </c>
      <c r="V5" s="1">
        <v>9.5</v>
      </c>
      <c r="W5" s="1">
        <v>5.8</v>
      </c>
      <c r="X5" s="1">
        <v>3.8</v>
      </c>
      <c r="Y5" s="1">
        <v>22.4</v>
      </c>
      <c r="Z5" s="1">
        <v>19.600000000000001</v>
      </c>
      <c r="AA5" s="1">
        <v>113.7</v>
      </c>
      <c r="AB5" s="1" t="s">
        <v>1214</v>
      </c>
      <c r="AC5" s="1">
        <v>2</v>
      </c>
      <c r="AD5" s="1">
        <v>16</v>
      </c>
      <c r="AE5" s="1">
        <v>20</v>
      </c>
      <c r="AF5" s="1">
        <v>20</v>
      </c>
      <c r="AG5" s="1">
        <v>12</v>
      </c>
      <c r="AH5" s="1">
        <v>28</v>
      </c>
      <c r="AI5" s="1">
        <v>16</v>
      </c>
      <c r="AJ5" s="1">
        <v>30</v>
      </c>
      <c r="AK5" s="1">
        <v>19</v>
      </c>
      <c r="AL5" s="1">
        <v>15</v>
      </c>
      <c r="AM5" s="1">
        <v>17</v>
      </c>
      <c r="AN5" s="1">
        <v>2</v>
      </c>
      <c r="AO5" s="1">
        <v>2</v>
      </c>
      <c r="AP5" s="1">
        <v>19</v>
      </c>
      <c r="AQ5" s="1">
        <v>17</v>
      </c>
      <c r="AR5" s="1">
        <v>15</v>
      </c>
      <c r="AS5" s="1">
        <v>14</v>
      </c>
      <c r="AT5" s="1">
        <v>30</v>
      </c>
      <c r="AU5" s="1">
        <v>4</v>
      </c>
      <c r="AV5" s="1">
        <v>29</v>
      </c>
      <c r="AW5" s="1">
        <v>22</v>
      </c>
      <c r="AX5" s="1">
        <v>27</v>
      </c>
      <c r="AY5" s="1">
        <v>18</v>
      </c>
      <c r="AZ5" s="1">
        <v>28</v>
      </c>
      <c r="BA5" s="1">
        <v>21</v>
      </c>
      <c r="BB5" s="1">
        <v>27</v>
      </c>
      <c r="BC5" s="1">
        <v>10</v>
      </c>
      <c r="BD5" s="1" t="s">
        <v>109</v>
      </c>
    </row>
    <row r="6" spans="1:56">
      <c r="A6" s="1">
        <v>1610612741</v>
      </c>
      <c r="B6" s="1" t="s">
        <v>112</v>
      </c>
      <c r="C6" s="1">
        <v>11</v>
      </c>
      <c r="D6" s="1">
        <v>4</v>
      </c>
      <c r="E6" s="1">
        <v>7</v>
      </c>
      <c r="F6" s="1">
        <v>0.36399999999999999</v>
      </c>
      <c r="G6" s="1">
        <v>48</v>
      </c>
      <c r="H6" s="1">
        <v>39.299999999999997</v>
      </c>
      <c r="I6" s="1">
        <v>85.5</v>
      </c>
      <c r="J6" s="1">
        <v>0.46</v>
      </c>
      <c r="K6" s="1">
        <v>11.5</v>
      </c>
      <c r="L6" s="1">
        <v>32.9</v>
      </c>
      <c r="M6" s="1">
        <v>0.35099999999999998</v>
      </c>
      <c r="N6" s="1">
        <v>19.2</v>
      </c>
      <c r="O6" s="1">
        <v>26</v>
      </c>
      <c r="P6" s="1">
        <v>0.73799999999999999</v>
      </c>
      <c r="Q6" s="1">
        <v>11.7</v>
      </c>
      <c r="R6" s="1">
        <v>37.799999999999997</v>
      </c>
      <c r="S6" s="1" t="s">
        <v>1215</v>
      </c>
      <c r="T6" s="1">
        <v>23.7</v>
      </c>
      <c r="U6" s="1" t="s">
        <v>1216</v>
      </c>
      <c r="V6" s="1">
        <v>7.6</v>
      </c>
      <c r="W6" s="1">
        <v>6.7</v>
      </c>
      <c r="X6" s="1">
        <v>4.2</v>
      </c>
      <c r="Y6" s="1">
        <v>22</v>
      </c>
      <c r="Z6" s="1">
        <v>22.4</v>
      </c>
      <c r="AA6" s="1">
        <v>109.3</v>
      </c>
      <c r="AB6" s="1" t="s">
        <v>1141</v>
      </c>
      <c r="AC6" s="1">
        <v>2</v>
      </c>
      <c r="AD6" s="1">
        <v>16</v>
      </c>
      <c r="AE6" s="1">
        <v>20</v>
      </c>
      <c r="AF6" s="1">
        <v>20</v>
      </c>
      <c r="AG6" s="1">
        <v>17</v>
      </c>
      <c r="AH6" s="1">
        <v>14</v>
      </c>
      <c r="AI6" s="1">
        <v>4</v>
      </c>
      <c r="AJ6" s="1">
        <v>15</v>
      </c>
      <c r="AK6" s="1">
        <v>16</v>
      </c>
      <c r="AL6" s="1">
        <v>14</v>
      </c>
      <c r="AM6" s="1">
        <v>13</v>
      </c>
      <c r="AN6" s="1">
        <v>18</v>
      </c>
      <c r="AO6" s="1">
        <v>22</v>
      </c>
      <c r="AP6" s="1">
        <v>5</v>
      </c>
      <c r="AQ6" s="1">
        <v>27</v>
      </c>
      <c r="AR6" s="1">
        <v>29</v>
      </c>
      <c r="AS6" s="1">
        <v>29</v>
      </c>
      <c r="AT6" s="1">
        <v>16</v>
      </c>
      <c r="AU6" s="1">
        <v>1</v>
      </c>
      <c r="AV6" s="1">
        <v>14</v>
      </c>
      <c r="AW6" s="1">
        <v>28</v>
      </c>
      <c r="AX6" s="1">
        <v>25</v>
      </c>
      <c r="AY6" s="1">
        <v>13</v>
      </c>
      <c r="AZ6" s="1">
        <v>17</v>
      </c>
      <c r="BA6" s="1">
        <v>13</v>
      </c>
      <c r="BB6" s="1">
        <v>21</v>
      </c>
      <c r="BC6" s="1">
        <v>10</v>
      </c>
      <c r="BD6" s="1" t="s">
        <v>112</v>
      </c>
    </row>
    <row r="7" spans="1:56">
      <c r="A7" s="1">
        <v>1610612739</v>
      </c>
      <c r="B7" s="1" t="s">
        <v>114</v>
      </c>
      <c r="C7" s="1">
        <v>10</v>
      </c>
      <c r="D7" s="1">
        <v>4</v>
      </c>
      <c r="E7" s="1">
        <v>6</v>
      </c>
      <c r="F7" s="1">
        <v>0.4</v>
      </c>
      <c r="G7" s="1">
        <v>48</v>
      </c>
      <c r="H7" s="1">
        <v>41.6</v>
      </c>
      <c r="I7" s="1">
        <v>90.1</v>
      </c>
      <c r="J7" s="1">
        <v>0.46200000000000002</v>
      </c>
      <c r="K7" s="1">
        <v>11.1</v>
      </c>
      <c r="L7" s="1">
        <v>33.299999999999997</v>
      </c>
      <c r="M7" s="1">
        <v>0.33300000000000002</v>
      </c>
      <c r="N7" s="1">
        <v>12.7</v>
      </c>
      <c r="O7" s="1">
        <v>17.2</v>
      </c>
      <c r="P7" s="1">
        <v>0.73799999999999999</v>
      </c>
      <c r="Q7" s="1">
        <v>10.3</v>
      </c>
      <c r="R7" s="1">
        <v>36</v>
      </c>
      <c r="S7" s="1" t="s">
        <v>115</v>
      </c>
      <c r="T7" s="1">
        <v>24.8</v>
      </c>
      <c r="U7" s="1" t="s">
        <v>1138</v>
      </c>
      <c r="V7" s="1">
        <v>7.6</v>
      </c>
      <c r="W7" s="1">
        <v>6.8</v>
      </c>
      <c r="X7" s="1">
        <v>3.7</v>
      </c>
      <c r="Y7" s="1">
        <v>22</v>
      </c>
      <c r="Z7" s="1">
        <v>18</v>
      </c>
      <c r="AA7" s="1">
        <v>107</v>
      </c>
      <c r="AB7" s="1" t="s">
        <v>117</v>
      </c>
      <c r="AC7" s="1">
        <v>17</v>
      </c>
      <c r="AD7" s="1">
        <v>16</v>
      </c>
      <c r="AE7" s="1">
        <v>15</v>
      </c>
      <c r="AF7" s="1">
        <v>16</v>
      </c>
      <c r="AG7" s="1">
        <v>17</v>
      </c>
      <c r="AH7" s="1">
        <v>19</v>
      </c>
      <c r="AI7" s="1">
        <v>18</v>
      </c>
      <c r="AJ7" s="1">
        <v>19</v>
      </c>
      <c r="AK7" s="1">
        <v>13</v>
      </c>
      <c r="AL7" s="1">
        <v>17</v>
      </c>
      <c r="AM7" s="1">
        <v>8</v>
      </c>
      <c r="AN7" s="1">
        <v>1</v>
      </c>
      <c r="AO7" s="1">
        <v>1</v>
      </c>
      <c r="AP7" s="1">
        <v>6</v>
      </c>
      <c r="AQ7" s="1">
        <v>16</v>
      </c>
      <c r="AR7" s="1">
        <v>18</v>
      </c>
      <c r="AS7" s="1">
        <v>18</v>
      </c>
      <c r="AT7" s="1">
        <v>22</v>
      </c>
      <c r="AU7" s="1">
        <v>26</v>
      </c>
      <c r="AV7" s="1">
        <v>13</v>
      </c>
      <c r="AW7" s="1">
        <v>29</v>
      </c>
      <c r="AX7" s="1">
        <v>29</v>
      </c>
      <c r="AY7" s="1">
        <v>13</v>
      </c>
      <c r="AZ7" s="1">
        <v>30</v>
      </c>
      <c r="BA7" s="1">
        <v>12</v>
      </c>
      <c r="BB7" s="1">
        <v>17</v>
      </c>
      <c r="BC7" s="1">
        <v>10</v>
      </c>
      <c r="BD7" s="1" t="s">
        <v>114</v>
      </c>
    </row>
    <row r="8" spans="1:56">
      <c r="A8" s="1">
        <v>1610612742</v>
      </c>
      <c r="B8" s="1" t="s">
        <v>118</v>
      </c>
      <c r="C8" s="1">
        <v>10</v>
      </c>
      <c r="D8" s="1">
        <v>6</v>
      </c>
      <c r="E8" s="1">
        <v>4</v>
      </c>
      <c r="F8" s="1">
        <v>0.6</v>
      </c>
      <c r="G8" s="1">
        <v>48.5</v>
      </c>
      <c r="H8" s="1">
        <v>42.3</v>
      </c>
      <c r="I8" s="1">
        <v>91.1</v>
      </c>
      <c r="J8" s="1">
        <v>0.46400000000000002</v>
      </c>
      <c r="K8" s="1">
        <v>12</v>
      </c>
      <c r="L8" s="1">
        <v>33.9</v>
      </c>
      <c r="M8" s="1">
        <v>0.35399999999999998</v>
      </c>
      <c r="N8" s="1">
        <v>15.7</v>
      </c>
      <c r="O8" s="1">
        <v>21.3</v>
      </c>
      <c r="P8" s="1">
        <v>0.73699999999999999</v>
      </c>
      <c r="Q8" s="1">
        <v>10.6</v>
      </c>
      <c r="R8" s="1">
        <v>35.4</v>
      </c>
      <c r="S8" s="1" t="s">
        <v>110</v>
      </c>
      <c r="T8" s="1">
        <v>24.1</v>
      </c>
      <c r="U8" s="1" t="s">
        <v>119</v>
      </c>
      <c r="V8" s="1">
        <v>8.1</v>
      </c>
      <c r="W8" s="1">
        <v>4.5999999999999996</v>
      </c>
      <c r="X8" s="1">
        <v>4.4000000000000004</v>
      </c>
      <c r="Y8" s="1">
        <v>24.2</v>
      </c>
      <c r="Z8" s="1">
        <v>20.3</v>
      </c>
      <c r="AA8" s="1">
        <v>112.3</v>
      </c>
      <c r="AB8" s="1" t="s">
        <v>120</v>
      </c>
      <c r="AC8" s="1">
        <v>17</v>
      </c>
      <c r="AD8" s="1">
        <v>13</v>
      </c>
      <c r="AE8" s="1">
        <v>9</v>
      </c>
      <c r="AF8" s="1">
        <v>13</v>
      </c>
      <c r="AG8" s="1">
        <v>4</v>
      </c>
      <c r="AH8" s="1">
        <v>20</v>
      </c>
      <c r="AI8" s="1">
        <v>21</v>
      </c>
      <c r="AJ8" s="1">
        <v>23</v>
      </c>
      <c r="AK8" s="1">
        <v>20</v>
      </c>
      <c r="AL8" s="1">
        <v>19</v>
      </c>
      <c r="AM8" s="1">
        <v>14</v>
      </c>
      <c r="AN8" s="1">
        <v>4</v>
      </c>
      <c r="AO8" s="1">
        <v>5</v>
      </c>
      <c r="AP8" s="1">
        <v>4</v>
      </c>
      <c r="AQ8" s="1">
        <v>19</v>
      </c>
      <c r="AR8" s="1">
        <v>13</v>
      </c>
      <c r="AS8" s="1">
        <v>15</v>
      </c>
      <c r="AT8" s="1">
        <v>17</v>
      </c>
      <c r="AU8" s="1">
        <v>28</v>
      </c>
      <c r="AV8" s="1">
        <v>20</v>
      </c>
      <c r="AW8" s="1">
        <v>10</v>
      </c>
      <c r="AX8" s="1">
        <v>24</v>
      </c>
      <c r="AY8" s="1">
        <v>26</v>
      </c>
      <c r="AZ8" s="1">
        <v>25</v>
      </c>
      <c r="BA8" s="1">
        <v>19</v>
      </c>
      <c r="BB8" s="1">
        <v>10</v>
      </c>
      <c r="BC8" s="1">
        <v>10</v>
      </c>
      <c r="BD8" s="1" t="s">
        <v>118</v>
      </c>
    </row>
    <row r="9" spans="1:56">
      <c r="A9" s="1">
        <v>1610612743</v>
      </c>
      <c r="B9" s="1" t="s">
        <v>121</v>
      </c>
      <c r="C9" s="1">
        <v>10</v>
      </c>
      <c r="D9" s="1">
        <v>7</v>
      </c>
      <c r="E9" s="1">
        <v>3</v>
      </c>
      <c r="F9" s="1">
        <v>0.7</v>
      </c>
      <c r="G9" s="1">
        <v>49</v>
      </c>
      <c r="H9" s="1">
        <v>37.299999999999997</v>
      </c>
      <c r="I9" s="1">
        <v>86.5</v>
      </c>
      <c r="J9" s="1">
        <v>0.43099999999999999</v>
      </c>
      <c r="K9" s="1">
        <v>10.4</v>
      </c>
      <c r="L9" s="1">
        <v>32.6</v>
      </c>
      <c r="M9" s="1">
        <v>0.31900000000000001</v>
      </c>
      <c r="N9" s="1">
        <v>17.8</v>
      </c>
      <c r="O9" s="1">
        <v>24.7</v>
      </c>
      <c r="P9" s="1">
        <v>0.72099999999999997</v>
      </c>
      <c r="Q9" s="1">
        <v>10.9</v>
      </c>
      <c r="R9" s="1">
        <v>35.799999999999997</v>
      </c>
      <c r="S9" s="1" t="s">
        <v>1217</v>
      </c>
      <c r="T9" s="1">
        <v>24.7</v>
      </c>
      <c r="U9" s="1" t="s">
        <v>123</v>
      </c>
      <c r="V9" s="1">
        <v>7.1</v>
      </c>
      <c r="W9" s="1">
        <v>5.7</v>
      </c>
      <c r="X9" s="1">
        <v>5.0999999999999996</v>
      </c>
      <c r="Y9" s="1">
        <v>22.5</v>
      </c>
      <c r="Z9" s="1">
        <v>22</v>
      </c>
      <c r="AA9" s="1">
        <v>102.8</v>
      </c>
      <c r="AB9" s="1" t="s">
        <v>1218</v>
      </c>
      <c r="AC9" s="1">
        <v>17</v>
      </c>
      <c r="AD9" s="1">
        <v>5</v>
      </c>
      <c r="AE9" s="1">
        <v>3</v>
      </c>
      <c r="AF9" s="1">
        <v>5</v>
      </c>
      <c r="AG9" s="1">
        <v>2</v>
      </c>
      <c r="AH9" s="1">
        <v>4</v>
      </c>
      <c r="AI9" s="1">
        <v>10</v>
      </c>
      <c r="AJ9" s="1">
        <v>7</v>
      </c>
      <c r="AK9" s="1">
        <v>6</v>
      </c>
      <c r="AL9" s="1">
        <v>11</v>
      </c>
      <c r="AM9" s="1">
        <v>6</v>
      </c>
      <c r="AN9" s="1">
        <v>13</v>
      </c>
      <c r="AO9" s="1">
        <v>16</v>
      </c>
      <c r="AP9" s="1">
        <v>3</v>
      </c>
      <c r="AQ9" s="1">
        <v>21</v>
      </c>
      <c r="AR9" s="1">
        <v>17</v>
      </c>
      <c r="AS9" s="1">
        <v>21</v>
      </c>
      <c r="AT9" s="1">
        <v>21</v>
      </c>
      <c r="AU9" s="1">
        <v>22</v>
      </c>
      <c r="AV9" s="1">
        <v>6</v>
      </c>
      <c r="AW9" s="1">
        <v>20</v>
      </c>
      <c r="AX9" s="1">
        <v>18</v>
      </c>
      <c r="AY9" s="1">
        <v>19</v>
      </c>
      <c r="AZ9" s="1">
        <v>20</v>
      </c>
      <c r="BA9" s="1">
        <v>4</v>
      </c>
      <c r="BB9" s="1">
        <v>13</v>
      </c>
      <c r="BC9" s="1">
        <v>10</v>
      </c>
      <c r="BD9" s="1" t="s">
        <v>121</v>
      </c>
    </row>
    <row r="10" spans="1:56">
      <c r="A10" s="1">
        <v>1610612765</v>
      </c>
      <c r="B10" s="1" t="s">
        <v>124</v>
      </c>
      <c r="C10" s="1">
        <v>12</v>
      </c>
      <c r="D10" s="1">
        <v>4</v>
      </c>
      <c r="E10" s="1">
        <v>8</v>
      </c>
      <c r="F10" s="1">
        <v>0.33300000000000002</v>
      </c>
      <c r="G10" s="1">
        <v>48</v>
      </c>
      <c r="H10" s="1">
        <v>42.5</v>
      </c>
      <c r="I10" s="1">
        <v>87.2</v>
      </c>
      <c r="J10" s="1">
        <v>0.48799999999999999</v>
      </c>
      <c r="K10" s="1">
        <v>10.8</v>
      </c>
      <c r="L10" s="1">
        <v>28.4</v>
      </c>
      <c r="M10" s="1">
        <v>0.378</v>
      </c>
      <c r="N10" s="1">
        <v>16.8</v>
      </c>
      <c r="O10" s="1">
        <v>21.4</v>
      </c>
      <c r="P10" s="1">
        <v>0.78200000000000003</v>
      </c>
      <c r="Q10" s="1">
        <v>9</v>
      </c>
      <c r="R10" s="1">
        <v>31.6</v>
      </c>
      <c r="S10" s="1" t="s">
        <v>1219</v>
      </c>
      <c r="T10" s="1">
        <v>26.9</v>
      </c>
      <c r="U10" s="1" t="s">
        <v>151</v>
      </c>
      <c r="V10" s="1">
        <v>8.4</v>
      </c>
      <c r="W10" s="1">
        <v>4</v>
      </c>
      <c r="X10" s="1">
        <v>5.4</v>
      </c>
      <c r="Y10" s="1">
        <v>21.9</v>
      </c>
      <c r="Z10" s="1">
        <v>21.2</v>
      </c>
      <c r="AA10" s="1">
        <v>112.5</v>
      </c>
      <c r="AB10" s="1" t="s">
        <v>1211</v>
      </c>
      <c r="AC10" s="1">
        <v>1</v>
      </c>
      <c r="AD10" s="1">
        <v>16</v>
      </c>
      <c r="AE10" s="1">
        <v>27</v>
      </c>
      <c r="AF10" s="1">
        <v>26</v>
      </c>
      <c r="AG10" s="1">
        <v>17</v>
      </c>
      <c r="AH10" s="1">
        <v>22</v>
      </c>
      <c r="AI10" s="1">
        <v>12</v>
      </c>
      <c r="AJ10" s="1">
        <v>27</v>
      </c>
      <c r="AK10" s="1">
        <v>9</v>
      </c>
      <c r="AL10" s="1">
        <v>2</v>
      </c>
      <c r="AM10" s="1">
        <v>28</v>
      </c>
      <c r="AN10" s="1">
        <v>8</v>
      </c>
      <c r="AO10" s="1">
        <v>6</v>
      </c>
      <c r="AP10" s="1">
        <v>24</v>
      </c>
      <c r="AQ10" s="1">
        <v>6</v>
      </c>
      <c r="AR10" s="1">
        <v>1</v>
      </c>
      <c r="AS10" s="1">
        <v>2</v>
      </c>
      <c r="AT10" s="1">
        <v>29</v>
      </c>
      <c r="AU10" s="1">
        <v>24</v>
      </c>
      <c r="AV10" s="1">
        <v>25</v>
      </c>
      <c r="AW10" s="1">
        <v>3</v>
      </c>
      <c r="AX10" s="1">
        <v>12</v>
      </c>
      <c r="AY10" s="1">
        <v>12</v>
      </c>
      <c r="AZ10" s="1">
        <v>23</v>
      </c>
      <c r="BA10" s="1">
        <v>20</v>
      </c>
      <c r="BB10" s="1">
        <v>22</v>
      </c>
      <c r="BC10" s="1">
        <v>10</v>
      </c>
      <c r="BD10" s="1" t="s">
        <v>124</v>
      </c>
    </row>
    <row r="11" spans="1:56">
      <c r="A11" s="1">
        <v>1610612744</v>
      </c>
      <c r="B11" s="1" t="s">
        <v>126</v>
      </c>
      <c r="C11" s="1">
        <v>11</v>
      </c>
      <c r="D11" s="1">
        <v>2</v>
      </c>
      <c r="E11" s="1">
        <v>9</v>
      </c>
      <c r="F11" s="1">
        <v>0.182</v>
      </c>
      <c r="G11" s="1">
        <v>48.5</v>
      </c>
      <c r="H11" s="1">
        <v>44.7</v>
      </c>
      <c r="I11" s="1">
        <v>91.6</v>
      </c>
      <c r="J11" s="1">
        <v>0.48799999999999999</v>
      </c>
      <c r="K11" s="1">
        <v>14</v>
      </c>
      <c r="L11" s="1">
        <v>36.1</v>
      </c>
      <c r="M11" s="1">
        <v>0.38800000000000001</v>
      </c>
      <c r="N11" s="1">
        <v>17.7</v>
      </c>
      <c r="O11" s="1">
        <v>23.5</v>
      </c>
      <c r="P11" s="1">
        <v>0.753</v>
      </c>
      <c r="Q11" s="1">
        <v>11.5</v>
      </c>
      <c r="R11" s="1">
        <v>35.200000000000003</v>
      </c>
      <c r="S11" s="1" t="s">
        <v>1220</v>
      </c>
      <c r="T11" s="1">
        <v>26.7</v>
      </c>
      <c r="U11" s="1" t="s">
        <v>140</v>
      </c>
      <c r="V11" s="1">
        <v>7.5</v>
      </c>
      <c r="W11" s="1">
        <v>5.2</v>
      </c>
      <c r="X11" s="1">
        <v>3.5</v>
      </c>
      <c r="Y11" s="1">
        <v>20.5</v>
      </c>
      <c r="Z11" s="1">
        <v>20.100000000000001</v>
      </c>
      <c r="AA11" s="1">
        <v>121.2</v>
      </c>
      <c r="AB11" s="1" t="s">
        <v>1221</v>
      </c>
      <c r="AC11" s="1">
        <v>2</v>
      </c>
      <c r="AD11" s="1">
        <v>27</v>
      </c>
      <c r="AE11" s="1">
        <v>29</v>
      </c>
      <c r="AF11" s="1">
        <v>29</v>
      </c>
      <c r="AG11" s="1">
        <v>12</v>
      </c>
      <c r="AH11" s="1">
        <v>30</v>
      </c>
      <c r="AI11" s="1">
        <v>22</v>
      </c>
      <c r="AJ11" s="1">
        <v>28</v>
      </c>
      <c r="AK11" s="1">
        <v>29</v>
      </c>
      <c r="AL11" s="1">
        <v>24</v>
      </c>
      <c r="AM11" s="1">
        <v>30</v>
      </c>
      <c r="AN11" s="1">
        <v>11</v>
      </c>
      <c r="AO11" s="1">
        <v>13</v>
      </c>
      <c r="AP11" s="1">
        <v>11</v>
      </c>
      <c r="AQ11" s="1">
        <v>24</v>
      </c>
      <c r="AR11" s="1">
        <v>12</v>
      </c>
      <c r="AS11" s="1">
        <v>20</v>
      </c>
      <c r="AT11" s="1">
        <v>28</v>
      </c>
      <c r="AU11" s="1">
        <v>18</v>
      </c>
      <c r="AV11" s="1">
        <v>11</v>
      </c>
      <c r="AW11" s="1">
        <v>14</v>
      </c>
      <c r="AX11" s="1">
        <v>30</v>
      </c>
      <c r="AY11" s="1">
        <v>5</v>
      </c>
      <c r="AZ11" s="1">
        <v>26</v>
      </c>
      <c r="BA11" s="1">
        <v>28</v>
      </c>
      <c r="BB11" s="1">
        <v>29</v>
      </c>
      <c r="BC11" s="1">
        <v>10</v>
      </c>
      <c r="BD11" s="1" t="s">
        <v>126</v>
      </c>
    </row>
    <row r="12" spans="1:56">
      <c r="A12" s="1">
        <v>1610612745</v>
      </c>
      <c r="B12" s="1" t="s">
        <v>128</v>
      </c>
      <c r="C12" s="1">
        <v>11</v>
      </c>
      <c r="D12" s="1">
        <v>8</v>
      </c>
      <c r="E12" s="1">
        <v>3</v>
      </c>
      <c r="F12" s="1">
        <v>0.72699999999999998</v>
      </c>
      <c r="G12" s="1">
        <v>48</v>
      </c>
      <c r="H12" s="1">
        <v>43</v>
      </c>
      <c r="I12" s="1">
        <v>94.5</v>
      </c>
      <c r="J12" s="1">
        <v>0.45500000000000002</v>
      </c>
      <c r="K12" s="1">
        <v>13.5</v>
      </c>
      <c r="L12" s="1">
        <v>37.1</v>
      </c>
      <c r="M12" s="1">
        <v>0.36299999999999999</v>
      </c>
      <c r="N12" s="1">
        <v>16.600000000000001</v>
      </c>
      <c r="O12" s="1">
        <v>22.3</v>
      </c>
      <c r="P12" s="1">
        <v>0.747</v>
      </c>
      <c r="Q12" s="1">
        <v>10.9</v>
      </c>
      <c r="R12" s="1">
        <v>37.700000000000003</v>
      </c>
      <c r="S12" s="1" t="s">
        <v>1222</v>
      </c>
      <c r="T12" s="1">
        <v>25.5</v>
      </c>
      <c r="U12" s="1" t="s">
        <v>127</v>
      </c>
      <c r="V12" s="1">
        <v>8.6999999999999993</v>
      </c>
      <c r="W12" s="1">
        <v>4.7</v>
      </c>
      <c r="X12" s="1">
        <v>5.7</v>
      </c>
      <c r="Y12" s="1">
        <v>22.9</v>
      </c>
      <c r="Z12" s="1">
        <v>21.9</v>
      </c>
      <c r="AA12" s="1">
        <v>116.1</v>
      </c>
      <c r="AB12" s="1" t="s">
        <v>1135</v>
      </c>
      <c r="AC12" s="1">
        <v>2</v>
      </c>
      <c r="AD12" s="1">
        <v>2</v>
      </c>
      <c r="AE12" s="1">
        <v>3</v>
      </c>
      <c r="AF12" s="1">
        <v>3</v>
      </c>
      <c r="AG12" s="1">
        <v>17</v>
      </c>
      <c r="AH12" s="1">
        <v>25</v>
      </c>
      <c r="AI12" s="1">
        <v>28</v>
      </c>
      <c r="AJ12" s="1">
        <v>14</v>
      </c>
      <c r="AK12" s="1">
        <v>27</v>
      </c>
      <c r="AL12" s="1">
        <v>26</v>
      </c>
      <c r="AM12" s="1">
        <v>20</v>
      </c>
      <c r="AN12" s="1">
        <v>7</v>
      </c>
      <c r="AO12" s="1">
        <v>9</v>
      </c>
      <c r="AP12" s="1">
        <v>8</v>
      </c>
      <c r="AQ12" s="1">
        <v>22</v>
      </c>
      <c r="AR12" s="1">
        <v>28</v>
      </c>
      <c r="AS12" s="1">
        <v>27</v>
      </c>
      <c r="AT12" s="1">
        <v>25</v>
      </c>
      <c r="AU12" s="1">
        <v>14</v>
      </c>
      <c r="AV12" s="1">
        <v>26</v>
      </c>
      <c r="AW12" s="1">
        <v>11</v>
      </c>
      <c r="AX12" s="1">
        <v>9</v>
      </c>
      <c r="AY12" s="1">
        <v>21</v>
      </c>
      <c r="AZ12" s="1">
        <v>21</v>
      </c>
      <c r="BA12" s="1">
        <v>24</v>
      </c>
      <c r="BB12" s="1">
        <v>12</v>
      </c>
      <c r="BC12" s="1">
        <v>10</v>
      </c>
      <c r="BD12" s="1" t="s">
        <v>128</v>
      </c>
    </row>
    <row r="13" spans="1:56">
      <c r="A13" s="1">
        <v>1610612754</v>
      </c>
      <c r="B13" s="1" t="s">
        <v>130</v>
      </c>
      <c r="C13" s="1">
        <v>11</v>
      </c>
      <c r="D13" s="1">
        <v>7</v>
      </c>
      <c r="E13" s="1">
        <v>4</v>
      </c>
      <c r="F13" s="1">
        <v>0.63600000000000001</v>
      </c>
      <c r="G13" s="1">
        <v>48.5</v>
      </c>
      <c r="H13" s="1">
        <v>37.700000000000003</v>
      </c>
      <c r="I13" s="1">
        <v>85.7</v>
      </c>
      <c r="J13" s="1">
        <v>0.44</v>
      </c>
      <c r="K13" s="1">
        <v>11.1</v>
      </c>
      <c r="L13" s="1">
        <v>30.5</v>
      </c>
      <c r="M13" s="1">
        <v>0.36299999999999999</v>
      </c>
      <c r="N13" s="1">
        <v>17.5</v>
      </c>
      <c r="O13" s="1">
        <v>23.4</v>
      </c>
      <c r="P13" s="1">
        <v>0.747</v>
      </c>
      <c r="Q13" s="1">
        <v>10</v>
      </c>
      <c r="R13" s="1">
        <v>33.6</v>
      </c>
      <c r="S13" s="1" t="s">
        <v>1223</v>
      </c>
      <c r="T13" s="1">
        <v>23.4</v>
      </c>
      <c r="U13" s="1" t="s">
        <v>210</v>
      </c>
      <c r="V13" s="1">
        <v>6.3</v>
      </c>
      <c r="W13" s="1">
        <v>4.5</v>
      </c>
      <c r="X13" s="1">
        <v>5.5</v>
      </c>
      <c r="Y13" s="1">
        <v>19.5</v>
      </c>
      <c r="Z13" s="1">
        <v>22.8</v>
      </c>
      <c r="AA13" s="1">
        <v>104</v>
      </c>
      <c r="AB13" s="1" t="s">
        <v>1224</v>
      </c>
      <c r="AC13" s="1">
        <v>2</v>
      </c>
      <c r="AD13" s="1">
        <v>5</v>
      </c>
      <c r="AE13" s="1">
        <v>9</v>
      </c>
      <c r="AF13" s="1">
        <v>9</v>
      </c>
      <c r="AG13" s="1">
        <v>12</v>
      </c>
      <c r="AH13" s="1">
        <v>7</v>
      </c>
      <c r="AI13" s="1">
        <v>5</v>
      </c>
      <c r="AJ13" s="1">
        <v>11</v>
      </c>
      <c r="AK13" s="1">
        <v>12</v>
      </c>
      <c r="AL13" s="1">
        <v>8</v>
      </c>
      <c r="AM13" s="1">
        <v>21</v>
      </c>
      <c r="AN13" s="1">
        <v>10</v>
      </c>
      <c r="AO13" s="1">
        <v>12</v>
      </c>
      <c r="AP13" s="1">
        <v>9</v>
      </c>
      <c r="AQ13" s="1">
        <v>15</v>
      </c>
      <c r="AR13" s="1">
        <v>7</v>
      </c>
      <c r="AS13" s="1">
        <v>6</v>
      </c>
      <c r="AT13" s="1">
        <v>13</v>
      </c>
      <c r="AU13" s="1">
        <v>8</v>
      </c>
      <c r="AV13" s="1">
        <v>3</v>
      </c>
      <c r="AW13" s="1">
        <v>9</v>
      </c>
      <c r="AX13" s="1">
        <v>11</v>
      </c>
      <c r="AY13" s="1">
        <v>1</v>
      </c>
      <c r="AZ13" s="1">
        <v>14</v>
      </c>
      <c r="BA13" s="1">
        <v>5</v>
      </c>
      <c r="BB13" s="1">
        <v>7</v>
      </c>
      <c r="BC13" s="1">
        <v>10</v>
      </c>
      <c r="BD13" s="1" t="s">
        <v>130</v>
      </c>
    </row>
    <row r="14" spans="1:56">
      <c r="A14" s="1">
        <v>1610612746</v>
      </c>
      <c r="B14" s="1" t="s">
        <v>132</v>
      </c>
      <c r="C14" s="1">
        <v>11</v>
      </c>
      <c r="D14" s="1">
        <v>7</v>
      </c>
      <c r="E14" s="1">
        <v>4</v>
      </c>
      <c r="F14" s="1">
        <v>0.63600000000000001</v>
      </c>
      <c r="G14" s="1">
        <v>48</v>
      </c>
      <c r="H14" s="1">
        <v>37.6</v>
      </c>
      <c r="I14" s="1">
        <v>87.6</v>
      </c>
      <c r="J14" s="1">
        <v>0.42899999999999999</v>
      </c>
      <c r="K14" s="1">
        <v>12.8</v>
      </c>
      <c r="L14" s="1">
        <v>35.700000000000003</v>
      </c>
      <c r="M14" s="1">
        <v>0.35899999999999999</v>
      </c>
      <c r="N14" s="1">
        <v>18.399999999999999</v>
      </c>
      <c r="O14" s="1">
        <v>24.1</v>
      </c>
      <c r="P14" s="1">
        <v>0.76200000000000001</v>
      </c>
      <c r="Q14" s="1">
        <v>9.5</v>
      </c>
      <c r="R14" s="1">
        <v>34.799999999999997</v>
      </c>
      <c r="S14" s="1" t="s">
        <v>1225</v>
      </c>
      <c r="T14" s="1">
        <v>20.9</v>
      </c>
      <c r="U14" s="1" t="s">
        <v>140</v>
      </c>
      <c r="V14" s="1">
        <v>7</v>
      </c>
      <c r="W14" s="1">
        <v>5.3</v>
      </c>
      <c r="X14" s="1">
        <v>5.3</v>
      </c>
      <c r="Y14" s="1">
        <v>24.9</v>
      </c>
      <c r="Z14" s="1">
        <v>23.5</v>
      </c>
      <c r="AA14" s="1">
        <v>106.5</v>
      </c>
      <c r="AB14" s="1" t="s">
        <v>1226</v>
      </c>
      <c r="AC14" s="1">
        <v>2</v>
      </c>
      <c r="AD14" s="1">
        <v>5</v>
      </c>
      <c r="AE14" s="1">
        <v>9</v>
      </c>
      <c r="AF14" s="1">
        <v>9</v>
      </c>
      <c r="AG14" s="1">
        <v>17</v>
      </c>
      <c r="AH14" s="1">
        <v>6</v>
      </c>
      <c r="AI14" s="1">
        <v>13</v>
      </c>
      <c r="AJ14" s="1">
        <v>6</v>
      </c>
      <c r="AK14" s="1">
        <v>25</v>
      </c>
      <c r="AL14" s="1">
        <v>23</v>
      </c>
      <c r="AM14" s="1">
        <v>18</v>
      </c>
      <c r="AN14" s="1">
        <v>16</v>
      </c>
      <c r="AO14" s="1">
        <v>15</v>
      </c>
      <c r="AP14" s="1">
        <v>17</v>
      </c>
      <c r="AQ14" s="1">
        <v>13</v>
      </c>
      <c r="AR14" s="1">
        <v>10</v>
      </c>
      <c r="AS14" s="1">
        <v>10</v>
      </c>
      <c r="AT14" s="1">
        <v>3</v>
      </c>
      <c r="AU14" s="1">
        <v>18</v>
      </c>
      <c r="AV14" s="1">
        <v>5</v>
      </c>
      <c r="AW14" s="1">
        <v>17</v>
      </c>
      <c r="AX14" s="1">
        <v>17</v>
      </c>
      <c r="AY14" s="1">
        <v>29</v>
      </c>
      <c r="AZ14" s="1">
        <v>8</v>
      </c>
      <c r="BA14" s="1">
        <v>9</v>
      </c>
      <c r="BB14" s="1">
        <v>9</v>
      </c>
      <c r="BC14" s="1">
        <v>10</v>
      </c>
      <c r="BD14" s="1" t="s">
        <v>132</v>
      </c>
    </row>
    <row r="15" spans="1:56">
      <c r="A15" s="1">
        <v>1610612747</v>
      </c>
      <c r="B15" s="1" t="s">
        <v>135</v>
      </c>
      <c r="C15" s="1">
        <v>10</v>
      </c>
      <c r="D15" s="1">
        <v>8</v>
      </c>
      <c r="E15" s="1">
        <v>2</v>
      </c>
      <c r="F15" s="1">
        <v>0.8</v>
      </c>
      <c r="G15" s="1">
        <v>48.5</v>
      </c>
      <c r="H15" s="1">
        <v>36.700000000000003</v>
      </c>
      <c r="I15" s="1">
        <v>86.7</v>
      </c>
      <c r="J15" s="1">
        <v>0.42299999999999999</v>
      </c>
      <c r="K15" s="1">
        <v>10.4</v>
      </c>
      <c r="L15" s="1">
        <v>32.700000000000003</v>
      </c>
      <c r="M15" s="1">
        <v>0.318</v>
      </c>
      <c r="N15" s="1">
        <v>17.8</v>
      </c>
      <c r="O15" s="1">
        <v>22.9</v>
      </c>
      <c r="P15" s="1">
        <v>0.77700000000000002</v>
      </c>
      <c r="Q15" s="1">
        <v>9.4</v>
      </c>
      <c r="R15" s="1">
        <v>35.1</v>
      </c>
      <c r="S15" s="1" t="s">
        <v>1210</v>
      </c>
      <c r="T15" s="1">
        <v>22.6</v>
      </c>
      <c r="U15" s="1" t="s">
        <v>1163</v>
      </c>
      <c r="V15" s="1">
        <v>7.8</v>
      </c>
      <c r="W15" s="1">
        <v>3.7</v>
      </c>
      <c r="X15" s="1">
        <v>7.5</v>
      </c>
      <c r="Y15" s="1">
        <v>20.8</v>
      </c>
      <c r="Z15" s="1">
        <v>21.2</v>
      </c>
      <c r="AA15" s="1">
        <v>101.6</v>
      </c>
      <c r="AB15" s="1" t="s">
        <v>137</v>
      </c>
      <c r="AC15" s="1">
        <v>17</v>
      </c>
      <c r="AD15" s="1">
        <v>2</v>
      </c>
      <c r="AE15" s="1">
        <v>2</v>
      </c>
      <c r="AF15" s="1">
        <v>2</v>
      </c>
      <c r="AG15" s="1">
        <v>4</v>
      </c>
      <c r="AH15" s="1">
        <v>2</v>
      </c>
      <c r="AI15" s="1">
        <v>11</v>
      </c>
      <c r="AJ15" s="1">
        <v>4</v>
      </c>
      <c r="AK15" s="1">
        <v>6</v>
      </c>
      <c r="AL15" s="1">
        <v>12</v>
      </c>
      <c r="AM15" s="1">
        <v>4</v>
      </c>
      <c r="AN15" s="1">
        <v>13</v>
      </c>
      <c r="AO15" s="1">
        <v>11</v>
      </c>
      <c r="AP15" s="1">
        <v>21</v>
      </c>
      <c r="AQ15" s="1">
        <v>11</v>
      </c>
      <c r="AR15" s="1">
        <v>11</v>
      </c>
      <c r="AS15" s="1">
        <v>11</v>
      </c>
      <c r="AT15" s="1">
        <v>8</v>
      </c>
      <c r="AU15" s="1">
        <v>7</v>
      </c>
      <c r="AV15" s="1">
        <v>15</v>
      </c>
      <c r="AW15" s="1">
        <v>1</v>
      </c>
      <c r="AX15" s="1">
        <v>1</v>
      </c>
      <c r="AY15" s="1">
        <v>6</v>
      </c>
      <c r="AZ15" s="1">
        <v>22</v>
      </c>
      <c r="BA15" s="1">
        <v>3</v>
      </c>
      <c r="BB15" s="1">
        <v>2</v>
      </c>
      <c r="BC15" s="1">
        <v>10</v>
      </c>
      <c r="BD15" s="1" t="s">
        <v>135</v>
      </c>
    </row>
    <row r="16" spans="1:56">
      <c r="A16" s="1">
        <v>1610612763</v>
      </c>
      <c r="B16" s="1" t="s">
        <v>138</v>
      </c>
      <c r="C16" s="1">
        <v>11</v>
      </c>
      <c r="D16" s="1">
        <v>4</v>
      </c>
      <c r="E16" s="1">
        <v>7</v>
      </c>
      <c r="F16" s="1">
        <v>0.36399999999999999</v>
      </c>
      <c r="G16" s="1">
        <v>48.5</v>
      </c>
      <c r="H16" s="1">
        <v>42.5</v>
      </c>
      <c r="I16" s="1">
        <v>91.8</v>
      </c>
      <c r="J16" s="1">
        <v>0.46200000000000002</v>
      </c>
      <c r="K16" s="1">
        <v>12.8</v>
      </c>
      <c r="L16" s="1">
        <v>36.1</v>
      </c>
      <c r="M16" s="1">
        <v>0.35499999999999998</v>
      </c>
      <c r="N16" s="1">
        <v>21.1</v>
      </c>
      <c r="O16" s="1">
        <v>26.6</v>
      </c>
      <c r="P16" s="1">
        <v>0.79200000000000004</v>
      </c>
      <c r="Q16" s="1">
        <v>9.6999999999999993</v>
      </c>
      <c r="R16" s="1">
        <v>36</v>
      </c>
      <c r="S16" s="1" t="s">
        <v>193</v>
      </c>
      <c r="T16" s="1">
        <v>24.6</v>
      </c>
      <c r="U16" s="1" t="s">
        <v>140</v>
      </c>
      <c r="V16" s="1">
        <v>8.3000000000000007</v>
      </c>
      <c r="W16" s="1">
        <v>6.1</v>
      </c>
      <c r="X16" s="1">
        <v>5.9</v>
      </c>
      <c r="Y16" s="1">
        <v>19.8</v>
      </c>
      <c r="Z16" s="1">
        <v>23.5</v>
      </c>
      <c r="AA16" s="1">
        <v>118.8</v>
      </c>
      <c r="AB16" s="1" t="s">
        <v>1227</v>
      </c>
      <c r="AC16" s="1">
        <v>2</v>
      </c>
      <c r="AD16" s="1">
        <v>16</v>
      </c>
      <c r="AE16" s="1">
        <v>20</v>
      </c>
      <c r="AF16" s="1">
        <v>20</v>
      </c>
      <c r="AG16" s="1">
        <v>12</v>
      </c>
      <c r="AH16" s="1">
        <v>21</v>
      </c>
      <c r="AI16" s="1">
        <v>24</v>
      </c>
      <c r="AJ16" s="1">
        <v>20</v>
      </c>
      <c r="AK16" s="1">
        <v>25</v>
      </c>
      <c r="AL16" s="1">
        <v>24</v>
      </c>
      <c r="AM16" s="1">
        <v>16</v>
      </c>
      <c r="AN16" s="1">
        <v>28</v>
      </c>
      <c r="AO16" s="1">
        <v>25</v>
      </c>
      <c r="AP16" s="1">
        <v>26</v>
      </c>
      <c r="AQ16" s="1">
        <v>14</v>
      </c>
      <c r="AR16" s="1">
        <v>18</v>
      </c>
      <c r="AS16" s="1">
        <v>13</v>
      </c>
      <c r="AT16" s="1">
        <v>20</v>
      </c>
      <c r="AU16" s="1">
        <v>18</v>
      </c>
      <c r="AV16" s="1">
        <v>21</v>
      </c>
      <c r="AW16" s="1">
        <v>26</v>
      </c>
      <c r="AX16" s="1">
        <v>8</v>
      </c>
      <c r="AY16" s="1">
        <v>3</v>
      </c>
      <c r="AZ16" s="1">
        <v>8</v>
      </c>
      <c r="BA16" s="1">
        <v>26</v>
      </c>
      <c r="BB16" s="1">
        <v>28</v>
      </c>
      <c r="BC16" s="1">
        <v>10</v>
      </c>
      <c r="BD16" s="1" t="s">
        <v>138</v>
      </c>
    </row>
    <row r="17" spans="1:56">
      <c r="A17" s="1">
        <v>1610612748</v>
      </c>
      <c r="B17" s="1" t="s">
        <v>141</v>
      </c>
      <c r="C17" s="1">
        <v>10</v>
      </c>
      <c r="D17" s="1">
        <v>7</v>
      </c>
      <c r="E17" s="1">
        <v>3</v>
      </c>
      <c r="F17" s="1">
        <v>0.7</v>
      </c>
      <c r="G17" s="1">
        <v>48.5</v>
      </c>
      <c r="H17" s="1">
        <v>37.6</v>
      </c>
      <c r="I17" s="1">
        <v>86.1</v>
      </c>
      <c r="J17" s="1">
        <v>0.437</v>
      </c>
      <c r="K17" s="1">
        <v>11</v>
      </c>
      <c r="L17" s="1">
        <v>38</v>
      </c>
      <c r="M17" s="1">
        <v>0.28899999999999998</v>
      </c>
      <c r="N17" s="1">
        <v>19.5</v>
      </c>
      <c r="O17" s="1">
        <v>27.1</v>
      </c>
      <c r="P17" s="1">
        <v>0.72</v>
      </c>
      <c r="Q17" s="1">
        <v>9.4</v>
      </c>
      <c r="R17" s="1">
        <v>32.700000000000003</v>
      </c>
      <c r="S17" s="1" t="s">
        <v>1228</v>
      </c>
      <c r="T17" s="1">
        <v>24.9</v>
      </c>
      <c r="U17" s="1" t="s">
        <v>1147</v>
      </c>
      <c r="V17" s="1">
        <v>8.3000000000000007</v>
      </c>
      <c r="W17" s="1">
        <v>4.9000000000000004</v>
      </c>
      <c r="X17" s="1">
        <v>5.5</v>
      </c>
      <c r="Y17" s="1">
        <v>24.2</v>
      </c>
      <c r="Z17" s="1">
        <v>23.8</v>
      </c>
      <c r="AA17" s="1">
        <v>105.7</v>
      </c>
      <c r="AB17" s="1" t="s">
        <v>1164</v>
      </c>
      <c r="AC17" s="1">
        <v>17</v>
      </c>
      <c r="AD17" s="1">
        <v>5</v>
      </c>
      <c r="AE17" s="1">
        <v>3</v>
      </c>
      <c r="AF17" s="1">
        <v>5</v>
      </c>
      <c r="AG17" s="1">
        <v>4</v>
      </c>
      <c r="AH17" s="1">
        <v>5</v>
      </c>
      <c r="AI17" s="1">
        <v>8</v>
      </c>
      <c r="AJ17" s="1">
        <v>9</v>
      </c>
      <c r="AK17" s="1">
        <v>11</v>
      </c>
      <c r="AL17" s="1">
        <v>28</v>
      </c>
      <c r="AM17" s="1">
        <v>1</v>
      </c>
      <c r="AN17" s="1">
        <v>21</v>
      </c>
      <c r="AO17" s="1">
        <v>26</v>
      </c>
      <c r="AP17" s="1">
        <v>2</v>
      </c>
      <c r="AQ17" s="1">
        <v>11</v>
      </c>
      <c r="AR17" s="1">
        <v>2</v>
      </c>
      <c r="AS17" s="1">
        <v>4</v>
      </c>
      <c r="AT17" s="1">
        <v>23</v>
      </c>
      <c r="AU17" s="1">
        <v>2</v>
      </c>
      <c r="AV17" s="1">
        <v>22</v>
      </c>
      <c r="AW17" s="1">
        <v>13</v>
      </c>
      <c r="AX17" s="1">
        <v>10</v>
      </c>
      <c r="AY17" s="1">
        <v>26</v>
      </c>
      <c r="AZ17" s="1">
        <v>6</v>
      </c>
      <c r="BA17" s="1">
        <v>6</v>
      </c>
      <c r="BB17" s="1">
        <v>5</v>
      </c>
      <c r="BC17" s="1">
        <v>10</v>
      </c>
      <c r="BD17" s="1" t="s">
        <v>141</v>
      </c>
    </row>
    <row r="18" spans="1:56">
      <c r="A18" s="1">
        <v>1610612749</v>
      </c>
      <c r="B18" s="1" t="s">
        <v>142</v>
      </c>
      <c r="C18" s="1">
        <v>10</v>
      </c>
      <c r="D18" s="1">
        <v>7</v>
      </c>
      <c r="E18" s="1">
        <v>3</v>
      </c>
      <c r="F18" s="1">
        <v>0.7</v>
      </c>
      <c r="G18" s="1">
        <v>48.5</v>
      </c>
      <c r="H18" s="1">
        <v>39</v>
      </c>
      <c r="I18" s="1">
        <v>93.4</v>
      </c>
      <c r="J18" s="1">
        <v>0.41799999999999998</v>
      </c>
      <c r="K18" s="1">
        <v>14.6</v>
      </c>
      <c r="L18" s="1">
        <v>39.700000000000003</v>
      </c>
      <c r="M18" s="1">
        <v>0.36799999999999999</v>
      </c>
      <c r="N18" s="1">
        <v>19.2</v>
      </c>
      <c r="O18" s="1">
        <v>25.4</v>
      </c>
      <c r="P18" s="1">
        <v>0.75600000000000001</v>
      </c>
      <c r="Q18" s="1">
        <v>9.3000000000000007</v>
      </c>
      <c r="R18" s="1">
        <v>38.5</v>
      </c>
      <c r="S18" s="1" t="s">
        <v>143</v>
      </c>
      <c r="T18" s="1">
        <v>23.4</v>
      </c>
      <c r="U18" s="1" t="s">
        <v>140</v>
      </c>
      <c r="V18" s="1">
        <v>6.2</v>
      </c>
      <c r="W18" s="1">
        <v>3.7</v>
      </c>
      <c r="X18" s="1">
        <v>6.1</v>
      </c>
      <c r="Y18" s="1">
        <v>23.3</v>
      </c>
      <c r="Z18" s="1">
        <v>23.1</v>
      </c>
      <c r="AA18" s="1">
        <v>111.8</v>
      </c>
      <c r="AB18" s="1" t="s">
        <v>144</v>
      </c>
      <c r="AC18" s="1">
        <v>17</v>
      </c>
      <c r="AD18" s="1">
        <v>5</v>
      </c>
      <c r="AE18" s="1">
        <v>3</v>
      </c>
      <c r="AF18" s="1">
        <v>5</v>
      </c>
      <c r="AG18" s="1">
        <v>4</v>
      </c>
      <c r="AH18" s="1">
        <v>12</v>
      </c>
      <c r="AI18" s="1">
        <v>27</v>
      </c>
      <c r="AJ18" s="1">
        <v>2</v>
      </c>
      <c r="AK18" s="1">
        <v>30</v>
      </c>
      <c r="AL18" s="1">
        <v>30</v>
      </c>
      <c r="AM18" s="1">
        <v>23</v>
      </c>
      <c r="AN18" s="1">
        <v>20</v>
      </c>
      <c r="AO18" s="1">
        <v>18</v>
      </c>
      <c r="AP18" s="1">
        <v>14</v>
      </c>
      <c r="AQ18" s="1">
        <v>8</v>
      </c>
      <c r="AR18" s="1">
        <v>30</v>
      </c>
      <c r="AS18" s="1">
        <v>24</v>
      </c>
      <c r="AT18" s="1">
        <v>14</v>
      </c>
      <c r="AU18" s="1">
        <v>16</v>
      </c>
      <c r="AV18" s="1">
        <v>2</v>
      </c>
      <c r="AW18" s="1">
        <v>1</v>
      </c>
      <c r="AX18" s="1">
        <v>5</v>
      </c>
      <c r="AY18" s="1">
        <v>23</v>
      </c>
      <c r="AZ18" s="1">
        <v>11</v>
      </c>
      <c r="BA18" s="1">
        <v>18</v>
      </c>
      <c r="BB18" s="1">
        <v>3</v>
      </c>
      <c r="BC18" s="1">
        <v>10</v>
      </c>
      <c r="BD18" s="1" t="s">
        <v>142</v>
      </c>
    </row>
    <row r="19" spans="1:56">
      <c r="A19" s="1">
        <v>1610612750</v>
      </c>
      <c r="B19" s="1" t="s">
        <v>145</v>
      </c>
      <c r="C19" s="1">
        <v>11</v>
      </c>
      <c r="D19" s="1">
        <v>7</v>
      </c>
      <c r="E19" s="1">
        <v>4</v>
      </c>
      <c r="F19" s="1">
        <v>0.63600000000000001</v>
      </c>
      <c r="G19" s="1">
        <v>49.4</v>
      </c>
      <c r="H19" s="1">
        <v>42.9</v>
      </c>
      <c r="I19" s="1">
        <v>92.6</v>
      </c>
      <c r="J19" s="1">
        <v>0.46300000000000002</v>
      </c>
      <c r="K19" s="1">
        <v>11.7</v>
      </c>
      <c r="L19" s="1">
        <v>30.3</v>
      </c>
      <c r="M19" s="1">
        <v>0.38700000000000001</v>
      </c>
      <c r="N19" s="1">
        <v>18.600000000000001</v>
      </c>
      <c r="O19" s="1">
        <v>25.2</v>
      </c>
      <c r="P19" s="1">
        <v>0.74</v>
      </c>
      <c r="Q19" s="1">
        <v>10.7</v>
      </c>
      <c r="R19" s="1">
        <v>36.6</v>
      </c>
      <c r="S19" s="1" t="s">
        <v>1229</v>
      </c>
      <c r="T19" s="1">
        <v>24.2</v>
      </c>
      <c r="U19" s="1" t="s">
        <v>1230</v>
      </c>
      <c r="V19" s="1">
        <v>8.1</v>
      </c>
      <c r="W19" s="1">
        <v>5.8</v>
      </c>
      <c r="X19" s="1">
        <v>6.2</v>
      </c>
      <c r="Y19" s="1">
        <v>24.5</v>
      </c>
      <c r="Z19" s="1">
        <v>22.1</v>
      </c>
      <c r="AA19" s="1">
        <v>116.2</v>
      </c>
      <c r="AB19" s="1" t="s">
        <v>1231</v>
      </c>
      <c r="AC19" s="1">
        <v>2</v>
      </c>
      <c r="AD19" s="1">
        <v>5</v>
      </c>
      <c r="AE19" s="1">
        <v>9</v>
      </c>
      <c r="AF19" s="1">
        <v>9</v>
      </c>
      <c r="AG19" s="1">
        <v>1</v>
      </c>
      <c r="AH19" s="1">
        <v>23</v>
      </c>
      <c r="AI19" s="1">
        <v>25</v>
      </c>
      <c r="AJ19" s="1">
        <v>21</v>
      </c>
      <c r="AK19" s="1">
        <v>18</v>
      </c>
      <c r="AL19" s="1">
        <v>7</v>
      </c>
      <c r="AM19" s="1">
        <v>29</v>
      </c>
      <c r="AN19" s="1">
        <v>17</v>
      </c>
      <c r="AO19" s="1">
        <v>17</v>
      </c>
      <c r="AP19" s="1">
        <v>7</v>
      </c>
      <c r="AQ19" s="1">
        <v>20</v>
      </c>
      <c r="AR19" s="1">
        <v>21</v>
      </c>
      <c r="AS19" s="1">
        <v>23</v>
      </c>
      <c r="AT19" s="1">
        <v>18</v>
      </c>
      <c r="AU19" s="1">
        <v>3</v>
      </c>
      <c r="AV19" s="1">
        <v>18</v>
      </c>
      <c r="AW19" s="1">
        <v>22</v>
      </c>
      <c r="AX19" s="1">
        <v>4</v>
      </c>
      <c r="AY19" s="1">
        <v>28</v>
      </c>
      <c r="AZ19" s="1">
        <v>19</v>
      </c>
      <c r="BA19" s="1">
        <v>25</v>
      </c>
      <c r="BB19" s="1">
        <v>14</v>
      </c>
      <c r="BC19" s="1">
        <v>10</v>
      </c>
      <c r="BD19" s="1" t="s">
        <v>145</v>
      </c>
    </row>
    <row r="20" spans="1:56">
      <c r="A20" s="1">
        <v>1610612740</v>
      </c>
      <c r="B20" s="1" t="s">
        <v>146</v>
      </c>
      <c r="C20" s="1">
        <v>10</v>
      </c>
      <c r="D20" s="1">
        <v>2</v>
      </c>
      <c r="E20" s="1">
        <v>8</v>
      </c>
      <c r="F20" s="1">
        <v>0.2</v>
      </c>
      <c r="G20" s="1">
        <v>48.5</v>
      </c>
      <c r="H20" s="1">
        <v>43.5</v>
      </c>
      <c r="I20" s="1">
        <v>93.1</v>
      </c>
      <c r="J20" s="1">
        <v>0.46700000000000003</v>
      </c>
      <c r="K20" s="1">
        <v>13.6</v>
      </c>
      <c r="L20" s="1">
        <v>38.299999999999997</v>
      </c>
      <c r="M20" s="1">
        <v>0.35499999999999998</v>
      </c>
      <c r="N20" s="1">
        <v>21.8</v>
      </c>
      <c r="O20" s="1">
        <v>27.5</v>
      </c>
      <c r="P20" s="1">
        <v>0.79300000000000004</v>
      </c>
      <c r="Q20" s="1">
        <v>11.1</v>
      </c>
      <c r="R20" s="1">
        <v>36.700000000000003</v>
      </c>
      <c r="S20" s="1" t="s">
        <v>143</v>
      </c>
      <c r="T20" s="1">
        <v>25.6</v>
      </c>
      <c r="U20" s="1" t="s">
        <v>147</v>
      </c>
      <c r="V20" s="1">
        <v>8.4</v>
      </c>
      <c r="W20" s="1">
        <v>4.4000000000000004</v>
      </c>
      <c r="X20" s="1">
        <v>5</v>
      </c>
      <c r="Y20" s="1">
        <v>22.2</v>
      </c>
      <c r="Z20" s="1">
        <v>25.2</v>
      </c>
      <c r="AA20" s="1">
        <v>122.4</v>
      </c>
      <c r="AB20" s="1" t="s">
        <v>148</v>
      </c>
      <c r="AC20" s="1">
        <v>17</v>
      </c>
      <c r="AD20" s="1">
        <v>27</v>
      </c>
      <c r="AE20" s="1">
        <v>27</v>
      </c>
      <c r="AF20" s="1">
        <v>28</v>
      </c>
      <c r="AG20" s="1">
        <v>4</v>
      </c>
      <c r="AH20" s="1">
        <v>26</v>
      </c>
      <c r="AI20" s="1">
        <v>26</v>
      </c>
      <c r="AJ20" s="1">
        <v>24</v>
      </c>
      <c r="AK20" s="1">
        <v>28</v>
      </c>
      <c r="AL20" s="1">
        <v>29</v>
      </c>
      <c r="AM20" s="1">
        <v>15</v>
      </c>
      <c r="AN20" s="1">
        <v>29</v>
      </c>
      <c r="AO20" s="1">
        <v>28</v>
      </c>
      <c r="AP20" s="1">
        <v>27</v>
      </c>
      <c r="AQ20" s="1">
        <v>23</v>
      </c>
      <c r="AR20" s="1">
        <v>22</v>
      </c>
      <c r="AS20" s="1">
        <v>24</v>
      </c>
      <c r="AT20" s="1">
        <v>26</v>
      </c>
      <c r="AU20" s="1">
        <v>6</v>
      </c>
      <c r="AV20" s="1">
        <v>24</v>
      </c>
      <c r="AW20" s="1">
        <v>6</v>
      </c>
      <c r="AX20" s="1">
        <v>19</v>
      </c>
      <c r="AY20" s="1">
        <v>16</v>
      </c>
      <c r="AZ20" s="1">
        <v>1</v>
      </c>
      <c r="BA20" s="1">
        <v>30</v>
      </c>
      <c r="BB20" s="1">
        <v>26</v>
      </c>
      <c r="BC20" s="1">
        <v>10</v>
      </c>
      <c r="BD20" s="1" t="s">
        <v>146</v>
      </c>
    </row>
    <row r="21" spans="1:56">
      <c r="A21" s="1">
        <v>1610612752</v>
      </c>
      <c r="B21" s="1" t="s">
        <v>149</v>
      </c>
      <c r="C21" s="1">
        <v>11</v>
      </c>
      <c r="D21" s="1">
        <v>2</v>
      </c>
      <c r="E21" s="1">
        <v>9</v>
      </c>
      <c r="F21" s="1">
        <v>0.182</v>
      </c>
      <c r="G21" s="1">
        <v>48</v>
      </c>
      <c r="H21" s="1">
        <v>38.700000000000003</v>
      </c>
      <c r="I21" s="1">
        <v>83.5</v>
      </c>
      <c r="J21" s="1">
        <v>0.46400000000000002</v>
      </c>
      <c r="K21" s="1">
        <v>12.4</v>
      </c>
      <c r="L21" s="1">
        <v>34</v>
      </c>
      <c r="M21" s="1">
        <v>0.36399999999999999</v>
      </c>
      <c r="N21" s="1">
        <v>20.5</v>
      </c>
      <c r="O21" s="1">
        <v>26.3</v>
      </c>
      <c r="P21" s="1">
        <v>0.77900000000000003</v>
      </c>
      <c r="Q21" s="1">
        <v>9.3000000000000007</v>
      </c>
      <c r="R21" s="1">
        <v>36.9</v>
      </c>
      <c r="S21" s="1" t="s">
        <v>150</v>
      </c>
      <c r="T21" s="1">
        <v>23</v>
      </c>
      <c r="U21" s="1" t="s">
        <v>1232</v>
      </c>
      <c r="V21" s="1">
        <v>7.9</v>
      </c>
      <c r="W21" s="1">
        <v>4.3</v>
      </c>
      <c r="X21" s="1">
        <v>4.5</v>
      </c>
      <c r="Y21" s="1">
        <v>21.5</v>
      </c>
      <c r="Z21" s="1">
        <v>23.9</v>
      </c>
      <c r="AA21" s="1">
        <v>110.3</v>
      </c>
      <c r="AB21" s="1" t="s">
        <v>1233</v>
      </c>
      <c r="AC21" s="1">
        <v>2</v>
      </c>
      <c r="AD21" s="1">
        <v>27</v>
      </c>
      <c r="AE21" s="1">
        <v>29</v>
      </c>
      <c r="AF21" s="1">
        <v>29</v>
      </c>
      <c r="AG21" s="1">
        <v>17</v>
      </c>
      <c r="AH21" s="1">
        <v>11</v>
      </c>
      <c r="AI21" s="1">
        <v>1</v>
      </c>
      <c r="AJ21" s="1">
        <v>22</v>
      </c>
      <c r="AK21" s="1">
        <v>21</v>
      </c>
      <c r="AL21" s="1">
        <v>20</v>
      </c>
      <c r="AM21" s="1">
        <v>22</v>
      </c>
      <c r="AN21" s="1">
        <v>26</v>
      </c>
      <c r="AO21" s="1">
        <v>24</v>
      </c>
      <c r="AP21" s="1">
        <v>22</v>
      </c>
      <c r="AQ21" s="1">
        <v>7</v>
      </c>
      <c r="AR21" s="1">
        <v>23</v>
      </c>
      <c r="AS21" s="1">
        <v>16</v>
      </c>
      <c r="AT21" s="1">
        <v>10</v>
      </c>
      <c r="AU21" s="1">
        <v>15</v>
      </c>
      <c r="AV21" s="1">
        <v>16</v>
      </c>
      <c r="AW21" s="1">
        <v>5</v>
      </c>
      <c r="AX21" s="1">
        <v>23</v>
      </c>
      <c r="AY21" s="1">
        <v>7</v>
      </c>
      <c r="AZ21" s="1">
        <v>5</v>
      </c>
      <c r="BA21" s="1">
        <v>15</v>
      </c>
      <c r="BB21" s="1">
        <v>30</v>
      </c>
      <c r="BC21" s="1">
        <v>10</v>
      </c>
      <c r="BD21" s="1" t="s">
        <v>149</v>
      </c>
    </row>
    <row r="22" spans="1:56">
      <c r="A22" s="1">
        <v>1610612760</v>
      </c>
      <c r="B22" s="1" t="s">
        <v>152</v>
      </c>
      <c r="C22" s="1">
        <v>11</v>
      </c>
      <c r="D22" s="1">
        <v>4</v>
      </c>
      <c r="E22" s="1">
        <v>7</v>
      </c>
      <c r="F22" s="1">
        <v>0.36399999999999999</v>
      </c>
      <c r="G22" s="1">
        <v>48</v>
      </c>
      <c r="H22" s="1">
        <v>40</v>
      </c>
      <c r="I22" s="1">
        <v>89.7</v>
      </c>
      <c r="J22" s="1">
        <v>0.44600000000000001</v>
      </c>
      <c r="K22" s="1">
        <v>8.8000000000000007</v>
      </c>
      <c r="L22" s="1">
        <v>29.5</v>
      </c>
      <c r="M22" s="1">
        <v>0.29899999999999999</v>
      </c>
      <c r="N22" s="1">
        <v>17.2</v>
      </c>
      <c r="O22" s="1">
        <v>20.9</v>
      </c>
      <c r="P22" s="1">
        <v>0.82199999999999995</v>
      </c>
      <c r="Q22" s="1">
        <v>10.5</v>
      </c>
      <c r="R22" s="1">
        <v>36</v>
      </c>
      <c r="S22" s="1" t="s">
        <v>1234</v>
      </c>
      <c r="T22" s="1">
        <v>21.4</v>
      </c>
      <c r="U22" s="1" t="s">
        <v>140</v>
      </c>
      <c r="V22" s="1">
        <v>7.5</v>
      </c>
      <c r="W22" s="1">
        <v>5.2</v>
      </c>
      <c r="X22" s="1">
        <v>4.5999999999999996</v>
      </c>
      <c r="Y22" s="1">
        <v>22.7</v>
      </c>
      <c r="Z22" s="1">
        <v>20.5</v>
      </c>
      <c r="AA22" s="1">
        <v>106</v>
      </c>
      <c r="AB22" s="1" t="s">
        <v>1186</v>
      </c>
      <c r="AC22" s="1">
        <v>2</v>
      </c>
      <c r="AD22" s="1">
        <v>16</v>
      </c>
      <c r="AE22" s="1">
        <v>20</v>
      </c>
      <c r="AF22" s="1">
        <v>20</v>
      </c>
      <c r="AG22" s="1">
        <v>17</v>
      </c>
      <c r="AH22" s="1">
        <v>17</v>
      </c>
      <c r="AI22" s="1">
        <v>17</v>
      </c>
      <c r="AJ22" s="1">
        <v>13</v>
      </c>
      <c r="AK22" s="1">
        <v>1</v>
      </c>
      <c r="AL22" s="1">
        <v>4</v>
      </c>
      <c r="AM22" s="1">
        <v>2</v>
      </c>
      <c r="AN22" s="1">
        <v>9</v>
      </c>
      <c r="AO22" s="1">
        <v>4</v>
      </c>
      <c r="AP22" s="1">
        <v>30</v>
      </c>
      <c r="AQ22" s="1">
        <v>18</v>
      </c>
      <c r="AR22" s="1">
        <v>18</v>
      </c>
      <c r="AS22" s="1">
        <v>19</v>
      </c>
      <c r="AT22" s="1">
        <v>4</v>
      </c>
      <c r="AU22" s="1">
        <v>18</v>
      </c>
      <c r="AV22" s="1">
        <v>11</v>
      </c>
      <c r="AW22" s="1">
        <v>14</v>
      </c>
      <c r="AX22" s="1">
        <v>22</v>
      </c>
      <c r="AY22" s="1">
        <v>20</v>
      </c>
      <c r="AZ22" s="1">
        <v>24</v>
      </c>
      <c r="BA22" s="1">
        <v>8</v>
      </c>
      <c r="BB22" s="1">
        <v>16</v>
      </c>
      <c r="BC22" s="1">
        <v>10</v>
      </c>
      <c r="BD22" s="1" t="s">
        <v>152</v>
      </c>
    </row>
    <row r="23" spans="1:56">
      <c r="A23" s="1">
        <v>1610612753</v>
      </c>
      <c r="B23" s="1" t="s">
        <v>154</v>
      </c>
      <c r="C23" s="1">
        <v>11</v>
      </c>
      <c r="D23" s="1">
        <v>4</v>
      </c>
      <c r="E23" s="1">
        <v>7</v>
      </c>
      <c r="F23" s="1">
        <v>0.36399999999999999</v>
      </c>
      <c r="G23" s="1">
        <v>48</v>
      </c>
      <c r="H23" s="1">
        <v>37</v>
      </c>
      <c r="I23" s="1">
        <v>85.7</v>
      </c>
      <c r="J23" s="1">
        <v>0.432</v>
      </c>
      <c r="K23" s="1">
        <v>10.199999999999999</v>
      </c>
      <c r="L23" s="1">
        <v>32</v>
      </c>
      <c r="M23" s="1">
        <v>0.318</v>
      </c>
      <c r="N23" s="1">
        <v>14.9</v>
      </c>
      <c r="O23" s="1">
        <v>19.8</v>
      </c>
      <c r="P23" s="1">
        <v>0.752</v>
      </c>
      <c r="Q23" s="1">
        <v>8.5</v>
      </c>
      <c r="R23" s="1">
        <v>37.6</v>
      </c>
      <c r="S23" s="1" t="s">
        <v>150</v>
      </c>
      <c r="T23" s="1">
        <v>21.7</v>
      </c>
      <c r="U23" s="1" t="s">
        <v>1235</v>
      </c>
      <c r="V23" s="1">
        <v>6.3</v>
      </c>
      <c r="W23" s="1">
        <v>4.5</v>
      </c>
      <c r="X23" s="1">
        <v>6.7</v>
      </c>
      <c r="Y23" s="1">
        <v>19.7</v>
      </c>
      <c r="Z23" s="1">
        <v>19.5</v>
      </c>
      <c r="AA23" s="1">
        <v>99.1</v>
      </c>
      <c r="AB23" s="1" t="s">
        <v>1236</v>
      </c>
      <c r="AC23" s="1">
        <v>2</v>
      </c>
      <c r="AD23" s="1">
        <v>16</v>
      </c>
      <c r="AE23" s="1">
        <v>20</v>
      </c>
      <c r="AF23" s="1">
        <v>20</v>
      </c>
      <c r="AG23" s="1">
        <v>17</v>
      </c>
      <c r="AH23" s="1">
        <v>3</v>
      </c>
      <c r="AI23" s="1">
        <v>5</v>
      </c>
      <c r="AJ23" s="1">
        <v>8</v>
      </c>
      <c r="AK23" s="1">
        <v>5</v>
      </c>
      <c r="AL23" s="1">
        <v>10</v>
      </c>
      <c r="AM23" s="1">
        <v>5</v>
      </c>
      <c r="AN23" s="1">
        <v>3</v>
      </c>
      <c r="AO23" s="1">
        <v>3</v>
      </c>
      <c r="AP23" s="1">
        <v>10</v>
      </c>
      <c r="AQ23" s="1">
        <v>5</v>
      </c>
      <c r="AR23" s="1">
        <v>27</v>
      </c>
      <c r="AS23" s="1">
        <v>16</v>
      </c>
      <c r="AT23" s="1">
        <v>5</v>
      </c>
      <c r="AU23" s="1">
        <v>27</v>
      </c>
      <c r="AV23" s="1">
        <v>3</v>
      </c>
      <c r="AW23" s="1">
        <v>7</v>
      </c>
      <c r="AX23" s="1">
        <v>2</v>
      </c>
      <c r="AY23" s="1">
        <v>2</v>
      </c>
      <c r="AZ23" s="1">
        <v>29</v>
      </c>
      <c r="BA23" s="1">
        <v>1</v>
      </c>
      <c r="BB23" s="1">
        <v>15</v>
      </c>
      <c r="BC23" s="1">
        <v>10</v>
      </c>
      <c r="BD23" s="1" t="s">
        <v>154</v>
      </c>
    </row>
    <row r="24" spans="1:56">
      <c r="A24" s="1">
        <v>1610612755</v>
      </c>
      <c r="B24" s="1" t="s">
        <v>157</v>
      </c>
      <c r="C24" s="1">
        <v>11</v>
      </c>
      <c r="D24" s="1">
        <v>7</v>
      </c>
      <c r="E24" s="1">
        <v>4</v>
      </c>
      <c r="F24" s="1">
        <v>0.63600000000000001</v>
      </c>
      <c r="G24" s="1">
        <v>48</v>
      </c>
      <c r="H24" s="1">
        <v>38.4</v>
      </c>
      <c r="I24" s="1">
        <v>83.5</v>
      </c>
      <c r="J24" s="1">
        <v>0.46</v>
      </c>
      <c r="K24" s="1">
        <v>10</v>
      </c>
      <c r="L24" s="1">
        <v>27.2</v>
      </c>
      <c r="M24" s="1">
        <v>0.36799999999999999</v>
      </c>
      <c r="N24" s="1">
        <v>19.2</v>
      </c>
      <c r="O24" s="1">
        <v>27.2</v>
      </c>
      <c r="P24" s="1">
        <v>0.70599999999999996</v>
      </c>
      <c r="Q24" s="1">
        <v>7.5</v>
      </c>
      <c r="R24" s="1">
        <v>33</v>
      </c>
      <c r="S24" s="1" t="s">
        <v>125</v>
      </c>
      <c r="T24" s="1">
        <v>20.8</v>
      </c>
      <c r="U24" s="1" t="s">
        <v>1140</v>
      </c>
      <c r="V24" s="1">
        <v>8.8000000000000007</v>
      </c>
      <c r="W24" s="1">
        <v>4.0999999999999996</v>
      </c>
      <c r="X24" s="1">
        <v>6</v>
      </c>
      <c r="Y24" s="1">
        <v>21.7</v>
      </c>
      <c r="Z24" s="1">
        <v>24.5</v>
      </c>
      <c r="AA24" s="1">
        <v>105.9</v>
      </c>
      <c r="AB24" s="1" t="s">
        <v>1179</v>
      </c>
      <c r="AC24" s="1">
        <v>2</v>
      </c>
      <c r="AD24" s="1">
        <v>5</v>
      </c>
      <c r="AE24" s="1">
        <v>9</v>
      </c>
      <c r="AF24" s="1">
        <v>9</v>
      </c>
      <c r="AG24" s="1">
        <v>17</v>
      </c>
      <c r="AH24" s="1">
        <v>9</v>
      </c>
      <c r="AI24" s="1">
        <v>1</v>
      </c>
      <c r="AJ24" s="1">
        <v>16</v>
      </c>
      <c r="AK24" s="1">
        <v>3</v>
      </c>
      <c r="AL24" s="1">
        <v>1</v>
      </c>
      <c r="AM24" s="1">
        <v>24</v>
      </c>
      <c r="AN24" s="1">
        <v>18</v>
      </c>
      <c r="AO24" s="1">
        <v>27</v>
      </c>
      <c r="AP24" s="1">
        <v>1</v>
      </c>
      <c r="AQ24" s="1">
        <v>1</v>
      </c>
      <c r="AR24" s="1">
        <v>4</v>
      </c>
      <c r="AS24" s="1">
        <v>1</v>
      </c>
      <c r="AT24" s="1">
        <v>2</v>
      </c>
      <c r="AU24" s="1">
        <v>9</v>
      </c>
      <c r="AV24" s="1">
        <v>27</v>
      </c>
      <c r="AW24" s="1">
        <v>4</v>
      </c>
      <c r="AX24" s="1">
        <v>6</v>
      </c>
      <c r="AY24" s="1">
        <v>10</v>
      </c>
      <c r="AZ24" s="1">
        <v>4</v>
      </c>
      <c r="BA24" s="1">
        <v>7</v>
      </c>
      <c r="BB24" s="1">
        <v>11</v>
      </c>
      <c r="BC24" s="1">
        <v>10</v>
      </c>
      <c r="BD24" s="1" t="s">
        <v>157</v>
      </c>
    </row>
    <row r="25" spans="1:56">
      <c r="A25" s="1">
        <v>1610612756</v>
      </c>
      <c r="B25" s="1" t="s">
        <v>159</v>
      </c>
      <c r="C25" s="1">
        <v>10</v>
      </c>
      <c r="D25" s="1">
        <v>6</v>
      </c>
      <c r="E25" s="1">
        <v>4</v>
      </c>
      <c r="F25" s="1">
        <v>0.6</v>
      </c>
      <c r="G25" s="1">
        <v>48.5</v>
      </c>
      <c r="H25" s="1">
        <v>39.700000000000003</v>
      </c>
      <c r="I25" s="1">
        <v>86.2</v>
      </c>
      <c r="J25" s="1">
        <v>0.46100000000000002</v>
      </c>
      <c r="K25" s="1">
        <v>10.1</v>
      </c>
      <c r="L25" s="1">
        <v>29.1</v>
      </c>
      <c r="M25" s="1">
        <v>0.34699999999999998</v>
      </c>
      <c r="N25" s="1">
        <v>20.9</v>
      </c>
      <c r="O25" s="1">
        <v>27.7</v>
      </c>
      <c r="P25" s="1">
        <v>0.755</v>
      </c>
      <c r="Q25" s="1">
        <v>8.3000000000000007</v>
      </c>
      <c r="R25" s="1">
        <v>35.4</v>
      </c>
      <c r="S25" s="1" t="s">
        <v>160</v>
      </c>
      <c r="T25" s="1">
        <v>23.6</v>
      </c>
      <c r="U25" s="1" t="s">
        <v>111</v>
      </c>
      <c r="V25" s="1">
        <v>7.3</v>
      </c>
      <c r="W25" s="1">
        <v>5.3</v>
      </c>
      <c r="X25" s="1">
        <v>4.0999999999999996</v>
      </c>
      <c r="Y25" s="1">
        <v>25.5</v>
      </c>
      <c r="Z25" s="1">
        <v>25.1</v>
      </c>
      <c r="AA25" s="1">
        <v>110.4</v>
      </c>
      <c r="AB25" s="1" t="s">
        <v>1237</v>
      </c>
      <c r="AC25" s="1">
        <v>17</v>
      </c>
      <c r="AD25" s="1">
        <v>13</v>
      </c>
      <c r="AE25" s="1">
        <v>9</v>
      </c>
      <c r="AF25" s="1">
        <v>13</v>
      </c>
      <c r="AG25" s="1">
        <v>4</v>
      </c>
      <c r="AH25" s="1">
        <v>15</v>
      </c>
      <c r="AI25" s="1">
        <v>9</v>
      </c>
      <c r="AJ25" s="1">
        <v>17</v>
      </c>
      <c r="AK25" s="1">
        <v>4</v>
      </c>
      <c r="AL25" s="1">
        <v>3</v>
      </c>
      <c r="AM25" s="1">
        <v>12</v>
      </c>
      <c r="AN25" s="1">
        <v>27</v>
      </c>
      <c r="AO25" s="1">
        <v>29</v>
      </c>
      <c r="AP25" s="1">
        <v>13</v>
      </c>
      <c r="AQ25" s="1">
        <v>4</v>
      </c>
      <c r="AR25" s="1">
        <v>13</v>
      </c>
      <c r="AS25" s="1">
        <v>8</v>
      </c>
      <c r="AT25" s="1">
        <v>15</v>
      </c>
      <c r="AU25" s="1">
        <v>5</v>
      </c>
      <c r="AV25" s="1">
        <v>10</v>
      </c>
      <c r="AW25" s="1">
        <v>18</v>
      </c>
      <c r="AX25" s="1">
        <v>26</v>
      </c>
      <c r="AY25" s="1">
        <v>30</v>
      </c>
      <c r="AZ25" s="1">
        <v>2</v>
      </c>
      <c r="BA25" s="1">
        <v>17</v>
      </c>
      <c r="BB25" s="1">
        <v>4</v>
      </c>
      <c r="BC25" s="1">
        <v>10</v>
      </c>
      <c r="BD25" s="1" t="s">
        <v>159</v>
      </c>
    </row>
    <row r="26" spans="1:56">
      <c r="A26" s="1">
        <v>1610612757</v>
      </c>
      <c r="B26" s="1" t="s">
        <v>161</v>
      </c>
      <c r="C26" s="1">
        <v>11</v>
      </c>
      <c r="D26" s="1">
        <v>4</v>
      </c>
      <c r="E26" s="1">
        <v>7</v>
      </c>
      <c r="F26" s="1">
        <v>0.36399999999999999</v>
      </c>
      <c r="G26" s="1">
        <v>48.5</v>
      </c>
      <c r="H26" s="1">
        <v>39.799999999999997</v>
      </c>
      <c r="I26" s="1">
        <v>91.1</v>
      </c>
      <c r="J26" s="1">
        <v>0.437</v>
      </c>
      <c r="K26" s="1">
        <v>10.9</v>
      </c>
      <c r="L26" s="1">
        <v>32.700000000000003</v>
      </c>
      <c r="M26" s="1">
        <v>0.33300000000000002</v>
      </c>
      <c r="N26" s="1">
        <v>23.4</v>
      </c>
      <c r="O26" s="1">
        <v>29.4</v>
      </c>
      <c r="P26" s="1">
        <v>0.79600000000000004</v>
      </c>
      <c r="Q26" s="1">
        <v>11.6</v>
      </c>
      <c r="R26" s="1">
        <v>36.9</v>
      </c>
      <c r="S26" s="1" t="s">
        <v>1238</v>
      </c>
      <c r="T26" s="1">
        <v>23.2</v>
      </c>
      <c r="U26" s="1" t="s">
        <v>1183</v>
      </c>
      <c r="V26" s="1">
        <v>8</v>
      </c>
      <c r="W26" s="1">
        <v>6</v>
      </c>
      <c r="X26" s="1">
        <v>6</v>
      </c>
      <c r="Y26" s="1">
        <v>21.9</v>
      </c>
      <c r="Z26" s="1">
        <v>24.6</v>
      </c>
      <c r="AA26" s="1">
        <v>113.9</v>
      </c>
      <c r="AB26" s="1" t="s">
        <v>156</v>
      </c>
      <c r="AC26" s="1">
        <v>2</v>
      </c>
      <c r="AD26" s="1">
        <v>16</v>
      </c>
      <c r="AE26" s="1">
        <v>20</v>
      </c>
      <c r="AF26" s="1">
        <v>20</v>
      </c>
      <c r="AG26" s="1">
        <v>12</v>
      </c>
      <c r="AH26" s="1">
        <v>16</v>
      </c>
      <c r="AI26" s="1">
        <v>20</v>
      </c>
      <c r="AJ26" s="1">
        <v>10</v>
      </c>
      <c r="AK26" s="1">
        <v>10</v>
      </c>
      <c r="AL26" s="1">
        <v>13</v>
      </c>
      <c r="AM26" s="1">
        <v>8</v>
      </c>
      <c r="AN26" s="1">
        <v>30</v>
      </c>
      <c r="AO26" s="1">
        <v>30</v>
      </c>
      <c r="AP26" s="1">
        <v>28</v>
      </c>
      <c r="AQ26" s="1">
        <v>25</v>
      </c>
      <c r="AR26" s="1">
        <v>23</v>
      </c>
      <c r="AS26" s="1">
        <v>26</v>
      </c>
      <c r="AT26" s="1">
        <v>11</v>
      </c>
      <c r="AU26" s="1">
        <v>25</v>
      </c>
      <c r="AV26" s="1">
        <v>17</v>
      </c>
      <c r="AW26" s="1">
        <v>24</v>
      </c>
      <c r="AX26" s="1">
        <v>6</v>
      </c>
      <c r="AY26" s="1">
        <v>11</v>
      </c>
      <c r="AZ26" s="1">
        <v>3</v>
      </c>
      <c r="BA26" s="1">
        <v>22</v>
      </c>
      <c r="BB26" s="1">
        <v>18</v>
      </c>
      <c r="BC26" s="1">
        <v>10</v>
      </c>
      <c r="BD26" s="1" t="s">
        <v>161</v>
      </c>
    </row>
    <row r="27" spans="1:56">
      <c r="A27" s="1">
        <v>1610612758</v>
      </c>
      <c r="B27" s="1" t="s">
        <v>163</v>
      </c>
      <c r="C27" s="1">
        <v>10</v>
      </c>
      <c r="D27" s="1">
        <v>4</v>
      </c>
      <c r="E27" s="1">
        <v>6</v>
      </c>
      <c r="F27" s="1">
        <v>0.4</v>
      </c>
      <c r="G27" s="1">
        <v>48</v>
      </c>
      <c r="H27" s="1">
        <v>41.1</v>
      </c>
      <c r="I27" s="1">
        <v>83.8</v>
      </c>
      <c r="J27" s="1">
        <v>0.49</v>
      </c>
      <c r="K27" s="1">
        <v>11.6</v>
      </c>
      <c r="L27" s="1">
        <v>31.4</v>
      </c>
      <c r="M27" s="1">
        <v>0.36899999999999999</v>
      </c>
      <c r="N27" s="1">
        <v>16.5</v>
      </c>
      <c r="O27" s="1">
        <v>21.8</v>
      </c>
      <c r="P27" s="1">
        <v>0.75700000000000001</v>
      </c>
      <c r="Q27" s="1">
        <v>8</v>
      </c>
      <c r="R27" s="1">
        <v>33.200000000000003</v>
      </c>
      <c r="S27" s="1" t="s">
        <v>1239</v>
      </c>
      <c r="T27" s="1">
        <v>23.3</v>
      </c>
      <c r="U27" s="1" t="s">
        <v>230</v>
      </c>
      <c r="V27" s="1">
        <v>8.3000000000000007</v>
      </c>
      <c r="W27" s="1">
        <v>4.8</v>
      </c>
      <c r="X27" s="1">
        <v>5</v>
      </c>
      <c r="Y27" s="1">
        <v>20.399999999999999</v>
      </c>
      <c r="Z27" s="1">
        <v>22.8</v>
      </c>
      <c r="AA27" s="1">
        <v>110.3</v>
      </c>
      <c r="AB27" s="1" t="s">
        <v>1240</v>
      </c>
      <c r="AC27" s="1">
        <v>17</v>
      </c>
      <c r="AD27" s="1">
        <v>16</v>
      </c>
      <c r="AE27" s="1">
        <v>15</v>
      </c>
      <c r="AF27" s="1">
        <v>16</v>
      </c>
      <c r="AG27" s="1">
        <v>17</v>
      </c>
      <c r="AH27" s="1">
        <v>18</v>
      </c>
      <c r="AI27" s="1">
        <v>3</v>
      </c>
      <c r="AJ27" s="1">
        <v>29</v>
      </c>
      <c r="AK27" s="1">
        <v>17</v>
      </c>
      <c r="AL27" s="1">
        <v>9</v>
      </c>
      <c r="AM27" s="1">
        <v>25</v>
      </c>
      <c r="AN27" s="1">
        <v>5</v>
      </c>
      <c r="AO27" s="1">
        <v>7</v>
      </c>
      <c r="AP27" s="1">
        <v>15</v>
      </c>
      <c r="AQ27" s="1">
        <v>2</v>
      </c>
      <c r="AR27" s="1">
        <v>5</v>
      </c>
      <c r="AS27" s="1">
        <v>3</v>
      </c>
      <c r="AT27" s="1">
        <v>12</v>
      </c>
      <c r="AU27" s="1">
        <v>10</v>
      </c>
      <c r="AV27" s="1">
        <v>22</v>
      </c>
      <c r="AW27" s="1">
        <v>12</v>
      </c>
      <c r="AX27" s="1">
        <v>19</v>
      </c>
      <c r="AY27" s="1">
        <v>4</v>
      </c>
      <c r="AZ27" s="1">
        <v>15</v>
      </c>
      <c r="BA27" s="1">
        <v>16</v>
      </c>
      <c r="BB27" s="1">
        <v>25</v>
      </c>
      <c r="BC27" s="1">
        <v>10</v>
      </c>
      <c r="BD27" s="1" t="s">
        <v>163</v>
      </c>
    </row>
    <row r="28" spans="1:56">
      <c r="A28" s="1">
        <v>1610612759</v>
      </c>
      <c r="B28" s="1" t="s">
        <v>165</v>
      </c>
      <c r="C28" s="1">
        <v>11</v>
      </c>
      <c r="D28" s="1">
        <v>5</v>
      </c>
      <c r="E28" s="1">
        <v>6</v>
      </c>
      <c r="F28" s="1">
        <v>0.45500000000000002</v>
      </c>
      <c r="G28" s="1">
        <v>48</v>
      </c>
      <c r="H28" s="1">
        <v>42.9</v>
      </c>
      <c r="I28" s="1">
        <v>90.3</v>
      </c>
      <c r="J28" s="1">
        <v>0.47499999999999998</v>
      </c>
      <c r="K28" s="1">
        <v>10.6</v>
      </c>
      <c r="L28" s="1">
        <v>29.5</v>
      </c>
      <c r="M28" s="1">
        <v>0.36</v>
      </c>
      <c r="N28" s="1">
        <v>17.7</v>
      </c>
      <c r="O28" s="1">
        <v>22.8</v>
      </c>
      <c r="P28" s="1">
        <v>0.77700000000000002</v>
      </c>
      <c r="Q28" s="1">
        <v>8.1</v>
      </c>
      <c r="R28" s="1">
        <v>35.5</v>
      </c>
      <c r="S28" s="1" t="s">
        <v>1223</v>
      </c>
      <c r="T28" s="1">
        <v>24.4</v>
      </c>
      <c r="U28" s="1" t="s">
        <v>1241</v>
      </c>
      <c r="V28" s="1">
        <v>8.1</v>
      </c>
      <c r="W28" s="1">
        <v>5.2</v>
      </c>
      <c r="X28" s="1">
        <v>5.4</v>
      </c>
      <c r="Y28" s="1">
        <v>22.3</v>
      </c>
      <c r="Z28" s="1">
        <v>20.100000000000001</v>
      </c>
      <c r="AA28" s="1">
        <v>114.2</v>
      </c>
      <c r="AB28" s="1" t="s">
        <v>1242</v>
      </c>
      <c r="AC28" s="1">
        <v>2</v>
      </c>
      <c r="AD28" s="1">
        <v>15</v>
      </c>
      <c r="AE28" s="1">
        <v>15</v>
      </c>
      <c r="AF28" s="1">
        <v>15</v>
      </c>
      <c r="AG28" s="1">
        <v>17</v>
      </c>
      <c r="AH28" s="1">
        <v>23</v>
      </c>
      <c r="AI28" s="1">
        <v>19</v>
      </c>
      <c r="AJ28" s="1">
        <v>26</v>
      </c>
      <c r="AK28" s="1">
        <v>8</v>
      </c>
      <c r="AL28" s="1">
        <v>5</v>
      </c>
      <c r="AM28" s="1">
        <v>19</v>
      </c>
      <c r="AN28" s="1">
        <v>11</v>
      </c>
      <c r="AO28" s="1">
        <v>10</v>
      </c>
      <c r="AP28" s="1">
        <v>20</v>
      </c>
      <c r="AQ28" s="1">
        <v>3</v>
      </c>
      <c r="AR28" s="1">
        <v>16</v>
      </c>
      <c r="AS28" s="1">
        <v>6</v>
      </c>
      <c r="AT28" s="1">
        <v>19</v>
      </c>
      <c r="AU28" s="1">
        <v>30</v>
      </c>
      <c r="AV28" s="1">
        <v>18</v>
      </c>
      <c r="AW28" s="1">
        <v>14</v>
      </c>
      <c r="AX28" s="1">
        <v>15</v>
      </c>
      <c r="AY28" s="1">
        <v>17</v>
      </c>
      <c r="AZ28" s="1">
        <v>26</v>
      </c>
      <c r="BA28" s="1">
        <v>23</v>
      </c>
      <c r="BB28" s="1">
        <v>19</v>
      </c>
      <c r="BC28" s="1">
        <v>10</v>
      </c>
      <c r="BD28" s="1" t="s">
        <v>165</v>
      </c>
    </row>
    <row r="29" spans="1:56">
      <c r="A29" s="1">
        <v>1610612761</v>
      </c>
      <c r="B29" s="1" t="s">
        <v>166</v>
      </c>
      <c r="C29" s="1">
        <v>10</v>
      </c>
      <c r="D29" s="1">
        <v>7</v>
      </c>
      <c r="E29" s="1">
        <v>3</v>
      </c>
      <c r="F29" s="1">
        <v>0.7</v>
      </c>
      <c r="G29" s="1">
        <v>48.5</v>
      </c>
      <c r="H29" s="1">
        <v>38.700000000000003</v>
      </c>
      <c r="I29" s="1">
        <v>95.4</v>
      </c>
      <c r="J29" s="1">
        <v>0.40600000000000003</v>
      </c>
      <c r="K29" s="1">
        <v>12.8</v>
      </c>
      <c r="L29" s="1">
        <v>37.6</v>
      </c>
      <c r="M29" s="1">
        <v>0.34</v>
      </c>
      <c r="N29" s="1">
        <v>16.5</v>
      </c>
      <c r="O29" s="1">
        <v>21.8</v>
      </c>
      <c r="P29" s="1">
        <v>0.75700000000000001</v>
      </c>
      <c r="Q29" s="1">
        <v>13.7</v>
      </c>
      <c r="R29" s="1">
        <v>37</v>
      </c>
      <c r="S29" s="1" t="s">
        <v>113</v>
      </c>
      <c r="T29" s="1">
        <v>25.1</v>
      </c>
      <c r="U29" s="1" t="s">
        <v>230</v>
      </c>
      <c r="V29" s="1">
        <v>7.1</v>
      </c>
      <c r="W29" s="1">
        <v>6</v>
      </c>
      <c r="X29" s="1">
        <v>5.4</v>
      </c>
      <c r="Y29" s="1">
        <v>22</v>
      </c>
      <c r="Z29" s="1">
        <v>22.6</v>
      </c>
      <c r="AA29" s="1">
        <v>106.7</v>
      </c>
      <c r="AB29" s="1" t="s">
        <v>1243</v>
      </c>
      <c r="AC29" s="1">
        <v>17</v>
      </c>
      <c r="AD29" s="1">
        <v>5</v>
      </c>
      <c r="AE29" s="1">
        <v>3</v>
      </c>
      <c r="AF29" s="1">
        <v>5</v>
      </c>
      <c r="AG29" s="1">
        <v>4</v>
      </c>
      <c r="AH29" s="1">
        <v>10</v>
      </c>
      <c r="AI29" s="1">
        <v>29</v>
      </c>
      <c r="AJ29" s="1">
        <v>1</v>
      </c>
      <c r="AK29" s="1">
        <v>24</v>
      </c>
      <c r="AL29" s="1">
        <v>27</v>
      </c>
      <c r="AM29" s="1">
        <v>11</v>
      </c>
      <c r="AN29" s="1">
        <v>5</v>
      </c>
      <c r="AO29" s="1">
        <v>7</v>
      </c>
      <c r="AP29" s="1">
        <v>15</v>
      </c>
      <c r="AQ29" s="1">
        <v>30</v>
      </c>
      <c r="AR29" s="1">
        <v>25</v>
      </c>
      <c r="AS29" s="1">
        <v>30</v>
      </c>
      <c r="AT29" s="1">
        <v>24</v>
      </c>
      <c r="AU29" s="1">
        <v>10</v>
      </c>
      <c r="AV29" s="1">
        <v>6</v>
      </c>
      <c r="AW29" s="1">
        <v>24</v>
      </c>
      <c r="AX29" s="1">
        <v>13</v>
      </c>
      <c r="AY29" s="1">
        <v>13</v>
      </c>
      <c r="AZ29" s="1">
        <v>16</v>
      </c>
      <c r="BA29" s="1">
        <v>10</v>
      </c>
      <c r="BB29" s="1">
        <v>6</v>
      </c>
      <c r="BC29" s="1">
        <v>10</v>
      </c>
      <c r="BD29" s="1" t="s">
        <v>166</v>
      </c>
    </row>
    <row r="30" spans="1:56">
      <c r="A30" s="1">
        <v>1610612762</v>
      </c>
      <c r="B30" s="1" t="s">
        <v>168</v>
      </c>
      <c r="C30" s="1">
        <v>11</v>
      </c>
      <c r="D30" s="1">
        <v>8</v>
      </c>
      <c r="E30" s="1">
        <v>3</v>
      </c>
      <c r="F30" s="1">
        <v>0.72699999999999998</v>
      </c>
      <c r="G30" s="1">
        <v>48</v>
      </c>
      <c r="H30" s="1">
        <v>36.200000000000003</v>
      </c>
      <c r="I30" s="1">
        <v>86.1</v>
      </c>
      <c r="J30" s="1">
        <v>0.42</v>
      </c>
      <c r="K30" s="1">
        <v>9.1</v>
      </c>
      <c r="L30" s="1">
        <v>29.6</v>
      </c>
      <c r="M30" s="1">
        <v>0.307</v>
      </c>
      <c r="N30" s="1">
        <v>18.100000000000001</v>
      </c>
      <c r="O30" s="1">
        <v>23.7</v>
      </c>
      <c r="P30" s="1">
        <v>0.76200000000000001</v>
      </c>
      <c r="Q30" s="1">
        <v>9.4</v>
      </c>
      <c r="R30" s="1">
        <v>33.5</v>
      </c>
      <c r="S30" s="1" t="s">
        <v>1244</v>
      </c>
      <c r="T30" s="1">
        <v>18</v>
      </c>
      <c r="U30" s="1" t="s">
        <v>151</v>
      </c>
      <c r="V30" s="1">
        <v>7.2</v>
      </c>
      <c r="W30" s="1">
        <v>4.5</v>
      </c>
      <c r="X30" s="1">
        <v>3.7</v>
      </c>
      <c r="Y30" s="1">
        <v>23.9</v>
      </c>
      <c r="Z30" s="1">
        <v>22.9</v>
      </c>
      <c r="AA30" s="1">
        <v>99.5</v>
      </c>
      <c r="AB30" s="1" t="s">
        <v>1245</v>
      </c>
      <c r="AC30" s="1">
        <v>2</v>
      </c>
      <c r="AD30" s="1">
        <v>2</v>
      </c>
      <c r="AE30" s="1">
        <v>3</v>
      </c>
      <c r="AF30" s="1">
        <v>3</v>
      </c>
      <c r="AG30" s="1">
        <v>17</v>
      </c>
      <c r="AH30" s="1">
        <v>1</v>
      </c>
      <c r="AI30" s="1">
        <v>7</v>
      </c>
      <c r="AJ30" s="1">
        <v>3</v>
      </c>
      <c r="AK30" s="1">
        <v>2</v>
      </c>
      <c r="AL30" s="1">
        <v>6</v>
      </c>
      <c r="AM30" s="1">
        <v>3</v>
      </c>
      <c r="AN30" s="1">
        <v>15</v>
      </c>
      <c r="AO30" s="1">
        <v>14</v>
      </c>
      <c r="AP30" s="1">
        <v>18</v>
      </c>
      <c r="AQ30" s="1">
        <v>10</v>
      </c>
      <c r="AR30" s="1">
        <v>6</v>
      </c>
      <c r="AS30" s="1">
        <v>5</v>
      </c>
      <c r="AT30" s="1">
        <v>1</v>
      </c>
      <c r="AU30" s="1">
        <v>23</v>
      </c>
      <c r="AV30" s="1">
        <v>8</v>
      </c>
      <c r="AW30" s="1">
        <v>7</v>
      </c>
      <c r="AX30" s="1">
        <v>28</v>
      </c>
      <c r="AY30" s="1">
        <v>24</v>
      </c>
      <c r="AZ30" s="1">
        <v>13</v>
      </c>
      <c r="BA30" s="1">
        <v>2</v>
      </c>
      <c r="BB30" s="1">
        <v>8</v>
      </c>
      <c r="BC30" s="1">
        <v>10</v>
      </c>
      <c r="BD30" s="1" t="s">
        <v>168</v>
      </c>
    </row>
    <row r="31" spans="1:56">
      <c r="A31" s="1">
        <v>1610612764</v>
      </c>
      <c r="B31" s="1" t="s">
        <v>171</v>
      </c>
      <c r="C31" s="1">
        <v>9</v>
      </c>
      <c r="D31" s="1">
        <v>2</v>
      </c>
      <c r="E31" s="1">
        <v>7</v>
      </c>
      <c r="F31" s="1">
        <v>0.222</v>
      </c>
      <c r="G31" s="1">
        <v>48</v>
      </c>
      <c r="H31" s="1">
        <v>43.6</v>
      </c>
      <c r="I31" s="1">
        <v>91.8</v>
      </c>
      <c r="J31" s="1">
        <v>0.47499999999999998</v>
      </c>
      <c r="K31" s="1">
        <v>12.6</v>
      </c>
      <c r="L31" s="1">
        <v>33.299999999999997</v>
      </c>
      <c r="M31" s="1">
        <v>0.377</v>
      </c>
      <c r="N31" s="1">
        <v>20.3</v>
      </c>
      <c r="O31" s="1">
        <v>25.4</v>
      </c>
      <c r="P31" s="1">
        <v>0.79900000000000004</v>
      </c>
      <c r="Q31" s="1">
        <v>12</v>
      </c>
      <c r="R31" s="1">
        <v>34.799999999999997</v>
      </c>
      <c r="S31" s="1" t="s">
        <v>139</v>
      </c>
      <c r="T31" s="1">
        <v>25.9</v>
      </c>
      <c r="U31" s="1" t="s">
        <v>230</v>
      </c>
      <c r="V31" s="1">
        <v>7.2</v>
      </c>
      <c r="W31" s="1">
        <v>6.1</v>
      </c>
      <c r="X31" s="1">
        <v>4.9000000000000004</v>
      </c>
      <c r="Y31" s="1">
        <v>21.6</v>
      </c>
      <c r="Z31" s="1">
        <v>23.2</v>
      </c>
      <c r="AA31" s="1">
        <v>120</v>
      </c>
      <c r="AB31" s="1" t="s">
        <v>105</v>
      </c>
      <c r="AC31" s="1">
        <v>30</v>
      </c>
      <c r="AD31" s="1">
        <v>27</v>
      </c>
      <c r="AE31" s="1">
        <v>20</v>
      </c>
      <c r="AF31" s="1">
        <v>27</v>
      </c>
      <c r="AG31" s="1">
        <v>17</v>
      </c>
      <c r="AH31" s="1">
        <v>27</v>
      </c>
      <c r="AI31" s="1">
        <v>23</v>
      </c>
      <c r="AJ31" s="1">
        <v>25</v>
      </c>
      <c r="AK31" s="1">
        <v>23</v>
      </c>
      <c r="AL31" s="1">
        <v>18</v>
      </c>
      <c r="AM31" s="1">
        <v>27</v>
      </c>
      <c r="AN31" s="1">
        <v>25</v>
      </c>
      <c r="AO31" s="1">
        <v>19</v>
      </c>
      <c r="AP31" s="1">
        <v>29</v>
      </c>
      <c r="AQ31" s="1">
        <v>29</v>
      </c>
      <c r="AR31" s="1">
        <v>9</v>
      </c>
      <c r="AS31" s="1">
        <v>22</v>
      </c>
      <c r="AT31" s="1">
        <v>27</v>
      </c>
      <c r="AU31" s="1">
        <v>13</v>
      </c>
      <c r="AV31" s="1">
        <v>9</v>
      </c>
      <c r="AW31" s="1">
        <v>27</v>
      </c>
      <c r="AX31" s="1">
        <v>21</v>
      </c>
      <c r="AY31" s="1">
        <v>8</v>
      </c>
      <c r="AZ31" s="1">
        <v>10</v>
      </c>
      <c r="BA31" s="1">
        <v>27</v>
      </c>
      <c r="BB31" s="1">
        <v>24</v>
      </c>
      <c r="BC31" s="1">
        <v>10</v>
      </c>
      <c r="BD31" s="1" t="s">
        <v>171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B2914-4D1C-42C5-A338-4973415C182F}">
  <sheetPr codeName="Sheet16"/>
  <dimension ref="A1:BD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1.26953125" customWidth="1"/>
    <col min="9" max="9" width="10.7265625" customWidth="1"/>
    <col min="10" max="10" width="13.7265625" customWidth="1"/>
    <col min="11" max="11" width="12.26953125" customWidth="1"/>
    <col min="12" max="12" width="11.7265625" customWidth="1"/>
    <col min="13" max="13" width="14.7265625" customWidth="1"/>
    <col min="14" max="14" width="11" customWidth="1"/>
    <col min="15" max="15" width="10.453125" customWidth="1"/>
    <col min="16" max="16" width="13.453125" customWidth="1"/>
    <col min="17" max="17" width="11.90625" customWidth="1"/>
    <col min="18" max="18" width="11.81640625" customWidth="1"/>
    <col min="19" max="19" width="10.54296875" customWidth="1"/>
    <col min="20" max="20" width="10.453125" customWidth="1"/>
    <col min="21" max="21" width="10.90625" customWidth="1"/>
    <col min="22" max="22" width="10.08984375" customWidth="1"/>
    <col min="23" max="23" width="10.36328125" customWidth="1"/>
    <col min="24" max="24" width="11.54296875" customWidth="1"/>
    <col min="25" max="25" width="9.36328125" customWidth="1"/>
    <col min="26" max="26" width="10.6328125" customWidth="1"/>
    <col min="27" max="27" width="10.36328125" customWidth="1"/>
    <col min="28" max="28" width="13.6328125" customWidth="1"/>
    <col min="29" max="29" width="10.81640625" customWidth="1"/>
    <col min="30" max="30" width="10.26953125" customWidth="1"/>
    <col min="31" max="31" width="9.26953125" customWidth="1"/>
    <col min="32" max="32" width="14.453125" customWidth="1"/>
    <col min="33" max="33" width="12" customWidth="1"/>
    <col min="34" max="34" width="16.90625" customWidth="1"/>
    <col min="35" max="35" width="16.36328125" customWidth="1"/>
    <col min="36" max="36" width="19.36328125" customWidth="1"/>
    <col min="37" max="37" width="17.90625" customWidth="1"/>
    <col min="38" max="38" width="17.36328125" customWidth="1"/>
    <col min="39" max="39" width="20.36328125" customWidth="1"/>
    <col min="40" max="40" width="16.6328125" customWidth="1"/>
    <col min="41" max="41" width="16.08984375" customWidth="1"/>
    <col min="42" max="42" width="19.08984375" customWidth="1"/>
    <col min="43" max="43" width="17.54296875" customWidth="1"/>
    <col min="44" max="44" width="17.453125" customWidth="1"/>
    <col min="45" max="45" width="16.1796875" customWidth="1"/>
    <col min="46" max="46" width="16.08984375" customWidth="1"/>
    <col min="47" max="47" width="16.54296875" customWidth="1"/>
    <col min="48" max="48" width="15.7265625" customWidth="1"/>
    <col min="49" max="49" width="16" customWidth="1"/>
    <col min="50" max="50" width="17.1796875" customWidth="1"/>
    <col min="51" max="51" width="15" customWidth="1"/>
    <col min="52" max="52" width="16.26953125" customWidth="1"/>
    <col min="53" max="53" width="16" customWidth="1"/>
    <col min="54" max="54" width="19.26953125" customWidth="1"/>
    <col min="56" max="56" width="12" customWidth="1"/>
  </cols>
  <sheetData>
    <row r="1" spans="1:56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56</v>
      </c>
      <c r="J1" s="1" t="s">
        <v>57</v>
      </c>
      <c r="K1" s="1" t="s">
        <v>58</v>
      </c>
      <c r="L1" s="1" t="s">
        <v>59</v>
      </c>
      <c r="M1" s="1" t="s">
        <v>60</v>
      </c>
      <c r="N1" s="1" t="s">
        <v>61</v>
      </c>
      <c r="O1" s="1" t="s">
        <v>62</v>
      </c>
      <c r="P1" s="1" t="s">
        <v>63</v>
      </c>
      <c r="Q1" s="1" t="s">
        <v>64</v>
      </c>
      <c r="R1" s="1" t="s">
        <v>65</v>
      </c>
      <c r="S1" s="1" t="s">
        <v>66</v>
      </c>
      <c r="T1" s="1" t="s">
        <v>67</v>
      </c>
      <c r="U1" s="1" t="s">
        <v>68</v>
      </c>
      <c r="V1" s="1" t="s">
        <v>69</v>
      </c>
      <c r="W1" s="1" t="s">
        <v>70</v>
      </c>
      <c r="X1" s="1" t="s">
        <v>71</v>
      </c>
      <c r="Y1" s="1" t="s">
        <v>72</v>
      </c>
      <c r="Z1" s="1" t="s">
        <v>73</v>
      </c>
      <c r="AA1" s="1" t="s">
        <v>74</v>
      </c>
      <c r="AB1" s="1" t="s">
        <v>75</v>
      </c>
      <c r="AC1" s="1" t="s">
        <v>76</v>
      </c>
      <c r="AD1" s="1" t="s">
        <v>77</v>
      </c>
      <c r="AE1" s="1" t="s">
        <v>78</v>
      </c>
      <c r="AF1" s="1" t="s">
        <v>79</v>
      </c>
      <c r="AG1" s="1" t="s">
        <v>80</v>
      </c>
      <c r="AH1" s="1" t="s">
        <v>81</v>
      </c>
      <c r="AI1" s="1" t="s">
        <v>82</v>
      </c>
      <c r="AJ1" s="1" t="s">
        <v>83</v>
      </c>
      <c r="AK1" s="1" t="s">
        <v>84</v>
      </c>
      <c r="AL1" s="1" t="s">
        <v>85</v>
      </c>
      <c r="AM1" s="1" t="s">
        <v>86</v>
      </c>
      <c r="AN1" s="1" t="s">
        <v>87</v>
      </c>
      <c r="AO1" s="1" t="s">
        <v>88</v>
      </c>
      <c r="AP1" s="1" t="s">
        <v>89</v>
      </c>
      <c r="AQ1" s="1" t="s">
        <v>90</v>
      </c>
      <c r="AR1" s="1" t="s">
        <v>91</v>
      </c>
      <c r="AS1" s="1" t="s">
        <v>92</v>
      </c>
      <c r="AT1" s="1" t="s">
        <v>93</v>
      </c>
      <c r="AU1" s="1" t="s">
        <v>94</v>
      </c>
      <c r="AV1" s="1" t="s">
        <v>95</v>
      </c>
      <c r="AW1" s="1" t="s">
        <v>96</v>
      </c>
      <c r="AX1" s="1" t="s">
        <v>97</v>
      </c>
      <c r="AY1" s="1" t="s">
        <v>98</v>
      </c>
      <c r="AZ1" s="1" t="s">
        <v>99</v>
      </c>
      <c r="BA1" s="1" t="s">
        <v>100</v>
      </c>
      <c r="BB1" s="1" t="s">
        <v>101</v>
      </c>
      <c r="BC1" s="1" t="s">
        <v>102</v>
      </c>
      <c r="BD1" s="1" t="s">
        <v>103</v>
      </c>
    </row>
    <row r="2" spans="1:56">
      <c r="A2" s="1">
        <v>1610612737</v>
      </c>
      <c r="B2" s="1" t="s">
        <v>104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110</v>
      </c>
      <c r="T2" s="1">
        <v>26.9</v>
      </c>
      <c r="U2" s="1" t="s">
        <v>172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173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104</v>
      </c>
    </row>
    <row r="3" spans="1:56">
      <c r="A3" s="1">
        <v>1610612738</v>
      </c>
      <c r="B3" s="1" t="s">
        <v>106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174</v>
      </c>
      <c r="T3" s="1">
        <v>23.7</v>
      </c>
      <c r="U3" s="1" t="s">
        <v>151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134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106</v>
      </c>
    </row>
    <row r="4" spans="1:56">
      <c r="A4" s="1">
        <v>1610612751</v>
      </c>
      <c r="B4" s="1" t="s">
        <v>107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150</v>
      </c>
      <c r="T4" s="1">
        <v>23.7</v>
      </c>
      <c r="U4" s="1" t="s">
        <v>175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176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107</v>
      </c>
    </row>
    <row r="5" spans="1:56">
      <c r="A5" s="1">
        <v>1610612766</v>
      </c>
      <c r="B5" s="1" t="s">
        <v>109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177</v>
      </c>
      <c r="T5" s="1">
        <v>26</v>
      </c>
      <c r="U5" s="1" t="s">
        <v>175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178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109</v>
      </c>
    </row>
    <row r="6" spans="1:56">
      <c r="A6" s="1">
        <v>1610612741</v>
      </c>
      <c r="B6" s="1" t="s">
        <v>112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179</v>
      </c>
      <c r="T6" s="1">
        <v>25.5</v>
      </c>
      <c r="U6" s="1" t="s">
        <v>119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180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112</v>
      </c>
    </row>
    <row r="7" spans="1:56">
      <c r="A7" s="1">
        <v>1610612739</v>
      </c>
      <c r="B7" s="1" t="s">
        <v>114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133</v>
      </c>
      <c r="T7" s="1">
        <v>25.7</v>
      </c>
      <c r="U7" s="1" t="s">
        <v>181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182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114</v>
      </c>
    </row>
    <row r="8" spans="1:56">
      <c r="A8" s="1">
        <v>1610612742</v>
      </c>
      <c r="B8" s="1" t="s">
        <v>118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183</v>
      </c>
      <c r="T8" s="1">
        <v>24.5</v>
      </c>
      <c r="U8" s="1" t="s">
        <v>184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185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118</v>
      </c>
    </row>
    <row r="9" spans="1:56">
      <c r="A9" s="1">
        <v>1610612743</v>
      </c>
      <c r="B9" s="1" t="s">
        <v>121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186</v>
      </c>
      <c r="T9" s="1">
        <v>24.6</v>
      </c>
      <c r="U9" s="1" t="s">
        <v>175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170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121</v>
      </c>
    </row>
    <row r="10" spans="1:56">
      <c r="A10" s="1">
        <v>1610612765</v>
      </c>
      <c r="B10" s="1" t="s">
        <v>124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160</v>
      </c>
      <c r="T10" s="1">
        <v>23.7</v>
      </c>
      <c r="U10" s="1" t="s">
        <v>187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188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124</v>
      </c>
    </row>
    <row r="11" spans="1:56">
      <c r="A11" s="1">
        <v>1610612744</v>
      </c>
      <c r="B11" s="1" t="s">
        <v>126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189</v>
      </c>
      <c r="T11" s="1">
        <v>24.3</v>
      </c>
      <c r="U11" s="1" t="s">
        <v>175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190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126</v>
      </c>
    </row>
    <row r="12" spans="1:56">
      <c r="A12" s="1">
        <v>1610612745</v>
      </c>
      <c r="B12" s="1" t="s">
        <v>128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191</v>
      </c>
      <c r="T12" s="1">
        <v>23.5</v>
      </c>
      <c r="U12" s="1" t="s">
        <v>172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158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128</v>
      </c>
    </row>
    <row r="13" spans="1:56">
      <c r="A13" s="1">
        <v>1610612754</v>
      </c>
      <c r="B13" s="1" t="s">
        <v>130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160</v>
      </c>
      <c r="T13" s="1">
        <v>24.5</v>
      </c>
      <c r="U13" s="1" t="s">
        <v>127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192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130</v>
      </c>
    </row>
    <row r="14" spans="1:56">
      <c r="A14" s="1">
        <v>1610612746</v>
      </c>
      <c r="B14" s="1" t="s">
        <v>132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193</v>
      </c>
      <c r="T14" s="1">
        <v>24.1</v>
      </c>
      <c r="U14" s="1" t="s">
        <v>108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194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132</v>
      </c>
    </row>
    <row r="15" spans="1:56">
      <c r="A15" s="1">
        <v>1610612747</v>
      </c>
      <c r="B15" s="1" t="s">
        <v>135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122</v>
      </c>
      <c r="T15" s="1">
        <v>25</v>
      </c>
      <c r="U15" s="1" t="s">
        <v>195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196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135</v>
      </c>
    </row>
    <row r="16" spans="1:56">
      <c r="A16" s="1">
        <v>1610612763</v>
      </c>
      <c r="B16" s="1" t="s">
        <v>138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197</v>
      </c>
      <c r="T16" s="1">
        <v>23.4</v>
      </c>
      <c r="U16" s="1" t="s">
        <v>198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199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138</v>
      </c>
    </row>
    <row r="17" spans="1:56">
      <c r="A17" s="1">
        <v>1610612748</v>
      </c>
      <c r="B17" s="1" t="s">
        <v>141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200</v>
      </c>
      <c r="T17" s="1">
        <v>23.3</v>
      </c>
      <c r="U17" s="1" t="s">
        <v>187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188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141</v>
      </c>
    </row>
    <row r="18" spans="1:56">
      <c r="A18" s="1">
        <v>1610612749</v>
      </c>
      <c r="B18" s="1" t="s">
        <v>142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201</v>
      </c>
      <c r="T18" s="1">
        <v>24.8</v>
      </c>
      <c r="U18" s="1" t="s">
        <v>202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203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142</v>
      </c>
    </row>
    <row r="19" spans="1:56">
      <c r="A19" s="1">
        <v>1610612750</v>
      </c>
      <c r="B19" s="1" t="s">
        <v>145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204</v>
      </c>
      <c r="T19" s="1">
        <v>26.2</v>
      </c>
      <c r="U19" s="1" t="s">
        <v>205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206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145</v>
      </c>
    </row>
    <row r="20" spans="1:56">
      <c r="A20" s="1">
        <v>1610612740</v>
      </c>
      <c r="B20" s="1" t="s">
        <v>146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177</v>
      </c>
      <c r="T20" s="1">
        <v>26.5</v>
      </c>
      <c r="U20" s="1" t="s">
        <v>207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185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146</v>
      </c>
    </row>
    <row r="21" spans="1:56">
      <c r="A21" s="1">
        <v>1610612752</v>
      </c>
      <c r="B21" s="1" t="s">
        <v>149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208</v>
      </c>
      <c r="T21" s="1">
        <v>25.6</v>
      </c>
      <c r="U21" s="1" t="s">
        <v>108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209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149</v>
      </c>
    </row>
    <row r="22" spans="1:56">
      <c r="A22" s="1">
        <v>1610612760</v>
      </c>
      <c r="B22" s="1" t="s">
        <v>152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193</v>
      </c>
      <c r="T22" s="1">
        <v>24.9</v>
      </c>
      <c r="U22" s="1" t="s">
        <v>210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131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152</v>
      </c>
    </row>
    <row r="23" spans="1:56">
      <c r="A23" s="1">
        <v>1610612753</v>
      </c>
      <c r="B23" s="1" t="s">
        <v>154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211</v>
      </c>
      <c r="T23" s="1">
        <v>23.1</v>
      </c>
      <c r="U23" s="1" t="s">
        <v>184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212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154</v>
      </c>
    </row>
    <row r="24" spans="1:56">
      <c r="A24" s="1">
        <v>1610612755</v>
      </c>
      <c r="B24" s="1" t="s">
        <v>157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213</v>
      </c>
      <c r="T24" s="1">
        <v>23.4</v>
      </c>
      <c r="U24" s="1" t="s">
        <v>214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215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157</v>
      </c>
    </row>
    <row r="25" spans="1:56">
      <c r="A25" s="1">
        <v>1610612756</v>
      </c>
      <c r="B25" s="1" t="s">
        <v>159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216</v>
      </c>
      <c r="T25" s="1">
        <v>25.9</v>
      </c>
      <c r="U25" s="1" t="s">
        <v>127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217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159</v>
      </c>
    </row>
    <row r="26" spans="1:56">
      <c r="A26" s="1">
        <v>1610612757</v>
      </c>
      <c r="B26" s="1" t="s">
        <v>161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169</v>
      </c>
      <c r="T26" s="1">
        <v>23.2</v>
      </c>
      <c r="U26" s="1" t="s">
        <v>218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219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161</v>
      </c>
    </row>
    <row r="27" spans="1:56">
      <c r="A27" s="1">
        <v>1610612758</v>
      </c>
      <c r="B27" s="1" t="s">
        <v>163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220</v>
      </c>
      <c r="T27" s="1">
        <v>24.7</v>
      </c>
      <c r="U27" s="1" t="s">
        <v>221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178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163</v>
      </c>
    </row>
    <row r="28" spans="1:56">
      <c r="A28" s="1">
        <v>1610612759</v>
      </c>
      <c r="B28" s="1" t="s">
        <v>165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222</v>
      </c>
      <c r="T28" s="1">
        <v>24.7</v>
      </c>
      <c r="U28" s="1" t="s">
        <v>223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224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165</v>
      </c>
    </row>
    <row r="29" spans="1:56">
      <c r="A29" s="1">
        <v>1610612761</v>
      </c>
      <c r="B29" s="1" t="s">
        <v>166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183</v>
      </c>
      <c r="T29" s="1">
        <v>24.5</v>
      </c>
      <c r="U29" s="1" t="s">
        <v>162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225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166</v>
      </c>
    </row>
    <row r="30" spans="1:56">
      <c r="A30" s="1">
        <v>1610612762</v>
      </c>
      <c r="B30" s="1" t="s">
        <v>168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226</v>
      </c>
      <c r="T30" s="1">
        <v>21.6</v>
      </c>
      <c r="U30" s="1" t="s">
        <v>227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228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168</v>
      </c>
    </row>
    <row r="31" spans="1:56">
      <c r="A31" s="1">
        <v>1610612764</v>
      </c>
      <c r="B31" s="1" t="s">
        <v>171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229</v>
      </c>
      <c r="T31" s="1">
        <v>26.2</v>
      </c>
      <c r="U31" s="1" t="s">
        <v>230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231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171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1C56A-F671-4009-A609-822BF14FE7B7}">
  <sheetPr codeName="Sheet17"/>
  <dimension ref="A1:M18"/>
  <sheetViews>
    <sheetView workbookViewId="0"/>
  </sheetViews>
  <sheetFormatPr defaultRowHeight="14.5"/>
  <cols>
    <col min="1" max="1" width="9.26953125" customWidth="1"/>
    <col min="2" max="2" width="9.453125" customWidth="1"/>
    <col min="3" max="3" width="10.453125" customWidth="1"/>
    <col min="4" max="4" width="9" customWidth="1"/>
    <col min="6" max="6" width="10.90625" customWidth="1"/>
    <col min="7" max="7" width="9.1796875" customWidth="1"/>
    <col min="8" max="8" width="9.7265625" customWidth="1"/>
    <col min="9" max="9" width="13.26953125" customWidth="1"/>
    <col min="12" max="12" width="9.6328125" customWidth="1"/>
    <col min="13" max="13" width="11.81640625" customWidth="1"/>
  </cols>
  <sheetData>
    <row r="1" spans="1:13">
      <c r="A1" s="1" t="s">
        <v>274</v>
      </c>
      <c r="B1" s="1" t="s">
        <v>1246</v>
      </c>
      <c r="C1" s="1" t="s">
        <v>272</v>
      </c>
      <c r="D1" s="1" t="s">
        <v>1247</v>
      </c>
      <c r="E1" s="1" t="s">
        <v>1248</v>
      </c>
      <c r="F1" s="1" t="s">
        <v>1249</v>
      </c>
      <c r="G1" s="1" t="s">
        <v>1250</v>
      </c>
      <c r="H1" s="1" t="s">
        <v>1251</v>
      </c>
      <c r="I1" s="1" t="s">
        <v>1252</v>
      </c>
      <c r="J1" s="1" t="s">
        <v>1253</v>
      </c>
      <c r="K1" s="1" t="s">
        <v>1254</v>
      </c>
      <c r="L1" s="1" t="s">
        <v>1255</v>
      </c>
      <c r="M1" s="1" t="s">
        <v>1256</v>
      </c>
    </row>
    <row r="2" spans="1:13">
      <c r="A2" s="1">
        <v>1610612764</v>
      </c>
      <c r="B2" s="1" t="s">
        <v>1257</v>
      </c>
      <c r="C2" s="1" t="s">
        <v>353</v>
      </c>
      <c r="D2" s="1" t="s">
        <v>1258</v>
      </c>
      <c r="E2" s="1" t="s">
        <v>1259</v>
      </c>
      <c r="F2" s="1" t="s">
        <v>1260</v>
      </c>
      <c r="G2" s="1" t="s">
        <v>784</v>
      </c>
      <c r="H2" s="1" t="s">
        <v>1261</v>
      </c>
      <c r="I2" s="1" t="s">
        <v>1262</v>
      </c>
      <c r="J2" s="1">
        <v>22</v>
      </c>
      <c r="K2" s="1" t="s">
        <v>1263</v>
      </c>
      <c r="L2" s="1" t="s">
        <v>1264</v>
      </c>
      <c r="M2" s="1">
        <v>1629678</v>
      </c>
    </row>
    <row r="3" spans="1:13">
      <c r="A3" s="1">
        <v>1610612764</v>
      </c>
      <c r="B3" s="1" t="s">
        <v>1257</v>
      </c>
      <c r="C3" s="1" t="s">
        <v>353</v>
      </c>
      <c r="D3" s="1" t="s">
        <v>1265</v>
      </c>
      <c r="E3" s="1" t="s">
        <v>1266</v>
      </c>
      <c r="F3" s="1" t="s">
        <v>1267</v>
      </c>
      <c r="G3" s="1" t="s">
        <v>467</v>
      </c>
      <c r="H3" s="1" t="s">
        <v>1268</v>
      </c>
      <c r="I3" s="1" t="s">
        <v>1269</v>
      </c>
      <c r="J3" s="1">
        <v>29</v>
      </c>
      <c r="K3" s="1" t="s">
        <v>1270</v>
      </c>
      <c r="L3" s="1" t="s">
        <v>1271</v>
      </c>
      <c r="M3" s="1">
        <v>202322</v>
      </c>
    </row>
    <row r="4" spans="1:13">
      <c r="A4" s="1">
        <v>1610612764</v>
      </c>
      <c r="B4" s="1" t="s">
        <v>1257</v>
      </c>
      <c r="C4" s="1" t="s">
        <v>353</v>
      </c>
      <c r="D4" s="1" t="s">
        <v>1272</v>
      </c>
      <c r="E4" s="1" t="s">
        <v>1273</v>
      </c>
      <c r="F4" s="1" t="s">
        <v>1267</v>
      </c>
      <c r="G4" s="1" t="s">
        <v>676</v>
      </c>
      <c r="H4" s="1" t="s">
        <v>1274</v>
      </c>
      <c r="I4" s="1" t="s">
        <v>1275</v>
      </c>
      <c r="J4" s="1">
        <v>26</v>
      </c>
      <c r="K4" s="1" t="s">
        <v>1276</v>
      </c>
      <c r="L4" s="1" t="s">
        <v>1277</v>
      </c>
      <c r="M4" s="1">
        <v>203078</v>
      </c>
    </row>
    <row r="5" spans="1:13">
      <c r="A5" s="1">
        <v>1610612764</v>
      </c>
      <c r="B5" s="1" t="s">
        <v>1257</v>
      </c>
      <c r="C5" s="1" t="s">
        <v>353</v>
      </c>
      <c r="D5" s="1" t="s">
        <v>1278</v>
      </c>
      <c r="E5" s="1" t="s">
        <v>1279</v>
      </c>
      <c r="F5" s="1" t="s">
        <v>1267</v>
      </c>
      <c r="G5" s="1" t="s">
        <v>905</v>
      </c>
      <c r="H5" s="1" t="s">
        <v>1280</v>
      </c>
      <c r="I5" s="1" t="s">
        <v>1281</v>
      </c>
      <c r="J5" s="1">
        <v>30</v>
      </c>
      <c r="K5" s="1" t="s">
        <v>1282</v>
      </c>
      <c r="L5" s="1" t="s">
        <v>536</v>
      </c>
      <c r="M5" s="1">
        <v>202738</v>
      </c>
    </row>
    <row r="6" spans="1:13">
      <c r="A6" s="1">
        <v>1610612764</v>
      </c>
      <c r="B6" s="1" t="s">
        <v>1257</v>
      </c>
      <c r="C6" s="1" t="s">
        <v>353</v>
      </c>
      <c r="D6" s="1" t="s">
        <v>1283</v>
      </c>
      <c r="E6" s="1" t="s">
        <v>1284</v>
      </c>
      <c r="F6" s="1" t="s">
        <v>1267</v>
      </c>
      <c r="G6" s="1" t="s">
        <v>469</v>
      </c>
      <c r="H6" s="1" t="s">
        <v>1285</v>
      </c>
      <c r="I6" s="1" t="s">
        <v>1286</v>
      </c>
      <c r="J6" s="1">
        <v>22</v>
      </c>
      <c r="K6" s="1" t="s">
        <v>1263</v>
      </c>
      <c r="L6" s="1" t="s">
        <v>1287</v>
      </c>
      <c r="M6" s="1">
        <v>1629620</v>
      </c>
    </row>
    <row r="7" spans="1:13">
      <c r="A7" s="1">
        <v>1610612764</v>
      </c>
      <c r="B7" s="1" t="s">
        <v>1257</v>
      </c>
      <c r="C7" s="1" t="s">
        <v>353</v>
      </c>
      <c r="D7" s="1" t="s">
        <v>1288</v>
      </c>
      <c r="E7" s="1" t="s">
        <v>1289</v>
      </c>
      <c r="F7" s="1" t="s">
        <v>1260</v>
      </c>
      <c r="G7" s="1" t="s">
        <v>1290</v>
      </c>
      <c r="H7" s="1" t="s">
        <v>1291</v>
      </c>
      <c r="I7" s="1" t="s">
        <v>1292</v>
      </c>
      <c r="J7" s="1">
        <v>20</v>
      </c>
      <c r="K7" s="1" t="s">
        <v>1259</v>
      </c>
      <c r="L7" s="1" t="s">
        <v>1293</v>
      </c>
      <c r="M7" s="1">
        <v>1628972</v>
      </c>
    </row>
    <row r="8" spans="1:13">
      <c r="A8" s="1">
        <v>1610612764</v>
      </c>
      <c r="B8" s="1" t="s">
        <v>1257</v>
      </c>
      <c r="C8" s="1" t="s">
        <v>353</v>
      </c>
      <c r="D8" s="1" t="s">
        <v>1294</v>
      </c>
      <c r="E8" s="1" t="s">
        <v>1282</v>
      </c>
      <c r="F8" s="1" t="s">
        <v>1295</v>
      </c>
      <c r="G8" s="1" t="s">
        <v>889</v>
      </c>
      <c r="H8" s="1" t="s">
        <v>1296</v>
      </c>
      <c r="I8" s="1" t="s">
        <v>1297</v>
      </c>
      <c r="J8" s="1">
        <v>21</v>
      </c>
      <c r="K8" s="1" t="s">
        <v>1263</v>
      </c>
      <c r="L8" s="1" t="s">
        <v>1298</v>
      </c>
      <c r="M8" s="1">
        <v>1629060</v>
      </c>
    </row>
    <row r="9" spans="1:13">
      <c r="A9" s="1">
        <v>1610612764</v>
      </c>
      <c r="B9" s="1" t="s">
        <v>1257</v>
      </c>
      <c r="C9" s="1" t="s">
        <v>353</v>
      </c>
      <c r="D9" s="1" t="s">
        <v>1299</v>
      </c>
      <c r="E9" s="1" t="s">
        <v>1270</v>
      </c>
      <c r="F9" s="1" t="s">
        <v>1267</v>
      </c>
      <c r="G9" s="1" t="s">
        <v>826</v>
      </c>
      <c r="H9" s="1" t="s">
        <v>1300</v>
      </c>
      <c r="I9" s="1" t="s">
        <v>1301</v>
      </c>
      <c r="J9" s="1">
        <v>23</v>
      </c>
      <c r="K9" s="1" t="s">
        <v>1259</v>
      </c>
      <c r="L9" s="1" t="s">
        <v>1277</v>
      </c>
      <c r="M9" s="1">
        <v>1629185</v>
      </c>
    </row>
    <row r="10" spans="1:13">
      <c r="A10" s="1">
        <v>1610612764</v>
      </c>
      <c r="B10" s="1" t="s">
        <v>1257</v>
      </c>
      <c r="C10" s="1" t="s">
        <v>353</v>
      </c>
      <c r="D10" s="1" t="s">
        <v>1302</v>
      </c>
      <c r="E10" s="1" t="s">
        <v>1303</v>
      </c>
      <c r="F10" s="1" t="s">
        <v>1304</v>
      </c>
      <c r="G10" s="1" t="s">
        <v>673</v>
      </c>
      <c r="H10" s="1" t="s">
        <v>1305</v>
      </c>
      <c r="I10" s="1" t="s">
        <v>1306</v>
      </c>
      <c r="J10" s="1">
        <v>22</v>
      </c>
      <c r="K10" s="1" t="s">
        <v>1266</v>
      </c>
      <c r="L10" s="1" t="s">
        <v>465</v>
      </c>
      <c r="M10" s="1">
        <v>1628418</v>
      </c>
    </row>
    <row r="11" spans="1:13">
      <c r="A11" s="1">
        <v>1610612764</v>
      </c>
      <c r="B11" s="1" t="s">
        <v>1257</v>
      </c>
      <c r="C11" s="1" t="s">
        <v>353</v>
      </c>
      <c r="D11" s="1" t="s">
        <v>1307</v>
      </c>
      <c r="E11" s="1" t="s">
        <v>1308</v>
      </c>
      <c r="F11" s="1" t="s">
        <v>1267</v>
      </c>
      <c r="G11" s="1" t="s">
        <v>412</v>
      </c>
      <c r="H11" s="1" t="s">
        <v>1300</v>
      </c>
      <c r="I11" s="1" t="s">
        <v>1309</v>
      </c>
      <c r="J11" s="1">
        <v>31</v>
      </c>
      <c r="K11" s="1" t="s">
        <v>1270</v>
      </c>
      <c r="L11" s="1" t="s">
        <v>1310</v>
      </c>
      <c r="M11" s="1">
        <v>202397</v>
      </c>
    </row>
    <row r="12" spans="1:13">
      <c r="A12" s="1">
        <v>1610612764</v>
      </c>
      <c r="B12" s="1" t="s">
        <v>1257</v>
      </c>
      <c r="C12" s="1" t="s">
        <v>353</v>
      </c>
      <c r="D12" s="1" t="s">
        <v>1311</v>
      </c>
      <c r="E12" s="1" t="s">
        <v>1312</v>
      </c>
      <c r="F12" s="1" t="s">
        <v>1267</v>
      </c>
      <c r="G12" s="1" t="s">
        <v>889</v>
      </c>
      <c r="H12" s="1" t="s">
        <v>1313</v>
      </c>
      <c r="I12" s="1" t="s">
        <v>1314</v>
      </c>
      <c r="J12" s="1">
        <v>20</v>
      </c>
      <c r="K12" s="1" t="s">
        <v>1259</v>
      </c>
      <c r="L12" s="1" t="s">
        <v>1315</v>
      </c>
      <c r="M12" s="1">
        <v>1629067</v>
      </c>
    </row>
    <row r="13" spans="1:13">
      <c r="A13" s="1">
        <v>1610612764</v>
      </c>
      <c r="B13" s="1" t="s">
        <v>1257</v>
      </c>
      <c r="C13" s="1" t="s">
        <v>353</v>
      </c>
      <c r="D13" s="1" t="s">
        <v>1316</v>
      </c>
      <c r="E13" s="1" t="s">
        <v>1317</v>
      </c>
      <c r="F13" s="1" t="s">
        <v>1318</v>
      </c>
      <c r="G13" s="1" t="s">
        <v>1319</v>
      </c>
      <c r="H13" s="1" t="s">
        <v>1320</v>
      </c>
      <c r="I13" s="1" t="s">
        <v>1321</v>
      </c>
      <c r="J13" s="1">
        <v>22</v>
      </c>
      <c r="K13" s="1" t="s">
        <v>1259</v>
      </c>
      <c r="L13" s="1" t="s">
        <v>1322</v>
      </c>
      <c r="M13" s="1">
        <v>1629021</v>
      </c>
    </row>
    <row r="14" spans="1:13">
      <c r="A14" s="1">
        <v>1610612764</v>
      </c>
      <c r="B14" s="1" t="s">
        <v>1257</v>
      </c>
      <c r="C14" s="1" t="s">
        <v>353</v>
      </c>
      <c r="D14" s="1" t="s">
        <v>1323</v>
      </c>
      <c r="E14" s="1" t="s">
        <v>1324</v>
      </c>
      <c r="F14" s="1" t="s">
        <v>1267</v>
      </c>
      <c r="G14" s="1" t="s">
        <v>784</v>
      </c>
      <c r="H14" s="1" t="s">
        <v>1291</v>
      </c>
      <c r="I14" s="1" t="s">
        <v>1325</v>
      </c>
      <c r="J14" s="1">
        <v>23</v>
      </c>
      <c r="K14" s="1" t="s">
        <v>1263</v>
      </c>
      <c r="L14" s="1" t="s">
        <v>1326</v>
      </c>
      <c r="M14" s="1">
        <v>1629726</v>
      </c>
    </row>
    <row r="15" spans="1:13">
      <c r="A15" s="1">
        <v>1610612764</v>
      </c>
      <c r="B15" s="1" t="s">
        <v>1257</v>
      </c>
      <c r="C15" s="1" t="s">
        <v>353</v>
      </c>
      <c r="D15" s="1" t="s">
        <v>1327</v>
      </c>
      <c r="E15" s="1" t="s">
        <v>1328</v>
      </c>
      <c r="F15" s="1" t="s">
        <v>1329</v>
      </c>
      <c r="G15" s="1" t="s">
        <v>1319</v>
      </c>
      <c r="H15" s="1" t="s">
        <v>1330</v>
      </c>
      <c r="I15" s="1" t="s">
        <v>1331</v>
      </c>
      <c r="J15" s="1">
        <v>33</v>
      </c>
      <c r="K15" s="1" t="s">
        <v>1332</v>
      </c>
      <c r="L15" s="1" t="s">
        <v>1315</v>
      </c>
      <c r="M15" s="1">
        <v>101133</v>
      </c>
    </row>
    <row r="16" spans="1:13">
      <c r="A16" s="1">
        <v>1610612764</v>
      </c>
      <c r="B16" s="1" t="s">
        <v>1257</v>
      </c>
      <c r="C16" s="1" t="s">
        <v>353</v>
      </c>
      <c r="D16" s="1" t="s">
        <v>1333</v>
      </c>
      <c r="E16" s="1" t="s">
        <v>1334</v>
      </c>
      <c r="F16" s="1" t="s">
        <v>1267</v>
      </c>
      <c r="G16" s="1" t="s">
        <v>1290</v>
      </c>
      <c r="H16" s="1" t="s">
        <v>1335</v>
      </c>
      <c r="I16" s="1" t="s">
        <v>1336</v>
      </c>
      <c r="J16" s="1">
        <v>32</v>
      </c>
      <c r="K16" s="1" t="s">
        <v>1308</v>
      </c>
      <c r="L16" s="1" t="s">
        <v>1337</v>
      </c>
      <c r="M16" s="1">
        <v>101139</v>
      </c>
    </row>
    <row r="17" spans="1:13">
      <c r="A17" s="1">
        <v>1610612764</v>
      </c>
      <c r="B17" s="1" t="s">
        <v>1257</v>
      </c>
      <c r="C17" s="1" t="s">
        <v>353</v>
      </c>
      <c r="D17" s="1" t="s">
        <v>1338</v>
      </c>
      <c r="E17" s="1" t="s">
        <v>1339</v>
      </c>
      <c r="F17" s="1" t="s">
        <v>1295</v>
      </c>
      <c r="G17" s="1" t="s">
        <v>673</v>
      </c>
      <c r="H17" s="1" t="s">
        <v>1340</v>
      </c>
      <c r="I17" s="1" t="s">
        <v>1341</v>
      </c>
      <c r="J17" s="1">
        <v>27</v>
      </c>
      <c r="K17" s="1" t="s">
        <v>1273</v>
      </c>
      <c r="L17" s="1" t="s">
        <v>1315</v>
      </c>
      <c r="M17" s="1">
        <v>202722</v>
      </c>
    </row>
    <row r="18" spans="1:13">
      <c r="A18" s="1">
        <v>1610612764</v>
      </c>
      <c r="B18" s="1" t="s">
        <v>1257</v>
      </c>
      <c r="C18" s="1" t="s">
        <v>353</v>
      </c>
      <c r="D18" s="1" t="s">
        <v>1342</v>
      </c>
      <c r="E18" s="1" t="s">
        <v>1343</v>
      </c>
      <c r="F18" s="1" t="s">
        <v>1267</v>
      </c>
      <c r="G18" s="1" t="s">
        <v>784</v>
      </c>
      <c r="H18" s="1" t="s">
        <v>1344</v>
      </c>
      <c r="I18" s="1" t="s">
        <v>1345</v>
      </c>
      <c r="J18" s="1">
        <v>28</v>
      </c>
      <c r="K18" s="1" t="s">
        <v>1273</v>
      </c>
      <c r="L18" s="1" t="s">
        <v>1264</v>
      </c>
      <c r="M18" s="1">
        <v>203895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204</vt:i4>
      </vt:variant>
    </vt:vector>
  </HeadingPairs>
  <TitlesOfParts>
    <vt:vector size="221" baseType="lpstr">
      <vt:lpstr>Controller</vt:lpstr>
      <vt:lpstr>View</vt:lpstr>
      <vt:lpstr>DataAdvancedNStarters</vt:lpstr>
      <vt:lpstr>DataAdvancedN1Starters</vt:lpstr>
      <vt:lpstr>DataAdvancedN1Bench</vt:lpstr>
      <vt:lpstr>DataAdvancedNBench</vt:lpstr>
      <vt:lpstr>DataStandingsN</vt:lpstr>
      <vt:lpstr>DataStandingsN1</vt:lpstr>
      <vt:lpstr>DataBaseN</vt:lpstr>
      <vt:lpstr>DataBaseN1</vt:lpstr>
      <vt:lpstr>DataAdvancedN</vt:lpstr>
      <vt:lpstr>DataAdvancedN1</vt:lpstr>
      <vt:lpstr>DataMiscN</vt:lpstr>
      <vt:lpstr>DataMiscN1</vt:lpstr>
      <vt:lpstr>DataOppBaseN</vt:lpstr>
      <vt:lpstr>DataOppBaseN1</vt:lpstr>
      <vt:lpstr>DataRoster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2019-11-14T04:01:25Z</dcterms:modified>
</cp:coreProperties>
</file>