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0044FF8B-E0F6-4FD0-ABB2-95F01A2760E5}" xr6:coauthVersionLast="45" xr6:coauthVersionMax="45" xr10:uidLastSave="{00000000-0000-0000-0000-000000000000}"/>
  <bookViews>
    <workbookView xWindow="-103" yWindow="-103" windowWidth="22149" windowHeight="11949" firstSheet="3" activeTab="7" xr2:uid="{00000000-000D-0000-FFFF-FFFF00000000}"/>
  </bookViews>
  <sheets>
    <sheet name="Controller" sheetId="44" r:id="rId1"/>
    <sheet name="View" sheetId="119" r:id="rId2"/>
    <sheet name="DataStandingsN" sheetId="120" r:id="rId3"/>
    <sheet name="DataAdvancedN1" sheetId="121" r:id="rId4"/>
    <sheet name="DataAdvancedN" sheetId="122" r:id="rId5"/>
    <sheet name="DataStandingsN1" sheetId="123" r:id="rId6"/>
    <sheet name="DataRoster" sheetId="124" r:id="rId7"/>
    <sheet name="DataMiscN" sheetId="125" r:id="rId8"/>
    <sheet name="DataMiscN1" sheetId="126" r:id="rId9"/>
  </sheets>
  <functionGroups builtInGroupCount="19"/>
  <definedNames>
    <definedName name="AdvAstPctN">View!$E$16</definedName>
    <definedName name="AdvAstPctN1">View!$B$16</definedName>
    <definedName name="AdvAstPctRankN">View!$F$16</definedName>
    <definedName name="AdvAstPctRankN1">View!$C$16</definedName>
    <definedName name="AdvDefRatingN">View!$E$12</definedName>
    <definedName name="AdvDefRatingN1">View!$B$12</definedName>
    <definedName name="AdvDefRatingRankN">View!$F$12</definedName>
    <definedName name="AdvDefRatingRankN1">View!$C$12</definedName>
    <definedName name="AdvDrebPctN">View!$E$19</definedName>
    <definedName name="AdvDrebPctN1">View!$B$19</definedName>
    <definedName name="AdvDrebPctRank">View!$F$19</definedName>
    <definedName name="AdvDrebPctRankN">View!$F$19</definedName>
    <definedName name="AdvDrebPctRankN1">View!$C$19</definedName>
    <definedName name="AdvEfgPctN">View!$E$15</definedName>
    <definedName name="AdvEfgPctN1">View!$B$15</definedName>
    <definedName name="AdvEfgPctRankN">View!$F$15</definedName>
    <definedName name="AdvEfgPctRankN1">View!$C$15</definedName>
    <definedName name="AdvNetRatingN">View!$E$13</definedName>
    <definedName name="AdvNetRatingN1">View!$B$13</definedName>
    <definedName name="AdvNetRatingRank">View!$C$13</definedName>
    <definedName name="AdvNetRatingRankN">View!$F$13</definedName>
    <definedName name="AdvNetRatingRankN1">View!$C$13</definedName>
    <definedName name="AdvOffRatingN">View!$E$11</definedName>
    <definedName name="AdvOffRatingN1">View!$B$11</definedName>
    <definedName name="AdvOffRatingRankN">View!$F$11</definedName>
    <definedName name="AdvOffRatingRankN1">View!$C$11</definedName>
    <definedName name="AdvOrebPctN">View!$E$18</definedName>
    <definedName name="AdvOrebPctN1">View!$B$18</definedName>
    <definedName name="AdvOrebPctRankN">View!$F$18</definedName>
    <definedName name="AdvOrebPctRankN1">View!$C$18</definedName>
    <definedName name="AdvPaceN">View!$E$14</definedName>
    <definedName name="AdvPaceN1">View!$B$14</definedName>
    <definedName name="AdvPaceRankN">View!$F$14</definedName>
    <definedName name="AdvPaceRankN1">View!$C$14</definedName>
    <definedName name="AdvRebPctN">View!$E$17</definedName>
    <definedName name="AdvRebPctN1">View!$B$17</definedName>
    <definedName name="AdvRebPctRankN">View!$F$17</definedName>
    <definedName name="AdvRebPctRankN1">View!$C$17</definedName>
    <definedName name="AdvTmTovPctN">View!$E$20</definedName>
    <definedName name="AdvTmTovPctN1">View!$B$20</definedName>
    <definedName name="AdvTmTovPctRankN">View!$F$20</definedName>
    <definedName name="AdvTmTovPctRankN1">View!$C$20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19" l="1"/>
  <c r="E2" i="119"/>
</calcChain>
</file>

<file path=xl/sharedStrings.xml><?xml version="1.0" encoding="utf-8"?>
<sst xmlns="http://schemas.openxmlformats.org/spreadsheetml/2006/main" count="3683" uniqueCount="1012">
  <si>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</si>
  <si>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</si>
  <si>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</si>
  <si>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</si>
  <si>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</si>
  <si>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</si>
  <si>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</si>
  <si>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</si>
  <si>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</si>
  <si>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</si>
  <si>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</si>
  <si>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</si>
  <si>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</si>
  <si>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</si>
  <si>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</si>
  <si>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</si>
  <si>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</si>
  <si>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</si>
  <si>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</si>
  <si>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</si>
  <si>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</si>
  <si>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</si>
  <si>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</si>
  <si>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</si>
  <si>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</si>
  <si>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</si>
  <si>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</si>
  <si>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</si>
  <si>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</si>
  <si>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</si>
  <si>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</si>
  <si>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</si>
  <si>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</si>
  <si>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</si>
  <si>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</si>
  <si>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</si>
  <si>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</si>
  <si>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</si>
  <si>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</si>
  <si>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</si>
  <si>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</si>
  <si>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</si>
  <si>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</si>
  <si>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</si>
  <si>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</si>
  <si>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</si>
  <si>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</si>
  <si>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</si>
  <si>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</si>
  <si>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</si>
  <si>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</si>
  <si>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</si>
  <si>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</si>
  <si>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</si>
  <si>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</si>
  <si>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</si>
  <si>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</si>
  <si>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</si>
  <si>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</si>
  <si>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</si>
  <si>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</si>
  <si>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</si>
  <si>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</si>
  <si>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</si>
  <si>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</si>
  <si>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</si>
  <si>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</si>
  <si>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</si>
  <si>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</si>
  <si>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</si>
  <si>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</si>
  <si>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</si>
  <si>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</si>
  <si>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</si>
  <si>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</si>
  <si>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</si>
  <si>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</si>
  <si>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</si>
  <si>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</si>
  <si>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</si>
  <si>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</si>
  <si>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</si>
  <si>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</si>
  <si>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</si>
  <si>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</si>
  <si>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</si>
  <si>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</si>
  <si>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</si>
  <si>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</si>
  <si>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</si>
  <si>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</si>
  <si>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</si>
  <si>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</si>
  <si>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</si>
  <si>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</si>
  <si>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San Antonio</t>
  </si>
  <si>
    <t>Spurs</t>
  </si>
  <si>
    <t>West</t>
  </si>
  <si>
    <t xml:space="preserve">1-0  </t>
  </si>
  <si>
    <t/>
  </si>
  <si>
    <t>Southwest</t>
  </si>
  <si>
    <t xml:space="preserve">0-0  </t>
  </si>
  <si>
    <t>3-0</t>
  </si>
  <si>
    <t xml:space="preserve">3-0  </t>
  </si>
  <si>
    <t xml:space="preserve">2-0  </t>
  </si>
  <si>
    <t>W 3</t>
  </si>
  <si>
    <t>W 0</t>
  </si>
  <si>
    <t>2-0</t>
  </si>
  <si>
    <t>1-0</t>
  </si>
  <si>
    <t>0-0</t>
  </si>
  <si>
    <t>Philadelphia</t>
  </si>
  <si>
    <t>76ers</t>
  </si>
  <si>
    <t>East</t>
  </si>
  <si>
    <t>Atlantic</t>
  </si>
  <si>
    <t>W 1</t>
  </si>
  <si>
    <t>W 2</t>
  </si>
  <si>
    <t>Minnesota</t>
  </si>
  <si>
    <t>Timberwolves</t>
  </si>
  <si>
    <t>Northwest</t>
  </si>
  <si>
    <t>Miami</t>
  </si>
  <si>
    <t>Heat</t>
  </si>
  <si>
    <t>Southeast</t>
  </si>
  <si>
    <t>3-1</t>
  </si>
  <si>
    <t xml:space="preserve">1-1  </t>
  </si>
  <si>
    <t xml:space="preserve">3-1  </t>
  </si>
  <si>
    <t>L 1</t>
  </si>
  <si>
    <t xml:space="preserve">2-1  </t>
  </si>
  <si>
    <t>1-1</t>
  </si>
  <si>
    <t>0-1</t>
  </si>
  <si>
    <t>Toronto</t>
  </si>
  <si>
    <t>Raptors</t>
  </si>
  <si>
    <t xml:space="preserve">0-1  </t>
  </si>
  <si>
    <t>2-1</t>
  </si>
  <si>
    <t>LA</t>
  </si>
  <si>
    <t>Clippers</t>
  </si>
  <si>
    <t>Pacific</t>
  </si>
  <si>
    <t>Dallas</t>
  </si>
  <si>
    <t>Mavericks</t>
  </si>
  <si>
    <t>Milwaukee</t>
  </si>
  <si>
    <t>Bucks</t>
  </si>
  <si>
    <t>Central</t>
  </si>
  <si>
    <t>Los Angeles</t>
  </si>
  <si>
    <t>Lakers</t>
  </si>
  <si>
    <t>Boston</t>
  </si>
  <si>
    <t>Celtics</t>
  </si>
  <si>
    <t>Utah</t>
  </si>
  <si>
    <t>Jazz</t>
  </si>
  <si>
    <t>Atlanta</t>
  </si>
  <si>
    <t>Hawks</t>
  </si>
  <si>
    <t xml:space="preserve">2-2  </t>
  </si>
  <si>
    <t>2-2</t>
  </si>
  <si>
    <t>L 2</t>
  </si>
  <si>
    <t xml:space="preserve">1-2  </t>
  </si>
  <si>
    <t>Denver</t>
  </si>
  <si>
    <t>Nuggets</t>
  </si>
  <si>
    <t>Detroit</t>
  </si>
  <si>
    <t>Pistons</t>
  </si>
  <si>
    <t>Houston</t>
  </si>
  <si>
    <t>Rockets</t>
  </si>
  <si>
    <t>Orlando</t>
  </si>
  <si>
    <t>Magic</t>
  </si>
  <si>
    <t>1-2</t>
  </si>
  <si>
    <t xml:space="preserve">0-2  </t>
  </si>
  <si>
    <t>Cleveland</t>
  </si>
  <si>
    <t>Cavaliers</t>
  </si>
  <si>
    <t>Phoenix</t>
  </si>
  <si>
    <t>Suns</t>
  </si>
  <si>
    <t>0-2</t>
  </si>
  <si>
    <t>Brooklyn</t>
  </si>
  <si>
    <t>Nets</t>
  </si>
  <si>
    <t>Portland</t>
  </si>
  <si>
    <t>Trail Blazers</t>
  </si>
  <si>
    <t>Washington</t>
  </si>
  <si>
    <t>Wizards</t>
  </si>
  <si>
    <t>Golden State</t>
  </si>
  <si>
    <t>Warriors</t>
  </si>
  <si>
    <t>Oklahoma City</t>
  </si>
  <si>
    <t>Thunder</t>
  </si>
  <si>
    <t>1-3</t>
  </si>
  <si>
    <t xml:space="preserve">1-3  </t>
  </si>
  <si>
    <t>Charlotte</t>
  </si>
  <si>
    <t>Hornets</t>
  </si>
  <si>
    <t xml:space="preserve">0-3  </t>
  </si>
  <si>
    <t>L 3</t>
  </si>
  <si>
    <t>0-3</t>
  </si>
  <si>
    <t>Memphis</t>
  </si>
  <si>
    <t>Grizzlies</t>
  </si>
  <si>
    <t>New York</t>
  </si>
  <si>
    <t>Knicks</t>
  </si>
  <si>
    <t>Chicago</t>
  </si>
  <si>
    <t>Bulls</t>
  </si>
  <si>
    <t>New Orleans</t>
  </si>
  <si>
    <t>Pelicans</t>
  </si>
  <si>
    <t>0-4</t>
  </si>
  <si>
    <t xml:space="preserve">0-4  </t>
  </si>
  <si>
    <t>L 4</t>
  </si>
  <si>
    <t>Sacramento</t>
  </si>
  <si>
    <t>Kings</t>
  </si>
  <si>
    <t>Indiana</t>
  </si>
  <si>
    <t>Pacers</t>
  </si>
  <si>
    <t>1-2</t>
    <phoneticPr fontId="1"/>
  </si>
  <si>
    <t xml:space="preserve">1-2  </t>
    <phoneticPr fontId="1"/>
  </si>
  <si>
    <t xml:space="preserve">0-0  </t>
    <phoneticPr fontId="1"/>
  </si>
  <si>
    <t>TEAM_ID</t>
  </si>
  <si>
    <t>TEAM_NAME</t>
  </si>
  <si>
    <t>GP</t>
  </si>
  <si>
    <t>W</t>
  </si>
  <si>
    <t>L</t>
  </si>
  <si>
    <t>W_PCT</t>
  </si>
  <si>
    <t>MIN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</si>
  <si>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</si>
  <si>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</si>
  <si>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</si>
  <si>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</si>
  <si>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</si>
  <si>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</si>
  <si>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</si>
  <si>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</si>
  <si>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</si>
  <si>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</si>
  <si>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</si>
  <si>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</si>
  <si>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</si>
  <si>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</si>
  <si>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</si>
  <si>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</si>
  <si>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</si>
  <si>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</si>
  <si>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</si>
  <si>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</si>
  <si>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GP_RANK</t>
  </si>
  <si>
    <t>W_RANK</t>
  </si>
  <si>
    <t>L_RANK</t>
  </si>
  <si>
    <t>W_PCT_RANK</t>
  </si>
  <si>
    <t>MIN_RANK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</si>
  <si>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</si>
  <si>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</si>
  <si>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</si>
  <si>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</si>
  <si>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</si>
  <si>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</si>
  <si>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</si>
  <si>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</si>
  <si>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</si>
  <si>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</si>
  <si>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</si>
  <si>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</si>
  <si>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</si>
  <si>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</si>
  <si>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CFID</t>
  </si>
  <si>
    <t>CFPARAMS</t>
  </si>
  <si>
    <t>Atlanta Hawks</t>
  </si>
  <si>
    <t>Boston Celtics</t>
  </si>
  <si>
    <t>Brooklyn Nets</t>
  </si>
  <si>
    <t>Charlotte Hornets</t>
  </si>
  <si>
    <t>Chicago Bulls</t>
  </si>
  <si>
    <t>Cleveland Cavaliers</t>
  </si>
  <si>
    <t>Dallas Mavericks</t>
  </si>
  <si>
    <t>Denver Nuggets</t>
  </si>
  <si>
    <t>Detroit Pistons</t>
  </si>
  <si>
    <t>Golden State Warriors</t>
  </si>
  <si>
    <t>Houston Rockets</t>
  </si>
  <si>
    <t>Indiana Pacers</t>
  </si>
  <si>
    <t>LA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</si>
  <si>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</si>
  <si>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</si>
  <si>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</si>
  <si>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</si>
  <si>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</si>
  <si>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</si>
  <si>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New York Knicks</t>
  </si>
  <si>
    <t>Oklahoma City Thunder</t>
  </si>
  <si>
    <t>Orlando Magic</t>
  </si>
  <si>
    <t>Philadelphia 76ers</t>
  </si>
  <si>
    <t>Phoenix Suns</t>
  </si>
  <si>
    <t>Portland Trail Blazers</t>
  </si>
  <si>
    <t>Sacramento Kings</t>
  </si>
  <si>
    <t>San Antonio Spurs</t>
  </si>
  <si>
    <t>Toronto Raptors</t>
  </si>
  <si>
    <t>Utah Jazz</t>
  </si>
  <si>
    <t>Washington Wizards</t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</si>
  <si>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</si>
  <si>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</si>
  <si>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</si>
  <si>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</si>
  <si>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</si>
  <si>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</si>
  <si>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Wizards</t>
    <phoneticPr fontId="1"/>
  </si>
  <si>
    <t>22018</t>
  </si>
  <si>
    <t>40-12</t>
  </si>
  <si>
    <t xml:space="preserve"> - e</t>
  </si>
  <si>
    <t xml:space="preserve">14-2 </t>
  </si>
  <si>
    <t>60-22</t>
  </si>
  <si>
    <t xml:space="preserve">33-8 </t>
  </si>
  <si>
    <t>27-14</t>
  </si>
  <si>
    <t xml:space="preserve">7-3  </t>
  </si>
  <si>
    <t xml:space="preserve">5-5  </t>
  </si>
  <si>
    <t xml:space="preserve">5-6  </t>
  </si>
  <si>
    <t xml:space="preserve">45-5 </t>
  </si>
  <si>
    <t>W 6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</si>
  <si>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</si>
  <si>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</si>
  <si>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</si>
  <si>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</si>
  <si>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</si>
  <si>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</si>
  <si>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</si>
  <si>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</si>
  <si>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</si>
  <si>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</si>
  <si>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</si>
  <si>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</si>
  <si>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</si>
  <si>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</si>
  <si>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6-4</t>
  </si>
  <si>
    <t>8-2</t>
  </si>
  <si>
    <t>12-3</t>
  </si>
  <si>
    <t>10-1</t>
  </si>
  <si>
    <t>10-6</t>
  </si>
  <si>
    <t>3-2</t>
  </si>
  <si>
    <t>7-0</t>
  </si>
  <si>
    <t>8-6</t>
  </si>
  <si>
    <t>10-4</t>
  </si>
  <si>
    <t>43-14</t>
  </si>
  <si>
    <t>17-8</t>
  </si>
  <si>
    <t>35-17</t>
  </si>
  <si>
    <t xml:space="preserve"> - w</t>
  </si>
  <si>
    <t xml:space="preserve">13-3 </t>
  </si>
  <si>
    <t>57-25</t>
  </si>
  <si>
    <t>30-11</t>
  </si>
  <si>
    <t xml:space="preserve">8-2  </t>
  </si>
  <si>
    <t xml:space="preserve">0-5  </t>
  </si>
  <si>
    <t xml:space="preserve">7-7  </t>
  </si>
  <si>
    <t>34-10</t>
  </si>
  <si>
    <t>W 11</t>
  </si>
  <si>
    <t>W 5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</si>
  <si>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</si>
  <si>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</si>
  <si>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</si>
  <si>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</si>
  <si>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</si>
  <si>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</si>
  <si>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</si>
  <si>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</si>
  <si>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</si>
  <si>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</si>
  <si>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</si>
  <si>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</si>
  <si>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</si>
  <si>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</si>
  <si>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</si>
  <si>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</si>
  <si>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9-5</t>
  </si>
  <si>
    <t>5-1</t>
  </si>
  <si>
    <t>8-1</t>
  </si>
  <si>
    <t>7-7</t>
  </si>
  <si>
    <t>10-5</t>
  </si>
  <si>
    <t>41-16</t>
  </si>
  <si>
    <t>16-9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</si>
  <si>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</si>
  <si>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</si>
  <si>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</si>
  <si>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</si>
  <si>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</si>
  <si>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</si>
  <si>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4-3  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</si>
  <si>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</si>
  <si>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</si>
  <si>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</si>
  <si>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</si>
  <si>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</si>
  <si>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</si>
  <si>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</si>
  <si>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</si>
  <si>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</si>
  <si>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</si>
  <si>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</si>
  <si>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</si>
  <si>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</si>
  <si>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</si>
  <si>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</si>
  <si>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</si>
  <si>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4-1</t>
  </si>
  <si>
    <t>7-1</t>
  </si>
  <si>
    <t>8-7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</si>
  <si>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</si>
  <si>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</si>
  <si>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</si>
  <si>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</si>
  <si>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</si>
  <si>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</si>
  <si>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</si>
  <si>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 xml:space="preserve">4-6  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</si>
  <si>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</si>
  <si>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</si>
  <si>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</si>
  <si>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</si>
  <si>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</si>
  <si>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</si>
  <si>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 xml:space="preserve">4-1  </t>
  </si>
  <si>
    <t>50-20</t>
  </si>
  <si>
    <t>29-26</t>
  </si>
  <si>
    <t>32-19</t>
  </si>
  <si>
    <t xml:space="preserve">42-4 </t>
  </si>
  <si>
    <t>40-11</t>
  </si>
  <si>
    <t>26-14</t>
  </si>
  <si>
    <t>7-3</t>
  </si>
  <si>
    <t>3-3</t>
  </si>
  <si>
    <t>6-1</t>
  </si>
  <si>
    <t>8-4</t>
  </si>
  <si>
    <t>39-18</t>
  </si>
  <si>
    <t>15-10</t>
  </si>
  <si>
    <t>29-23</t>
  </si>
  <si>
    <t xml:space="preserve"> - x</t>
  </si>
  <si>
    <t xml:space="preserve">6-10 </t>
  </si>
  <si>
    <t>53-29</t>
  </si>
  <si>
    <t>21-20</t>
  </si>
  <si>
    <t xml:space="preserve">9-1  </t>
  </si>
  <si>
    <t xml:space="preserve">6-4  </t>
  </si>
  <si>
    <t xml:space="preserve">4-2  </t>
  </si>
  <si>
    <t xml:space="preserve">29-8 </t>
  </si>
  <si>
    <t>W 8</t>
  </si>
  <si>
    <t>L 6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</si>
  <si>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</si>
  <si>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</si>
  <si>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</si>
  <si>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</si>
  <si>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</si>
  <si>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</si>
  <si>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</si>
  <si>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</si>
  <si>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</si>
  <si>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</si>
  <si>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</si>
  <si>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9-1</t>
  </si>
  <si>
    <t>6-10</t>
  </si>
  <si>
    <t>11-7</t>
  </si>
  <si>
    <t>11-4</t>
  </si>
  <si>
    <t>6-3</t>
  </si>
  <si>
    <t>5-2</t>
  </si>
  <si>
    <t>34-23</t>
  </si>
  <si>
    <t>19-6</t>
  </si>
  <si>
    <t>31-21</t>
  </si>
  <si>
    <t xml:space="preserve">8-8  </t>
  </si>
  <si>
    <t>51-31</t>
  </si>
  <si>
    <t>31-10</t>
  </si>
  <si>
    <t xml:space="preserve">2-3  </t>
  </si>
  <si>
    <t xml:space="preserve">10-8 </t>
  </si>
  <si>
    <t>22-16</t>
  </si>
  <si>
    <t>L 5</t>
  </si>
  <si>
    <t xml:space="preserve">42-7 </t>
  </si>
  <si>
    <t xml:space="preserve">6-22 </t>
  </si>
  <si>
    <t xml:space="preserve">3-2  </t>
  </si>
  <si>
    <t xml:space="preserve">7-24 </t>
  </si>
  <si>
    <t>51-24</t>
  </si>
  <si>
    <t>39-31</t>
  </si>
  <si>
    <t>27-19</t>
  </si>
  <si>
    <t xml:space="preserve">19-3 </t>
  </si>
  <si>
    <t>8-8</t>
  </si>
  <si>
    <t>2-4</t>
  </si>
  <si>
    <t>4-4</t>
  </si>
  <si>
    <t>7-6</t>
  </si>
  <si>
    <t>37-21</t>
  </si>
  <si>
    <t>14-10</t>
  </si>
  <si>
    <t xml:space="preserve">10-6 </t>
  </si>
  <si>
    <t>49-33</t>
  </si>
  <si>
    <t>28-13</t>
  </si>
  <si>
    <t xml:space="preserve">4-0  </t>
  </si>
  <si>
    <t>24-12</t>
  </si>
  <si>
    <t>W 4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</si>
  <si>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</si>
  <si>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</si>
  <si>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</si>
  <si>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</si>
  <si>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</si>
  <si>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</si>
  <si>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</si>
  <si>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</si>
  <si>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</si>
  <si>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4-6</t>
  </si>
  <si>
    <t>5-5</t>
  </si>
  <si>
    <t>5-6</t>
  </si>
  <si>
    <t>7-8</t>
  </si>
  <si>
    <t>12-12</t>
  </si>
  <si>
    <t>32-20</t>
  </si>
  <si>
    <t xml:space="preserve"> - sw</t>
  </si>
  <si>
    <t>22-19</t>
  </si>
  <si>
    <t xml:space="preserve">2-4  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</si>
  <si>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</si>
  <si>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</si>
  <si>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</si>
  <si>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</si>
  <si>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</si>
  <si>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</si>
  <si>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</si>
  <si>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</si>
  <si>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</si>
  <si>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</si>
  <si>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</si>
  <si>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</si>
  <si>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</si>
  <si>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</si>
  <si>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</si>
  <si>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</si>
  <si>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30-22</t>
  </si>
  <si>
    <t>50-32</t>
  </si>
  <si>
    <t xml:space="preserve">0-7  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</si>
  <si>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</si>
  <si>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</si>
  <si>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</si>
  <si>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</si>
  <si>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</si>
  <si>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</si>
  <si>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</si>
  <si>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</si>
  <si>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</si>
  <si>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</si>
  <si>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4-2</t>
  </si>
  <si>
    <t>4-3</t>
  </si>
  <si>
    <t>7-9</t>
  </si>
  <si>
    <t>32-25</t>
  </si>
  <si>
    <t>18-7</t>
  </si>
  <si>
    <t>33-19</t>
  </si>
  <si>
    <t xml:space="preserve">11-5 </t>
  </si>
  <si>
    <t>48-34</t>
  </si>
  <si>
    <t>19-22</t>
  </si>
  <si>
    <t xml:space="preserve">2-8  </t>
  </si>
  <si>
    <t xml:space="preserve">6-6  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</si>
  <si>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</si>
  <si>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</si>
  <si>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</si>
  <si>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</si>
  <si>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</si>
  <si>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</si>
  <si>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</si>
  <si>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</si>
  <si>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</si>
  <si>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</si>
  <si>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</si>
  <si>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</si>
  <si>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</si>
  <si>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</si>
  <si>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</si>
  <si>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</si>
  <si>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4-10</t>
  </si>
  <si>
    <t>5-3</t>
  </si>
  <si>
    <t>38-20</t>
  </si>
  <si>
    <t>10-14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</si>
  <si>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</si>
  <si>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</si>
  <si>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</si>
  <si>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</si>
  <si>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</si>
  <si>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</si>
  <si>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</si>
  <si>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</si>
  <si>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</si>
  <si>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</si>
  <si>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</si>
  <si>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</si>
  <si>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</si>
  <si>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</si>
  <si>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6-5</t>
  </si>
  <si>
    <t>5-0</t>
  </si>
  <si>
    <t>37-20</t>
  </si>
  <si>
    <t>12-13</t>
  </si>
  <si>
    <t>42-40</t>
  </si>
  <si>
    <t>23-18</t>
  </si>
  <si>
    <t xml:space="preserve">5-2  </t>
  </si>
  <si>
    <t xml:space="preserve">12-8 </t>
  </si>
  <si>
    <t>16-22</t>
  </si>
  <si>
    <t>W 9</t>
  </si>
  <si>
    <t xml:space="preserve">8-28 </t>
  </si>
  <si>
    <t xml:space="preserve">5-4 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</si>
  <si>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</si>
  <si>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</si>
  <si>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</si>
  <si>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</si>
  <si>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</si>
  <si>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</si>
  <si>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</si>
  <si>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</si>
  <si>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2-8</t>
  </si>
  <si>
    <t>3-5</t>
  </si>
  <si>
    <t>5-10</t>
  </si>
  <si>
    <t>30-29</t>
  </si>
  <si>
    <t>12-11</t>
  </si>
  <si>
    <t>16-25</t>
  </si>
  <si>
    <t xml:space="preserve">7-4  </t>
  </si>
  <si>
    <t>25-16</t>
  </si>
  <si>
    <t xml:space="preserve">37-6 </t>
  </si>
  <si>
    <t xml:space="preserve">9-28 </t>
  </si>
  <si>
    <t xml:space="preserve">39-4 </t>
  </si>
  <si>
    <t>47-22</t>
  </si>
  <si>
    <t>32-31</t>
  </si>
  <si>
    <t>21-21</t>
  </si>
  <si>
    <t>34-13</t>
  </si>
  <si>
    <t>30-12</t>
  </si>
  <si>
    <t>18-12</t>
  </si>
  <si>
    <t>3-7</t>
  </si>
  <si>
    <t>33-26</t>
  </si>
  <si>
    <t xml:space="preserve"> - se</t>
  </si>
  <si>
    <t>17-24</t>
  </si>
  <si>
    <t>12-27</t>
  </si>
  <si>
    <t xml:space="preserve">32-8 </t>
  </si>
  <si>
    <t>10-31</t>
  </si>
  <si>
    <t>38-19</t>
  </si>
  <si>
    <t>23-37</t>
  </si>
  <si>
    <t>18-23</t>
  </si>
  <si>
    <t>12-18</t>
  </si>
  <si>
    <t>5-11</t>
  </si>
  <si>
    <t>8-3</t>
  </si>
  <si>
    <t>2-5</t>
  </si>
  <si>
    <t>5-8</t>
  </si>
  <si>
    <t>27-32</t>
  </si>
  <si>
    <t xml:space="preserve">5-1  </t>
  </si>
  <si>
    <t xml:space="preserve">6-2  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</si>
  <si>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</si>
  <si>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</si>
  <si>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</si>
  <si>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</si>
  <si>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</si>
  <si>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</si>
  <si>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</si>
  <si>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</si>
  <si>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</si>
  <si>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</si>
  <si>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</si>
  <si>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11-3</t>
  </si>
  <si>
    <t>6-9</t>
  </si>
  <si>
    <t>32-27</t>
  </si>
  <si>
    <t>16-7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</si>
  <si>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</si>
  <si>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</si>
  <si>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</si>
  <si>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</si>
  <si>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</si>
  <si>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</si>
  <si>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</si>
  <si>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</si>
  <si>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</si>
  <si>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</si>
  <si>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</si>
  <si>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</si>
  <si>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</si>
  <si>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</si>
  <si>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</si>
  <si>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</si>
  <si>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</si>
  <si>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21-31</t>
  </si>
  <si>
    <t xml:space="preserve"> - o</t>
  </si>
  <si>
    <t xml:space="preserve">4-12 </t>
  </si>
  <si>
    <t>39-43</t>
  </si>
  <si>
    <t>24-17</t>
  </si>
  <si>
    <t xml:space="preserve">3-7  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</si>
  <si>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</si>
  <si>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</si>
  <si>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</si>
  <si>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</si>
  <si>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</si>
  <si>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</si>
  <si>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</si>
  <si>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</si>
  <si>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</si>
  <si>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</si>
  <si>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</si>
  <si>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1-4</t>
  </si>
  <si>
    <t>30-27</t>
  </si>
  <si>
    <t>9-16</t>
  </si>
  <si>
    <t>14-27</t>
  </si>
  <si>
    <t xml:space="preserve">1-4  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</si>
  <si>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</si>
  <si>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</si>
  <si>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</si>
  <si>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</si>
  <si>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</si>
  <si>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</si>
  <si>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</si>
  <si>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</si>
  <si>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</si>
  <si>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6-8</t>
  </si>
  <si>
    <t>4-7</t>
  </si>
  <si>
    <t>27-30</t>
  </si>
  <si>
    <t>23-29</t>
  </si>
  <si>
    <t xml:space="preserve">7-9  </t>
  </si>
  <si>
    <t>16-20</t>
  </si>
  <si>
    <t>11-24</t>
  </si>
  <si>
    <t xml:space="preserve">5-3  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</si>
  <si>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</si>
  <si>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</si>
  <si>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</si>
  <si>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</si>
  <si>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</si>
  <si>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</si>
  <si>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</si>
  <si>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</si>
  <si>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</si>
  <si>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</si>
  <si>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3-4</t>
  </si>
  <si>
    <t>5-9</t>
  </si>
  <si>
    <t>13-13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</si>
  <si>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</si>
  <si>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</si>
  <si>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</si>
  <si>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</si>
  <si>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</si>
  <si>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</si>
  <si>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</si>
  <si>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</si>
  <si>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</si>
  <si>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</si>
  <si>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</si>
  <si>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</si>
  <si>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</si>
  <si>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3-6</t>
  </si>
  <si>
    <t>2-3</t>
  </si>
  <si>
    <t>28-29</t>
  </si>
  <si>
    <t>22-30</t>
  </si>
  <si>
    <t xml:space="preserve">5-11 </t>
  </si>
  <si>
    <t>36-46</t>
  </si>
  <si>
    <t>11-30</t>
  </si>
  <si>
    <t xml:space="preserve">3-3  </t>
  </si>
  <si>
    <t xml:space="preserve">8-5  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</si>
  <si>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</si>
  <si>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</si>
  <si>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</si>
  <si>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</si>
  <si>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</si>
  <si>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</si>
  <si>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</si>
  <si>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</si>
  <si>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</si>
  <si>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</si>
  <si>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</si>
  <si>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19-33</t>
  </si>
  <si>
    <t>32-50</t>
  </si>
  <si>
    <t xml:space="preserve">3-4  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</si>
  <si>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</si>
  <si>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</si>
  <si>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</si>
  <si>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</si>
  <si>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</si>
  <si>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</si>
  <si>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</si>
  <si>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</si>
  <si>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</si>
  <si>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</si>
  <si>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</si>
  <si>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</si>
  <si>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</si>
  <si>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</si>
  <si>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</si>
  <si>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</si>
  <si>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</si>
  <si>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</si>
  <si>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</si>
  <si>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</si>
  <si>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</si>
  <si>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</si>
  <si>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</si>
  <si>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</si>
  <si>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</si>
  <si>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</si>
  <si>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</si>
  <si>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</si>
  <si>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</si>
  <si>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</si>
  <si>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</si>
  <si>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</si>
  <si>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</si>
  <si>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</si>
  <si>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</si>
  <si>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</si>
  <si>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L 7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</si>
  <si>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</si>
  <si>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</si>
  <si>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</si>
  <si>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</si>
  <si>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</si>
  <si>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</si>
  <si>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</si>
  <si>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</si>
  <si>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</si>
  <si>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3-13</t>
  </si>
  <si>
    <t>6-7</t>
  </si>
  <si>
    <t>19-39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</si>
  <si>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</si>
  <si>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</si>
  <si>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</si>
  <si>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</si>
  <si>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</si>
  <si>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</si>
  <si>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</si>
  <si>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</si>
  <si>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</si>
  <si>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</si>
  <si>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</si>
  <si>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</si>
  <si>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</si>
  <si>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</si>
  <si>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</si>
  <si>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</si>
  <si>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</si>
  <si>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</si>
  <si>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</si>
  <si>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 xml:space="preserve">1-9  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</si>
  <si>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</si>
  <si>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</si>
  <si>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</si>
  <si>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</si>
  <si>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</si>
  <si>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</si>
  <si>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</si>
  <si>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</si>
  <si>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</si>
  <si>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</si>
  <si>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</si>
  <si>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</si>
  <si>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</si>
  <si>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</si>
  <si>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</si>
  <si>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</si>
  <si>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</si>
  <si>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</si>
  <si>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</si>
  <si>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</si>
  <si>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</si>
  <si>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</si>
  <si>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</si>
  <si>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</si>
  <si>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</si>
  <si>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</si>
  <si>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</si>
  <si>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</si>
  <si>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</si>
  <si>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</si>
  <si>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1-5 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</si>
  <si>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</si>
  <si>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</si>
  <si>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</si>
  <si>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</si>
  <si>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</si>
  <si>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</si>
  <si>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</si>
  <si>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</si>
  <si>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</si>
  <si>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0-5</t>
  </si>
  <si>
    <t>3-11</t>
  </si>
  <si>
    <t>12-46</t>
  </si>
  <si>
    <t>7-17</t>
  </si>
  <si>
    <t>11-41</t>
  </si>
  <si>
    <t xml:space="preserve">2-14 </t>
  </si>
  <si>
    <t>17-65</t>
  </si>
  <si>
    <t xml:space="preserve">8-33 </t>
  </si>
  <si>
    <t xml:space="preserve">4-7 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</si>
  <si>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</si>
  <si>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</si>
  <si>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</si>
  <si>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</si>
  <si>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</si>
  <si>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</si>
  <si>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</si>
  <si>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</si>
  <si>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</si>
  <si>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</si>
  <si>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</si>
  <si>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</si>
  <si>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</si>
  <si>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</si>
  <si>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</si>
  <si>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</si>
  <si>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</si>
  <si>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</si>
  <si>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</si>
  <si>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</si>
  <si>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</si>
  <si>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</si>
  <si>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</si>
  <si>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</si>
  <si>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</si>
  <si>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</si>
  <si>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</si>
  <si>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</si>
  <si>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</si>
  <si>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</si>
  <si>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</si>
  <si>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</si>
  <si>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</si>
  <si>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</si>
  <si>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</si>
  <si>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</si>
  <si>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</si>
  <si>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</si>
  <si>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</si>
  <si>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</si>
  <si>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</si>
  <si>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</si>
  <si>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</si>
  <si>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</si>
  <si>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</si>
  <si>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</si>
  <si>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Admiral Schofield</t>
  </si>
  <si>
    <t>1</t>
  </si>
  <si>
    <t>G-F</t>
  </si>
  <si>
    <t>241</t>
  </si>
  <si>
    <t>MAR 30, 1997</t>
  </si>
  <si>
    <t>R</t>
  </si>
  <si>
    <t>Tennessee</t>
  </si>
  <si>
    <t>John Wall</t>
  </si>
  <si>
    <t>2</t>
  </si>
  <si>
    <t>G</t>
  </si>
  <si>
    <t>210</t>
  </si>
  <si>
    <t>SEP 06, 1990</t>
  </si>
  <si>
    <t>9</t>
  </si>
  <si>
    <t>Kentucky</t>
  </si>
  <si>
    <t>Bradley Beal</t>
  </si>
  <si>
    <t>3</t>
  </si>
  <si>
    <t>207</t>
  </si>
  <si>
    <t>JUN 28, 1993</t>
  </si>
  <si>
    <t>7</t>
  </si>
  <si>
    <t>Florida</t>
  </si>
  <si>
    <t>Isaiah Thomas</t>
  </si>
  <si>
    <t>4</t>
  </si>
  <si>
    <t>185</t>
  </si>
  <si>
    <t>FEB 07, 1989</t>
  </si>
  <si>
    <t>8</t>
  </si>
  <si>
    <t>Justin Robinson</t>
  </si>
  <si>
    <t>5</t>
  </si>
  <si>
    <t>195</t>
  </si>
  <si>
    <t>OCT 12, 1997</t>
  </si>
  <si>
    <t>Virginia Tech</t>
  </si>
  <si>
    <t>Troy Brown Jr.</t>
  </si>
  <si>
    <t>6</t>
  </si>
  <si>
    <t>6-6</t>
  </si>
  <si>
    <t>215</t>
  </si>
  <si>
    <t>JUL 28, 1999</t>
  </si>
  <si>
    <t>Oregon</t>
  </si>
  <si>
    <t>Rui Hachimura</t>
  </si>
  <si>
    <t>F</t>
  </si>
  <si>
    <t>230</t>
  </si>
  <si>
    <t>FEB 08, 1998</t>
  </si>
  <si>
    <t>Gonzaga</t>
  </si>
  <si>
    <t>Chris Chiozza</t>
  </si>
  <si>
    <t>175</t>
  </si>
  <si>
    <t>NOV 21, 1995</t>
  </si>
  <si>
    <t>Thomas Bryant</t>
  </si>
  <si>
    <t>13</t>
  </si>
  <si>
    <t>C-F</t>
  </si>
  <si>
    <t>248</t>
  </si>
  <si>
    <t>JUL 31, 1997</t>
  </si>
  <si>
    <t>Ish Smith</t>
  </si>
  <si>
    <t>14</t>
  </si>
  <si>
    <t>6-0</t>
  </si>
  <si>
    <t>JUL 05, 1988</t>
  </si>
  <si>
    <t>Wake Forest</t>
  </si>
  <si>
    <t>Isaac Bonga</t>
  </si>
  <si>
    <t>17</t>
  </si>
  <si>
    <t>180</t>
  </si>
  <si>
    <t>NOV 08, 1999</t>
  </si>
  <si>
    <t xml:space="preserve"> </t>
  </si>
  <si>
    <t>Moritz Wagner</t>
  </si>
  <si>
    <t>21</t>
  </si>
  <si>
    <t>F-C</t>
  </si>
  <si>
    <t>6-11</t>
  </si>
  <si>
    <t>245</t>
  </si>
  <si>
    <t>APR 26, 1997</t>
  </si>
  <si>
    <t>Michigan</t>
  </si>
  <si>
    <t>Garrison Mathews</t>
  </si>
  <si>
    <t>24</t>
  </si>
  <si>
    <t>OCT 24, 1996</t>
  </si>
  <si>
    <t>Lipscomb</t>
  </si>
  <si>
    <t>Ian Mahinmi</t>
  </si>
  <si>
    <t>28</t>
  </si>
  <si>
    <t>C</t>
  </si>
  <si>
    <t>262</t>
  </si>
  <si>
    <t>NOV 05, 1986</t>
  </si>
  <si>
    <t>11</t>
  </si>
  <si>
    <t>CJ Miles</t>
  </si>
  <si>
    <t>34</t>
  </si>
  <si>
    <t>220</t>
  </si>
  <si>
    <t>MAR 18, 1987</t>
  </si>
  <si>
    <t>No College</t>
  </si>
  <si>
    <t>Davis Bertans</t>
  </si>
  <si>
    <t>42</t>
  </si>
  <si>
    <t>225</t>
  </si>
  <si>
    <t>NOV 12, 1992</t>
  </si>
  <si>
    <t>Jordan McRae</t>
  </si>
  <si>
    <t>52</t>
  </si>
  <si>
    <t>179</t>
  </si>
  <si>
    <t>MAR 28, 1991</t>
  </si>
  <si>
    <t>32-50</t>
    <phoneticPr fontId="1"/>
  </si>
  <si>
    <t xml:space="preserve">2-8  </t>
    <phoneticPr fontId="1"/>
  </si>
  <si>
    <t>22-19</t>
    <phoneticPr fontId="1"/>
  </si>
  <si>
    <t>10-31</t>
    <phoneticPr fontId="1"/>
  </si>
  <si>
    <t>24-34</t>
    <phoneticPr fontId="1"/>
  </si>
  <si>
    <t>8-16</t>
    <phoneticPr fontId="1"/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</si>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</sst>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"/>
    <numFmt numFmtId="177" formatCode="#.##"/>
    <numFmt numFmtId="178" formatCode="##"/>
    <numFmt numFmtId="179" formatCode="#.##0#"/>
    <numFmt numFmtId="180" formatCode="#0.##"/>
    <numFmt numFmtId="181" formatCode="##.##%"/>
  </numFmts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0" fontId="0" fillId="2" borderId="0" xfId="0" applyFill="1"/>
    <xf numFmtId="49" fontId="0" fillId="3" borderId="0" xfId="0" applyNumberFormat="1" applyFill="1"/>
    <xf numFmtId="0" fontId="0" fillId="3" borderId="0" xfId="0" applyFill="1"/>
    <xf numFmtId="0" fontId="0" fillId="4" borderId="0" xfId="0" applyFill="1"/>
    <xf numFmtId="181" fontId="0" fillId="0" borderId="0" xfId="0" applyNumberFormat="1"/>
    <xf numFmtId="0" fontId="0" fillId="5" borderId="0" xfId="0" applyFill="1"/>
  </cellXfs>
  <cellStyles count="1">
    <cellStyle name="標準" xfId="0" builtinId="0"/>
  </cellStyles>
  <dxfs count="33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234043</xdr:colOff>
          <xdr:row>5</xdr:row>
          <xdr:rowOff>108857</xdr:rowOff>
        </xdr:from>
        <xdr:to>
          <xdr:col>9</xdr:col>
          <xdr:colOff>484414</xdr:colOff>
          <xdr:row>14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46875FA-6195-4A70-90D4-A58FB9B98566}" name="TableStandingsN" displayName="TableStandingsN" ref="A1:CC31" totalsRowShown="0" headerRowDxfId="337">
  <autoFilter ref="A1:CC31" xr:uid="{BA7F1FE3-F1CD-4798-87D5-BD811388CA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E5C4FF8B-43F0-49DD-AB9D-5D28F50CAE14}" name="LeagueID" dataDxfId="336"/>
    <tableColumn id="2" xr3:uid="{97A51A80-E2D1-429D-8E18-EB2469DE82B2}" name="SeasonID" dataDxfId="335"/>
    <tableColumn id="3" xr3:uid="{61F3D08C-29A6-4592-AFF8-D17B21B04A43}" name="TeamID" dataDxfId="334"/>
    <tableColumn id="4" xr3:uid="{40B34C48-7180-413C-B56A-B74CB27335EB}" name="TeamCity" dataDxfId="333"/>
    <tableColumn id="5" xr3:uid="{FD1FD51D-7E68-4DB1-BB5A-15F9CD9F35E4}" name="TeamName" dataDxfId="332"/>
    <tableColumn id="6" xr3:uid="{C56242C2-61C7-494E-8B3F-D175E4F11467}" name="Conference" dataDxfId="331"/>
    <tableColumn id="7" xr3:uid="{923D8293-D997-451C-A83A-F57064034F2F}" name="ConferenceRecord" dataDxfId="330"/>
    <tableColumn id="8" xr3:uid="{AB8CC6D8-1491-48A7-AADC-BDAD13C8D0DD}" name="PlayoffRank" dataDxfId="329"/>
    <tableColumn id="9" xr3:uid="{6475024F-3D1B-45C7-B91D-1EF86D2C94F4}" name="ClinchIndicator" dataDxfId="328"/>
    <tableColumn id="10" xr3:uid="{6ADD3D99-0859-4F1C-B163-A1B05E922059}" name="Division" dataDxfId="327"/>
    <tableColumn id="11" xr3:uid="{6B7D6B41-5DCF-4957-AA44-A2BA36E01A13}" name="DivisionRecord" dataDxfId="326"/>
    <tableColumn id="12" xr3:uid="{F0C1950D-211E-4C43-AD66-82CD6EEC2FB5}" name="DivisionRank" dataDxfId="325"/>
    <tableColumn id="13" xr3:uid="{BCB53A27-AE62-4334-89D3-69EC01A89FF0}" name="WINS" dataDxfId="324"/>
    <tableColumn id="14" xr3:uid="{60D100E1-27ED-456C-93B3-6CA58B07C50C}" name="LOSSES" dataDxfId="323"/>
    <tableColumn id="15" xr3:uid="{3688B122-C084-4814-8C6A-4CBB58C6763D}" name="WinPCT" dataDxfId="322"/>
    <tableColumn id="16" xr3:uid="{3FB6F785-34A6-47CA-A9A2-C8893B03183D}" name="LeagueRank" dataDxfId="321"/>
    <tableColumn id="17" xr3:uid="{8E64752D-2200-436C-967F-BB3D223DC2AB}" name="Record" dataDxfId="320"/>
    <tableColumn id="18" xr3:uid="{B2BA72CE-3AA0-45A4-A5DC-6D847A792F10}" name="HOME" dataDxfId="319"/>
    <tableColumn id="19" xr3:uid="{DD33590E-2EB9-4F0D-8439-F657E7ACE7E9}" name="ROAD" dataDxfId="318"/>
    <tableColumn id="20" xr3:uid="{4BAF4C5A-E42D-4C4A-8555-BABB734AD062}" name="L10" dataDxfId="317"/>
    <tableColumn id="21" xr3:uid="{52528275-A8F0-47DC-B373-E959DAA1B13D}" name="Last10Home" dataDxfId="316"/>
    <tableColumn id="22" xr3:uid="{39BE25DD-32C9-496C-B38B-0400D9CE63EB}" name="Last10Road" dataDxfId="315"/>
    <tableColumn id="23" xr3:uid="{EEAF8F85-A09F-48FA-AF44-4BD12B1D8257}" name="OT" dataDxfId="314"/>
    <tableColumn id="24" xr3:uid="{AA8DA4F6-39BA-4B73-9B77-9C988A267E11}" name="ThreePTSOrLess" dataDxfId="313"/>
    <tableColumn id="25" xr3:uid="{3FABF323-583F-46B5-83C5-03F0FAB39117}" name="TenPTSOrMore" dataDxfId="312"/>
    <tableColumn id="26" xr3:uid="{1F0C69F2-AA6F-4CF5-8644-90D8970B08F6}" name="LongHomeStreak" dataDxfId="311"/>
    <tableColumn id="27" xr3:uid="{2AA1AC66-5B14-4C01-99B1-7A63F6D942EC}" name="strLongHomeStreak" dataDxfId="310"/>
    <tableColumn id="28" xr3:uid="{4A203F39-83ED-410D-A307-84925E288137}" name="LongRoadStreak" dataDxfId="309"/>
    <tableColumn id="29" xr3:uid="{754B242A-9523-49BE-949B-57466B58599F}" name="strLongRoadStreak" dataDxfId="308"/>
    <tableColumn id="30" xr3:uid="{D4DF6D97-4270-42B7-9985-1BC166FCA34A}" name="LongWinStreak" dataDxfId="307"/>
    <tableColumn id="31" xr3:uid="{01E5F6EA-B8DA-4F6F-99EB-B93F351DBD2B}" name="LongLossStreak" dataDxfId="306"/>
    <tableColumn id="32" xr3:uid="{D30B120F-3E0C-41CA-B4D1-D1720EED18F0}" name="CurrentHomeStreak" dataDxfId="305"/>
    <tableColumn id="33" xr3:uid="{A9B1EBA5-37B7-4233-9CF2-5DAB8832A605}" name="strCurrentHomeStreak" dataDxfId="304"/>
    <tableColumn id="34" xr3:uid="{3A22F6C6-9240-4983-A09B-4824221FB388}" name="CurrentRoadStreak" dataDxfId="303"/>
    <tableColumn id="35" xr3:uid="{70748CC5-66F1-432F-A2AB-56B9ED7E3CDA}" name="strCurrentRoadStreak" dataDxfId="302"/>
    <tableColumn id="36" xr3:uid="{ECC325EB-0DD3-4287-A368-A4A41EC75FB3}" name="CurrentStreak" dataDxfId="301"/>
    <tableColumn id="37" xr3:uid="{560BE0C9-2FE3-4C75-8D0A-15E66E58DEE9}" name="strCurrentStreak" dataDxfId="300"/>
    <tableColumn id="38" xr3:uid="{CE8349B4-AA4B-49C4-B926-75EAA4B9041A}" name="ConferenceGamesBack" dataDxfId="299"/>
    <tableColumn id="39" xr3:uid="{F8EE0E9B-2234-46A2-BE55-616CC9C9BB2F}" name="DivisionGamesBack" dataDxfId="298"/>
    <tableColumn id="40" xr3:uid="{4C185A45-FD77-4211-878B-E2D96422494C}" name="ClinchedConferenceTitle" dataDxfId="297"/>
    <tableColumn id="41" xr3:uid="{1693F5DA-CB91-45D3-8AD4-10B3B4ED5BE0}" name="ClinchedDivisionTitle" dataDxfId="296"/>
    <tableColumn id="42" xr3:uid="{B3251C8E-7ADB-4202-9FF2-FB8AB21514C0}" name="ClinchedPlayoffBirth" dataDxfId="295"/>
    <tableColumn id="43" xr3:uid="{C8B43920-BC41-44ED-9517-439D4BA1A23A}" name="EliminatedConference" dataDxfId="294"/>
    <tableColumn id="44" xr3:uid="{5EA4C4B3-D4D6-43F0-A9F9-02AA0B433FFA}" name="EliminatedDivision" dataDxfId="293"/>
    <tableColumn id="45" xr3:uid="{85B8B2FC-F77A-4A46-94F1-B7A861676550}" name="AheadAtHalf" dataDxfId="292"/>
    <tableColumn id="46" xr3:uid="{F88729BA-2BD3-42C5-9DB9-9C346B31314D}" name="BehindAtHalf" dataDxfId="291"/>
    <tableColumn id="47" xr3:uid="{47C78C95-B5FA-4754-8761-6130F76AC10D}" name="TiedAtHalf" dataDxfId="290"/>
    <tableColumn id="48" xr3:uid="{86E6E7CE-579D-4632-B96B-C16C08BC26D8}" name="AheadAtThird" dataDxfId="289"/>
    <tableColumn id="49" xr3:uid="{C829F6A1-F7BB-4F20-A42D-CAFE45CC27AB}" name="BehindAtThird" dataDxfId="288"/>
    <tableColumn id="50" xr3:uid="{7474BF1B-D76B-4768-B57B-2AA123CCE76E}" name="TiedAtThird" dataDxfId="287"/>
    <tableColumn id="51" xr3:uid="{15C6C9D8-3437-47AD-8181-6ECAB9426071}" name="Score100PTS" dataDxfId="286"/>
    <tableColumn id="52" xr3:uid="{89E3815E-E619-4F4F-A7FF-14D187F03FF1}" name="OppScore100PTS" dataDxfId="285"/>
    <tableColumn id="53" xr3:uid="{C2E25CB4-E38F-43E4-AF1E-00A143669683}" name="OppOver500" dataDxfId="284"/>
    <tableColumn id="54" xr3:uid="{68C01F18-6D3C-4388-9E91-C5B5A5D38814}" name="LeadInFGPCT" dataDxfId="283"/>
    <tableColumn id="55" xr3:uid="{697E6906-1CCA-498A-8F41-A8FFE7996B9D}" name="LeadInReb" dataDxfId="282"/>
    <tableColumn id="56" xr3:uid="{B9B21006-6C1A-46FB-B747-B10A82ED59D0}" name="FewerTurnovers" dataDxfId="281"/>
    <tableColumn id="57" xr3:uid="{89F11D4F-A421-4919-8923-C25FCC2C738E}" name="PointsPG" dataDxfId="280"/>
    <tableColumn id="58" xr3:uid="{071A2D58-8EFD-4598-A277-6B70EF1904BB}" name="OppPointsPG" dataDxfId="279"/>
    <tableColumn id="59" xr3:uid="{2E9994CE-F0BA-4ED7-B1A9-3F5F155EB5BA}" name="DiffPointsPG" dataDxfId="278"/>
    <tableColumn id="60" xr3:uid="{40444FFC-34DE-41D2-8A1F-F0B9E13E0624}" name="vsEast" dataDxfId="277"/>
    <tableColumn id="61" xr3:uid="{823659E9-24BA-4D60-B7E8-380059D13993}" name="vsAtlantic" dataDxfId="276"/>
    <tableColumn id="62" xr3:uid="{4BEC199B-A831-4BEE-816D-DEA7F4245E1A}" name="vsCentral" dataDxfId="275"/>
    <tableColumn id="63" xr3:uid="{FED60E28-0474-42E4-8F00-BFE71897A270}" name="vsSoutheast" dataDxfId="274"/>
    <tableColumn id="64" xr3:uid="{C8DF5B4F-7AA6-44E2-8D12-0D2783405F97}" name="vsWest" dataDxfId="273"/>
    <tableColumn id="65" xr3:uid="{B96FB706-F6EB-4DEC-BA8C-692A3FEC5C63}" name="vsNorthwest" dataDxfId="272"/>
    <tableColumn id="66" xr3:uid="{5D227580-5ADF-4001-A4E2-FE0E039B1CD8}" name="vsPacific" dataDxfId="271"/>
    <tableColumn id="67" xr3:uid="{9244BE46-C588-41E6-98EA-D4263E3C65C8}" name="vsSouthwest" dataDxfId="270"/>
    <tableColumn id="68" xr3:uid="{67E05880-9C66-45DB-9927-0AF846628008}" name="Jan" dataDxfId="269"/>
    <tableColumn id="69" xr3:uid="{4DF302A1-FACB-4070-BC8F-BD17C911F8DE}" name="Feb" dataDxfId="268"/>
    <tableColumn id="70" xr3:uid="{5671A3F2-7852-4099-AF57-39E5F6731D22}" name="Mar" dataDxfId="267"/>
    <tableColumn id="71" xr3:uid="{666357EE-6501-44E0-8E5C-4045128BBA8E}" name="Apr" dataDxfId="266"/>
    <tableColumn id="72" xr3:uid="{C46FD900-A6AF-4BB3-AE24-7DD990526C66}" name="May" dataDxfId="265"/>
    <tableColumn id="73" xr3:uid="{C26E5419-62BF-4CED-A34C-6417C04F5A97}" name="Jun" dataDxfId="264"/>
    <tableColumn id="74" xr3:uid="{8969AA50-DAD9-4577-BD8E-AB872E6EBFA6}" name="Jul" dataDxfId="263"/>
    <tableColumn id="75" xr3:uid="{9F33E96E-F561-4A8C-83DC-C3BED65A08F6}" name="Aug" dataDxfId="262"/>
    <tableColumn id="76" xr3:uid="{CDA978EA-3C0A-4B8A-BBD4-00C245CD1A5B}" name="Sep" dataDxfId="261"/>
    <tableColumn id="77" xr3:uid="{AEA10A3E-EAB8-4B37-81F0-9A2ECA76E5C5}" name="Oct" dataDxfId="260"/>
    <tableColumn id="78" xr3:uid="{F8FE4059-D5D9-4188-9398-161C4003D49C}" name="Nov" dataDxfId="259"/>
    <tableColumn id="79" xr3:uid="{1AEFE797-5041-477E-A839-3D1195980E15}" name="Dec" dataDxfId="258"/>
    <tableColumn id="80" xr3:uid="{3F96AFC7-EAB4-4D8C-B0F0-9B1338BD682E}" name="PreAS" dataDxfId="257"/>
    <tableColumn id="81" xr3:uid="{DC130F88-9E30-4B25-8FBF-3F0B54E31FD8}" name="PostAS" dataDxfId="2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37FE4A7-5F31-4DED-A71F-A0B3861E23DF}" name="TableAdvancedN1" displayName="TableAdvancedN1" ref="A1:AV31" totalsRowShown="0" headerRowDxfId="255">
  <autoFilter ref="A1:AV31" xr:uid="{C85AF987-AF56-451F-AAC5-18788D8AE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53FE9C2-E15C-4A54-AB65-71A99BE44D78}" name="TEAM_ID" dataDxfId="254"/>
    <tableColumn id="2" xr3:uid="{B4907D32-084B-4F70-81F3-B5872FFA8731}" name="TEAM_NAME" dataDxfId="253"/>
    <tableColumn id="3" xr3:uid="{A4330248-EA62-499F-AF05-54B0649E6CF2}" name="GP" dataDxfId="252"/>
    <tableColumn id="4" xr3:uid="{C879C6A5-6930-4BC0-9FD6-A7B0CC1E68DF}" name="W" dataDxfId="251"/>
    <tableColumn id="5" xr3:uid="{489BFE03-BF94-4E39-B702-AF82412850E8}" name="L" dataDxfId="250"/>
    <tableColumn id="6" xr3:uid="{AA6AE999-D66D-430F-9ED7-3EDF4B5C375F}" name="W_PCT" dataDxfId="249"/>
    <tableColumn id="7" xr3:uid="{41A01E7E-3D40-4183-B4C0-25501FAB83D2}" name="MIN" dataDxfId="248"/>
    <tableColumn id="8" xr3:uid="{3683BF35-B72D-451B-B958-21C037DC7480}" name="E_OFF_RATING" dataDxfId="247"/>
    <tableColumn id="9" xr3:uid="{09AE4476-FB36-46E3-996D-72EB1C69FCDB}" name="OFF_RATING" dataDxfId="246"/>
    <tableColumn id="10" xr3:uid="{B50B5BC8-D16D-4028-9923-9135A2C28D75}" name="E_DEF_RATING" dataDxfId="245"/>
    <tableColumn id="11" xr3:uid="{70739D0E-AD65-4C5F-A35F-D0E09E5A9ED3}" name="DEF_RATING" dataDxfId="244"/>
    <tableColumn id="12" xr3:uid="{4825BF6A-EDC5-4FBA-8FD7-EBED0A922EDB}" name="E_NET_RATING" dataDxfId="243"/>
    <tableColumn id="13" xr3:uid="{54BF6C44-7547-4295-B937-58EE25D59BA4}" name="NET_RATING" dataDxfId="242"/>
    <tableColumn id="14" xr3:uid="{668141D2-9FB3-40D1-BDC7-415BAA9E299C}" name="AST_PCT" dataDxfId="241"/>
    <tableColumn id="15" xr3:uid="{1F5B22BC-78A3-4E99-BC69-6D6E14BD4048}" name="AST_TO" dataDxfId="240"/>
    <tableColumn id="16" xr3:uid="{EE93F270-E17A-40B2-801A-309890C5D5DE}" name="AST_RATIO" dataDxfId="239"/>
    <tableColumn id="17" xr3:uid="{77B9B907-7F2B-40D5-AC78-AB54B269B0B2}" name="OREB_PCT" dataDxfId="238"/>
    <tableColumn id="18" xr3:uid="{8F9B0D9F-44FB-4A0A-85A1-D8F05BA4BC65}" name="DREB_PCT" dataDxfId="237"/>
    <tableColumn id="19" xr3:uid="{43AF3B81-6CCE-494C-8D8D-1BEF07DF8252}" name="REB_PCT" dataDxfId="236"/>
    <tableColumn id="20" xr3:uid="{A807DBC9-15B5-42FC-83DE-075932A9B863}" name="TM_TOV_PCT" dataDxfId="235"/>
    <tableColumn id="21" xr3:uid="{43FDA93A-571D-4A18-A168-805AD469CD01}" name="EFG_PCT" dataDxfId="234"/>
    <tableColumn id="22" xr3:uid="{16D72371-B89A-4A29-A0AA-BA74F6A4F31E}" name="TS_PCT" dataDxfId="233"/>
    <tableColumn id="23" xr3:uid="{755CE358-8978-41CE-871D-821DC4D6213A}" name="E_PACE" dataDxfId="232"/>
    <tableColumn id="24" xr3:uid="{1F4508E0-9F81-448E-AF01-775AC6AFC3EC}" name="PACE" dataDxfId="231"/>
    <tableColumn id="25" xr3:uid="{40A26F78-5660-4E67-86AB-07159200DC5A}" name="PACE_PER40" dataDxfId="230"/>
    <tableColumn id="26" xr3:uid="{720C9A22-C5F5-445C-AF93-06543A2AAA27}" name="POSS" dataDxfId="229"/>
    <tableColumn id="27" xr3:uid="{126553D4-FFB0-4A69-B534-E27C107C7161}" name="PIE" dataDxfId="228"/>
    <tableColumn id="28" xr3:uid="{DD89654E-EDBB-419E-8216-1358F7365D74}" name="GP_RANK" dataDxfId="227"/>
    <tableColumn id="29" xr3:uid="{F028A4E7-6C42-4C21-8784-D9544A60E8A2}" name="W_RANK" dataDxfId="226"/>
    <tableColumn id="30" xr3:uid="{1083270E-FAAB-4301-BBD6-5B2BC29C43D8}" name="L_RANK" dataDxfId="225"/>
    <tableColumn id="31" xr3:uid="{2EC9E489-D56E-4666-9A61-022757E3795A}" name="W_PCT_RANK" dataDxfId="224"/>
    <tableColumn id="32" xr3:uid="{90F9DA80-EC1D-4BA3-A4A2-F1A762AF4203}" name="MIN_RANK" dataDxfId="223"/>
    <tableColumn id="33" xr3:uid="{DE1070BA-E151-41CC-B866-57F4E3D5EE0B}" name="OFF_RATING_RANK" dataDxfId="222"/>
    <tableColumn id="34" xr3:uid="{C5BC970F-4975-4A64-8D71-53D9EA79FE43}" name="DEF_RATING_RANK" dataDxfId="221"/>
    <tableColumn id="35" xr3:uid="{FC57272B-7840-416A-BDBA-217533AD3DBF}" name="NET_RATING_RANK" dataDxfId="220"/>
    <tableColumn id="36" xr3:uid="{C7D7CBFD-BA4D-4A9B-9A92-2FD5A178E8CB}" name="AST_PCT_RANK" dataDxfId="219"/>
    <tableColumn id="37" xr3:uid="{4C594930-33C5-4878-9AE9-EDDA2AB10589}" name="AST_TO_RANK" dataDxfId="218"/>
    <tableColumn id="38" xr3:uid="{5C188AF0-7471-43D6-B9CC-168692E041DE}" name="AST_RATIO_RANK" dataDxfId="217"/>
    <tableColumn id="39" xr3:uid="{90F22CA5-B453-4E7E-9BCA-11B4D8D16421}" name="OREB_PCT_RANK" dataDxfId="216"/>
    <tableColumn id="40" xr3:uid="{018B58A5-5FA8-42AC-B1D8-4F1118D70835}" name="DREB_PCT_RANK" dataDxfId="215"/>
    <tableColumn id="41" xr3:uid="{B7C04DA8-A201-4ADF-8DB9-963D2A21569A}" name="REB_PCT_RANK" dataDxfId="214"/>
    <tableColumn id="42" xr3:uid="{052728DF-7412-4260-A810-2C82FFCAFDB0}" name="TM_TOV_PCT_RANK" dataDxfId="213"/>
    <tableColumn id="43" xr3:uid="{74BCF98E-C58C-4C35-8472-5E3A3C0A478B}" name="EFG_PCT_RANK" dataDxfId="212"/>
    <tableColumn id="44" xr3:uid="{C04ABA60-6B14-4707-B358-9BCAD2ABCB9B}" name="TS_PCT_RANK" dataDxfId="211"/>
    <tableColumn id="45" xr3:uid="{EF75398F-F353-40B5-8E33-86D9EFBCDEFD}" name="PACE_RANK" dataDxfId="210"/>
    <tableColumn id="46" xr3:uid="{FC8A3813-62A5-46A4-A2E8-A4892BA7E954}" name="PIE_RANK" dataDxfId="209"/>
    <tableColumn id="47" xr3:uid="{62539F24-1365-4F3C-8FA8-01630FCB068A}" name="CFID" dataDxfId="208"/>
    <tableColumn id="48" xr3:uid="{4507EFFE-E66A-4EA5-9B1E-6DE29A1B68B4}" name="CFPARAMS" dataDxfId="20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3EE9FFB-35D8-4854-B7ED-9CCB6320B7E3}" name="TableAdvancedN" displayName="TableAdvancedN" ref="A1:AV31" totalsRowShown="0" headerRowDxfId="206">
  <autoFilter ref="A1:AV31" xr:uid="{E5F3CE2C-6435-4516-8F81-765A47AE5A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625A232-A0A5-46C2-B073-4E3C21AB001C}" name="TEAM_ID" dataDxfId="205"/>
    <tableColumn id="2" xr3:uid="{85591C2A-F50B-4280-B8A8-FD83B7811FCA}" name="TEAM_NAME" dataDxfId="204"/>
    <tableColumn id="3" xr3:uid="{682AA359-85D1-48A4-809B-025C93F765BB}" name="GP" dataDxfId="203"/>
    <tableColumn id="4" xr3:uid="{9546C5DD-A862-429E-A604-5AB0317DCC42}" name="W" dataDxfId="202"/>
    <tableColumn id="5" xr3:uid="{C17B6A6C-01CD-4E46-A09A-20029653E7E1}" name="L" dataDxfId="201"/>
    <tableColumn id="6" xr3:uid="{1B0B5DEC-AEFF-4261-BC35-CA1E8610C85E}" name="W_PCT" dataDxfId="200"/>
    <tableColumn id="7" xr3:uid="{CB30E473-4245-458D-8808-E040EACA7D52}" name="MIN" dataDxfId="199"/>
    <tableColumn id="8" xr3:uid="{A0E116CD-2F92-49E5-9DCE-14D7E5553484}" name="E_OFF_RATING" dataDxfId="198"/>
    <tableColumn id="9" xr3:uid="{C88747AB-D915-4E3A-8C3B-24BA4613FC74}" name="OFF_RATING" dataDxfId="197"/>
    <tableColumn id="10" xr3:uid="{979535E8-BDB1-4414-948E-7C76539644A2}" name="E_DEF_RATING" dataDxfId="196"/>
    <tableColumn id="11" xr3:uid="{A47C3030-AE2B-48E2-BAEE-DC285FB3B6A1}" name="DEF_RATING" dataDxfId="195"/>
    <tableColumn id="12" xr3:uid="{D0406204-79AF-42A8-A4C9-0DF7F2284DAC}" name="E_NET_RATING" dataDxfId="194"/>
    <tableColumn id="13" xr3:uid="{84DA5962-6CF8-47D2-80F3-EB52C705319B}" name="NET_RATING" dataDxfId="193"/>
    <tableColumn id="14" xr3:uid="{64ECF33B-3D8B-4AE9-A22C-877CCC8890AA}" name="AST_PCT" dataDxfId="192"/>
    <tableColumn id="15" xr3:uid="{6C13C196-8EA8-4BBC-8A94-A3A5E1F4DE7A}" name="AST_TO" dataDxfId="191"/>
    <tableColumn id="16" xr3:uid="{12C57C15-66EA-4A22-B17D-CB86E09D0716}" name="AST_RATIO" dataDxfId="190"/>
    <tableColumn id="17" xr3:uid="{6357A59A-DE2A-469A-93FD-6F1E57B8C694}" name="OREB_PCT" dataDxfId="189"/>
    <tableColumn id="18" xr3:uid="{34CF6C35-B54A-45EB-AADF-048F26046849}" name="DREB_PCT" dataDxfId="188"/>
    <tableColumn id="19" xr3:uid="{798D71A9-95AB-488E-AD1F-77251EB31D5A}" name="REB_PCT" dataDxfId="187"/>
    <tableColumn id="20" xr3:uid="{40BEACF6-58B8-4D43-8F95-A597C799E59D}" name="TM_TOV_PCT" dataDxfId="186"/>
    <tableColumn id="21" xr3:uid="{F48B3009-5DCE-4C69-9478-1CD5D6521141}" name="EFG_PCT" dataDxfId="185"/>
    <tableColumn id="22" xr3:uid="{3F2CCCA9-833D-4F63-AE9B-55881E48C286}" name="TS_PCT" dataDxfId="184"/>
    <tableColumn id="23" xr3:uid="{E5EF4EAF-70F1-4908-ABEE-2F60746F6461}" name="E_PACE" dataDxfId="183"/>
    <tableColumn id="24" xr3:uid="{F6A0CE3F-2C3F-42DD-96AD-63A9F59F876D}" name="PACE" dataDxfId="182"/>
    <tableColumn id="25" xr3:uid="{A17CF7A2-C63F-40A6-888F-EF8E48EF965D}" name="PACE_PER40" dataDxfId="181"/>
    <tableColumn id="26" xr3:uid="{CF4BA270-5EBE-4EBE-9F93-7D621A3C8664}" name="POSS" dataDxfId="180"/>
    <tableColumn id="27" xr3:uid="{EDD5CBC6-F968-495A-A78F-F7C5CAEAC68A}" name="PIE" dataDxfId="179"/>
    <tableColumn id="28" xr3:uid="{796D58DA-7008-4575-864F-D947B5E8DCAF}" name="GP_RANK" dataDxfId="178"/>
    <tableColumn id="29" xr3:uid="{E5F6CBEA-A4B8-4344-9E62-CA0EAA212A8C}" name="W_RANK" dataDxfId="177"/>
    <tableColumn id="30" xr3:uid="{6B12CE2C-D73A-4547-82F0-19C2C746451E}" name="L_RANK" dataDxfId="176"/>
    <tableColumn id="31" xr3:uid="{63FDBF9B-2ACD-4242-B08D-66430CBF5D73}" name="W_PCT_RANK" dataDxfId="175"/>
    <tableColumn id="32" xr3:uid="{CEEFE7E7-C1CA-4D8A-B684-2213295E9442}" name="MIN_RANK" dataDxfId="174"/>
    <tableColumn id="33" xr3:uid="{ADA55D8E-BF82-4163-9514-70B01039F927}" name="OFF_RATING_RANK" dataDxfId="173"/>
    <tableColumn id="34" xr3:uid="{65371F85-8E16-484A-8F8B-13D0D0E06C28}" name="DEF_RATING_RANK" dataDxfId="172"/>
    <tableColumn id="35" xr3:uid="{99DF555A-D55D-4A56-8C56-3C812E00ECF8}" name="NET_RATING_RANK" dataDxfId="171"/>
    <tableColumn id="36" xr3:uid="{5BCA7EC8-BCA7-430B-AE82-6BD5E0797AD1}" name="AST_PCT_RANK" dataDxfId="170"/>
    <tableColumn id="37" xr3:uid="{5D874B5F-FD2C-4FAC-840F-8E96A0ABED17}" name="AST_TO_RANK" dataDxfId="169"/>
    <tableColumn id="38" xr3:uid="{44753EC7-D65F-4A88-BC05-581269421A2B}" name="AST_RATIO_RANK" dataDxfId="168"/>
    <tableColumn id="39" xr3:uid="{9E01E0A0-A4D5-4B35-BA7C-B909CFCC5EDC}" name="OREB_PCT_RANK" dataDxfId="167"/>
    <tableColumn id="40" xr3:uid="{1196AA49-F2D6-4E54-BCE2-E8641D8A8608}" name="DREB_PCT_RANK" dataDxfId="166"/>
    <tableColumn id="41" xr3:uid="{C71FEC28-D222-4ADF-8E41-8CF7A26761B4}" name="REB_PCT_RANK" dataDxfId="165"/>
    <tableColumn id="42" xr3:uid="{6BB56D28-EC33-408C-8F24-6BD3EB3E9FFC}" name="TM_TOV_PCT_RANK" dataDxfId="164"/>
    <tableColumn id="43" xr3:uid="{3DB3D1B2-6348-4B39-B679-077CCBF5814D}" name="EFG_PCT_RANK" dataDxfId="163"/>
    <tableColumn id="44" xr3:uid="{B22D260C-66A6-4C37-8FC9-2EA543820B97}" name="TS_PCT_RANK" dataDxfId="162"/>
    <tableColumn id="45" xr3:uid="{8D971155-D6B4-4D48-AA09-73C1B10FD8C1}" name="PACE_RANK" dataDxfId="161"/>
    <tableColumn id="46" xr3:uid="{794DD64B-6C8F-450D-95FC-F41ECEACC371}" name="PIE_RANK" dataDxfId="160"/>
    <tableColumn id="47" xr3:uid="{06B6DAC2-4AE8-4EBD-8911-FCEEA346B42D}" name="CFID" dataDxfId="159"/>
    <tableColumn id="48" xr3:uid="{D359DCFE-E7E5-4397-958B-AC1763406E37}" name="CFPARAMS" dataDxfId="1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49A64A-561E-43CE-9703-A1E1763E6EDE}" name="TableStandingsN1" displayName="TableStandingsN1" ref="A1:CC31" totalsRowShown="0" headerRowDxfId="157">
  <autoFilter ref="A1:CC31" xr:uid="{2B675888-1908-4931-B8D4-91D61B5272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EB1E83AB-B98F-4CDC-8D1A-776905ECC11D}" name="LeagueID" dataDxfId="156"/>
    <tableColumn id="2" xr3:uid="{1D80BF86-1F94-4B8B-90FF-01F0CBC7B04A}" name="SeasonID" dataDxfId="155"/>
    <tableColumn id="3" xr3:uid="{FEC0CDC2-6816-477B-BB61-EFEFDC39B89B}" name="TeamID" dataDxfId="154"/>
    <tableColumn id="4" xr3:uid="{15E8153E-A332-4207-A31B-65023C687785}" name="TeamCity" dataDxfId="153"/>
    <tableColumn id="5" xr3:uid="{783C782D-F6DB-4941-A9A4-3F31D3B6DF9A}" name="TeamName" dataDxfId="152"/>
    <tableColumn id="6" xr3:uid="{AE81BA6E-DD22-4C8A-9E65-E23B462E95DF}" name="Conference" dataDxfId="151"/>
    <tableColumn id="7" xr3:uid="{D03E3768-2328-4FFB-90F0-D63DD1E92D8A}" name="ConferenceRecord" dataDxfId="150"/>
    <tableColumn id="8" xr3:uid="{723669E6-3717-4F17-8480-3F6B81540907}" name="PlayoffRank" dataDxfId="149"/>
    <tableColumn id="9" xr3:uid="{4F777786-1899-41D0-995B-5BA2F96F91CC}" name="ClinchIndicator" dataDxfId="148"/>
    <tableColumn id="10" xr3:uid="{BC4706A9-FA9A-4FD6-AB55-0E5A83B9BFEC}" name="Division" dataDxfId="147"/>
    <tableColumn id="11" xr3:uid="{96BC491E-DC1D-42E4-BBEE-8341E0FCF368}" name="DivisionRecord" dataDxfId="146"/>
    <tableColumn id="12" xr3:uid="{E9183EA1-1015-43A9-805F-20B171AEBB8B}" name="DivisionRank" dataDxfId="145"/>
    <tableColumn id="13" xr3:uid="{7CB6E50E-6E59-4866-BB70-6A430ABE1BCE}" name="WINS" dataDxfId="144"/>
    <tableColumn id="14" xr3:uid="{DB9F52C8-AACA-47CE-A3BC-F8D7DF1623D5}" name="LOSSES" dataDxfId="143"/>
    <tableColumn id="15" xr3:uid="{DD99C7DD-4133-4033-8DDB-ABF4BBF3731F}" name="WinPCT" dataDxfId="142"/>
    <tableColumn id="16" xr3:uid="{42DFF5C3-4E8B-4513-B741-7B78CBD02BF0}" name="LeagueRank" dataDxfId="141"/>
    <tableColumn id="17" xr3:uid="{6082BF82-F7DA-4EFD-8634-09129744EDA3}" name="Record" dataDxfId="140"/>
    <tableColumn id="18" xr3:uid="{493C138E-F195-4C65-84B9-9B849246FADC}" name="HOME" dataDxfId="139"/>
    <tableColumn id="19" xr3:uid="{0A7CC94A-A206-4C75-8661-6AD3A6BD7315}" name="ROAD" dataDxfId="138"/>
    <tableColumn id="20" xr3:uid="{6714C366-DF93-4CAB-A2CE-32E361887327}" name="L10" dataDxfId="137"/>
    <tableColumn id="21" xr3:uid="{E97BAFF1-587A-4A5D-8E8E-9A05814175F4}" name="Last10Home" dataDxfId="136"/>
    <tableColumn id="22" xr3:uid="{66C59711-F8DF-4E3F-B05E-0B89D611ECBF}" name="Last10Road" dataDxfId="135"/>
    <tableColumn id="23" xr3:uid="{A5E57A10-3E76-42FD-B258-1F1D0E0F35A7}" name="OT" dataDxfId="134"/>
    <tableColumn id="24" xr3:uid="{2A665834-5F6E-4A49-807A-1FDF809487CF}" name="ThreePTSOrLess" dataDxfId="133"/>
    <tableColumn id="25" xr3:uid="{7CD1761B-02BA-43EC-8227-14B72EDF4E58}" name="TenPTSOrMore" dataDxfId="132"/>
    <tableColumn id="26" xr3:uid="{DAD37E47-537E-4A07-B8A9-88A54706716C}" name="LongHomeStreak" dataDxfId="131"/>
    <tableColumn id="27" xr3:uid="{DDCD8516-EBC0-4AD1-8A09-CA2D0DF1B1CB}" name="strLongHomeStreak" dataDxfId="130"/>
    <tableColumn id="28" xr3:uid="{98F117E9-4BC9-445F-B449-BEFB07203D1A}" name="LongRoadStreak" dataDxfId="129"/>
    <tableColumn id="29" xr3:uid="{C3E06C89-9D2E-4F0C-A872-224401E3853C}" name="strLongRoadStreak" dataDxfId="128"/>
    <tableColumn id="30" xr3:uid="{3529C72E-5947-49C9-B54F-A1EC74F3A384}" name="LongWinStreak" dataDxfId="127"/>
    <tableColumn id="31" xr3:uid="{108E5B8B-444C-40D8-939C-7D4E115BCDDC}" name="LongLossStreak" dataDxfId="126"/>
    <tableColumn id="32" xr3:uid="{B6B5CC71-C2CA-4FA1-996E-EE56552AFA08}" name="CurrentHomeStreak" dataDxfId="125"/>
    <tableColumn id="33" xr3:uid="{DDC6B84B-1CB0-4169-8C8C-10BF7E3D2A08}" name="strCurrentHomeStreak" dataDxfId="124"/>
    <tableColumn id="34" xr3:uid="{3D4939D9-7D9F-4104-84EF-22DAA68F3909}" name="CurrentRoadStreak" dataDxfId="123"/>
    <tableColumn id="35" xr3:uid="{B00C2C81-361B-465B-B1EA-9184F28A00DB}" name="strCurrentRoadStreak" dataDxfId="122"/>
    <tableColumn id="36" xr3:uid="{69E9F99C-A5D2-4C7F-8F5C-ED078E7D9DAE}" name="CurrentStreak" dataDxfId="121"/>
    <tableColumn id="37" xr3:uid="{C14AC385-C199-4107-B791-05E1F5AF29EF}" name="strCurrentStreak" dataDxfId="120"/>
    <tableColumn id="38" xr3:uid="{7A7A172F-0626-49EC-B34C-770E8060E661}" name="ConferenceGamesBack" dataDxfId="119"/>
    <tableColumn id="39" xr3:uid="{5863F1F3-5412-4E0A-9B1C-179192DDA6A8}" name="DivisionGamesBack" dataDxfId="118"/>
    <tableColumn id="40" xr3:uid="{4FE1B3E6-C16A-4BA4-A18A-EE58631A8A5D}" name="ClinchedConferenceTitle" dataDxfId="117"/>
    <tableColumn id="41" xr3:uid="{F24BAAB8-20CF-4E0F-B079-C93683DDC19C}" name="ClinchedDivisionTitle" dataDxfId="116"/>
    <tableColumn id="42" xr3:uid="{684F6304-DD11-4C61-8DC8-A0B1DADD6DC2}" name="ClinchedPlayoffBirth" dataDxfId="115"/>
    <tableColumn id="43" xr3:uid="{8356B9AF-3CB5-4074-A3F2-FE48D7CEB31F}" name="EliminatedConference" dataDxfId="114"/>
    <tableColumn id="44" xr3:uid="{8D11EC43-9DFB-46FE-A58F-E8720810C861}" name="EliminatedDivision" dataDxfId="113"/>
    <tableColumn id="45" xr3:uid="{948BDFA5-0A6E-4445-8B7F-9892DA2AEB61}" name="AheadAtHalf" dataDxfId="112"/>
    <tableColumn id="46" xr3:uid="{FB77F60E-1FC4-45BF-8E80-CE9613227BBB}" name="BehindAtHalf" dataDxfId="111"/>
    <tableColumn id="47" xr3:uid="{D7C67DB8-4D80-42A7-BFC8-9DBAD82FA89B}" name="TiedAtHalf" dataDxfId="110"/>
    <tableColumn id="48" xr3:uid="{5B4C4671-ADE8-4F6E-A4F5-B0F654B34BED}" name="AheadAtThird" dataDxfId="109"/>
    <tableColumn id="49" xr3:uid="{74744346-230F-4342-BEF7-EB0A24E6CAA0}" name="BehindAtThird" dataDxfId="108"/>
    <tableColumn id="50" xr3:uid="{E8E19C8A-D0D9-469F-BF2F-C90B2DD6B242}" name="TiedAtThird" dataDxfId="107"/>
    <tableColumn id="51" xr3:uid="{65D84630-D742-4926-9BC7-B64360D57C87}" name="Score100PTS" dataDxfId="106"/>
    <tableColumn id="52" xr3:uid="{5840F484-A4F6-4D71-A35E-18012A9A11DA}" name="OppScore100PTS" dataDxfId="105"/>
    <tableColumn id="53" xr3:uid="{18666E49-6684-4935-805B-7CED4A340664}" name="OppOver500" dataDxfId="104"/>
    <tableColumn id="54" xr3:uid="{ABC478C3-50C8-48EC-83E9-0DE134D44618}" name="LeadInFGPCT" dataDxfId="103"/>
    <tableColumn id="55" xr3:uid="{BCD7D1A6-285B-4803-960A-387DAA8B99BA}" name="LeadInReb" dataDxfId="102"/>
    <tableColumn id="56" xr3:uid="{DB18EC83-2F75-45C4-993F-AD32DE77440C}" name="FewerTurnovers" dataDxfId="101"/>
    <tableColumn id="57" xr3:uid="{5CE4F0CA-FAA2-4C78-B55F-D8FBC09874E7}" name="PointsPG" dataDxfId="100"/>
    <tableColumn id="58" xr3:uid="{862CB658-7299-4432-B8DD-141DB1AFDF94}" name="OppPointsPG" dataDxfId="99"/>
    <tableColumn id="59" xr3:uid="{899FD724-1570-444A-99D0-B1E377666EB3}" name="DiffPointsPG" dataDxfId="98"/>
    <tableColumn id="60" xr3:uid="{8246B515-922E-4534-8CBC-E676780CFEC7}" name="vsEast" dataDxfId="97"/>
    <tableColumn id="61" xr3:uid="{28465E48-A6DD-4089-BD67-72057B405704}" name="vsAtlantic" dataDxfId="96"/>
    <tableColumn id="62" xr3:uid="{FD6F913E-1D78-4988-A444-012C2FC21676}" name="vsCentral" dataDxfId="95"/>
    <tableColumn id="63" xr3:uid="{72C81CAF-D950-4312-9487-036F5323DE0A}" name="vsSoutheast" dataDxfId="94"/>
    <tableColumn id="64" xr3:uid="{8E0A5D35-C9C2-4FB0-8A0D-27AF6306814C}" name="vsWest" dataDxfId="93"/>
    <tableColumn id="65" xr3:uid="{3061A3CC-E778-4300-AB5F-FD998D0F38AF}" name="vsNorthwest" dataDxfId="92"/>
    <tableColumn id="66" xr3:uid="{1E8A1CCD-9702-423C-B58A-F41AE2B5A3BF}" name="vsPacific" dataDxfId="91"/>
    <tableColumn id="67" xr3:uid="{CFA6E81B-365A-4E65-A2A3-04D3C37873FB}" name="vsSouthwest" dataDxfId="90"/>
    <tableColumn id="68" xr3:uid="{43DB5C29-7AB0-4A87-9608-3592BE0CF54C}" name="Jan" dataDxfId="89"/>
    <tableColumn id="69" xr3:uid="{F2FFBAE7-BCE3-4895-AA13-EEC665B072FC}" name="Feb" dataDxfId="88"/>
    <tableColumn id="70" xr3:uid="{DB24F86F-EF4D-461F-8655-1A04AF91BF6D}" name="Mar" dataDxfId="87"/>
    <tableColumn id="71" xr3:uid="{D0CC43E7-3025-47F9-A6C9-B88D9D6EFBA6}" name="Apr" dataDxfId="86"/>
    <tableColumn id="72" xr3:uid="{605964E3-EB92-4CA0-8925-A1327FF4BDC7}" name="May" dataDxfId="85"/>
    <tableColumn id="73" xr3:uid="{C1B1C12C-C476-4DDD-B0EA-CE4EC949D9F7}" name="Jun" dataDxfId="84"/>
    <tableColumn id="74" xr3:uid="{56D3BFAB-B890-4D31-8E5F-EC2550B34FBD}" name="Jul" dataDxfId="83"/>
    <tableColumn id="75" xr3:uid="{6E35F1A0-F324-4738-BDF4-DBAC1FD414AD}" name="Aug" dataDxfId="82"/>
    <tableColumn id="76" xr3:uid="{67BCC22E-0E9E-459B-B92D-87F84FC7979D}" name="Sep" dataDxfId="81"/>
    <tableColumn id="77" xr3:uid="{CC08D1AF-B23E-452A-97E8-A6BADFCFDBAD}" name="Oct" dataDxfId="80"/>
    <tableColumn id="78" xr3:uid="{042085DA-E4C4-4DD3-98FF-4B842880B91B}" name="Nov" dataDxfId="79"/>
    <tableColumn id="79" xr3:uid="{288DD6D5-4FA3-4876-9B8F-C56B550D8DF1}" name="Dec" dataDxfId="78"/>
    <tableColumn id="80" xr3:uid="{892472EA-8CC3-488C-A5DB-81575296FEE9}" name="PreAS" dataDxfId="77"/>
    <tableColumn id="81" xr3:uid="{F180CFB1-F225-4055-948F-136F159B3211}" name="PostAS" dataDxfId="7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0BBA4F8-CB0B-4944-866A-D4387A3A5C18}" name="TableRoster" displayName="TableRoster" ref="A1:M18" totalsRowShown="0" headerRowDxfId="75">
  <autoFilter ref="A1:M18" xr:uid="{7C3D7D2D-B151-44C6-9C45-6C2E1F0FFD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9DD5EDFF-4751-406C-BE83-B869A08B52F6}" name="TeamID" dataDxfId="74"/>
    <tableColumn id="2" xr3:uid="{B3FA49E8-2D4A-43CF-B0D5-2671ECF26E78}" name="SEASON" dataDxfId="73"/>
    <tableColumn id="3" xr3:uid="{33970BC0-E0E8-46BD-815A-7645DDB433F9}" name="LeagueID" dataDxfId="72"/>
    <tableColumn id="4" xr3:uid="{589C7A4E-1B21-471D-A772-571271114032}" name="PLAYER" dataDxfId="71"/>
    <tableColumn id="5" xr3:uid="{CD99F9CB-8E43-4C09-9B2F-9197B04F3AD6}" name="NUM" dataDxfId="70"/>
    <tableColumn id="6" xr3:uid="{C3260507-26A8-4C09-93FE-7FDB01A18336}" name="POSITION" dataDxfId="69"/>
    <tableColumn id="7" xr3:uid="{F60D47CD-7D99-44FF-95DE-816D1D158EBF}" name="HEIGHT" dataDxfId="68"/>
    <tableColumn id="8" xr3:uid="{C0A330B1-0C3E-45E9-967C-58B6B455A521}" name="WEIGHT" dataDxfId="67"/>
    <tableColumn id="9" xr3:uid="{435DBF03-B946-4DEE-867B-DC460C8E0C33}" name="BIRTH_DATE" dataDxfId="66"/>
    <tableColumn id="10" xr3:uid="{A90168AB-3725-446A-B02F-99CA9EC92947}" name="AGE" dataDxfId="65"/>
    <tableColumn id="11" xr3:uid="{8E8F8E52-A457-47B2-8325-E281E3B6704F}" name="EXP" dataDxfId="64"/>
    <tableColumn id="12" xr3:uid="{1895F626-A92E-4277-899C-1A92F2915576}" name="SCHOOL" dataDxfId="63"/>
    <tableColumn id="13" xr3:uid="{7E9FD1A9-40E6-45F0-97CD-986D7A5B66E6}" name="PLAYER_ID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2A9996-F64B-41F9-9D91-FD23663BF3CF}" name="TableMiscN" displayName="TableMiscN" ref="A1:AD31" totalsRowShown="0" headerRowDxfId="31">
  <autoFilter ref="A1:AD31" xr:uid="{5CD0CE54-D896-4E4A-A7C6-E585386328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1EBF6326-DB25-4FF4-93F9-EF94BE2094CA}" name="TEAM_ID" dataDxfId="61"/>
    <tableColumn id="2" xr3:uid="{21636369-6D26-4A6B-B104-192E8496AA20}" name="TEAM_NAME" dataDxfId="60"/>
    <tableColumn id="3" xr3:uid="{4DE60EC5-BDBF-4AB3-947A-02B987C3DA91}" name="GP" dataDxfId="59"/>
    <tableColumn id="4" xr3:uid="{31F70E34-F952-45BB-80F9-3B11E33FC8CC}" name="W" dataDxfId="58"/>
    <tableColumn id="5" xr3:uid="{098C2613-07C5-46F2-A250-C67A007DE1DA}" name="L" dataDxfId="57"/>
    <tableColumn id="6" xr3:uid="{B38D5D88-E05E-4657-93EE-D43C8CE83052}" name="W_PCT" dataDxfId="56"/>
    <tableColumn id="7" xr3:uid="{09789691-7D68-4A5F-81F2-60226C4680DC}" name="MIN" dataDxfId="55"/>
    <tableColumn id="8" xr3:uid="{4D346BCA-6754-44BA-AACF-811D9003F5E7}" name="PTS_OFF_TOV" dataDxfId="54"/>
    <tableColumn id="9" xr3:uid="{936C361A-32C7-4FD6-9F2B-699F229B1640}" name="PTS_2ND_CHANCE" dataDxfId="53"/>
    <tableColumn id="10" xr3:uid="{50E3D253-3632-4B3A-8182-FBE58538C7C3}" name="PTS_FB" dataDxfId="52"/>
    <tableColumn id="11" xr3:uid="{87B26752-7FDD-417F-A1C3-B8CFB8B010EF}" name="PTS_PAINT" dataDxfId="51"/>
    <tableColumn id="12" xr3:uid="{E96E5D8A-C2B0-48E8-9B43-9D5A529B828F}" name="OPP_PTS_OFF_TOV" dataDxfId="50"/>
    <tableColumn id="13" xr3:uid="{2539EA03-9720-401F-92C1-42EE5E60F345}" name="OPP_PTS_2ND_CHANCE" dataDxfId="49"/>
    <tableColumn id="14" xr3:uid="{7174AE3C-ABF8-4178-8B9D-38158FD3B280}" name="OPP_PTS_FB" dataDxfId="48"/>
    <tableColumn id="15" xr3:uid="{C9B1E9B8-702C-4FB7-8045-472ABBF75551}" name="OPP_PTS_PAINT" dataDxfId="47"/>
    <tableColumn id="16" xr3:uid="{63F66369-78E2-4E2C-BDA9-3945D91D0026}" name="GP_RANK" dataDxfId="46"/>
    <tableColumn id="17" xr3:uid="{FC7EC380-F427-4A5F-B4FF-393F6EE5D781}" name="W_RANK" dataDxfId="45"/>
    <tableColumn id="18" xr3:uid="{2BEBB573-B13F-4E7E-B5A0-794302B0E05E}" name="L_RANK" dataDxfId="44"/>
    <tableColumn id="19" xr3:uid="{2E88E83E-8B9E-4A81-91C3-5BF56876AAE6}" name="W_PCT_RANK" dataDxfId="43"/>
    <tableColumn id="20" xr3:uid="{B49AFE8D-3856-4DEF-9242-1DDE7BF5ED11}" name="MIN_RANK" dataDxfId="42"/>
    <tableColumn id="21" xr3:uid="{B6FB03C4-4CD3-4176-86F8-F31D36443979}" name="PTS_OFF_TOV_RANK" dataDxfId="41"/>
    <tableColumn id="22" xr3:uid="{806229D0-CDE6-4435-87AC-E74E85D2077F}" name="PTS_2ND_CHANCE_RANK" dataDxfId="40"/>
    <tableColumn id="23" xr3:uid="{A6B8BC6D-AC03-4AAC-BC12-80912355D4D2}" name="PTS_FB_RANK" dataDxfId="39"/>
    <tableColumn id="24" xr3:uid="{9E924A0C-E947-441C-983A-B3EA09E6F55A}" name="PTS_PAINT_RANK" dataDxfId="38"/>
    <tableColumn id="25" xr3:uid="{842E9556-4BA1-4669-BDC7-C2227E83ACFA}" name="OPP_PTS_OFF_TOV_RANK" dataDxfId="37"/>
    <tableColumn id="26" xr3:uid="{B14BB041-FF13-4576-BCAE-347D7BFF274A}" name="OPP_PTS_2ND_CHANCE_RANK" dataDxfId="36"/>
    <tableColumn id="27" xr3:uid="{A73CB12D-8989-4883-9CE2-D0E95D96A085}" name="OPP_PTS_FB_RANK" dataDxfId="35"/>
    <tableColumn id="28" xr3:uid="{23695733-A0FF-4FFC-B6D7-9E601887670A}" name="OPP_PTS_PAINT_RANK" dataDxfId="34"/>
    <tableColumn id="29" xr3:uid="{06450DCA-DF16-4784-A163-C1BD8DBC9FF5}" name="CFID" dataDxfId="33"/>
    <tableColumn id="30" xr3:uid="{C79C60BE-9A9B-4E8F-B9E3-859F695DBB34}" name="CFPARAMS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19A3E1-52A0-48E9-9A88-B4028A76CF94}" name="TableMiscN1" displayName="TableMiscN1" ref="A1:AD31" totalsRowShown="0" headerRowDxfId="0">
  <autoFilter ref="A1:AD31" xr:uid="{2E48177A-E4D4-45ED-BCA9-ED785B8FB32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457F435B-0ED2-485C-BA8C-4C00F51EC22B}" name="TEAM_ID" dataDxfId="30"/>
    <tableColumn id="2" xr3:uid="{CF2CDEA9-D7E3-4DCC-8A75-F07DB65E6F2B}" name="TEAM_NAME" dataDxfId="29"/>
    <tableColumn id="3" xr3:uid="{4DD41A66-DBB9-48F3-B030-C04094D942CD}" name="GP" dataDxfId="28"/>
    <tableColumn id="4" xr3:uid="{D826BBBF-B65A-4BE2-B8D6-D495EE7912E6}" name="W" dataDxfId="27"/>
    <tableColumn id="5" xr3:uid="{9C8CFF49-DA68-49FE-8AF2-008B7B6B069C}" name="L" dataDxfId="26"/>
    <tableColumn id="6" xr3:uid="{96FE9B1D-F0D2-45CB-8305-EA6D0D630AE8}" name="W_PCT" dataDxfId="25"/>
    <tableColumn id="7" xr3:uid="{1B2EA2AE-9FC5-4DE8-B066-C00A6F34D81E}" name="MIN" dataDxfId="24"/>
    <tableColumn id="8" xr3:uid="{832CA682-F013-4715-9B11-D26BE3E61BE3}" name="PTS_OFF_TOV" dataDxfId="23"/>
    <tableColumn id="9" xr3:uid="{4270BA22-9687-4CE1-8304-542EB83D341B}" name="PTS_2ND_CHANCE" dataDxfId="22"/>
    <tableColumn id="10" xr3:uid="{344AA53E-E447-4DB0-8FE9-330D6BA01A0B}" name="PTS_FB" dataDxfId="21"/>
    <tableColumn id="11" xr3:uid="{B2C583B0-1A16-48AD-B58C-7AEB4F0C2117}" name="PTS_PAINT" dataDxfId="20"/>
    <tableColumn id="12" xr3:uid="{489F0D13-17D3-404F-9C28-1FA10146C8A9}" name="OPP_PTS_OFF_TOV" dataDxfId="19"/>
    <tableColumn id="13" xr3:uid="{2A640F70-6052-4720-91B5-CD56AF4DD6BE}" name="OPP_PTS_2ND_CHANCE" dataDxfId="18"/>
    <tableColumn id="14" xr3:uid="{63F28373-4996-4CDC-8E08-F1CEBBB49087}" name="OPP_PTS_FB" dataDxfId="17"/>
    <tableColumn id="15" xr3:uid="{4E34067F-169E-4474-9E19-1F9B21C7FE7E}" name="OPP_PTS_PAINT" dataDxfId="16"/>
    <tableColumn id="16" xr3:uid="{FDEEE81F-7077-496B-8537-1E6DDAF3382A}" name="GP_RANK" dataDxfId="15"/>
    <tableColumn id="17" xr3:uid="{EC05C733-AD93-4E1D-BDE9-0993DF0AF793}" name="W_RANK" dataDxfId="14"/>
    <tableColumn id="18" xr3:uid="{6FE05CF3-B559-42BF-A265-E11ED9593A5E}" name="L_RANK" dataDxfId="13"/>
    <tableColumn id="19" xr3:uid="{18464FA6-6081-4B57-8DF6-CAB960316FDA}" name="W_PCT_RANK" dataDxfId="12"/>
    <tableColumn id="20" xr3:uid="{9E1B17A5-1E9A-491B-A3B4-ABBFAB45C218}" name="MIN_RANK" dataDxfId="11"/>
    <tableColumn id="21" xr3:uid="{F3C29D1F-961B-400D-B9AE-E884AFEB5E02}" name="PTS_OFF_TOV_RANK" dataDxfId="10"/>
    <tableColumn id="22" xr3:uid="{285E0C52-274C-45A6-A3F4-43A10EE35E8E}" name="PTS_2ND_CHANCE_RANK" dataDxfId="9"/>
    <tableColumn id="23" xr3:uid="{624CD9E0-874F-4297-B52E-D8F8C982F62C}" name="PTS_FB_RANK" dataDxfId="8"/>
    <tableColumn id="24" xr3:uid="{0A381D1B-4005-4C59-A1E8-E7C4FC5590D3}" name="PTS_PAINT_RANK" dataDxfId="7"/>
    <tableColumn id="25" xr3:uid="{3F2BA0C4-25C2-4EA1-AD90-6EBD71F45E54}" name="OPP_PTS_OFF_TOV_RANK" dataDxfId="6"/>
    <tableColumn id="26" xr3:uid="{F51B2C0E-AA97-4B4D-A356-A51D408F58B5}" name="OPP_PTS_2ND_CHANCE_RANK" dataDxfId="5"/>
    <tableColumn id="27" xr3:uid="{2FAEE6F0-5CCD-4159-AE98-8D14216101DF}" name="OPP_PTS_FB_RANK" dataDxfId="4"/>
    <tableColumn id="28" xr3:uid="{E1B02884-E687-46C5-A7D3-35D927EAF0AD}" name="OPP_PTS_PAINT_RANK" dataDxfId="3"/>
    <tableColumn id="29" xr3:uid="{89213E46-03B9-4748-A60D-6C2BFB280FCA}" name="CFID" dataDxfId="2"/>
    <tableColumn id="30" xr3:uid="{67C14270-D34A-42FD-9DDB-A4F54A9B2E92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C17" sqref="C17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234043</xdr:colOff>
                    <xdr:row>5</xdr:row>
                    <xdr:rowOff>108857</xdr:rowOff>
                  </from>
                  <to>
                    <xdr:col>9</xdr:col>
                    <xdr:colOff>484414</xdr:colOff>
                    <xdr:row>14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22"/>
  <sheetViews>
    <sheetView workbookViewId="0">
      <selection activeCell="F26" sqref="F26"/>
    </sheetView>
  </sheetViews>
  <sheetFormatPr defaultRowHeight="13.3" x14ac:dyDescent="0.25"/>
  <cols>
    <col min="1" max="1" width="12.3828125" bestFit="1" customWidth="1"/>
    <col min="5" max="5" width="8.23046875" bestFit="1" customWidth="1"/>
  </cols>
  <sheetData>
    <row r="1" spans="1:6" x14ac:dyDescent="0.25">
      <c r="A1" s="9"/>
      <c r="B1" s="9"/>
      <c r="C1" s="9"/>
      <c r="D1" s="9"/>
      <c r="E1" s="9"/>
      <c r="F1" s="9"/>
    </row>
    <row r="2" spans="1:6" x14ac:dyDescent="0.25">
      <c r="A2" s="8" t="s">
        <v>287</v>
      </c>
      <c r="B2" s="9" t="str">
        <f xml:space="preserve"> GetSeason(1)</f>
        <v>2018-19</v>
      </c>
      <c r="C2" s="9" t="s">
        <v>4</v>
      </c>
      <c r="D2" s="9"/>
      <c r="E2" s="9" t="str">
        <f xml:space="preserve"> GetSeason(0)</f>
        <v>2019-20</v>
      </c>
      <c r="F2" s="9" t="s">
        <v>4</v>
      </c>
    </row>
    <row r="3" spans="1:6" x14ac:dyDescent="0.25">
      <c r="A3" s="10" t="s">
        <v>5</v>
      </c>
      <c r="B3" s="1" t="s">
        <v>990</v>
      </c>
      <c r="C3" s="2">
        <v>11</v>
      </c>
      <c r="E3" s="1" t="s">
        <v>200</v>
      </c>
      <c r="F3" s="2">
        <v>11</v>
      </c>
    </row>
    <row r="4" spans="1:6" x14ac:dyDescent="0.25">
      <c r="A4" s="10" t="s">
        <v>6</v>
      </c>
      <c r="B4" s="5">
        <v>0.39</v>
      </c>
      <c r="E4" s="5">
        <v>0.33300000000000002</v>
      </c>
    </row>
    <row r="5" spans="1:6" x14ac:dyDescent="0.25">
      <c r="A5" s="10" t="s">
        <v>7</v>
      </c>
      <c r="B5" s="1" t="s">
        <v>991</v>
      </c>
      <c r="E5" s="1" t="s">
        <v>201</v>
      </c>
    </row>
    <row r="6" spans="1:6" x14ac:dyDescent="0.25">
      <c r="A6" s="10" t="s">
        <v>2</v>
      </c>
      <c r="B6" s="1" t="s">
        <v>992</v>
      </c>
      <c r="E6" s="1" t="s">
        <v>202</v>
      </c>
    </row>
    <row r="7" spans="1:6" x14ac:dyDescent="0.25">
      <c r="A7" s="10" t="s">
        <v>3</v>
      </c>
      <c r="B7" s="1" t="s">
        <v>993</v>
      </c>
      <c r="E7" s="1" t="s">
        <v>201</v>
      </c>
    </row>
    <row r="8" spans="1:6" x14ac:dyDescent="0.25">
      <c r="A8" s="10" t="s">
        <v>0</v>
      </c>
      <c r="B8" s="1" t="s">
        <v>994</v>
      </c>
      <c r="E8" s="1" t="s">
        <v>200</v>
      </c>
    </row>
    <row r="9" spans="1:6" x14ac:dyDescent="0.25">
      <c r="A9" s="10" t="s">
        <v>1</v>
      </c>
      <c r="B9" s="1" t="s">
        <v>995</v>
      </c>
      <c r="E9" s="1" t="s">
        <v>99</v>
      </c>
    </row>
    <row r="11" spans="1:6" x14ac:dyDescent="0.25">
      <c r="A11" s="7" t="s">
        <v>8</v>
      </c>
      <c r="B11" s="3">
        <v>110.2</v>
      </c>
      <c r="C11" s="4">
        <v>15</v>
      </c>
      <c r="E11" s="3">
        <v>103.6</v>
      </c>
      <c r="F11" s="4">
        <v>18</v>
      </c>
    </row>
    <row r="12" spans="1:6" x14ac:dyDescent="0.25">
      <c r="A12" s="7" t="s">
        <v>9</v>
      </c>
      <c r="B12" s="3">
        <v>112.9</v>
      </c>
      <c r="C12" s="4">
        <v>27</v>
      </c>
      <c r="E12" s="3">
        <v>103.3</v>
      </c>
      <c r="F12" s="4">
        <v>12</v>
      </c>
    </row>
    <row r="13" spans="1:6" x14ac:dyDescent="0.25">
      <c r="A13" s="7" t="s">
        <v>10</v>
      </c>
      <c r="B13" s="6">
        <v>-2.7</v>
      </c>
      <c r="C13" s="4">
        <v>25</v>
      </c>
      <c r="E13" s="6">
        <v>0.3</v>
      </c>
      <c r="F13" s="4">
        <v>18</v>
      </c>
    </row>
    <row r="14" spans="1:6" x14ac:dyDescent="0.25">
      <c r="A14" s="7" t="s">
        <v>11</v>
      </c>
      <c r="B14" s="3">
        <v>102.24</v>
      </c>
      <c r="C14" s="4">
        <v>9</v>
      </c>
      <c r="E14" s="3">
        <v>102.5</v>
      </c>
      <c r="F14" s="4">
        <v>20</v>
      </c>
    </row>
    <row r="15" spans="1:6" x14ac:dyDescent="0.25">
      <c r="A15" s="7" t="s">
        <v>281</v>
      </c>
      <c r="B15" s="11">
        <v>0.53100000000000003</v>
      </c>
      <c r="C15" s="4">
        <v>9</v>
      </c>
      <c r="E15" s="11">
        <v>0.498</v>
      </c>
      <c r="F15" s="4">
        <v>20</v>
      </c>
    </row>
    <row r="16" spans="1:6" x14ac:dyDescent="0.25">
      <c r="A16" s="7" t="s">
        <v>282</v>
      </c>
      <c r="B16" s="11">
        <v>0.623</v>
      </c>
      <c r="C16" s="4">
        <v>10</v>
      </c>
      <c r="E16" s="11">
        <v>0.626</v>
      </c>
      <c r="F16" s="4">
        <v>9</v>
      </c>
    </row>
    <row r="17" spans="1:6" x14ac:dyDescent="0.25">
      <c r="A17" s="7" t="s">
        <v>283</v>
      </c>
      <c r="B17" s="11">
        <v>0.47699999999999998</v>
      </c>
      <c r="C17" s="4">
        <v>29</v>
      </c>
      <c r="E17" s="11">
        <v>0.49199999999999999</v>
      </c>
      <c r="F17" s="4">
        <v>19</v>
      </c>
    </row>
    <row r="18" spans="1:6" x14ac:dyDescent="0.25">
      <c r="A18" s="7" t="s">
        <v>284</v>
      </c>
      <c r="B18" s="11">
        <v>0.252</v>
      </c>
      <c r="C18" s="4">
        <v>25</v>
      </c>
      <c r="E18" s="11">
        <v>0.27500000000000002</v>
      </c>
      <c r="F18" s="4">
        <v>11</v>
      </c>
    </row>
    <row r="19" spans="1:6" x14ac:dyDescent="0.25">
      <c r="A19" s="7" t="s">
        <v>285</v>
      </c>
      <c r="B19" s="11">
        <v>0.70599999999999996</v>
      </c>
      <c r="C19" s="4">
        <v>28</v>
      </c>
      <c r="E19" s="11">
        <v>0.72699999999999998</v>
      </c>
      <c r="F19" s="4">
        <v>18</v>
      </c>
    </row>
    <row r="20" spans="1:6" x14ac:dyDescent="0.25">
      <c r="A20" s="7" t="s">
        <v>286</v>
      </c>
      <c r="B20" s="11">
        <v>0.13600000000000001</v>
      </c>
      <c r="C20" s="4">
        <v>10</v>
      </c>
      <c r="E20" s="11">
        <v>0.14599999999999999</v>
      </c>
      <c r="F20" s="4">
        <v>11</v>
      </c>
    </row>
    <row r="22" spans="1:6" x14ac:dyDescent="0.25">
      <c r="A22" s="1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7FD11-8794-493F-979B-2B5956A40571}">
  <sheetPr codeName="Sheet3"/>
  <dimension ref="A1:CC31"/>
  <sheetViews>
    <sheetView workbookViewId="0">
      <selection activeCell="H20" sqref="H20"/>
    </sheetView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23</v>
      </c>
      <c r="M1" s="1" t="s">
        <v>24</v>
      </c>
      <c r="N1" s="1" t="s">
        <v>25</v>
      </c>
      <c r="O1" s="1" t="s">
        <v>26</v>
      </c>
      <c r="P1" s="1" t="s">
        <v>27</v>
      </c>
      <c r="Q1" s="1" t="s">
        <v>28</v>
      </c>
      <c r="R1" s="1" t="s">
        <v>29</v>
      </c>
      <c r="S1" s="1" t="s">
        <v>30</v>
      </c>
      <c r="T1" s="1" t="s">
        <v>31</v>
      </c>
      <c r="U1" s="1" t="s">
        <v>32</v>
      </c>
      <c r="V1" s="1" t="s">
        <v>33</v>
      </c>
      <c r="W1" s="1" t="s">
        <v>34</v>
      </c>
      <c r="X1" s="1" t="s">
        <v>35</v>
      </c>
      <c r="Y1" s="1" t="s">
        <v>36</v>
      </c>
      <c r="Z1" s="1" t="s">
        <v>37</v>
      </c>
      <c r="AA1" s="1" t="s">
        <v>38</v>
      </c>
      <c r="AB1" s="1" t="s">
        <v>39</v>
      </c>
      <c r="AC1" s="1" t="s">
        <v>40</v>
      </c>
      <c r="AD1" s="1" t="s">
        <v>41</v>
      </c>
      <c r="AE1" s="1" t="s">
        <v>42</v>
      </c>
      <c r="AF1" s="1" t="s">
        <v>43</v>
      </c>
      <c r="AG1" s="1" t="s">
        <v>44</v>
      </c>
      <c r="AH1" s="1" t="s">
        <v>45</v>
      </c>
      <c r="AI1" s="1" t="s">
        <v>46</v>
      </c>
      <c r="AJ1" s="1" t="s">
        <v>47</v>
      </c>
      <c r="AK1" s="1" t="s">
        <v>48</v>
      </c>
      <c r="AL1" s="1" t="s">
        <v>49</v>
      </c>
      <c r="AM1" s="1" t="s">
        <v>50</v>
      </c>
      <c r="AN1" s="1" t="s">
        <v>51</v>
      </c>
      <c r="AO1" s="1" t="s">
        <v>52</v>
      </c>
      <c r="AP1" s="1" t="s">
        <v>53</v>
      </c>
      <c r="AQ1" s="1" t="s">
        <v>54</v>
      </c>
      <c r="AR1" s="1" t="s">
        <v>55</v>
      </c>
      <c r="AS1" s="1" t="s">
        <v>56</v>
      </c>
      <c r="AT1" s="1" t="s">
        <v>57</v>
      </c>
      <c r="AU1" s="1" t="s">
        <v>58</v>
      </c>
      <c r="AV1" s="1" t="s">
        <v>59</v>
      </c>
      <c r="AW1" s="1" t="s">
        <v>60</v>
      </c>
      <c r="AX1" s="1" t="s">
        <v>61</v>
      </c>
      <c r="AY1" s="1" t="s">
        <v>62</v>
      </c>
      <c r="AZ1" s="1" t="s">
        <v>63</v>
      </c>
      <c r="BA1" s="1" t="s">
        <v>64</v>
      </c>
      <c r="BB1" s="1" t="s">
        <v>65</v>
      </c>
      <c r="BC1" s="1" t="s">
        <v>66</v>
      </c>
      <c r="BD1" s="1" t="s">
        <v>67</v>
      </c>
      <c r="BE1" s="1" t="s">
        <v>68</v>
      </c>
      <c r="BF1" s="1" t="s">
        <v>69</v>
      </c>
      <c r="BG1" s="1" t="s">
        <v>70</v>
      </c>
      <c r="BH1" s="1" t="s">
        <v>71</v>
      </c>
      <c r="BI1" s="1" t="s">
        <v>72</v>
      </c>
      <c r="BJ1" s="1" t="s">
        <v>73</v>
      </c>
      <c r="BK1" s="1" t="s">
        <v>74</v>
      </c>
      <c r="BL1" s="1" t="s">
        <v>75</v>
      </c>
      <c r="BM1" s="1" t="s">
        <v>76</v>
      </c>
      <c r="BN1" s="1" t="s">
        <v>77</v>
      </c>
      <c r="BO1" s="1" t="s">
        <v>78</v>
      </c>
      <c r="BP1" s="1" t="s">
        <v>79</v>
      </c>
      <c r="BQ1" s="1" t="s">
        <v>80</v>
      </c>
      <c r="BR1" s="1" t="s">
        <v>81</v>
      </c>
      <c r="BS1" s="1" t="s">
        <v>82</v>
      </c>
      <c r="BT1" s="1" t="s">
        <v>83</v>
      </c>
      <c r="BU1" s="1" t="s">
        <v>84</v>
      </c>
      <c r="BV1" s="1" t="s">
        <v>85</v>
      </c>
      <c r="BW1" s="1" t="s">
        <v>86</v>
      </c>
      <c r="BX1" s="1" t="s">
        <v>87</v>
      </c>
      <c r="BY1" s="1" t="s">
        <v>88</v>
      </c>
      <c r="BZ1" s="1" t="s">
        <v>89</v>
      </c>
      <c r="CA1" s="1" t="s">
        <v>90</v>
      </c>
      <c r="CB1" s="1" t="s">
        <v>91</v>
      </c>
      <c r="CC1" s="1" t="s">
        <v>92</v>
      </c>
    </row>
    <row r="2" spans="1:81" x14ac:dyDescent="0.25">
      <c r="A2" s="1" t="s">
        <v>93</v>
      </c>
      <c r="B2" s="1" t="s">
        <v>94</v>
      </c>
      <c r="C2" s="1">
        <v>1610612759</v>
      </c>
      <c r="D2" s="1" t="s">
        <v>95</v>
      </c>
      <c r="E2" s="1" t="s">
        <v>96</v>
      </c>
      <c r="F2" s="1" t="s">
        <v>97</v>
      </c>
      <c r="G2" s="1" t="s">
        <v>98</v>
      </c>
      <c r="H2" s="1">
        <v>1</v>
      </c>
      <c r="I2" s="1" t="s">
        <v>99</v>
      </c>
      <c r="J2" s="1" t="s">
        <v>100</v>
      </c>
      <c r="K2" s="1" t="s">
        <v>101</v>
      </c>
      <c r="L2" s="1">
        <v>1</v>
      </c>
      <c r="M2" s="1">
        <v>3</v>
      </c>
      <c r="N2" s="1">
        <v>0</v>
      </c>
      <c r="O2" s="1">
        <v>1</v>
      </c>
      <c r="P2" s="1">
        <v>0</v>
      </c>
      <c r="Q2" s="1" t="s">
        <v>102</v>
      </c>
      <c r="R2" s="1" t="s">
        <v>103</v>
      </c>
      <c r="S2" s="1" t="s">
        <v>101</v>
      </c>
      <c r="T2" s="1" t="s">
        <v>103</v>
      </c>
      <c r="U2" s="1" t="s">
        <v>103</v>
      </c>
      <c r="V2" s="1" t="s">
        <v>101</v>
      </c>
      <c r="W2" s="1" t="s">
        <v>101</v>
      </c>
      <c r="X2" s="1" t="s">
        <v>104</v>
      </c>
      <c r="Y2" s="1" t="s">
        <v>101</v>
      </c>
      <c r="Z2" s="1">
        <v>3</v>
      </c>
      <c r="AA2" s="1" t="s">
        <v>105</v>
      </c>
      <c r="AB2" s="1">
        <v>0</v>
      </c>
      <c r="AC2" s="1" t="s">
        <v>106</v>
      </c>
      <c r="AD2" s="1">
        <v>3</v>
      </c>
      <c r="AE2" s="1">
        <v>0</v>
      </c>
      <c r="AF2" s="1">
        <v>3</v>
      </c>
      <c r="AG2" s="1" t="s">
        <v>105</v>
      </c>
      <c r="AH2" s="1">
        <v>0</v>
      </c>
      <c r="AI2" s="1" t="s">
        <v>106</v>
      </c>
      <c r="AJ2" s="1">
        <v>3</v>
      </c>
      <c r="AK2" s="1" t="s">
        <v>105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98</v>
      </c>
      <c r="AT2" s="1" t="s">
        <v>98</v>
      </c>
      <c r="AU2" s="1" t="s">
        <v>98</v>
      </c>
      <c r="AV2" s="1" t="s">
        <v>104</v>
      </c>
      <c r="AW2" s="1" t="s">
        <v>98</v>
      </c>
      <c r="AX2" s="1" t="s">
        <v>101</v>
      </c>
      <c r="AY2" s="1" t="s">
        <v>103</v>
      </c>
      <c r="AZ2" s="1" t="s">
        <v>103</v>
      </c>
      <c r="BA2" s="1" t="s">
        <v>103</v>
      </c>
      <c r="BB2" s="1" t="s">
        <v>104</v>
      </c>
      <c r="BC2" s="1" t="s">
        <v>103</v>
      </c>
      <c r="BD2" s="1" t="s">
        <v>98</v>
      </c>
      <c r="BE2" s="1">
        <v>119</v>
      </c>
      <c r="BF2" s="1">
        <v>114.3</v>
      </c>
      <c r="BG2" s="1">
        <v>4.7</v>
      </c>
      <c r="BH2" s="1" t="s">
        <v>107</v>
      </c>
      <c r="BI2" s="1" t="s">
        <v>108</v>
      </c>
      <c r="BJ2" s="1" t="s">
        <v>109</v>
      </c>
      <c r="BK2" s="1" t="s">
        <v>108</v>
      </c>
      <c r="BL2" s="1" t="s">
        <v>108</v>
      </c>
      <c r="BM2" s="1" t="s">
        <v>108</v>
      </c>
      <c r="BN2" s="1" t="s">
        <v>109</v>
      </c>
      <c r="BO2" s="1" t="s">
        <v>109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102</v>
      </c>
      <c r="BZ2" s="1"/>
      <c r="CA2" s="1"/>
      <c r="CB2" s="1" t="s">
        <v>102</v>
      </c>
      <c r="CC2" s="1"/>
    </row>
    <row r="3" spans="1:81" x14ac:dyDescent="0.25">
      <c r="A3" s="1" t="s">
        <v>93</v>
      </c>
      <c r="B3" s="1" t="s">
        <v>94</v>
      </c>
      <c r="C3" s="1">
        <v>1610612755</v>
      </c>
      <c r="D3" s="1" t="s">
        <v>110</v>
      </c>
      <c r="E3" s="1" t="s">
        <v>111</v>
      </c>
      <c r="F3" s="1" t="s">
        <v>112</v>
      </c>
      <c r="G3" s="1" t="s">
        <v>103</v>
      </c>
      <c r="H3" s="1">
        <v>1</v>
      </c>
      <c r="I3" s="1" t="s">
        <v>99</v>
      </c>
      <c r="J3" s="1" t="s">
        <v>113</v>
      </c>
      <c r="K3" s="1" t="s">
        <v>98</v>
      </c>
      <c r="L3" s="1">
        <v>1</v>
      </c>
      <c r="M3" s="1">
        <v>3</v>
      </c>
      <c r="N3" s="1">
        <v>0</v>
      </c>
      <c r="O3" s="1">
        <v>1</v>
      </c>
      <c r="P3" s="1">
        <v>0</v>
      </c>
      <c r="Q3" s="1" t="s">
        <v>102</v>
      </c>
      <c r="R3" s="1" t="s">
        <v>98</v>
      </c>
      <c r="S3" s="1" t="s">
        <v>104</v>
      </c>
      <c r="T3" s="1" t="s">
        <v>103</v>
      </c>
      <c r="U3" s="1" t="s">
        <v>98</v>
      </c>
      <c r="V3" s="1" t="s">
        <v>104</v>
      </c>
      <c r="W3" s="1" t="s">
        <v>101</v>
      </c>
      <c r="X3" s="1" t="s">
        <v>98</v>
      </c>
      <c r="Y3" s="1" t="s">
        <v>98</v>
      </c>
      <c r="Z3" s="1">
        <v>1</v>
      </c>
      <c r="AA3" s="1" t="s">
        <v>114</v>
      </c>
      <c r="AB3" s="1">
        <v>2</v>
      </c>
      <c r="AC3" s="1" t="s">
        <v>115</v>
      </c>
      <c r="AD3" s="1">
        <v>3</v>
      </c>
      <c r="AE3" s="1">
        <v>0</v>
      </c>
      <c r="AF3" s="1">
        <v>1</v>
      </c>
      <c r="AG3" s="1" t="s">
        <v>114</v>
      </c>
      <c r="AH3" s="1">
        <v>2</v>
      </c>
      <c r="AI3" s="1" t="s">
        <v>115</v>
      </c>
      <c r="AJ3" s="1">
        <v>3</v>
      </c>
      <c r="AK3" s="1" t="s">
        <v>105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98</v>
      </c>
      <c r="AT3" s="1" t="s">
        <v>104</v>
      </c>
      <c r="AU3" s="1" t="s">
        <v>101</v>
      </c>
      <c r="AV3" s="1" t="s">
        <v>98</v>
      </c>
      <c r="AW3" s="1" t="s">
        <v>98</v>
      </c>
      <c r="AX3" s="1" t="s">
        <v>98</v>
      </c>
      <c r="AY3" s="1" t="s">
        <v>103</v>
      </c>
      <c r="AZ3" s="1" t="s">
        <v>104</v>
      </c>
      <c r="BA3" s="1" t="s">
        <v>103</v>
      </c>
      <c r="BB3" s="1" t="s">
        <v>98</v>
      </c>
      <c r="BC3" s="1" t="s">
        <v>103</v>
      </c>
      <c r="BD3" s="1" t="s">
        <v>98</v>
      </c>
      <c r="BE3" s="1">
        <v>109.7</v>
      </c>
      <c r="BF3" s="1">
        <v>102.3</v>
      </c>
      <c r="BG3" s="1">
        <v>7.3</v>
      </c>
      <c r="BH3" s="1" t="s">
        <v>102</v>
      </c>
      <c r="BI3" s="1" t="s">
        <v>108</v>
      </c>
      <c r="BJ3" s="1" t="s">
        <v>108</v>
      </c>
      <c r="BK3" s="1" t="s">
        <v>108</v>
      </c>
      <c r="BL3" s="1" t="s">
        <v>109</v>
      </c>
      <c r="BM3" s="1" t="s">
        <v>109</v>
      </c>
      <c r="BN3" s="1" t="s">
        <v>109</v>
      </c>
      <c r="BO3" s="1" t="s">
        <v>109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102</v>
      </c>
      <c r="BZ3" s="1"/>
      <c r="CA3" s="1"/>
      <c r="CB3" s="1" t="s">
        <v>102</v>
      </c>
      <c r="CC3" s="1"/>
    </row>
    <row r="4" spans="1:81" x14ac:dyDescent="0.25">
      <c r="A4" s="1" t="s">
        <v>93</v>
      </c>
      <c r="B4" s="1" t="s">
        <v>94</v>
      </c>
      <c r="C4" s="1">
        <v>1610612750</v>
      </c>
      <c r="D4" s="1" t="s">
        <v>116</v>
      </c>
      <c r="E4" s="1" t="s">
        <v>117</v>
      </c>
      <c r="F4" s="1" t="s">
        <v>97</v>
      </c>
      <c r="G4" s="1" t="s">
        <v>101</v>
      </c>
      <c r="H4" s="1">
        <v>2</v>
      </c>
      <c r="I4" s="1" t="s">
        <v>99</v>
      </c>
      <c r="J4" s="1" t="s">
        <v>118</v>
      </c>
      <c r="K4" s="1" t="s">
        <v>101</v>
      </c>
      <c r="L4" s="1">
        <v>1</v>
      </c>
      <c r="M4" s="1">
        <v>3</v>
      </c>
      <c r="N4" s="1">
        <v>0</v>
      </c>
      <c r="O4" s="1">
        <v>1</v>
      </c>
      <c r="P4" s="1">
        <v>0</v>
      </c>
      <c r="Q4" s="1" t="s">
        <v>102</v>
      </c>
      <c r="R4" s="1" t="s">
        <v>98</v>
      </c>
      <c r="S4" s="1" t="s">
        <v>104</v>
      </c>
      <c r="T4" s="1" t="s">
        <v>103</v>
      </c>
      <c r="U4" s="1" t="s">
        <v>98</v>
      </c>
      <c r="V4" s="1" t="s">
        <v>104</v>
      </c>
      <c r="W4" s="1" t="s">
        <v>98</v>
      </c>
      <c r="X4" s="1" t="s">
        <v>98</v>
      </c>
      <c r="Y4" s="1" t="s">
        <v>98</v>
      </c>
      <c r="Z4" s="1">
        <v>1</v>
      </c>
      <c r="AA4" s="1" t="s">
        <v>114</v>
      </c>
      <c r="AB4" s="1">
        <v>2</v>
      </c>
      <c r="AC4" s="1" t="s">
        <v>115</v>
      </c>
      <c r="AD4" s="1">
        <v>3</v>
      </c>
      <c r="AE4" s="1">
        <v>0</v>
      </c>
      <c r="AF4" s="1">
        <v>1</v>
      </c>
      <c r="AG4" s="1" t="s">
        <v>114</v>
      </c>
      <c r="AH4" s="1">
        <v>2</v>
      </c>
      <c r="AI4" s="1" t="s">
        <v>115</v>
      </c>
      <c r="AJ4" s="1">
        <v>3</v>
      </c>
      <c r="AK4" s="1" t="s">
        <v>105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104</v>
      </c>
      <c r="AT4" s="1" t="s">
        <v>98</v>
      </c>
      <c r="AU4" s="1" t="s">
        <v>101</v>
      </c>
      <c r="AV4" s="1" t="s">
        <v>98</v>
      </c>
      <c r="AW4" s="1" t="s">
        <v>104</v>
      </c>
      <c r="AX4" s="1" t="s">
        <v>101</v>
      </c>
      <c r="AY4" s="1" t="s">
        <v>103</v>
      </c>
      <c r="AZ4" s="1" t="s">
        <v>104</v>
      </c>
      <c r="BA4" s="1" t="s">
        <v>103</v>
      </c>
      <c r="BB4" s="1" t="s">
        <v>98</v>
      </c>
      <c r="BC4" s="1" t="s">
        <v>103</v>
      </c>
      <c r="BD4" s="1" t="s">
        <v>103</v>
      </c>
      <c r="BE4" s="1">
        <v>121.3</v>
      </c>
      <c r="BF4" s="1">
        <v>111.3</v>
      </c>
      <c r="BG4" s="1">
        <v>10</v>
      </c>
      <c r="BH4" s="1" t="s">
        <v>102</v>
      </c>
      <c r="BI4" s="1" t="s">
        <v>108</v>
      </c>
      <c r="BJ4" s="1" t="s">
        <v>109</v>
      </c>
      <c r="BK4" s="1" t="s">
        <v>107</v>
      </c>
      <c r="BL4" s="1" t="s">
        <v>109</v>
      </c>
      <c r="BM4" s="1" t="s">
        <v>109</v>
      </c>
      <c r="BN4" s="1" t="s">
        <v>109</v>
      </c>
      <c r="BO4" s="1" t="s">
        <v>109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102</v>
      </c>
      <c r="BZ4" s="1"/>
      <c r="CA4" s="1"/>
      <c r="CB4" s="1" t="s">
        <v>102</v>
      </c>
      <c r="CC4" s="1"/>
    </row>
    <row r="5" spans="1:81" x14ac:dyDescent="0.25">
      <c r="A5" s="1" t="s">
        <v>93</v>
      </c>
      <c r="B5" s="1" t="s">
        <v>94</v>
      </c>
      <c r="C5" s="1">
        <v>1610612748</v>
      </c>
      <c r="D5" s="1" t="s">
        <v>119</v>
      </c>
      <c r="E5" s="1" t="s">
        <v>120</v>
      </c>
      <c r="F5" s="1" t="s">
        <v>112</v>
      </c>
      <c r="G5" s="1" t="s">
        <v>104</v>
      </c>
      <c r="H5" s="1">
        <v>2</v>
      </c>
      <c r="I5" s="1" t="s">
        <v>99</v>
      </c>
      <c r="J5" s="1" t="s">
        <v>121</v>
      </c>
      <c r="K5" s="1" t="s">
        <v>98</v>
      </c>
      <c r="L5" s="1">
        <v>1</v>
      </c>
      <c r="M5" s="1">
        <v>3</v>
      </c>
      <c r="N5" s="1">
        <v>1</v>
      </c>
      <c r="O5" s="1">
        <v>0.75</v>
      </c>
      <c r="P5" s="1">
        <v>0</v>
      </c>
      <c r="Q5" s="1" t="s">
        <v>122</v>
      </c>
      <c r="R5" s="1" t="s">
        <v>104</v>
      </c>
      <c r="S5" s="1" t="s">
        <v>123</v>
      </c>
      <c r="T5" s="1" t="s">
        <v>124</v>
      </c>
      <c r="U5" s="1" t="s">
        <v>104</v>
      </c>
      <c r="V5" s="1" t="s">
        <v>123</v>
      </c>
      <c r="W5" s="1" t="s">
        <v>98</v>
      </c>
      <c r="X5" s="1" t="s">
        <v>101</v>
      </c>
      <c r="Y5" s="1" t="s">
        <v>104</v>
      </c>
      <c r="Z5" s="1">
        <v>2</v>
      </c>
      <c r="AA5" s="1" t="s">
        <v>115</v>
      </c>
      <c r="AB5" s="1">
        <v>1</v>
      </c>
      <c r="AC5" s="1" t="s">
        <v>114</v>
      </c>
      <c r="AD5" s="1">
        <v>2</v>
      </c>
      <c r="AE5" s="1">
        <v>1</v>
      </c>
      <c r="AF5" s="1">
        <v>2</v>
      </c>
      <c r="AG5" s="1" t="s">
        <v>115</v>
      </c>
      <c r="AH5" s="1">
        <v>-1</v>
      </c>
      <c r="AI5" s="1" t="s">
        <v>125</v>
      </c>
      <c r="AJ5" s="1">
        <v>1</v>
      </c>
      <c r="AK5" s="1" t="s">
        <v>114</v>
      </c>
      <c r="AL5" s="1">
        <v>0.5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123</v>
      </c>
      <c r="AT5" s="1" t="s">
        <v>104</v>
      </c>
      <c r="AU5" s="1" t="s">
        <v>101</v>
      </c>
      <c r="AV5" s="1" t="s">
        <v>123</v>
      </c>
      <c r="AW5" s="1" t="s">
        <v>104</v>
      </c>
      <c r="AX5" s="1" t="s">
        <v>101</v>
      </c>
      <c r="AY5" s="1" t="s">
        <v>124</v>
      </c>
      <c r="AZ5" s="1" t="s">
        <v>126</v>
      </c>
      <c r="BA5" s="1" t="s">
        <v>124</v>
      </c>
      <c r="BB5" s="1" t="s">
        <v>124</v>
      </c>
      <c r="BC5" s="1" t="s">
        <v>103</v>
      </c>
      <c r="BD5" s="1" t="s">
        <v>98</v>
      </c>
      <c r="BE5" s="1">
        <v>118</v>
      </c>
      <c r="BF5" s="1">
        <v>110</v>
      </c>
      <c r="BG5" s="1">
        <v>8</v>
      </c>
      <c r="BH5" s="1" t="s">
        <v>107</v>
      </c>
      <c r="BI5" s="1" t="s">
        <v>109</v>
      </c>
      <c r="BJ5" s="1" t="s">
        <v>108</v>
      </c>
      <c r="BK5" s="1" t="s">
        <v>108</v>
      </c>
      <c r="BL5" s="1" t="s">
        <v>127</v>
      </c>
      <c r="BM5" s="1" t="s">
        <v>128</v>
      </c>
      <c r="BN5" s="1" t="s">
        <v>109</v>
      </c>
      <c r="BO5" s="1" t="s">
        <v>108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122</v>
      </c>
      <c r="BZ5" s="1"/>
      <c r="CA5" s="1"/>
      <c r="CB5" s="1" t="s">
        <v>122</v>
      </c>
      <c r="CC5" s="1"/>
    </row>
    <row r="6" spans="1:81" x14ac:dyDescent="0.25">
      <c r="A6" s="1" t="s">
        <v>93</v>
      </c>
      <c r="B6" s="1" t="s">
        <v>94</v>
      </c>
      <c r="C6" s="1">
        <v>1610612761</v>
      </c>
      <c r="D6" s="1" t="s">
        <v>129</v>
      </c>
      <c r="E6" s="1" t="s">
        <v>130</v>
      </c>
      <c r="F6" s="1" t="s">
        <v>112</v>
      </c>
      <c r="G6" s="1" t="s">
        <v>126</v>
      </c>
      <c r="H6" s="1">
        <v>3</v>
      </c>
      <c r="I6" s="1" t="s">
        <v>99</v>
      </c>
      <c r="J6" s="1" t="s">
        <v>113</v>
      </c>
      <c r="K6" s="1" t="s">
        <v>131</v>
      </c>
      <c r="L6" s="1">
        <v>2</v>
      </c>
      <c r="M6" s="1">
        <v>3</v>
      </c>
      <c r="N6" s="1">
        <v>1</v>
      </c>
      <c r="O6" s="1">
        <v>0.75</v>
      </c>
      <c r="P6" s="1">
        <v>0</v>
      </c>
      <c r="Q6" s="1" t="s">
        <v>122</v>
      </c>
      <c r="R6" s="1" t="s">
        <v>104</v>
      </c>
      <c r="S6" s="1" t="s">
        <v>123</v>
      </c>
      <c r="T6" s="1" t="s">
        <v>124</v>
      </c>
      <c r="U6" s="1" t="s">
        <v>104</v>
      </c>
      <c r="V6" s="1" t="s">
        <v>123</v>
      </c>
      <c r="W6" s="1" t="s">
        <v>98</v>
      </c>
      <c r="X6" s="1" t="s">
        <v>101</v>
      </c>
      <c r="Y6" s="1" t="s">
        <v>98</v>
      </c>
      <c r="Z6" s="1">
        <v>2</v>
      </c>
      <c r="AA6" s="1" t="s">
        <v>115</v>
      </c>
      <c r="AB6" s="1">
        <v>1</v>
      </c>
      <c r="AC6" s="1" t="s">
        <v>114</v>
      </c>
      <c r="AD6" s="1">
        <v>2</v>
      </c>
      <c r="AE6" s="1">
        <v>1</v>
      </c>
      <c r="AF6" s="1">
        <v>2</v>
      </c>
      <c r="AG6" s="1" t="s">
        <v>115</v>
      </c>
      <c r="AH6" s="1">
        <v>1</v>
      </c>
      <c r="AI6" s="1" t="s">
        <v>114</v>
      </c>
      <c r="AJ6" s="1">
        <v>2</v>
      </c>
      <c r="AK6" s="1" t="s">
        <v>115</v>
      </c>
      <c r="AL6" s="1">
        <v>0.5</v>
      </c>
      <c r="AM6" s="1">
        <v>0.5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104</v>
      </c>
      <c r="AT6" s="1" t="s">
        <v>123</v>
      </c>
      <c r="AU6" s="1" t="s">
        <v>101</v>
      </c>
      <c r="AV6" s="1" t="s">
        <v>124</v>
      </c>
      <c r="AW6" s="1" t="s">
        <v>101</v>
      </c>
      <c r="AX6" s="1" t="s">
        <v>101</v>
      </c>
      <c r="AY6" s="1" t="s">
        <v>124</v>
      </c>
      <c r="AZ6" s="1" t="s">
        <v>123</v>
      </c>
      <c r="BA6" s="1" t="s">
        <v>103</v>
      </c>
      <c r="BB6" s="1" t="s">
        <v>126</v>
      </c>
      <c r="BC6" s="1" t="s">
        <v>103</v>
      </c>
      <c r="BD6" s="1" t="s">
        <v>98</v>
      </c>
      <c r="BE6" s="1">
        <v>112</v>
      </c>
      <c r="BF6" s="1">
        <v>103.3</v>
      </c>
      <c r="BG6" s="1">
        <v>8.8000000000000007</v>
      </c>
      <c r="BH6" s="1" t="s">
        <v>132</v>
      </c>
      <c r="BI6" s="1" t="s">
        <v>128</v>
      </c>
      <c r="BJ6" s="1" t="s">
        <v>108</v>
      </c>
      <c r="BK6" s="1" t="s">
        <v>108</v>
      </c>
      <c r="BL6" s="1" t="s">
        <v>108</v>
      </c>
      <c r="BM6" s="1" t="s">
        <v>109</v>
      </c>
      <c r="BN6" s="1" t="s">
        <v>109</v>
      </c>
      <c r="BO6" s="1" t="s">
        <v>108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122</v>
      </c>
      <c r="BZ6" s="1"/>
      <c r="CA6" s="1"/>
      <c r="CB6" s="1" t="s">
        <v>122</v>
      </c>
      <c r="CC6" s="1"/>
    </row>
    <row r="7" spans="1:81" x14ac:dyDescent="0.25">
      <c r="A7" s="1" t="s">
        <v>93</v>
      </c>
      <c r="B7" s="1" t="s">
        <v>94</v>
      </c>
      <c r="C7" s="1">
        <v>1610612746</v>
      </c>
      <c r="D7" s="1" t="s">
        <v>133</v>
      </c>
      <c r="E7" s="1" t="s">
        <v>134</v>
      </c>
      <c r="F7" s="1" t="s">
        <v>97</v>
      </c>
      <c r="G7" s="1" t="s">
        <v>126</v>
      </c>
      <c r="H7" s="1">
        <v>3</v>
      </c>
      <c r="I7" s="1" t="s">
        <v>99</v>
      </c>
      <c r="J7" s="1" t="s">
        <v>135</v>
      </c>
      <c r="K7" s="1" t="s">
        <v>126</v>
      </c>
      <c r="L7" s="1">
        <v>1</v>
      </c>
      <c r="M7" s="1">
        <v>3</v>
      </c>
      <c r="N7" s="1">
        <v>1</v>
      </c>
      <c r="O7" s="1">
        <v>0.75</v>
      </c>
      <c r="P7" s="1">
        <v>0</v>
      </c>
      <c r="Q7" s="1" t="s">
        <v>122</v>
      </c>
      <c r="R7" s="1" t="s">
        <v>104</v>
      </c>
      <c r="S7" s="1" t="s">
        <v>123</v>
      </c>
      <c r="T7" s="1" t="s">
        <v>124</v>
      </c>
      <c r="U7" s="1" t="s">
        <v>104</v>
      </c>
      <c r="V7" s="1" t="s">
        <v>123</v>
      </c>
      <c r="W7" s="1" t="s">
        <v>101</v>
      </c>
      <c r="X7" s="1" t="s">
        <v>101</v>
      </c>
      <c r="Y7" s="1" t="s">
        <v>103</v>
      </c>
      <c r="Z7" s="1">
        <v>2</v>
      </c>
      <c r="AA7" s="1" t="s">
        <v>115</v>
      </c>
      <c r="AB7" s="1">
        <v>1</v>
      </c>
      <c r="AC7" s="1" t="s">
        <v>114</v>
      </c>
      <c r="AD7" s="1">
        <v>2</v>
      </c>
      <c r="AE7" s="1">
        <v>1</v>
      </c>
      <c r="AF7" s="1">
        <v>2</v>
      </c>
      <c r="AG7" s="1" t="s">
        <v>115</v>
      </c>
      <c r="AH7" s="1">
        <v>-1</v>
      </c>
      <c r="AI7" s="1" t="s">
        <v>125</v>
      </c>
      <c r="AJ7" s="1">
        <v>1</v>
      </c>
      <c r="AK7" s="1" t="s">
        <v>114</v>
      </c>
      <c r="AL7" s="1">
        <v>0.5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103</v>
      </c>
      <c r="AT7" s="1" t="s">
        <v>101</v>
      </c>
      <c r="AU7" s="1" t="s">
        <v>131</v>
      </c>
      <c r="AV7" s="1" t="s">
        <v>104</v>
      </c>
      <c r="AW7" s="1" t="s">
        <v>131</v>
      </c>
      <c r="AX7" s="1" t="s">
        <v>98</v>
      </c>
      <c r="AY7" s="1" t="s">
        <v>124</v>
      </c>
      <c r="AZ7" s="1" t="s">
        <v>126</v>
      </c>
      <c r="BA7" s="1" t="s">
        <v>126</v>
      </c>
      <c r="BB7" s="1" t="s">
        <v>103</v>
      </c>
      <c r="BC7" s="1" t="s">
        <v>104</v>
      </c>
      <c r="BD7" s="1" t="s">
        <v>123</v>
      </c>
      <c r="BE7" s="1">
        <v>121.5</v>
      </c>
      <c r="BF7" s="1">
        <v>112.5</v>
      </c>
      <c r="BG7" s="1">
        <v>9</v>
      </c>
      <c r="BH7" s="1" t="s">
        <v>108</v>
      </c>
      <c r="BI7" s="1" t="s">
        <v>109</v>
      </c>
      <c r="BJ7" s="1" t="s">
        <v>109</v>
      </c>
      <c r="BK7" s="1" t="s">
        <v>108</v>
      </c>
      <c r="BL7" s="1" t="s">
        <v>132</v>
      </c>
      <c r="BM7" s="1" t="s">
        <v>109</v>
      </c>
      <c r="BN7" s="1" t="s">
        <v>132</v>
      </c>
      <c r="BO7" s="1" t="s">
        <v>109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122</v>
      </c>
      <c r="BZ7" s="1"/>
      <c r="CA7" s="1"/>
      <c r="CB7" s="1" t="s">
        <v>122</v>
      </c>
      <c r="CC7" s="1"/>
    </row>
    <row r="8" spans="1:81" x14ac:dyDescent="0.25">
      <c r="A8" s="1" t="s">
        <v>93</v>
      </c>
      <c r="B8" s="1" t="s">
        <v>94</v>
      </c>
      <c r="C8" s="1">
        <v>1610612742</v>
      </c>
      <c r="D8" s="1" t="s">
        <v>136</v>
      </c>
      <c r="E8" s="1" t="s">
        <v>137</v>
      </c>
      <c r="F8" s="1" t="s">
        <v>97</v>
      </c>
      <c r="G8" s="1" t="s">
        <v>126</v>
      </c>
      <c r="H8" s="1">
        <v>4</v>
      </c>
      <c r="I8" s="1" t="s">
        <v>99</v>
      </c>
      <c r="J8" s="1" t="s">
        <v>100</v>
      </c>
      <c r="K8" s="1" t="s">
        <v>98</v>
      </c>
      <c r="L8" s="1">
        <v>2</v>
      </c>
      <c r="M8" s="1">
        <v>3</v>
      </c>
      <c r="N8" s="1">
        <v>1</v>
      </c>
      <c r="O8" s="1">
        <v>0.75</v>
      </c>
      <c r="P8" s="1">
        <v>0</v>
      </c>
      <c r="Q8" s="1" t="s">
        <v>122</v>
      </c>
      <c r="R8" s="1" t="s">
        <v>123</v>
      </c>
      <c r="S8" s="1" t="s">
        <v>104</v>
      </c>
      <c r="T8" s="1" t="s">
        <v>124</v>
      </c>
      <c r="U8" s="1" t="s">
        <v>123</v>
      </c>
      <c r="V8" s="1" t="s">
        <v>104</v>
      </c>
      <c r="W8" s="1" t="s">
        <v>101</v>
      </c>
      <c r="X8" s="1" t="s">
        <v>123</v>
      </c>
      <c r="Y8" s="1" t="s">
        <v>101</v>
      </c>
      <c r="Z8" s="1">
        <v>1</v>
      </c>
      <c r="AA8" s="1" t="s">
        <v>114</v>
      </c>
      <c r="AB8" s="1">
        <v>2</v>
      </c>
      <c r="AC8" s="1" t="s">
        <v>115</v>
      </c>
      <c r="AD8" s="1">
        <v>2</v>
      </c>
      <c r="AE8" s="1">
        <v>1</v>
      </c>
      <c r="AF8" s="1">
        <v>-1</v>
      </c>
      <c r="AG8" s="1" t="s">
        <v>125</v>
      </c>
      <c r="AH8" s="1">
        <v>2</v>
      </c>
      <c r="AI8" s="1" t="s">
        <v>115</v>
      </c>
      <c r="AJ8" s="1">
        <v>1</v>
      </c>
      <c r="AK8" s="1" t="s">
        <v>114</v>
      </c>
      <c r="AL8" s="1">
        <v>0.5</v>
      </c>
      <c r="AM8" s="1">
        <v>0.5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126</v>
      </c>
      <c r="AT8" s="1" t="s">
        <v>98</v>
      </c>
      <c r="AU8" s="1" t="s">
        <v>101</v>
      </c>
      <c r="AV8" s="1" t="s">
        <v>104</v>
      </c>
      <c r="AW8" s="1" t="s">
        <v>98</v>
      </c>
      <c r="AX8" s="1" t="s">
        <v>131</v>
      </c>
      <c r="AY8" s="1" t="s">
        <v>124</v>
      </c>
      <c r="AZ8" s="1" t="s">
        <v>124</v>
      </c>
      <c r="BA8" s="1" t="s">
        <v>126</v>
      </c>
      <c r="BB8" s="1" t="s">
        <v>103</v>
      </c>
      <c r="BC8" s="1" t="s">
        <v>98</v>
      </c>
      <c r="BD8" s="1" t="s">
        <v>126</v>
      </c>
      <c r="BE8" s="1">
        <v>114.8</v>
      </c>
      <c r="BF8" s="1">
        <v>110.8</v>
      </c>
      <c r="BG8" s="1">
        <v>4</v>
      </c>
      <c r="BH8" s="1" t="s">
        <v>108</v>
      </c>
      <c r="BI8" s="1" t="s">
        <v>109</v>
      </c>
      <c r="BJ8" s="1" t="s">
        <v>109</v>
      </c>
      <c r="BK8" s="1" t="s">
        <v>108</v>
      </c>
      <c r="BL8" s="1" t="s">
        <v>132</v>
      </c>
      <c r="BM8" s="1" t="s">
        <v>127</v>
      </c>
      <c r="BN8" s="1" t="s">
        <v>109</v>
      </c>
      <c r="BO8" s="1" t="s">
        <v>108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122</v>
      </c>
      <c r="BZ8" s="1"/>
      <c r="CA8" s="1"/>
      <c r="CB8" s="1" t="s">
        <v>122</v>
      </c>
      <c r="CC8" s="1"/>
    </row>
    <row r="9" spans="1:81" x14ac:dyDescent="0.25">
      <c r="A9" s="1" t="s">
        <v>93</v>
      </c>
      <c r="B9" s="1" t="s">
        <v>94</v>
      </c>
      <c r="C9" s="1">
        <v>1610612749</v>
      </c>
      <c r="D9" s="1" t="s">
        <v>138</v>
      </c>
      <c r="E9" s="1" t="s">
        <v>139</v>
      </c>
      <c r="F9" s="1" t="s">
        <v>112</v>
      </c>
      <c r="G9" s="1" t="s">
        <v>123</v>
      </c>
      <c r="H9" s="1">
        <v>4</v>
      </c>
      <c r="I9" s="1" t="s">
        <v>99</v>
      </c>
      <c r="J9" s="1" t="s">
        <v>140</v>
      </c>
      <c r="K9" s="1" t="s">
        <v>98</v>
      </c>
      <c r="L9" s="1">
        <v>1</v>
      </c>
      <c r="M9" s="1">
        <v>2</v>
      </c>
      <c r="N9" s="1">
        <v>1</v>
      </c>
      <c r="O9" s="1">
        <v>0.66700000000000004</v>
      </c>
      <c r="P9" s="1">
        <v>0</v>
      </c>
      <c r="Q9" s="1" t="s">
        <v>132</v>
      </c>
      <c r="R9" s="1" t="s">
        <v>123</v>
      </c>
      <c r="S9" s="1" t="s">
        <v>98</v>
      </c>
      <c r="T9" s="1" t="s">
        <v>126</v>
      </c>
      <c r="U9" s="1" t="s">
        <v>123</v>
      </c>
      <c r="V9" s="1" t="s">
        <v>98</v>
      </c>
      <c r="W9" s="1" t="s">
        <v>131</v>
      </c>
      <c r="X9" s="1" t="s">
        <v>101</v>
      </c>
      <c r="Y9" s="1" t="s">
        <v>98</v>
      </c>
      <c r="Z9" s="1">
        <v>1</v>
      </c>
      <c r="AA9" s="1" t="s">
        <v>114</v>
      </c>
      <c r="AB9" s="1">
        <v>1</v>
      </c>
      <c r="AC9" s="1" t="s">
        <v>114</v>
      </c>
      <c r="AD9" s="1">
        <v>1</v>
      </c>
      <c r="AE9" s="1">
        <v>1</v>
      </c>
      <c r="AF9" s="1">
        <v>1</v>
      </c>
      <c r="AG9" s="1" t="s">
        <v>114</v>
      </c>
      <c r="AH9" s="1">
        <v>1</v>
      </c>
      <c r="AI9" s="1" t="s">
        <v>114</v>
      </c>
      <c r="AJ9" s="1">
        <v>1</v>
      </c>
      <c r="AK9" s="1" t="s">
        <v>114</v>
      </c>
      <c r="AL9" s="1">
        <v>1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123</v>
      </c>
      <c r="AT9" s="1" t="s">
        <v>98</v>
      </c>
      <c r="AU9" s="1" t="s">
        <v>101</v>
      </c>
      <c r="AV9" s="1" t="s">
        <v>123</v>
      </c>
      <c r="AW9" s="1" t="s">
        <v>98</v>
      </c>
      <c r="AX9" s="1" t="s">
        <v>101</v>
      </c>
      <c r="AY9" s="1" t="s">
        <v>126</v>
      </c>
      <c r="AZ9" s="1" t="s">
        <v>126</v>
      </c>
      <c r="BA9" s="1" t="s">
        <v>126</v>
      </c>
      <c r="BB9" s="1" t="s">
        <v>104</v>
      </c>
      <c r="BC9" s="1" t="s">
        <v>98</v>
      </c>
      <c r="BD9" s="1" t="s">
        <v>98</v>
      </c>
      <c r="BE9" s="1">
        <v>124</v>
      </c>
      <c r="BF9" s="1">
        <v>118</v>
      </c>
      <c r="BG9" s="1">
        <v>6</v>
      </c>
      <c r="BH9" s="1" t="s">
        <v>127</v>
      </c>
      <c r="BI9" s="1" t="s">
        <v>109</v>
      </c>
      <c r="BJ9" s="1" t="s">
        <v>108</v>
      </c>
      <c r="BK9" s="1" t="s">
        <v>128</v>
      </c>
      <c r="BL9" s="1" t="s">
        <v>108</v>
      </c>
      <c r="BM9" s="1" t="s">
        <v>109</v>
      </c>
      <c r="BN9" s="1" t="s">
        <v>109</v>
      </c>
      <c r="BO9" s="1" t="s">
        <v>108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132</v>
      </c>
      <c r="BZ9" s="1"/>
      <c r="CA9" s="1"/>
      <c r="CB9" s="1" t="s">
        <v>132</v>
      </c>
      <c r="CC9" s="1"/>
    </row>
    <row r="10" spans="1:81" x14ac:dyDescent="0.25">
      <c r="A10" s="1" t="s">
        <v>93</v>
      </c>
      <c r="B10" s="1" t="s">
        <v>94</v>
      </c>
      <c r="C10" s="1">
        <v>1610612747</v>
      </c>
      <c r="D10" s="1" t="s">
        <v>141</v>
      </c>
      <c r="E10" s="1" t="s">
        <v>142</v>
      </c>
      <c r="F10" s="1" t="s">
        <v>97</v>
      </c>
      <c r="G10" s="1" t="s">
        <v>126</v>
      </c>
      <c r="H10" s="1">
        <v>5</v>
      </c>
      <c r="I10" s="1" t="s">
        <v>99</v>
      </c>
      <c r="J10" s="1" t="s">
        <v>135</v>
      </c>
      <c r="K10" s="1" t="s">
        <v>131</v>
      </c>
      <c r="L10" s="1">
        <v>2</v>
      </c>
      <c r="M10" s="1">
        <v>3</v>
      </c>
      <c r="N10" s="1">
        <v>1</v>
      </c>
      <c r="O10" s="1">
        <v>0.75</v>
      </c>
      <c r="P10" s="1">
        <v>0</v>
      </c>
      <c r="Q10" s="1" t="s">
        <v>122</v>
      </c>
      <c r="R10" s="1" t="s">
        <v>103</v>
      </c>
      <c r="S10" s="1" t="s">
        <v>131</v>
      </c>
      <c r="T10" s="1" t="s">
        <v>124</v>
      </c>
      <c r="U10" s="1" t="s">
        <v>103</v>
      </c>
      <c r="V10" s="1" t="s">
        <v>131</v>
      </c>
      <c r="W10" s="1" t="s">
        <v>101</v>
      </c>
      <c r="X10" s="1" t="s">
        <v>101</v>
      </c>
      <c r="Y10" s="1" t="s">
        <v>126</v>
      </c>
      <c r="Z10" s="1">
        <v>3</v>
      </c>
      <c r="AA10" s="1" t="s">
        <v>105</v>
      </c>
      <c r="AB10" s="1">
        <v>-1</v>
      </c>
      <c r="AC10" s="1" t="s">
        <v>125</v>
      </c>
      <c r="AD10" s="1">
        <v>3</v>
      </c>
      <c r="AE10" s="1">
        <v>1</v>
      </c>
      <c r="AF10" s="1">
        <v>3</v>
      </c>
      <c r="AG10" s="1" t="s">
        <v>105</v>
      </c>
      <c r="AH10" s="1">
        <v>-1</v>
      </c>
      <c r="AI10" s="1" t="s">
        <v>125</v>
      </c>
      <c r="AJ10" s="1">
        <v>3</v>
      </c>
      <c r="AK10" s="1" t="s">
        <v>105</v>
      </c>
      <c r="AL10" s="1">
        <v>0.5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103</v>
      </c>
      <c r="AT10" s="1" t="s">
        <v>131</v>
      </c>
      <c r="AU10" s="1" t="s">
        <v>101</v>
      </c>
      <c r="AV10" s="1" t="s">
        <v>103</v>
      </c>
      <c r="AW10" s="1" t="s">
        <v>101</v>
      </c>
      <c r="AX10" s="1" t="s">
        <v>131</v>
      </c>
      <c r="AY10" s="1" t="s">
        <v>126</v>
      </c>
      <c r="AZ10" s="1" t="s">
        <v>123</v>
      </c>
      <c r="BA10" s="1" t="s">
        <v>126</v>
      </c>
      <c r="BB10" s="1" t="s">
        <v>104</v>
      </c>
      <c r="BC10" s="1" t="s">
        <v>103</v>
      </c>
      <c r="BD10" s="1" t="s">
        <v>103</v>
      </c>
      <c r="BE10" s="1">
        <v>109.3</v>
      </c>
      <c r="BF10" s="1">
        <v>97.5</v>
      </c>
      <c r="BG10" s="1">
        <v>11.8</v>
      </c>
      <c r="BH10" s="1" t="s">
        <v>108</v>
      </c>
      <c r="BI10" s="1" t="s">
        <v>109</v>
      </c>
      <c r="BJ10" s="1" t="s">
        <v>109</v>
      </c>
      <c r="BK10" s="1" t="s">
        <v>108</v>
      </c>
      <c r="BL10" s="1" t="s">
        <v>132</v>
      </c>
      <c r="BM10" s="1" t="s">
        <v>108</v>
      </c>
      <c r="BN10" s="1" t="s">
        <v>128</v>
      </c>
      <c r="BO10" s="1" t="s">
        <v>108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122</v>
      </c>
      <c r="BZ10" s="1"/>
      <c r="CA10" s="1"/>
      <c r="CB10" s="1" t="s">
        <v>122</v>
      </c>
      <c r="CC10" s="1"/>
    </row>
    <row r="11" spans="1:81" x14ac:dyDescent="0.25">
      <c r="A11" s="1" t="s">
        <v>93</v>
      </c>
      <c r="B11" s="1" t="s">
        <v>94</v>
      </c>
      <c r="C11" s="1">
        <v>1610612738</v>
      </c>
      <c r="D11" s="1" t="s">
        <v>143</v>
      </c>
      <c r="E11" s="1" t="s">
        <v>144</v>
      </c>
      <c r="F11" s="1" t="s">
        <v>112</v>
      </c>
      <c r="G11" s="1" t="s">
        <v>126</v>
      </c>
      <c r="H11" s="1">
        <v>5</v>
      </c>
      <c r="I11" s="1" t="s">
        <v>99</v>
      </c>
      <c r="J11" s="1" t="s">
        <v>113</v>
      </c>
      <c r="K11" s="1" t="s">
        <v>126</v>
      </c>
      <c r="L11" s="1">
        <v>3</v>
      </c>
      <c r="M11" s="1">
        <v>2</v>
      </c>
      <c r="N11" s="1">
        <v>1</v>
      </c>
      <c r="O11" s="1">
        <v>0.66700000000000004</v>
      </c>
      <c r="P11" s="1">
        <v>0</v>
      </c>
      <c r="Q11" s="1" t="s">
        <v>132</v>
      </c>
      <c r="R11" s="1" t="s">
        <v>98</v>
      </c>
      <c r="S11" s="1" t="s">
        <v>123</v>
      </c>
      <c r="T11" s="1" t="s">
        <v>126</v>
      </c>
      <c r="U11" s="1" t="s">
        <v>98</v>
      </c>
      <c r="V11" s="1" t="s">
        <v>123</v>
      </c>
      <c r="W11" s="1" t="s">
        <v>101</v>
      </c>
      <c r="X11" s="1" t="s">
        <v>101</v>
      </c>
      <c r="Y11" s="1" t="s">
        <v>123</v>
      </c>
      <c r="Z11" s="1">
        <v>1</v>
      </c>
      <c r="AA11" s="1" t="s">
        <v>114</v>
      </c>
      <c r="AB11" s="1">
        <v>1</v>
      </c>
      <c r="AC11" s="1" t="s">
        <v>114</v>
      </c>
      <c r="AD11" s="1">
        <v>2</v>
      </c>
      <c r="AE11" s="1">
        <v>1</v>
      </c>
      <c r="AF11" s="1">
        <v>1</v>
      </c>
      <c r="AG11" s="1" t="s">
        <v>114</v>
      </c>
      <c r="AH11" s="1">
        <v>1</v>
      </c>
      <c r="AI11" s="1" t="s">
        <v>114</v>
      </c>
      <c r="AJ11" s="1">
        <v>2</v>
      </c>
      <c r="AK11" s="1" t="s">
        <v>115</v>
      </c>
      <c r="AL11" s="1">
        <v>1</v>
      </c>
      <c r="AM11" s="1">
        <v>1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98</v>
      </c>
      <c r="AT11" s="1" t="s">
        <v>123</v>
      </c>
      <c r="AU11" s="1" t="s">
        <v>101</v>
      </c>
      <c r="AV11" s="1" t="s">
        <v>98</v>
      </c>
      <c r="AW11" s="1" t="s">
        <v>123</v>
      </c>
      <c r="AX11" s="1" t="s">
        <v>101</v>
      </c>
      <c r="AY11" s="1" t="s">
        <v>104</v>
      </c>
      <c r="AZ11" s="1" t="s">
        <v>123</v>
      </c>
      <c r="BA11" s="1" t="s">
        <v>123</v>
      </c>
      <c r="BB11" s="1" t="s">
        <v>98</v>
      </c>
      <c r="BC11" s="1" t="s">
        <v>98</v>
      </c>
      <c r="BD11" s="1" t="s">
        <v>126</v>
      </c>
      <c r="BE11" s="1">
        <v>107.7</v>
      </c>
      <c r="BF11" s="1">
        <v>102.7</v>
      </c>
      <c r="BG11" s="1">
        <v>5</v>
      </c>
      <c r="BH11" s="1" t="s">
        <v>132</v>
      </c>
      <c r="BI11" s="1" t="s">
        <v>132</v>
      </c>
      <c r="BJ11" s="1" t="s">
        <v>109</v>
      </c>
      <c r="BK11" s="1" t="s">
        <v>109</v>
      </c>
      <c r="BL11" s="1" t="s">
        <v>109</v>
      </c>
      <c r="BM11" s="1" t="s">
        <v>109</v>
      </c>
      <c r="BN11" s="1" t="s">
        <v>109</v>
      </c>
      <c r="BO11" s="1" t="s">
        <v>109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132</v>
      </c>
      <c r="BZ11" s="1"/>
      <c r="CA11" s="1"/>
      <c r="CB11" s="1" t="s">
        <v>132</v>
      </c>
      <c r="CC11" s="1"/>
    </row>
    <row r="12" spans="1:81" x14ac:dyDescent="0.25">
      <c r="A12" s="1" t="s">
        <v>93</v>
      </c>
      <c r="B12" s="1" t="s">
        <v>94</v>
      </c>
      <c r="C12" s="1">
        <v>1610612762</v>
      </c>
      <c r="D12" s="1" t="s">
        <v>145</v>
      </c>
      <c r="E12" s="1" t="s">
        <v>146</v>
      </c>
      <c r="F12" s="1" t="s">
        <v>97</v>
      </c>
      <c r="G12" s="1" t="s">
        <v>124</v>
      </c>
      <c r="H12" s="1">
        <v>6</v>
      </c>
      <c r="I12" s="1" t="s">
        <v>99</v>
      </c>
      <c r="J12" s="1" t="s">
        <v>118</v>
      </c>
      <c r="K12" s="1" t="s">
        <v>98</v>
      </c>
      <c r="L12" s="1">
        <v>2</v>
      </c>
      <c r="M12" s="1">
        <v>3</v>
      </c>
      <c r="N12" s="1">
        <v>1</v>
      </c>
      <c r="O12" s="1">
        <v>0.75</v>
      </c>
      <c r="P12" s="1">
        <v>0</v>
      </c>
      <c r="Q12" s="1" t="s">
        <v>122</v>
      </c>
      <c r="R12" s="1" t="s">
        <v>104</v>
      </c>
      <c r="S12" s="1" t="s">
        <v>123</v>
      </c>
      <c r="T12" s="1" t="s">
        <v>124</v>
      </c>
      <c r="U12" s="1" t="s">
        <v>104</v>
      </c>
      <c r="V12" s="1" t="s">
        <v>123</v>
      </c>
      <c r="W12" s="1" t="s">
        <v>101</v>
      </c>
      <c r="X12" s="1" t="s">
        <v>98</v>
      </c>
      <c r="Y12" s="1" t="s">
        <v>98</v>
      </c>
      <c r="Z12" s="1">
        <v>2</v>
      </c>
      <c r="AA12" s="1" t="s">
        <v>115</v>
      </c>
      <c r="AB12" s="1">
        <v>1</v>
      </c>
      <c r="AC12" s="1" t="s">
        <v>114</v>
      </c>
      <c r="AD12" s="1">
        <v>2</v>
      </c>
      <c r="AE12" s="1">
        <v>1</v>
      </c>
      <c r="AF12" s="1">
        <v>2</v>
      </c>
      <c r="AG12" s="1" t="s">
        <v>115</v>
      </c>
      <c r="AH12" s="1">
        <v>1</v>
      </c>
      <c r="AI12" s="1" t="s">
        <v>114</v>
      </c>
      <c r="AJ12" s="1">
        <v>2</v>
      </c>
      <c r="AK12" s="1" t="s">
        <v>115</v>
      </c>
      <c r="AL12" s="1">
        <v>0.5</v>
      </c>
      <c r="AM12" s="1">
        <v>0.5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103</v>
      </c>
      <c r="AT12" s="1" t="s">
        <v>131</v>
      </c>
      <c r="AU12" s="1" t="s">
        <v>101</v>
      </c>
      <c r="AV12" s="1" t="s">
        <v>98</v>
      </c>
      <c r="AW12" s="1" t="s">
        <v>123</v>
      </c>
      <c r="AX12" s="1" t="s">
        <v>98</v>
      </c>
      <c r="AY12" s="1" t="s">
        <v>104</v>
      </c>
      <c r="AZ12" s="1" t="s">
        <v>101</v>
      </c>
      <c r="BA12" s="1" t="s">
        <v>104</v>
      </c>
      <c r="BB12" s="1" t="s">
        <v>126</v>
      </c>
      <c r="BC12" s="1" t="s">
        <v>103</v>
      </c>
      <c r="BD12" s="1" t="s">
        <v>98</v>
      </c>
      <c r="BE12" s="1">
        <v>98.8</v>
      </c>
      <c r="BF12" s="1">
        <v>91.5</v>
      </c>
      <c r="BG12" s="1">
        <v>7.3</v>
      </c>
      <c r="BH12" s="1" t="s">
        <v>109</v>
      </c>
      <c r="BI12" s="1" t="s">
        <v>109</v>
      </c>
      <c r="BJ12" s="1" t="s">
        <v>109</v>
      </c>
      <c r="BK12" s="1" t="s">
        <v>109</v>
      </c>
      <c r="BL12" s="1" t="s">
        <v>122</v>
      </c>
      <c r="BM12" s="1" t="s">
        <v>108</v>
      </c>
      <c r="BN12" s="1" t="s">
        <v>132</v>
      </c>
      <c r="BO12" s="1" t="s">
        <v>109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122</v>
      </c>
      <c r="BZ12" s="1"/>
      <c r="CA12" s="1"/>
      <c r="CB12" s="1" t="s">
        <v>122</v>
      </c>
      <c r="CC12" s="1"/>
    </row>
    <row r="13" spans="1:81" x14ac:dyDescent="0.25">
      <c r="A13" s="1" t="s">
        <v>93</v>
      </c>
      <c r="B13" s="1" t="s">
        <v>94</v>
      </c>
      <c r="C13" s="1">
        <v>1610612737</v>
      </c>
      <c r="D13" s="1" t="s">
        <v>147</v>
      </c>
      <c r="E13" s="1" t="s">
        <v>148</v>
      </c>
      <c r="F13" s="1" t="s">
        <v>112</v>
      </c>
      <c r="G13" s="1" t="s">
        <v>149</v>
      </c>
      <c r="H13" s="1">
        <v>6</v>
      </c>
      <c r="I13" s="1" t="s">
        <v>99</v>
      </c>
      <c r="J13" s="1" t="s">
        <v>121</v>
      </c>
      <c r="K13" s="1" t="s">
        <v>123</v>
      </c>
      <c r="L13" s="1">
        <v>2</v>
      </c>
      <c r="M13" s="1">
        <v>2</v>
      </c>
      <c r="N13" s="1">
        <v>2</v>
      </c>
      <c r="O13" s="1">
        <v>0.5</v>
      </c>
      <c r="P13" s="1">
        <v>0</v>
      </c>
      <c r="Q13" s="1" t="s">
        <v>150</v>
      </c>
      <c r="R13" s="1" t="s">
        <v>123</v>
      </c>
      <c r="S13" s="1" t="s">
        <v>123</v>
      </c>
      <c r="T13" s="1" t="s">
        <v>149</v>
      </c>
      <c r="U13" s="1" t="s">
        <v>123</v>
      </c>
      <c r="V13" s="1" t="s">
        <v>123</v>
      </c>
      <c r="W13" s="1" t="s">
        <v>101</v>
      </c>
      <c r="X13" s="1" t="s">
        <v>131</v>
      </c>
      <c r="Y13" s="1" t="s">
        <v>123</v>
      </c>
      <c r="Z13" s="1">
        <v>1</v>
      </c>
      <c r="AA13" s="1" t="s">
        <v>114</v>
      </c>
      <c r="AB13" s="1">
        <v>1</v>
      </c>
      <c r="AC13" s="1" t="s">
        <v>114</v>
      </c>
      <c r="AD13" s="1">
        <v>2</v>
      </c>
      <c r="AE13" s="1">
        <v>2</v>
      </c>
      <c r="AF13" s="1">
        <v>-1</v>
      </c>
      <c r="AG13" s="1" t="s">
        <v>125</v>
      </c>
      <c r="AH13" s="1">
        <v>-1</v>
      </c>
      <c r="AI13" s="1" t="s">
        <v>125</v>
      </c>
      <c r="AJ13" s="1">
        <v>-2</v>
      </c>
      <c r="AK13" s="1" t="s">
        <v>151</v>
      </c>
      <c r="AL13" s="1">
        <v>1.5</v>
      </c>
      <c r="AM13" s="1">
        <v>1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123</v>
      </c>
      <c r="AT13" s="1" t="s">
        <v>123</v>
      </c>
      <c r="AU13" s="1" t="s">
        <v>101</v>
      </c>
      <c r="AV13" s="1" t="s">
        <v>126</v>
      </c>
      <c r="AW13" s="1" t="s">
        <v>131</v>
      </c>
      <c r="AX13" s="1" t="s">
        <v>101</v>
      </c>
      <c r="AY13" s="1" t="s">
        <v>126</v>
      </c>
      <c r="AZ13" s="1" t="s">
        <v>152</v>
      </c>
      <c r="BA13" s="1" t="s">
        <v>149</v>
      </c>
      <c r="BB13" s="1" t="s">
        <v>126</v>
      </c>
      <c r="BC13" s="1" t="s">
        <v>104</v>
      </c>
      <c r="BD13" s="1" t="s">
        <v>152</v>
      </c>
      <c r="BE13" s="1">
        <v>105</v>
      </c>
      <c r="BF13" s="1">
        <v>104</v>
      </c>
      <c r="BG13" s="1">
        <v>1</v>
      </c>
      <c r="BH13" s="1" t="s">
        <v>150</v>
      </c>
      <c r="BI13" s="1" t="s">
        <v>128</v>
      </c>
      <c r="BJ13" s="1" t="s">
        <v>108</v>
      </c>
      <c r="BK13" s="1" t="s">
        <v>127</v>
      </c>
      <c r="BL13" s="1" t="s">
        <v>109</v>
      </c>
      <c r="BM13" s="1" t="s">
        <v>109</v>
      </c>
      <c r="BN13" s="1" t="s">
        <v>109</v>
      </c>
      <c r="BO13" s="1" t="s">
        <v>109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150</v>
      </c>
      <c r="BZ13" s="1"/>
      <c r="CA13" s="1"/>
      <c r="CB13" s="1" t="s">
        <v>150</v>
      </c>
      <c r="CC13" s="1"/>
    </row>
    <row r="14" spans="1:81" x14ac:dyDescent="0.25">
      <c r="A14" s="1" t="s">
        <v>93</v>
      </c>
      <c r="B14" s="1" t="s">
        <v>94</v>
      </c>
      <c r="C14" s="1">
        <v>1610612743</v>
      </c>
      <c r="D14" s="1" t="s">
        <v>153</v>
      </c>
      <c r="E14" s="1" t="s">
        <v>154</v>
      </c>
      <c r="F14" s="1" t="s">
        <v>97</v>
      </c>
      <c r="G14" s="1" t="s">
        <v>124</v>
      </c>
      <c r="H14" s="1">
        <v>7</v>
      </c>
      <c r="I14" s="1" t="s">
        <v>99</v>
      </c>
      <c r="J14" s="1" t="s">
        <v>118</v>
      </c>
      <c r="K14" s="1" t="s">
        <v>98</v>
      </c>
      <c r="L14" s="1">
        <v>3</v>
      </c>
      <c r="M14" s="1">
        <v>3</v>
      </c>
      <c r="N14" s="1">
        <v>1</v>
      </c>
      <c r="O14" s="1">
        <v>0.75</v>
      </c>
      <c r="P14" s="1">
        <v>0</v>
      </c>
      <c r="Q14" s="1" t="s">
        <v>122</v>
      </c>
      <c r="R14" s="1" t="s">
        <v>123</v>
      </c>
      <c r="S14" s="1" t="s">
        <v>104</v>
      </c>
      <c r="T14" s="1" t="s">
        <v>124</v>
      </c>
      <c r="U14" s="1" t="s">
        <v>123</v>
      </c>
      <c r="V14" s="1" t="s">
        <v>104</v>
      </c>
      <c r="W14" s="1" t="s">
        <v>98</v>
      </c>
      <c r="X14" s="1" t="s">
        <v>123</v>
      </c>
      <c r="Y14" s="1" t="s">
        <v>101</v>
      </c>
      <c r="Z14" s="1">
        <v>1</v>
      </c>
      <c r="AA14" s="1" t="s">
        <v>114</v>
      </c>
      <c r="AB14" s="1">
        <v>2</v>
      </c>
      <c r="AC14" s="1" t="s">
        <v>115</v>
      </c>
      <c r="AD14" s="1">
        <v>3</v>
      </c>
      <c r="AE14" s="1">
        <v>1</v>
      </c>
      <c r="AF14" s="1">
        <v>-1</v>
      </c>
      <c r="AG14" s="1" t="s">
        <v>125</v>
      </c>
      <c r="AH14" s="1">
        <v>2</v>
      </c>
      <c r="AI14" s="1" t="s">
        <v>115</v>
      </c>
      <c r="AJ14" s="1">
        <v>-1</v>
      </c>
      <c r="AK14" s="1" t="s">
        <v>125</v>
      </c>
      <c r="AL14" s="1">
        <v>0.5</v>
      </c>
      <c r="AM14" s="1">
        <v>0.5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123</v>
      </c>
      <c r="AT14" s="1" t="s">
        <v>104</v>
      </c>
      <c r="AU14" s="1" t="s">
        <v>101</v>
      </c>
      <c r="AV14" s="1" t="s">
        <v>126</v>
      </c>
      <c r="AW14" s="1" t="s">
        <v>98</v>
      </c>
      <c r="AX14" s="1" t="s">
        <v>101</v>
      </c>
      <c r="AY14" s="1" t="s">
        <v>124</v>
      </c>
      <c r="AZ14" s="1" t="s">
        <v>126</v>
      </c>
      <c r="BA14" s="1" t="s">
        <v>126</v>
      </c>
      <c r="BB14" s="1" t="s">
        <v>98</v>
      </c>
      <c r="BC14" s="1" t="s">
        <v>123</v>
      </c>
      <c r="BD14" s="1" t="s">
        <v>104</v>
      </c>
      <c r="BE14" s="1">
        <v>105.8</v>
      </c>
      <c r="BF14" s="1">
        <v>102.5</v>
      </c>
      <c r="BG14" s="1">
        <v>3.3</v>
      </c>
      <c r="BH14" s="1" t="s">
        <v>109</v>
      </c>
      <c r="BI14" s="1" t="s">
        <v>109</v>
      </c>
      <c r="BJ14" s="1" t="s">
        <v>109</v>
      </c>
      <c r="BK14" s="1" t="s">
        <v>109</v>
      </c>
      <c r="BL14" s="1" t="s">
        <v>122</v>
      </c>
      <c r="BM14" s="1" t="s">
        <v>108</v>
      </c>
      <c r="BN14" s="1" t="s">
        <v>107</v>
      </c>
      <c r="BO14" s="1" t="s">
        <v>128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122</v>
      </c>
      <c r="BZ14" s="1"/>
      <c r="CA14" s="1"/>
      <c r="CB14" s="1" t="s">
        <v>122</v>
      </c>
      <c r="CC14" s="1"/>
    </row>
    <row r="15" spans="1:81" x14ac:dyDescent="0.25">
      <c r="A15" s="1" t="s">
        <v>93</v>
      </c>
      <c r="B15" s="1" t="s">
        <v>94</v>
      </c>
      <c r="C15" s="1">
        <v>1610612765</v>
      </c>
      <c r="D15" s="1" t="s">
        <v>155</v>
      </c>
      <c r="E15" s="1" t="s">
        <v>156</v>
      </c>
      <c r="F15" s="1" t="s">
        <v>112</v>
      </c>
      <c r="G15" s="1" t="s">
        <v>149</v>
      </c>
      <c r="H15" s="1">
        <v>7</v>
      </c>
      <c r="I15" s="1" t="s">
        <v>99</v>
      </c>
      <c r="J15" s="1" t="s">
        <v>140</v>
      </c>
      <c r="K15" s="1" t="s">
        <v>104</v>
      </c>
      <c r="L15" s="1">
        <v>2</v>
      </c>
      <c r="M15" s="1">
        <v>2</v>
      </c>
      <c r="N15" s="1">
        <v>2</v>
      </c>
      <c r="O15" s="1">
        <v>0.5</v>
      </c>
      <c r="P15" s="1">
        <v>0</v>
      </c>
      <c r="Q15" s="1" t="s">
        <v>150</v>
      </c>
      <c r="R15" s="1" t="s">
        <v>152</v>
      </c>
      <c r="S15" s="1" t="s">
        <v>98</v>
      </c>
      <c r="T15" s="1" t="s">
        <v>149</v>
      </c>
      <c r="U15" s="1" t="s">
        <v>152</v>
      </c>
      <c r="V15" s="1" t="s">
        <v>98</v>
      </c>
      <c r="W15" s="1" t="s">
        <v>101</v>
      </c>
      <c r="X15" s="1" t="s">
        <v>98</v>
      </c>
      <c r="Y15" s="1" t="s">
        <v>131</v>
      </c>
      <c r="Z15" s="1">
        <v>-2</v>
      </c>
      <c r="AA15" s="1" t="s">
        <v>151</v>
      </c>
      <c r="AB15" s="1">
        <v>1</v>
      </c>
      <c r="AC15" s="1" t="s">
        <v>114</v>
      </c>
      <c r="AD15" s="1">
        <v>1</v>
      </c>
      <c r="AE15" s="1">
        <v>2</v>
      </c>
      <c r="AF15" s="1">
        <v>1</v>
      </c>
      <c r="AG15" s="1" t="s">
        <v>114</v>
      </c>
      <c r="AH15" s="1">
        <v>1</v>
      </c>
      <c r="AI15" s="1" t="s">
        <v>114</v>
      </c>
      <c r="AJ15" s="1">
        <v>1</v>
      </c>
      <c r="AK15" s="1" t="s">
        <v>114</v>
      </c>
      <c r="AL15" s="1">
        <v>1.5</v>
      </c>
      <c r="AM15" s="1">
        <v>0.5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152</v>
      </c>
      <c r="AT15" s="1" t="s">
        <v>98</v>
      </c>
      <c r="AU15" s="1" t="s">
        <v>101</v>
      </c>
      <c r="AV15" s="1" t="s">
        <v>98</v>
      </c>
      <c r="AW15" s="1" t="s">
        <v>123</v>
      </c>
      <c r="AX15" s="1" t="s">
        <v>131</v>
      </c>
      <c r="AY15" s="1" t="s">
        <v>152</v>
      </c>
      <c r="AZ15" s="1" t="s">
        <v>152</v>
      </c>
      <c r="BA15" s="1" t="s">
        <v>152</v>
      </c>
      <c r="BB15" s="1" t="s">
        <v>126</v>
      </c>
      <c r="BC15" s="1" t="s">
        <v>104</v>
      </c>
      <c r="BD15" s="1" t="s">
        <v>101</v>
      </c>
      <c r="BE15" s="1">
        <v>106.5</v>
      </c>
      <c r="BF15" s="1">
        <v>109.5</v>
      </c>
      <c r="BG15" s="1">
        <v>-3</v>
      </c>
      <c r="BH15" s="1" t="s">
        <v>150</v>
      </c>
      <c r="BI15" s="1" t="s">
        <v>128</v>
      </c>
      <c r="BJ15" s="1" t="s">
        <v>107</v>
      </c>
      <c r="BK15" s="1" t="s">
        <v>128</v>
      </c>
      <c r="BL15" s="1" t="s">
        <v>109</v>
      </c>
      <c r="BM15" s="1" t="s">
        <v>109</v>
      </c>
      <c r="BN15" s="1" t="s">
        <v>109</v>
      </c>
      <c r="BO15" s="1" t="s">
        <v>109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150</v>
      </c>
      <c r="BZ15" s="1"/>
      <c r="CA15" s="1"/>
      <c r="CB15" s="1" t="s">
        <v>150</v>
      </c>
      <c r="CC15" s="1"/>
    </row>
    <row r="16" spans="1:81" x14ac:dyDescent="0.25">
      <c r="A16" s="1" t="s">
        <v>93</v>
      </c>
      <c r="B16" s="1" t="s">
        <v>94</v>
      </c>
      <c r="C16" s="1">
        <v>1610612745</v>
      </c>
      <c r="D16" s="1" t="s">
        <v>157</v>
      </c>
      <c r="E16" s="1" t="s">
        <v>158</v>
      </c>
      <c r="F16" s="1" t="s">
        <v>97</v>
      </c>
      <c r="G16" s="1" t="s">
        <v>104</v>
      </c>
      <c r="H16" s="1">
        <v>8</v>
      </c>
      <c r="I16" s="1" t="s">
        <v>99</v>
      </c>
      <c r="J16" s="1" t="s">
        <v>100</v>
      </c>
      <c r="K16" s="1" t="s">
        <v>98</v>
      </c>
      <c r="L16" s="1">
        <v>3</v>
      </c>
      <c r="M16" s="1">
        <v>2</v>
      </c>
      <c r="N16" s="1">
        <v>1</v>
      </c>
      <c r="O16" s="1">
        <v>0.66700000000000004</v>
      </c>
      <c r="P16" s="1">
        <v>0</v>
      </c>
      <c r="Q16" s="1" t="s">
        <v>132</v>
      </c>
      <c r="R16" s="1" t="s">
        <v>126</v>
      </c>
      <c r="S16" s="1" t="s">
        <v>101</v>
      </c>
      <c r="T16" s="1" t="s">
        <v>126</v>
      </c>
      <c r="U16" s="1" t="s">
        <v>126</v>
      </c>
      <c r="V16" s="1" t="s">
        <v>101</v>
      </c>
      <c r="W16" s="1" t="s">
        <v>101</v>
      </c>
      <c r="X16" s="1" t="s">
        <v>98</v>
      </c>
      <c r="Y16" s="1" t="s">
        <v>101</v>
      </c>
      <c r="Z16" s="1">
        <v>2</v>
      </c>
      <c r="AA16" s="1" t="s">
        <v>115</v>
      </c>
      <c r="AB16" s="1">
        <v>0</v>
      </c>
      <c r="AC16" s="1" t="s">
        <v>106</v>
      </c>
      <c r="AD16" s="1">
        <v>2</v>
      </c>
      <c r="AE16" s="1">
        <v>1</v>
      </c>
      <c r="AF16" s="1">
        <v>2</v>
      </c>
      <c r="AG16" s="1" t="s">
        <v>115</v>
      </c>
      <c r="AH16" s="1">
        <v>0</v>
      </c>
      <c r="AI16" s="1" t="s">
        <v>106</v>
      </c>
      <c r="AJ16" s="1">
        <v>2</v>
      </c>
      <c r="AK16" s="1" t="s">
        <v>115</v>
      </c>
      <c r="AL16" s="1">
        <v>1</v>
      </c>
      <c r="AM16" s="1">
        <v>1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131</v>
      </c>
      <c r="AT16" s="1" t="s">
        <v>98</v>
      </c>
      <c r="AU16" s="1" t="s">
        <v>98</v>
      </c>
      <c r="AV16" s="1" t="s">
        <v>123</v>
      </c>
      <c r="AW16" s="1" t="s">
        <v>98</v>
      </c>
      <c r="AX16" s="1" t="s">
        <v>101</v>
      </c>
      <c r="AY16" s="1" t="s">
        <v>126</v>
      </c>
      <c r="AZ16" s="1" t="s">
        <v>126</v>
      </c>
      <c r="BA16" s="1" t="s">
        <v>131</v>
      </c>
      <c r="BB16" s="1" t="s">
        <v>101</v>
      </c>
      <c r="BC16" s="1" t="s">
        <v>123</v>
      </c>
      <c r="BD16" s="1" t="s">
        <v>98</v>
      </c>
      <c r="BE16" s="1">
        <v>117.7</v>
      </c>
      <c r="BF16" s="1">
        <v>117.3</v>
      </c>
      <c r="BG16" s="1">
        <v>0.3</v>
      </c>
      <c r="BH16" s="1" t="s">
        <v>128</v>
      </c>
      <c r="BI16" s="1" t="s">
        <v>109</v>
      </c>
      <c r="BJ16" s="1" t="s">
        <v>128</v>
      </c>
      <c r="BK16" s="1" t="s">
        <v>109</v>
      </c>
      <c r="BL16" s="1" t="s">
        <v>107</v>
      </c>
      <c r="BM16" s="1" t="s">
        <v>108</v>
      </c>
      <c r="BN16" s="1" t="s">
        <v>109</v>
      </c>
      <c r="BO16" s="1" t="s">
        <v>108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132</v>
      </c>
      <c r="BZ16" s="1"/>
      <c r="CA16" s="1"/>
      <c r="CB16" s="1" t="s">
        <v>132</v>
      </c>
      <c r="CC16" s="1"/>
    </row>
    <row r="17" spans="1:81" x14ac:dyDescent="0.25">
      <c r="A17" s="1" t="s">
        <v>93</v>
      </c>
      <c r="B17" s="1" t="s">
        <v>94</v>
      </c>
      <c r="C17" s="1">
        <v>1610612753</v>
      </c>
      <c r="D17" s="1" t="s">
        <v>159</v>
      </c>
      <c r="E17" s="1" t="s">
        <v>160</v>
      </c>
      <c r="F17" s="1" t="s">
        <v>112</v>
      </c>
      <c r="G17" s="1" t="s">
        <v>152</v>
      </c>
      <c r="H17" s="1">
        <v>8</v>
      </c>
      <c r="I17" s="1" t="s">
        <v>99</v>
      </c>
      <c r="J17" s="1" t="s">
        <v>121</v>
      </c>
      <c r="K17" s="1" t="s">
        <v>131</v>
      </c>
      <c r="L17" s="1">
        <v>3</v>
      </c>
      <c r="M17" s="1">
        <v>1</v>
      </c>
      <c r="N17" s="1">
        <v>2</v>
      </c>
      <c r="O17" s="1">
        <v>0.33300000000000002</v>
      </c>
      <c r="P17" s="1">
        <v>0</v>
      </c>
      <c r="Q17" s="1" t="s">
        <v>161</v>
      </c>
      <c r="R17" s="1" t="s">
        <v>98</v>
      </c>
      <c r="S17" s="1" t="s">
        <v>162</v>
      </c>
      <c r="T17" s="1" t="s">
        <v>152</v>
      </c>
      <c r="U17" s="1" t="s">
        <v>98</v>
      </c>
      <c r="V17" s="1" t="s">
        <v>162</v>
      </c>
      <c r="W17" s="1" t="s">
        <v>101</v>
      </c>
      <c r="X17" s="1" t="s">
        <v>101</v>
      </c>
      <c r="Y17" s="1" t="s">
        <v>101</v>
      </c>
      <c r="Z17" s="1">
        <v>1</v>
      </c>
      <c r="AA17" s="1" t="s">
        <v>114</v>
      </c>
      <c r="AB17" s="1">
        <v>-2</v>
      </c>
      <c r="AC17" s="1" t="s">
        <v>151</v>
      </c>
      <c r="AD17" s="1">
        <v>1</v>
      </c>
      <c r="AE17" s="1">
        <v>2</v>
      </c>
      <c r="AF17" s="1">
        <v>1</v>
      </c>
      <c r="AG17" s="1" t="s">
        <v>114</v>
      </c>
      <c r="AH17" s="1">
        <v>-2</v>
      </c>
      <c r="AI17" s="1" t="s">
        <v>151</v>
      </c>
      <c r="AJ17" s="1">
        <v>-2</v>
      </c>
      <c r="AK17" s="1" t="s">
        <v>151</v>
      </c>
      <c r="AL17" s="1">
        <v>2</v>
      </c>
      <c r="AM17" s="1">
        <v>1.5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98</v>
      </c>
      <c r="AT17" s="1" t="s">
        <v>162</v>
      </c>
      <c r="AU17" s="1" t="s">
        <v>101</v>
      </c>
      <c r="AV17" s="1" t="s">
        <v>98</v>
      </c>
      <c r="AW17" s="1" t="s">
        <v>162</v>
      </c>
      <c r="AX17" s="1" t="s">
        <v>101</v>
      </c>
      <c r="AY17" s="1" t="s">
        <v>101</v>
      </c>
      <c r="AZ17" s="1" t="s">
        <v>162</v>
      </c>
      <c r="BA17" s="1" t="s">
        <v>152</v>
      </c>
      <c r="BB17" s="1" t="s">
        <v>98</v>
      </c>
      <c r="BC17" s="1" t="s">
        <v>101</v>
      </c>
      <c r="BD17" s="1" t="s">
        <v>152</v>
      </c>
      <c r="BE17" s="1">
        <v>96</v>
      </c>
      <c r="BF17" s="1">
        <v>97.3</v>
      </c>
      <c r="BG17" s="1">
        <v>-1.3</v>
      </c>
      <c r="BH17" s="1" t="s">
        <v>161</v>
      </c>
      <c r="BI17" s="1" t="s">
        <v>128</v>
      </c>
      <c r="BJ17" s="1" t="s">
        <v>108</v>
      </c>
      <c r="BK17" s="1" t="s">
        <v>128</v>
      </c>
      <c r="BL17" s="1" t="s">
        <v>109</v>
      </c>
      <c r="BM17" s="1" t="s">
        <v>109</v>
      </c>
      <c r="BN17" s="1" t="s">
        <v>109</v>
      </c>
      <c r="BO17" s="1" t="s">
        <v>109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161</v>
      </c>
      <c r="BZ17" s="1"/>
      <c r="CA17" s="1"/>
      <c r="CB17" s="1" t="s">
        <v>161</v>
      </c>
      <c r="CC17" s="1"/>
    </row>
    <row r="18" spans="1:81" x14ac:dyDescent="0.25">
      <c r="A18" s="1" t="s">
        <v>93</v>
      </c>
      <c r="B18" s="1" t="s">
        <v>94</v>
      </c>
      <c r="C18" s="1">
        <v>1610612739</v>
      </c>
      <c r="D18" s="1" t="s">
        <v>163</v>
      </c>
      <c r="E18" s="1" t="s">
        <v>164</v>
      </c>
      <c r="F18" s="1" t="s">
        <v>112</v>
      </c>
      <c r="G18" s="1" t="s">
        <v>152</v>
      </c>
      <c r="H18" s="1">
        <v>9</v>
      </c>
      <c r="I18" s="1" t="s">
        <v>99</v>
      </c>
      <c r="J18" s="1" t="s">
        <v>140</v>
      </c>
      <c r="K18" s="1" t="s">
        <v>123</v>
      </c>
      <c r="L18" s="1">
        <v>3</v>
      </c>
      <c r="M18" s="1">
        <v>1</v>
      </c>
      <c r="N18" s="1">
        <v>2</v>
      </c>
      <c r="O18" s="1">
        <v>0.33300000000000002</v>
      </c>
      <c r="P18" s="1">
        <v>0</v>
      </c>
      <c r="Q18" s="1" t="s">
        <v>161</v>
      </c>
      <c r="R18" s="1" t="s">
        <v>98</v>
      </c>
      <c r="S18" s="1" t="s">
        <v>162</v>
      </c>
      <c r="T18" s="1" t="s">
        <v>152</v>
      </c>
      <c r="U18" s="1" t="s">
        <v>98</v>
      </c>
      <c r="V18" s="1" t="s">
        <v>162</v>
      </c>
      <c r="W18" s="1" t="s">
        <v>101</v>
      </c>
      <c r="X18" s="1" t="s">
        <v>101</v>
      </c>
      <c r="Y18" s="1" t="s">
        <v>123</v>
      </c>
      <c r="Z18" s="1">
        <v>1</v>
      </c>
      <c r="AA18" s="1" t="s">
        <v>114</v>
      </c>
      <c r="AB18" s="1">
        <v>-2</v>
      </c>
      <c r="AC18" s="1" t="s">
        <v>151</v>
      </c>
      <c r="AD18" s="1">
        <v>1</v>
      </c>
      <c r="AE18" s="1">
        <v>1</v>
      </c>
      <c r="AF18" s="1">
        <v>1</v>
      </c>
      <c r="AG18" s="1" t="s">
        <v>114</v>
      </c>
      <c r="AH18" s="1">
        <v>-2</v>
      </c>
      <c r="AI18" s="1" t="s">
        <v>151</v>
      </c>
      <c r="AJ18" s="1">
        <v>-1</v>
      </c>
      <c r="AK18" s="1" t="s">
        <v>125</v>
      </c>
      <c r="AL18" s="1">
        <v>2</v>
      </c>
      <c r="AM18" s="1">
        <v>1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98</v>
      </c>
      <c r="AT18" s="1" t="s">
        <v>162</v>
      </c>
      <c r="AU18" s="1" t="s">
        <v>101</v>
      </c>
      <c r="AV18" s="1" t="s">
        <v>98</v>
      </c>
      <c r="AW18" s="1" t="s">
        <v>162</v>
      </c>
      <c r="AX18" s="1" t="s">
        <v>101</v>
      </c>
      <c r="AY18" s="1" t="s">
        <v>123</v>
      </c>
      <c r="AZ18" s="1" t="s">
        <v>131</v>
      </c>
      <c r="BA18" s="1" t="s">
        <v>162</v>
      </c>
      <c r="BB18" s="1" t="s">
        <v>98</v>
      </c>
      <c r="BC18" s="1" t="s">
        <v>123</v>
      </c>
      <c r="BD18" s="1" t="s">
        <v>101</v>
      </c>
      <c r="BE18" s="1">
        <v>102.3</v>
      </c>
      <c r="BF18" s="1">
        <v>107.3</v>
      </c>
      <c r="BG18" s="1">
        <v>-5</v>
      </c>
      <c r="BH18" s="1" t="s">
        <v>161</v>
      </c>
      <c r="BI18" s="1" t="s">
        <v>109</v>
      </c>
      <c r="BJ18" s="1" t="s">
        <v>127</v>
      </c>
      <c r="BK18" s="1" t="s">
        <v>128</v>
      </c>
      <c r="BL18" s="1" t="s">
        <v>109</v>
      </c>
      <c r="BM18" s="1" t="s">
        <v>109</v>
      </c>
      <c r="BN18" s="1" t="s">
        <v>109</v>
      </c>
      <c r="BO18" s="1" t="s">
        <v>109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161</v>
      </c>
      <c r="BZ18" s="1"/>
      <c r="CA18" s="1"/>
      <c r="CB18" s="1" t="s">
        <v>161</v>
      </c>
      <c r="CC18" s="1"/>
    </row>
    <row r="19" spans="1:81" x14ac:dyDescent="0.25">
      <c r="A19" s="1" t="s">
        <v>93</v>
      </c>
      <c r="B19" s="1" t="s">
        <v>94</v>
      </c>
      <c r="C19" s="1">
        <v>1610612756</v>
      </c>
      <c r="D19" s="1" t="s">
        <v>165</v>
      </c>
      <c r="E19" s="1" t="s">
        <v>166</v>
      </c>
      <c r="F19" s="1" t="s">
        <v>97</v>
      </c>
      <c r="G19" s="1" t="s">
        <v>149</v>
      </c>
      <c r="H19" s="1">
        <v>9</v>
      </c>
      <c r="I19" s="1" t="s">
        <v>99</v>
      </c>
      <c r="J19" s="1" t="s">
        <v>135</v>
      </c>
      <c r="K19" s="1" t="s">
        <v>104</v>
      </c>
      <c r="L19" s="1">
        <v>3</v>
      </c>
      <c r="M19" s="1">
        <v>2</v>
      </c>
      <c r="N19" s="1">
        <v>2</v>
      </c>
      <c r="O19" s="1">
        <v>0.5</v>
      </c>
      <c r="P19" s="1">
        <v>0</v>
      </c>
      <c r="Q19" s="1" t="s">
        <v>150</v>
      </c>
      <c r="R19" s="1" t="s">
        <v>126</v>
      </c>
      <c r="S19" s="1" t="s">
        <v>131</v>
      </c>
      <c r="T19" s="1" t="s">
        <v>149</v>
      </c>
      <c r="U19" s="1" t="s">
        <v>126</v>
      </c>
      <c r="V19" s="1" t="s">
        <v>131</v>
      </c>
      <c r="W19" s="1" t="s">
        <v>131</v>
      </c>
      <c r="X19" s="1" t="s">
        <v>162</v>
      </c>
      <c r="Y19" s="1" t="s">
        <v>98</v>
      </c>
      <c r="Z19" s="1">
        <v>2</v>
      </c>
      <c r="AA19" s="1" t="s">
        <v>115</v>
      </c>
      <c r="AB19" s="1">
        <v>-1</v>
      </c>
      <c r="AC19" s="1" t="s">
        <v>125</v>
      </c>
      <c r="AD19" s="1">
        <v>1</v>
      </c>
      <c r="AE19" s="1">
        <v>1</v>
      </c>
      <c r="AF19" s="1">
        <v>-1</v>
      </c>
      <c r="AG19" s="1" t="s">
        <v>125</v>
      </c>
      <c r="AH19" s="1">
        <v>-1</v>
      </c>
      <c r="AI19" s="1" t="s">
        <v>125</v>
      </c>
      <c r="AJ19" s="1">
        <v>-1</v>
      </c>
      <c r="AK19" s="1" t="s">
        <v>125</v>
      </c>
      <c r="AL19" s="1">
        <v>1.5</v>
      </c>
      <c r="AM19" s="1">
        <v>1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131</v>
      </c>
      <c r="AT19" s="1" t="s">
        <v>123</v>
      </c>
      <c r="AU19" s="1" t="s">
        <v>98</v>
      </c>
      <c r="AV19" s="1" t="s">
        <v>104</v>
      </c>
      <c r="AW19" s="1" t="s">
        <v>131</v>
      </c>
      <c r="AX19" s="1" t="s">
        <v>131</v>
      </c>
      <c r="AY19" s="1" t="s">
        <v>126</v>
      </c>
      <c r="AZ19" s="1" t="s">
        <v>123</v>
      </c>
      <c r="BA19" s="1" t="s">
        <v>149</v>
      </c>
      <c r="BB19" s="1" t="s">
        <v>149</v>
      </c>
      <c r="BC19" s="1" t="s">
        <v>123</v>
      </c>
      <c r="BD19" s="1" t="s">
        <v>123</v>
      </c>
      <c r="BE19" s="1">
        <v>114</v>
      </c>
      <c r="BF19" s="1">
        <v>105.3</v>
      </c>
      <c r="BG19" s="1">
        <v>8.8000000000000007</v>
      </c>
      <c r="BH19" s="1" t="s">
        <v>109</v>
      </c>
      <c r="BI19" s="1" t="s">
        <v>109</v>
      </c>
      <c r="BJ19" s="1" t="s">
        <v>109</v>
      </c>
      <c r="BK19" s="1" t="s">
        <v>109</v>
      </c>
      <c r="BL19" s="1" t="s">
        <v>150</v>
      </c>
      <c r="BM19" s="1" t="s">
        <v>167</v>
      </c>
      <c r="BN19" s="1" t="s">
        <v>107</v>
      </c>
      <c r="BO19" s="1" t="s">
        <v>109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150</v>
      </c>
      <c r="BZ19" s="1"/>
      <c r="CA19" s="1"/>
      <c r="CB19" s="1" t="s">
        <v>150</v>
      </c>
      <c r="CC19" s="1"/>
    </row>
    <row r="20" spans="1:81" x14ac:dyDescent="0.25">
      <c r="A20" s="1" t="s">
        <v>93</v>
      </c>
      <c r="B20" s="1" t="s">
        <v>94</v>
      </c>
      <c r="C20" s="1">
        <v>1610612751</v>
      </c>
      <c r="D20" s="1" t="s">
        <v>168</v>
      </c>
      <c r="E20" s="1" t="s">
        <v>169</v>
      </c>
      <c r="F20" s="1" t="s">
        <v>112</v>
      </c>
      <c r="G20" s="1" t="s">
        <v>98</v>
      </c>
      <c r="H20" s="1">
        <v>10</v>
      </c>
      <c r="I20" s="1" t="s">
        <v>99</v>
      </c>
      <c r="J20" s="1" t="s">
        <v>113</v>
      </c>
      <c r="K20" s="1" t="s">
        <v>98</v>
      </c>
      <c r="L20" s="1">
        <v>4</v>
      </c>
      <c r="M20" s="1">
        <v>1</v>
      </c>
      <c r="N20" s="1">
        <v>2</v>
      </c>
      <c r="O20" s="1">
        <v>0.33300000000000002</v>
      </c>
      <c r="P20" s="1">
        <v>0</v>
      </c>
      <c r="Q20" s="1" t="s">
        <v>161</v>
      </c>
      <c r="R20" s="1" t="s">
        <v>123</v>
      </c>
      <c r="S20" s="1" t="s">
        <v>131</v>
      </c>
      <c r="T20" s="1" t="s">
        <v>152</v>
      </c>
      <c r="U20" s="1" t="s">
        <v>123</v>
      </c>
      <c r="V20" s="1" t="s">
        <v>131</v>
      </c>
      <c r="W20" s="1" t="s">
        <v>162</v>
      </c>
      <c r="X20" s="1" t="s">
        <v>162</v>
      </c>
      <c r="Y20" s="1" t="s">
        <v>101</v>
      </c>
      <c r="Z20" s="1">
        <v>1</v>
      </c>
      <c r="AA20" s="1" t="s">
        <v>114</v>
      </c>
      <c r="AB20" s="1">
        <v>-1</v>
      </c>
      <c r="AC20" s="1" t="s">
        <v>125</v>
      </c>
      <c r="AD20" s="1">
        <v>1</v>
      </c>
      <c r="AE20" s="1">
        <v>1</v>
      </c>
      <c r="AF20" s="1">
        <v>1</v>
      </c>
      <c r="AG20" s="1" t="s">
        <v>114</v>
      </c>
      <c r="AH20" s="1">
        <v>-1</v>
      </c>
      <c r="AI20" s="1" t="s">
        <v>125</v>
      </c>
      <c r="AJ20" s="1">
        <v>-1</v>
      </c>
      <c r="AK20" s="1" t="s">
        <v>125</v>
      </c>
      <c r="AL20" s="1">
        <v>2</v>
      </c>
      <c r="AM20" s="1">
        <v>2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98</v>
      </c>
      <c r="AT20" s="1" t="s">
        <v>162</v>
      </c>
      <c r="AU20" s="1" t="s">
        <v>101</v>
      </c>
      <c r="AV20" s="1" t="s">
        <v>152</v>
      </c>
      <c r="AW20" s="1" t="s">
        <v>101</v>
      </c>
      <c r="AX20" s="1" t="s">
        <v>101</v>
      </c>
      <c r="AY20" s="1" t="s">
        <v>152</v>
      </c>
      <c r="AZ20" s="1" t="s">
        <v>152</v>
      </c>
      <c r="BA20" s="1" t="s">
        <v>131</v>
      </c>
      <c r="BB20" s="1" t="s">
        <v>123</v>
      </c>
      <c r="BC20" s="1" t="s">
        <v>123</v>
      </c>
      <c r="BD20" s="1" t="s">
        <v>101</v>
      </c>
      <c r="BE20" s="1">
        <v>124</v>
      </c>
      <c r="BF20" s="1">
        <v>123.3</v>
      </c>
      <c r="BG20" s="1">
        <v>0.7</v>
      </c>
      <c r="BH20" s="1" t="s">
        <v>108</v>
      </c>
      <c r="BI20" s="1" t="s">
        <v>108</v>
      </c>
      <c r="BJ20" s="1" t="s">
        <v>109</v>
      </c>
      <c r="BK20" s="1" t="s">
        <v>109</v>
      </c>
      <c r="BL20" s="1" t="s">
        <v>167</v>
      </c>
      <c r="BM20" s="1" t="s">
        <v>128</v>
      </c>
      <c r="BN20" s="1" t="s">
        <v>109</v>
      </c>
      <c r="BO20" s="1" t="s">
        <v>128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161</v>
      </c>
      <c r="BZ20" s="1"/>
      <c r="CA20" s="1"/>
      <c r="CB20" s="1" t="s">
        <v>161</v>
      </c>
      <c r="CC20" s="1"/>
    </row>
    <row r="21" spans="1:81" x14ac:dyDescent="0.25">
      <c r="A21" s="1" t="s">
        <v>93</v>
      </c>
      <c r="B21" s="1" t="s">
        <v>94</v>
      </c>
      <c r="C21" s="1">
        <v>1610612757</v>
      </c>
      <c r="D21" s="1" t="s">
        <v>170</v>
      </c>
      <c r="E21" s="1" t="s">
        <v>171</v>
      </c>
      <c r="F21" s="1" t="s">
        <v>97</v>
      </c>
      <c r="G21" s="1" t="s">
        <v>149</v>
      </c>
      <c r="H21" s="1">
        <v>10</v>
      </c>
      <c r="I21" s="1" t="s">
        <v>99</v>
      </c>
      <c r="J21" s="1" t="s">
        <v>118</v>
      </c>
      <c r="K21" s="1" t="s">
        <v>131</v>
      </c>
      <c r="L21" s="1">
        <v>4</v>
      </c>
      <c r="M21" s="1">
        <v>2</v>
      </c>
      <c r="N21" s="1">
        <v>2</v>
      </c>
      <c r="O21" s="1">
        <v>0.5</v>
      </c>
      <c r="P21" s="1">
        <v>0</v>
      </c>
      <c r="Q21" s="1" t="s">
        <v>150</v>
      </c>
      <c r="R21" s="1" t="s">
        <v>131</v>
      </c>
      <c r="S21" s="1" t="s">
        <v>126</v>
      </c>
      <c r="T21" s="1" t="s">
        <v>149</v>
      </c>
      <c r="U21" s="1" t="s">
        <v>131</v>
      </c>
      <c r="V21" s="1" t="s">
        <v>126</v>
      </c>
      <c r="W21" s="1" t="s">
        <v>101</v>
      </c>
      <c r="X21" s="1" t="s">
        <v>123</v>
      </c>
      <c r="Y21" s="1" t="s">
        <v>98</v>
      </c>
      <c r="Z21" s="1">
        <v>-1</v>
      </c>
      <c r="AA21" s="1" t="s">
        <v>125</v>
      </c>
      <c r="AB21" s="1">
        <v>2</v>
      </c>
      <c r="AC21" s="1" t="s">
        <v>115</v>
      </c>
      <c r="AD21" s="1">
        <v>2</v>
      </c>
      <c r="AE21" s="1">
        <v>1</v>
      </c>
      <c r="AF21" s="1">
        <v>-1</v>
      </c>
      <c r="AG21" s="1" t="s">
        <v>125</v>
      </c>
      <c r="AH21" s="1">
        <v>-1</v>
      </c>
      <c r="AI21" s="1" t="s">
        <v>125</v>
      </c>
      <c r="AJ21" s="1">
        <v>-1</v>
      </c>
      <c r="AK21" s="1" t="s">
        <v>125</v>
      </c>
      <c r="AL21" s="1">
        <v>1.5</v>
      </c>
      <c r="AM21" s="1">
        <v>1.5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131</v>
      </c>
      <c r="AT21" s="1" t="s">
        <v>123</v>
      </c>
      <c r="AU21" s="1" t="s">
        <v>98</v>
      </c>
      <c r="AV21" s="1" t="s">
        <v>123</v>
      </c>
      <c r="AW21" s="1" t="s">
        <v>131</v>
      </c>
      <c r="AX21" s="1" t="s">
        <v>98</v>
      </c>
      <c r="AY21" s="1" t="s">
        <v>149</v>
      </c>
      <c r="AZ21" s="1" t="s">
        <v>149</v>
      </c>
      <c r="BA21" s="1" t="s">
        <v>152</v>
      </c>
      <c r="BB21" s="1" t="s">
        <v>104</v>
      </c>
      <c r="BC21" s="1" t="s">
        <v>123</v>
      </c>
      <c r="BD21" s="1" t="s">
        <v>123</v>
      </c>
      <c r="BE21" s="1">
        <v>113.3</v>
      </c>
      <c r="BF21" s="1">
        <v>113</v>
      </c>
      <c r="BG21" s="1">
        <v>0.3</v>
      </c>
      <c r="BH21" s="1" t="s">
        <v>109</v>
      </c>
      <c r="BI21" s="1" t="s">
        <v>109</v>
      </c>
      <c r="BJ21" s="1" t="s">
        <v>109</v>
      </c>
      <c r="BK21" s="1" t="s">
        <v>109</v>
      </c>
      <c r="BL21" s="1" t="s">
        <v>150</v>
      </c>
      <c r="BM21" s="1" t="s">
        <v>128</v>
      </c>
      <c r="BN21" s="1" t="s">
        <v>108</v>
      </c>
      <c r="BO21" s="1" t="s">
        <v>127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150</v>
      </c>
      <c r="BZ21" s="1"/>
      <c r="CA21" s="1"/>
      <c r="CB21" s="1" t="s">
        <v>150</v>
      </c>
      <c r="CC21" s="1"/>
    </row>
    <row r="22" spans="1:81" x14ac:dyDescent="0.25">
      <c r="A22" s="1" t="s">
        <v>93</v>
      </c>
      <c r="B22" s="1" t="s">
        <v>94</v>
      </c>
      <c r="C22" s="1">
        <v>1610612764</v>
      </c>
      <c r="D22" s="1" t="s">
        <v>172</v>
      </c>
      <c r="E22" s="1" t="s">
        <v>173</v>
      </c>
      <c r="F22" s="1" t="s">
        <v>112</v>
      </c>
      <c r="G22" s="1" t="s">
        <v>101</v>
      </c>
      <c r="H22" s="1">
        <v>11</v>
      </c>
      <c r="I22" s="1" t="s">
        <v>99</v>
      </c>
      <c r="J22" s="1" t="s">
        <v>121</v>
      </c>
      <c r="K22" s="1" t="s">
        <v>101</v>
      </c>
      <c r="L22" s="1">
        <v>4</v>
      </c>
      <c r="M22" s="1">
        <v>1</v>
      </c>
      <c r="N22" s="1">
        <v>2</v>
      </c>
      <c r="O22" s="1">
        <v>0.33300000000000002</v>
      </c>
      <c r="P22" s="1">
        <v>0</v>
      </c>
      <c r="Q22" s="1" t="s">
        <v>161</v>
      </c>
      <c r="R22" s="1" t="s">
        <v>101</v>
      </c>
      <c r="S22" s="1" t="s">
        <v>152</v>
      </c>
      <c r="T22" s="1" t="s">
        <v>152</v>
      </c>
      <c r="U22" s="1" t="s">
        <v>101</v>
      </c>
      <c r="V22" s="1" t="s">
        <v>152</v>
      </c>
      <c r="W22" s="1" t="s">
        <v>101</v>
      </c>
      <c r="X22" s="1" t="s">
        <v>131</v>
      </c>
      <c r="Y22" s="1" t="s">
        <v>98</v>
      </c>
      <c r="Z22" s="1">
        <v>0</v>
      </c>
      <c r="AA22" s="1" t="s">
        <v>106</v>
      </c>
      <c r="AB22" s="1">
        <v>1</v>
      </c>
      <c r="AC22" s="1" t="s">
        <v>114</v>
      </c>
      <c r="AD22" s="1">
        <v>1</v>
      </c>
      <c r="AE22" s="1">
        <v>1</v>
      </c>
      <c r="AF22" s="1">
        <v>0</v>
      </c>
      <c r="AG22" s="1" t="s">
        <v>106</v>
      </c>
      <c r="AH22" s="1">
        <v>-1</v>
      </c>
      <c r="AI22" s="1" t="s">
        <v>125</v>
      </c>
      <c r="AJ22" s="1">
        <v>-1</v>
      </c>
      <c r="AK22" s="1" t="s">
        <v>125</v>
      </c>
      <c r="AL22" s="1">
        <v>2</v>
      </c>
      <c r="AM22" s="1">
        <v>1.5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98</v>
      </c>
      <c r="AT22" s="1" t="s">
        <v>131</v>
      </c>
      <c r="AU22" s="1" t="s">
        <v>131</v>
      </c>
      <c r="AV22" s="1" t="s">
        <v>98</v>
      </c>
      <c r="AW22" s="1" t="s">
        <v>162</v>
      </c>
      <c r="AX22" s="1" t="s">
        <v>101</v>
      </c>
      <c r="AY22" s="1" t="s">
        <v>162</v>
      </c>
      <c r="AZ22" s="1" t="s">
        <v>162</v>
      </c>
      <c r="BA22" s="1" t="s">
        <v>162</v>
      </c>
      <c r="BB22" s="1" t="s">
        <v>123</v>
      </c>
      <c r="BC22" s="1" t="s">
        <v>131</v>
      </c>
      <c r="BD22" s="1" t="s">
        <v>123</v>
      </c>
      <c r="BE22" s="1">
        <v>106.3</v>
      </c>
      <c r="BF22" s="1">
        <v>105.7</v>
      </c>
      <c r="BG22" s="1">
        <v>0.7</v>
      </c>
      <c r="BH22" s="1" t="s">
        <v>109</v>
      </c>
      <c r="BI22" s="1" t="s">
        <v>109</v>
      </c>
      <c r="BJ22" s="1" t="s">
        <v>109</v>
      </c>
      <c r="BK22" s="1" t="s">
        <v>109</v>
      </c>
      <c r="BL22" s="1" t="s">
        <v>161</v>
      </c>
      <c r="BM22" s="1" t="s">
        <v>108</v>
      </c>
      <c r="BN22" s="1" t="s">
        <v>109</v>
      </c>
      <c r="BO22" s="1" t="s">
        <v>167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161</v>
      </c>
      <c r="BZ22" s="1"/>
      <c r="CA22" s="1"/>
      <c r="CB22" s="1" t="s">
        <v>161</v>
      </c>
      <c r="CC22" s="1"/>
    </row>
    <row r="23" spans="1:81" x14ac:dyDescent="0.25">
      <c r="A23" s="1" t="s">
        <v>93</v>
      </c>
      <c r="B23" s="1" t="s">
        <v>94</v>
      </c>
      <c r="C23" s="1">
        <v>1610612744</v>
      </c>
      <c r="D23" s="1" t="s">
        <v>174</v>
      </c>
      <c r="E23" s="1" t="s">
        <v>175</v>
      </c>
      <c r="F23" s="1" t="s">
        <v>97</v>
      </c>
      <c r="G23" s="1" t="s">
        <v>152</v>
      </c>
      <c r="H23" s="1">
        <v>11</v>
      </c>
      <c r="I23" s="1" t="s">
        <v>99</v>
      </c>
      <c r="J23" s="1" t="s">
        <v>135</v>
      </c>
      <c r="K23" s="1" t="s">
        <v>131</v>
      </c>
      <c r="L23" s="1">
        <v>4</v>
      </c>
      <c r="M23" s="1">
        <v>1</v>
      </c>
      <c r="N23" s="1">
        <v>2</v>
      </c>
      <c r="O23" s="1">
        <v>0.33300000000000002</v>
      </c>
      <c r="P23" s="1">
        <v>0</v>
      </c>
      <c r="Q23" s="1" t="s">
        <v>161</v>
      </c>
      <c r="R23" s="1" t="s">
        <v>131</v>
      </c>
      <c r="S23" s="1" t="s">
        <v>123</v>
      </c>
      <c r="T23" s="1" t="s">
        <v>152</v>
      </c>
      <c r="U23" s="1" t="s">
        <v>131</v>
      </c>
      <c r="V23" s="1" t="s">
        <v>123</v>
      </c>
      <c r="W23" s="1" t="s">
        <v>101</v>
      </c>
      <c r="X23" s="1" t="s">
        <v>101</v>
      </c>
      <c r="Y23" s="1" t="s">
        <v>152</v>
      </c>
      <c r="Z23" s="1">
        <v>-1</v>
      </c>
      <c r="AA23" s="1" t="s">
        <v>125</v>
      </c>
      <c r="AB23" s="1">
        <v>1</v>
      </c>
      <c r="AC23" s="1" t="s">
        <v>114</v>
      </c>
      <c r="AD23" s="1">
        <v>1</v>
      </c>
      <c r="AE23" s="1">
        <v>2</v>
      </c>
      <c r="AF23" s="1">
        <v>-1</v>
      </c>
      <c r="AG23" s="1" t="s">
        <v>125</v>
      </c>
      <c r="AH23" s="1">
        <v>1</v>
      </c>
      <c r="AI23" s="1" t="s">
        <v>114</v>
      </c>
      <c r="AJ23" s="1">
        <v>1</v>
      </c>
      <c r="AK23" s="1" t="s">
        <v>114</v>
      </c>
      <c r="AL23" s="1">
        <v>2</v>
      </c>
      <c r="AM23" s="1">
        <v>1.5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98</v>
      </c>
      <c r="AT23" s="1" t="s">
        <v>162</v>
      </c>
      <c r="AU23" s="1" t="s">
        <v>101</v>
      </c>
      <c r="AV23" s="1" t="s">
        <v>98</v>
      </c>
      <c r="AW23" s="1" t="s">
        <v>162</v>
      </c>
      <c r="AX23" s="1" t="s">
        <v>101</v>
      </c>
      <c r="AY23" s="1" t="s">
        <v>123</v>
      </c>
      <c r="AZ23" s="1" t="s">
        <v>152</v>
      </c>
      <c r="BA23" s="1" t="s">
        <v>131</v>
      </c>
      <c r="BB23" s="1" t="s">
        <v>98</v>
      </c>
      <c r="BC23" s="1" t="s">
        <v>123</v>
      </c>
      <c r="BD23" s="1" t="s">
        <v>162</v>
      </c>
      <c r="BE23" s="1">
        <v>116</v>
      </c>
      <c r="BF23" s="1">
        <v>128</v>
      </c>
      <c r="BG23" s="1">
        <v>-12</v>
      </c>
      <c r="BH23" s="1" t="s">
        <v>109</v>
      </c>
      <c r="BI23" s="1" t="s">
        <v>109</v>
      </c>
      <c r="BJ23" s="1" t="s">
        <v>109</v>
      </c>
      <c r="BK23" s="1" t="s">
        <v>109</v>
      </c>
      <c r="BL23" s="1" t="s">
        <v>161</v>
      </c>
      <c r="BM23" s="1" t="s">
        <v>128</v>
      </c>
      <c r="BN23" s="1" t="s">
        <v>128</v>
      </c>
      <c r="BO23" s="1" t="s">
        <v>108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161</v>
      </c>
      <c r="BZ23" s="1"/>
      <c r="CA23" s="1"/>
      <c r="CB23" s="1" t="s">
        <v>161</v>
      </c>
      <c r="CC23" s="1"/>
    </row>
    <row r="24" spans="1:81" x14ac:dyDescent="0.25">
      <c r="A24" s="1" t="s">
        <v>93</v>
      </c>
      <c r="B24" s="1" t="s">
        <v>94</v>
      </c>
      <c r="C24" s="1">
        <v>1610612760</v>
      </c>
      <c r="D24" s="1" t="s">
        <v>176</v>
      </c>
      <c r="E24" s="1" t="s">
        <v>177</v>
      </c>
      <c r="F24" s="1" t="s">
        <v>97</v>
      </c>
      <c r="G24" s="1" t="s">
        <v>152</v>
      </c>
      <c r="H24" s="1">
        <v>12</v>
      </c>
      <c r="I24" s="1" t="s">
        <v>99</v>
      </c>
      <c r="J24" s="1" t="s">
        <v>118</v>
      </c>
      <c r="K24" s="1" t="s">
        <v>131</v>
      </c>
      <c r="L24" s="1">
        <v>5</v>
      </c>
      <c r="M24" s="1">
        <v>1</v>
      </c>
      <c r="N24" s="1">
        <v>3</v>
      </c>
      <c r="O24" s="1">
        <v>0.25</v>
      </c>
      <c r="P24" s="1">
        <v>0</v>
      </c>
      <c r="Q24" s="1" t="s">
        <v>178</v>
      </c>
      <c r="R24" s="1" t="s">
        <v>123</v>
      </c>
      <c r="S24" s="1" t="s">
        <v>162</v>
      </c>
      <c r="T24" s="1" t="s">
        <v>179</v>
      </c>
      <c r="U24" s="1" t="s">
        <v>123</v>
      </c>
      <c r="V24" s="1" t="s">
        <v>162</v>
      </c>
      <c r="W24" s="1" t="s">
        <v>101</v>
      </c>
      <c r="X24" s="1" t="s">
        <v>101</v>
      </c>
      <c r="Y24" s="1" t="s">
        <v>123</v>
      </c>
      <c r="Z24" s="1">
        <v>1</v>
      </c>
      <c r="AA24" s="1" t="s">
        <v>114</v>
      </c>
      <c r="AB24" s="1">
        <v>-2</v>
      </c>
      <c r="AC24" s="1" t="s">
        <v>151</v>
      </c>
      <c r="AD24" s="1">
        <v>1</v>
      </c>
      <c r="AE24" s="1">
        <v>2</v>
      </c>
      <c r="AF24" s="1">
        <v>1</v>
      </c>
      <c r="AG24" s="1" t="s">
        <v>114</v>
      </c>
      <c r="AH24" s="1">
        <v>-2</v>
      </c>
      <c r="AI24" s="1" t="s">
        <v>151</v>
      </c>
      <c r="AJ24" s="1">
        <v>-1</v>
      </c>
      <c r="AK24" s="1" t="s">
        <v>125</v>
      </c>
      <c r="AL24" s="1">
        <v>2.5</v>
      </c>
      <c r="AM24" s="1">
        <v>2.5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123</v>
      </c>
      <c r="AT24" s="1" t="s">
        <v>162</v>
      </c>
      <c r="AU24" s="1" t="s">
        <v>101</v>
      </c>
      <c r="AV24" s="1" t="s">
        <v>123</v>
      </c>
      <c r="AW24" s="1" t="s">
        <v>162</v>
      </c>
      <c r="AX24" s="1" t="s">
        <v>101</v>
      </c>
      <c r="AY24" s="1" t="s">
        <v>123</v>
      </c>
      <c r="AZ24" s="1" t="s">
        <v>162</v>
      </c>
      <c r="BA24" s="1" t="s">
        <v>162</v>
      </c>
      <c r="BB24" s="1" t="s">
        <v>123</v>
      </c>
      <c r="BC24" s="1" t="s">
        <v>152</v>
      </c>
      <c r="BD24" s="1" t="s">
        <v>101</v>
      </c>
      <c r="BE24" s="1">
        <v>103</v>
      </c>
      <c r="BF24" s="1">
        <v>101.3</v>
      </c>
      <c r="BG24" s="1">
        <v>1.8</v>
      </c>
      <c r="BH24" s="1" t="s">
        <v>128</v>
      </c>
      <c r="BI24" s="1" t="s">
        <v>109</v>
      </c>
      <c r="BJ24" s="1" t="s">
        <v>109</v>
      </c>
      <c r="BK24" s="1" t="s">
        <v>128</v>
      </c>
      <c r="BL24" s="1" t="s">
        <v>161</v>
      </c>
      <c r="BM24" s="1" t="s">
        <v>128</v>
      </c>
      <c r="BN24" s="1" t="s">
        <v>108</v>
      </c>
      <c r="BO24" s="1" t="s">
        <v>128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178</v>
      </c>
      <c r="BZ24" s="1"/>
      <c r="CA24" s="1"/>
      <c r="CB24" s="1" t="s">
        <v>178</v>
      </c>
      <c r="CC24" s="1"/>
    </row>
    <row r="25" spans="1:81" x14ac:dyDescent="0.25">
      <c r="A25" s="1" t="s">
        <v>93</v>
      </c>
      <c r="B25" s="1" t="s">
        <v>94</v>
      </c>
      <c r="C25" s="1">
        <v>1610612766</v>
      </c>
      <c r="D25" s="1" t="s">
        <v>180</v>
      </c>
      <c r="E25" s="1" t="s">
        <v>181</v>
      </c>
      <c r="F25" s="1" t="s">
        <v>112</v>
      </c>
      <c r="G25" s="1" t="s">
        <v>98</v>
      </c>
      <c r="H25" s="1">
        <v>12</v>
      </c>
      <c r="I25" s="1" t="s">
        <v>99</v>
      </c>
      <c r="J25" s="1" t="s">
        <v>121</v>
      </c>
      <c r="K25" s="1" t="s">
        <v>101</v>
      </c>
      <c r="L25" s="1">
        <v>5</v>
      </c>
      <c r="M25" s="1">
        <v>1</v>
      </c>
      <c r="N25" s="1">
        <v>3</v>
      </c>
      <c r="O25" s="1">
        <v>0.25</v>
      </c>
      <c r="P25" s="1">
        <v>0</v>
      </c>
      <c r="Q25" s="1" t="s">
        <v>178</v>
      </c>
      <c r="R25" s="1" t="s">
        <v>123</v>
      </c>
      <c r="S25" s="1" t="s">
        <v>162</v>
      </c>
      <c r="T25" s="1" t="s">
        <v>179</v>
      </c>
      <c r="U25" s="1" t="s">
        <v>123</v>
      </c>
      <c r="V25" s="1" t="s">
        <v>162</v>
      </c>
      <c r="W25" s="1" t="s">
        <v>101</v>
      </c>
      <c r="X25" s="1" t="s">
        <v>98</v>
      </c>
      <c r="Y25" s="1" t="s">
        <v>182</v>
      </c>
      <c r="Z25" s="1">
        <v>1</v>
      </c>
      <c r="AA25" s="1" t="s">
        <v>114</v>
      </c>
      <c r="AB25" s="1">
        <v>-2</v>
      </c>
      <c r="AC25" s="1" t="s">
        <v>151</v>
      </c>
      <c r="AD25" s="1">
        <v>1</v>
      </c>
      <c r="AE25" s="1">
        <v>3</v>
      </c>
      <c r="AF25" s="1">
        <v>-1</v>
      </c>
      <c r="AG25" s="1" t="s">
        <v>125</v>
      </c>
      <c r="AH25" s="1">
        <v>-2</v>
      </c>
      <c r="AI25" s="1" t="s">
        <v>151</v>
      </c>
      <c r="AJ25" s="1">
        <v>-3</v>
      </c>
      <c r="AK25" s="1" t="s">
        <v>183</v>
      </c>
      <c r="AL25" s="1">
        <v>2.5</v>
      </c>
      <c r="AM25" s="1">
        <v>2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98</v>
      </c>
      <c r="AT25" s="1" t="s">
        <v>182</v>
      </c>
      <c r="AU25" s="1" t="s">
        <v>101</v>
      </c>
      <c r="AV25" s="1" t="s">
        <v>98</v>
      </c>
      <c r="AW25" s="1" t="s">
        <v>182</v>
      </c>
      <c r="AX25" s="1" t="s">
        <v>101</v>
      </c>
      <c r="AY25" s="1" t="s">
        <v>123</v>
      </c>
      <c r="AZ25" s="1" t="s">
        <v>179</v>
      </c>
      <c r="BA25" s="1" t="s">
        <v>179</v>
      </c>
      <c r="BB25" s="1" t="s">
        <v>98</v>
      </c>
      <c r="BC25" s="1" t="s">
        <v>101</v>
      </c>
      <c r="BD25" s="1" t="s">
        <v>101</v>
      </c>
      <c r="BE25" s="1">
        <v>105.5</v>
      </c>
      <c r="BF25" s="1">
        <v>119.3</v>
      </c>
      <c r="BG25" s="1">
        <v>-13.8</v>
      </c>
      <c r="BH25" s="1" t="s">
        <v>108</v>
      </c>
      <c r="BI25" s="1" t="s">
        <v>109</v>
      </c>
      <c r="BJ25" s="1" t="s">
        <v>108</v>
      </c>
      <c r="BK25" s="1" t="s">
        <v>109</v>
      </c>
      <c r="BL25" s="1" t="s">
        <v>184</v>
      </c>
      <c r="BM25" s="1" t="s">
        <v>128</v>
      </c>
      <c r="BN25" s="1" t="s">
        <v>167</v>
      </c>
      <c r="BO25" s="1" t="s">
        <v>109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178</v>
      </c>
      <c r="BZ25" s="1"/>
      <c r="CA25" s="1"/>
      <c r="CB25" s="1" t="s">
        <v>178</v>
      </c>
      <c r="CC25" s="1"/>
    </row>
    <row r="26" spans="1:81" x14ac:dyDescent="0.25">
      <c r="A26" s="1" t="s">
        <v>93</v>
      </c>
      <c r="B26" s="1" t="s">
        <v>94</v>
      </c>
      <c r="C26" s="1">
        <v>1610612763</v>
      </c>
      <c r="D26" s="1" t="s">
        <v>185</v>
      </c>
      <c r="E26" s="1" t="s">
        <v>186</v>
      </c>
      <c r="F26" s="1" t="s">
        <v>97</v>
      </c>
      <c r="G26" s="1" t="s">
        <v>131</v>
      </c>
      <c r="H26" s="1">
        <v>13</v>
      </c>
      <c r="I26" s="1" t="s">
        <v>99</v>
      </c>
      <c r="J26" s="1" t="s">
        <v>100</v>
      </c>
      <c r="K26" s="1" t="s">
        <v>101</v>
      </c>
      <c r="L26" s="1">
        <v>4</v>
      </c>
      <c r="M26" s="1">
        <v>1</v>
      </c>
      <c r="N26" s="1">
        <v>3</v>
      </c>
      <c r="O26" s="1">
        <v>0.25</v>
      </c>
      <c r="P26" s="1">
        <v>0</v>
      </c>
      <c r="Q26" s="1" t="s">
        <v>178</v>
      </c>
      <c r="R26" s="1" t="s">
        <v>123</v>
      </c>
      <c r="S26" s="1" t="s">
        <v>162</v>
      </c>
      <c r="T26" s="1" t="s">
        <v>179</v>
      </c>
      <c r="U26" s="1" t="s">
        <v>123</v>
      </c>
      <c r="V26" s="1" t="s">
        <v>162</v>
      </c>
      <c r="W26" s="1" t="s">
        <v>98</v>
      </c>
      <c r="X26" s="1" t="s">
        <v>98</v>
      </c>
      <c r="Y26" s="1" t="s">
        <v>162</v>
      </c>
      <c r="Z26" s="1">
        <v>1</v>
      </c>
      <c r="AA26" s="1" t="s">
        <v>114</v>
      </c>
      <c r="AB26" s="1">
        <v>-2</v>
      </c>
      <c r="AC26" s="1" t="s">
        <v>151</v>
      </c>
      <c r="AD26" s="1">
        <v>1</v>
      </c>
      <c r="AE26" s="1">
        <v>2</v>
      </c>
      <c r="AF26" s="1">
        <v>1</v>
      </c>
      <c r="AG26" s="1" t="s">
        <v>114</v>
      </c>
      <c r="AH26" s="1">
        <v>-2</v>
      </c>
      <c r="AI26" s="1" t="s">
        <v>151</v>
      </c>
      <c r="AJ26" s="1">
        <v>-1</v>
      </c>
      <c r="AK26" s="1" t="s">
        <v>125</v>
      </c>
      <c r="AL26" s="1">
        <v>2.5</v>
      </c>
      <c r="AM26" s="1">
        <v>2.5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152</v>
      </c>
      <c r="AT26" s="1" t="s">
        <v>131</v>
      </c>
      <c r="AU26" s="1" t="s">
        <v>101</v>
      </c>
      <c r="AV26" s="1" t="s">
        <v>162</v>
      </c>
      <c r="AW26" s="1" t="s">
        <v>123</v>
      </c>
      <c r="AX26" s="1" t="s">
        <v>101</v>
      </c>
      <c r="AY26" s="1" t="s">
        <v>152</v>
      </c>
      <c r="AZ26" s="1" t="s">
        <v>179</v>
      </c>
      <c r="BA26" s="1" t="s">
        <v>152</v>
      </c>
      <c r="BB26" s="1" t="s">
        <v>98</v>
      </c>
      <c r="BC26" s="1" t="s">
        <v>131</v>
      </c>
      <c r="BD26" s="1" t="s">
        <v>98</v>
      </c>
      <c r="BE26" s="1">
        <v>107</v>
      </c>
      <c r="BF26" s="1">
        <v>120.8</v>
      </c>
      <c r="BG26" s="1">
        <v>-13.8</v>
      </c>
      <c r="BH26" s="1" t="s">
        <v>161</v>
      </c>
      <c r="BI26" s="1" t="s">
        <v>108</v>
      </c>
      <c r="BJ26" s="1" t="s">
        <v>128</v>
      </c>
      <c r="BK26" s="1" t="s">
        <v>128</v>
      </c>
      <c r="BL26" s="1" t="s">
        <v>128</v>
      </c>
      <c r="BM26" s="1" t="s">
        <v>109</v>
      </c>
      <c r="BN26" s="1" t="s">
        <v>128</v>
      </c>
      <c r="BO26" s="1" t="s">
        <v>109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178</v>
      </c>
      <c r="BZ26" s="1"/>
      <c r="CA26" s="1"/>
      <c r="CB26" s="1" t="s">
        <v>178</v>
      </c>
      <c r="CC26" s="1"/>
    </row>
    <row r="27" spans="1:81" x14ac:dyDescent="0.25">
      <c r="A27" s="1" t="s">
        <v>93</v>
      </c>
      <c r="B27" s="1" t="s">
        <v>94</v>
      </c>
      <c r="C27" s="1">
        <v>1610612752</v>
      </c>
      <c r="D27" s="1" t="s">
        <v>187</v>
      </c>
      <c r="E27" s="1" t="s">
        <v>188</v>
      </c>
      <c r="F27" s="1" t="s">
        <v>112</v>
      </c>
      <c r="G27" s="1" t="s">
        <v>152</v>
      </c>
      <c r="H27" s="1">
        <v>13</v>
      </c>
      <c r="I27" s="1" t="s">
        <v>99</v>
      </c>
      <c r="J27" s="1" t="s">
        <v>113</v>
      </c>
      <c r="K27" s="1" t="s">
        <v>162</v>
      </c>
      <c r="L27" s="1">
        <v>5</v>
      </c>
      <c r="M27" s="1">
        <v>1</v>
      </c>
      <c r="N27" s="1">
        <v>3</v>
      </c>
      <c r="O27" s="1">
        <v>0.25</v>
      </c>
      <c r="P27" s="1">
        <v>0</v>
      </c>
      <c r="Q27" s="1" t="s">
        <v>178</v>
      </c>
      <c r="R27" s="1" t="s">
        <v>123</v>
      </c>
      <c r="S27" s="1" t="s">
        <v>162</v>
      </c>
      <c r="T27" s="1" t="s">
        <v>179</v>
      </c>
      <c r="U27" s="1" t="s">
        <v>123</v>
      </c>
      <c r="V27" s="1" t="s">
        <v>162</v>
      </c>
      <c r="W27" s="1" t="s">
        <v>101</v>
      </c>
      <c r="X27" s="1" t="s">
        <v>101</v>
      </c>
      <c r="Y27" s="1" t="s">
        <v>131</v>
      </c>
      <c r="Z27" s="1">
        <v>1</v>
      </c>
      <c r="AA27" s="1" t="s">
        <v>114</v>
      </c>
      <c r="AB27" s="1">
        <v>-2</v>
      </c>
      <c r="AC27" s="1" t="s">
        <v>151</v>
      </c>
      <c r="AD27" s="1">
        <v>1</v>
      </c>
      <c r="AE27" s="1">
        <v>3</v>
      </c>
      <c r="AF27" s="1">
        <v>1</v>
      </c>
      <c r="AG27" s="1" t="s">
        <v>114</v>
      </c>
      <c r="AH27" s="1">
        <v>-2</v>
      </c>
      <c r="AI27" s="1" t="s">
        <v>151</v>
      </c>
      <c r="AJ27" s="1">
        <v>1</v>
      </c>
      <c r="AK27" s="1" t="s">
        <v>114</v>
      </c>
      <c r="AL27" s="1">
        <v>2.5</v>
      </c>
      <c r="AM27" s="1">
        <v>2.5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131</v>
      </c>
      <c r="AT27" s="1" t="s">
        <v>152</v>
      </c>
      <c r="AU27" s="1" t="s">
        <v>101</v>
      </c>
      <c r="AV27" s="1" t="s">
        <v>131</v>
      </c>
      <c r="AW27" s="1" t="s">
        <v>152</v>
      </c>
      <c r="AX27" s="1" t="s">
        <v>101</v>
      </c>
      <c r="AY27" s="1" t="s">
        <v>152</v>
      </c>
      <c r="AZ27" s="1" t="s">
        <v>182</v>
      </c>
      <c r="BA27" s="1" t="s">
        <v>162</v>
      </c>
      <c r="BB27" s="1" t="s">
        <v>101</v>
      </c>
      <c r="BC27" s="1" t="s">
        <v>123</v>
      </c>
      <c r="BD27" s="1" t="s">
        <v>131</v>
      </c>
      <c r="BE27" s="1">
        <v>105</v>
      </c>
      <c r="BF27" s="1">
        <v>112.3</v>
      </c>
      <c r="BG27" s="1">
        <v>-7.3</v>
      </c>
      <c r="BH27" s="1" t="s">
        <v>161</v>
      </c>
      <c r="BI27" s="1" t="s">
        <v>167</v>
      </c>
      <c r="BJ27" s="1" t="s">
        <v>108</v>
      </c>
      <c r="BK27" s="1" t="s">
        <v>109</v>
      </c>
      <c r="BL27" s="1" t="s">
        <v>128</v>
      </c>
      <c r="BM27" s="1" t="s">
        <v>109</v>
      </c>
      <c r="BN27" s="1" t="s">
        <v>109</v>
      </c>
      <c r="BO27" s="1" t="s">
        <v>128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178</v>
      </c>
      <c r="BZ27" s="1"/>
      <c r="CA27" s="1"/>
      <c r="CB27" s="1" t="s">
        <v>178</v>
      </c>
      <c r="CC27" s="1"/>
    </row>
    <row r="28" spans="1:81" x14ac:dyDescent="0.25">
      <c r="A28" s="1" t="s">
        <v>93</v>
      </c>
      <c r="B28" s="1" t="s">
        <v>94</v>
      </c>
      <c r="C28" s="1">
        <v>1610612741</v>
      </c>
      <c r="D28" s="1" t="s">
        <v>189</v>
      </c>
      <c r="E28" s="1" t="s">
        <v>190</v>
      </c>
      <c r="F28" s="1" t="s">
        <v>112</v>
      </c>
      <c r="G28" s="1" t="s">
        <v>182</v>
      </c>
      <c r="H28" s="1">
        <v>14</v>
      </c>
      <c r="I28" s="1" t="s">
        <v>99</v>
      </c>
      <c r="J28" s="1" t="s">
        <v>140</v>
      </c>
      <c r="K28" s="1" t="s">
        <v>101</v>
      </c>
      <c r="L28" s="1">
        <v>4</v>
      </c>
      <c r="M28" s="1">
        <v>1</v>
      </c>
      <c r="N28" s="1">
        <v>3</v>
      </c>
      <c r="O28" s="1">
        <v>0.25</v>
      </c>
      <c r="P28" s="1">
        <v>0</v>
      </c>
      <c r="Q28" s="1" t="s">
        <v>178</v>
      </c>
      <c r="R28" s="1" t="s">
        <v>131</v>
      </c>
      <c r="S28" s="1" t="s">
        <v>152</v>
      </c>
      <c r="T28" s="1" t="s">
        <v>179</v>
      </c>
      <c r="U28" s="1" t="s">
        <v>131</v>
      </c>
      <c r="V28" s="1" t="s">
        <v>152</v>
      </c>
      <c r="W28" s="1" t="s">
        <v>101</v>
      </c>
      <c r="X28" s="1" t="s">
        <v>131</v>
      </c>
      <c r="Y28" s="1" t="s">
        <v>131</v>
      </c>
      <c r="Z28" s="1">
        <v>-1</v>
      </c>
      <c r="AA28" s="1" t="s">
        <v>125</v>
      </c>
      <c r="AB28" s="1">
        <v>1</v>
      </c>
      <c r="AC28" s="1" t="s">
        <v>114</v>
      </c>
      <c r="AD28" s="1">
        <v>1</v>
      </c>
      <c r="AE28" s="1">
        <v>2</v>
      </c>
      <c r="AF28" s="1">
        <v>-1</v>
      </c>
      <c r="AG28" s="1" t="s">
        <v>125</v>
      </c>
      <c r="AH28" s="1">
        <v>-1</v>
      </c>
      <c r="AI28" s="1" t="s">
        <v>125</v>
      </c>
      <c r="AJ28" s="1">
        <v>-2</v>
      </c>
      <c r="AK28" s="1" t="s">
        <v>151</v>
      </c>
      <c r="AL28" s="1">
        <v>2.5</v>
      </c>
      <c r="AM28" s="1">
        <v>1.5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131</v>
      </c>
      <c r="AT28" s="1" t="s">
        <v>152</v>
      </c>
      <c r="AU28" s="1" t="s">
        <v>101</v>
      </c>
      <c r="AV28" s="1" t="s">
        <v>131</v>
      </c>
      <c r="AW28" s="1" t="s">
        <v>152</v>
      </c>
      <c r="AX28" s="1" t="s">
        <v>101</v>
      </c>
      <c r="AY28" s="1" t="s">
        <v>123</v>
      </c>
      <c r="AZ28" s="1" t="s">
        <v>179</v>
      </c>
      <c r="BA28" s="1" t="s">
        <v>162</v>
      </c>
      <c r="BB28" s="1" t="s">
        <v>123</v>
      </c>
      <c r="BC28" s="1" t="s">
        <v>131</v>
      </c>
      <c r="BD28" s="1" t="s">
        <v>179</v>
      </c>
      <c r="BE28" s="1">
        <v>104.3</v>
      </c>
      <c r="BF28" s="1">
        <v>110.3</v>
      </c>
      <c r="BG28" s="1">
        <v>-6</v>
      </c>
      <c r="BH28" s="1" t="s">
        <v>184</v>
      </c>
      <c r="BI28" s="1" t="s">
        <v>167</v>
      </c>
      <c r="BJ28" s="1" t="s">
        <v>109</v>
      </c>
      <c r="BK28" s="1" t="s">
        <v>128</v>
      </c>
      <c r="BL28" s="1" t="s">
        <v>108</v>
      </c>
      <c r="BM28" s="1" t="s">
        <v>109</v>
      </c>
      <c r="BN28" s="1" t="s">
        <v>109</v>
      </c>
      <c r="BO28" s="1" t="s">
        <v>108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178</v>
      </c>
      <c r="BZ28" s="1"/>
      <c r="CA28" s="1"/>
      <c r="CB28" s="1" t="s">
        <v>178</v>
      </c>
      <c r="CC28" s="1"/>
    </row>
    <row r="29" spans="1:81" x14ac:dyDescent="0.25">
      <c r="A29" s="1" t="s">
        <v>93</v>
      </c>
      <c r="B29" s="1" t="s">
        <v>94</v>
      </c>
      <c r="C29" s="1">
        <v>1610612740</v>
      </c>
      <c r="D29" s="1" t="s">
        <v>191</v>
      </c>
      <c r="E29" s="1" t="s">
        <v>192</v>
      </c>
      <c r="F29" s="1" t="s">
        <v>97</v>
      </c>
      <c r="G29" s="1" t="s">
        <v>182</v>
      </c>
      <c r="H29" s="1">
        <v>14</v>
      </c>
      <c r="I29" s="1" t="s">
        <v>99</v>
      </c>
      <c r="J29" s="1" t="s">
        <v>100</v>
      </c>
      <c r="K29" s="1" t="s">
        <v>162</v>
      </c>
      <c r="L29" s="1">
        <v>5</v>
      </c>
      <c r="M29" s="1">
        <v>0</v>
      </c>
      <c r="N29" s="1">
        <v>4</v>
      </c>
      <c r="O29" s="1">
        <v>0</v>
      </c>
      <c r="P29" s="1">
        <v>0</v>
      </c>
      <c r="Q29" s="1" t="s">
        <v>193</v>
      </c>
      <c r="R29" s="1" t="s">
        <v>162</v>
      </c>
      <c r="S29" s="1" t="s">
        <v>162</v>
      </c>
      <c r="T29" s="1" t="s">
        <v>194</v>
      </c>
      <c r="U29" s="1" t="s">
        <v>162</v>
      </c>
      <c r="V29" s="1" t="s">
        <v>162</v>
      </c>
      <c r="W29" s="1" t="s">
        <v>131</v>
      </c>
      <c r="X29" s="1" t="s">
        <v>131</v>
      </c>
      <c r="Y29" s="1" t="s">
        <v>131</v>
      </c>
      <c r="Z29" s="1">
        <v>-2</v>
      </c>
      <c r="AA29" s="1" t="s">
        <v>151</v>
      </c>
      <c r="AB29" s="1">
        <v>-2</v>
      </c>
      <c r="AC29" s="1" t="s">
        <v>151</v>
      </c>
      <c r="AD29" s="1">
        <v>0</v>
      </c>
      <c r="AE29" s="1">
        <v>4</v>
      </c>
      <c r="AF29" s="1">
        <v>-2</v>
      </c>
      <c r="AG29" s="1" t="s">
        <v>151</v>
      </c>
      <c r="AH29" s="1">
        <v>-2</v>
      </c>
      <c r="AI29" s="1" t="s">
        <v>151</v>
      </c>
      <c r="AJ29" s="1">
        <v>-4</v>
      </c>
      <c r="AK29" s="1" t="s">
        <v>195</v>
      </c>
      <c r="AL29" s="1">
        <v>3.5</v>
      </c>
      <c r="AM29" s="1">
        <v>3.5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131</v>
      </c>
      <c r="AT29" s="1" t="s">
        <v>162</v>
      </c>
      <c r="AU29" s="1" t="s">
        <v>131</v>
      </c>
      <c r="AV29" s="1" t="s">
        <v>131</v>
      </c>
      <c r="AW29" s="1" t="s">
        <v>182</v>
      </c>
      <c r="AX29" s="1" t="s">
        <v>101</v>
      </c>
      <c r="AY29" s="1" t="s">
        <v>194</v>
      </c>
      <c r="AZ29" s="1" t="s">
        <v>194</v>
      </c>
      <c r="BA29" s="1" t="s">
        <v>162</v>
      </c>
      <c r="BB29" s="1" t="s">
        <v>162</v>
      </c>
      <c r="BC29" s="1" t="s">
        <v>101</v>
      </c>
      <c r="BD29" s="1" t="s">
        <v>162</v>
      </c>
      <c r="BE29" s="1">
        <v>121</v>
      </c>
      <c r="BF29" s="1">
        <v>128.30000000000001</v>
      </c>
      <c r="BG29" s="1">
        <v>-7.3</v>
      </c>
      <c r="BH29" s="1" t="s">
        <v>128</v>
      </c>
      <c r="BI29" s="1" t="s">
        <v>128</v>
      </c>
      <c r="BJ29" s="1" t="s">
        <v>109</v>
      </c>
      <c r="BK29" s="1" t="s">
        <v>109</v>
      </c>
      <c r="BL29" s="1" t="s">
        <v>184</v>
      </c>
      <c r="BM29" s="1" t="s">
        <v>109</v>
      </c>
      <c r="BN29" s="1" t="s">
        <v>128</v>
      </c>
      <c r="BO29" s="1" t="s">
        <v>167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193</v>
      </c>
      <c r="BZ29" s="1"/>
      <c r="CA29" s="1"/>
      <c r="CB29" s="1" t="s">
        <v>193</v>
      </c>
      <c r="CC29" s="1"/>
    </row>
    <row r="30" spans="1:81" x14ac:dyDescent="0.25">
      <c r="A30" s="1" t="s">
        <v>93</v>
      </c>
      <c r="B30" s="1" t="s">
        <v>94</v>
      </c>
      <c r="C30" s="1">
        <v>1610612758</v>
      </c>
      <c r="D30" s="1" t="s">
        <v>196</v>
      </c>
      <c r="E30" s="1" t="s">
        <v>197</v>
      </c>
      <c r="F30" s="1" t="s">
        <v>97</v>
      </c>
      <c r="G30" s="1" t="s">
        <v>194</v>
      </c>
      <c r="H30" s="1">
        <v>15</v>
      </c>
      <c r="I30" s="1" t="s">
        <v>99</v>
      </c>
      <c r="J30" s="1" t="s">
        <v>135</v>
      </c>
      <c r="K30" s="1" t="s">
        <v>131</v>
      </c>
      <c r="L30" s="1">
        <v>5</v>
      </c>
      <c r="M30" s="1">
        <v>0</v>
      </c>
      <c r="N30" s="1">
        <v>4</v>
      </c>
      <c r="O30" s="1">
        <v>0</v>
      </c>
      <c r="P30" s="1">
        <v>0</v>
      </c>
      <c r="Q30" s="1" t="s">
        <v>193</v>
      </c>
      <c r="R30" s="1" t="s">
        <v>162</v>
      </c>
      <c r="S30" s="1" t="s">
        <v>162</v>
      </c>
      <c r="T30" s="1" t="s">
        <v>194</v>
      </c>
      <c r="U30" s="1" t="s">
        <v>162</v>
      </c>
      <c r="V30" s="1" t="s">
        <v>162</v>
      </c>
      <c r="W30" s="1" t="s">
        <v>101</v>
      </c>
      <c r="X30" s="1" t="s">
        <v>101</v>
      </c>
      <c r="Y30" s="1" t="s">
        <v>182</v>
      </c>
      <c r="Z30" s="1">
        <v>-2</v>
      </c>
      <c r="AA30" s="1" t="s">
        <v>151</v>
      </c>
      <c r="AB30" s="1">
        <v>-2</v>
      </c>
      <c r="AC30" s="1" t="s">
        <v>151</v>
      </c>
      <c r="AD30" s="1">
        <v>0</v>
      </c>
      <c r="AE30" s="1">
        <v>4</v>
      </c>
      <c r="AF30" s="1">
        <v>-2</v>
      </c>
      <c r="AG30" s="1" t="s">
        <v>151</v>
      </c>
      <c r="AH30" s="1">
        <v>-2</v>
      </c>
      <c r="AI30" s="1" t="s">
        <v>151</v>
      </c>
      <c r="AJ30" s="1">
        <v>-4</v>
      </c>
      <c r="AK30" s="1" t="s">
        <v>195</v>
      </c>
      <c r="AL30" s="1">
        <v>3.5</v>
      </c>
      <c r="AM30" s="1">
        <v>3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162</v>
      </c>
      <c r="AT30" s="1" t="s">
        <v>131</v>
      </c>
      <c r="AU30" s="1" t="s">
        <v>131</v>
      </c>
      <c r="AV30" s="1" t="s">
        <v>101</v>
      </c>
      <c r="AW30" s="1" t="s">
        <v>194</v>
      </c>
      <c r="AX30" s="1" t="s">
        <v>101</v>
      </c>
      <c r="AY30" s="1" t="s">
        <v>131</v>
      </c>
      <c r="AZ30" s="1" t="s">
        <v>194</v>
      </c>
      <c r="BA30" s="1" t="s">
        <v>182</v>
      </c>
      <c r="BB30" s="1" t="s">
        <v>131</v>
      </c>
      <c r="BC30" s="1" t="s">
        <v>162</v>
      </c>
      <c r="BD30" s="1" t="s">
        <v>131</v>
      </c>
      <c r="BE30" s="1">
        <v>95.5</v>
      </c>
      <c r="BF30" s="1">
        <v>115</v>
      </c>
      <c r="BG30" s="1">
        <v>-19.5</v>
      </c>
      <c r="BH30" s="1" t="s">
        <v>109</v>
      </c>
      <c r="BI30" s="1" t="s">
        <v>109</v>
      </c>
      <c r="BJ30" s="1" t="s">
        <v>109</v>
      </c>
      <c r="BK30" s="1" t="s">
        <v>109</v>
      </c>
      <c r="BL30" s="1" t="s">
        <v>193</v>
      </c>
      <c r="BM30" s="1" t="s">
        <v>184</v>
      </c>
      <c r="BN30" s="1" t="s">
        <v>128</v>
      </c>
      <c r="BO30" s="1" t="s">
        <v>109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193</v>
      </c>
      <c r="BZ30" s="1"/>
      <c r="CA30" s="1"/>
      <c r="CB30" s="1" t="s">
        <v>193</v>
      </c>
      <c r="CC30" s="1"/>
    </row>
    <row r="31" spans="1:81" x14ac:dyDescent="0.25">
      <c r="A31" s="1" t="s">
        <v>93</v>
      </c>
      <c r="B31" s="1" t="s">
        <v>94</v>
      </c>
      <c r="C31" s="1">
        <v>1610612754</v>
      </c>
      <c r="D31" s="1" t="s">
        <v>198</v>
      </c>
      <c r="E31" s="1" t="s">
        <v>199</v>
      </c>
      <c r="F31" s="1" t="s">
        <v>112</v>
      </c>
      <c r="G31" s="1" t="s">
        <v>182</v>
      </c>
      <c r="H31" s="1">
        <v>15</v>
      </c>
      <c r="I31" s="1" t="s">
        <v>99</v>
      </c>
      <c r="J31" s="1" t="s">
        <v>140</v>
      </c>
      <c r="K31" s="1" t="s">
        <v>182</v>
      </c>
      <c r="L31" s="1">
        <v>5</v>
      </c>
      <c r="M31" s="1">
        <v>0</v>
      </c>
      <c r="N31" s="1">
        <v>3</v>
      </c>
      <c r="O31" s="1">
        <v>0</v>
      </c>
      <c r="P31" s="1">
        <v>0</v>
      </c>
      <c r="Q31" s="1" t="s">
        <v>184</v>
      </c>
      <c r="R31" s="1" t="s">
        <v>131</v>
      </c>
      <c r="S31" s="1" t="s">
        <v>162</v>
      </c>
      <c r="T31" s="1" t="s">
        <v>182</v>
      </c>
      <c r="U31" s="1" t="s">
        <v>131</v>
      </c>
      <c r="V31" s="1" t="s">
        <v>162</v>
      </c>
      <c r="W31" s="1" t="s">
        <v>101</v>
      </c>
      <c r="X31" s="1" t="s">
        <v>131</v>
      </c>
      <c r="Y31" s="1" t="s">
        <v>131</v>
      </c>
      <c r="Z31" s="1">
        <v>-1</v>
      </c>
      <c r="AA31" s="1" t="s">
        <v>125</v>
      </c>
      <c r="AB31" s="1">
        <v>-2</v>
      </c>
      <c r="AC31" s="1" t="s">
        <v>151</v>
      </c>
      <c r="AD31" s="1">
        <v>0</v>
      </c>
      <c r="AE31" s="1">
        <v>3</v>
      </c>
      <c r="AF31" s="1">
        <v>-1</v>
      </c>
      <c r="AG31" s="1" t="s">
        <v>125</v>
      </c>
      <c r="AH31" s="1">
        <v>-2</v>
      </c>
      <c r="AI31" s="1" t="s">
        <v>151</v>
      </c>
      <c r="AJ31" s="1">
        <v>-3</v>
      </c>
      <c r="AK31" s="1" t="s">
        <v>183</v>
      </c>
      <c r="AL31" s="1">
        <v>3</v>
      </c>
      <c r="AM31" s="1">
        <v>2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131</v>
      </c>
      <c r="AT31" s="1" t="s">
        <v>162</v>
      </c>
      <c r="AU31" s="1" t="s">
        <v>101</v>
      </c>
      <c r="AV31" s="1" t="s">
        <v>131</v>
      </c>
      <c r="AW31" s="1" t="s">
        <v>162</v>
      </c>
      <c r="AX31" s="1" t="s">
        <v>101</v>
      </c>
      <c r="AY31" s="1" t="s">
        <v>131</v>
      </c>
      <c r="AZ31" s="1" t="s">
        <v>162</v>
      </c>
      <c r="BA31" s="1" t="s">
        <v>131</v>
      </c>
      <c r="BB31" s="1" t="s">
        <v>101</v>
      </c>
      <c r="BC31" s="1" t="s">
        <v>101</v>
      </c>
      <c r="BD31" s="1" t="s">
        <v>182</v>
      </c>
      <c r="BE31" s="1">
        <v>101</v>
      </c>
      <c r="BF31" s="1">
        <v>108.3</v>
      </c>
      <c r="BG31" s="1">
        <v>-7.3</v>
      </c>
      <c r="BH31" s="1" t="s">
        <v>184</v>
      </c>
      <c r="BI31" s="1" t="s">
        <v>109</v>
      </c>
      <c r="BJ31" s="1" t="s">
        <v>184</v>
      </c>
      <c r="BK31" s="1" t="s">
        <v>109</v>
      </c>
      <c r="BL31" s="1" t="s">
        <v>109</v>
      </c>
      <c r="BM31" s="1" t="s">
        <v>109</v>
      </c>
      <c r="BN31" s="1" t="s">
        <v>109</v>
      </c>
      <c r="BO31" s="1" t="s">
        <v>109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184</v>
      </c>
      <c r="BZ31" s="1"/>
      <c r="CA31" s="1"/>
      <c r="CB31" s="1" t="s">
        <v>184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2C4F2-AE7F-4838-B7FF-88E940151A7F}">
  <sheetPr codeName="Sheet4"/>
  <dimension ref="A1:AV31"/>
  <sheetViews>
    <sheetView topLeftCell="J1" workbookViewId="0">
      <selection activeCell="P27" sqref="P27"/>
    </sheetView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203</v>
      </c>
      <c r="B1" s="1" t="s">
        <v>204</v>
      </c>
      <c r="C1" s="1" t="s">
        <v>205</v>
      </c>
      <c r="D1" s="1" t="s">
        <v>206</v>
      </c>
      <c r="E1" s="1" t="s">
        <v>207</v>
      </c>
      <c r="F1" s="1" t="s">
        <v>208</v>
      </c>
      <c r="G1" s="1" t="s">
        <v>209</v>
      </c>
      <c r="H1" s="1" t="s">
        <v>210</v>
      </c>
      <c r="I1" s="1" t="s">
        <v>211</v>
      </c>
      <c r="J1" s="1" t="s">
        <v>212</v>
      </c>
      <c r="K1" s="1" t="s">
        <v>213</v>
      </c>
      <c r="L1" s="1" t="s">
        <v>214</v>
      </c>
      <c r="M1" s="1" t="s">
        <v>215</v>
      </c>
      <c r="N1" s="1" t="s">
        <v>216</v>
      </c>
      <c r="O1" s="1" t="s">
        <v>217</v>
      </c>
      <c r="P1" s="1" t="s">
        <v>218</v>
      </c>
      <c r="Q1" s="1" t="s">
        <v>219</v>
      </c>
      <c r="R1" s="1" t="s">
        <v>220</v>
      </c>
      <c r="S1" s="1" t="s">
        <v>221</v>
      </c>
      <c r="T1" s="1" t="s">
        <v>222</v>
      </c>
      <c r="U1" s="1" t="s">
        <v>223</v>
      </c>
      <c r="V1" s="1" t="s">
        <v>224</v>
      </c>
      <c r="W1" s="1" t="s">
        <v>225</v>
      </c>
      <c r="X1" s="1" t="s">
        <v>226</v>
      </c>
      <c r="Y1" s="1" t="s">
        <v>227</v>
      </c>
      <c r="Z1" s="1" t="s">
        <v>228</v>
      </c>
      <c r="AA1" s="1" t="s">
        <v>229</v>
      </c>
      <c r="AB1" s="1" t="s">
        <v>230</v>
      </c>
      <c r="AC1" s="1" t="s">
        <v>231</v>
      </c>
      <c r="AD1" s="1" t="s">
        <v>232</v>
      </c>
      <c r="AE1" s="1" t="s">
        <v>233</v>
      </c>
      <c r="AF1" s="1" t="s">
        <v>234</v>
      </c>
      <c r="AG1" s="1" t="s">
        <v>235</v>
      </c>
      <c r="AH1" s="1" t="s">
        <v>236</v>
      </c>
      <c r="AI1" s="1" t="s">
        <v>237</v>
      </c>
      <c r="AJ1" s="1" t="s">
        <v>238</v>
      </c>
      <c r="AK1" s="1" t="s">
        <v>239</v>
      </c>
      <c r="AL1" s="1" t="s">
        <v>240</v>
      </c>
      <c r="AM1" s="1" t="s">
        <v>241</v>
      </c>
      <c r="AN1" s="1" t="s">
        <v>242</v>
      </c>
      <c r="AO1" s="1" t="s">
        <v>243</v>
      </c>
      <c r="AP1" s="1" t="s">
        <v>244</v>
      </c>
      <c r="AQ1" s="1" t="s">
        <v>245</v>
      </c>
      <c r="AR1" s="1" t="s">
        <v>246</v>
      </c>
      <c r="AS1" s="1" t="s">
        <v>247</v>
      </c>
      <c r="AT1" s="1" t="s">
        <v>248</v>
      </c>
      <c r="AU1" s="1" t="s">
        <v>249</v>
      </c>
      <c r="AV1" s="1" t="s">
        <v>250</v>
      </c>
    </row>
    <row r="2" spans="1:48" x14ac:dyDescent="0.25">
      <c r="A2" s="1">
        <v>1610612737</v>
      </c>
      <c r="B2" s="1" t="s">
        <v>251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251</v>
      </c>
    </row>
    <row r="3" spans="1:48" x14ac:dyDescent="0.25">
      <c r="A3" s="1">
        <v>1610612738</v>
      </c>
      <c r="B3" s="1" t="s">
        <v>252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252</v>
      </c>
    </row>
    <row r="4" spans="1:48" x14ac:dyDescent="0.25">
      <c r="A4" s="1">
        <v>1610612751</v>
      </c>
      <c r="B4" s="1" t="s">
        <v>253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253</v>
      </c>
    </row>
    <row r="5" spans="1:48" x14ac:dyDescent="0.25">
      <c r="A5" s="1">
        <v>1610612766</v>
      </c>
      <c r="B5" s="1" t="s">
        <v>254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254</v>
      </c>
    </row>
    <row r="6" spans="1:48" x14ac:dyDescent="0.25">
      <c r="A6" s="1">
        <v>1610612741</v>
      </c>
      <c r="B6" s="1" t="s">
        <v>255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255</v>
      </c>
    </row>
    <row r="7" spans="1:48" x14ac:dyDescent="0.25">
      <c r="A7" s="1">
        <v>1610612739</v>
      </c>
      <c r="B7" s="1" t="s">
        <v>256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256</v>
      </c>
    </row>
    <row r="8" spans="1:48" x14ac:dyDescent="0.25">
      <c r="A8" s="1">
        <v>1610612742</v>
      </c>
      <c r="B8" s="1" t="s">
        <v>257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257</v>
      </c>
    </row>
    <row r="9" spans="1:48" x14ac:dyDescent="0.25">
      <c r="A9" s="1">
        <v>1610612743</v>
      </c>
      <c r="B9" s="1" t="s">
        <v>258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258</v>
      </c>
    </row>
    <row r="10" spans="1:48" x14ac:dyDescent="0.25">
      <c r="A10" s="1">
        <v>1610612765</v>
      </c>
      <c r="B10" s="1" t="s">
        <v>259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259</v>
      </c>
    </row>
    <row r="11" spans="1:48" x14ac:dyDescent="0.25">
      <c r="A11" s="1">
        <v>1610612744</v>
      </c>
      <c r="B11" s="1" t="s">
        <v>260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260</v>
      </c>
    </row>
    <row r="12" spans="1:48" x14ac:dyDescent="0.25">
      <c r="A12" s="1">
        <v>1610612745</v>
      </c>
      <c r="B12" s="1" t="s">
        <v>261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261</v>
      </c>
    </row>
    <row r="13" spans="1:48" x14ac:dyDescent="0.25">
      <c r="A13" s="1">
        <v>1610612754</v>
      </c>
      <c r="B13" s="1" t="s">
        <v>262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262</v>
      </c>
    </row>
    <row r="14" spans="1:48" x14ac:dyDescent="0.25">
      <c r="A14" s="1">
        <v>1610612746</v>
      </c>
      <c r="B14" s="1" t="s">
        <v>263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263</v>
      </c>
    </row>
    <row r="15" spans="1:48" x14ac:dyDescent="0.25">
      <c r="A15" s="1">
        <v>1610612747</v>
      </c>
      <c r="B15" s="1" t="s">
        <v>264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264</v>
      </c>
    </row>
    <row r="16" spans="1:48" x14ac:dyDescent="0.25">
      <c r="A16" s="1">
        <v>1610612763</v>
      </c>
      <c r="B16" s="1" t="s">
        <v>265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265</v>
      </c>
    </row>
    <row r="17" spans="1:48" x14ac:dyDescent="0.25">
      <c r="A17" s="1">
        <v>1610612748</v>
      </c>
      <c r="B17" s="1" t="s">
        <v>266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266</v>
      </c>
    </row>
    <row r="18" spans="1:48" x14ac:dyDescent="0.25">
      <c r="A18" s="1">
        <v>1610612749</v>
      </c>
      <c r="B18" s="1" t="s">
        <v>267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267</v>
      </c>
    </row>
    <row r="19" spans="1:48" x14ac:dyDescent="0.25">
      <c r="A19" s="1">
        <v>1610612750</v>
      </c>
      <c r="B19" s="1" t="s">
        <v>268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268</v>
      </c>
    </row>
    <row r="20" spans="1:48" x14ac:dyDescent="0.25">
      <c r="A20" s="1">
        <v>1610612740</v>
      </c>
      <c r="B20" s="1" t="s">
        <v>269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269</v>
      </c>
    </row>
    <row r="21" spans="1:48" x14ac:dyDescent="0.25">
      <c r="A21" s="1">
        <v>1610612752</v>
      </c>
      <c r="B21" s="1" t="s">
        <v>270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270</v>
      </c>
    </row>
    <row r="22" spans="1:48" x14ac:dyDescent="0.25">
      <c r="A22" s="1">
        <v>1610612760</v>
      </c>
      <c r="B22" s="1" t="s">
        <v>271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271</v>
      </c>
    </row>
    <row r="23" spans="1:48" x14ac:dyDescent="0.25">
      <c r="A23" s="1">
        <v>1610612753</v>
      </c>
      <c r="B23" s="1" t="s">
        <v>272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272</v>
      </c>
    </row>
    <row r="24" spans="1:48" x14ac:dyDescent="0.25">
      <c r="A24" s="1">
        <v>1610612755</v>
      </c>
      <c r="B24" s="1" t="s">
        <v>273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273</v>
      </c>
    </row>
    <row r="25" spans="1:48" x14ac:dyDescent="0.25">
      <c r="A25" s="1">
        <v>1610612756</v>
      </c>
      <c r="B25" s="1" t="s">
        <v>274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274</v>
      </c>
    </row>
    <row r="26" spans="1:48" x14ac:dyDescent="0.25">
      <c r="A26" s="1">
        <v>1610612757</v>
      </c>
      <c r="B26" s="1" t="s">
        <v>275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275</v>
      </c>
    </row>
    <row r="27" spans="1:48" x14ac:dyDescent="0.25">
      <c r="A27" s="1">
        <v>1610612758</v>
      </c>
      <c r="B27" s="1" t="s">
        <v>276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276</v>
      </c>
    </row>
    <row r="28" spans="1:48" x14ac:dyDescent="0.25">
      <c r="A28" s="1">
        <v>1610612759</v>
      </c>
      <c r="B28" s="1" t="s">
        <v>277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277</v>
      </c>
    </row>
    <row r="29" spans="1:48" x14ac:dyDescent="0.25">
      <c r="A29" s="1">
        <v>1610612761</v>
      </c>
      <c r="B29" s="1" t="s">
        <v>278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278</v>
      </c>
    </row>
    <row r="30" spans="1:48" x14ac:dyDescent="0.25">
      <c r="A30" s="1">
        <v>1610612762</v>
      </c>
      <c r="B30" s="1" t="s">
        <v>279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279</v>
      </c>
    </row>
    <row r="31" spans="1:48" x14ac:dyDescent="0.25">
      <c r="A31" s="1">
        <v>1610612764</v>
      </c>
      <c r="B31" s="1" t="s">
        <v>280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280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86A06-5BCC-4F89-A554-EC436841F2A5}">
  <sheetPr codeName="Sheet5"/>
  <dimension ref="A1:AV31"/>
  <sheetViews>
    <sheetView topLeftCell="S1"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203</v>
      </c>
      <c r="B1" s="1" t="s">
        <v>204</v>
      </c>
      <c r="C1" s="1" t="s">
        <v>205</v>
      </c>
      <c r="D1" s="1" t="s">
        <v>206</v>
      </c>
      <c r="E1" s="1" t="s">
        <v>207</v>
      </c>
      <c r="F1" s="1" t="s">
        <v>208</v>
      </c>
      <c r="G1" s="1" t="s">
        <v>209</v>
      </c>
      <c r="H1" s="1" t="s">
        <v>210</v>
      </c>
      <c r="I1" s="1" t="s">
        <v>211</v>
      </c>
      <c r="J1" s="1" t="s">
        <v>212</v>
      </c>
      <c r="K1" s="1" t="s">
        <v>213</v>
      </c>
      <c r="L1" s="1" t="s">
        <v>214</v>
      </c>
      <c r="M1" s="1" t="s">
        <v>215</v>
      </c>
      <c r="N1" s="1" t="s">
        <v>216</v>
      </c>
      <c r="O1" s="1" t="s">
        <v>217</v>
      </c>
      <c r="P1" s="1" t="s">
        <v>218</v>
      </c>
      <c r="Q1" s="1" t="s">
        <v>219</v>
      </c>
      <c r="R1" s="1" t="s">
        <v>220</v>
      </c>
      <c r="S1" s="1" t="s">
        <v>221</v>
      </c>
      <c r="T1" s="1" t="s">
        <v>222</v>
      </c>
      <c r="U1" s="1" t="s">
        <v>223</v>
      </c>
      <c r="V1" s="1" t="s">
        <v>224</v>
      </c>
      <c r="W1" s="1" t="s">
        <v>225</v>
      </c>
      <c r="X1" s="1" t="s">
        <v>226</v>
      </c>
      <c r="Y1" s="1" t="s">
        <v>227</v>
      </c>
      <c r="Z1" s="1" t="s">
        <v>228</v>
      </c>
      <c r="AA1" s="1" t="s">
        <v>229</v>
      </c>
      <c r="AB1" s="1" t="s">
        <v>230</v>
      </c>
      <c r="AC1" s="1" t="s">
        <v>231</v>
      </c>
      <c r="AD1" s="1" t="s">
        <v>232</v>
      </c>
      <c r="AE1" s="1" t="s">
        <v>233</v>
      </c>
      <c r="AF1" s="1" t="s">
        <v>234</v>
      </c>
      <c r="AG1" s="1" t="s">
        <v>235</v>
      </c>
      <c r="AH1" s="1" t="s">
        <v>236</v>
      </c>
      <c r="AI1" s="1" t="s">
        <v>237</v>
      </c>
      <c r="AJ1" s="1" t="s">
        <v>238</v>
      </c>
      <c r="AK1" s="1" t="s">
        <v>239</v>
      </c>
      <c r="AL1" s="1" t="s">
        <v>240</v>
      </c>
      <c r="AM1" s="1" t="s">
        <v>241</v>
      </c>
      <c r="AN1" s="1" t="s">
        <v>242</v>
      </c>
      <c r="AO1" s="1" t="s">
        <v>243</v>
      </c>
      <c r="AP1" s="1" t="s">
        <v>244</v>
      </c>
      <c r="AQ1" s="1" t="s">
        <v>245</v>
      </c>
      <c r="AR1" s="1" t="s">
        <v>246</v>
      </c>
      <c r="AS1" s="1" t="s">
        <v>247</v>
      </c>
      <c r="AT1" s="1" t="s">
        <v>248</v>
      </c>
      <c r="AU1" s="1" t="s">
        <v>249</v>
      </c>
      <c r="AV1" s="1" t="s">
        <v>250</v>
      </c>
    </row>
    <row r="2" spans="1:48" x14ac:dyDescent="0.25">
      <c r="A2" s="1">
        <v>1610612737</v>
      </c>
      <c r="B2" s="1" t="s">
        <v>251</v>
      </c>
      <c r="C2" s="1">
        <v>4</v>
      </c>
      <c r="D2" s="1">
        <v>2</v>
      </c>
      <c r="E2" s="1">
        <v>2</v>
      </c>
      <c r="F2" s="1">
        <v>0.5</v>
      </c>
      <c r="G2" s="1">
        <v>192</v>
      </c>
      <c r="H2" s="1">
        <v>101.1</v>
      </c>
      <c r="I2" s="1">
        <v>102.4</v>
      </c>
      <c r="J2" s="1">
        <v>99.1</v>
      </c>
      <c r="K2" s="1">
        <v>102</v>
      </c>
      <c r="L2" s="1">
        <v>2</v>
      </c>
      <c r="M2" s="1">
        <v>0.5</v>
      </c>
      <c r="N2" s="1">
        <v>0.63300000000000001</v>
      </c>
      <c r="O2" s="1">
        <v>1.39</v>
      </c>
      <c r="P2" s="1">
        <v>18</v>
      </c>
      <c r="Q2" s="1">
        <v>0.25700000000000001</v>
      </c>
      <c r="R2" s="1">
        <v>0.68400000000000005</v>
      </c>
      <c r="S2" s="1">
        <v>0.48299999999999998</v>
      </c>
      <c r="T2" s="1">
        <v>0.17599999999999999</v>
      </c>
      <c r="U2" s="1">
        <v>0.52800000000000002</v>
      </c>
      <c r="V2" s="1">
        <v>0.55600000000000005</v>
      </c>
      <c r="W2" s="1">
        <v>104.4</v>
      </c>
      <c r="X2" s="1">
        <v>102.25</v>
      </c>
      <c r="Y2" s="1">
        <v>85.21</v>
      </c>
      <c r="Z2" s="1">
        <v>410</v>
      </c>
      <c r="AA2" s="1">
        <v>0.52700000000000002</v>
      </c>
      <c r="AB2" s="1">
        <v>1</v>
      </c>
      <c r="AC2" s="1">
        <v>11</v>
      </c>
      <c r="AD2" s="1">
        <v>14</v>
      </c>
      <c r="AE2" s="1">
        <v>14</v>
      </c>
      <c r="AF2" s="1">
        <v>7</v>
      </c>
      <c r="AG2" s="1">
        <v>20</v>
      </c>
      <c r="AH2" s="1">
        <v>10</v>
      </c>
      <c r="AI2" s="1">
        <v>17</v>
      </c>
      <c r="AJ2" s="1">
        <v>7</v>
      </c>
      <c r="AK2" s="1">
        <v>17</v>
      </c>
      <c r="AL2" s="1">
        <v>5</v>
      </c>
      <c r="AM2" s="1">
        <v>18</v>
      </c>
      <c r="AN2" s="1">
        <v>27</v>
      </c>
      <c r="AO2" s="1">
        <v>22</v>
      </c>
      <c r="AP2" s="1">
        <v>21</v>
      </c>
      <c r="AQ2" s="1">
        <v>8</v>
      </c>
      <c r="AR2" s="1">
        <v>12</v>
      </c>
      <c r="AS2" s="1">
        <v>22</v>
      </c>
      <c r="AT2" s="1">
        <v>12</v>
      </c>
      <c r="AU2" s="1">
        <v>10</v>
      </c>
      <c r="AV2" s="1" t="s">
        <v>251</v>
      </c>
    </row>
    <row r="3" spans="1:48" x14ac:dyDescent="0.25">
      <c r="A3" s="1">
        <v>1610612738</v>
      </c>
      <c r="B3" s="1" t="s">
        <v>252</v>
      </c>
      <c r="C3" s="1">
        <v>3</v>
      </c>
      <c r="D3" s="1">
        <v>2</v>
      </c>
      <c r="E3" s="1">
        <v>1</v>
      </c>
      <c r="F3" s="1">
        <v>0.66700000000000004</v>
      </c>
      <c r="G3" s="1">
        <v>144</v>
      </c>
      <c r="H3" s="1">
        <v>102</v>
      </c>
      <c r="I3" s="1">
        <v>104.2</v>
      </c>
      <c r="J3" s="1">
        <v>98</v>
      </c>
      <c r="K3" s="1">
        <v>100</v>
      </c>
      <c r="L3" s="1">
        <v>4</v>
      </c>
      <c r="M3" s="1">
        <v>4.2</v>
      </c>
      <c r="N3" s="1">
        <v>0.53800000000000003</v>
      </c>
      <c r="O3" s="1">
        <v>1.85</v>
      </c>
      <c r="P3" s="1">
        <v>14.7</v>
      </c>
      <c r="Q3" s="1">
        <v>0.29199999999999998</v>
      </c>
      <c r="R3" s="1">
        <v>0.69499999999999995</v>
      </c>
      <c r="S3" s="1">
        <v>0.46899999999999997</v>
      </c>
      <c r="T3" s="1">
        <v>0.11</v>
      </c>
      <c r="U3" s="1">
        <v>0.46100000000000002</v>
      </c>
      <c r="V3" s="1">
        <v>0.49399999999999999</v>
      </c>
      <c r="W3" s="1">
        <v>105.2</v>
      </c>
      <c r="X3" s="1">
        <v>103</v>
      </c>
      <c r="Y3" s="1">
        <v>85.83</v>
      </c>
      <c r="Z3" s="1">
        <v>310</v>
      </c>
      <c r="AA3" s="1">
        <v>0.51</v>
      </c>
      <c r="AB3" s="1">
        <v>19</v>
      </c>
      <c r="AC3" s="1">
        <v>11</v>
      </c>
      <c r="AD3" s="1">
        <v>4</v>
      </c>
      <c r="AE3" s="1">
        <v>11</v>
      </c>
      <c r="AF3" s="1">
        <v>22</v>
      </c>
      <c r="AG3" s="1">
        <v>16</v>
      </c>
      <c r="AH3" s="1">
        <v>9</v>
      </c>
      <c r="AI3" s="1">
        <v>11</v>
      </c>
      <c r="AJ3" s="1">
        <v>24</v>
      </c>
      <c r="AK3" s="1">
        <v>3</v>
      </c>
      <c r="AL3" s="1">
        <v>25</v>
      </c>
      <c r="AM3" s="1">
        <v>6</v>
      </c>
      <c r="AN3" s="1">
        <v>26</v>
      </c>
      <c r="AO3" s="1">
        <v>25</v>
      </c>
      <c r="AP3" s="1">
        <v>1</v>
      </c>
      <c r="AQ3" s="1">
        <v>27</v>
      </c>
      <c r="AR3" s="1">
        <v>29</v>
      </c>
      <c r="AS3" s="1">
        <v>16</v>
      </c>
      <c r="AT3" s="1">
        <v>14</v>
      </c>
      <c r="AU3" s="1">
        <v>10</v>
      </c>
      <c r="AV3" s="1" t="s">
        <v>252</v>
      </c>
    </row>
    <row r="4" spans="1:48" x14ac:dyDescent="0.25">
      <c r="A4" s="1">
        <v>1610612751</v>
      </c>
      <c r="B4" s="1" t="s">
        <v>253</v>
      </c>
      <c r="C4" s="1">
        <v>3</v>
      </c>
      <c r="D4" s="1">
        <v>1</v>
      </c>
      <c r="E4" s="1">
        <v>2</v>
      </c>
      <c r="F4" s="1">
        <v>0.33300000000000002</v>
      </c>
      <c r="G4" s="1">
        <v>154</v>
      </c>
      <c r="H4" s="1">
        <v>106.4</v>
      </c>
      <c r="I4" s="1">
        <v>108.1</v>
      </c>
      <c r="J4" s="1">
        <v>105.8</v>
      </c>
      <c r="K4" s="1">
        <v>106.9</v>
      </c>
      <c r="L4" s="1">
        <v>0.6</v>
      </c>
      <c r="M4" s="1">
        <v>1.2</v>
      </c>
      <c r="N4" s="1">
        <v>0.52700000000000002</v>
      </c>
      <c r="O4" s="1">
        <v>1.1499999999999999</v>
      </c>
      <c r="P4" s="1">
        <v>14.9</v>
      </c>
      <c r="Q4" s="1">
        <v>0.26800000000000002</v>
      </c>
      <c r="R4" s="1">
        <v>0.75600000000000001</v>
      </c>
      <c r="S4" s="1">
        <v>0.51200000000000001</v>
      </c>
      <c r="T4" s="1">
        <v>0.17199999999999999</v>
      </c>
      <c r="U4" s="1">
        <v>0.54300000000000004</v>
      </c>
      <c r="V4" s="1">
        <v>0.57599999999999996</v>
      </c>
      <c r="W4" s="1">
        <v>109</v>
      </c>
      <c r="X4" s="1">
        <v>107.53</v>
      </c>
      <c r="Y4" s="1">
        <v>89.61</v>
      </c>
      <c r="Z4" s="1">
        <v>344</v>
      </c>
      <c r="AA4" s="1">
        <v>0.49299999999999999</v>
      </c>
      <c r="AB4" s="1">
        <v>19</v>
      </c>
      <c r="AC4" s="1">
        <v>18</v>
      </c>
      <c r="AD4" s="1">
        <v>14</v>
      </c>
      <c r="AE4" s="1">
        <v>18</v>
      </c>
      <c r="AF4" s="1">
        <v>19</v>
      </c>
      <c r="AG4" s="1">
        <v>8</v>
      </c>
      <c r="AH4" s="1">
        <v>17</v>
      </c>
      <c r="AI4" s="1">
        <v>15</v>
      </c>
      <c r="AJ4" s="1">
        <v>25</v>
      </c>
      <c r="AK4" s="1">
        <v>23</v>
      </c>
      <c r="AL4" s="1">
        <v>24</v>
      </c>
      <c r="AM4" s="1">
        <v>14</v>
      </c>
      <c r="AN4" s="1">
        <v>10</v>
      </c>
      <c r="AO4" s="1">
        <v>13</v>
      </c>
      <c r="AP4" s="1">
        <v>20</v>
      </c>
      <c r="AQ4" s="1">
        <v>4</v>
      </c>
      <c r="AR4" s="1">
        <v>5</v>
      </c>
      <c r="AS4" s="1">
        <v>5</v>
      </c>
      <c r="AT4" s="1">
        <v>18</v>
      </c>
      <c r="AU4" s="1">
        <v>10</v>
      </c>
      <c r="AV4" s="1" t="s">
        <v>253</v>
      </c>
    </row>
    <row r="5" spans="1:48" x14ac:dyDescent="0.25">
      <c r="A5" s="1">
        <v>1610612766</v>
      </c>
      <c r="B5" s="1" t="s">
        <v>254</v>
      </c>
      <c r="C5" s="1">
        <v>4</v>
      </c>
      <c r="D5" s="1">
        <v>1</v>
      </c>
      <c r="E5" s="1">
        <v>3</v>
      </c>
      <c r="F5" s="1">
        <v>0.25</v>
      </c>
      <c r="G5" s="1">
        <v>192</v>
      </c>
      <c r="H5" s="1">
        <v>101</v>
      </c>
      <c r="I5" s="1">
        <v>102.2</v>
      </c>
      <c r="J5" s="1">
        <v>112.6</v>
      </c>
      <c r="K5" s="1">
        <v>115.5</v>
      </c>
      <c r="L5" s="1">
        <v>-11.6</v>
      </c>
      <c r="M5" s="1">
        <v>-13.3</v>
      </c>
      <c r="N5" s="1">
        <v>0.63400000000000001</v>
      </c>
      <c r="O5" s="1">
        <v>1.26</v>
      </c>
      <c r="P5" s="1">
        <v>17.3</v>
      </c>
      <c r="Q5" s="1">
        <v>0.26</v>
      </c>
      <c r="R5" s="1">
        <v>0.67</v>
      </c>
      <c r="S5" s="1">
        <v>0.46300000000000002</v>
      </c>
      <c r="T5" s="1">
        <v>0.186</v>
      </c>
      <c r="U5" s="1">
        <v>0.52700000000000002</v>
      </c>
      <c r="V5" s="1">
        <v>0.55400000000000005</v>
      </c>
      <c r="W5" s="1">
        <v>105.2</v>
      </c>
      <c r="X5" s="1">
        <v>103.25</v>
      </c>
      <c r="Y5" s="1">
        <v>86.04</v>
      </c>
      <c r="Z5" s="1">
        <v>413</v>
      </c>
      <c r="AA5" s="1">
        <v>0.41299999999999998</v>
      </c>
      <c r="AB5" s="1">
        <v>1</v>
      </c>
      <c r="AC5" s="1">
        <v>18</v>
      </c>
      <c r="AD5" s="1">
        <v>23</v>
      </c>
      <c r="AE5" s="1">
        <v>23</v>
      </c>
      <c r="AF5" s="1">
        <v>7</v>
      </c>
      <c r="AG5" s="1">
        <v>21</v>
      </c>
      <c r="AH5" s="1">
        <v>28</v>
      </c>
      <c r="AI5" s="1">
        <v>29</v>
      </c>
      <c r="AJ5" s="1">
        <v>6</v>
      </c>
      <c r="AK5" s="1">
        <v>20</v>
      </c>
      <c r="AL5" s="1">
        <v>11</v>
      </c>
      <c r="AM5" s="1">
        <v>16</v>
      </c>
      <c r="AN5" s="1">
        <v>28</v>
      </c>
      <c r="AO5" s="1">
        <v>28</v>
      </c>
      <c r="AP5" s="1">
        <v>25</v>
      </c>
      <c r="AQ5" s="1">
        <v>9</v>
      </c>
      <c r="AR5" s="1">
        <v>15</v>
      </c>
      <c r="AS5" s="1">
        <v>15</v>
      </c>
      <c r="AT5" s="1">
        <v>29</v>
      </c>
      <c r="AU5" s="1">
        <v>10</v>
      </c>
      <c r="AV5" s="1" t="s">
        <v>254</v>
      </c>
    </row>
    <row r="6" spans="1:48" x14ac:dyDescent="0.25">
      <c r="A6" s="1">
        <v>1610612741</v>
      </c>
      <c r="B6" s="1" t="s">
        <v>255</v>
      </c>
      <c r="C6" s="1">
        <v>4</v>
      </c>
      <c r="D6" s="1">
        <v>1</v>
      </c>
      <c r="E6" s="1">
        <v>3</v>
      </c>
      <c r="F6" s="1">
        <v>0.25</v>
      </c>
      <c r="G6" s="1">
        <v>192</v>
      </c>
      <c r="H6" s="1">
        <v>98.7</v>
      </c>
      <c r="I6" s="1">
        <v>101.5</v>
      </c>
      <c r="J6" s="1">
        <v>107.1</v>
      </c>
      <c r="K6" s="1">
        <v>107</v>
      </c>
      <c r="L6" s="1">
        <v>-8.4</v>
      </c>
      <c r="M6" s="1">
        <v>-5.6</v>
      </c>
      <c r="N6" s="1">
        <v>0.51900000000000002</v>
      </c>
      <c r="O6" s="1">
        <v>1.57</v>
      </c>
      <c r="P6" s="1">
        <v>14.4</v>
      </c>
      <c r="Q6" s="1">
        <v>0.27500000000000002</v>
      </c>
      <c r="R6" s="1">
        <v>0.66700000000000004</v>
      </c>
      <c r="S6" s="1">
        <v>0.45800000000000002</v>
      </c>
      <c r="T6" s="1">
        <v>0.124</v>
      </c>
      <c r="U6" s="1">
        <v>0.45700000000000002</v>
      </c>
      <c r="V6" s="1">
        <v>0.496</v>
      </c>
      <c r="W6" s="1">
        <v>104.3</v>
      </c>
      <c r="X6" s="1">
        <v>102.88</v>
      </c>
      <c r="Y6" s="1">
        <v>85.73</v>
      </c>
      <c r="Z6" s="1">
        <v>411</v>
      </c>
      <c r="AA6" s="1">
        <v>0.44800000000000001</v>
      </c>
      <c r="AB6" s="1">
        <v>1</v>
      </c>
      <c r="AC6" s="1">
        <v>18</v>
      </c>
      <c r="AD6" s="1">
        <v>23</v>
      </c>
      <c r="AE6" s="1">
        <v>23</v>
      </c>
      <c r="AF6" s="1">
        <v>7</v>
      </c>
      <c r="AG6" s="1">
        <v>23</v>
      </c>
      <c r="AH6" s="1">
        <v>18</v>
      </c>
      <c r="AI6" s="1">
        <v>23</v>
      </c>
      <c r="AJ6" s="1">
        <v>27</v>
      </c>
      <c r="AK6" s="1">
        <v>11</v>
      </c>
      <c r="AL6" s="1">
        <v>26</v>
      </c>
      <c r="AM6" s="1">
        <v>12</v>
      </c>
      <c r="AN6" s="1">
        <v>29</v>
      </c>
      <c r="AO6" s="1">
        <v>30</v>
      </c>
      <c r="AP6" s="1">
        <v>3</v>
      </c>
      <c r="AQ6" s="1">
        <v>29</v>
      </c>
      <c r="AR6" s="1">
        <v>28</v>
      </c>
      <c r="AS6" s="1">
        <v>18</v>
      </c>
      <c r="AT6" s="1">
        <v>25</v>
      </c>
      <c r="AU6" s="1">
        <v>10</v>
      </c>
      <c r="AV6" s="1" t="s">
        <v>255</v>
      </c>
    </row>
    <row r="7" spans="1:48" x14ac:dyDescent="0.25">
      <c r="A7" s="1">
        <v>1610612739</v>
      </c>
      <c r="B7" s="1" t="s">
        <v>256</v>
      </c>
      <c r="C7" s="1">
        <v>3</v>
      </c>
      <c r="D7" s="1">
        <v>1</v>
      </c>
      <c r="E7" s="1">
        <v>2</v>
      </c>
      <c r="F7" s="1">
        <v>0.33300000000000002</v>
      </c>
      <c r="G7" s="1">
        <v>144</v>
      </c>
      <c r="H7" s="1">
        <v>99.8</v>
      </c>
      <c r="I7" s="1">
        <v>100</v>
      </c>
      <c r="J7" s="1">
        <v>103.7</v>
      </c>
      <c r="K7" s="1">
        <v>105.2</v>
      </c>
      <c r="L7" s="1">
        <v>-3.9</v>
      </c>
      <c r="M7" s="1">
        <v>-5.2</v>
      </c>
      <c r="N7" s="1">
        <v>0.52500000000000002</v>
      </c>
      <c r="O7" s="1">
        <v>1.32</v>
      </c>
      <c r="P7" s="1">
        <v>15.2</v>
      </c>
      <c r="Q7" s="1">
        <v>0.25</v>
      </c>
      <c r="R7" s="1">
        <v>0.79600000000000004</v>
      </c>
      <c r="S7" s="1">
        <v>0.51600000000000001</v>
      </c>
      <c r="T7" s="1">
        <v>0.153</v>
      </c>
      <c r="U7" s="1">
        <v>0.5</v>
      </c>
      <c r="V7" s="1">
        <v>0.52500000000000002</v>
      </c>
      <c r="W7" s="1">
        <v>103</v>
      </c>
      <c r="X7" s="1">
        <v>102.17</v>
      </c>
      <c r="Y7" s="1">
        <v>85.14</v>
      </c>
      <c r="Z7" s="1">
        <v>307</v>
      </c>
      <c r="AA7" s="1">
        <v>0.46100000000000002</v>
      </c>
      <c r="AB7" s="1">
        <v>19</v>
      </c>
      <c r="AC7" s="1">
        <v>18</v>
      </c>
      <c r="AD7" s="1">
        <v>14</v>
      </c>
      <c r="AE7" s="1">
        <v>18</v>
      </c>
      <c r="AF7" s="1">
        <v>22</v>
      </c>
      <c r="AG7" s="1">
        <v>26</v>
      </c>
      <c r="AH7" s="1">
        <v>15</v>
      </c>
      <c r="AI7" s="1">
        <v>22</v>
      </c>
      <c r="AJ7" s="1">
        <v>26</v>
      </c>
      <c r="AK7" s="1">
        <v>19</v>
      </c>
      <c r="AL7" s="1">
        <v>22</v>
      </c>
      <c r="AM7" s="1">
        <v>21</v>
      </c>
      <c r="AN7" s="1">
        <v>1</v>
      </c>
      <c r="AO7" s="1">
        <v>10</v>
      </c>
      <c r="AP7" s="1">
        <v>17</v>
      </c>
      <c r="AQ7" s="1">
        <v>19</v>
      </c>
      <c r="AR7" s="1">
        <v>21</v>
      </c>
      <c r="AS7" s="1">
        <v>23</v>
      </c>
      <c r="AT7" s="1">
        <v>23</v>
      </c>
      <c r="AU7" s="1">
        <v>10</v>
      </c>
      <c r="AV7" s="1" t="s">
        <v>256</v>
      </c>
    </row>
    <row r="8" spans="1:48" x14ac:dyDescent="0.25">
      <c r="A8" s="1">
        <v>1610612742</v>
      </c>
      <c r="B8" s="1" t="s">
        <v>257</v>
      </c>
      <c r="C8" s="1">
        <v>4</v>
      </c>
      <c r="D8" s="1">
        <v>3</v>
      </c>
      <c r="E8" s="1">
        <v>1</v>
      </c>
      <c r="F8" s="1">
        <v>0.75</v>
      </c>
      <c r="G8" s="1">
        <v>192</v>
      </c>
      <c r="H8" s="1">
        <v>110.7</v>
      </c>
      <c r="I8" s="1">
        <v>112.2</v>
      </c>
      <c r="J8" s="1">
        <v>106.8</v>
      </c>
      <c r="K8" s="1">
        <v>108.6</v>
      </c>
      <c r="L8" s="1">
        <v>3.9</v>
      </c>
      <c r="M8" s="1">
        <v>3.6</v>
      </c>
      <c r="N8" s="1">
        <v>0.60799999999999998</v>
      </c>
      <c r="O8" s="1">
        <v>1.85</v>
      </c>
      <c r="P8" s="1">
        <v>17.3</v>
      </c>
      <c r="Q8" s="1">
        <v>0.246</v>
      </c>
      <c r="R8" s="1">
        <v>0.72199999999999998</v>
      </c>
      <c r="S8" s="1">
        <v>0.48299999999999998</v>
      </c>
      <c r="T8" s="1">
        <v>0.127</v>
      </c>
      <c r="U8" s="1">
        <v>0.52900000000000003</v>
      </c>
      <c r="V8" s="1">
        <v>0.57199999999999995</v>
      </c>
      <c r="W8" s="1">
        <v>103.7</v>
      </c>
      <c r="X8" s="1">
        <v>102.13</v>
      </c>
      <c r="Y8" s="1">
        <v>85.1</v>
      </c>
      <c r="Z8" s="1">
        <v>409</v>
      </c>
      <c r="AA8" s="1">
        <v>0.53200000000000003</v>
      </c>
      <c r="AB8" s="1">
        <v>1</v>
      </c>
      <c r="AC8" s="1">
        <v>1</v>
      </c>
      <c r="AD8" s="1">
        <v>4</v>
      </c>
      <c r="AE8" s="1">
        <v>4</v>
      </c>
      <c r="AF8" s="1">
        <v>7</v>
      </c>
      <c r="AG8" s="1">
        <v>3</v>
      </c>
      <c r="AH8" s="1">
        <v>23</v>
      </c>
      <c r="AI8" s="1">
        <v>12</v>
      </c>
      <c r="AJ8" s="1">
        <v>11</v>
      </c>
      <c r="AK8" s="1">
        <v>4</v>
      </c>
      <c r="AL8" s="1">
        <v>10</v>
      </c>
      <c r="AM8" s="1">
        <v>25</v>
      </c>
      <c r="AN8" s="1">
        <v>21</v>
      </c>
      <c r="AO8" s="1">
        <v>21</v>
      </c>
      <c r="AP8" s="1">
        <v>5</v>
      </c>
      <c r="AQ8" s="1">
        <v>7</v>
      </c>
      <c r="AR8" s="1">
        <v>7</v>
      </c>
      <c r="AS8" s="1">
        <v>24</v>
      </c>
      <c r="AT8" s="1">
        <v>11</v>
      </c>
      <c r="AU8" s="1">
        <v>10</v>
      </c>
      <c r="AV8" s="1" t="s">
        <v>257</v>
      </c>
    </row>
    <row r="9" spans="1:48" x14ac:dyDescent="0.25">
      <c r="A9" s="1">
        <v>1610612743</v>
      </c>
      <c r="B9" s="1" t="s">
        <v>258</v>
      </c>
      <c r="C9" s="1">
        <v>4</v>
      </c>
      <c r="D9" s="1">
        <v>3</v>
      </c>
      <c r="E9" s="1">
        <v>1</v>
      </c>
      <c r="F9" s="1">
        <v>0.75</v>
      </c>
      <c r="G9" s="1">
        <v>197</v>
      </c>
      <c r="H9" s="1">
        <v>103.3</v>
      </c>
      <c r="I9" s="1">
        <v>106.5</v>
      </c>
      <c r="J9" s="1">
        <v>102</v>
      </c>
      <c r="K9" s="1">
        <v>104.3</v>
      </c>
      <c r="L9" s="1">
        <v>1.2</v>
      </c>
      <c r="M9" s="1">
        <v>2.2000000000000002</v>
      </c>
      <c r="N9" s="1">
        <v>0.59099999999999997</v>
      </c>
      <c r="O9" s="1">
        <v>1.54</v>
      </c>
      <c r="P9" s="1">
        <v>15.9</v>
      </c>
      <c r="Q9" s="1">
        <v>0.33</v>
      </c>
      <c r="R9" s="1">
        <v>0.72</v>
      </c>
      <c r="S9" s="1">
        <v>0.52100000000000002</v>
      </c>
      <c r="T9" s="1">
        <v>0.14399999999999999</v>
      </c>
      <c r="U9" s="1">
        <v>0.47499999999999998</v>
      </c>
      <c r="V9" s="1">
        <v>0.52300000000000002</v>
      </c>
      <c r="W9" s="1">
        <v>98.9</v>
      </c>
      <c r="X9" s="1">
        <v>96.24</v>
      </c>
      <c r="Y9" s="1">
        <v>80.2</v>
      </c>
      <c r="Z9" s="1">
        <v>397</v>
      </c>
      <c r="AA9" s="1">
        <v>0.51</v>
      </c>
      <c r="AB9" s="1">
        <v>1</v>
      </c>
      <c r="AC9" s="1">
        <v>1</v>
      </c>
      <c r="AD9" s="1">
        <v>4</v>
      </c>
      <c r="AE9" s="1">
        <v>4</v>
      </c>
      <c r="AF9" s="1">
        <v>1</v>
      </c>
      <c r="AG9" s="1">
        <v>13</v>
      </c>
      <c r="AH9" s="1">
        <v>13</v>
      </c>
      <c r="AI9" s="1">
        <v>13</v>
      </c>
      <c r="AJ9" s="1">
        <v>15</v>
      </c>
      <c r="AK9" s="1">
        <v>14</v>
      </c>
      <c r="AL9" s="1">
        <v>20</v>
      </c>
      <c r="AM9" s="1">
        <v>2</v>
      </c>
      <c r="AN9" s="1">
        <v>22</v>
      </c>
      <c r="AO9" s="1">
        <v>9</v>
      </c>
      <c r="AP9" s="1">
        <v>9</v>
      </c>
      <c r="AQ9" s="1">
        <v>24</v>
      </c>
      <c r="AR9" s="1">
        <v>24</v>
      </c>
      <c r="AS9" s="1">
        <v>30</v>
      </c>
      <c r="AT9" s="1">
        <v>15</v>
      </c>
      <c r="AU9" s="1">
        <v>10</v>
      </c>
      <c r="AV9" s="1" t="s">
        <v>258</v>
      </c>
    </row>
    <row r="10" spans="1:48" x14ac:dyDescent="0.25">
      <c r="A10" s="1">
        <v>1610612765</v>
      </c>
      <c r="B10" s="1" t="s">
        <v>259</v>
      </c>
      <c r="C10" s="1">
        <v>4</v>
      </c>
      <c r="D10" s="1">
        <v>2</v>
      </c>
      <c r="E10" s="1">
        <v>2</v>
      </c>
      <c r="F10" s="1">
        <v>0.5</v>
      </c>
      <c r="G10" s="1">
        <v>192</v>
      </c>
      <c r="H10" s="1">
        <v>104.8</v>
      </c>
      <c r="I10" s="1">
        <v>105.7</v>
      </c>
      <c r="J10" s="1">
        <v>105.4</v>
      </c>
      <c r="K10" s="1">
        <v>107.6</v>
      </c>
      <c r="L10" s="1">
        <v>-0.5</v>
      </c>
      <c r="M10" s="1">
        <v>-1.9</v>
      </c>
      <c r="N10" s="1">
        <v>0.56499999999999995</v>
      </c>
      <c r="O10" s="1">
        <v>1.1599999999999999</v>
      </c>
      <c r="P10" s="1">
        <v>16.3</v>
      </c>
      <c r="Q10" s="1">
        <v>0.24</v>
      </c>
      <c r="R10" s="1">
        <v>0.72399999999999998</v>
      </c>
      <c r="S10" s="1">
        <v>0.495</v>
      </c>
      <c r="T10" s="1">
        <v>0.186</v>
      </c>
      <c r="U10" s="1">
        <v>0.54700000000000004</v>
      </c>
      <c r="V10" s="1">
        <v>0.58399999999999996</v>
      </c>
      <c r="W10" s="1">
        <v>102.8</v>
      </c>
      <c r="X10" s="1">
        <v>101.25</v>
      </c>
      <c r="Y10" s="1">
        <v>84.37</v>
      </c>
      <c r="Z10" s="1">
        <v>403</v>
      </c>
      <c r="AA10" s="1">
        <v>0.47499999999999998</v>
      </c>
      <c r="AB10" s="1">
        <v>1</v>
      </c>
      <c r="AC10" s="1">
        <v>11</v>
      </c>
      <c r="AD10" s="1">
        <v>14</v>
      </c>
      <c r="AE10" s="1">
        <v>14</v>
      </c>
      <c r="AF10" s="1">
        <v>7</v>
      </c>
      <c r="AG10" s="1">
        <v>15</v>
      </c>
      <c r="AH10" s="1">
        <v>20</v>
      </c>
      <c r="AI10" s="1">
        <v>21</v>
      </c>
      <c r="AJ10" s="1">
        <v>22</v>
      </c>
      <c r="AK10" s="1">
        <v>22</v>
      </c>
      <c r="AL10" s="1">
        <v>16</v>
      </c>
      <c r="AM10" s="1">
        <v>26</v>
      </c>
      <c r="AN10" s="1">
        <v>20</v>
      </c>
      <c r="AO10" s="1">
        <v>18</v>
      </c>
      <c r="AP10" s="1">
        <v>24</v>
      </c>
      <c r="AQ10" s="1">
        <v>3</v>
      </c>
      <c r="AR10" s="1">
        <v>3</v>
      </c>
      <c r="AS10" s="1">
        <v>26</v>
      </c>
      <c r="AT10" s="1">
        <v>21</v>
      </c>
      <c r="AU10" s="1">
        <v>10</v>
      </c>
      <c r="AV10" s="1" t="s">
        <v>259</v>
      </c>
    </row>
    <row r="11" spans="1:48" x14ac:dyDescent="0.25">
      <c r="A11" s="1">
        <v>1610612744</v>
      </c>
      <c r="B11" s="1" t="s">
        <v>260</v>
      </c>
      <c r="C11" s="1">
        <v>3</v>
      </c>
      <c r="D11" s="1">
        <v>1</v>
      </c>
      <c r="E11" s="1">
        <v>2</v>
      </c>
      <c r="F11" s="1">
        <v>0.33300000000000002</v>
      </c>
      <c r="G11" s="1">
        <v>144</v>
      </c>
      <c r="H11" s="1">
        <v>104.7</v>
      </c>
      <c r="I11" s="1">
        <v>108.1</v>
      </c>
      <c r="J11" s="1">
        <v>116.2</v>
      </c>
      <c r="K11" s="1">
        <v>120</v>
      </c>
      <c r="L11" s="1">
        <v>-11.5</v>
      </c>
      <c r="M11" s="1">
        <v>-11.9</v>
      </c>
      <c r="N11" s="1">
        <v>0.67500000000000004</v>
      </c>
      <c r="O11" s="1">
        <v>1.76</v>
      </c>
      <c r="P11" s="1">
        <v>17.3</v>
      </c>
      <c r="Q11" s="1">
        <v>0.35699999999999998</v>
      </c>
      <c r="R11" s="1">
        <v>0.75800000000000001</v>
      </c>
      <c r="S11" s="1">
        <v>0.52500000000000002</v>
      </c>
      <c r="T11" s="1">
        <v>0.14299999999999999</v>
      </c>
      <c r="U11" s="1">
        <v>0.46400000000000002</v>
      </c>
      <c r="V11" s="1">
        <v>0.52300000000000002</v>
      </c>
      <c r="W11" s="1">
        <v>110.5</v>
      </c>
      <c r="X11" s="1">
        <v>107</v>
      </c>
      <c r="Y11" s="1">
        <v>89.17</v>
      </c>
      <c r="Z11" s="1">
        <v>322</v>
      </c>
      <c r="AA11" s="1">
        <v>0.443</v>
      </c>
      <c r="AB11" s="1">
        <v>19</v>
      </c>
      <c r="AC11" s="1">
        <v>18</v>
      </c>
      <c r="AD11" s="1">
        <v>14</v>
      </c>
      <c r="AE11" s="1">
        <v>18</v>
      </c>
      <c r="AF11" s="1">
        <v>22</v>
      </c>
      <c r="AG11" s="1">
        <v>9</v>
      </c>
      <c r="AH11" s="1">
        <v>30</v>
      </c>
      <c r="AI11" s="1">
        <v>27</v>
      </c>
      <c r="AJ11" s="1">
        <v>3</v>
      </c>
      <c r="AK11" s="1">
        <v>6</v>
      </c>
      <c r="AL11" s="1">
        <v>9</v>
      </c>
      <c r="AM11" s="1">
        <v>1</v>
      </c>
      <c r="AN11" s="1">
        <v>9</v>
      </c>
      <c r="AO11" s="1">
        <v>8</v>
      </c>
      <c r="AP11" s="1">
        <v>8</v>
      </c>
      <c r="AQ11" s="1">
        <v>25</v>
      </c>
      <c r="AR11" s="1">
        <v>22</v>
      </c>
      <c r="AS11" s="1">
        <v>6</v>
      </c>
      <c r="AT11" s="1">
        <v>26</v>
      </c>
      <c r="AU11" s="1">
        <v>10</v>
      </c>
      <c r="AV11" s="1" t="s">
        <v>260</v>
      </c>
    </row>
    <row r="12" spans="1:48" x14ac:dyDescent="0.25">
      <c r="A12" s="1">
        <v>1610612745</v>
      </c>
      <c r="B12" s="1" t="s">
        <v>261</v>
      </c>
      <c r="C12" s="1">
        <v>3</v>
      </c>
      <c r="D12" s="1">
        <v>2</v>
      </c>
      <c r="E12" s="1">
        <v>1</v>
      </c>
      <c r="F12" s="1">
        <v>0.66700000000000004</v>
      </c>
      <c r="G12" s="1">
        <v>144</v>
      </c>
      <c r="H12" s="1">
        <v>104.5</v>
      </c>
      <c r="I12" s="1">
        <v>109.3</v>
      </c>
      <c r="J12" s="1">
        <v>106.5</v>
      </c>
      <c r="K12" s="1">
        <v>109</v>
      </c>
      <c r="L12" s="1">
        <v>-2</v>
      </c>
      <c r="M12" s="1">
        <v>0.3</v>
      </c>
      <c r="N12" s="1">
        <v>0.63500000000000001</v>
      </c>
      <c r="O12" s="1">
        <v>1.55</v>
      </c>
      <c r="P12" s="1">
        <v>16.7</v>
      </c>
      <c r="Q12" s="1">
        <v>0.253</v>
      </c>
      <c r="R12" s="1">
        <v>0.746</v>
      </c>
      <c r="S12" s="1">
        <v>0.499</v>
      </c>
      <c r="T12" s="1">
        <v>0.14599999999999999</v>
      </c>
      <c r="U12" s="1">
        <v>0.49099999999999999</v>
      </c>
      <c r="V12" s="1">
        <v>0.55300000000000005</v>
      </c>
      <c r="W12" s="1">
        <v>111.4</v>
      </c>
      <c r="X12" s="1">
        <v>107.67</v>
      </c>
      <c r="Y12" s="1">
        <v>89.72</v>
      </c>
      <c r="Z12" s="1">
        <v>323</v>
      </c>
      <c r="AA12" s="1">
        <v>0.498</v>
      </c>
      <c r="AB12" s="1">
        <v>19</v>
      </c>
      <c r="AC12" s="1">
        <v>11</v>
      </c>
      <c r="AD12" s="1">
        <v>4</v>
      </c>
      <c r="AE12" s="1">
        <v>11</v>
      </c>
      <c r="AF12" s="1">
        <v>22</v>
      </c>
      <c r="AG12" s="1">
        <v>7</v>
      </c>
      <c r="AH12" s="1">
        <v>24</v>
      </c>
      <c r="AI12" s="1">
        <v>19</v>
      </c>
      <c r="AJ12" s="1">
        <v>5</v>
      </c>
      <c r="AK12" s="1">
        <v>13</v>
      </c>
      <c r="AL12" s="1">
        <v>15</v>
      </c>
      <c r="AM12" s="1">
        <v>20</v>
      </c>
      <c r="AN12" s="1">
        <v>13</v>
      </c>
      <c r="AO12" s="1">
        <v>15</v>
      </c>
      <c r="AP12" s="1">
        <v>10</v>
      </c>
      <c r="AQ12" s="1">
        <v>22</v>
      </c>
      <c r="AR12" s="1">
        <v>16</v>
      </c>
      <c r="AS12" s="1">
        <v>4</v>
      </c>
      <c r="AT12" s="1">
        <v>16</v>
      </c>
      <c r="AU12" s="1">
        <v>10</v>
      </c>
      <c r="AV12" s="1" t="s">
        <v>261</v>
      </c>
    </row>
    <row r="13" spans="1:48" x14ac:dyDescent="0.25">
      <c r="A13" s="1">
        <v>1610612754</v>
      </c>
      <c r="B13" s="1" t="s">
        <v>262</v>
      </c>
      <c r="C13" s="1">
        <v>3</v>
      </c>
      <c r="D13" s="1">
        <v>0</v>
      </c>
      <c r="E13" s="1">
        <v>3</v>
      </c>
      <c r="F13" s="1">
        <v>0</v>
      </c>
      <c r="G13" s="1">
        <v>144</v>
      </c>
      <c r="H13" s="1">
        <v>100</v>
      </c>
      <c r="I13" s="1">
        <v>101.7</v>
      </c>
      <c r="J13" s="1">
        <v>109.5</v>
      </c>
      <c r="K13" s="1">
        <v>109.1</v>
      </c>
      <c r="L13" s="1">
        <v>-9.5</v>
      </c>
      <c r="M13" s="1">
        <v>-7.4</v>
      </c>
      <c r="N13" s="1">
        <v>0.61299999999999999</v>
      </c>
      <c r="O13" s="1">
        <v>1.83</v>
      </c>
      <c r="P13" s="1">
        <v>17.8</v>
      </c>
      <c r="Q13" s="1">
        <v>0.25600000000000001</v>
      </c>
      <c r="R13" s="1">
        <v>0.71799999999999997</v>
      </c>
      <c r="S13" s="1">
        <v>0.46700000000000003</v>
      </c>
      <c r="T13" s="1">
        <v>0.13400000000000001</v>
      </c>
      <c r="U13" s="1">
        <v>0.48499999999999999</v>
      </c>
      <c r="V13" s="1">
        <v>0.51900000000000002</v>
      </c>
      <c r="W13" s="1">
        <v>99.9</v>
      </c>
      <c r="X13" s="1">
        <v>99.33</v>
      </c>
      <c r="Y13" s="1">
        <v>82.78</v>
      </c>
      <c r="Z13" s="1">
        <v>298</v>
      </c>
      <c r="AA13" s="1">
        <v>0.45700000000000002</v>
      </c>
      <c r="AB13" s="1">
        <v>19</v>
      </c>
      <c r="AC13" s="1">
        <v>28</v>
      </c>
      <c r="AD13" s="1">
        <v>23</v>
      </c>
      <c r="AE13" s="1">
        <v>28</v>
      </c>
      <c r="AF13" s="1">
        <v>22</v>
      </c>
      <c r="AG13" s="1">
        <v>22</v>
      </c>
      <c r="AH13" s="1">
        <v>25</v>
      </c>
      <c r="AI13" s="1">
        <v>26</v>
      </c>
      <c r="AJ13" s="1">
        <v>10</v>
      </c>
      <c r="AK13" s="1">
        <v>5</v>
      </c>
      <c r="AL13" s="1">
        <v>7</v>
      </c>
      <c r="AM13" s="1">
        <v>19</v>
      </c>
      <c r="AN13" s="1">
        <v>23</v>
      </c>
      <c r="AO13" s="1">
        <v>27</v>
      </c>
      <c r="AP13" s="1">
        <v>6</v>
      </c>
      <c r="AQ13" s="1">
        <v>23</v>
      </c>
      <c r="AR13" s="1">
        <v>25</v>
      </c>
      <c r="AS13" s="1">
        <v>29</v>
      </c>
      <c r="AT13" s="1">
        <v>24</v>
      </c>
      <c r="AU13" s="1">
        <v>10</v>
      </c>
      <c r="AV13" s="1" t="s">
        <v>262</v>
      </c>
    </row>
    <row r="14" spans="1:48" x14ac:dyDescent="0.25">
      <c r="A14" s="1">
        <v>1610612746</v>
      </c>
      <c r="B14" s="1" t="s">
        <v>263</v>
      </c>
      <c r="C14" s="1">
        <v>4</v>
      </c>
      <c r="D14" s="1">
        <v>3</v>
      </c>
      <c r="E14" s="1">
        <v>1</v>
      </c>
      <c r="F14" s="1">
        <v>0.75</v>
      </c>
      <c r="G14" s="1">
        <v>192</v>
      </c>
      <c r="H14" s="1">
        <v>116.8</v>
      </c>
      <c r="I14" s="1">
        <v>119.1</v>
      </c>
      <c r="J14" s="1">
        <v>107</v>
      </c>
      <c r="K14" s="1">
        <v>109.5</v>
      </c>
      <c r="L14" s="1">
        <v>9.8000000000000007</v>
      </c>
      <c r="M14" s="1">
        <v>9.6</v>
      </c>
      <c r="N14" s="1">
        <v>0.58099999999999996</v>
      </c>
      <c r="O14" s="1">
        <v>1.47</v>
      </c>
      <c r="P14" s="1">
        <v>18.100000000000001</v>
      </c>
      <c r="Q14" s="1">
        <v>0.249</v>
      </c>
      <c r="R14" s="1">
        <v>0.70499999999999996</v>
      </c>
      <c r="S14" s="1">
        <v>0.497</v>
      </c>
      <c r="T14" s="1">
        <v>0.16700000000000001</v>
      </c>
      <c r="U14" s="1">
        <v>0.59799999999999998</v>
      </c>
      <c r="V14" s="1">
        <v>0.63800000000000001</v>
      </c>
      <c r="W14" s="1">
        <v>104.6</v>
      </c>
      <c r="X14" s="1">
        <v>102.38</v>
      </c>
      <c r="Y14" s="1">
        <v>85.31</v>
      </c>
      <c r="Z14" s="1">
        <v>408</v>
      </c>
      <c r="AA14" s="1">
        <v>0.55000000000000004</v>
      </c>
      <c r="AB14" s="1">
        <v>1</v>
      </c>
      <c r="AC14" s="1">
        <v>1</v>
      </c>
      <c r="AD14" s="1">
        <v>4</v>
      </c>
      <c r="AE14" s="1">
        <v>4</v>
      </c>
      <c r="AF14" s="1">
        <v>7</v>
      </c>
      <c r="AG14" s="1">
        <v>1</v>
      </c>
      <c r="AH14" s="1">
        <v>26</v>
      </c>
      <c r="AI14" s="1">
        <v>2</v>
      </c>
      <c r="AJ14" s="1">
        <v>18</v>
      </c>
      <c r="AK14" s="1">
        <v>16</v>
      </c>
      <c r="AL14" s="1">
        <v>4</v>
      </c>
      <c r="AM14" s="1">
        <v>24</v>
      </c>
      <c r="AN14" s="1">
        <v>24</v>
      </c>
      <c r="AO14" s="1">
        <v>16</v>
      </c>
      <c r="AP14" s="1">
        <v>18</v>
      </c>
      <c r="AQ14" s="1">
        <v>1</v>
      </c>
      <c r="AR14" s="1">
        <v>1</v>
      </c>
      <c r="AS14" s="1">
        <v>21</v>
      </c>
      <c r="AT14" s="1">
        <v>7</v>
      </c>
      <c r="AU14" s="1">
        <v>10</v>
      </c>
      <c r="AV14" s="1" t="s">
        <v>263</v>
      </c>
    </row>
    <row r="15" spans="1:48" x14ac:dyDescent="0.25">
      <c r="A15" s="1">
        <v>1610612747</v>
      </c>
      <c r="B15" s="1" t="s">
        <v>264</v>
      </c>
      <c r="C15" s="1">
        <v>4</v>
      </c>
      <c r="D15" s="1">
        <v>3</v>
      </c>
      <c r="E15" s="1">
        <v>1</v>
      </c>
      <c r="F15" s="1">
        <v>0.75</v>
      </c>
      <c r="G15" s="1">
        <v>192</v>
      </c>
      <c r="H15" s="1">
        <v>105.5</v>
      </c>
      <c r="I15" s="1">
        <v>107.9</v>
      </c>
      <c r="J15" s="1">
        <v>94.9</v>
      </c>
      <c r="K15" s="1">
        <v>96.8</v>
      </c>
      <c r="L15" s="1">
        <v>10.6</v>
      </c>
      <c r="M15" s="1">
        <v>11.1</v>
      </c>
      <c r="N15" s="1">
        <v>0.58799999999999997</v>
      </c>
      <c r="O15" s="1">
        <v>1.54</v>
      </c>
      <c r="P15" s="1">
        <v>16.899999999999999</v>
      </c>
      <c r="Q15" s="1">
        <v>0.28399999999999997</v>
      </c>
      <c r="R15" s="1">
        <v>0.73799999999999999</v>
      </c>
      <c r="S15" s="1">
        <v>0.51400000000000001</v>
      </c>
      <c r="T15" s="1">
        <v>0.151</v>
      </c>
      <c r="U15" s="1">
        <v>0.51300000000000001</v>
      </c>
      <c r="V15" s="1">
        <v>0.55600000000000005</v>
      </c>
      <c r="W15" s="1">
        <v>103.1</v>
      </c>
      <c r="X15" s="1">
        <v>101</v>
      </c>
      <c r="Y15" s="1">
        <v>84.17</v>
      </c>
      <c r="Z15" s="1">
        <v>405</v>
      </c>
      <c r="AA15" s="1">
        <v>0.57599999999999996</v>
      </c>
      <c r="AB15" s="1">
        <v>1</v>
      </c>
      <c r="AC15" s="1">
        <v>1</v>
      </c>
      <c r="AD15" s="1">
        <v>4</v>
      </c>
      <c r="AE15" s="1">
        <v>4</v>
      </c>
      <c r="AF15" s="1">
        <v>7</v>
      </c>
      <c r="AG15" s="1">
        <v>10</v>
      </c>
      <c r="AH15" s="1">
        <v>4</v>
      </c>
      <c r="AI15" s="1">
        <v>1</v>
      </c>
      <c r="AJ15" s="1">
        <v>17</v>
      </c>
      <c r="AK15" s="1">
        <v>15</v>
      </c>
      <c r="AL15" s="1">
        <v>13</v>
      </c>
      <c r="AM15" s="1">
        <v>9</v>
      </c>
      <c r="AN15" s="1">
        <v>17</v>
      </c>
      <c r="AO15" s="1">
        <v>12</v>
      </c>
      <c r="AP15" s="1">
        <v>15</v>
      </c>
      <c r="AQ15" s="1">
        <v>15</v>
      </c>
      <c r="AR15" s="1">
        <v>14</v>
      </c>
      <c r="AS15" s="1">
        <v>27</v>
      </c>
      <c r="AT15" s="1">
        <v>1</v>
      </c>
      <c r="AU15" s="1">
        <v>10</v>
      </c>
      <c r="AV15" s="1" t="s">
        <v>264</v>
      </c>
    </row>
    <row r="16" spans="1:48" x14ac:dyDescent="0.25">
      <c r="A16" s="1">
        <v>1610612763</v>
      </c>
      <c r="B16" s="1" t="s">
        <v>265</v>
      </c>
      <c r="C16" s="1">
        <v>4</v>
      </c>
      <c r="D16" s="1">
        <v>1</v>
      </c>
      <c r="E16" s="1">
        <v>3</v>
      </c>
      <c r="F16" s="1">
        <v>0.25</v>
      </c>
      <c r="G16" s="1">
        <v>197</v>
      </c>
      <c r="H16" s="1">
        <v>94.2</v>
      </c>
      <c r="I16" s="1">
        <v>95.7</v>
      </c>
      <c r="J16" s="1">
        <v>106.1</v>
      </c>
      <c r="K16" s="1">
        <v>108.1</v>
      </c>
      <c r="L16" s="1">
        <v>-11.9</v>
      </c>
      <c r="M16" s="1">
        <v>-12.3</v>
      </c>
      <c r="N16" s="1">
        <v>0.627</v>
      </c>
      <c r="O16" s="1">
        <v>1.32</v>
      </c>
      <c r="P16" s="1">
        <v>16.3</v>
      </c>
      <c r="Q16" s="1">
        <v>0.26500000000000001</v>
      </c>
      <c r="R16" s="1">
        <v>0.72399999999999998</v>
      </c>
      <c r="S16" s="1">
        <v>0.48399999999999999</v>
      </c>
      <c r="T16" s="1">
        <v>0.16800000000000001</v>
      </c>
      <c r="U16" s="1">
        <v>0.46200000000000002</v>
      </c>
      <c r="V16" s="1">
        <v>0.505</v>
      </c>
      <c r="W16" s="1">
        <v>110.8</v>
      </c>
      <c r="X16" s="1">
        <v>108.91</v>
      </c>
      <c r="Y16" s="1">
        <v>90.76</v>
      </c>
      <c r="Z16" s="1">
        <v>447</v>
      </c>
      <c r="AA16" s="1">
        <v>0.432</v>
      </c>
      <c r="AB16" s="1">
        <v>1</v>
      </c>
      <c r="AC16" s="1">
        <v>18</v>
      </c>
      <c r="AD16" s="1">
        <v>23</v>
      </c>
      <c r="AE16" s="1">
        <v>23</v>
      </c>
      <c r="AF16" s="1">
        <v>1</v>
      </c>
      <c r="AG16" s="1">
        <v>28</v>
      </c>
      <c r="AH16" s="1">
        <v>22</v>
      </c>
      <c r="AI16" s="1">
        <v>28</v>
      </c>
      <c r="AJ16" s="1">
        <v>8</v>
      </c>
      <c r="AK16" s="1">
        <v>18</v>
      </c>
      <c r="AL16" s="1">
        <v>17</v>
      </c>
      <c r="AM16" s="1">
        <v>15</v>
      </c>
      <c r="AN16" s="1">
        <v>19</v>
      </c>
      <c r="AO16" s="1">
        <v>20</v>
      </c>
      <c r="AP16" s="1">
        <v>19</v>
      </c>
      <c r="AQ16" s="1">
        <v>26</v>
      </c>
      <c r="AR16" s="1">
        <v>26</v>
      </c>
      <c r="AS16" s="1">
        <v>1</v>
      </c>
      <c r="AT16" s="1">
        <v>28</v>
      </c>
      <c r="AU16" s="1">
        <v>10</v>
      </c>
      <c r="AV16" s="1" t="s">
        <v>265</v>
      </c>
    </row>
    <row r="17" spans="1:48" x14ac:dyDescent="0.25">
      <c r="A17" s="1">
        <v>1610612748</v>
      </c>
      <c r="B17" s="1" t="s">
        <v>266</v>
      </c>
      <c r="C17" s="1">
        <v>4</v>
      </c>
      <c r="D17" s="1">
        <v>3</v>
      </c>
      <c r="E17" s="1">
        <v>1</v>
      </c>
      <c r="F17" s="1">
        <v>0.75</v>
      </c>
      <c r="G17" s="1">
        <v>197</v>
      </c>
      <c r="H17" s="1">
        <v>103.9</v>
      </c>
      <c r="I17" s="1">
        <v>106.1</v>
      </c>
      <c r="J17" s="1">
        <v>97.4</v>
      </c>
      <c r="K17" s="1">
        <v>99.1</v>
      </c>
      <c r="L17" s="1">
        <v>6.5</v>
      </c>
      <c r="M17" s="1">
        <v>7</v>
      </c>
      <c r="N17" s="1">
        <v>0.59</v>
      </c>
      <c r="O17" s="1">
        <v>1.06</v>
      </c>
      <c r="P17" s="1">
        <v>15.9</v>
      </c>
      <c r="Q17" s="1">
        <v>0.29099999999999998</v>
      </c>
      <c r="R17" s="1">
        <v>0.77200000000000002</v>
      </c>
      <c r="S17" s="1">
        <v>0.54300000000000004</v>
      </c>
      <c r="T17" s="1">
        <v>0.20200000000000001</v>
      </c>
      <c r="U17" s="1">
        <v>0.54200000000000004</v>
      </c>
      <c r="V17" s="1">
        <v>0.58499999999999996</v>
      </c>
      <c r="W17" s="1">
        <v>110.4</v>
      </c>
      <c r="X17" s="1">
        <v>108.3</v>
      </c>
      <c r="Y17" s="1">
        <v>90.25</v>
      </c>
      <c r="Z17" s="1">
        <v>445</v>
      </c>
      <c r="AA17" s="1">
        <v>0.54500000000000004</v>
      </c>
      <c r="AB17" s="1">
        <v>1</v>
      </c>
      <c r="AC17" s="1">
        <v>1</v>
      </c>
      <c r="AD17" s="1">
        <v>4</v>
      </c>
      <c r="AE17" s="1">
        <v>4</v>
      </c>
      <c r="AF17" s="1">
        <v>1</v>
      </c>
      <c r="AG17" s="1">
        <v>14</v>
      </c>
      <c r="AH17" s="1">
        <v>7</v>
      </c>
      <c r="AI17" s="1">
        <v>7</v>
      </c>
      <c r="AJ17" s="1">
        <v>16</v>
      </c>
      <c r="AK17" s="1">
        <v>26</v>
      </c>
      <c r="AL17" s="1">
        <v>18</v>
      </c>
      <c r="AM17" s="1">
        <v>7</v>
      </c>
      <c r="AN17" s="1">
        <v>5</v>
      </c>
      <c r="AO17" s="1">
        <v>2</v>
      </c>
      <c r="AP17" s="1">
        <v>30</v>
      </c>
      <c r="AQ17" s="1">
        <v>5</v>
      </c>
      <c r="AR17" s="1">
        <v>2</v>
      </c>
      <c r="AS17" s="1">
        <v>3</v>
      </c>
      <c r="AT17" s="1">
        <v>8</v>
      </c>
      <c r="AU17" s="1">
        <v>10</v>
      </c>
      <c r="AV17" s="1" t="s">
        <v>266</v>
      </c>
    </row>
    <row r="18" spans="1:48" x14ac:dyDescent="0.25">
      <c r="A18" s="1">
        <v>1610612749</v>
      </c>
      <c r="B18" s="1" t="s">
        <v>267</v>
      </c>
      <c r="C18" s="1">
        <v>3</v>
      </c>
      <c r="D18" s="1">
        <v>2</v>
      </c>
      <c r="E18" s="1">
        <v>1</v>
      </c>
      <c r="F18" s="1">
        <v>0.66700000000000004</v>
      </c>
      <c r="G18" s="1">
        <v>149</v>
      </c>
      <c r="H18" s="1">
        <v>109.1</v>
      </c>
      <c r="I18" s="1">
        <v>110.4</v>
      </c>
      <c r="J18" s="1">
        <v>102.5</v>
      </c>
      <c r="K18" s="1">
        <v>105</v>
      </c>
      <c r="L18" s="1">
        <v>6.6</v>
      </c>
      <c r="M18" s="1">
        <v>5.3</v>
      </c>
      <c r="N18" s="1">
        <v>0.60699999999999998</v>
      </c>
      <c r="O18" s="1">
        <v>2</v>
      </c>
      <c r="P18" s="1">
        <v>18.600000000000001</v>
      </c>
      <c r="Q18" s="1">
        <v>0.153</v>
      </c>
      <c r="R18" s="1">
        <v>0.77500000000000002</v>
      </c>
      <c r="S18" s="1">
        <v>0.48099999999999998</v>
      </c>
      <c r="T18" s="1">
        <v>0.122</v>
      </c>
      <c r="U18" s="1">
        <v>0.56100000000000005</v>
      </c>
      <c r="V18" s="1">
        <v>0.58299999999999996</v>
      </c>
      <c r="W18" s="1">
        <v>110.5</v>
      </c>
      <c r="X18" s="1">
        <v>108.56</v>
      </c>
      <c r="Y18" s="1">
        <v>90.47</v>
      </c>
      <c r="Z18" s="1">
        <v>337</v>
      </c>
      <c r="AA18" s="1">
        <v>0.54400000000000004</v>
      </c>
      <c r="AB18" s="1">
        <v>19</v>
      </c>
      <c r="AC18" s="1">
        <v>11</v>
      </c>
      <c r="AD18" s="1">
        <v>4</v>
      </c>
      <c r="AE18" s="1">
        <v>11</v>
      </c>
      <c r="AF18" s="1">
        <v>20</v>
      </c>
      <c r="AG18" s="1">
        <v>6</v>
      </c>
      <c r="AH18" s="1">
        <v>14</v>
      </c>
      <c r="AI18" s="1">
        <v>9</v>
      </c>
      <c r="AJ18" s="1">
        <v>12</v>
      </c>
      <c r="AK18" s="1">
        <v>1</v>
      </c>
      <c r="AL18" s="1">
        <v>3</v>
      </c>
      <c r="AM18" s="1">
        <v>30</v>
      </c>
      <c r="AN18" s="1">
        <v>4</v>
      </c>
      <c r="AO18" s="1">
        <v>24</v>
      </c>
      <c r="AP18" s="1">
        <v>2</v>
      </c>
      <c r="AQ18" s="1">
        <v>2</v>
      </c>
      <c r="AR18" s="1">
        <v>4</v>
      </c>
      <c r="AS18" s="1">
        <v>2</v>
      </c>
      <c r="AT18" s="1">
        <v>9</v>
      </c>
      <c r="AU18" s="1">
        <v>10</v>
      </c>
      <c r="AV18" s="1" t="s">
        <v>267</v>
      </c>
    </row>
    <row r="19" spans="1:48" x14ac:dyDescent="0.25">
      <c r="A19" s="1">
        <v>1610612750</v>
      </c>
      <c r="B19" s="1" t="s">
        <v>268</v>
      </c>
      <c r="C19" s="1">
        <v>3</v>
      </c>
      <c r="D19" s="1">
        <v>3</v>
      </c>
      <c r="E19" s="1">
        <v>0</v>
      </c>
      <c r="F19" s="1">
        <v>1</v>
      </c>
      <c r="G19" s="1">
        <v>149</v>
      </c>
      <c r="H19" s="1">
        <v>107.9</v>
      </c>
      <c r="I19" s="1">
        <v>111</v>
      </c>
      <c r="J19" s="1">
        <v>100.5</v>
      </c>
      <c r="K19" s="1">
        <v>102.1</v>
      </c>
      <c r="L19" s="1">
        <v>7.4</v>
      </c>
      <c r="M19" s="1">
        <v>8.8000000000000007</v>
      </c>
      <c r="N19" s="1">
        <v>0.60199999999999998</v>
      </c>
      <c r="O19" s="1">
        <v>1.67</v>
      </c>
      <c r="P19" s="1">
        <v>16.8</v>
      </c>
      <c r="Q19" s="1">
        <v>0.308</v>
      </c>
      <c r="R19" s="1">
        <v>0.76100000000000001</v>
      </c>
      <c r="S19" s="1">
        <v>0.52700000000000002</v>
      </c>
      <c r="T19" s="1">
        <v>0.14000000000000001</v>
      </c>
      <c r="U19" s="1">
        <v>0.50700000000000001</v>
      </c>
      <c r="V19" s="1">
        <v>0.55100000000000005</v>
      </c>
      <c r="W19" s="1">
        <v>107.9</v>
      </c>
      <c r="X19" s="1">
        <v>105.5</v>
      </c>
      <c r="Y19" s="1">
        <v>87.92</v>
      </c>
      <c r="Z19" s="1">
        <v>328</v>
      </c>
      <c r="AA19" s="1">
        <v>0.56899999999999995</v>
      </c>
      <c r="AB19" s="1">
        <v>19</v>
      </c>
      <c r="AC19" s="1">
        <v>1</v>
      </c>
      <c r="AD19" s="1">
        <v>1</v>
      </c>
      <c r="AE19" s="1">
        <v>1</v>
      </c>
      <c r="AF19" s="1">
        <v>20</v>
      </c>
      <c r="AG19" s="1">
        <v>4</v>
      </c>
      <c r="AH19" s="1">
        <v>11</v>
      </c>
      <c r="AI19" s="1">
        <v>3</v>
      </c>
      <c r="AJ19" s="1">
        <v>14</v>
      </c>
      <c r="AK19" s="1">
        <v>9</v>
      </c>
      <c r="AL19" s="1">
        <v>14</v>
      </c>
      <c r="AM19" s="1">
        <v>5</v>
      </c>
      <c r="AN19" s="1">
        <v>8</v>
      </c>
      <c r="AO19" s="1">
        <v>5</v>
      </c>
      <c r="AP19" s="1">
        <v>7</v>
      </c>
      <c r="AQ19" s="1">
        <v>17</v>
      </c>
      <c r="AR19" s="1">
        <v>17</v>
      </c>
      <c r="AS19" s="1">
        <v>11</v>
      </c>
      <c r="AT19" s="1">
        <v>4</v>
      </c>
      <c r="AU19" s="1">
        <v>10</v>
      </c>
      <c r="AV19" s="1" t="s">
        <v>268</v>
      </c>
    </row>
    <row r="20" spans="1:48" x14ac:dyDescent="0.25">
      <c r="A20" s="1">
        <v>1610612740</v>
      </c>
      <c r="B20" s="1" t="s">
        <v>269</v>
      </c>
      <c r="C20" s="1">
        <v>4</v>
      </c>
      <c r="D20" s="1">
        <v>0</v>
      </c>
      <c r="E20" s="1">
        <v>4</v>
      </c>
      <c r="F20" s="1">
        <v>0</v>
      </c>
      <c r="G20" s="1">
        <v>197</v>
      </c>
      <c r="H20" s="1">
        <v>107.1</v>
      </c>
      <c r="I20" s="1">
        <v>110.8</v>
      </c>
      <c r="J20" s="1">
        <v>112.8</v>
      </c>
      <c r="K20" s="1">
        <v>116.6</v>
      </c>
      <c r="L20" s="1">
        <v>-5.7</v>
      </c>
      <c r="M20" s="1">
        <v>-5.8</v>
      </c>
      <c r="N20" s="1">
        <v>0.67600000000000005</v>
      </c>
      <c r="O20" s="1">
        <v>1.89</v>
      </c>
      <c r="P20" s="1">
        <v>19.8</v>
      </c>
      <c r="Q20" s="1">
        <v>0.27600000000000002</v>
      </c>
      <c r="R20" s="1">
        <v>0.64800000000000002</v>
      </c>
      <c r="S20" s="1">
        <v>0.46</v>
      </c>
      <c r="T20" s="1">
        <v>0.14899999999999999</v>
      </c>
      <c r="U20" s="1">
        <v>0.53500000000000003</v>
      </c>
      <c r="V20" s="1">
        <v>0.55600000000000005</v>
      </c>
      <c r="W20" s="1">
        <v>110.5</v>
      </c>
      <c r="X20" s="1">
        <v>106.84</v>
      </c>
      <c r="Y20" s="1">
        <v>89.04</v>
      </c>
      <c r="Z20" s="1">
        <v>437</v>
      </c>
      <c r="AA20" s="1">
        <v>0.46500000000000002</v>
      </c>
      <c r="AB20" s="1">
        <v>1</v>
      </c>
      <c r="AC20" s="1">
        <v>28</v>
      </c>
      <c r="AD20" s="1">
        <v>29</v>
      </c>
      <c r="AE20" s="1">
        <v>28</v>
      </c>
      <c r="AF20" s="1">
        <v>1</v>
      </c>
      <c r="AG20" s="1">
        <v>5</v>
      </c>
      <c r="AH20" s="1">
        <v>29</v>
      </c>
      <c r="AI20" s="1">
        <v>24</v>
      </c>
      <c r="AJ20" s="1">
        <v>2</v>
      </c>
      <c r="AK20" s="1">
        <v>2</v>
      </c>
      <c r="AL20" s="1">
        <v>1</v>
      </c>
      <c r="AM20" s="1">
        <v>10</v>
      </c>
      <c r="AN20" s="1">
        <v>30</v>
      </c>
      <c r="AO20" s="1">
        <v>29</v>
      </c>
      <c r="AP20" s="1">
        <v>13</v>
      </c>
      <c r="AQ20" s="1">
        <v>6</v>
      </c>
      <c r="AR20" s="1">
        <v>13</v>
      </c>
      <c r="AS20" s="1">
        <v>7</v>
      </c>
      <c r="AT20" s="1">
        <v>22</v>
      </c>
      <c r="AU20" s="1">
        <v>10</v>
      </c>
      <c r="AV20" s="1" t="s">
        <v>269</v>
      </c>
    </row>
    <row r="21" spans="1:48" x14ac:dyDescent="0.25">
      <c r="A21" s="1">
        <v>1610612752</v>
      </c>
      <c r="B21" s="1" t="s">
        <v>270</v>
      </c>
      <c r="C21" s="1">
        <v>4</v>
      </c>
      <c r="D21" s="1">
        <v>1</v>
      </c>
      <c r="E21" s="1">
        <v>3</v>
      </c>
      <c r="F21" s="1">
        <v>0.25</v>
      </c>
      <c r="G21" s="1">
        <v>192</v>
      </c>
      <c r="H21" s="1">
        <v>99.2</v>
      </c>
      <c r="I21" s="1">
        <v>101</v>
      </c>
      <c r="J21" s="1">
        <v>107</v>
      </c>
      <c r="K21" s="1">
        <v>107.9</v>
      </c>
      <c r="L21" s="1">
        <v>-7.7</v>
      </c>
      <c r="M21" s="1">
        <v>-7</v>
      </c>
      <c r="N21" s="1">
        <v>0.497</v>
      </c>
      <c r="O21" s="1">
        <v>0.93</v>
      </c>
      <c r="P21" s="1">
        <v>13.4</v>
      </c>
      <c r="Q21" s="1">
        <v>0.32100000000000001</v>
      </c>
      <c r="R21" s="1">
        <v>0.748</v>
      </c>
      <c r="S21" s="1">
        <v>0.52600000000000002</v>
      </c>
      <c r="T21" s="1">
        <v>0.19500000000000001</v>
      </c>
      <c r="U21" s="1">
        <v>0.496</v>
      </c>
      <c r="V21" s="1">
        <v>0.52900000000000003</v>
      </c>
      <c r="W21" s="1">
        <v>105.4</v>
      </c>
      <c r="X21" s="1">
        <v>104</v>
      </c>
      <c r="Y21" s="1">
        <v>86.67</v>
      </c>
      <c r="Z21" s="1">
        <v>416</v>
      </c>
      <c r="AA21" s="1">
        <v>0.44</v>
      </c>
      <c r="AB21" s="1">
        <v>1</v>
      </c>
      <c r="AC21" s="1">
        <v>18</v>
      </c>
      <c r="AD21" s="1">
        <v>23</v>
      </c>
      <c r="AE21" s="1">
        <v>23</v>
      </c>
      <c r="AF21" s="1">
        <v>7</v>
      </c>
      <c r="AG21" s="1">
        <v>24</v>
      </c>
      <c r="AH21" s="1">
        <v>21</v>
      </c>
      <c r="AI21" s="1">
        <v>25</v>
      </c>
      <c r="AJ21" s="1">
        <v>29</v>
      </c>
      <c r="AK21" s="1">
        <v>30</v>
      </c>
      <c r="AL21" s="1">
        <v>29</v>
      </c>
      <c r="AM21" s="1">
        <v>3</v>
      </c>
      <c r="AN21" s="1">
        <v>12</v>
      </c>
      <c r="AO21" s="1">
        <v>7</v>
      </c>
      <c r="AP21" s="1">
        <v>28</v>
      </c>
      <c r="AQ21" s="1">
        <v>21</v>
      </c>
      <c r="AR21" s="1">
        <v>20</v>
      </c>
      <c r="AS21" s="1">
        <v>13</v>
      </c>
      <c r="AT21" s="1">
        <v>27</v>
      </c>
      <c r="AU21" s="1">
        <v>10</v>
      </c>
      <c r="AV21" s="1" t="s">
        <v>270</v>
      </c>
    </row>
    <row r="22" spans="1:48" x14ac:dyDescent="0.25">
      <c r="A22" s="1">
        <v>1610612760</v>
      </c>
      <c r="B22" s="1" t="s">
        <v>271</v>
      </c>
      <c r="C22" s="1">
        <v>4</v>
      </c>
      <c r="D22" s="1">
        <v>1</v>
      </c>
      <c r="E22" s="1">
        <v>3</v>
      </c>
      <c r="F22" s="1">
        <v>0.25</v>
      </c>
      <c r="G22" s="1">
        <v>192</v>
      </c>
      <c r="H22" s="1">
        <v>98.7</v>
      </c>
      <c r="I22" s="1">
        <v>100.2</v>
      </c>
      <c r="J22" s="1">
        <v>95.2</v>
      </c>
      <c r="K22" s="1">
        <v>98.1</v>
      </c>
      <c r="L22" s="1">
        <v>3.5</v>
      </c>
      <c r="M22" s="1">
        <v>2.2000000000000002</v>
      </c>
      <c r="N22" s="1">
        <v>0.5</v>
      </c>
      <c r="O22" s="1">
        <v>1.01</v>
      </c>
      <c r="P22" s="1">
        <v>14</v>
      </c>
      <c r="Q22" s="1">
        <v>0.25</v>
      </c>
      <c r="R22" s="1">
        <v>0.74299999999999999</v>
      </c>
      <c r="S22" s="1">
        <v>0.51400000000000001</v>
      </c>
      <c r="T22" s="1">
        <v>0.18</v>
      </c>
      <c r="U22" s="1">
        <v>0.50700000000000001</v>
      </c>
      <c r="V22" s="1">
        <v>0.54</v>
      </c>
      <c r="W22" s="1">
        <v>105.4</v>
      </c>
      <c r="X22" s="1">
        <v>103</v>
      </c>
      <c r="Y22" s="1">
        <v>85.83</v>
      </c>
      <c r="Z22" s="1">
        <v>411</v>
      </c>
      <c r="AA22" s="1">
        <v>0.52100000000000002</v>
      </c>
      <c r="AB22" s="1">
        <v>1</v>
      </c>
      <c r="AC22" s="1">
        <v>18</v>
      </c>
      <c r="AD22" s="1">
        <v>23</v>
      </c>
      <c r="AE22" s="1">
        <v>23</v>
      </c>
      <c r="AF22" s="1">
        <v>7</v>
      </c>
      <c r="AG22" s="1">
        <v>25</v>
      </c>
      <c r="AH22" s="1">
        <v>6</v>
      </c>
      <c r="AI22" s="1">
        <v>14</v>
      </c>
      <c r="AJ22" s="1">
        <v>28</v>
      </c>
      <c r="AK22" s="1">
        <v>28</v>
      </c>
      <c r="AL22" s="1">
        <v>27</v>
      </c>
      <c r="AM22" s="1">
        <v>21</v>
      </c>
      <c r="AN22" s="1">
        <v>15</v>
      </c>
      <c r="AO22" s="1">
        <v>11</v>
      </c>
      <c r="AP22" s="1">
        <v>22</v>
      </c>
      <c r="AQ22" s="1">
        <v>16</v>
      </c>
      <c r="AR22" s="1">
        <v>19</v>
      </c>
      <c r="AS22" s="1">
        <v>16</v>
      </c>
      <c r="AT22" s="1">
        <v>13</v>
      </c>
      <c r="AU22" s="1">
        <v>10</v>
      </c>
      <c r="AV22" s="1" t="s">
        <v>271</v>
      </c>
    </row>
    <row r="23" spans="1:48" x14ac:dyDescent="0.25">
      <c r="A23" s="1">
        <v>1610612753</v>
      </c>
      <c r="B23" s="1" t="s">
        <v>272</v>
      </c>
      <c r="C23" s="1">
        <v>3</v>
      </c>
      <c r="D23" s="1">
        <v>1</v>
      </c>
      <c r="E23" s="1">
        <v>2</v>
      </c>
      <c r="F23" s="1">
        <v>0.33300000000000002</v>
      </c>
      <c r="G23" s="1">
        <v>144</v>
      </c>
      <c r="H23" s="1">
        <v>93.3</v>
      </c>
      <c r="I23" s="1">
        <v>93.8</v>
      </c>
      <c r="J23" s="1">
        <v>94.4</v>
      </c>
      <c r="K23" s="1">
        <v>94.5</v>
      </c>
      <c r="L23" s="1">
        <v>-1.1000000000000001</v>
      </c>
      <c r="M23" s="1">
        <v>-0.7</v>
      </c>
      <c r="N23" s="1">
        <v>0.57499999999999996</v>
      </c>
      <c r="O23" s="1">
        <v>1.56</v>
      </c>
      <c r="P23" s="1">
        <v>15</v>
      </c>
      <c r="Q23" s="1">
        <v>0.223</v>
      </c>
      <c r="R23" s="1">
        <v>0.77800000000000002</v>
      </c>
      <c r="S23" s="1">
        <v>0.48199999999999998</v>
      </c>
      <c r="T23" s="1">
        <v>0.127</v>
      </c>
      <c r="U23" s="1">
        <v>0.434</v>
      </c>
      <c r="V23" s="1">
        <v>0.47699999999999998</v>
      </c>
      <c r="W23" s="1">
        <v>103</v>
      </c>
      <c r="X23" s="1">
        <v>102.67</v>
      </c>
      <c r="Y23" s="1">
        <v>85.56</v>
      </c>
      <c r="Z23" s="1">
        <v>307</v>
      </c>
      <c r="AA23" s="1">
        <v>0.48299999999999998</v>
      </c>
      <c r="AB23" s="1">
        <v>19</v>
      </c>
      <c r="AC23" s="1">
        <v>18</v>
      </c>
      <c r="AD23" s="1">
        <v>14</v>
      </c>
      <c r="AE23" s="1">
        <v>18</v>
      </c>
      <c r="AF23" s="1">
        <v>22</v>
      </c>
      <c r="AG23" s="1">
        <v>30</v>
      </c>
      <c r="AH23" s="1">
        <v>2</v>
      </c>
      <c r="AI23" s="1">
        <v>20</v>
      </c>
      <c r="AJ23" s="1">
        <v>20</v>
      </c>
      <c r="AK23" s="1">
        <v>12</v>
      </c>
      <c r="AL23" s="1">
        <v>23</v>
      </c>
      <c r="AM23" s="1">
        <v>27</v>
      </c>
      <c r="AN23" s="1">
        <v>3</v>
      </c>
      <c r="AO23" s="1">
        <v>23</v>
      </c>
      <c r="AP23" s="1">
        <v>4</v>
      </c>
      <c r="AQ23" s="1">
        <v>30</v>
      </c>
      <c r="AR23" s="1">
        <v>30</v>
      </c>
      <c r="AS23" s="1">
        <v>19</v>
      </c>
      <c r="AT23" s="1">
        <v>20</v>
      </c>
      <c r="AU23" s="1">
        <v>10</v>
      </c>
      <c r="AV23" s="1" t="s">
        <v>272</v>
      </c>
    </row>
    <row r="24" spans="1:48" x14ac:dyDescent="0.25">
      <c r="A24" s="1">
        <v>1610612755</v>
      </c>
      <c r="B24" s="1" t="s">
        <v>273</v>
      </c>
      <c r="C24" s="1">
        <v>3</v>
      </c>
      <c r="D24" s="1">
        <v>3</v>
      </c>
      <c r="E24" s="1">
        <v>0</v>
      </c>
      <c r="F24" s="1">
        <v>1</v>
      </c>
      <c r="G24" s="1">
        <v>144</v>
      </c>
      <c r="H24" s="1">
        <v>99.4</v>
      </c>
      <c r="I24" s="1">
        <v>103.1</v>
      </c>
      <c r="J24" s="1">
        <v>93.9</v>
      </c>
      <c r="K24" s="1">
        <v>96.8</v>
      </c>
      <c r="L24" s="1">
        <v>5.5</v>
      </c>
      <c r="M24" s="1">
        <v>6.3</v>
      </c>
      <c r="N24" s="1">
        <v>0.65500000000000003</v>
      </c>
      <c r="O24" s="1">
        <v>1.25</v>
      </c>
      <c r="P24" s="1">
        <v>17.2</v>
      </c>
      <c r="Q24" s="1">
        <v>0.316</v>
      </c>
      <c r="R24" s="1">
        <v>0.76500000000000001</v>
      </c>
      <c r="S24" s="1">
        <v>0.54600000000000004</v>
      </c>
      <c r="T24" s="1">
        <v>0.191</v>
      </c>
      <c r="U24" s="1">
        <v>0.50600000000000001</v>
      </c>
      <c r="V24" s="1">
        <v>0.54800000000000004</v>
      </c>
      <c r="W24" s="1">
        <v>109.7</v>
      </c>
      <c r="X24" s="1">
        <v>106</v>
      </c>
      <c r="Y24" s="1">
        <v>88.33</v>
      </c>
      <c r="Z24" s="1">
        <v>319</v>
      </c>
      <c r="AA24" s="1">
        <v>0.57399999999999995</v>
      </c>
      <c r="AB24" s="1">
        <v>19</v>
      </c>
      <c r="AC24" s="1">
        <v>1</v>
      </c>
      <c r="AD24" s="1">
        <v>1</v>
      </c>
      <c r="AE24" s="1">
        <v>1</v>
      </c>
      <c r="AF24" s="1">
        <v>22</v>
      </c>
      <c r="AG24" s="1">
        <v>19</v>
      </c>
      <c r="AH24" s="1">
        <v>5</v>
      </c>
      <c r="AI24" s="1">
        <v>8</v>
      </c>
      <c r="AJ24" s="1">
        <v>4</v>
      </c>
      <c r="AK24" s="1">
        <v>21</v>
      </c>
      <c r="AL24" s="1">
        <v>12</v>
      </c>
      <c r="AM24" s="1">
        <v>4</v>
      </c>
      <c r="AN24" s="1">
        <v>6</v>
      </c>
      <c r="AO24" s="1">
        <v>1</v>
      </c>
      <c r="AP24" s="1">
        <v>27</v>
      </c>
      <c r="AQ24" s="1">
        <v>18</v>
      </c>
      <c r="AR24" s="1">
        <v>18</v>
      </c>
      <c r="AS24" s="1">
        <v>8</v>
      </c>
      <c r="AT24" s="1">
        <v>2</v>
      </c>
      <c r="AU24" s="1">
        <v>10</v>
      </c>
      <c r="AV24" s="1" t="s">
        <v>273</v>
      </c>
    </row>
    <row r="25" spans="1:48" x14ac:dyDescent="0.25">
      <c r="A25" s="1">
        <v>1610612756</v>
      </c>
      <c r="B25" s="1" t="s">
        <v>274</v>
      </c>
      <c r="C25" s="1">
        <v>4</v>
      </c>
      <c r="D25" s="1">
        <v>2</v>
      </c>
      <c r="E25" s="1">
        <v>2</v>
      </c>
      <c r="F25" s="1">
        <v>0.5</v>
      </c>
      <c r="G25" s="1">
        <v>197</v>
      </c>
      <c r="H25" s="1">
        <v>106</v>
      </c>
      <c r="I25" s="1">
        <v>107.3</v>
      </c>
      <c r="J25" s="1">
        <v>96</v>
      </c>
      <c r="K25" s="1">
        <v>99.3</v>
      </c>
      <c r="L25" s="1">
        <v>10</v>
      </c>
      <c r="M25" s="1">
        <v>8</v>
      </c>
      <c r="N25" s="1">
        <v>0.69799999999999995</v>
      </c>
      <c r="O25" s="1">
        <v>1.73</v>
      </c>
      <c r="P25" s="1">
        <v>19.100000000000001</v>
      </c>
      <c r="Q25" s="1">
        <v>0.223</v>
      </c>
      <c r="R25" s="1">
        <v>0.745</v>
      </c>
      <c r="S25" s="1">
        <v>0.495</v>
      </c>
      <c r="T25" s="1">
        <v>0.151</v>
      </c>
      <c r="U25" s="1">
        <v>0.52400000000000002</v>
      </c>
      <c r="V25" s="1">
        <v>0.57399999999999995</v>
      </c>
      <c r="W25" s="1">
        <v>105.8</v>
      </c>
      <c r="X25" s="1">
        <v>103.43</v>
      </c>
      <c r="Y25" s="1">
        <v>86.19</v>
      </c>
      <c r="Z25" s="1">
        <v>425</v>
      </c>
      <c r="AA25" s="1">
        <v>0.56999999999999995</v>
      </c>
      <c r="AB25" s="1">
        <v>1</v>
      </c>
      <c r="AC25" s="1">
        <v>11</v>
      </c>
      <c r="AD25" s="1">
        <v>14</v>
      </c>
      <c r="AE25" s="1">
        <v>14</v>
      </c>
      <c r="AF25" s="1">
        <v>1</v>
      </c>
      <c r="AG25" s="1">
        <v>11</v>
      </c>
      <c r="AH25" s="1">
        <v>8</v>
      </c>
      <c r="AI25" s="1">
        <v>4</v>
      </c>
      <c r="AJ25" s="1">
        <v>1</v>
      </c>
      <c r="AK25" s="1">
        <v>7</v>
      </c>
      <c r="AL25" s="1">
        <v>2</v>
      </c>
      <c r="AM25" s="1">
        <v>28</v>
      </c>
      <c r="AN25" s="1">
        <v>14</v>
      </c>
      <c r="AO25" s="1">
        <v>17</v>
      </c>
      <c r="AP25" s="1">
        <v>14</v>
      </c>
      <c r="AQ25" s="1">
        <v>11</v>
      </c>
      <c r="AR25" s="1">
        <v>6</v>
      </c>
      <c r="AS25" s="1">
        <v>14</v>
      </c>
      <c r="AT25" s="1">
        <v>3</v>
      </c>
      <c r="AU25" s="1">
        <v>10</v>
      </c>
      <c r="AV25" s="1" t="s">
        <v>274</v>
      </c>
    </row>
    <row r="26" spans="1:48" x14ac:dyDescent="0.25">
      <c r="A26" s="1">
        <v>1610612757</v>
      </c>
      <c r="B26" s="1" t="s">
        <v>275</v>
      </c>
      <c r="C26" s="1">
        <v>4</v>
      </c>
      <c r="D26" s="1">
        <v>2</v>
      </c>
      <c r="E26" s="1">
        <v>2</v>
      </c>
      <c r="F26" s="1">
        <v>0.5</v>
      </c>
      <c r="G26" s="1">
        <v>192</v>
      </c>
      <c r="H26" s="1">
        <v>105.3</v>
      </c>
      <c r="I26" s="1">
        <v>107.1</v>
      </c>
      <c r="J26" s="1">
        <v>105.9</v>
      </c>
      <c r="K26" s="1">
        <v>106.4</v>
      </c>
      <c r="L26" s="1">
        <v>-0.6</v>
      </c>
      <c r="M26" s="1">
        <v>0.7</v>
      </c>
      <c r="N26" s="1">
        <v>0.41</v>
      </c>
      <c r="O26" s="1">
        <v>1.1000000000000001</v>
      </c>
      <c r="P26" s="1">
        <v>12.6</v>
      </c>
      <c r="Q26" s="1">
        <v>0.25</v>
      </c>
      <c r="R26" s="1">
        <v>0.748</v>
      </c>
      <c r="S26" s="1">
        <v>0.50700000000000001</v>
      </c>
      <c r="T26" s="1">
        <v>0.14699999999999999</v>
      </c>
      <c r="U26" s="1">
        <v>0.51400000000000001</v>
      </c>
      <c r="V26" s="1">
        <v>0.56299999999999994</v>
      </c>
      <c r="W26" s="1">
        <v>107.1</v>
      </c>
      <c r="X26" s="1">
        <v>106</v>
      </c>
      <c r="Y26" s="1">
        <v>88.33</v>
      </c>
      <c r="Z26" s="1">
        <v>423</v>
      </c>
      <c r="AA26" s="1">
        <v>0.48899999999999999</v>
      </c>
      <c r="AB26" s="1">
        <v>1</v>
      </c>
      <c r="AC26" s="1">
        <v>11</v>
      </c>
      <c r="AD26" s="1">
        <v>14</v>
      </c>
      <c r="AE26" s="1">
        <v>14</v>
      </c>
      <c r="AF26" s="1">
        <v>7</v>
      </c>
      <c r="AG26" s="1">
        <v>12</v>
      </c>
      <c r="AH26" s="1">
        <v>16</v>
      </c>
      <c r="AI26" s="1">
        <v>16</v>
      </c>
      <c r="AJ26" s="1">
        <v>30</v>
      </c>
      <c r="AK26" s="1">
        <v>25</v>
      </c>
      <c r="AL26" s="1">
        <v>30</v>
      </c>
      <c r="AM26" s="1">
        <v>21</v>
      </c>
      <c r="AN26" s="1">
        <v>11</v>
      </c>
      <c r="AO26" s="1">
        <v>14</v>
      </c>
      <c r="AP26" s="1">
        <v>12</v>
      </c>
      <c r="AQ26" s="1">
        <v>13</v>
      </c>
      <c r="AR26" s="1">
        <v>11</v>
      </c>
      <c r="AS26" s="1">
        <v>8</v>
      </c>
      <c r="AT26" s="1">
        <v>19</v>
      </c>
      <c r="AU26" s="1">
        <v>10</v>
      </c>
      <c r="AV26" s="1" t="s">
        <v>275</v>
      </c>
    </row>
    <row r="27" spans="1:48" x14ac:dyDescent="0.25">
      <c r="A27" s="1">
        <v>1610612758</v>
      </c>
      <c r="B27" s="1" t="s">
        <v>276</v>
      </c>
      <c r="C27" s="1">
        <v>4</v>
      </c>
      <c r="D27" s="1">
        <v>0</v>
      </c>
      <c r="E27" s="1">
        <v>4</v>
      </c>
      <c r="F27" s="1">
        <v>0</v>
      </c>
      <c r="G27" s="1">
        <v>192</v>
      </c>
      <c r="H27" s="1">
        <v>92.5</v>
      </c>
      <c r="I27" s="1">
        <v>94.3</v>
      </c>
      <c r="J27" s="1">
        <v>109.8</v>
      </c>
      <c r="K27" s="1">
        <v>113.3</v>
      </c>
      <c r="L27" s="1">
        <v>-17.2</v>
      </c>
      <c r="M27" s="1">
        <v>-19</v>
      </c>
      <c r="N27" s="1">
        <v>0.54700000000000004</v>
      </c>
      <c r="O27" s="1">
        <v>1</v>
      </c>
      <c r="P27" s="1">
        <v>13.9</v>
      </c>
      <c r="Q27" s="1">
        <v>0.27</v>
      </c>
      <c r="R27" s="1">
        <v>0.69799999999999995</v>
      </c>
      <c r="S27" s="1">
        <v>0.46899999999999997</v>
      </c>
      <c r="T27" s="1">
        <v>0.185</v>
      </c>
      <c r="U27" s="1">
        <v>0.46</v>
      </c>
      <c r="V27" s="1">
        <v>0.498</v>
      </c>
      <c r="W27" s="1">
        <v>104</v>
      </c>
      <c r="X27" s="1">
        <v>101.38</v>
      </c>
      <c r="Y27" s="1">
        <v>84.48</v>
      </c>
      <c r="Z27" s="1">
        <v>405</v>
      </c>
      <c r="AA27" s="1">
        <v>0.36499999999999999</v>
      </c>
      <c r="AB27" s="1">
        <v>1</v>
      </c>
      <c r="AC27" s="1">
        <v>28</v>
      </c>
      <c r="AD27" s="1">
        <v>29</v>
      </c>
      <c r="AE27" s="1">
        <v>28</v>
      </c>
      <c r="AF27" s="1">
        <v>7</v>
      </c>
      <c r="AG27" s="1">
        <v>29</v>
      </c>
      <c r="AH27" s="1">
        <v>27</v>
      </c>
      <c r="AI27" s="1">
        <v>30</v>
      </c>
      <c r="AJ27" s="1">
        <v>23</v>
      </c>
      <c r="AK27" s="1">
        <v>29</v>
      </c>
      <c r="AL27" s="1">
        <v>28</v>
      </c>
      <c r="AM27" s="1">
        <v>13</v>
      </c>
      <c r="AN27" s="1">
        <v>25</v>
      </c>
      <c r="AO27" s="1">
        <v>26</v>
      </c>
      <c r="AP27" s="1">
        <v>23</v>
      </c>
      <c r="AQ27" s="1">
        <v>28</v>
      </c>
      <c r="AR27" s="1">
        <v>27</v>
      </c>
      <c r="AS27" s="1">
        <v>25</v>
      </c>
      <c r="AT27" s="1">
        <v>30</v>
      </c>
      <c r="AU27" s="1">
        <v>10</v>
      </c>
      <c r="AV27" s="1" t="s">
        <v>276</v>
      </c>
    </row>
    <row r="28" spans="1:48" x14ac:dyDescent="0.25">
      <c r="A28" s="1">
        <v>1610612759</v>
      </c>
      <c r="B28" s="1" t="s">
        <v>277</v>
      </c>
      <c r="C28" s="1">
        <v>3</v>
      </c>
      <c r="D28" s="1">
        <v>3</v>
      </c>
      <c r="E28" s="1">
        <v>0</v>
      </c>
      <c r="F28" s="1">
        <v>1</v>
      </c>
      <c r="G28" s="1">
        <v>144</v>
      </c>
      <c r="H28" s="1">
        <v>110.4</v>
      </c>
      <c r="I28" s="1">
        <v>112.6</v>
      </c>
      <c r="J28" s="1">
        <v>103.5</v>
      </c>
      <c r="K28" s="1">
        <v>107.5</v>
      </c>
      <c r="L28" s="1">
        <v>6.9</v>
      </c>
      <c r="M28" s="1">
        <v>5.0999999999999996</v>
      </c>
      <c r="N28" s="1">
        <v>0.57099999999999995</v>
      </c>
      <c r="O28" s="1">
        <v>1.58</v>
      </c>
      <c r="P28" s="1">
        <v>17.399999999999999</v>
      </c>
      <c r="Q28" s="1">
        <v>0.28799999999999998</v>
      </c>
      <c r="R28" s="1">
        <v>0.76200000000000001</v>
      </c>
      <c r="S28" s="1">
        <v>0.53300000000000003</v>
      </c>
      <c r="T28" s="1">
        <v>0.151</v>
      </c>
      <c r="U28" s="1">
        <v>0.52500000000000002</v>
      </c>
      <c r="V28" s="1">
        <v>0.56999999999999995</v>
      </c>
      <c r="W28" s="1">
        <v>109.1</v>
      </c>
      <c r="X28" s="1">
        <v>106</v>
      </c>
      <c r="Y28" s="1">
        <v>88.33</v>
      </c>
      <c r="Z28" s="1">
        <v>317</v>
      </c>
      <c r="AA28" s="1">
        <v>0.54100000000000004</v>
      </c>
      <c r="AB28" s="1">
        <v>19</v>
      </c>
      <c r="AC28" s="1">
        <v>1</v>
      </c>
      <c r="AD28" s="1">
        <v>1</v>
      </c>
      <c r="AE28" s="1">
        <v>1</v>
      </c>
      <c r="AF28" s="1">
        <v>22</v>
      </c>
      <c r="AG28" s="1">
        <v>2</v>
      </c>
      <c r="AH28" s="1">
        <v>19</v>
      </c>
      <c r="AI28" s="1">
        <v>10</v>
      </c>
      <c r="AJ28" s="1">
        <v>21</v>
      </c>
      <c r="AK28" s="1">
        <v>10</v>
      </c>
      <c r="AL28" s="1">
        <v>8</v>
      </c>
      <c r="AM28" s="1">
        <v>8</v>
      </c>
      <c r="AN28" s="1">
        <v>7</v>
      </c>
      <c r="AO28" s="1">
        <v>3</v>
      </c>
      <c r="AP28" s="1">
        <v>16</v>
      </c>
      <c r="AQ28" s="1">
        <v>10</v>
      </c>
      <c r="AR28" s="1">
        <v>8</v>
      </c>
      <c r="AS28" s="1">
        <v>8</v>
      </c>
      <c r="AT28" s="1">
        <v>10</v>
      </c>
      <c r="AU28" s="1">
        <v>10</v>
      </c>
      <c r="AV28" s="1" t="s">
        <v>277</v>
      </c>
    </row>
    <row r="29" spans="1:48" x14ac:dyDescent="0.25">
      <c r="A29" s="1">
        <v>1610612761</v>
      </c>
      <c r="B29" s="1" t="s">
        <v>278</v>
      </c>
      <c r="C29" s="1">
        <v>4</v>
      </c>
      <c r="D29" s="1">
        <v>3</v>
      </c>
      <c r="E29" s="1">
        <v>1</v>
      </c>
      <c r="F29" s="1">
        <v>0.75</v>
      </c>
      <c r="G29" s="1">
        <v>197</v>
      </c>
      <c r="H29" s="1">
        <v>102.4</v>
      </c>
      <c r="I29" s="1">
        <v>104.2</v>
      </c>
      <c r="J29" s="1">
        <v>95</v>
      </c>
      <c r="K29" s="1">
        <v>96.7</v>
      </c>
      <c r="L29" s="1">
        <v>7.4</v>
      </c>
      <c r="M29" s="1">
        <v>7.5</v>
      </c>
      <c r="N29" s="1">
        <v>0.60699999999999998</v>
      </c>
      <c r="O29" s="1">
        <v>1.1200000000000001</v>
      </c>
      <c r="P29" s="1">
        <v>15.9</v>
      </c>
      <c r="Q29" s="1">
        <v>0.26</v>
      </c>
      <c r="R29" s="1">
        <v>0.74</v>
      </c>
      <c r="S29" s="1">
        <v>0.52600000000000002</v>
      </c>
      <c r="T29" s="1">
        <v>0.188</v>
      </c>
      <c r="U29" s="1">
        <v>0.51300000000000001</v>
      </c>
      <c r="V29" s="1">
        <v>0.56999999999999995</v>
      </c>
      <c r="W29" s="1">
        <v>106.2</v>
      </c>
      <c r="X29" s="1">
        <v>104.41</v>
      </c>
      <c r="Y29" s="1">
        <v>87.01</v>
      </c>
      <c r="Z29" s="1">
        <v>430</v>
      </c>
      <c r="AA29" s="1">
        <v>0.56100000000000005</v>
      </c>
      <c r="AB29" s="1">
        <v>1</v>
      </c>
      <c r="AC29" s="1">
        <v>1</v>
      </c>
      <c r="AD29" s="1">
        <v>4</v>
      </c>
      <c r="AE29" s="1">
        <v>4</v>
      </c>
      <c r="AF29" s="1">
        <v>1</v>
      </c>
      <c r="AG29" s="1">
        <v>17</v>
      </c>
      <c r="AH29" s="1">
        <v>3</v>
      </c>
      <c r="AI29" s="1">
        <v>6</v>
      </c>
      <c r="AJ29" s="1">
        <v>13</v>
      </c>
      <c r="AK29" s="1">
        <v>24</v>
      </c>
      <c r="AL29" s="1">
        <v>19</v>
      </c>
      <c r="AM29" s="1">
        <v>16</v>
      </c>
      <c r="AN29" s="1">
        <v>16</v>
      </c>
      <c r="AO29" s="1">
        <v>6</v>
      </c>
      <c r="AP29" s="1">
        <v>26</v>
      </c>
      <c r="AQ29" s="1">
        <v>14</v>
      </c>
      <c r="AR29" s="1">
        <v>9</v>
      </c>
      <c r="AS29" s="1">
        <v>12</v>
      </c>
      <c r="AT29" s="1">
        <v>5</v>
      </c>
      <c r="AU29" s="1">
        <v>10</v>
      </c>
      <c r="AV29" s="1" t="s">
        <v>278</v>
      </c>
    </row>
    <row r="30" spans="1:48" x14ac:dyDescent="0.25">
      <c r="A30" s="1">
        <v>1610612762</v>
      </c>
      <c r="B30" s="1" t="s">
        <v>279</v>
      </c>
      <c r="C30" s="1">
        <v>4</v>
      </c>
      <c r="D30" s="1">
        <v>3</v>
      </c>
      <c r="E30" s="1">
        <v>1</v>
      </c>
      <c r="F30" s="1">
        <v>0.75</v>
      </c>
      <c r="G30" s="1">
        <v>192</v>
      </c>
      <c r="H30" s="1">
        <v>97.4</v>
      </c>
      <c r="I30" s="1">
        <v>99.5</v>
      </c>
      <c r="J30" s="1">
        <v>89.5</v>
      </c>
      <c r="K30" s="1">
        <v>92</v>
      </c>
      <c r="L30" s="1">
        <v>7.9</v>
      </c>
      <c r="M30" s="1">
        <v>7.5</v>
      </c>
      <c r="N30" s="1">
        <v>0.57899999999999996</v>
      </c>
      <c r="O30" s="1">
        <v>1.04</v>
      </c>
      <c r="P30" s="1">
        <v>15.8</v>
      </c>
      <c r="Q30" s="1">
        <v>0.21</v>
      </c>
      <c r="R30" s="1">
        <v>0.79500000000000004</v>
      </c>
      <c r="S30" s="1">
        <v>0.52800000000000002</v>
      </c>
      <c r="T30" s="1">
        <v>0.19600000000000001</v>
      </c>
      <c r="U30" s="1">
        <v>0.52100000000000002</v>
      </c>
      <c r="V30" s="1">
        <v>0.56499999999999995</v>
      </c>
      <c r="W30" s="1">
        <v>101.8</v>
      </c>
      <c r="X30" s="1">
        <v>99.38</v>
      </c>
      <c r="Y30" s="1">
        <v>82.81</v>
      </c>
      <c r="Z30" s="1">
        <v>397</v>
      </c>
      <c r="AA30" s="1">
        <v>0.55900000000000005</v>
      </c>
      <c r="AB30" s="1">
        <v>1</v>
      </c>
      <c r="AC30" s="1">
        <v>1</v>
      </c>
      <c r="AD30" s="1">
        <v>4</v>
      </c>
      <c r="AE30" s="1">
        <v>4</v>
      </c>
      <c r="AF30" s="1">
        <v>7</v>
      </c>
      <c r="AG30" s="1">
        <v>27</v>
      </c>
      <c r="AH30" s="1">
        <v>1</v>
      </c>
      <c r="AI30" s="1">
        <v>5</v>
      </c>
      <c r="AJ30" s="1">
        <v>19</v>
      </c>
      <c r="AK30" s="1">
        <v>27</v>
      </c>
      <c r="AL30" s="1">
        <v>21</v>
      </c>
      <c r="AM30" s="1">
        <v>29</v>
      </c>
      <c r="AN30" s="1">
        <v>2</v>
      </c>
      <c r="AO30" s="1">
        <v>4</v>
      </c>
      <c r="AP30" s="1">
        <v>29</v>
      </c>
      <c r="AQ30" s="1">
        <v>12</v>
      </c>
      <c r="AR30" s="1">
        <v>10</v>
      </c>
      <c r="AS30" s="1">
        <v>28</v>
      </c>
      <c r="AT30" s="1">
        <v>6</v>
      </c>
      <c r="AU30" s="1">
        <v>10</v>
      </c>
      <c r="AV30" s="1" t="s">
        <v>279</v>
      </c>
    </row>
    <row r="31" spans="1:48" x14ac:dyDescent="0.25">
      <c r="A31" s="1">
        <v>1610612764</v>
      </c>
      <c r="B31" s="1" t="s">
        <v>280</v>
      </c>
      <c r="C31" s="1">
        <v>3</v>
      </c>
      <c r="D31" s="1">
        <v>1</v>
      </c>
      <c r="E31" s="1">
        <v>2</v>
      </c>
      <c r="F31" s="1">
        <v>0.33300000000000002</v>
      </c>
      <c r="G31" s="1">
        <v>144</v>
      </c>
      <c r="H31" s="1">
        <v>98.8</v>
      </c>
      <c r="I31" s="1">
        <v>103.6</v>
      </c>
      <c r="J31" s="1">
        <v>101.1</v>
      </c>
      <c r="K31" s="1">
        <v>103.3</v>
      </c>
      <c r="L31" s="1">
        <v>-2.2000000000000002</v>
      </c>
      <c r="M31" s="1">
        <v>0.3</v>
      </c>
      <c r="N31" s="1">
        <v>0.626</v>
      </c>
      <c r="O31" s="1">
        <v>1.71</v>
      </c>
      <c r="P31" s="1">
        <v>17.899999999999999</v>
      </c>
      <c r="Q31" s="1">
        <v>0.27500000000000002</v>
      </c>
      <c r="R31" s="1">
        <v>0.72699999999999998</v>
      </c>
      <c r="S31" s="1">
        <v>0.49199999999999999</v>
      </c>
      <c r="T31" s="1">
        <v>0.14599999999999999</v>
      </c>
      <c r="U31" s="1">
        <v>0.498</v>
      </c>
      <c r="V31" s="1">
        <v>0.52300000000000002</v>
      </c>
      <c r="W31" s="1">
        <v>106.1</v>
      </c>
      <c r="X31" s="1">
        <v>102.5</v>
      </c>
      <c r="Y31" s="1">
        <v>85.42</v>
      </c>
      <c r="Z31" s="1">
        <v>308</v>
      </c>
      <c r="AA31" s="1">
        <v>0.496</v>
      </c>
      <c r="AB31" s="1">
        <v>19</v>
      </c>
      <c r="AC31" s="1">
        <v>18</v>
      </c>
      <c r="AD31" s="1">
        <v>14</v>
      </c>
      <c r="AE31" s="1">
        <v>18</v>
      </c>
      <c r="AF31" s="1">
        <v>22</v>
      </c>
      <c r="AG31" s="1">
        <v>18</v>
      </c>
      <c r="AH31" s="1">
        <v>12</v>
      </c>
      <c r="AI31" s="1">
        <v>18</v>
      </c>
      <c r="AJ31" s="1">
        <v>9</v>
      </c>
      <c r="AK31" s="1">
        <v>8</v>
      </c>
      <c r="AL31" s="1">
        <v>6</v>
      </c>
      <c r="AM31" s="1">
        <v>11</v>
      </c>
      <c r="AN31" s="1">
        <v>18</v>
      </c>
      <c r="AO31" s="1">
        <v>19</v>
      </c>
      <c r="AP31" s="1">
        <v>11</v>
      </c>
      <c r="AQ31" s="1">
        <v>20</v>
      </c>
      <c r="AR31" s="1">
        <v>23</v>
      </c>
      <c r="AS31" s="1">
        <v>20</v>
      </c>
      <c r="AT31" s="1">
        <v>17</v>
      </c>
      <c r="AU31" s="1">
        <v>10</v>
      </c>
      <c r="AV31" s="1" t="s">
        <v>280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E6A58-CC9F-4BDB-B5BF-F4C7A00E5242}">
  <sheetPr codeName="Sheet6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23</v>
      </c>
      <c r="M1" s="1" t="s">
        <v>24</v>
      </c>
      <c r="N1" s="1" t="s">
        <v>25</v>
      </c>
      <c r="O1" s="1" t="s">
        <v>26</v>
      </c>
      <c r="P1" s="1" t="s">
        <v>27</v>
      </c>
      <c r="Q1" s="1" t="s">
        <v>28</v>
      </c>
      <c r="R1" s="1" t="s">
        <v>29</v>
      </c>
      <c r="S1" s="1" t="s">
        <v>30</v>
      </c>
      <c r="T1" s="1" t="s">
        <v>31</v>
      </c>
      <c r="U1" s="1" t="s">
        <v>32</v>
      </c>
      <c r="V1" s="1" t="s">
        <v>33</v>
      </c>
      <c r="W1" s="1" t="s">
        <v>34</v>
      </c>
      <c r="X1" s="1" t="s">
        <v>35</v>
      </c>
      <c r="Y1" s="1" t="s">
        <v>36</v>
      </c>
      <c r="Z1" s="1" t="s">
        <v>37</v>
      </c>
      <c r="AA1" s="1" t="s">
        <v>38</v>
      </c>
      <c r="AB1" s="1" t="s">
        <v>39</v>
      </c>
      <c r="AC1" s="1" t="s">
        <v>40</v>
      </c>
      <c r="AD1" s="1" t="s">
        <v>41</v>
      </c>
      <c r="AE1" s="1" t="s">
        <v>42</v>
      </c>
      <c r="AF1" s="1" t="s">
        <v>43</v>
      </c>
      <c r="AG1" s="1" t="s">
        <v>44</v>
      </c>
      <c r="AH1" s="1" t="s">
        <v>45</v>
      </c>
      <c r="AI1" s="1" t="s">
        <v>46</v>
      </c>
      <c r="AJ1" s="1" t="s">
        <v>47</v>
      </c>
      <c r="AK1" s="1" t="s">
        <v>48</v>
      </c>
      <c r="AL1" s="1" t="s">
        <v>49</v>
      </c>
      <c r="AM1" s="1" t="s">
        <v>50</v>
      </c>
      <c r="AN1" s="1" t="s">
        <v>51</v>
      </c>
      <c r="AO1" s="1" t="s">
        <v>52</v>
      </c>
      <c r="AP1" s="1" t="s">
        <v>53</v>
      </c>
      <c r="AQ1" s="1" t="s">
        <v>54</v>
      </c>
      <c r="AR1" s="1" t="s">
        <v>55</v>
      </c>
      <c r="AS1" s="1" t="s">
        <v>56</v>
      </c>
      <c r="AT1" s="1" t="s">
        <v>57</v>
      </c>
      <c r="AU1" s="1" t="s">
        <v>58</v>
      </c>
      <c r="AV1" s="1" t="s">
        <v>59</v>
      </c>
      <c r="AW1" s="1" t="s">
        <v>60</v>
      </c>
      <c r="AX1" s="1" t="s">
        <v>61</v>
      </c>
      <c r="AY1" s="1" t="s">
        <v>62</v>
      </c>
      <c r="AZ1" s="1" t="s">
        <v>63</v>
      </c>
      <c r="BA1" s="1" t="s">
        <v>64</v>
      </c>
      <c r="BB1" s="1" t="s">
        <v>65</v>
      </c>
      <c r="BC1" s="1" t="s">
        <v>66</v>
      </c>
      <c r="BD1" s="1" t="s">
        <v>67</v>
      </c>
      <c r="BE1" s="1" t="s">
        <v>68</v>
      </c>
      <c r="BF1" s="1" t="s">
        <v>69</v>
      </c>
      <c r="BG1" s="1" t="s">
        <v>70</v>
      </c>
      <c r="BH1" s="1" t="s">
        <v>71</v>
      </c>
      <c r="BI1" s="1" t="s">
        <v>72</v>
      </c>
      <c r="BJ1" s="1" t="s">
        <v>73</v>
      </c>
      <c r="BK1" s="1" t="s">
        <v>74</v>
      </c>
      <c r="BL1" s="1" t="s">
        <v>75</v>
      </c>
      <c r="BM1" s="1" t="s">
        <v>76</v>
      </c>
      <c r="BN1" s="1" t="s">
        <v>77</v>
      </c>
      <c r="BO1" s="1" t="s">
        <v>78</v>
      </c>
      <c r="BP1" s="1" t="s">
        <v>79</v>
      </c>
      <c r="BQ1" s="1" t="s">
        <v>80</v>
      </c>
      <c r="BR1" s="1" t="s">
        <v>81</v>
      </c>
      <c r="BS1" s="1" t="s">
        <v>82</v>
      </c>
      <c r="BT1" s="1" t="s">
        <v>83</v>
      </c>
      <c r="BU1" s="1" t="s">
        <v>84</v>
      </c>
      <c r="BV1" s="1" t="s">
        <v>85</v>
      </c>
      <c r="BW1" s="1" t="s">
        <v>86</v>
      </c>
      <c r="BX1" s="1" t="s">
        <v>87</v>
      </c>
      <c r="BY1" s="1" t="s">
        <v>88</v>
      </c>
      <c r="BZ1" s="1" t="s">
        <v>89</v>
      </c>
      <c r="CA1" s="1" t="s">
        <v>90</v>
      </c>
      <c r="CB1" s="1" t="s">
        <v>91</v>
      </c>
      <c r="CC1" s="1" t="s">
        <v>92</v>
      </c>
    </row>
    <row r="2" spans="1:81" x14ac:dyDescent="0.25">
      <c r="A2" s="1" t="s">
        <v>93</v>
      </c>
      <c r="B2" s="1" t="s">
        <v>288</v>
      </c>
      <c r="C2" s="1">
        <v>1610612749</v>
      </c>
      <c r="D2" s="1" t="s">
        <v>138</v>
      </c>
      <c r="E2" s="1" t="s">
        <v>139</v>
      </c>
      <c r="F2" s="1" t="s">
        <v>112</v>
      </c>
      <c r="G2" s="1" t="s">
        <v>289</v>
      </c>
      <c r="H2" s="1">
        <v>1</v>
      </c>
      <c r="I2" s="1" t="s">
        <v>290</v>
      </c>
      <c r="J2" s="1" t="s">
        <v>140</v>
      </c>
      <c r="K2" s="1" t="s">
        <v>291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292</v>
      </c>
      <c r="R2" s="1" t="s">
        <v>293</v>
      </c>
      <c r="S2" s="1" t="s">
        <v>294</v>
      </c>
      <c r="T2" s="1" t="s">
        <v>295</v>
      </c>
      <c r="U2" s="1" t="s">
        <v>295</v>
      </c>
      <c r="V2" s="1" t="s">
        <v>296</v>
      </c>
      <c r="W2" s="1" t="s">
        <v>179</v>
      </c>
      <c r="X2" s="1" t="s">
        <v>297</v>
      </c>
      <c r="Y2" s="1" t="s">
        <v>298</v>
      </c>
      <c r="Z2" s="1">
        <v>6</v>
      </c>
      <c r="AA2" s="1" t="s">
        <v>299</v>
      </c>
      <c r="AB2" s="1">
        <v>10</v>
      </c>
      <c r="AC2" s="1" t="s">
        <v>300</v>
      </c>
      <c r="AD2" s="1">
        <v>7</v>
      </c>
      <c r="AE2" s="1">
        <v>2</v>
      </c>
      <c r="AF2" s="1">
        <v>-1</v>
      </c>
      <c r="AG2" s="1" t="s">
        <v>125</v>
      </c>
      <c r="AH2" s="1">
        <v>2</v>
      </c>
      <c r="AI2" s="1" t="s">
        <v>115</v>
      </c>
      <c r="AJ2" s="1">
        <v>-1</v>
      </c>
      <c r="AK2" s="1" t="s">
        <v>125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301</v>
      </c>
      <c r="AT2" s="1" t="s">
        <v>302</v>
      </c>
      <c r="AU2" s="1" t="s">
        <v>101</v>
      </c>
      <c r="AV2" s="1" t="s">
        <v>303</v>
      </c>
      <c r="AW2" s="1" t="s">
        <v>304</v>
      </c>
      <c r="AX2" s="1" t="s">
        <v>123</v>
      </c>
      <c r="AY2" s="1" t="s">
        <v>305</v>
      </c>
      <c r="AZ2" s="1" t="s">
        <v>306</v>
      </c>
      <c r="BA2" s="1" t="s">
        <v>307</v>
      </c>
      <c r="BB2" s="1" t="s">
        <v>308</v>
      </c>
      <c r="BC2" s="1" t="s">
        <v>309</v>
      </c>
      <c r="BD2" s="1" t="s">
        <v>310</v>
      </c>
      <c r="BE2" s="1">
        <v>118.1</v>
      </c>
      <c r="BF2" s="1">
        <v>109.3</v>
      </c>
      <c r="BG2" s="1">
        <v>8.9</v>
      </c>
      <c r="BH2" s="1" t="s">
        <v>289</v>
      </c>
      <c r="BI2" s="1" t="s">
        <v>311</v>
      </c>
      <c r="BJ2" s="1" t="s">
        <v>312</v>
      </c>
      <c r="BK2" s="1" t="s">
        <v>311</v>
      </c>
      <c r="BL2" s="1" t="s">
        <v>313</v>
      </c>
      <c r="BM2" s="1" t="s">
        <v>314</v>
      </c>
      <c r="BN2" s="1" t="s">
        <v>314</v>
      </c>
      <c r="BO2" s="1" t="s">
        <v>315</v>
      </c>
      <c r="BP2" s="1" t="s">
        <v>316</v>
      </c>
      <c r="BQ2" s="1" t="s">
        <v>317</v>
      </c>
      <c r="BR2" s="1" t="s">
        <v>318</v>
      </c>
      <c r="BS2" s="1" t="s">
        <v>319</v>
      </c>
      <c r="BT2" s="1"/>
      <c r="BU2" s="1"/>
      <c r="BV2" s="1"/>
      <c r="BW2" s="1"/>
      <c r="BX2" s="1"/>
      <c r="BY2" s="1" t="s">
        <v>320</v>
      </c>
      <c r="BZ2" s="1" t="s">
        <v>321</v>
      </c>
      <c r="CA2" s="1" t="s">
        <v>322</v>
      </c>
      <c r="CB2" s="1" t="s">
        <v>323</v>
      </c>
      <c r="CC2" s="1" t="s">
        <v>324</v>
      </c>
    </row>
    <row r="3" spans="1:81" x14ac:dyDescent="0.25">
      <c r="A3" s="1" t="s">
        <v>93</v>
      </c>
      <c r="B3" s="1" t="s">
        <v>288</v>
      </c>
      <c r="C3" s="1">
        <v>1610612744</v>
      </c>
      <c r="D3" s="1" t="s">
        <v>174</v>
      </c>
      <c r="E3" s="1" t="s">
        <v>175</v>
      </c>
      <c r="F3" s="1" t="s">
        <v>97</v>
      </c>
      <c r="G3" s="1" t="s">
        <v>325</v>
      </c>
      <c r="H3" s="1">
        <v>1</v>
      </c>
      <c r="I3" s="1" t="s">
        <v>326</v>
      </c>
      <c r="J3" s="1" t="s">
        <v>135</v>
      </c>
      <c r="K3" s="1" t="s">
        <v>327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328</v>
      </c>
      <c r="R3" s="1" t="s">
        <v>329</v>
      </c>
      <c r="S3" s="1" t="s">
        <v>294</v>
      </c>
      <c r="T3" s="1" t="s">
        <v>330</v>
      </c>
      <c r="U3" s="1" t="s">
        <v>295</v>
      </c>
      <c r="V3" s="1" t="s">
        <v>295</v>
      </c>
      <c r="W3" s="1" t="s">
        <v>331</v>
      </c>
      <c r="X3" s="1" t="s">
        <v>332</v>
      </c>
      <c r="Y3" s="1" t="s">
        <v>333</v>
      </c>
      <c r="Z3" s="1">
        <v>6</v>
      </c>
      <c r="AA3" s="1" t="s">
        <v>299</v>
      </c>
      <c r="AB3" s="1">
        <v>11</v>
      </c>
      <c r="AC3" s="1" t="s">
        <v>334</v>
      </c>
      <c r="AD3" s="1">
        <v>11</v>
      </c>
      <c r="AE3" s="1">
        <v>4</v>
      </c>
      <c r="AF3" s="1">
        <v>5</v>
      </c>
      <c r="AG3" s="1" t="s">
        <v>335</v>
      </c>
      <c r="AH3" s="1">
        <v>-1</v>
      </c>
      <c r="AI3" s="1" t="s">
        <v>125</v>
      </c>
      <c r="AJ3" s="1">
        <v>-1</v>
      </c>
      <c r="AK3" s="1" t="s">
        <v>125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336</v>
      </c>
      <c r="AT3" s="1" t="s">
        <v>337</v>
      </c>
      <c r="AU3" s="1" t="s">
        <v>103</v>
      </c>
      <c r="AV3" s="1" t="s">
        <v>338</v>
      </c>
      <c r="AW3" s="1" t="s">
        <v>339</v>
      </c>
      <c r="AX3" s="1" t="s">
        <v>131</v>
      </c>
      <c r="AY3" s="1" t="s">
        <v>340</v>
      </c>
      <c r="AZ3" s="1" t="s">
        <v>341</v>
      </c>
      <c r="BA3" s="1" t="s">
        <v>342</v>
      </c>
      <c r="BB3" s="1" t="s">
        <v>343</v>
      </c>
      <c r="BC3" s="1" t="s">
        <v>344</v>
      </c>
      <c r="BD3" s="1" t="s">
        <v>345</v>
      </c>
      <c r="BE3" s="1">
        <v>117.7</v>
      </c>
      <c r="BF3" s="1">
        <v>111.2</v>
      </c>
      <c r="BG3" s="1">
        <v>6.5</v>
      </c>
      <c r="BH3" s="1" t="s">
        <v>346</v>
      </c>
      <c r="BI3" s="1" t="s">
        <v>314</v>
      </c>
      <c r="BJ3" s="1" t="s">
        <v>315</v>
      </c>
      <c r="BK3" s="1" t="s">
        <v>315</v>
      </c>
      <c r="BL3" s="1" t="s">
        <v>325</v>
      </c>
      <c r="BM3" s="1" t="s">
        <v>347</v>
      </c>
      <c r="BN3" s="1" t="s">
        <v>348</v>
      </c>
      <c r="BO3" s="1" t="s">
        <v>349</v>
      </c>
      <c r="BP3" s="1" t="s">
        <v>350</v>
      </c>
      <c r="BQ3" s="1" t="s">
        <v>351</v>
      </c>
      <c r="BR3" s="1" t="s">
        <v>352</v>
      </c>
      <c r="BS3" s="1" t="s">
        <v>353</v>
      </c>
      <c r="BT3" s="1"/>
      <c r="BU3" s="1"/>
      <c r="BV3" s="1"/>
      <c r="BW3" s="1"/>
      <c r="BX3" s="1"/>
      <c r="BY3" s="1" t="s">
        <v>354</v>
      </c>
      <c r="BZ3" s="1" t="s">
        <v>355</v>
      </c>
      <c r="CA3" s="1" t="s">
        <v>356</v>
      </c>
      <c r="CB3" s="1" t="s">
        <v>357</v>
      </c>
      <c r="CC3" s="1" t="s">
        <v>358</v>
      </c>
    </row>
    <row r="4" spans="1:81" x14ac:dyDescent="0.25">
      <c r="A4" s="1" t="s">
        <v>93</v>
      </c>
      <c r="B4" s="1" t="s">
        <v>288</v>
      </c>
      <c r="C4" s="1">
        <v>1610612761</v>
      </c>
      <c r="D4" s="1" t="s">
        <v>129</v>
      </c>
      <c r="E4" s="1" t="s">
        <v>130</v>
      </c>
      <c r="F4" s="1" t="s">
        <v>112</v>
      </c>
      <c r="G4" s="1" t="s">
        <v>359</v>
      </c>
      <c r="H4" s="1">
        <v>2</v>
      </c>
      <c r="I4" s="1" t="s">
        <v>360</v>
      </c>
      <c r="J4" s="1" t="s">
        <v>113</v>
      </c>
      <c r="K4" s="1" t="s">
        <v>361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362</v>
      </c>
      <c r="R4" s="1" t="s">
        <v>363</v>
      </c>
      <c r="S4" s="1" t="s">
        <v>364</v>
      </c>
      <c r="T4" s="1" t="s">
        <v>295</v>
      </c>
      <c r="U4" s="1" t="s">
        <v>295</v>
      </c>
      <c r="V4" s="1" t="s">
        <v>295</v>
      </c>
      <c r="W4" s="1" t="s">
        <v>365</v>
      </c>
      <c r="X4" s="1" t="s">
        <v>366</v>
      </c>
      <c r="Y4" s="1" t="s">
        <v>367</v>
      </c>
      <c r="Z4" s="1">
        <v>10</v>
      </c>
      <c r="AA4" s="1" t="s">
        <v>300</v>
      </c>
      <c r="AB4" s="1">
        <v>5</v>
      </c>
      <c r="AC4" s="1" t="s">
        <v>335</v>
      </c>
      <c r="AD4" s="1">
        <v>8</v>
      </c>
      <c r="AE4" s="1">
        <v>3</v>
      </c>
      <c r="AF4" s="1">
        <v>3</v>
      </c>
      <c r="AG4" s="1" t="s">
        <v>105</v>
      </c>
      <c r="AH4" s="1">
        <v>1</v>
      </c>
      <c r="AI4" s="1" t="s">
        <v>114</v>
      </c>
      <c r="AJ4" s="1">
        <v>2</v>
      </c>
      <c r="AK4" s="1" t="s">
        <v>115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368</v>
      </c>
      <c r="AT4" s="1" t="s">
        <v>369</v>
      </c>
      <c r="AU4" s="1" t="s">
        <v>131</v>
      </c>
      <c r="AV4" s="1" t="s">
        <v>370</v>
      </c>
      <c r="AW4" s="1" t="s">
        <v>371</v>
      </c>
      <c r="AX4" s="1" t="s">
        <v>98</v>
      </c>
      <c r="AY4" s="1" t="s">
        <v>372</v>
      </c>
      <c r="AZ4" s="1" t="s">
        <v>373</v>
      </c>
      <c r="BA4" s="1" t="s">
        <v>374</v>
      </c>
      <c r="BB4" s="1" t="s">
        <v>375</v>
      </c>
      <c r="BC4" s="1" t="s">
        <v>376</v>
      </c>
      <c r="BD4" s="1" t="s">
        <v>377</v>
      </c>
      <c r="BE4" s="1">
        <v>114.4</v>
      </c>
      <c r="BF4" s="1">
        <v>108.4</v>
      </c>
      <c r="BG4" s="1">
        <v>6.1</v>
      </c>
      <c r="BH4" s="1" t="s">
        <v>359</v>
      </c>
      <c r="BI4" s="1" t="s">
        <v>378</v>
      </c>
      <c r="BJ4" s="1" t="s">
        <v>349</v>
      </c>
      <c r="BK4" s="1" t="s">
        <v>379</v>
      </c>
      <c r="BL4" s="1" t="s">
        <v>346</v>
      </c>
      <c r="BM4" s="1" t="s">
        <v>314</v>
      </c>
      <c r="BN4" s="1" t="s">
        <v>380</v>
      </c>
      <c r="BO4" s="1" t="s">
        <v>314</v>
      </c>
      <c r="BP4" s="1" t="s">
        <v>356</v>
      </c>
      <c r="BQ4" s="1" t="s">
        <v>354</v>
      </c>
      <c r="BR4" s="1" t="s">
        <v>381</v>
      </c>
      <c r="BS4" s="1" t="s">
        <v>382</v>
      </c>
      <c r="BT4" s="1"/>
      <c r="BU4" s="1"/>
      <c r="BV4" s="1"/>
      <c r="BW4" s="1"/>
      <c r="BX4" s="1"/>
      <c r="BY4" s="1" t="s">
        <v>383</v>
      </c>
      <c r="BZ4" s="1" t="s">
        <v>316</v>
      </c>
      <c r="CA4" s="1" t="s">
        <v>384</v>
      </c>
      <c r="CB4" s="1" t="s">
        <v>385</v>
      </c>
      <c r="CC4" s="1" t="s">
        <v>386</v>
      </c>
    </row>
    <row r="5" spans="1:81" x14ac:dyDescent="0.25">
      <c r="A5" s="1" t="s">
        <v>93</v>
      </c>
      <c r="B5" s="1" t="s">
        <v>288</v>
      </c>
      <c r="C5" s="1">
        <v>1610612743</v>
      </c>
      <c r="D5" s="1" t="s">
        <v>153</v>
      </c>
      <c r="E5" s="1" t="s">
        <v>154</v>
      </c>
      <c r="F5" s="1" t="s">
        <v>97</v>
      </c>
      <c r="G5" s="1" t="s">
        <v>387</v>
      </c>
      <c r="H5" s="1">
        <v>2</v>
      </c>
      <c r="I5" s="1" t="s">
        <v>388</v>
      </c>
      <c r="J5" s="1" t="s">
        <v>118</v>
      </c>
      <c r="K5" s="1" t="s">
        <v>361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389</v>
      </c>
      <c r="R5" s="1" t="s">
        <v>390</v>
      </c>
      <c r="S5" s="1" t="s">
        <v>391</v>
      </c>
      <c r="T5" s="1" t="s">
        <v>296</v>
      </c>
      <c r="U5" s="1" t="s">
        <v>295</v>
      </c>
      <c r="V5" s="1" t="s">
        <v>392</v>
      </c>
      <c r="W5" s="1" t="s">
        <v>104</v>
      </c>
      <c r="X5" s="1" t="s">
        <v>327</v>
      </c>
      <c r="Y5" s="1" t="s">
        <v>393</v>
      </c>
      <c r="Z5" s="1">
        <v>12</v>
      </c>
      <c r="AA5" s="1" t="s">
        <v>394</v>
      </c>
      <c r="AB5" s="1">
        <v>5</v>
      </c>
      <c r="AC5" s="1" t="s">
        <v>335</v>
      </c>
      <c r="AD5" s="1">
        <v>7</v>
      </c>
      <c r="AE5" s="1">
        <v>4</v>
      </c>
      <c r="AF5" s="1">
        <v>3</v>
      </c>
      <c r="AG5" s="1" t="s">
        <v>105</v>
      </c>
      <c r="AH5" s="1">
        <v>-3</v>
      </c>
      <c r="AI5" s="1" t="s">
        <v>183</v>
      </c>
      <c r="AJ5" s="1">
        <v>1</v>
      </c>
      <c r="AK5" s="1" t="s">
        <v>114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395</v>
      </c>
      <c r="AT5" s="1" t="s">
        <v>396</v>
      </c>
      <c r="AU5" s="1" t="s">
        <v>131</v>
      </c>
      <c r="AV5" s="1" t="s">
        <v>397</v>
      </c>
      <c r="AW5" s="1" t="s">
        <v>398</v>
      </c>
      <c r="AX5" s="1" t="s">
        <v>399</v>
      </c>
      <c r="AY5" s="1" t="s">
        <v>400</v>
      </c>
      <c r="AZ5" s="1" t="s">
        <v>401</v>
      </c>
      <c r="BA5" s="1" t="s">
        <v>402</v>
      </c>
      <c r="BB5" s="1" t="s">
        <v>403</v>
      </c>
      <c r="BC5" s="1" t="s">
        <v>404</v>
      </c>
      <c r="BD5" s="1" t="s">
        <v>405</v>
      </c>
      <c r="BE5" s="1">
        <v>110.7</v>
      </c>
      <c r="BF5" s="1">
        <v>106.7</v>
      </c>
      <c r="BG5" s="1">
        <v>4</v>
      </c>
      <c r="BH5" s="1" t="s">
        <v>313</v>
      </c>
      <c r="BI5" s="1" t="s">
        <v>406</v>
      </c>
      <c r="BJ5" s="1" t="s">
        <v>314</v>
      </c>
      <c r="BK5" s="1" t="s">
        <v>406</v>
      </c>
      <c r="BL5" s="1" t="s">
        <v>387</v>
      </c>
      <c r="BM5" s="1" t="s">
        <v>378</v>
      </c>
      <c r="BN5" s="1" t="s">
        <v>347</v>
      </c>
      <c r="BO5" s="1" t="s">
        <v>349</v>
      </c>
      <c r="BP5" s="1" t="s">
        <v>378</v>
      </c>
      <c r="BQ5" s="1" t="s">
        <v>351</v>
      </c>
      <c r="BR5" s="1" t="s">
        <v>381</v>
      </c>
      <c r="BS5" s="1" t="s">
        <v>407</v>
      </c>
      <c r="BT5" s="1"/>
      <c r="BU5" s="1"/>
      <c r="BV5" s="1"/>
      <c r="BW5" s="1"/>
      <c r="BX5" s="1"/>
      <c r="BY5" s="1" t="s">
        <v>408</v>
      </c>
      <c r="BZ5" s="1" t="s">
        <v>381</v>
      </c>
      <c r="CA5" s="1" t="s">
        <v>409</v>
      </c>
      <c r="CB5" s="1" t="s">
        <v>410</v>
      </c>
      <c r="CC5" s="1" t="s">
        <v>411</v>
      </c>
    </row>
    <row r="6" spans="1:81" x14ac:dyDescent="0.25">
      <c r="A6" s="1" t="s">
        <v>93</v>
      </c>
      <c r="B6" s="1" t="s">
        <v>288</v>
      </c>
      <c r="C6" s="1">
        <v>1610612757</v>
      </c>
      <c r="D6" s="1" t="s">
        <v>170</v>
      </c>
      <c r="E6" s="1" t="s">
        <v>171</v>
      </c>
      <c r="F6" s="1" t="s">
        <v>97</v>
      </c>
      <c r="G6" s="1" t="s">
        <v>412</v>
      </c>
      <c r="H6" s="1">
        <v>3</v>
      </c>
      <c r="I6" s="1" t="s">
        <v>413</v>
      </c>
      <c r="J6" s="1" t="s">
        <v>118</v>
      </c>
      <c r="K6" s="1" t="s">
        <v>414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415</v>
      </c>
      <c r="R6" s="1" t="s">
        <v>363</v>
      </c>
      <c r="S6" s="1" t="s">
        <v>416</v>
      </c>
      <c r="T6" s="1" t="s">
        <v>330</v>
      </c>
      <c r="U6" s="1" t="s">
        <v>417</v>
      </c>
      <c r="V6" s="1" t="s">
        <v>418</v>
      </c>
      <c r="W6" s="1" t="s">
        <v>419</v>
      </c>
      <c r="X6" s="1" t="s">
        <v>392</v>
      </c>
      <c r="Y6" s="1" t="s">
        <v>420</v>
      </c>
      <c r="Z6" s="1">
        <v>8</v>
      </c>
      <c r="AA6" s="1" t="s">
        <v>421</v>
      </c>
      <c r="AB6" s="1">
        <v>-6</v>
      </c>
      <c r="AC6" s="1" t="s">
        <v>422</v>
      </c>
      <c r="AD6" s="1">
        <v>6</v>
      </c>
      <c r="AE6" s="1">
        <v>3</v>
      </c>
      <c r="AF6" s="1">
        <v>8</v>
      </c>
      <c r="AG6" s="1" t="s">
        <v>421</v>
      </c>
      <c r="AH6" s="1">
        <v>1</v>
      </c>
      <c r="AI6" s="1" t="s">
        <v>114</v>
      </c>
      <c r="AJ6" s="1">
        <v>3</v>
      </c>
      <c r="AK6" s="1" t="s">
        <v>105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423</v>
      </c>
      <c r="AT6" s="1" t="s">
        <v>424</v>
      </c>
      <c r="AU6" s="1" t="s">
        <v>126</v>
      </c>
      <c r="AV6" s="1" t="s">
        <v>425</v>
      </c>
      <c r="AW6" s="1" t="s">
        <v>426</v>
      </c>
      <c r="AX6" s="1" t="s">
        <v>101</v>
      </c>
      <c r="AY6" s="1" t="s">
        <v>427</v>
      </c>
      <c r="AZ6" s="1" t="s">
        <v>428</v>
      </c>
      <c r="BA6" s="1" t="s">
        <v>429</v>
      </c>
      <c r="BB6" s="1" t="s">
        <v>430</v>
      </c>
      <c r="BC6" s="1" t="s">
        <v>431</v>
      </c>
      <c r="BD6" s="1" t="s">
        <v>432</v>
      </c>
      <c r="BE6" s="1">
        <v>114.7</v>
      </c>
      <c r="BF6" s="1">
        <v>110.5</v>
      </c>
      <c r="BG6" s="1">
        <v>4.2</v>
      </c>
      <c r="BH6" s="1" t="s">
        <v>433</v>
      </c>
      <c r="BI6" s="1" t="s">
        <v>434</v>
      </c>
      <c r="BJ6" s="1" t="s">
        <v>315</v>
      </c>
      <c r="BK6" s="1" t="s">
        <v>406</v>
      </c>
      <c r="BL6" s="1" t="s">
        <v>412</v>
      </c>
      <c r="BM6" s="1" t="s">
        <v>435</v>
      </c>
      <c r="BN6" s="1" t="s">
        <v>347</v>
      </c>
      <c r="BO6" s="1" t="s">
        <v>436</v>
      </c>
      <c r="BP6" s="1" t="s">
        <v>437</v>
      </c>
      <c r="BQ6" s="1" t="s">
        <v>438</v>
      </c>
      <c r="BR6" s="1" t="s">
        <v>356</v>
      </c>
      <c r="BS6" s="1" t="s">
        <v>353</v>
      </c>
      <c r="BT6" s="1"/>
      <c r="BU6" s="1"/>
      <c r="BV6" s="1"/>
      <c r="BW6" s="1"/>
      <c r="BX6" s="1"/>
      <c r="BY6" s="1" t="s">
        <v>439</v>
      </c>
      <c r="BZ6" s="1" t="s">
        <v>384</v>
      </c>
      <c r="CA6" s="1" t="s">
        <v>384</v>
      </c>
      <c r="CB6" s="1" t="s">
        <v>440</v>
      </c>
      <c r="CC6" s="1" t="s">
        <v>441</v>
      </c>
    </row>
    <row r="7" spans="1:81" x14ac:dyDescent="0.25">
      <c r="A7" s="1" t="s">
        <v>93</v>
      </c>
      <c r="B7" s="1" t="s">
        <v>288</v>
      </c>
      <c r="C7" s="1">
        <v>1610612755</v>
      </c>
      <c r="D7" s="1" t="s">
        <v>110</v>
      </c>
      <c r="E7" s="1" t="s">
        <v>111</v>
      </c>
      <c r="F7" s="1" t="s">
        <v>112</v>
      </c>
      <c r="G7" s="1" t="s">
        <v>442</v>
      </c>
      <c r="H7" s="1">
        <v>3</v>
      </c>
      <c r="I7" s="1" t="s">
        <v>413</v>
      </c>
      <c r="J7" s="1" t="s">
        <v>113</v>
      </c>
      <c r="K7" s="1" t="s">
        <v>443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444</v>
      </c>
      <c r="R7" s="1" t="s">
        <v>445</v>
      </c>
      <c r="S7" s="1" t="s">
        <v>391</v>
      </c>
      <c r="T7" s="1" t="s">
        <v>392</v>
      </c>
      <c r="U7" s="1" t="s">
        <v>295</v>
      </c>
      <c r="V7" s="1" t="s">
        <v>392</v>
      </c>
      <c r="W7" s="1" t="s">
        <v>446</v>
      </c>
      <c r="X7" s="1" t="s">
        <v>447</v>
      </c>
      <c r="Y7" s="1" t="s">
        <v>448</v>
      </c>
      <c r="Z7" s="1">
        <v>10</v>
      </c>
      <c r="AA7" s="1" t="s">
        <v>300</v>
      </c>
      <c r="AB7" s="1">
        <v>-5</v>
      </c>
      <c r="AC7" s="1" t="s">
        <v>449</v>
      </c>
      <c r="AD7" s="1">
        <v>6</v>
      </c>
      <c r="AE7" s="1">
        <v>3</v>
      </c>
      <c r="AF7" s="1">
        <v>1</v>
      </c>
      <c r="AG7" s="1" t="s">
        <v>114</v>
      </c>
      <c r="AH7" s="1">
        <v>-1</v>
      </c>
      <c r="AI7" s="1" t="s">
        <v>125</v>
      </c>
      <c r="AJ7" s="1">
        <v>1</v>
      </c>
      <c r="AK7" s="1" t="s">
        <v>114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450</v>
      </c>
      <c r="AT7" s="1" t="s">
        <v>451</v>
      </c>
      <c r="AU7" s="1" t="s">
        <v>452</v>
      </c>
      <c r="AV7" s="1" t="s">
        <v>336</v>
      </c>
      <c r="AW7" s="1" t="s">
        <v>453</v>
      </c>
      <c r="AX7" s="1" t="s">
        <v>123</v>
      </c>
      <c r="AY7" s="1" t="s">
        <v>454</v>
      </c>
      <c r="AZ7" s="1" t="s">
        <v>455</v>
      </c>
      <c r="BA7" s="1" t="s">
        <v>456</v>
      </c>
      <c r="BB7" s="1" t="s">
        <v>404</v>
      </c>
      <c r="BC7" s="1" t="s">
        <v>357</v>
      </c>
      <c r="BD7" s="1" t="s">
        <v>457</v>
      </c>
      <c r="BE7" s="1">
        <v>115.2</v>
      </c>
      <c r="BF7" s="1">
        <v>112.5</v>
      </c>
      <c r="BG7" s="1">
        <v>2.7</v>
      </c>
      <c r="BH7" s="1" t="s">
        <v>442</v>
      </c>
      <c r="BI7" s="1" t="s">
        <v>458</v>
      </c>
      <c r="BJ7" s="1" t="s">
        <v>347</v>
      </c>
      <c r="BK7" s="1" t="s">
        <v>436</v>
      </c>
      <c r="BL7" s="1" t="s">
        <v>313</v>
      </c>
      <c r="BM7" s="1" t="s">
        <v>314</v>
      </c>
      <c r="BN7" s="1" t="s">
        <v>315</v>
      </c>
      <c r="BO7" s="1" t="s">
        <v>314</v>
      </c>
      <c r="BP7" s="1" t="s">
        <v>437</v>
      </c>
      <c r="BQ7" s="1" t="s">
        <v>314</v>
      </c>
      <c r="BR7" s="1" t="s">
        <v>352</v>
      </c>
      <c r="BS7" s="1" t="s">
        <v>459</v>
      </c>
      <c r="BT7" s="1"/>
      <c r="BU7" s="1"/>
      <c r="BV7" s="1"/>
      <c r="BW7" s="1"/>
      <c r="BX7" s="1"/>
      <c r="BY7" s="1" t="s">
        <v>460</v>
      </c>
      <c r="BZ7" s="1" t="s">
        <v>378</v>
      </c>
      <c r="CA7" s="1" t="s">
        <v>461</v>
      </c>
      <c r="CB7" s="1" t="s">
        <v>462</v>
      </c>
      <c r="CC7" s="1" t="s">
        <v>463</v>
      </c>
    </row>
    <row r="8" spans="1:81" x14ac:dyDescent="0.25">
      <c r="A8" s="1" t="s">
        <v>93</v>
      </c>
      <c r="B8" s="1" t="s">
        <v>288</v>
      </c>
      <c r="C8" s="1">
        <v>1610612738</v>
      </c>
      <c r="D8" s="1" t="s">
        <v>143</v>
      </c>
      <c r="E8" s="1" t="s">
        <v>144</v>
      </c>
      <c r="F8" s="1" t="s">
        <v>112</v>
      </c>
      <c r="G8" s="1" t="s">
        <v>325</v>
      </c>
      <c r="H8" s="1">
        <v>4</v>
      </c>
      <c r="I8" s="1" t="s">
        <v>413</v>
      </c>
      <c r="J8" s="1" t="s">
        <v>113</v>
      </c>
      <c r="K8" s="1" t="s">
        <v>464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465</v>
      </c>
      <c r="R8" s="1" t="s">
        <v>466</v>
      </c>
      <c r="S8" s="1" t="s">
        <v>416</v>
      </c>
      <c r="T8" s="1" t="s">
        <v>418</v>
      </c>
      <c r="U8" s="1" t="s">
        <v>296</v>
      </c>
      <c r="V8" s="1" t="s">
        <v>418</v>
      </c>
      <c r="W8" s="1" t="s">
        <v>467</v>
      </c>
      <c r="X8" s="1" t="s">
        <v>297</v>
      </c>
      <c r="Y8" s="1" t="s">
        <v>468</v>
      </c>
      <c r="Z8" s="1">
        <v>10</v>
      </c>
      <c r="AA8" s="1" t="s">
        <v>300</v>
      </c>
      <c r="AB8" s="1">
        <v>4</v>
      </c>
      <c r="AC8" s="1" t="s">
        <v>469</v>
      </c>
      <c r="AD8" s="1">
        <v>8</v>
      </c>
      <c r="AE8" s="1">
        <v>4</v>
      </c>
      <c r="AF8" s="1">
        <v>-1</v>
      </c>
      <c r="AG8" s="1" t="s">
        <v>125</v>
      </c>
      <c r="AH8" s="1">
        <v>3</v>
      </c>
      <c r="AI8" s="1" t="s">
        <v>105</v>
      </c>
      <c r="AJ8" s="1">
        <v>1</v>
      </c>
      <c r="AK8" s="1" t="s">
        <v>114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470</v>
      </c>
      <c r="AT8" s="1" t="s">
        <v>471</v>
      </c>
      <c r="AU8" s="1" t="s">
        <v>126</v>
      </c>
      <c r="AV8" s="1" t="s">
        <v>472</v>
      </c>
      <c r="AW8" s="1" t="s">
        <v>398</v>
      </c>
      <c r="AX8" s="1" t="s">
        <v>162</v>
      </c>
      <c r="AY8" s="1" t="s">
        <v>473</v>
      </c>
      <c r="AZ8" s="1" t="s">
        <v>474</v>
      </c>
      <c r="BA8" s="1" t="s">
        <v>475</v>
      </c>
      <c r="BB8" s="1" t="s">
        <v>476</v>
      </c>
      <c r="BC8" s="1" t="s">
        <v>310</v>
      </c>
      <c r="BD8" s="1" t="s">
        <v>477</v>
      </c>
      <c r="BE8" s="1">
        <v>112.4</v>
      </c>
      <c r="BF8" s="1">
        <v>108</v>
      </c>
      <c r="BG8" s="1">
        <v>4.4000000000000004</v>
      </c>
      <c r="BH8" s="1" t="s">
        <v>325</v>
      </c>
      <c r="BI8" s="1" t="s">
        <v>318</v>
      </c>
      <c r="BJ8" s="1" t="s">
        <v>311</v>
      </c>
      <c r="BK8" s="1" t="s">
        <v>347</v>
      </c>
      <c r="BL8" s="1" t="s">
        <v>478</v>
      </c>
      <c r="BM8" s="1" t="s">
        <v>479</v>
      </c>
      <c r="BN8" s="1" t="s">
        <v>480</v>
      </c>
      <c r="BO8" s="1" t="s">
        <v>480</v>
      </c>
      <c r="BP8" s="1" t="s">
        <v>437</v>
      </c>
      <c r="BQ8" s="1" t="s">
        <v>481</v>
      </c>
      <c r="BR8" s="1" t="s">
        <v>384</v>
      </c>
      <c r="BS8" s="1" t="s">
        <v>382</v>
      </c>
      <c r="BT8" s="1"/>
      <c r="BU8" s="1"/>
      <c r="BV8" s="1"/>
      <c r="BW8" s="1"/>
      <c r="BX8" s="1"/>
      <c r="BY8" s="1" t="s">
        <v>439</v>
      </c>
      <c r="BZ8" s="1" t="s">
        <v>482</v>
      </c>
      <c r="CA8" s="1" t="s">
        <v>352</v>
      </c>
      <c r="CB8" s="1" t="s">
        <v>462</v>
      </c>
      <c r="CC8" s="1" t="s">
        <v>483</v>
      </c>
    </row>
    <row r="9" spans="1:81" x14ac:dyDescent="0.25">
      <c r="A9" s="1" t="s">
        <v>93</v>
      </c>
      <c r="B9" s="1" t="s">
        <v>288</v>
      </c>
      <c r="C9" s="1">
        <v>1610612745</v>
      </c>
      <c r="D9" s="1" t="s">
        <v>157</v>
      </c>
      <c r="E9" s="1" t="s">
        <v>158</v>
      </c>
      <c r="F9" s="1" t="s">
        <v>97</v>
      </c>
      <c r="G9" s="1" t="s">
        <v>484</v>
      </c>
      <c r="H9" s="1">
        <v>4</v>
      </c>
      <c r="I9" s="1" t="s">
        <v>485</v>
      </c>
      <c r="J9" s="1" t="s">
        <v>100</v>
      </c>
      <c r="K9" s="1" t="s">
        <v>464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415</v>
      </c>
      <c r="R9" s="1" t="s">
        <v>445</v>
      </c>
      <c r="S9" s="1" t="s">
        <v>486</v>
      </c>
      <c r="T9" s="1" t="s">
        <v>330</v>
      </c>
      <c r="U9" s="1" t="s">
        <v>417</v>
      </c>
      <c r="V9" s="1" t="s">
        <v>295</v>
      </c>
      <c r="W9" s="1" t="s">
        <v>487</v>
      </c>
      <c r="X9" s="1" t="s">
        <v>488</v>
      </c>
      <c r="Y9" s="1" t="s">
        <v>489</v>
      </c>
      <c r="Z9" s="1">
        <v>10</v>
      </c>
      <c r="AA9" s="1" t="s">
        <v>300</v>
      </c>
      <c r="AB9" s="1">
        <v>6</v>
      </c>
      <c r="AC9" s="1" t="s">
        <v>299</v>
      </c>
      <c r="AD9" s="1">
        <v>9</v>
      </c>
      <c r="AE9" s="1">
        <v>4</v>
      </c>
      <c r="AF9" s="1">
        <v>7</v>
      </c>
      <c r="AG9" s="1" t="s">
        <v>490</v>
      </c>
      <c r="AH9" s="1">
        <v>-1</v>
      </c>
      <c r="AI9" s="1" t="s">
        <v>125</v>
      </c>
      <c r="AJ9" s="1">
        <v>-1</v>
      </c>
      <c r="AK9" s="1" t="s">
        <v>125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491</v>
      </c>
      <c r="AT9" s="1" t="s">
        <v>492</v>
      </c>
      <c r="AU9" s="1" t="s">
        <v>98</v>
      </c>
      <c r="AV9" s="1" t="s">
        <v>493</v>
      </c>
      <c r="AW9" s="1" t="s">
        <v>494</v>
      </c>
      <c r="AX9" s="1" t="s">
        <v>152</v>
      </c>
      <c r="AY9" s="1" t="s">
        <v>400</v>
      </c>
      <c r="AZ9" s="1" t="s">
        <v>495</v>
      </c>
      <c r="BA9" s="1" t="s">
        <v>374</v>
      </c>
      <c r="BB9" s="1" t="s">
        <v>496</v>
      </c>
      <c r="BC9" s="1" t="s">
        <v>497</v>
      </c>
      <c r="BD9" s="1" t="s">
        <v>498</v>
      </c>
      <c r="BE9" s="1">
        <v>113.9</v>
      </c>
      <c r="BF9" s="1">
        <v>109.1</v>
      </c>
      <c r="BG9" s="1">
        <v>4.8</v>
      </c>
      <c r="BH9" s="1" t="s">
        <v>499</v>
      </c>
      <c r="BI9" s="1" t="s">
        <v>315</v>
      </c>
      <c r="BJ9" s="1" t="s">
        <v>314</v>
      </c>
      <c r="BK9" s="1" t="s">
        <v>406</v>
      </c>
      <c r="BL9" s="1" t="s">
        <v>484</v>
      </c>
      <c r="BM9" s="1" t="s">
        <v>500</v>
      </c>
      <c r="BN9" s="1" t="s">
        <v>379</v>
      </c>
      <c r="BO9" s="1" t="s">
        <v>318</v>
      </c>
      <c r="BP9" s="1" t="s">
        <v>321</v>
      </c>
      <c r="BQ9" s="1" t="s">
        <v>409</v>
      </c>
      <c r="BR9" s="1" t="s">
        <v>316</v>
      </c>
      <c r="BS9" s="1" t="s">
        <v>382</v>
      </c>
      <c r="BT9" s="1"/>
      <c r="BU9" s="1"/>
      <c r="BV9" s="1"/>
      <c r="BW9" s="1"/>
      <c r="BX9" s="1"/>
      <c r="BY9" s="1" t="s">
        <v>501</v>
      </c>
      <c r="BZ9" s="1" t="s">
        <v>381</v>
      </c>
      <c r="CA9" s="1" t="s">
        <v>437</v>
      </c>
      <c r="CB9" s="1" t="s">
        <v>502</v>
      </c>
      <c r="CC9" s="1" t="s">
        <v>503</v>
      </c>
    </row>
    <row r="10" spans="1:81" x14ac:dyDescent="0.25">
      <c r="A10" s="1" t="s">
        <v>93</v>
      </c>
      <c r="B10" s="1" t="s">
        <v>288</v>
      </c>
      <c r="C10" s="1">
        <v>1610612762</v>
      </c>
      <c r="D10" s="1" t="s">
        <v>145</v>
      </c>
      <c r="E10" s="1" t="s">
        <v>146</v>
      </c>
      <c r="F10" s="1" t="s">
        <v>97</v>
      </c>
      <c r="G10" s="1" t="s">
        <v>504</v>
      </c>
      <c r="H10" s="1">
        <v>5</v>
      </c>
      <c r="I10" s="1" t="s">
        <v>413</v>
      </c>
      <c r="J10" s="1" t="s">
        <v>118</v>
      </c>
      <c r="K10" s="1" t="s">
        <v>443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505</v>
      </c>
      <c r="R10" s="1" t="s">
        <v>489</v>
      </c>
      <c r="S10" s="1" t="s">
        <v>416</v>
      </c>
      <c r="T10" s="1" t="s">
        <v>330</v>
      </c>
      <c r="U10" s="1" t="s">
        <v>330</v>
      </c>
      <c r="V10" s="1" t="s">
        <v>418</v>
      </c>
      <c r="W10" s="1" t="s">
        <v>162</v>
      </c>
      <c r="X10" s="1" t="s">
        <v>506</v>
      </c>
      <c r="Y10" s="1" t="s">
        <v>507</v>
      </c>
      <c r="Z10" s="1">
        <v>8</v>
      </c>
      <c r="AA10" s="1" t="s">
        <v>421</v>
      </c>
      <c r="AB10" s="1">
        <v>-5</v>
      </c>
      <c r="AC10" s="1" t="s">
        <v>449</v>
      </c>
      <c r="AD10" s="1">
        <v>7</v>
      </c>
      <c r="AE10" s="1">
        <v>4</v>
      </c>
      <c r="AF10" s="1">
        <v>8</v>
      </c>
      <c r="AG10" s="1" t="s">
        <v>421</v>
      </c>
      <c r="AH10" s="1">
        <v>-2</v>
      </c>
      <c r="AI10" s="1" t="s">
        <v>151</v>
      </c>
      <c r="AJ10" s="1">
        <v>-1</v>
      </c>
      <c r="AK10" s="1" t="s">
        <v>125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508</v>
      </c>
      <c r="AT10" s="1" t="s">
        <v>509</v>
      </c>
      <c r="AU10" s="1" t="s">
        <v>131</v>
      </c>
      <c r="AV10" s="1" t="s">
        <v>510</v>
      </c>
      <c r="AW10" s="1" t="s">
        <v>511</v>
      </c>
      <c r="AX10" s="1" t="s">
        <v>98</v>
      </c>
      <c r="AY10" s="1" t="s">
        <v>512</v>
      </c>
      <c r="AZ10" s="1" t="s">
        <v>513</v>
      </c>
      <c r="BA10" s="1" t="s">
        <v>514</v>
      </c>
      <c r="BB10" s="1" t="s">
        <v>515</v>
      </c>
      <c r="BC10" s="1" t="s">
        <v>470</v>
      </c>
      <c r="BD10" s="1" t="s">
        <v>516</v>
      </c>
      <c r="BE10" s="1">
        <v>111.7</v>
      </c>
      <c r="BF10" s="1">
        <v>106.5</v>
      </c>
      <c r="BG10" s="1">
        <v>5.3</v>
      </c>
      <c r="BH10" s="1" t="s">
        <v>313</v>
      </c>
      <c r="BI10" s="1" t="s">
        <v>314</v>
      </c>
      <c r="BJ10" s="1" t="s">
        <v>406</v>
      </c>
      <c r="BK10" s="1" t="s">
        <v>406</v>
      </c>
      <c r="BL10" s="1" t="s">
        <v>504</v>
      </c>
      <c r="BM10" s="1" t="s">
        <v>458</v>
      </c>
      <c r="BN10" s="1" t="s">
        <v>347</v>
      </c>
      <c r="BO10" s="1" t="s">
        <v>349</v>
      </c>
      <c r="BP10" s="1" t="s">
        <v>437</v>
      </c>
      <c r="BQ10" s="1" t="s">
        <v>438</v>
      </c>
      <c r="BR10" s="1" t="s">
        <v>437</v>
      </c>
      <c r="BS10" s="1" t="s">
        <v>517</v>
      </c>
      <c r="BT10" s="1"/>
      <c r="BU10" s="1"/>
      <c r="BV10" s="1"/>
      <c r="BW10" s="1"/>
      <c r="BX10" s="1"/>
      <c r="BY10" s="1" t="s">
        <v>518</v>
      </c>
      <c r="BZ10" s="1" t="s">
        <v>519</v>
      </c>
      <c r="CA10" s="1" t="s">
        <v>355</v>
      </c>
      <c r="CB10" s="1" t="s">
        <v>520</v>
      </c>
      <c r="CC10" s="1" t="s">
        <v>521</v>
      </c>
    </row>
    <row r="11" spans="1:81" x14ac:dyDescent="0.25">
      <c r="A11" s="1" t="s">
        <v>93</v>
      </c>
      <c r="B11" s="1" t="s">
        <v>288</v>
      </c>
      <c r="C11" s="1">
        <v>1610612754</v>
      </c>
      <c r="D11" s="1" t="s">
        <v>198</v>
      </c>
      <c r="E11" s="1" t="s">
        <v>199</v>
      </c>
      <c r="F11" s="1" t="s">
        <v>112</v>
      </c>
      <c r="G11" s="1" t="s">
        <v>522</v>
      </c>
      <c r="H11" s="1">
        <v>5</v>
      </c>
      <c r="I11" s="1" t="s">
        <v>413</v>
      </c>
      <c r="J11" s="1" t="s">
        <v>140</v>
      </c>
      <c r="K11" s="1" t="s">
        <v>523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524</v>
      </c>
      <c r="R11" s="1" t="s">
        <v>489</v>
      </c>
      <c r="S11" s="1" t="s">
        <v>525</v>
      </c>
      <c r="T11" s="1" t="s">
        <v>392</v>
      </c>
      <c r="U11" s="1" t="s">
        <v>418</v>
      </c>
      <c r="V11" s="1" t="s">
        <v>526</v>
      </c>
      <c r="W11" s="1" t="s">
        <v>98</v>
      </c>
      <c r="X11" s="1" t="s">
        <v>527</v>
      </c>
      <c r="Y11" s="1" t="s">
        <v>528</v>
      </c>
      <c r="Z11" s="1">
        <v>5</v>
      </c>
      <c r="AA11" s="1" t="s">
        <v>335</v>
      </c>
      <c r="AB11" s="1">
        <v>-10</v>
      </c>
      <c r="AC11" s="1" t="s">
        <v>529</v>
      </c>
      <c r="AD11" s="1">
        <v>7</v>
      </c>
      <c r="AE11" s="1">
        <v>4</v>
      </c>
      <c r="AF11" s="1">
        <v>-2</v>
      </c>
      <c r="AG11" s="1" t="s">
        <v>151</v>
      </c>
      <c r="AH11" s="1">
        <v>2</v>
      </c>
      <c r="AI11" s="1" t="s">
        <v>115</v>
      </c>
      <c r="AJ11" s="1">
        <v>1</v>
      </c>
      <c r="AK11" s="1" t="s">
        <v>114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530</v>
      </c>
      <c r="AT11" s="1" t="s">
        <v>531</v>
      </c>
      <c r="AU11" s="1" t="s">
        <v>152</v>
      </c>
      <c r="AV11" s="1" t="s">
        <v>532</v>
      </c>
      <c r="AW11" s="1" t="s">
        <v>533</v>
      </c>
      <c r="AX11" s="1" t="s">
        <v>98</v>
      </c>
      <c r="AY11" s="1" t="s">
        <v>534</v>
      </c>
      <c r="AZ11" s="1" t="s">
        <v>535</v>
      </c>
      <c r="BA11" s="1" t="s">
        <v>536</v>
      </c>
      <c r="BB11" s="1" t="s">
        <v>537</v>
      </c>
      <c r="BC11" s="1" t="s">
        <v>538</v>
      </c>
      <c r="BD11" s="1" t="s">
        <v>539</v>
      </c>
      <c r="BE11" s="1">
        <v>108</v>
      </c>
      <c r="BF11" s="1">
        <v>104.7</v>
      </c>
      <c r="BG11" s="1">
        <v>3.3</v>
      </c>
      <c r="BH11" s="1" t="s">
        <v>522</v>
      </c>
      <c r="BI11" s="1" t="s">
        <v>540</v>
      </c>
      <c r="BJ11" s="1" t="s">
        <v>541</v>
      </c>
      <c r="BK11" s="1" t="s">
        <v>311</v>
      </c>
      <c r="BL11" s="1" t="s">
        <v>542</v>
      </c>
      <c r="BM11" s="1" t="s">
        <v>480</v>
      </c>
      <c r="BN11" s="1" t="s">
        <v>480</v>
      </c>
      <c r="BO11" s="1" t="s">
        <v>480</v>
      </c>
      <c r="BP11" s="1" t="s">
        <v>355</v>
      </c>
      <c r="BQ11" s="1" t="s">
        <v>543</v>
      </c>
      <c r="BR11" s="1" t="s">
        <v>544</v>
      </c>
      <c r="BS11" s="1" t="s">
        <v>319</v>
      </c>
      <c r="BT11" s="1"/>
      <c r="BU11" s="1"/>
      <c r="BV11" s="1"/>
      <c r="BW11" s="1"/>
      <c r="BX11" s="1"/>
      <c r="BY11" s="1" t="s">
        <v>545</v>
      </c>
      <c r="BZ11" s="1" t="s">
        <v>321</v>
      </c>
      <c r="CA11" s="1" t="s">
        <v>316</v>
      </c>
      <c r="CB11" s="1" t="s">
        <v>546</v>
      </c>
      <c r="CC11" s="1" t="s">
        <v>547</v>
      </c>
    </row>
    <row r="12" spans="1:81" x14ac:dyDescent="0.25">
      <c r="A12" s="1" t="s">
        <v>93</v>
      </c>
      <c r="B12" s="1" t="s">
        <v>288</v>
      </c>
      <c r="C12" s="1">
        <v>1610612760</v>
      </c>
      <c r="D12" s="1" t="s">
        <v>176</v>
      </c>
      <c r="E12" s="1" t="s">
        <v>177</v>
      </c>
      <c r="F12" s="1" t="s">
        <v>97</v>
      </c>
      <c r="G12" s="1" t="s">
        <v>548</v>
      </c>
      <c r="H12" s="1">
        <v>6</v>
      </c>
      <c r="I12" s="1" t="s">
        <v>413</v>
      </c>
      <c r="J12" s="1" t="s">
        <v>118</v>
      </c>
      <c r="K12" s="1" t="s">
        <v>549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465</v>
      </c>
      <c r="R12" s="1" t="s">
        <v>294</v>
      </c>
      <c r="S12" s="1" t="s">
        <v>486</v>
      </c>
      <c r="T12" s="1" t="s">
        <v>295</v>
      </c>
      <c r="U12" s="1" t="s">
        <v>296</v>
      </c>
      <c r="V12" s="1" t="s">
        <v>296</v>
      </c>
      <c r="W12" s="1" t="s">
        <v>446</v>
      </c>
      <c r="X12" s="1" t="s">
        <v>550</v>
      </c>
      <c r="Y12" s="1" t="s">
        <v>551</v>
      </c>
      <c r="Z12" s="1">
        <v>7</v>
      </c>
      <c r="AA12" s="1" t="s">
        <v>490</v>
      </c>
      <c r="AB12" s="1">
        <v>4</v>
      </c>
      <c r="AC12" s="1" t="s">
        <v>469</v>
      </c>
      <c r="AD12" s="1">
        <v>7</v>
      </c>
      <c r="AE12" s="1">
        <v>4</v>
      </c>
      <c r="AF12" s="1">
        <v>3</v>
      </c>
      <c r="AG12" s="1" t="s">
        <v>105</v>
      </c>
      <c r="AH12" s="1">
        <v>2</v>
      </c>
      <c r="AI12" s="1" t="s">
        <v>115</v>
      </c>
      <c r="AJ12" s="1">
        <v>5</v>
      </c>
      <c r="AK12" s="1" t="s">
        <v>335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552</v>
      </c>
      <c r="AT12" s="1" t="s">
        <v>553</v>
      </c>
      <c r="AU12" s="1" t="s">
        <v>123</v>
      </c>
      <c r="AV12" s="1" t="s">
        <v>554</v>
      </c>
      <c r="AW12" s="1" t="s">
        <v>555</v>
      </c>
      <c r="AX12" s="1" t="s">
        <v>98</v>
      </c>
      <c r="AY12" s="1" t="s">
        <v>556</v>
      </c>
      <c r="AZ12" s="1" t="s">
        <v>557</v>
      </c>
      <c r="BA12" s="1" t="s">
        <v>558</v>
      </c>
      <c r="BB12" s="1" t="s">
        <v>559</v>
      </c>
      <c r="BC12" s="1" t="s">
        <v>489</v>
      </c>
      <c r="BD12" s="1" t="s">
        <v>560</v>
      </c>
      <c r="BE12" s="1">
        <v>114.5</v>
      </c>
      <c r="BF12" s="1">
        <v>111.1</v>
      </c>
      <c r="BG12" s="1">
        <v>3.4</v>
      </c>
      <c r="BH12" s="1" t="s">
        <v>499</v>
      </c>
      <c r="BI12" s="1" t="s">
        <v>314</v>
      </c>
      <c r="BJ12" s="1" t="s">
        <v>315</v>
      </c>
      <c r="BK12" s="1" t="s">
        <v>406</v>
      </c>
      <c r="BL12" s="1" t="s">
        <v>548</v>
      </c>
      <c r="BM12" s="1" t="s">
        <v>561</v>
      </c>
      <c r="BN12" s="1" t="s">
        <v>349</v>
      </c>
      <c r="BO12" s="1" t="s">
        <v>540</v>
      </c>
      <c r="BP12" s="1" t="s">
        <v>352</v>
      </c>
      <c r="BQ12" s="1" t="s">
        <v>562</v>
      </c>
      <c r="BR12" s="1" t="s">
        <v>435</v>
      </c>
      <c r="BS12" s="1" t="s">
        <v>563</v>
      </c>
      <c r="BT12" s="1"/>
      <c r="BU12" s="1"/>
      <c r="BV12" s="1"/>
      <c r="BW12" s="1"/>
      <c r="BX12" s="1"/>
      <c r="BY12" s="1" t="s">
        <v>459</v>
      </c>
      <c r="BZ12" s="1" t="s">
        <v>316</v>
      </c>
      <c r="CA12" s="1" t="s">
        <v>381</v>
      </c>
      <c r="CB12" s="1" t="s">
        <v>564</v>
      </c>
      <c r="CC12" s="1" t="s">
        <v>565</v>
      </c>
    </row>
    <row r="13" spans="1:81" x14ac:dyDescent="0.25">
      <c r="A13" s="1" t="s">
        <v>93</v>
      </c>
      <c r="B13" s="1" t="s">
        <v>288</v>
      </c>
      <c r="C13" s="1">
        <v>1610612751</v>
      </c>
      <c r="D13" s="1" t="s">
        <v>168</v>
      </c>
      <c r="E13" s="1" t="s">
        <v>169</v>
      </c>
      <c r="F13" s="1" t="s">
        <v>112</v>
      </c>
      <c r="G13" s="1" t="s">
        <v>412</v>
      </c>
      <c r="H13" s="1">
        <v>6</v>
      </c>
      <c r="I13" s="1" t="s">
        <v>413</v>
      </c>
      <c r="J13" s="1" t="s">
        <v>113</v>
      </c>
      <c r="K13" s="1" t="s">
        <v>443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566</v>
      </c>
      <c r="R13" s="1" t="s">
        <v>567</v>
      </c>
      <c r="S13" s="1" t="s">
        <v>525</v>
      </c>
      <c r="T13" s="1" t="s">
        <v>418</v>
      </c>
      <c r="U13" s="1" t="s">
        <v>418</v>
      </c>
      <c r="V13" s="1" t="s">
        <v>296</v>
      </c>
      <c r="W13" s="1" t="s">
        <v>568</v>
      </c>
      <c r="X13" s="1" t="s">
        <v>569</v>
      </c>
      <c r="Y13" s="1" t="s">
        <v>570</v>
      </c>
      <c r="Z13" s="1">
        <v>9</v>
      </c>
      <c r="AA13" s="1" t="s">
        <v>571</v>
      </c>
      <c r="AB13" s="1">
        <v>-4</v>
      </c>
      <c r="AC13" s="1" t="s">
        <v>195</v>
      </c>
      <c r="AD13" s="1">
        <v>7</v>
      </c>
      <c r="AE13" s="1">
        <v>8</v>
      </c>
      <c r="AF13" s="1">
        <v>1</v>
      </c>
      <c r="AG13" s="1" t="s">
        <v>114</v>
      </c>
      <c r="AH13" s="1">
        <v>2</v>
      </c>
      <c r="AI13" s="1" t="s">
        <v>115</v>
      </c>
      <c r="AJ13" s="1">
        <v>3</v>
      </c>
      <c r="AK13" s="1" t="s">
        <v>105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420</v>
      </c>
      <c r="AT13" s="1" t="s">
        <v>572</v>
      </c>
      <c r="AU13" s="1" t="s">
        <v>573</v>
      </c>
      <c r="AV13" s="1" t="s">
        <v>574</v>
      </c>
      <c r="AW13" s="1" t="s">
        <v>575</v>
      </c>
      <c r="AX13" s="1" t="s">
        <v>149</v>
      </c>
      <c r="AY13" s="1" t="s">
        <v>576</v>
      </c>
      <c r="AZ13" s="1" t="s">
        <v>577</v>
      </c>
      <c r="BA13" s="1" t="s">
        <v>578</v>
      </c>
      <c r="BB13" s="1" t="s">
        <v>579</v>
      </c>
      <c r="BC13" s="1" t="s">
        <v>405</v>
      </c>
      <c r="BD13" s="1" t="s">
        <v>580</v>
      </c>
      <c r="BE13" s="1">
        <v>112.2</v>
      </c>
      <c r="BF13" s="1">
        <v>112.3</v>
      </c>
      <c r="BG13" s="1">
        <v>-0.1</v>
      </c>
      <c r="BH13" s="1" t="s">
        <v>412</v>
      </c>
      <c r="BI13" s="1" t="s">
        <v>458</v>
      </c>
      <c r="BJ13" s="1" t="s">
        <v>349</v>
      </c>
      <c r="BK13" s="1" t="s">
        <v>436</v>
      </c>
      <c r="BL13" s="1" t="s">
        <v>581</v>
      </c>
      <c r="BM13" s="1" t="s">
        <v>582</v>
      </c>
      <c r="BN13" s="1" t="s">
        <v>314</v>
      </c>
      <c r="BO13" s="1" t="s">
        <v>480</v>
      </c>
      <c r="BP13" s="1" t="s">
        <v>437</v>
      </c>
      <c r="BQ13" s="1" t="s">
        <v>479</v>
      </c>
      <c r="BR13" s="1" t="s">
        <v>355</v>
      </c>
      <c r="BS13" s="1" t="s">
        <v>319</v>
      </c>
      <c r="BT13" s="1"/>
      <c r="BU13" s="1"/>
      <c r="BV13" s="1"/>
      <c r="BW13" s="1"/>
      <c r="BX13" s="1"/>
      <c r="BY13" s="1" t="s">
        <v>583</v>
      </c>
      <c r="BZ13" s="1" t="s">
        <v>584</v>
      </c>
      <c r="CA13" s="1" t="s">
        <v>381</v>
      </c>
      <c r="CB13" s="1" t="s">
        <v>585</v>
      </c>
      <c r="CC13" s="1" t="s">
        <v>586</v>
      </c>
    </row>
    <row r="14" spans="1:81" x14ac:dyDescent="0.25">
      <c r="A14" s="1" t="s">
        <v>93</v>
      </c>
      <c r="B14" s="1" t="s">
        <v>288</v>
      </c>
      <c r="C14" s="1">
        <v>1610612759</v>
      </c>
      <c r="D14" s="1" t="s">
        <v>95</v>
      </c>
      <c r="E14" s="1" t="s">
        <v>96</v>
      </c>
      <c r="F14" s="1" t="s">
        <v>97</v>
      </c>
      <c r="G14" s="1" t="s">
        <v>504</v>
      </c>
      <c r="H14" s="1">
        <v>7</v>
      </c>
      <c r="I14" s="1" t="s">
        <v>413</v>
      </c>
      <c r="J14" s="1" t="s">
        <v>100</v>
      </c>
      <c r="K14" s="1" t="s">
        <v>464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524</v>
      </c>
      <c r="R14" s="1" t="s">
        <v>363</v>
      </c>
      <c r="S14" s="1" t="s">
        <v>587</v>
      </c>
      <c r="T14" s="1" t="s">
        <v>418</v>
      </c>
      <c r="U14" s="1" t="s">
        <v>330</v>
      </c>
      <c r="V14" s="1" t="s">
        <v>296</v>
      </c>
      <c r="W14" s="1" t="s">
        <v>124</v>
      </c>
      <c r="X14" s="1" t="s">
        <v>588</v>
      </c>
      <c r="Y14" s="1" t="s">
        <v>589</v>
      </c>
      <c r="Z14" s="1">
        <v>11</v>
      </c>
      <c r="AA14" s="1" t="s">
        <v>334</v>
      </c>
      <c r="AB14" s="1">
        <v>-5</v>
      </c>
      <c r="AC14" s="1" t="s">
        <v>449</v>
      </c>
      <c r="AD14" s="1">
        <v>9</v>
      </c>
      <c r="AE14" s="1">
        <v>4</v>
      </c>
      <c r="AF14" s="1">
        <v>2</v>
      </c>
      <c r="AG14" s="1" t="s">
        <v>115</v>
      </c>
      <c r="AH14" s="1">
        <v>2</v>
      </c>
      <c r="AI14" s="1" t="s">
        <v>115</v>
      </c>
      <c r="AJ14" s="1">
        <v>3</v>
      </c>
      <c r="AK14" s="1" t="s">
        <v>105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590</v>
      </c>
      <c r="AT14" s="1" t="s">
        <v>591</v>
      </c>
      <c r="AU14" s="1" t="s">
        <v>104</v>
      </c>
      <c r="AV14" s="1" t="s">
        <v>592</v>
      </c>
      <c r="AW14" s="1" t="s">
        <v>591</v>
      </c>
      <c r="AX14" s="1" t="s">
        <v>162</v>
      </c>
      <c r="AY14" s="1" t="s">
        <v>593</v>
      </c>
      <c r="AZ14" s="1" t="s">
        <v>594</v>
      </c>
      <c r="BA14" s="1" t="s">
        <v>595</v>
      </c>
      <c r="BB14" s="1" t="s">
        <v>336</v>
      </c>
      <c r="BC14" s="1" t="s">
        <v>596</v>
      </c>
      <c r="BD14" s="1" t="s">
        <v>597</v>
      </c>
      <c r="BE14" s="1">
        <v>111.7</v>
      </c>
      <c r="BF14" s="1">
        <v>110</v>
      </c>
      <c r="BG14" s="1">
        <v>1.7</v>
      </c>
      <c r="BH14" s="1" t="s">
        <v>598</v>
      </c>
      <c r="BI14" s="1" t="s">
        <v>314</v>
      </c>
      <c r="BJ14" s="1" t="s">
        <v>406</v>
      </c>
      <c r="BK14" s="1" t="s">
        <v>480</v>
      </c>
      <c r="BL14" s="1" t="s">
        <v>504</v>
      </c>
      <c r="BM14" s="1" t="s">
        <v>349</v>
      </c>
      <c r="BN14" s="1" t="s">
        <v>349</v>
      </c>
      <c r="BO14" s="1" t="s">
        <v>318</v>
      </c>
      <c r="BP14" s="1" t="s">
        <v>356</v>
      </c>
      <c r="BQ14" s="1" t="s">
        <v>599</v>
      </c>
      <c r="BR14" s="1" t="s">
        <v>322</v>
      </c>
      <c r="BS14" s="1" t="s">
        <v>382</v>
      </c>
      <c r="BT14" s="1"/>
      <c r="BU14" s="1"/>
      <c r="BV14" s="1"/>
      <c r="BW14" s="1"/>
      <c r="BX14" s="1"/>
      <c r="BY14" s="1" t="s">
        <v>439</v>
      </c>
      <c r="BZ14" s="1" t="s">
        <v>584</v>
      </c>
      <c r="CA14" s="1" t="s">
        <v>541</v>
      </c>
      <c r="CB14" s="1" t="s">
        <v>600</v>
      </c>
      <c r="CC14" s="1" t="s">
        <v>386</v>
      </c>
    </row>
    <row r="15" spans="1:81" x14ac:dyDescent="0.25">
      <c r="A15" s="1" t="s">
        <v>93</v>
      </c>
      <c r="B15" s="1" t="s">
        <v>288</v>
      </c>
      <c r="C15" s="1">
        <v>1610612753</v>
      </c>
      <c r="D15" s="1" t="s">
        <v>159</v>
      </c>
      <c r="E15" s="1" t="s">
        <v>160</v>
      </c>
      <c r="F15" s="1" t="s">
        <v>112</v>
      </c>
      <c r="G15" s="1" t="s">
        <v>504</v>
      </c>
      <c r="H15" s="1">
        <v>7</v>
      </c>
      <c r="I15" s="1" t="s">
        <v>601</v>
      </c>
      <c r="J15" s="1" t="s">
        <v>121</v>
      </c>
      <c r="K15" s="1" t="s">
        <v>464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566</v>
      </c>
      <c r="R15" s="1" t="s">
        <v>589</v>
      </c>
      <c r="S15" s="1" t="s">
        <v>602</v>
      </c>
      <c r="T15" s="1" t="s">
        <v>330</v>
      </c>
      <c r="U15" s="1" t="s">
        <v>417</v>
      </c>
      <c r="V15" s="1" t="s">
        <v>392</v>
      </c>
      <c r="W15" s="1" t="s">
        <v>179</v>
      </c>
      <c r="X15" s="1" t="s">
        <v>297</v>
      </c>
      <c r="Y15" s="1" t="s">
        <v>595</v>
      </c>
      <c r="Z15" s="1">
        <v>9</v>
      </c>
      <c r="AA15" s="1" t="s">
        <v>571</v>
      </c>
      <c r="AB15" s="1">
        <v>-5</v>
      </c>
      <c r="AC15" s="1" t="s">
        <v>449</v>
      </c>
      <c r="AD15" s="1">
        <v>6</v>
      </c>
      <c r="AE15" s="1">
        <v>4</v>
      </c>
      <c r="AF15" s="1">
        <v>9</v>
      </c>
      <c r="AG15" s="1" t="s">
        <v>571</v>
      </c>
      <c r="AH15" s="1">
        <v>2</v>
      </c>
      <c r="AI15" s="1" t="s">
        <v>115</v>
      </c>
      <c r="AJ15" s="1">
        <v>4</v>
      </c>
      <c r="AK15" s="1" t="s">
        <v>469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329</v>
      </c>
      <c r="AT15" s="1" t="s">
        <v>603</v>
      </c>
      <c r="AU15" s="1" t="s">
        <v>162</v>
      </c>
      <c r="AV15" s="1" t="s">
        <v>604</v>
      </c>
      <c r="AW15" s="1" t="s">
        <v>605</v>
      </c>
      <c r="AX15" s="1" t="s">
        <v>131</v>
      </c>
      <c r="AY15" s="1" t="s">
        <v>606</v>
      </c>
      <c r="AZ15" s="1" t="s">
        <v>607</v>
      </c>
      <c r="BA15" s="1" t="s">
        <v>608</v>
      </c>
      <c r="BB15" s="1" t="s">
        <v>604</v>
      </c>
      <c r="BC15" s="1" t="s">
        <v>466</v>
      </c>
      <c r="BD15" s="1" t="s">
        <v>468</v>
      </c>
      <c r="BE15" s="1">
        <v>107.3</v>
      </c>
      <c r="BF15" s="1">
        <v>106.6</v>
      </c>
      <c r="BG15" s="1">
        <v>0.7</v>
      </c>
      <c r="BH15" s="1" t="s">
        <v>504</v>
      </c>
      <c r="BI15" s="1" t="s">
        <v>436</v>
      </c>
      <c r="BJ15" s="1" t="s">
        <v>540</v>
      </c>
      <c r="BK15" s="1" t="s">
        <v>318</v>
      </c>
      <c r="BL15" s="1" t="s">
        <v>609</v>
      </c>
      <c r="BM15" s="1" t="s">
        <v>582</v>
      </c>
      <c r="BN15" s="1" t="s">
        <v>479</v>
      </c>
      <c r="BO15" s="1" t="s">
        <v>314</v>
      </c>
      <c r="BP15" s="1" t="s">
        <v>610</v>
      </c>
      <c r="BQ15" s="1" t="s">
        <v>611</v>
      </c>
      <c r="BR15" s="1" t="s">
        <v>352</v>
      </c>
      <c r="BS15" s="1" t="s">
        <v>382</v>
      </c>
      <c r="BT15" s="1"/>
      <c r="BU15" s="1"/>
      <c r="BV15" s="1"/>
      <c r="BW15" s="1"/>
      <c r="BX15" s="1"/>
      <c r="BY15" s="1" t="s">
        <v>612</v>
      </c>
      <c r="BZ15" s="1" t="s">
        <v>561</v>
      </c>
      <c r="CA15" s="1" t="s">
        <v>613</v>
      </c>
      <c r="CB15" s="1" t="s">
        <v>614</v>
      </c>
      <c r="CC15" s="1" t="s">
        <v>386</v>
      </c>
    </row>
    <row r="16" spans="1:81" x14ac:dyDescent="0.25">
      <c r="A16" s="1" t="s">
        <v>93</v>
      </c>
      <c r="B16" s="1" t="s">
        <v>288</v>
      </c>
      <c r="C16" s="1">
        <v>1610612746</v>
      </c>
      <c r="D16" s="1" t="s">
        <v>133</v>
      </c>
      <c r="E16" s="1" t="s">
        <v>134</v>
      </c>
      <c r="F16" s="1" t="s">
        <v>97</v>
      </c>
      <c r="G16" s="1" t="s">
        <v>548</v>
      </c>
      <c r="H16" s="1">
        <v>8</v>
      </c>
      <c r="I16" s="1" t="s">
        <v>413</v>
      </c>
      <c r="J16" s="1" t="s">
        <v>135</v>
      </c>
      <c r="K16" s="1" t="s">
        <v>523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524</v>
      </c>
      <c r="R16" s="1" t="s">
        <v>364</v>
      </c>
      <c r="S16" s="1" t="s">
        <v>486</v>
      </c>
      <c r="T16" s="1" t="s">
        <v>418</v>
      </c>
      <c r="U16" s="1" t="s">
        <v>295</v>
      </c>
      <c r="V16" s="1" t="s">
        <v>418</v>
      </c>
      <c r="W16" s="1" t="s">
        <v>615</v>
      </c>
      <c r="X16" s="1" t="s">
        <v>616</v>
      </c>
      <c r="Y16" s="1" t="s">
        <v>567</v>
      </c>
      <c r="Z16" s="1">
        <v>9</v>
      </c>
      <c r="AA16" s="1" t="s">
        <v>571</v>
      </c>
      <c r="AB16" s="1">
        <v>5</v>
      </c>
      <c r="AC16" s="1" t="s">
        <v>335</v>
      </c>
      <c r="AD16" s="1">
        <v>6</v>
      </c>
      <c r="AE16" s="1">
        <v>5</v>
      </c>
      <c r="AF16" s="1">
        <v>1</v>
      </c>
      <c r="AG16" s="1" t="s">
        <v>114</v>
      </c>
      <c r="AH16" s="1">
        <v>-2</v>
      </c>
      <c r="AI16" s="1" t="s">
        <v>151</v>
      </c>
      <c r="AJ16" s="1">
        <v>1</v>
      </c>
      <c r="AK16" s="1" t="s">
        <v>114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604</v>
      </c>
      <c r="AT16" s="1" t="s">
        <v>617</v>
      </c>
      <c r="AU16" s="1" t="s">
        <v>126</v>
      </c>
      <c r="AV16" s="1" t="s">
        <v>618</v>
      </c>
      <c r="AW16" s="1" t="s">
        <v>619</v>
      </c>
      <c r="AX16" s="1" t="s">
        <v>152</v>
      </c>
      <c r="AY16" s="1" t="s">
        <v>620</v>
      </c>
      <c r="AZ16" s="1" t="s">
        <v>621</v>
      </c>
      <c r="BA16" s="1" t="s">
        <v>622</v>
      </c>
      <c r="BB16" s="1" t="s">
        <v>623</v>
      </c>
      <c r="BC16" s="1" t="s">
        <v>624</v>
      </c>
      <c r="BD16" s="1" t="s">
        <v>625</v>
      </c>
      <c r="BE16" s="1">
        <v>115.1</v>
      </c>
      <c r="BF16" s="1">
        <v>114.3</v>
      </c>
      <c r="BG16" s="1">
        <v>0.9</v>
      </c>
      <c r="BH16" s="1" t="s">
        <v>313</v>
      </c>
      <c r="BI16" s="1" t="s">
        <v>314</v>
      </c>
      <c r="BJ16" s="1" t="s">
        <v>406</v>
      </c>
      <c r="BK16" s="1" t="s">
        <v>406</v>
      </c>
      <c r="BL16" s="1" t="s">
        <v>548</v>
      </c>
      <c r="BM16" s="1" t="s">
        <v>626</v>
      </c>
      <c r="BN16" s="1" t="s">
        <v>541</v>
      </c>
      <c r="BO16" s="1" t="s">
        <v>349</v>
      </c>
      <c r="BP16" s="1" t="s">
        <v>519</v>
      </c>
      <c r="BQ16" s="1" t="s">
        <v>562</v>
      </c>
      <c r="BR16" s="1" t="s">
        <v>627</v>
      </c>
      <c r="BS16" s="1" t="s">
        <v>178</v>
      </c>
      <c r="BT16" s="1"/>
      <c r="BU16" s="1"/>
      <c r="BV16" s="1"/>
      <c r="BW16" s="1"/>
      <c r="BX16" s="1"/>
      <c r="BY16" s="1" t="s">
        <v>518</v>
      </c>
      <c r="BZ16" s="1" t="s">
        <v>628</v>
      </c>
      <c r="CA16" s="1" t="s">
        <v>629</v>
      </c>
      <c r="CB16" s="1" t="s">
        <v>630</v>
      </c>
      <c r="CC16" s="1" t="s">
        <v>631</v>
      </c>
    </row>
    <row r="17" spans="1:81" x14ac:dyDescent="0.25">
      <c r="A17" s="1" t="s">
        <v>93</v>
      </c>
      <c r="B17" s="1" t="s">
        <v>288</v>
      </c>
      <c r="C17" s="1">
        <v>1610612765</v>
      </c>
      <c r="D17" s="1" t="s">
        <v>155</v>
      </c>
      <c r="E17" s="1" t="s">
        <v>156</v>
      </c>
      <c r="F17" s="1" t="s">
        <v>112</v>
      </c>
      <c r="G17" s="1" t="s">
        <v>632</v>
      </c>
      <c r="H17" s="1">
        <v>8</v>
      </c>
      <c r="I17" s="1" t="s">
        <v>413</v>
      </c>
      <c r="J17" s="1" t="s">
        <v>140</v>
      </c>
      <c r="K17" s="1" t="s">
        <v>443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633</v>
      </c>
      <c r="R17" s="1" t="s">
        <v>364</v>
      </c>
      <c r="S17" s="1" t="s">
        <v>634</v>
      </c>
      <c r="T17" s="1" t="s">
        <v>392</v>
      </c>
      <c r="U17" s="1" t="s">
        <v>330</v>
      </c>
      <c r="V17" s="1" t="s">
        <v>526</v>
      </c>
      <c r="W17" s="1" t="s">
        <v>568</v>
      </c>
      <c r="X17" s="1" t="s">
        <v>635</v>
      </c>
      <c r="Y17" s="1" t="s">
        <v>636</v>
      </c>
      <c r="Z17" s="1">
        <v>11</v>
      </c>
      <c r="AA17" s="1" t="s">
        <v>334</v>
      </c>
      <c r="AB17" s="1">
        <v>-5</v>
      </c>
      <c r="AC17" s="1" t="s">
        <v>449</v>
      </c>
      <c r="AD17" s="1">
        <v>5</v>
      </c>
      <c r="AE17" s="1">
        <v>6</v>
      </c>
      <c r="AF17" s="1">
        <v>1</v>
      </c>
      <c r="AG17" s="1" t="s">
        <v>114</v>
      </c>
      <c r="AH17" s="1">
        <v>1</v>
      </c>
      <c r="AI17" s="1" t="s">
        <v>114</v>
      </c>
      <c r="AJ17" s="1">
        <v>2</v>
      </c>
      <c r="AK17" s="1" t="s">
        <v>115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637</v>
      </c>
      <c r="AT17" s="1" t="s">
        <v>638</v>
      </c>
      <c r="AU17" s="1" t="s">
        <v>123</v>
      </c>
      <c r="AV17" s="1" t="s">
        <v>420</v>
      </c>
      <c r="AW17" s="1" t="s">
        <v>639</v>
      </c>
      <c r="AX17" s="1" t="s">
        <v>101</v>
      </c>
      <c r="AY17" s="1" t="s">
        <v>640</v>
      </c>
      <c r="AZ17" s="1" t="s">
        <v>641</v>
      </c>
      <c r="BA17" s="1" t="s">
        <v>642</v>
      </c>
      <c r="BB17" s="1" t="s">
        <v>643</v>
      </c>
      <c r="BC17" s="1" t="s">
        <v>644</v>
      </c>
      <c r="BD17" s="1" t="s">
        <v>645</v>
      </c>
      <c r="BE17" s="1">
        <v>107</v>
      </c>
      <c r="BF17" s="1">
        <v>107.3</v>
      </c>
      <c r="BG17" s="1">
        <v>-0.2</v>
      </c>
      <c r="BH17" s="1" t="s">
        <v>632</v>
      </c>
      <c r="BI17" s="1" t="s">
        <v>349</v>
      </c>
      <c r="BJ17" s="1" t="s">
        <v>458</v>
      </c>
      <c r="BK17" s="1" t="s">
        <v>540</v>
      </c>
      <c r="BL17" s="1" t="s">
        <v>478</v>
      </c>
      <c r="BM17" s="1" t="s">
        <v>479</v>
      </c>
      <c r="BN17" s="1" t="s">
        <v>480</v>
      </c>
      <c r="BO17" s="1" t="s">
        <v>480</v>
      </c>
      <c r="BP17" s="1" t="s">
        <v>435</v>
      </c>
      <c r="BQ17" s="1" t="s">
        <v>406</v>
      </c>
      <c r="BR17" s="1" t="s">
        <v>318</v>
      </c>
      <c r="BS17" s="1" t="s">
        <v>459</v>
      </c>
      <c r="BT17" s="1"/>
      <c r="BU17" s="1"/>
      <c r="BV17" s="1"/>
      <c r="BW17" s="1"/>
      <c r="BX17" s="1"/>
      <c r="BY17" s="1" t="s">
        <v>518</v>
      </c>
      <c r="BZ17" s="1" t="s">
        <v>409</v>
      </c>
      <c r="CA17" s="1" t="s">
        <v>646</v>
      </c>
      <c r="CB17" s="1" t="s">
        <v>647</v>
      </c>
      <c r="CC17" s="1" t="s">
        <v>648</v>
      </c>
    </row>
    <row r="18" spans="1:81" x14ac:dyDescent="0.25">
      <c r="A18" s="1" t="s">
        <v>93</v>
      </c>
      <c r="B18" s="1" t="s">
        <v>288</v>
      </c>
      <c r="C18" s="1">
        <v>1610612758</v>
      </c>
      <c r="D18" s="1" t="s">
        <v>196</v>
      </c>
      <c r="E18" s="1" t="s">
        <v>197</v>
      </c>
      <c r="F18" s="1" t="s">
        <v>97</v>
      </c>
      <c r="G18" s="1" t="s">
        <v>649</v>
      </c>
      <c r="H18" s="1">
        <v>9</v>
      </c>
      <c r="I18" s="1" t="s">
        <v>650</v>
      </c>
      <c r="J18" s="1" t="s">
        <v>135</v>
      </c>
      <c r="K18" s="1" t="s">
        <v>651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652</v>
      </c>
      <c r="R18" s="1" t="s">
        <v>653</v>
      </c>
      <c r="S18" s="1" t="s">
        <v>634</v>
      </c>
      <c r="T18" s="1" t="s">
        <v>654</v>
      </c>
      <c r="U18" s="1" t="s">
        <v>296</v>
      </c>
      <c r="V18" s="1" t="s">
        <v>526</v>
      </c>
      <c r="W18" s="1" t="s">
        <v>162</v>
      </c>
      <c r="X18" s="1" t="s">
        <v>550</v>
      </c>
      <c r="Y18" s="1" t="s">
        <v>655</v>
      </c>
      <c r="Z18" s="1">
        <v>7</v>
      </c>
      <c r="AA18" s="1" t="s">
        <v>490</v>
      </c>
      <c r="AB18" s="1">
        <v>-5</v>
      </c>
      <c r="AC18" s="1" t="s">
        <v>449</v>
      </c>
      <c r="AD18" s="1">
        <v>5</v>
      </c>
      <c r="AE18" s="1">
        <v>4</v>
      </c>
      <c r="AF18" s="1">
        <v>-1</v>
      </c>
      <c r="AG18" s="1" t="s">
        <v>125</v>
      </c>
      <c r="AH18" s="1">
        <v>-2</v>
      </c>
      <c r="AI18" s="1" t="s">
        <v>151</v>
      </c>
      <c r="AJ18" s="1">
        <v>-3</v>
      </c>
      <c r="AK18" s="1" t="s">
        <v>183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656</v>
      </c>
      <c r="AT18" s="1" t="s">
        <v>657</v>
      </c>
      <c r="AU18" s="1" t="s">
        <v>126</v>
      </c>
      <c r="AV18" s="1" t="s">
        <v>658</v>
      </c>
      <c r="AW18" s="1" t="s">
        <v>659</v>
      </c>
      <c r="AX18" s="1" t="s">
        <v>179</v>
      </c>
      <c r="AY18" s="1" t="s">
        <v>660</v>
      </c>
      <c r="AZ18" s="1" t="s">
        <v>661</v>
      </c>
      <c r="BA18" s="1" t="s">
        <v>662</v>
      </c>
      <c r="BB18" s="1" t="s">
        <v>663</v>
      </c>
      <c r="BC18" s="1" t="s">
        <v>625</v>
      </c>
      <c r="BD18" s="1" t="s">
        <v>664</v>
      </c>
      <c r="BE18" s="1">
        <v>114.2</v>
      </c>
      <c r="BF18" s="1">
        <v>115.3</v>
      </c>
      <c r="BG18" s="1">
        <v>-1.1000000000000001</v>
      </c>
      <c r="BH18" s="1" t="s">
        <v>598</v>
      </c>
      <c r="BI18" s="1" t="s">
        <v>599</v>
      </c>
      <c r="BJ18" s="1" t="s">
        <v>406</v>
      </c>
      <c r="BK18" s="1" t="s">
        <v>315</v>
      </c>
      <c r="BL18" s="1" t="s">
        <v>649</v>
      </c>
      <c r="BM18" s="1" t="s">
        <v>626</v>
      </c>
      <c r="BN18" s="1" t="s">
        <v>665</v>
      </c>
      <c r="BO18" s="1" t="s">
        <v>349</v>
      </c>
      <c r="BP18" s="1" t="s">
        <v>482</v>
      </c>
      <c r="BQ18" s="1" t="s">
        <v>480</v>
      </c>
      <c r="BR18" s="1" t="s">
        <v>519</v>
      </c>
      <c r="BS18" s="1" t="s">
        <v>666</v>
      </c>
      <c r="BT18" s="1"/>
      <c r="BU18" s="1"/>
      <c r="BV18" s="1"/>
      <c r="BW18" s="1"/>
      <c r="BX18" s="1"/>
      <c r="BY18" s="1" t="s">
        <v>545</v>
      </c>
      <c r="BZ18" s="1" t="s">
        <v>613</v>
      </c>
      <c r="CA18" s="1" t="s">
        <v>381</v>
      </c>
      <c r="CB18" s="1" t="s">
        <v>667</v>
      </c>
      <c r="CC18" s="1" t="s">
        <v>668</v>
      </c>
    </row>
    <row r="19" spans="1:81" x14ac:dyDescent="0.25">
      <c r="A19" s="1" t="s">
        <v>93</v>
      </c>
      <c r="B19" s="1" t="s">
        <v>288</v>
      </c>
      <c r="C19" s="1">
        <v>1610612766</v>
      </c>
      <c r="D19" s="1" t="s">
        <v>180</v>
      </c>
      <c r="E19" s="1" t="s">
        <v>181</v>
      </c>
      <c r="F19" s="1" t="s">
        <v>112</v>
      </c>
      <c r="G19" s="1" t="s">
        <v>412</v>
      </c>
      <c r="H19" s="1">
        <v>9</v>
      </c>
      <c r="I19" s="1" t="s">
        <v>650</v>
      </c>
      <c r="J19" s="1" t="s">
        <v>121</v>
      </c>
      <c r="K19" s="1" t="s">
        <v>464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652</v>
      </c>
      <c r="R19" s="1" t="s">
        <v>589</v>
      </c>
      <c r="S19" s="1" t="s">
        <v>669</v>
      </c>
      <c r="T19" s="1" t="s">
        <v>418</v>
      </c>
      <c r="U19" s="1" t="s">
        <v>296</v>
      </c>
      <c r="V19" s="1" t="s">
        <v>296</v>
      </c>
      <c r="W19" s="1" t="s">
        <v>670</v>
      </c>
      <c r="X19" s="1" t="s">
        <v>414</v>
      </c>
      <c r="Y19" s="1" t="s">
        <v>416</v>
      </c>
      <c r="Z19" s="1">
        <v>5</v>
      </c>
      <c r="AA19" s="1" t="s">
        <v>335</v>
      </c>
      <c r="AB19" s="1">
        <v>-4</v>
      </c>
      <c r="AC19" s="1" t="s">
        <v>195</v>
      </c>
      <c r="AD19" s="1">
        <v>4</v>
      </c>
      <c r="AE19" s="1">
        <v>3</v>
      </c>
      <c r="AF19" s="1">
        <v>-1</v>
      </c>
      <c r="AG19" s="1" t="s">
        <v>125</v>
      </c>
      <c r="AH19" s="1">
        <v>3</v>
      </c>
      <c r="AI19" s="1" t="s">
        <v>105</v>
      </c>
      <c r="AJ19" s="1">
        <v>-1</v>
      </c>
      <c r="AK19" s="1" t="s">
        <v>125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671</v>
      </c>
      <c r="AT19" s="1" t="s">
        <v>672</v>
      </c>
      <c r="AU19" s="1" t="s">
        <v>152</v>
      </c>
      <c r="AV19" s="1" t="s">
        <v>293</v>
      </c>
      <c r="AW19" s="1" t="s">
        <v>673</v>
      </c>
      <c r="AX19" s="1" t="s">
        <v>123</v>
      </c>
      <c r="AY19" s="1" t="s">
        <v>674</v>
      </c>
      <c r="AZ19" s="1" t="s">
        <v>675</v>
      </c>
      <c r="BA19" s="1" t="s">
        <v>553</v>
      </c>
      <c r="BB19" s="1" t="s">
        <v>676</v>
      </c>
      <c r="BC19" s="1" t="s">
        <v>677</v>
      </c>
      <c r="BD19" s="1" t="s">
        <v>678</v>
      </c>
      <c r="BE19" s="1">
        <v>110.7</v>
      </c>
      <c r="BF19" s="1">
        <v>111.8</v>
      </c>
      <c r="BG19" s="1">
        <v>-1.1000000000000001</v>
      </c>
      <c r="BH19" s="1" t="s">
        <v>412</v>
      </c>
      <c r="BI19" s="1" t="s">
        <v>500</v>
      </c>
      <c r="BJ19" s="1" t="s">
        <v>436</v>
      </c>
      <c r="BK19" s="1" t="s">
        <v>318</v>
      </c>
      <c r="BL19" s="1" t="s">
        <v>679</v>
      </c>
      <c r="BM19" s="1" t="s">
        <v>582</v>
      </c>
      <c r="BN19" s="1" t="s">
        <v>599</v>
      </c>
      <c r="BO19" s="1" t="s">
        <v>480</v>
      </c>
      <c r="BP19" s="1" t="s">
        <v>680</v>
      </c>
      <c r="BQ19" s="1" t="s">
        <v>681</v>
      </c>
      <c r="BR19" s="1" t="s">
        <v>482</v>
      </c>
      <c r="BS19" s="1" t="s">
        <v>517</v>
      </c>
      <c r="BT19" s="1"/>
      <c r="BU19" s="1"/>
      <c r="BV19" s="1"/>
      <c r="BW19" s="1"/>
      <c r="BX19" s="1"/>
      <c r="BY19" s="1" t="s">
        <v>460</v>
      </c>
      <c r="BZ19" s="1" t="s">
        <v>355</v>
      </c>
      <c r="CA19" s="1" t="s">
        <v>355</v>
      </c>
      <c r="CB19" s="1" t="s">
        <v>682</v>
      </c>
      <c r="CC19" s="1" t="s">
        <v>565</v>
      </c>
    </row>
    <row r="20" spans="1:81" x14ac:dyDescent="0.25">
      <c r="A20" s="1" t="s">
        <v>93</v>
      </c>
      <c r="B20" s="1" t="s">
        <v>288</v>
      </c>
      <c r="C20" s="1">
        <v>1610612748</v>
      </c>
      <c r="D20" s="1" t="s">
        <v>119</v>
      </c>
      <c r="E20" s="1" t="s">
        <v>120</v>
      </c>
      <c r="F20" s="1" t="s">
        <v>112</v>
      </c>
      <c r="G20" s="1" t="s">
        <v>683</v>
      </c>
      <c r="H20" s="1">
        <v>10</v>
      </c>
      <c r="I20" s="1" t="s">
        <v>650</v>
      </c>
      <c r="J20" s="1" t="s">
        <v>121</v>
      </c>
      <c r="K20" s="1" t="s">
        <v>684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652</v>
      </c>
      <c r="R20" s="1" t="s">
        <v>525</v>
      </c>
      <c r="S20" s="1" t="s">
        <v>391</v>
      </c>
      <c r="T20" s="1" t="s">
        <v>392</v>
      </c>
      <c r="U20" s="1" t="s">
        <v>418</v>
      </c>
      <c r="V20" s="1" t="s">
        <v>296</v>
      </c>
      <c r="W20" s="1" t="s">
        <v>123</v>
      </c>
      <c r="X20" s="1" t="s">
        <v>635</v>
      </c>
      <c r="Y20" s="1" t="s">
        <v>685</v>
      </c>
      <c r="Z20" s="1">
        <v>-6</v>
      </c>
      <c r="AA20" s="1" t="s">
        <v>422</v>
      </c>
      <c r="AB20" s="1">
        <v>4</v>
      </c>
      <c r="AC20" s="1" t="s">
        <v>469</v>
      </c>
      <c r="AD20" s="1">
        <v>5</v>
      </c>
      <c r="AE20" s="1">
        <v>4</v>
      </c>
      <c r="AF20" s="1">
        <v>1</v>
      </c>
      <c r="AG20" s="1" t="s">
        <v>114</v>
      </c>
      <c r="AH20" s="1">
        <v>-4</v>
      </c>
      <c r="AI20" s="1" t="s">
        <v>195</v>
      </c>
      <c r="AJ20" s="1">
        <v>-1</v>
      </c>
      <c r="AK20" s="1" t="s">
        <v>125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528</v>
      </c>
      <c r="AT20" s="1" t="s">
        <v>686</v>
      </c>
      <c r="AU20" s="1" t="s">
        <v>687</v>
      </c>
      <c r="AV20" s="1" t="s">
        <v>688</v>
      </c>
      <c r="AW20" s="1" t="s">
        <v>689</v>
      </c>
      <c r="AX20" s="1" t="s">
        <v>126</v>
      </c>
      <c r="AY20" s="1" t="s">
        <v>690</v>
      </c>
      <c r="AZ20" s="1" t="s">
        <v>691</v>
      </c>
      <c r="BA20" s="1" t="s">
        <v>692</v>
      </c>
      <c r="BB20" s="1" t="s">
        <v>693</v>
      </c>
      <c r="BC20" s="1" t="s">
        <v>694</v>
      </c>
      <c r="BD20" s="1" t="s">
        <v>695</v>
      </c>
      <c r="BE20" s="1">
        <v>105.7</v>
      </c>
      <c r="BF20" s="1">
        <v>105.9</v>
      </c>
      <c r="BG20" s="1">
        <v>-0.2</v>
      </c>
      <c r="BH20" s="1" t="s">
        <v>683</v>
      </c>
      <c r="BI20" s="1" t="s">
        <v>626</v>
      </c>
      <c r="BJ20" s="1" t="s">
        <v>540</v>
      </c>
      <c r="BK20" s="1" t="s">
        <v>519</v>
      </c>
      <c r="BL20" s="1" t="s">
        <v>696</v>
      </c>
      <c r="BM20" s="1" t="s">
        <v>479</v>
      </c>
      <c r="BN20" s="1" t="s">
        <v>599</v>
      </c>
      <c r="BO20" s="1" t="s">
        <v>434</v>
      </c>
      <c r="BP20" s="1" t="s">
        <v>355</v>
      </c>
      <c r="BQ20" s="1" t="s">
        <v>697</v>
      </c>
      <c r="BR20" s="1" t="s">
        <v>437</v>
      </c>
      <c r="BS20" s="1" t="s">
        <v>501</v>
      </c>
      <c r="BT20" s="1"/>
      <c r="BU20" s="1"/>
      <c r="BV20" s="1"/>
      <c r="BW20" s="1"/>
      <c r="BX20" s="1"/>
      <c r="BY20" s="1" t="s">
        <v>698</v>
      </c>
      <c r="BZ20" s="1" t="s">
        <v>699</v>
      </c>
      <c r="CA20" s="1" t="s">
        <v>352</v>
      </c>
      <c r="CB20" s="1" t="s">
        <v>647</v>
      </c>
      <c r="CC20" s="1" t="s">
        <v>700</v>
      </c>
    </row>
    <row r="21" spans="1:81" x14ac:dyDescent="0.25">
      <c r="A21" s="1" t="s">
        <v>93</v>
      </c>
      <c r="B21" s="1" t="s">
        <v>288</v>
      </c>
      <c r="C21" s="1">
        <v>1610612747</v>
      </c>
      <c r="D21" s="1" t="s">
        <v>141</v>
      </c>
      <c r="E21" s="1" t="s">
        <v>142</v>
      </c>
      <c r="F21" s="1" t="s">
        <v>97</v>
      </c>
      <c r="G21" s="1" t="s">
        <v>701</v>
      </c>
      <c r="H21" s="1">
        <v>10</v>
      </c>
      <c r="I21" s="1" t="s">
        <v>650</v>
      </c>
      <c r="J21" s="1" t="s">
        <v>135</v>
      </c>
      <c r="K21" s="1" t="s">
        <v>549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702</v>
      </c>
      <c r="R21" s="1" t="s">
        <v>486</v>
      </c>
      <c r="S21" s="1" t="s">
        <v>634</v>
      </c>
      <c r="T21" s="1" t="s">
        <v>418</v>
      </c>
      <c r="U21" s="1" t="s">
        <v>392</v>
      </c>
      <c r="V21" s="1" t="s">
        <v>654</v>
      </c>
      <c r="W21" s="1" t="s">
        <v>149</v>
      </c>
      <c r="X21" s="1" t="s">
        <v>573</v>
      </c>
      <c r="Y21" s="1" t="s">
        <v>587</v>
      </c>
      <c r="Z21" s="1">
        <v>6</v>
      </c>
      <c r="AA21" s="1" t="s">
        <v>299</v>
      </c>
      <c r="AB21" s="1">
        <v>-5</v>
      </c>
      <c r="AC21" s="1" t="s">
        <v>449</v>
      </c>
      <c r="AD21" s="1">
        <v>4</v>
      </c>
      <c r="AE21" s="1">
        <v>5</v>
      </c>
      <c r="AF21" s="1">
        <v>-1</v>
      </c>
      <c r="AG21" s="1" t="s">
        <v>125</v>
      </c>
      <c r="AH21" s="1">
        <v>1</v>
      </c>
      <c r="AI21" s="1" t="s">
        <v>114</v>
      </c>
      <c r="AJ21" s="1">
        <v>-1</v>
      </c>
      <c r="AK21" s="1" t="s">
        <v>125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703</v>
      </c>
      <c r="AT21" s="1" t="s">
        <v>704</v>
      </c>
      <c r="AU21" s="1" t="s">
        <v>98</v>
      </c>
      <c r="AV21" s="1" t="s">
        <v>705</v>
      </c>
      <c r="AW21" s="1" t="s">
        <v>706</v>
      </c>
      <c r="AX21" s="1" t="s">
        <v>98</v>
      </c>
      <c r="AY21" s="1" t="s">
        <v>707</v>
      </c>
      <c r="AZ21" s="1" t="s">
        <v>708</v>
      </c>
      <c r="BA21" s="1" t="s">
        <v>709</v>
      </c>
      <c r="BB21" s="1" t="s">
        <v>710</v>
      </c>
      <c r="BC21" s="1" t="s">
        <v>711</v>
      </c>
      <c r="BD21" s="1" t="s">
        <v>712</v>
      </c>
      <c r="BE21" s="1">
        <v>111.8</v>
      </c>
      <c r="BF21" s="1">
        <v>113.5</v>
      </c>
      <c r="BG21" s="1">
        <v>-1.7</v>
      </c>
      <c r="BH21" s="1" t="s">
        <v>609</v>
      </c>
      <c r="BI21" s="1" t="s">
        <v>713</v>
      </c>
      <c r="BJ21" s="1" t="s">
        <v>480</v>
      </c>
      <c r="BK21" s="1" t="s">
        <v>314</v>
      </c>
      <c r="BL21" s="1" t="s">
        <v>701</v>
      </c>
      <c r="BM21" s="1" t="s">
        <v>626</v>
      </c>
      <c r="BN21" s="1" t="s">
        <v>561</v>
      </c>
      <c r="BO21" s="1" t="s">
        <v>540</v>
      </c>
      <c r="BP21" s="1" t="s">
        <v>629</v>
      </c>
      <c r="BQ21" s="1" t="s">
        <v>714</v>
      </c>
      <c r="BR21" s="1" t="s">
        <v>610</v>
      </c>
      <c r="BS21" s="1" t="s">
        <v>715</v>
      </c>
      <c r="BT21" s="1"/>
      <c r="BU21" s="1"/>
      <c r="BV21" s="1"/>
      <c r="BW21" s="1"/>
      <c r="BX21" s="1"/>
      <c r="BY21" s="1" t="s">
        <v>583</v>
      </c>
      <c r="BZ21" s="1" t="s">
        <v>322</v>
      </c>
      <c r="CA21" s="1" t="s">
        <v>384</v>
      </c>
      <c r="CB21" s="1" t="s">
        <v>716</v>
      </c>
      <c r="CC21" s="1" t="s">
        <v>668</v>
      </c>
    </row>
    <row r="22" spans="1:81" x14ac:dyDescent="0.25">
      <c r="A22" s="1" t="s">
        <v>93</v>
      </c>
      <c r="B22" s="1" t="s">
        <v>288</v>
      </c>
      <c r="C22" s="1">
        <v>1610612750</v>
      </c>
      <c r="D22" s="1" t="s">
        <v>116</v>
      </c>
      <c r="E22" s="1" t="s">
        <v>117</v>
      </c>
      <c r="F22" s="1" t="s">
        <v>97</v>
      </c>
      <c r="G22" s="1" t="s">
        <v>717</v>
      </c>
      <c r="H22" s="1">
        <v>11</v>
      </c>
      <c r="I22" s="1" t="s">
        <v>650</v>
      </c>
      <c r="J22" s="1" t="s">
        <v>118</v>
      </c>
      <c r="K22" s="1" t="s">
        <v>718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719</v>
      </c>
      <c r="R22" s="1" t="s">
        <v>589</v>
      </c>
      <c r="S22" s="1" t="s">
        <v>720</v>
      </c>
      <c r="T22" s="1" t="s">
        <v>392</v>
      </c>
      <c r="U22" s="1" t="s">
        <v>392</v>
      </c>
      <c r="V22" s="1" t="s">
        <v>526</v>
      </c>
      <c r="W22" s="1" t="s">
        <v>721</v>
      </c>
      <c r="X22" s="1" t="s">
        <v>722</v>
      </c>
      <c r="Y22" s="1" t="s">
        <v>525</v>
      </c>
      <c r="Z22" s="1">
        <v>6</v>
      </c>
      <c r="AA22" s="1" t="s">
        <v>299</v>
      </c>
      <c r="AB22" s="1">
        <v>-9</v>
      </c>
      <c r="AC22" s="1" t="s">
        <v>723</v>
      </c>
      <c r="AD22" s="1">
        <v>4</v>
      </c>
      <c r="AE22" s="1">
        <v>5</v>
      </c>
      <c r="AF22" s="1">
        <v>-2</v>
      </c>
      <c r="AG22" s="1" t="s">
        <v>151</v>
      </c>
      <c r="AH22" s="1">
        <v>-1</v>
      </c>
      <c r="AI22" s="1" t="s">
        <v>125</v>
      </c>
      <c r="AJ22" s="1">
        <v>-3</v>
      </c>
      <c r="AK22" s="1" t="s">
        <v>183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724</v>
      </c>
      <c r="AT22" s="1" t="s">
        <v>725</v>
      </c>
      <c r="AU22" s="1" t="s">
        <v>721</v>
      </c>
      <c r="AV22" s="1" t="s">
        <v>726</v>
      </c>
      <c r="AW22" s="1" t="s">
        <v>727</v>
      </c>
      <c r="AX22" s="1" t="s">
        <v>126</v>
      </c>
      <c r="AY22" s="1" t="s">
        <v>728</v>
      </c>
      <c r="AZ22" s="1" t="s">
        <v>729</v>
      </c>
      <c r="BA22" s="1" t="s">
        <v>730</v>
      </c>
      <c r="BB22" s="1" t="s">
        <v>731</v>
      </c>
      <c r="BC22" s="1" t="s">
        <v>732</v>
      </c>
      <c r="BD22" s="1" t="s">
        <v>733</v>
      </c>
      <c r="BE22" s="1">
        <v>112.5</v>
      </c>
      <c r="BF22" s="1">
        <v>114</v>
      </c>
      <c r="BG22" s="1">
        <v>-1.5</v>
      </c>
      <c r="BH22" s="1" t="s">
        <v>478</v>
      </c>
      <c r="BI22" s="1" t="s">
        <v>479</v>
      </c>
      <c r="BJ22" s="1" t="s">
        <v>480</v>
      </c>
      <c r="BK22" s="1" t="s">
        <v>480</v>
      </c>
      <c r="BL22" s="1" t="s">
        <v>717</v>
      </c>
      <c r="BM22" s="1" t="s">
        <v>610</v>
      </c>
      <c r="BN22" s="1" t="s">
        <v>540</v>
      </c>
      <c r="BO22" s="1" t="s">
        <v>500</v>
      </c>
      <c r="BP22" s="1" t="s">
        <v>321</v>
      </c>
      <c r="BQ22" s="1" t="s">
        <v>681</v>
      </c>
      <c r="BR22" s="1" t="s">
        <v>699</v>
      </c>
      <c r="BS22" s="1" t="s">
        <v>459</v>
      </c>
      <c r="BT22" s="1"/>
      <c r="BU22" s="1"/>
      <c r="BV22" s="1"/>
      <c r="BW22" s="1"/>
      <c r="BX22" s="1"/>
      <c r="BY22" s="1" t="s">
        <v>460</v>
      </c>
      <c r="BZ22" s="1" t="s">
        <v>355</v>
      </c>
      <c r="CA22" s="1" t="s">
        <v>629</v>
      </c>
      <c r="CB22" s="1" t="s">
        <v>682</v>
      </c>
      <c r="CC22" s="1" t="s">
        <v>668</v>
      </c>
    </row>
    <row r="23" spans="1:81" x14ac:dyDescent="0.25">
      <c r="A23" s="1" t="s">
        <v>93</v>
      </c>
      <c r="B23" s="1" t="s">
        <v>288</v>
      </c>
      <c r="C23" s="1">
        <v>1610612764</v>
      </c>
      <c r="D23" s="1" t="s">
        <v>172</v>
      </c>
      <c r="E23" s="1" t="s">
        <v>173</v>
      </c>
      <c r="F23" s="1" t="s">
        <v>112</v>
      </c>
      <c r="G23" s="1" t="s">
        <v>734</v>
      </c>
      <c r="H23" s="1">
        <v>11</v>
      </c>
      <c r="I23" s="1" t="s">
        <v>650</v>
      </c>
      <c r="J23" s="1" t="s">
        <v>121</v>
      </c>
      <c r="K23" s="1" t="s">
        <v>684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735</v>
      </c>
      <c r="R23" s="1" t="s">
        <v>486</v>
      </c>
      <c r="S23" s="1" t="s">
        <v>605</v>
      </c>
      <c r="T23" s="1" t="s">
        <v>526</v>
      </c>
      <c r="U23" s="1" t="s">
        <v>654</v>
      </c>
      <c r="V23" s="1" t="s">
        <v>654</v>
      </c>
      <c r="W23" s="1" t="s">
        <v>736</v>
      </c>
      <c r="X23" s="1" t="s">
        <v>297</v>
      </c>
      <c r="Y23" s="1" t="s">
        <v>737</v>
      </c>
      <c r="Z23" s="1">
        <v>-6</v>
      </c>
      <c r="AA23" s="1" t="s">
        <v>422</v>
      </c>
      <c r="AB23" s="1">
        <v>-8</v>
      </c>
      <c r="AC23" s="1" t="s">
        <v>738</v>
      </c>
      <c r="AD23" s="1">
        <v>3</v>
      </c>
      <c r="AE23" s="1">
        <v>5</v>
      </c>
      <c r="AF23" s="1">
        <v>-6</v>
      </c>
      <c r="AG23" s="1" t="s">
        <v>422</v>
      </c>
      <c r="AH23" s="1">
        <v>-1</v>
      </c>
      <c r="AI23" s="1" t="s">
        <v>125</v>
      </c>
      <c r="AJ23" s="1">
        <v>-4</v>
      </c>
      <c r="AK23" s="1" t="s">
        <v>195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739</v>
      </c>
      <c r="AT23" s="1" t="s">
        <v>740</v>
      </c>
      <c r="AU23" s="1" t="s">
        <v>615</v>
      </c>
      <c r="AV23" s="1" t="s">
        <v>741</v>
      </c>
      <c r="AW23" s="1" t="s">
        <v>742</v>
      </c>
      <c r="AX23" s="1" t="s">
        <v>152</v>
      </c>
      <c r="AY23" s="1" t="s">
        <v>743</v>
      </c>
      <c r="AZ23" s="1" t="s">
        <v>744</v>
      </c>
      <c r="BA23" s="1" t="s">
        <v>745</v>
      </c>
      <c r="BB23" s="1" t="s">
        <v>746</v>
      </c>
      <c r="BC23" s="1" t="s">
        <v>747</v>
      </c>
      <c r="BD23" s="1" t="s">
        <v>683</v>
      </c>
      <c r="BE23" s="1">
        <v>114</v>
      </c>
      <c r="BF23" s="1">
        <v>116.9</v>
      </c>
      <c r="BG23" s="1">
        <v>-2.9</v>
      </c>
      <c r="BH23" s="1" t="s">
        <v>734</v>
      </c>
      <c r="BI23" s="1" t="s">
        <v>748</v>
      </c>
      <c r="BJ23" s="1" t="s">
        <v>748</v>
      </c>
      <c r="BK23" s="1" t="s">
        <v>519</v>
      </c>
      <c r="BL23" s="1" t="s">
        <v>581</v>
      </c>
      <c r="BM23" s="1" t="s">
        <v>479</v>
      </c>
      <c r="BN23" s="1" t="s">
        <v>480</v>
      </c>
      <c r="BO23" s="1" t="s">
        <v>479</v>
      </c>
      <c r="BP23" s="1" t="s">
        <v>321</v>
      </c>
      <c r="BQ23" s="1" t="s">
        <v>599</v>
      </c>
      <c r="BR23" s="1" t="s">
        <v>749</v>
      </c>
      <c r="BS23" s="1" t="s">
        <v>193</v>
      </c>
      <c r="BT23" s="1"/>
      <c r="BU23" s="1"/>
      <c r="BV23" s="1"/>
      <c r="BW23" s="1"/>
      <c r="BX23" s="1"/>
      <c r="BY23" s="1" t="s">
        <v>750</v>
      </c>
      <c r="BZ23" s="1" t="s">
        <v>482</v>
      </c>
      <c r="CA23" s="1" t="s">
        <v>629</v>
      </c>
      <c r="CB23" s="1" t="s">
        <v>751</v>
      </c>
      <c r="CC23" s="1" t="s">
        <v>752</v>
      </c>
    </row>
    <row r="24" spans="1:81" x14ac:dyDescent="0.25">
      <c r="A24" s="1" t="s">
        <v>93</v>
      </c>
      <c r="B24" s="1" t="s">
        <v>288</v>
      </c>
      <c r="C24" s="1">
        <v>1610612763</v>
      </c>
      <c r="D24" s="1" t="s">
        <v>185</v>
      </c>
      <c r="E24" s="1" t="s">
        <v>186</v>
      </c>
      <c r="F24" s="1" t="s">
        <v>97</v>
      </c>
      <c r="G24" s="1" t="s">
        <v>753</v>
      </c>
      <c r="H24" s="1">
        <v>12</v>
      </c>
      <c r="I24" s="1" t="s">
        <v>650</v>
      </c>
      <c r="J24" s="1" t="s">
        <v>100</v>
      </c>
      <c r="K24" s="1" t="s">
        <v>443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754</v>
      </c>
      <c r="R24" s="1" t="s">
        <v>416</v>
      </c>
      <c r="S24" s="1" t="s">
        <v>755</v>
      </c>
      <c r="T24" s="1" t="s">
        <v>392</v>
      </c>
      <c r="U24" s="1" t="s">
        <v>418</v>
      </c>
      <c r="V24" s="1" t="s">
        <v>654</v>
      </c>
      <c r="W24" s="1" t="s">
        <v>736</v>
      </c>
      <c r="X24" s="1" t="s">
        <v>635</v>
      </c>
      <c r="Y24" s="1" t="s">
        <v>756</v>
      </c>
      <c r="Z24" s="1">
        <v>5</v>
      </c>
      <c r="AA24" s="1" t="s">
        <v>335</v>
      </c>
      <c r="AB24" s="1">
        <v>-9</v>
      </c>
      <c r="AC24" s="1" t="s">
        <v>723</v>
      </c>
      <c r="AD24" s="1">
        <v>5</v>
      </c>
      <c r="AE24" s="1">
        <v>8</v>
      </c>
      <c r="AF24" s="1">
        <v>1</v>
      </c>
      <c r="AG24" s="1" t="s">
        <v>114</v>
      </c>
      <c r="AH24" s="1">
        <v>-1</v>
      </c>
      <c r="AI24" s="1" t="s">
        <v>125</v>
      </c>
      <c r="AJ24" s="1">
        <v>1</v>
      </c>
      <c r="AK24" s="1" t="s">
        <v>114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757</v>
      </c>
      <c r="AT24" s="1" t="s">
        <v>758</v>
      </c>
      <c r="AU24" s="1" t="s">
        <v>670</v>
      </c>
      <c r="AV24" s="1" t="s">
        <v>759</v>
      </c>
      <c r="AW24" s="1" t="s">
        <v>760</v>
      </c>
      <c r="AX24" s="1" t="s">
        <v>124</v>
      </c>
      <c r="AY24" s="1" t="s">
        <v>475</v>
      </c>
      <c r="AZ24" s="1" t="s">
        <v>761</v>
      </c>
      <c r="BA24" s="1" t="s">
        <v>692</v>
      </c>
      <c r="BB24" s="1" t="s">
        <v>762</v>
      </c>
      <c r="BC24" s="1" t="s">
        <v>763</v>
      </c>
      <c r="BD24" s="1" t="s">
        <v>764</v>
      </c>
      <c r="BE24" s="1">
        <v>103.5</v>
      </c>
      <c r="BF24" s="1">
        <v>106.1</v>
      </c>
      <c r="BG24" s="1">
        <v>-2.6</v>
      </c>
      <c r="BH24" s="1" t="s">
        <v>765</v>
      </c>
      <c r="BI24" s="1" t="s">
        <v>599</v>
      </c>
      <c r="BJ24" s="1" t="s">
        <v>599</v>
      </c>
      <c r="BK24" s="1" t="s">
        <v>599</v>
      </c>
      <c r="BL24" s="1" t="s">
        <v>753</v>
      </c>
      <c r="BM24" s="1" t="s">
        <v>540</v>
      </c>
      <c r="BN24" s="1" t="s">
        <v>626</v>
      </c>
      <c r="BO24" s="1" t="s">
        <v>458</v>
      </c>
      <c r="BP24" s="1" t="s">
        <v>766</v>
      </c>
      <c r="BQ24" s="1" t="s">
        <v>681</v>
      </c>
      <c r="BR24" s="1" t="s">
        <v>355</v>
      </c>
      <c r="BS24" s="1" t="s">
        <v>715</v>
      </c>
      <c r="BT24" s="1"/>
      <c r="BU24" s="1"/>
      <c r="BV24" s="1"/>
      <c r="BW24" s="1"/>
      <c r="BX24" s="1"/>
      <c r="BY24" s="1" t="s">
        <v>517</v>
      </c>
      <c r="BZ24" s="1" t="s">
        <v>381</v>
      </c>
      <c r="CA24" s="1" t="s">
        <v>584</v>
      </c>
      <c r="CB24" s="1" t="s">
        <v>767</v>
      </c>
      <c r="CC24" s="1" t="s">
        <v>768</v>
      </c>
    </row>
    <row r="25" spans="1:81" x14ac:dyDescent="0.25">
      <c r="A25" s="1" t="s">
        <v>93</v>
      </c>
      <c r="B25" s="1" t="s">
        <v>288</v>
      </c>
      <c r="C25" s="1">
        <v>1610612737</v>
      </c>
      <c r="D25" s="1" t="s">
        <v>147</v>
      </c>
      <c r="E25" s="1" t="s">
        <v>148</v>
      </c>
      <c r="F25" s="1" t="s">
        <v>112</v>
      </c>
      <c r="G25" s="1" t="s">
        <v>769</v>
      </c>
      <c r="H25" s="1">
        <v>12</v>
      </c>
      <c r="I25" s="1" t="s">
        <v>650</v>
      </c>
      <c r="J25" s="1" t="s">
        <v>121</v>
      </c>
      <c r="K25" s="1" t="s">
        <v>414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770</v>
      </c>
      <c r="R25" s="1" t="s">
        <v>602</v>
      </c>
      <c r="S25" s="1" t="s">
        <v>755</v>
      </c>
      <c r="T25" s="1" t="s">
        <v>296</v>
      </c>
      <c r="U25" s="1" t="s">
        <v>418</v>
      </c>
      <c r="V25" s="1" t="s">
        <v>654</v>
      </c>
      <c r="W25" s="1" t="s">
        <v>124</v>
      </c>
      <c r="X25" s="1" t="s">
        <v>771</v>
      </c>
      <c r="Y25" s="1" t="s">
        <v>772</v>
      </c>
      <c r="Z25" s="1">
        <v>-5</v>
      </c>
      <c r="AA25" s="1" t="s">
        <v>449</v>
      </c>
      <c r="AB25" s="1">
        <v>-7</v>
      </c>
      <c r="AC25" s="1" t="s">
        <v>773</v>
      </c>
      <c r="AD25" s="1">
        <v>3</v>
      </c>
      <c r="AE25" s="1">
        <v>10</v>
      </c>
      <c r="AF25" s="1">
        <v>-1</v>
      </c>
      <c r="AG25" s="1" t="s">
        <v>125</v>
      </c>
      <c r="AH25" s="1">
        <v>-3</v>
      </c>
      <c r="AI25" s="1" t="s">
        <v>183</v>
      </c>
      <c r="AJ25" s="1">
        <v>-3</v>
      </c>
      <c r="AK25" s="1" t="s">
        <v>183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774</v>
      </c>
      <c r="AT25" s="1" t="s">
        <v>672</v>
      </c>
      <c r="AU25" s="1" t="s">
        <v>182</v>
      </c>
      <c r="AV25" s="1" t="s">
        <v>457</v>
      </c>
      <c r="AW25" s="1" t="s">
        <v>775</v>
      </c>
      <c r="AX25" s="1" t="s">
        <v>124</v>
      </c>
      <c r="AY25" s="1" t="s">
        <v>776</v>
      </c>
      <c r="AZ25" s="1" t="s">
        <v>777</v>
      </c>
      <c r="BA25" s="1" t="s">
        <v>778</v>
      </c>
      <c r="BB25" s="1" t="s">
        <v>580</v>
      </c>
      <c r="BC25" s="1" t="s">
        <v>779</v>
      </c>
      <c r="BD25" s="1" t="s">
        <v>780</v>
      </c>
      <c r="BE25" s="1">
        <v>113.3</v>
      </c>
      <c r="BF25" s="1">
        <v>119.4</v>
      </c>
      <c r="BG25" s="1">
        <v>-6</v>
      </c>
      <c r="BH25" s="1" t="s">
        <v>769</v>
      </c>
      <c r="BI25" s="1" t="s">
        <v>781</v>
      </c>
      <c r="BJ25" s="1" t="s">
        <v>748</v>
      </c>
      <c r="BK25" s="1" t="s">
        <v>435</v>
      </c>
      <c r="BL25" s="1" t="s">
        <v>581</v>
      </c>
      <c r="BM25" s="1" t="s">
        <v>480</v>
      </c>
      <c r="BN25" s="1" t="s">
        <v>479</v>
      </c>
      <c r="BO25" s="1" t="s">
        <v>479</v>
      </c>
      <c r="BP25" s="1" t="s">
        <v>699</v>
      </c>
      <c r="BQ25" s="1" t="s">
        <v>782</v>
      </c>
      <c r="BR25" s="1" t="s">
        <v>482</v>
      </c>
      <c r="BS25" s="1" t="s">
        <v>666</v>
      </c>
      <c r="BT25" s="1"/>
      <c r="BU25" s="1"/>
      <c r="BV25" s="1"/>
      <c r="BW25" s="1"/>
      <c r="BX25" s="1"/>
      <c r="BY25" s="1" t="s">
        <v>612</v>
      </c>
      <c r="BZ25" s="1" t="s">
        <v>783</v>
      </c>
      <c r="CA25" s="1" t="s">
        <v>784</v>
      </c>
      <c r="CB25" s="1" t="s">
        <v>785</v>
      </c>
      <c r="CC25" s="1" t="s">
        <v>547</v>
      </c>
    </row>
    <row r="26" spans="1:81" x14ac:dyDescent="0.25">
      <c r="A26" s="1" t="s">
        <v>93</v>
      </c>
      <c r="B26" s="1" t="s">
        <v>288</v>
      </c>
      <c r="C26" s="1">
        <v>1610612741</v>
      </c>
      <c r="D26" s="1" t="s">
        <v>189</v>
      </c>
      <c r="E26" s="1" t="s">
        <v>190</v>
      </c>
      <c r="F26" s="1" t="s">
        <v>112</v>
      </c>
      <c r="G26" s="1" t="s">
        <v>769</v>
      </c>
      <c r="H26" s="1">
        <v>13</v>
      </c>
      <c r="I26" s="1" t="s">
        <v>650</v>
      </c>
      <c r="J26" s="1" t="s">
        <v>140</v>
      </c>
      <c r="K26" s="1" t="s">
        <v>786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787</v>
      </c>
      <c r="R26" s="1" t="s">
        <v>672</v>
      </c>
      <c r="S26" s="1" t="s">
        <v>788</v>
      </c>
      <c r="T26" s="1" t="s">
        <v>526</v>
      </c>
      <c r="U26" s="1" t="s">
        <v>526</v>
      </c>
      <c r="V26" s="1" t="s">
        <v>654</v>
      </c>
      <c r="W26" s="1" t="s">
        <v>452</v>
      </c>
      <c r="X26" s="1" t="s">
        <v>443</v>
      </c>
      <c r="Y26" s="1" t="s">
        <v>789</v>
      </c>
      <c r="Z26" s="1">
        <v>-11</v>
      </c>
      <c r="AA26" s="1" t="s">
        <v>790</v>
      </c>
      <c r="AB26" s="1">
        <v>-9</v>
      </c>
      <c r="AC26" s="1" t="s">
        <v>723</v>
      </c>
      <c r="AD26" s="1">
        <v>3</v>
      </c>
      <c r="AE26" s="1">
        <v>10</v>
      </c>
      <c r="AF26" s="1">
        <v>-5</v>
      </c>
      <c r="AG26" s="1" t="s">
        <v>449</v>
      </c>
      <c r="AH26" s="1">
        <v>-1</v>
      </c>
      <c r="AI26" s="1" t="s">
        <v>125</v>
      </c>
      <c r="AJ26" s="1">
        <v>-3</v>
      </c>
      <c r="AK26" s="1" t="s">
        <v>183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791</v>
      </c>
      <c r="AT26" s="1" t="s">
        <v>792</v>
      </c>
      <c r="AU26" s="1" t="s">
        <v>615</v>
      </c>
      <c r="AV26" s="1" t="s">
        <v>793</v>
      </c>
      <c r="AW26" s="1" t="s">
        <v>794</v>
      </c>
      <c r="AX26" s="1" t="s">
        <v>162</v>
      </c>
      <c r="AY26" s="1" t="s">
        <v>795</v>
      </c>
      <c r="AZ26" s="1" t="s">
        <v>796</v>
      </c>
      <c r="BA26" s="1" t="s">
        <v>797</v>
      </c>
      <c r="BB26" s="1" t="s">
        <v>798</v>
      </c>
      <c r="BC26" s="1" t="s">
        <v>463</v>
      </c>
      <c r="BD26" s="1" t="s">
        <v>799</v>
      </c>
      <c r="BE26" s="1">
        <v>104.9</v>
      </c>
      <c r="BF26" s="1">
        <v>113.4</v>
      </c>
      <c r="BG26" s="1">
        <v>-8.4</v>
      </c>
      <c r="BH26" s="1" t="s">
        <v>769</v>
      </c>
      <c r="BI26" s="1" t="s">
        <v>781</v>
      </c>
      <c r="BJ26" s="1" t="s">
        <v>783</v>
      </c>
      <c r="BK26" s="1" t="s">
        <v>540</v>
      </c>
      <c r="BL26" s="1" t="s">
        <v>800</v>
      </c>
      <c r="BM26" s="1" t="s">
        <v>713</v>
      </c>
      <c r="BN26" s="1" t="s">
        <v>582</v>
      </c>
      <c r="BO26" s="1" t="s">
        <v>599</v>
      </c>
      <c r="BP26" s="1" t="s">
        <v>801</v>
      </c>
      <c r="BQ26" s="1" t="s">
        <v>480</v>
      </c>
      <c r="BR26" s="1" t="s">
        <v>646</v>
      </c>
      <c r="BS26" s="1" t="s">
        <v>666</v>
      </c>
      <c r="BT26" s="1"/>
      <c r="BU26" s="1"/>
      <c r="BV26" s="1"/>
      <c r="BW26" s="1"/>
      <c r="BX26" s="1"/>
      <c r="BY26" s="1" t="s">
        <v>802</v>
      </c>
      <c r="BZ26" s="1" t="s">
        <v>803</v>
      </c>
      <c r="CA26" s="1" t="s">
        <v>699</v>
      </c>
      <c r="CB26" s="1" t="s">
        <v>804</v>
      </c>
      <c r="CC26" s="1" t="s">
        <v>752</v>
      </c>
    </row>
    <row r="27" spans="1:81" x14ac:dyDescent="0.25">
      <c r="A27" s="1" t="s">
        <v>93</v>
      </c>
      <c r="B27" s="1" t="s">
        <v>288</v>
      </c>
      <c r="C27" s="1">
        <v>1610612740</v>
      </c>
      <c r="D27" s="1" t="s">
        <v>191</v>
      </c>
      <c r="E27" s="1" t="s">
        <v>192</v>
      </c>
      <c r="F27" s="1" t="s">
        <v>97</v>
      </c>
      <c r="G27" s="1" t="s">
        <v>683</v>
      </c>
      <c r="H27" s="1">
        <v>13</v>
      </c>
      <c r="I27" s="1" t="s">
        <v>650</v>
      </c>
      <c r="J27" s="1" t="s">
        <v>100</v>
      </c>
      <c r="K27" s="1" t="s">
        <v>443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754</v>
      </c>
      <c r="R27" s="1" t="s">
        <v>525</v>
      </c>
      <c r="S27" s="1" t="s">
        <v>669</v>
      </c>
      <c r="T27" s="1" t="s">
        <v>654</v>
      </c>
      <c r="U27" s="1" t="s">
        <v>805</v>
      </c>
      <c r="V27" s="1" t="s">
        <v>296</v>
      </c>
      <c r="W27" s="1" t="s">
        <v>152</v>
      </c>
      <c r="X27" s="1" t="s">
        <v>392</v>
      </c>
      <c r="Y27" s="1" t="s">
        <v>806</v>
      </c>
      <c r="Z27" s="1">
        <v>-8</v>
      </c>
      <c r="AA27" s="1" t="s">
        <v>738</v>
      </c>
      <c r="AB27" s="1">
        <v>-6</v>
      </c>
      <c r="AC27" s="1" t="s">
        <v>422</v>
      </c>
      <c r="AD27" s="1">
        <v>4</v>
      </c>
      <c r="AE27" s="1">
        <v>6</v>
      </c>
      <c r="AF27" s="1">
        <v>-3</v>
      </c>
      <c r="AG27" s="1" t="s">
        <v>183</v>
      </c>
      <c r="AH27" s="1">
        <v>1</v>
      </c>
      <c r="AI27" s="1" t="s">
        <v>114</v>
      </c>
      <c r="AJ27" s="1">
        <v>-1</v>
      </c>
      <c r="AK27" s="1" t="s">
        <v>125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807</v>
      </c>
      <c r="AT27" s="1" t="s">
        <v>808</v>
      </c>
      <c r="AU27" s="1" t="s">
        <v>152</v>
      </c>
      <c r="AV27" s="1" t="s">
        <v>809</v>
      </c>
      <c r="AW27" s="1" t="s">
        <v>810</v>
      </c>
      <c r="AX27" s="1" t="s">
        <v>123</v>
      </c>
      <c r="AY27" s="1" t="s">
        <v>811</v>
      </c>
      <c r="AZ27" s="1" t="s">
        <v>812</v>
      </c>
      <c r="BA27" s="1" t="s">
        <v>813</v>
      </c>
      <c r="BB27" s="1" t="s">
        <v>814</v>
      </c>
      <c r="BC27" s="1" t="s">
        <v>815</v>
      </c>
      <c r="BD27" s="1" t="s">
        <v>816</v>
      </c>
      <c r="BE27" s="1">
        <v>115.4</v>
      </c>
      <c r="BF27" s="1">
        <v>116.8</v>
      </c>
      <c r="BG27" s="1">
        <v>-1.3</v>
      </c>
      <c r="BH27" s="1" t="s">
        <v>679</v>
      </c>
      <c r="BI27" s="1" t="s">
        <v>599</v>
      </c>
      <c r="BJ27" s="1" t="s">
        <v>480</v>
      </c>
      <c r="BK27" s="1" t="s">
        <v>582</v>
      </c>
      <c r="BL27" s="1" t="s">
        <v>683</v>
      </c>
      <c r="BM27" s="1" t="s">
        <v>626</v>
      </c>
      <c r="BN27" s="1" t="s">
        <v>500</v>
      </c>
      <c r="BO27" s="1" t="s">
        <v>458</v>
      </c>
      <c r="BP27" s="1" t="s">
        <v>680</v>
      </c>
      <c r="BQ27" s="1" t="s">
        <v>681</v>
      </c>
      <c r="BR27" s="1" t="s">
        <v>584</v>
      </c>
      <c r="BS27" s="1" t="s">
        <v>178</v>
      </c>
      <c r="BT27" s="1"/>
      <c r="BU27" s="1"/>
      <c r="BV27" s="1"/>
      <c r="BW27" s="1"/>
      <c r="BX27" s="1"/>
      <c r="BY27" s="1" t="s">
        <v>518</v>
      </c>
      <c r="BZ27" s="1" t="s">
        <v>519</v>
      </c>
      <c r="CA27" s="1" t="s">
        <v>629</v>
      </c>
      <c r="CB27" s="1" t="s">
        <v>817</v>
      </c>
      <c r="CC27" s="1" t="s">
        <v>818</v>
      </c>
    </row>
    <row r="28" spans="1:81" x14ac:dyDescent="0.25">
      <c r="A28" s="1" t="s">
        <v>93</v>
      </c>
      <c r="B28" s="1" t="s">
        <v>288</v>
      </c>
      <c r="C28" s="1">
        <v>1610612742</v>
      </c>
      <c r="D28" s="1" t="s">
        <v>136</v>
      </c>
      <c r="E28" s="1" t="s">
        <v>137</v>
      </c>
      <c r="F28" s="1" t="s">
        <v>97</v>
      </c>
      <c r="G28" s="1" t="s">
        <v>819</v>
      </c>
      <c r="H28" s="1">
        <v>14</v>
      </c>
      <c r="I28" s="1" t="s">
        <v>650</v>
      </c>
      <c r="J28" s="1" t="s">
        <v>100</v>
      </c>
      <c r="K28" s="1" t="s">
        <v>651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754</v>
      </c>
      <c r="R28" s="1" t="s">
        <v>653</v>
      </c>
      <c r="S28" s="1" t="s">
        <v>672</v>
      </c>
      <c r="T28" s="1" t="s">
        <v>296</v>
      </c>
      <c r="U28" s="1" t="s">
        <v>654</v>
      </c>
      <c r="V28" s="1" t="s">
        <v>654</v>
      </c>
      <c r="W28" s="1" t="s">
        <v>179</v>
      </c>
      <c r="X28" s="1" t="s">
        <v>332</v>
      </c>
      <c r="Y28" s="1" t="s">
        <v>820</v>
      </c>
      <c r="Z28" s="1">
        <v>11</v>
      </c>
      <c r="AA28" s="1" t="s">
        <v>334</v>
      </c>
      <c r="AB28" s="1">
        <v>-9</v>
      </c>
      <c r="AC28" s="1" t="s">
        <v>723</v>
      </c>
      <c r="AD28" s="1">
        <v>4</v>
      </c>
      <c r="AE28" s="1">
        <v>7</v>
      </c>
      <c r="AF28" s="1">
        <v>1</v>
      </c>
      <c r="AG28" s="1" t="s">
        <v>114</v>
      </c>
      <c r="AH28" s="1">
        <v>-1</v>
      </c>
      <c r="AI28" s="1" t="s">
        <v>125</v>
      </c>
      <c r="AJ28" s="1">
        <v>-1</v>
      </c>
      <c r="AK28" s="1" t="s">
        <v>125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821</v>
      </c>
      <c r="AT28" s="1" t="s">
        <v>706</v>
      </c>
      <c r="AU28" s="1" t="s">
        <v>126</v>
      </c>
      <c r="AV28" s="1" t="s">
        <v>676</v>
      </c>
      <c r="AW28" s="1" t="s">
        <v>822</v>
      </c>
      <c r="AX28" s="1" t="s">
        <v>123</v>
      </c>
      <c r="AY28" s="1" t="s">
        <v>823</v>
      </c>
      <c r="AZ28" s="1" t="s">
        <v>824</v>
      </c>
      <c r="BA28" s="1" t="s">
        <v>825</v>
      </c>
      <c r="BB28" s="1" t="s">
        <v>826</v>
      </c>
      <c r="BC28" s="1" t="s">
        <v>732</v>
      </c>
      <c r="BD28" s="1" t="s">
        <v>827</v>
      </c>
      <c r="BE28" s="1">
        <v>108.9</v>
      </c>
      <c r="BF28" s="1">
        <v>110.1</v>
      </c>
      <c r="BG28" s="1">
        <v>-1.3</v>
      </c>
      <c r="BH28" s="1" t="s">
        <v>542</v>
      </c>
      <c r="BI28" s="1" t="s">
        <v>479</v>
      </c>
      <c r="BJ28" s="1" t="s">
        <v>314</v>
      </c>
      <c r="BK28" s="1" t="s">
        <v>480</v>
      </c>
      <c r="BL28" s="1" t="s">
        <v>819</v>
      </c>
      <c r="BM28" s="1" t="s">
        <v>500</v>
      </c>
      <c r="BN28" s="1" t="s">
        <v>748</v>
      </c>
      <c r="BO28" s="1" t="s">
        <v>665</v>
      </c>
      <c r="BP28" s="1" t="s">
        <v>629</v>
      </c>
      <c r="BQ28" s="1" t="s">
        <v>479</v>
      </c>
      <c r="BR28" s="1" t="s">
        <v>803</v>
      </c>
      <c r="BS28" s="1" t="s">
        <v>407</v>
      </c>
      <c r="BT28" s="1"/>
      <c r="BU28" s="1"/>
      <c r="BV28" s="1"/>
      <c r="BW28" s="1"/>
      <c r="BX28" s="1"/>
      <c r="BY28" s="1" t="s">
        <v>802</v>
      </c>
      <c r="BZ28" s="1" t="s">
        <v>409</v>
      </c>
      <c r="CA28" s="1" t="s">
        <v>519</v>
      </c>
      <c r="CB28" s="1" t="s">
        <v>828</v>
      </c>
      <c r="CC28" s="1" t="s">
        <v>829</v>
      </c>
    </row>
    <row r="29" spans="1:81" x14ac:dyDescent="0.25">
      <c r="A29" s="1" t="s">
        <v>93</v>
      </c>
      <c r="B29" s="1" t="s">
        <v>288</v>
      </c>
      <c r="C29" s="1">
        <v>1610612739</v>
      </c>
      <c r="D29" s="1" t="s">
        <v>163</v>
      </c>
      <c r="E29" s="1" t="s">
        <v>164</v>
      </c>
      <c r="F29" s="1" t="s">
        <v>112</v>
      </c>
      <c r="G29" s="1" t="s">
        <v>830</v>
      </c>
      <c r="H29" s="1">
        <v>14</v>
      </c>
      <c r="I29" s="1" t="s">
        <v>650</v>
      </c>
      <c r="J29" s="1" t="s">
        <v>140</v>
      </c>
      <c r="K29" s="1" t="s">
        <v>651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831</v>
      </c>
      <c r="R29" s="1" t="s">
        <v>788</v>
      </c>
      <c r="S29" s="1" t="s">
        <v>832</v>
      </c>
      <c r="T29" s="1" t="s">
        <v>833</v>
      </c>
      <c r="U29" s="1" t="s">
        <v>392</v>
      </c>
      <c r="V29" s="1" t="s">
        <v>833</v>
      </c>
      <c r="W29" s="1" t="s">
        <v>131</v>
      </c>
      <c r="X29" s="1" t="s">
        <v>573</v>
      </c>
      <c r="Y29" s="1" t="s">
        <v>834</v>
      </c>
      <c r="Z29" s="1">
        <v>-9</v>
      </c>
      <c r="AA29" s="1" t="s">
        <v>723</v>
      </c>
      <c r="AB29" s="1">
        <v>-11</v>
      </c>
      <c r="AC29" s="1" t="s">
        <v>790</v>
      </c>
      <c r="AD29" s="1">
        <v>2</v>
      </c>
      <c r="AE29" s="1">
        <v>12</v>
      </c>
      <c r="AF29" s="1">
        <v>-4</v>
      </c>
      <c r="AG29" s="1" t="s">
        <v>195</v>
      </c>
      <c r="AH29" s="1">
        <v>-11</v>
      </c>
      <c r="AI29" s="1" t="s">
        <v>790</v>
      </c>
      <c r="AJ29" s="1">
        <v>-10</v>
      </c>
      <c r="AK29" s="1" t="s">
        <v>529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411</v>
      </c>
      <c r="AT29" s="1" t="s">
        <v>835</v>
      </c>
      <c r="AU29" s="1" t="s">
        <v>836</v>
      </c>
      <c r="AV29" s="1" t="s">
        <v>837</v>
      </c>
      <c r="AW29" s="1" t="s">
        <v>838</v>
      </c>
      <c r="AX29" s="1" t="s">
        <v>452</v>
      </c>
      <c r="AY29" s="1" t="s">
        <v>730</v>
      </c>
      <c r="AZ29" s="1" t="s">
        <v>839</v>
      </c>
      <c r="BA29" s="1" t="s">
        <v>840</v>
      </c>
      <c r="BB29" s="1" t="s">
        <v>841</v>
      </c>
      <c r="BC29" s="1" t="s">
        <v>685</v>
      </c>
      <c r="BD29" s="1" t="s">
        <v>842</v>
      </c>
      <c r="BE29" s="1">
        <v>104.5</v>
      </c>
      <c r="BF29" s="1">
        <v>114.1</v>
      </c>
      <c r="BG29" s="1">
        <v>-9.6</v>
      </c>
      <c r="BH29" s="1" t="s">
        <v>830</v>
      </c>
      <c r="BI29" s="1" t="s">
        <v>748</v>
      </c>
      <c r="BJ29" s="1" t="s">
        <v>665</v>
      </c>
      <c r="BK29" s="1" t="s">
        <v>843</v>
      </c>
      <c r="BL29" s="1" t="s">
        <v>844</v>
      </c>
      <c r="BM29" s="1" t="s">
        <v>845</v>
      </c>
      <c r="BN29" s="1" t="s">
        <v>582</v>
      </c>
      <c r="BO29" s="1" t="s">
        <v>582</v>
      </c>
      <c r="BP29" s="1" t="s">
        <v>803</v>
      </c>
      <c r="BQ29" s="1" t="s">
        <v>479</v>
      </c>
      <c r="BR29" s="1" t="s">
        <v>646</v>
      </c>
      <c r="BS29" s="1" t="s">
        <v>846</v>
      </c>
      <c r="BT29" s="1"/>
      <c r="BU29" s="1"/>
      <c r="BV29" s="1"/>
      <c r="BW29" s="1"/>
      <c r="BX29" s="1"/>
      <c r="BY29" s="1" t="s">
        <v>750</v>
      </c>
      <c r="BZ29" s="1" t="s">
        <v>847</v>
      </c>
      <c r="CA29" s="1" t="s">
        <v>665</v>
      </c>
      <c r="CB29" s="1" t="s">
        <v>848</v>
      </c>
      <c r="CC29" s="1" t="s">
        <v>849</v>
      </c>
    </row>
    <row r="30" spans="1:81" x14ac:dyDescent="0.25">
      <c r="A30" s="1" t="s">
        <v>93</v>
      </c>
      <c r="B30" s="1" t="s">
        <v>288</v>
      </c>
      <c r="C30" s="1">
        <v>1610612752</v>
      </c>
      <c r="D30" s="1" t="s">
        <v>187</v>
      </c>
      <c r="E30" s="1" t="s">
        <v>188</v>
      </c>
      <c r="F30" s="1" t="s">
        <v>112</v>
      </c>
      <c r="G30" s="1" t="s">
        <v>850</v>
      </c>
      <c r="H30" s="1">
        <v>15</v>
      </c>
      <c r="I30" s="1" t="s">
        <v>650</v>
      </c>
      <c r="J30" s="1" t="s">
        <v>113</v>
      </c>
      <c r="K30" s="1" t="s">
        <v>851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852</v>
      </c>
      <c r="R30" s="1" t="s">
        <v>672</v>
      </c>
      <c r="S30" s="1" t="s">
        <v>853</v>
      </c>
      <c r="T30" s="1" t="s">
        <v>654</v>
      </c>
      <c r="U30" s="1" t="s">
        <v>654</v>
      </c>
      <c r="V30" s="1" t="s">
        <v>805</v>
      </c>
      <c r="W30" s="1" t="s">
        <v>126</v>
      </c>
      <c r="X30" s="1" t="s">
        <v>854</v>
      </c>
      <c r="Y30" s="1" t="s">
        <v>855</v>
      </c>
      <c r="Z30" s="1">
        <v>-18</v>
      </c>
      <c r="AA30" s="1" t="s">
        <v>856</v>
      </c>
      <c r="AB30" s="1">
        <v>-9</v>
      </c>
      <c r="AC30" s="1" t="s">
        <v>723</v>
      </c>
      <c r="AD30" s="1">
        <v>3</v>
      </c>
      <c r="AE30" s="1">
        <v>18</v>
      </c>
      <c r="AF30" s="1">
        <v>-1</v>
      </c>
      <c r="AG30" s="1" t="s">
        <v>125</v>
      </c>
      <c r="AH30" s="1">
        <v>1</v>
      </c>
      <c r="AI30" s="1" t="s">
        <v>114</v>
      </c>
      <c r="AJ30" s="1">
        <v>-1</v>
      </c>
      <c r="AK30" s="1" t="s">
        <v>125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857</v>
      </c>
      <c r="AT30" s="1" t="s">
        <v>858</v>
      </c>
      <c r="AU30" s="1" t="s">
        <v>182</v>
      </c>
      <c r="AV30" s="1" t="s">
        <v>447</v>
      </c>
      <c r="AW30" s="1" t="s">
        <v>859</v>
      </c>
      <c r="AX30" s="1" t="s">
        <v>182</v>
      </c>
      <c r="AY30" s="1" t="s">
        <v>860</v>
      </c>
      <c r="AZ30" s="1" t="s">
        <v>861</v>
      </c>
      <c r="BA30" s="1" t="s">
        <v>862</v>
      </c>
      <c r="BB30" s="1" t="s">
        <v>863</v>
      </c>
      <c r="BC30" s="1" t="s">
        <v>864</v>
      </c>
      <c r="BD30" s="1" t="s">
        <v>865</v>
      </c>
      <c r="BE30" s="1">
        <v>104.6</v>
      </c>
      <c r="BF30" s="1">
        <v>113.8</v>
      </c>
      <c r="BG30" s="1">
        <v>-9.1999999999999993</v>
      </c>
      <c r="BH30" s="1" t="s">
        <v>850</v>
      </c>
      <c r="BI30" s="1" t="s">
        <v>766</v>
      </c>
      <c r="BJ30" s="1" t="s">
        <v>866</v>
      </c>
      <c r="BK30" s="1" t="s">
        <v>748</v>
      </c>
      <c r="BL30" s="1" t="s">
        <v>800</v>
      </c>
      <c r="BM30" s="1" t="s">
        <v>845</v>
      </c>
      <c r="BN30" s="1" t="s">
        <v>582</v>
      </c>
      <c r="BO30" s="1" t="s">
        <v>479</v>
      </c>
      <c r="BP30" s="1" t="s">
        <v>867</v>
      </c>
      <c r="BQ30" s="1" t="s">
        <v>697</v>
      </c>
      <c r="BR30" s="1" t="s">
        <v>868</v>
      </c>
      <c r="BS30" s="1" t="s">
        <v>407</v>
      </c>
      <c r="BT30" s="1"/>
      <c r="BU30" s="1"/>
      <c r="BV30" s="1"/>
      <c r="BW30" s="1"/>
      <c r="BX30" s="1"/>
      <c r="BY30" s="1" t="s">
        <v>802</v>
      </c>
      <c r="BZ30" s="1" t="s">
        <v>584</v>
      </c>
      <c r="CA30" s="1" t="s">
        <v>869</v>
      </c>
      <c r="CB30" s="1" t="s">
        <v>870</v>
      </c>
      <c r="CC30" s="1" t="s">
        <v>871</v>
      </c>
    </row>
    <row r="31" spans="1:81" x14ac:dyDescent="0.25">
      <c r="A31" s="1" t="s">
        <v>93</v>
      </c>
      <c r="B31" s="1" t="s">
        <v>288</v>
      </c>
      <c r="C31" s="1">
        <v>1610612756</v>
      </c>
      <c r="D31" s="1" t="s">
        <v>165</v>
      </c>
      <c r="E31" s="1" t="s">
        <v>166</v>
      </c>
      <c r="F31" s="1" t="s">
        <v>97</v>
      </c>
      <c r="G31" s="1" t="s">
        <v>850</v>
      </c>
      <c r="H31" s="1">
        <v>15</v>
      </c>
      <c r="I31" s="1" t="s">
        <v>650</v>
      </c>
      <c r="J31" s="1" t="s">
        <v>135</v>
      </c>
      <c r="K31" s="1" t="s">
        <v>786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831</v>
      </c>
      <c r="R31" s="1" t="s">
        <v>755</v>
      </c>
      <c r="S31" s="1" t="s">
        <v>872</v>
      </c>
      <c r="T31" s="1" t="s">
        <v>526</v>
      </c>
      <c r="U31" s="1" t="s">
        <v>392</v>
      </c>
      <c r="V31" s="1" t="s">
        <v>654</v>
      </c>
      <c r="W31" s="1" t="s">
        <v>721</v>
      </c>
      <c r="X31" s="1" t="s">
        <v>296</v>
      </c>
      <c r="Y31" s="1" t="s">
        <v>822</v>
      </c>
      <c r="Z31" s="1">
        <v>-6</v>
      </c>
      <c r="AA31" s="1" t="s">
        <v>422</v>
      </c>
      <c r="AB31" s="1">
        <v>-13</v>
      </c>
      <c r="AC31" s="1" t="s">
        <v>873</v>
      </c>
      <c r="AD31" s="1">
        <v>4</v>
      </c>
      <c r="AE31" s="1">
        <v>17</v>
      </c>
      <c r="AF31" s="1">
        <v>1</v>
      </c>
      <c r="AG31" s="1" t="s">
        <v>114</v>
      </c>
      <c r="AH31" s="1">
        <v>-4</v>
      </c>
      <c r="AI31" s="1" t="s">
        <v>195</v>
      </c>
      <c r="AJ31" s="1">
        <v>-2</v>
      </c>
      <c r="AK31" s="1" t="s">
        <v>151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874</v>
      </c>
      <c r="AT31" s="1" t="s">
        <v>875</v>
      </c>
      <c r="AU31" s="1" t="s">
        <v>182</v>
      </c>
      <c r="AV31" s="1" t="s">
        <v>876</v>
      </c>
      <c r="AW31" s="1" t="s">
        <v>877</v>
      </c>
      <c r="AX31" s="1" t="s">
        <v>98</v>
      </c>
      <c r="AY31" s="1" t="s">
        <v>878</v>
      </c>
      <c r="AZ31" s="1" t="s">
        <v>879</v>
      </c>
      <c r="BA31" s="1" t="s">
        <v>880</v>
      </c>
      <c r="BB31" s="1" t="s">
        <v>881</v>
      </c>
      <c r="BC31" s="1" t="s">
        <v>882</v>
      </c>
      <c r="BD31" s="1" t="s">
        <v>883</v>
      </c>
      <c r="BE31" s="1">
        <v>107.5</v>
      </c>
      <c r="BF31" s="1">
        <v>116.8</v>
      </c>
      <c r="BG31" s="1">
        <v>-9.3000000000000007</v>
      </c>
      <c r="BH31" s="1" t="s">
        <v>884</v>
      </c>
      <c r="BI31" s="1" t="s">
        <v>599</v>
      </c>
      <c r="BJ31" s="1" t="s">
        <v>599</v>
      </c>
      <c r="BK31" s="1" t="s">
        <v>582</v>
      </c>
      <c r="BL31" s="1" t="s">
        <v>850</v>
      </c>
      <c r="BM31" s="1" t="s">
        <v>885</v>
      </c>
      <c r="BN31" s="1" t="s">
        <v>783</v>
      </c>
      <c r="BO31" s="1" t="s">
        <v>748</v>
      </c>
      <c r="BP31" s="1" t="s">
        <v>801</v>
      </c>
      <c r="BQ31" s="1" t="s">
        <v>886</v>
      </c>
      <c r="BR31" s="1" t="s">
        <v>584</v>
      </c>
      <c r="BS31" s="1" t="s">
        <v>715</v>
      </c>
      <c r="BT31" s="1"/>
      <c r="BU31" s="1"/>
      <c r="BV31" s="1"/>
      <c r="BW31" s="1"/>
      <c r="BX31" s="1"/>
      <c r="BY31" s="1" t="s">
        <v>750</v>
      </c>
      <c r="BZ31" s="1" t="s">
        <v>803</v>
      </c>
      <c r="CA31" s="1" t="s">
        <v>610</v>
      </c>
      <c r="CB31" s="1" t="s">
        <v>887</v>
      </c>
      <c r="CC31" s="1" t="s">
        <v>888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58C6B-1505-460F-B2BD-54678F871E0D}">
  <sheetPr codeName="Sheet7"/>
  <dimension ref="A1:M18"/>
  <sheetViews>
    <sheetView workbookViewId="0">
      <selection activeCell="D25" sqref="D25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14</v>
      </c>
      <c r="B1" s="1" t="s">
        <v>889</v>
      </c>
      <c r="C1" s="1" t="s">
        <v>12</v>
      </c>
      <c r="D1" s="1" t="s">
        <v>890</v>
      </c>
      <c r="E1" s="1" t="s">
        <v>891</v>
      </c>
      <c r="F1" s="1" t="s">
        <v>892</v>
      </c>
      <c r="G1" s="1" t="s">
        <v>893</v>
      </c>
      <c r="H1" s="1" t="s">
        <v>894</v>
      </c>
      <c r="I1" s="1" t="s">
        <v>895</v>
      </c>
      <c r="J1" s="1" t="s">
        <v>896</v>
      </c>
      <c r="K1" s="1" t="s">
        <v>897</v>
      </c>
      <c r="L1" s="1" t="s">
        <v>898</v>
      </c>
      <c r="M1" s="1" t="s">
        <v>899</v>
      </c>
    </row>
    <row r="2" spans="1:13" x14ac:dyDescent="0.25">
      <c r="A2" s="1">
        <v>1610612764</v>
      </c>
      <c r="B2" s="1" t="s">
        <v>900</v>
      </c>
      <c r="C2" s="1" t="s">
        <v>93</v>
      </c>
      <c r="D2" s="1" t="s">
        <v>901</v>
      </c>
      <c r="E2" s="1" t="s">
        <v>902</v>
      </c>
      <c r="F2" s="1" t="s">
        <v>903</v>
      </c>
      <c r="G2" s="1" t="s">
        <v>562</v>
      </c>
      <c r="H2" s="1" t="s">
        <v>904</v>
      </c>
      <c r="I2" s="1" t="s">
        <v>905</v>
      </c>
      <c r="J2" s="1">
        <v>22</v>
      </c>
      <c r="K2" s="1" t="s">
        <v>906</v>
      </c>
      <c r="L2" s="1" t="s">
        <v>907</v>
      </c>
      <c r="M2" s="1">
        <v>1629678</v>
      </c>
    </row>
    <row r="3" spans="1:13" x14ac:dyDescent="0.25">
      <c r="A3" s="1">
        <v>1610612764</v>
      </c>
      <c r="B3" s="1" t="s">
        <v>900</v>
      </c>
      <c r="C3" s="1" t="s">
        <v>93</v>
      </c>
      <c r="D3" s="1" t="s">
        <v>908</v>
      </c>
      <c r="E3" s="1" t="s">
        <v>909</v>
      </c>
      <c r="F3" s="1" t="s">
        <v>910</v>
      </c>
      <c r="G3" s="1" t="s">
        <v>314</v>
      </c>
      <c r="H3" s="1" t="s">
        <v>911</v>
      </c>
      <c r="I3" s="1" t="s">
        <v>912</v>
      </c>
      <c r="J3" s="1">
        <v>29</v>
      </c>
      <c r="K3" s="1" t="s">
        <v>913</v>
      </c>
      <c r="L3" s="1" t="s">
        <v>914</v>
      </c>
      <c r="M3" s="1">
        <v>202322</v>
      </c>
    </row>
    <row r="4" spans="1:13" x14ac:dyDescent="0.25">
      <c r="A4" s="1">
        <v>1610612764</v>
      </c>
      <c r="B4" s="1" t="s">
        <v>900</v>
      </c>
      <c r="C4" s="1" t="s">
        <v>93</v>
      </c>
      <c r="D4" s="1" t="s">
        <v>915</v>
      </c>
      <c r="E4" s="1" t="s">
        <v>916</v>
      </c>
      <c r="F4" s="1" t="s">
        <v>910</v>
      </c>
      <c r="G4" s="1" t="s">
        <v>438</v>
      </c>
      <c r="H4" s="1" t="s">
        <v>917</v>
      </c>
      <c r="I4" s="1" t="s">
        <v>918</v>
      </c>
      <c r="J4" s="1">
        <v>26</v>
      </c>
      <c r="K4" s="1" t="s">
        <v>919</v>
      </c>
      <c r="L4" s="1" t="s">
        <v>920</v>
      </c>
      <c r="M4" s="1">
        <v>203078</v>
      </c>
    </row>
    <row r="5" spans="1:13" x14ac:dyDescent="0.25">
      <c r="A5" s="1">
        <v>1610612764</v>
      </c>
      <c r="B5" s="1" t="s">
        <v>900</v>
      </c>
      <c r="C5" s="1" t="s">
        <v>93</v>
      </c>
      <c r="D5" s="1" t="s">
        <v>921</v>
      </c>
      <c r="E5" s="1" t="s">
        <v>922</v>
      </c>
      <c r="F5" s="1" t="s">
        <v>910</v>
      </c>
      <c r="G5" s="1" t="s">
        <v>699</v>
      </c>
      <c r="H5" s="1" t="s">
        <v>923</v>
      </c>
      <c r="I5" s="1" t="s">
        <v>924</v>
      </c>
      <c r="J5" s="1">
        <v>30</v>
      </c>
      <c r="K5" s="1" t="s">
        <v>925</v>
      </c>
      <c r="L5" s="1" t="s">
        <v>172</v>
      </c>
      <c r="M5" s="1">
        <v>202738</v>
      </c>
    </row>
    <row r="6" spans="1:13" x14ac:dyDescent="0.25">
      <c r="A6" s="1">
        <v>1610612764</v>
      </c>
      <c r="B6" s="1" t="s">
        <v>900</v>
      </c>
      <c r="C6" s="1" t="s">
        <v>93</v>
      </c>
      <c r="D6" s="1" t="s">
        <v>926</v>
      </c>
      <c r="E6" s="1" t="s">
        <v>927</v>
      </c>
      <c r="F6" s="1" t="s">
        <v>910</v>
      </c>
      <c r="G6" s="1" t="s">
        <v>408</v>
      </c>
      <c r="H6" s="1" t="s">
        <v>928</v>
      </c>
      <c r="I6" s="1" t="s">
        <v>929</v>
      </c>
      <c r="J6" s="1">
        <v>22</v>
      </c>
      <c r="K6" s="1" t="s">
        <v>906</v>
      </c>
      <c r="L6" s="1" t="s">
        <v>930</v>
      </c>
      <c r="M6" s="1">
        <v>1629620</v>
      </c>
    </row>
    <row r="7" spans="1:13" x14ac:dyDescent="0.25">
      <c r="A7" s="1">
        <v>1610612764</v>
      </c>
      <c r="B7" s="1" t="s">
        <v>900</v>
      </c>
      <c r="C7" s="1" t="s">
        <v>93</v>
      </c>
      <c r="D7" s="1" t="s">
        <v>931</v>
      </c>
      <c r="E7" s="1" t="s">
        <v>932</v>
      </c>
      <c r="F7" s="1" t="s">
        <v>903</v>
      </c>
      <c r="G7" s="1" t="s">
        <v>933</v>
      </c>
      <c r="H7" s="1" t="s">
        <v>934</v>
      </c>
      <c r="I7" s="1" t="s">
        <v>935</v>
      </c>
      <c r="J7" s="1">
        <v>20</v>
      </c>
      <c r="K7" s="1" t="s">
        <v>902</v>
      </c>
      <c r="L7" s="1" t="s">
        <v>936</v>
      </c>
      <c r="M7" s="1">
        <v>1628972</v>
      </c>
    </row>
    <row r="8" spans="1:13" x14ac:dyDescent="0.25">
      <c r="A8" s="1">
        <v>1610612764</v>
      </c>
      <c r="B8" s="1" t="s">
        <v>900</v>
      </c>
      <c r="C8" s="1" t="s">
        <v>93</v>
      </c>
      <c r="D8" s="1" t="s">
        <v>937</v>
      </c>
      <c r="E8" s="1" t="s">
        <v>925</v>
      </c>
      <c r="F8" s="1" t="s">
        <v>938</v>
      </c>
      <c r="G8" s="1" t="s">
        <v>680</v>
      </c>
      <c r="H8" s="1" t="s">
        <v>939</v>
      </c>
      <c r="I8" s="1" t="s">
        <v>940</v>
      </c>
      <c r="J8" s="1">
        <v>21</v>
      </c>
      <c r="K8" s="1" t="s">
        <v>906</v>
      </c>
      <c r="L8" s="1" t="s">
        <v>941</v>
      </c>
      <c r="M8" s="1">
        <v>1629060</v>
      </c>
    </row>
    <row r="9" spans="1:13" x14ac:dyDescent="0.25">
      <c r="A9" s="1">
        <v>1610612764</v>
      </c>
      <c r="B9" s="1" t="s">
        <v>900</v>
      </c>
      <c r="C9" s="1" t="s">
        <v>93</v>
      </c>
      <c r="D9" s="1" t="s">
        <v>942</v>
      </c>
      <c r="E9" s="1" t="s">
        <v>913</v>
      </c>
      <c r="F9" s="1" t="s">
        <v>910</v>
      </c>
      <c r="G9" s="1" t="s">
        <v>610</v>
      </c>
      <c r="H9" s="1" t="s">
        <v>943</v>
      </c>
      <c r="I9" s="1" t="s">
        <v>944</v>
      </c>
      <c r="J9" s="1">
        <v>23</v>
      </c>
      <c r="K9" s="1" t="s">
        <v>902</v>
      </c>
      <c r="L9" s="1" t="s">
        <v>920</v>
      </c>
      <c r="M9" s="1">
        <v>1629185</v>
      </c>
    </row>
    <row r="10" spans="1:13" x14ac:dyDescent="0.25">
      <c r="A10" s="1">
        <v>1610612764</v>
      </c>
      <c r="B10" s="1" t="s">
        <v>900</v>
      </c>
      <c r="C10" s="1" t="s">
        <v>93</v>
      </c>
      <c r="D10" s="1" t="s">
        <v>945</v>
      </c>
      <c r="E10" s="1" t="s">
        <v>946</v>
      </c>
      <c r="F10" s="1" t="s">
        <v>947</v>
      </c>
      <c r="G10" s="1" t="s">
        <v>435</v>
      </c>
      <c r="H10" s="1" t="s">
        <v>948</v>
      </c>
      <c r="I10" s="1" t="s">
        <v>949</v>
      </c>
      <c r="J10" s="1">
        <v>22</v>
      </c>
      <c r="K10" s="1" t="s">
        <v>909</v>
      </c>
      <c r="L10" s="1" t="s">
        <v>198</v>
      </c>
      <c r="M10" s="1">
        <v>1628418</v>
      </c>
    </row>
    <row r="11" spans="1:13" x14ac:dyDescent="0.25">
      <c r="A11" s="1">
        <v>1610612764</v>
      </c>
      <c r="B11" s="1" t="s">
        <v>900</v>
      </c>
      <c r="C11" s="1" t="s">
        <v>93</v>
      </c>
      <c r="D11" s="1" t="s">
        <v>950</v>
      </c>
      <c r="E11" s="1" t="s">
        <v>951</v>
      </c>
      <c r="F11" s="1" t="s">
        <v>910</v>
      </c>
      <c r="G11" s="1" t="s">
        <v>952</v>
      </c>
      <c r="H11" s="1" t="s">
        <v>943</v>
      </c>
      <c r="I11" s="1" t="s">
        <v>953</v>
      </c>
      <c r="J11" s="1">
        <v>31</v>
      </c>
      <c r="K11" s="1" t="s">
        <v>913</v>
      </c>
      <c r="L11" s="1" t="s">
        <v>954</v>
      </c>
      <c r="M11" s="1">
        <v>202397</v>
      </c>
    </row>
    <row r="12" spans="1:13" x14ac:dyDescent="0.25">
      <c r="A12" s="1">
        <v>1610612764</v>
      </c>
      <c r="B12" s="1" t="s">
        <v>900</v>
      </c>
      <c r="C12" s="1" t="s">
        <v>93</v>
      </c>
      <c r="D12" s="1" t="s">
        <v>955</v>
      </c>
      <c r="E12" s="1" t="s">
        <v>956</v>
      </c>
      <c r="F12" s="1" t="s">
        <v>910</v>
      </c>
      <c r="G12" s="1" t="s">
        <v>680</v>
      </c>
      <c r="H12" s="1" t="s">
        <v>957</v>
      </c>
      <c r="I12" s="1" t="s">
        <v>958</v>
      </c>
      <c r="J12" s="1">
        <v>19</v>
      </c>
      <c r="K12" s="1" t="s">
        <v>902</v>
      </c>
      <c r="L12" s="1" t="s">
        <v>959</v>
      </c>
      <c r="M12" s="1">
        <v>1629067</v>
      </c>
    </row>
    <row r="13" spans="1:13" x14ac:dyDescent="0.25">
      <c r="A13" s="1">
        <v>1610612764</v>
      </c>
      <c r="B13" s="1" t="s">
        <v>900</v>
      </c>
      <c r="C13" s="1" t="s">
        <v>93</v>
      </c>
      <c r="D13" s="1" t="s">
        <v>960</v>
      </c>
      <c r="E13" s="1" t="s">
        <v>961</v>
      </c>
      <c r="F13" s="1" t="s">
        <v>962</v>
      </c>
      <c r="G13" s="1" t="s">
        <v>963</v>
      </c>
      <c r="H13" s="1" t="s">
        <v>964</v>
      </c>
      <c r="I13" s="1" t="s">
        <v>965</v>
      </c>
      <c r="J13" s="1">
        <v>22</v>
      </c>
      <c r="K13" s="1" t="s">
        <v>902</v>
      </c>
      <c r="L13" s="1" t="s">
        <v>966</v>
      </c>
      <c r="M13" s="1">
        <v>1629021</v>
      </c>
    </row>
    <row r="14" spans="1:13" x14ac:dyDescent="0.25">
      <c r="A14" s="1">
        <v>1610612764</v>
      </c>
      <c r="B14" s="1" t="s">
        <v>900</v>
      </c>
      <c r="C14" s="1" t="s">
        <v>93</v>
      </c>
      <c r="D14" s="1" t="s">
        <v>967</v>
      </c>
      <c r="E14" s="1" t="s">
        <v>968</v>
      </c>
      <c r="F14" s="1" t="s">
        <v>910</v>
      </c>
      <c r="G14" s="1" t="s">
        <v>562</v>
      </c>
      <c r="H14" s="1" t="s">
        <v>934</v>
      </c>
      <c r="I14" s="1" t="s">
        <v>969</v>
      </c>
      <c r="J14" s="1">
        <v>23</v>
      </c>
      <c r="K14" s="1" t="s">
        <v>906</v>
      </c>
      <c r="L14" s="1" t="s">
        <v>970</v>
      </c>
      <c r="M14" s="1">
        <v>1629726</v>
      </c>
    </row>
    <row r="15" spans="1:13" x14ac:dyDescent="0.25">
      <c r="A15" s="1">
        <v>1610612764</v>
      </c>
      <c r="B15" s="1" t="s">
        <v>900</v>
      </c>
      <c r="C15" s="1" t="s">
        <v>93</v>
      </c>
      <c r="D15" s="1" t="s">
        <v>971</v>
      </c>
      <c r="E15" s="1" t="s">
        <v>972</v>
      </c>
      <c r="F15" s="1" t="s">
        <v>973</v>
      </c>
      <c r="G15" s="1" t="s">
        <v>963</v>
      </c>
      <c r="H15" s="1" t="s">
        <v>974</v>
      </c>
      <c r="I15" s="1" t="s">
        <v>975</v>
      </c>
      <c r="J15" s="1">
        <v>32</v>
      </c>
      <c r="K15" s="1" t="s">
        <v>976</v>
      </c>
      <c r="L15" s="1" t="s">
        <v>959</v>
      </c>
      <c r="M15" s="1">
        <v>101133</v>
      </c>
    </row>
    <row r="16" spans="1:13" x14ac:dyDescent="0.25">
      <c r="A16" s="1">
        <v>1610612764</v>
      </c>
      <c r="B16" s="1" t="s">
        <v>900</v>
      </c>
      <c r="C16" s="1" t="s">
        <v>93</v>
      </c>
      <c r="D16" s="1" t="s">
        <v>977</v>
      </c>
      <c r="E16" s="1" t="s">
        <v>978</v>
      </c>
      <c r="F16" s="1" t="s">
        <v>910</v>
      </c>
      <c r="G16" s="1" t="s">
        <v>933</v>
      </c>
      <c r="H16" s="1" t="s">
        <v>979</v>
      </c>
      <c r="I16" s="1" t="s">
        <v>980</v>
      </c>
      <c r="J16" s="1">
        <v>32</v>
      </c>
      <c r="K16" s="1" t="s">
        <v>951</v>
      </c>
      <c r="L16" s="1" t="s">
        <v>981</v>
      </c>
      <c r="M16" s="1">
        <v>101139</v>
      </c>
    </row>
    <row r="17" spans="1:13" x14ac:dyDescent="0.25">
      <c r="A17" s="1">
        <v>1610612764</v>
      </c>
      <c r="B17" s="1" t="s">
        <v>900</v>
      </c>
      <c r="C17" s="1" t="s">
        <v>93</v>
      </c>
      <c r="D17" s="1" t="s">
        <v>982</v>
      </c>
      <c r="E17" s="1" t="s">
        <v>983</v>
      </c>
      <c r="F17" s="1" t="s">
        <v>938</v>
      </c>
      <c r="G17" s="1" t="s">
        <v>435</v>
      </c>
      <c r="H17" s="1" t="s">
        <v>984</v>
      </c>
      <c r="I17" s="1" t="s">
        <v>985</v>
      </c>
      <c r="J17" s="1">
        <v>26</v>
      </c>
      <c r="K17" s="1" t="s">
        <v>916</v>
      </c>
      <c r="L17" s="1" t="s">
        <v>959</v>
      </c>
      <c r="M17" s="1">
        <v>202722</v>
      </c>
    </row>
    <row r="18" spans="1:13" x14ac:dyDescent="0.25">
      <c r="A18" s="1">
        <v>1610612764</v>
      </c>
      <c r="B18" s="1" t="s">
        <v>900</v>
      </c>
      <c r="C18" s="1" t="s">
        <v>93</v>
      </c>
      <c r="D18" s="1" t="s">
        <v>986</v>
      </c>
      <c r="E18" s="1" t="s">
        <v>987</v>
      </c>
      <c r="F18" s="1" t="s">
        <v>910</v>
      </c>
      <c r="G18" s="1" t="s">
        <v>562</v>
      </c>
      <c r="H18" s="1" t="s">
        <v>988</v>
      </c>
      <c r="I18" s="1" t="s">
        <v>989</v>
      </c>
      <c r="J18" s="1">
        <v>28</v>
      </c>
      <c r="K18" s="1" t="s">
        <v>916</v>
      </c>
      <c r="L18" s="1" t="s">
        <v>907</v>
      </c>
      <c r="M18" s="1">
        <v>203895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39446-CFC1-4193-9846-9B936847011E}">
  <sheetPr codeName="Sheet8"/>
  <dimension ref="A1:AD31"/>
  <sheetViews>
    <sheetView tabSelected="1" workbookViewId="0">
      <selection activeCell="H24" sqref="H24"/>
    </sheetView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203</v>
      </c>
      <c r="B1" s="1" t="s">
        <v>204</v>
      </c>
      <c r="C1" s="1" t="s">
        <v>205</v>
      </c>
      <c r="D1" s="1" t="s">
        <v>206</v>
      </c>
      <c r="E1" s="1" t="s">
        <v>207</v>
      </c>
      <c r="F1" s="1" t="s">
        <v>208</v>
      </c>
      <c r="G1" s="1" t="s">
        <v>209</v>
      </c>
      <c r="H1" s="1" t="s">
        <v>996</v>
      </c>
      <c r="I1" s="1" t="s">
        <v>997</v>
      </c>
      <c r="J1" s="1" t="s">
        <v>998</v>
      </c>
      <c r="K1" s="1" t="s">
        <v>999</v>
      </c>
      <c r="L1" s="1" t="s">
        <v>1000</v>
      </c>
      <c r="M1" s="1" t="s">
        <v>1001</v>
      </c>
      <c r="N1" s="1" t="s">
        <v>1002</v>
      </c>
      <c r="O1" s="1" t="s">
        <v>1003</v>
      </c>
      <c r="P1" s="1" t="s">
        <v>230</v>
      </c>
      <c r="Q1" s="1" t="s">
        <v>231</v>
      </c>
      <c r="R1" s="1" t="s">
        <v>232</v>
      </c>
      <c r="S1" s="1" t="s">
        <v>233</v>
      </c>
      <c r="T1" s="1" t="s">
        <v>234</v>
      </c>
      <c r="U1" s="1" t="s">
        <v>1004</v>
      </c>
      <c r="V1" s="1" t="s">
        <v>1005</v>
      </c>
      <c r="W1" s="1" t="s">
        <v>1006</v>
      </c>
      <c r="X1" s="1" t="s">
        <v>1007</v>
      </c>
      <c r="Y1" s="1" t="s">
        <v>1008</v>
      </c>
      <c r="Z1" s="1" t="s">
        <v>1009</v>
      </c>
      <c r="AA1" s="1" t="s">
        <v>1010</v>
      </c>
      <c r="AB1" s="1" t="s">
        <v>1011</v>
      </c>
      <c r="AC1" s="1" t="s">
        <v>249</v>
      </c>
      <c r="AD1" s="1" t="s">
        <v>250</v>
      </c>
    </row>
    <row r="2" spans="1:30" x14ac:dyDescent="0.25">
      <c r="A2" s="1">
        <v>1610612737</v>
      </c>
      <c r="B2" s="1" t="s">
        <v>251</v>
      </c>
      <c r="C2" s="1">
        <v>4</v>
      </c>
      <c r="D2" s="1">
        <v>2</v>
      </c>
      <c r="E2" s="1">
        <v>2</v>
      </c>
      <c r="F2" s="1">
        <v>0.5</v>
      </c>
      <c r="G2" s="1">
        <v>48</v>
      </c>
      <c r="H2" s="1">
        <v>17.8</v>
      </c>
      <c r="I2" s="1">
        <v>11</v>
      </c>
      <c r="J2" s="1">
        <v>10</v>
      </c>
      <c r="K2" s="1">
        <v>51.5</v>
      </c>
      <c r="L2" s="1">
        <v>18.3</v>
      </c>
      <c r="M2" s="1">
        <v>15</v>
      </c>
      <c r="N2" s="1">
        <v>8</v>
      </c>
      <c r="O2" s="1">
        <v>41.5</v>
      </c>
      <c r="P2" s="1">
        <v>1</v>
      </c>
      <c r="Q2" s="1">
        <v>11</v>
      </c>
      <c r="R2" s="1">
        <v>14</v>
      </c>
      <c r="S2" s="1">
        <v>14</v>
      </c>
      <c r="T2" s="1">
        <v>7</v>
      </c>
      <c r="U2" s="1">
        <v>16</v>
      </c>
      <c r="V2" s="1">
        <v>26</v>
      </c>
      <c r="W2" s="1">
        <v>24</v>
      </c>
      <c r="X2" s="1">
        <v>5</v>
      </c>
      <c r="Y2" s="1">
        <v>15</v>
      </c>
      <c r="Z2" s="1">
        <v>24</v>
      </c>
      <c r="AA2" s="1">
        <v>3</v>
      </c>
      <c r="AB2" s="1">
        <v>4</v>
      </c>
      <c r="AC2" s="1">
        <v>10</v>
      </c>
      <c r="AD2" s="1" t="s">
        <v>251</v>
      </c>
    </row>
    <row r="3" spans="1:30" x14ac:dyDescent="0.25">
      <c r="A3" s="1">
        <v>1610612738</v>
      </c>
      <c r="B3" s="1" t="s">
        <v>252</v>
      </c>
      <c r="C3" s="1">
        <v>3</v>
      </c>
      <c r="D3" s="1">
        <v>2</v>
      </c>
      <c r="E3" s="1">
        <v>1</v>
      </c>
      <c r="F3" s="1">
        <v>0.66700000000000004</v>
      </c>
      <c r="G3" s="1">
        <v>48</v>
      </c>
      <c r="H3" s="1">
        <v>27.3</v>
      </c>
      <c r="I3" s="1">
        <v>17</v>
      </c>
      <c r="J3" s="1">
        <v>11.7</v>
      </c>
      <c r="K3" s="1">
        <v>49.3</v>
      </c>
      <c r="L3" s="1">
        <v>11.7</v>
      </c>
      <c r="M3" s="1">
        <v>14</v>
      </c>
      <c r="N3" s="1">
        <v>9</v>
      </c>
      <c r="O3" s="1">
        <v>44.7</v>
      </c>
      <c r="P3" s="1">
        <v>19</v>
      </c>
      <c r="Q3" s="1">
        <v>11</v>
      </c>
      <c r="R3" s="1">
        <v>4</v>
      </c>
      <c r="S3" s="1">
        <v>11</v>
      </c>
      <c r="T3" s="1">
        <v>22</v>
      </c>
      <c r="U3" s="1">
        <v>1</v>
      </c>
      <c r="V3" s="1">
        <v>4</v>
      </c>
      <c r="W3" s="1">
        <v>20</v>
      </c>
      <c r="X3" s="1">
        <v>13</v>
      </c>
      <c r="Y3" s="1">
        <v>4</v>
      </c>
      <c r="Z3" s="1">
        <v>18</v>
      </c>
      <c r="AA3" s="1">
        <v>5</v>
      </c>
      <c r="AB3" s="1">
        <v>9</v>
      </c>
      <c r="AC3" s="1">
        <v>10</v>
      </c>
      <c r="AD3" s="1" t="s">
        <v>252</v>
      </c>
    </row>
    <row r="4" spans="1:30" x14ac:dyDescent="0.25">
      <c r="A4" s="1">
        <v>1610612751</v>
      </c>
      <c r="B4" s="1" t="s">
        <v>253</v>
      </c>
      <c r="C4" s="1">
        <v>3</v>
      </c>
      <c r="D4" s="1">
        <v>1</v>
      </c>
      <c r="E4" s="1">
        <v>2</v>
      </c>
      <c r="F4" s="1">
        <v>0.33300000000000002</v>
      </c>
      <c r="G4" s="1">
        <v>51.3</v>
      </c>
      <c r="H4" s="1">
        <v>20.3</v>
      </c>
      <c r="I4" s="1">
        <v>13</v>
      </c>
      <c r="J4" s="1">
        <v>19.7</v>
      </c>
      <c r="K4" s="1">
        <v>50</v>
      </c>
      <c r="L4" s="1">
        <v>18.3</v>
      </c>
      <c r="M4" s="1">
        <v>13.3</v>
      </c>
      <c r="N4" s="1">
        <v>13</v>
      </c>
      <c r="O4" s="1">
        <v>48.7</v>
      </c>
      <c r="P4" s="1">
        <v>19</v>
      </c>
      <c r="Q4" s="1">
        <v>18</v>
      </c>
      <c r="R4" s="1">
        <v>14</v>
      </c>
      <c r="S4" s="1">
        <v>18</v>
      </c>
      <c r="T4" s="1">
        <v>19</v>
      </c>
      <c r="U4" s="1">
        <v>9</v>
      </c>
      <c r="V4" s="1">
        <v>15</v>
      </c>
      <c r="W4" s="1">
        <v>3</v>
      </c>
      <c r="X4" s="1">
        <v>9</v>
      </c>
      <c r="Y4" s="1">
        <v>16</v>
      </c>
      <c r="Z4" s="1">
        <v>14</v>
      </c>
      <c r="AA4" s="1">
        <v>14</v>
      </c>
      <c r="AB4" s="1">
        <v>18</v>
      </c>
      <c r="AC4" s="1">
        <v>10</v>
      </c>
      <c r="AD4" s="1" t="s">
        <v>253</v>
      </c>
    </row>
    <row r="5" spans="1:30" x14ac:dyDescent="0.25">
      <c r="A5" s="1">
        <v>1610612766</v>
      </c>
      <c r="B5" s="1" t="s">
        <v>254</v>
      </c>
      <c r="C5" s="1">
        <v>4</v>
      </c>
      <c r="D5" s="1">
        <v>1</v>
      </c>
      <c r="E5" s="1">
        <v>3</v>
      </c>
      <c r="F5" s="1">
        <v>0.25</v>
      </c>
      <c r="G5" s="1">
        <v>48</v>
      </c>
      <c r="H5" s="1">
        <v>15.5</v>
      </c>
      <c r="I5" s="1">
        <v>12.8</v>
      </c>
      <c r="J5" s="1">
        <v>18.5</v>
      </c>
      <c r="K5" s="1">
        <v>43</v>
      </c>
      <c r="L5" s="1">
        <v>23.8</v>
      </c>
      <c r="M5" s="1">
        <v>16.8</v>
      </c>
      <c r="N5" s="1">
        <v>15</v>
      </c>
      <c r="O5" s="1">
        <v>64.5</v>
      </c>
      <c r="P5" s="1">
        <v>1</v>
      </c>
      <c r="Q5" s="1">
        <v>18</v>
      </c>
      <c r="R5" s="1">
        <v>23</v>
      </c>
      <c r="S5" s="1">
        <v>23</v>
      </c>
      <c r="T5" s="1">
        <v>7</v>
      </c>
      <c r="U5" s="1">
        <v>22</v>
      </c>
      <c r="V5" s="1">
        <v>18</v>
      </c>
      <c r="W5" s="1">
        <v>5</v>
      </c>
      <c r="X5" s="1">
        <v>27</v>
      </c>
      <c r="Y5" s="1">
        <v>29</v>
      </c>
      <c r="Z5" s="1">
        <v>29</v>
      </c>
      <c r="AA5" s="1">
        <v>18</v>
      </c>
      <c r="AB5" s="1">
        <v>30</v>
      </c>
      <c r="AC5" s="1">
        <v>10</v>
      </c>
      <c r="AD5" s="1" t="s">
        <v>254</v>
      </c>
    </row>
    <row r="6" spans="1:30" x14ac:dyDescent="0.25">
      <c r="A6" s="1">
        <v>1610612741</v>
      </c>
      <c r="B6" s="1" t="s">
        <v>255</v>
      </c>
      <c r="C6" s="1">
        <v>4</v>
      </c>
      <c r="D6" s="1">
        <v>1</v>
      </c>
      <c r="E6" s="1">
        <v>3</v>
      </c>
      <c r="F6" s="1">
        <v>0.25</v>
      </c>
      <c r="G6" s="1">
        <v>48</v>
      </c>
      <c r="H6" s="1">
        <v>21</v>
      </c>
      <c r="I6" s="1">
        <v>15</v>
      </c>
      <c r="J6" s="1">
        <v>16.5</v>
      </c>
      <c r="K6" s="1">
        <v>53.5</v>
      </c>
      <c r="L6" s="1">
        <v>14</v>
      </c>
      <c r="M6" s="1">
        <v>15.8</v>
      </c>
      <c r="N6" s="1">
        <v>18.5</v>
      </c>
      <c r="O6" s="1">
        <v>46.5</v>
      </c>
      <c r="P6" s="1">
        <v>1</v>
      </c>
      <c r="Q6" s="1">
        <v>18</v>
      </c>
      <c r="R6" s="1">
        <v>23</v>
      </c>
      <c r="S6" s="1">
        <v>23</v>
      </c>
      <c r="T6" s="1">
        <v>7</v>
      </c>
      <c r="U6" s="1">
        <v>5</v>
      </c>
      <c r="V6" s="1">
        <v>10</v>
      </c>
      <c r="W6" s="1">
        <v>8</v>
      </c>
      <c r="X6" s="1">
        <v>3</v>
      </c>
      <c r="Y6" s="1">
        <v>6</v>
      </c>
      <c r="Z6" s="1">
        <v>27</v>
      </c>
      <c r="AA6" s="1">
        <v>24</v>
      </c>
      <c r="AB6" s="1">
        <v>13</v>
      </c>
      <c r="AC6" s="1">
        <v>10</v>
      </c>
      <c r="AD6" s="1" t="s">
        <v>255</v>
      </c>
    </row>
    <row r="7" spans="1:30" x14ac:dyDescent="0.25">
      <c r="A7" s="1">
        <v>1610612739</v>
      </c>
      <c r="B7" s="1" t="s">
        <v>256</v>
      </c>
      <c r="C7" s="1">
        <v>3</v>
      </c>
      <c r="D7" s="1">
        <v>1</v>
      </c>
      <c r="E7" s="1">
        <v>2</v>
      </c>
      <c r="F7" s="1">
        <v>0.33300000000000002</v>
      </c>
      <c r="G7" s="1">
        <v>48</v>
      </c>
      <c r="H7" s="1">
        <v>11</v>
      </c>
      <c r="I7" s="1">
        <v>11.3</v>
      </c>
      <c r="J7" s="1">
        <v>8.3000000000000007</v>
      </c>
      <c r="K7" s="1">
        <v>47.3</v>
      </c>
      <c r="L7" s="1">
        <v>20</v>
      </c>
      <c r="M7" s="1">
        <v>11</v>
      </c>
      <c r="N7" s="1">
        <v>17</v>
      </c>
      <c r="O7" s="1">
        <v>52</v>
      </c>
      <c r="P7" s="1">
        <v>19</v>
      </c>
      <c r="Q7" s="1">
        <v>18</v>
      </c>
      <c r="R7" s="1">
        <v>14</v>
      </c>
      <c r="S7" s="1">
        <v>18</v>
      </c>
      <c r="T7" s="1">
        <v>22</v>
      </c>
      <c r="U7" s="1">
        <v>30</v>
      </c>
      <c r="V7" s="1">
        <v>25</v>
      </c>
      <c r="W7" s="1">
        <v>28</v>
      </c>
      <c r="X7" s="1">
        <v>18</v>
      </c>
      <c r="Y7" s="1">
        <v>18</v>
      </c>
      <c r="Z7" s="1">
        <v>6</v>
      </c>
      <c r="AA7" s="1">
        <v>23</v>
      </c>
      <c r="AB7" s="1">
        <v>25</v>
      </c>
      <c r="AC7" s="1">
        <v>10</v>
      </c>
      <c r="AD7" s="1" t="s">
        <v>256</v>
      </c>
    </row>
    <row r="8" spans="1:30" x14ac:dyDescent="0.25">
      <c r="A8" s="1">
        <v>1610612742</v>
      </c>
      <c r="B8" s="1" t="s">
        <v>257</v>
      </c>
      <c r="C8" s="1">
        <v>4</v>
      </c>
      <c r="D8" s="1">
        <v>3</v>
      </c>
      <c r="E8" s="1">
        <v>1</v>
      </c>
      <c r="F8" s="1">
        <v>0.75</v>
      </c>
      <c r="G8" s="1">
        <v>48</v>
      </c>
      <c r="H8" s="1">
        <v>16.5</v>
      </c>
      <c r="I8" s="1">
        <v>13</v>
      </c>
      <c r="J8" s="1">
        <v>15.3</v>
      </c>
      <c r="K8" s="1">
        <v>44</v>
      </c>
      <c r="L8" s="1">
        <v>15</v>
      </c>
      <c r="M8" s="1">
        <v>14.5</v>
      </c>
      <c r="N8" s="1">
        <v>16.3</v>
      </c>
      <c r="O8" s="1">
        <v>49</v>
      </c>
      <c r="P8" s="1">
        <v>1</v>
      </c>
      <c r="Q8" s="1">
        <v>1</v>
      </c>
      <c r="R8" s="1">
        <v>4</v>
      </c>
      <c r="S8" s="1">
        <v>4</v>
      </c>
      <c r="T8" s="1">
        <v>7</v>
      </c>
      <c r="U8" s="1">
        <v>17</v>
      </c>
      <c r="V8" s="1">
        <v>15</v>
      </c>
      <c r="W8" s="1">
        <v>11</v>
      </c>
      <c r="X8" s="1">
        <v>23</v>
      </c>
      <c r="Y8" s="1">
        <v>8</v>
      </c>
      <c r="Z8" s="1">
        <v>23</v>
      </c>
      <c r="AA8" s="1">
        <v>21</v>
      </c>
      <c r="AB8" s="1">
        <v>19</v>
      </c>
      <c r="AC8" s="1">
        <v>10</v>
      </c>
      <c r="AD8" s="1" t="s">
        <v>257</v>
      </c>
    </row>
    <row r="9" spans="1:30" x14ac:dyDescent="0.25">
      <c r="A9" s="1">
        <v>1610612743</v>
      </c>
      <c r="B9" s="1" t="s">
        <v>258</v>
      </c>
      <c r="C9" s="1">
        <v>4</v>
      </c>
      <c r="D9" s="1">
        <v>3</v>
      </c>
      <c r="E9" s="1">
        <v>1</v>
      </c>
      <c r="F9" s="1">
        <v>0.75</v>
      </c>
      <c r="G9" s="1">
        <v>49.3</v>
      </c>
      <c r="H9" s="1">
        <v>15.3</v>
      </c>
      <c r="I9" s="1">
        <v>14.5</v>
      </c>
      <c r="J9" s="1">
        <v>8.5</v>
      </c>
      <c r="K9" s="1">
        <v>41</v>
      </c>
      <c r="L9" s="1">
        <v>11.5</v>
      </c>
      <c r="M9" s="1">
        <v>12.8</v>
      </c>
      <c r="N9" s="1">
        <v>12.8</v>
      </c>
      <c r="O9" s="1">
        <v>47.5</v>
      </c>
      <c r="P9" s="1">
        <v>1</v>
      </c>
      <c r="Q9" s="1">
        <v>1</v>
      </c>
      <c r="R9" s="1">
        <v>4</v>
      </c>
      <c r="S9" s="1">
        <v>4</v>
      </c>
      <c r="T9" s="1">
        <v>1</v>
      </c>
      <c r="U9" s="1">
        <v>24</v>
      </c>
      <c r="V9" s="1">
        <v>12</v>
      </c>
      <c r="W9" s="1">
        <v>27</v>
      </c>
      <c r="X9" s="1">
        <v>29</v>
      </c>
      <c r="Y9" s="1">
        <v>3</v>
      </c>
      <c r="Z9" s="1">
        <v>12</v>
      </c>
      <c r="AA9" s="1">
        <v>13</v>
      </c>
      <c r="AB9" s="1">
        <v>16</v>
      </c>
      <c r="AC9" s="1">
        <v>10</v>
      </c>
      <c r="AD9" s="1" t="s">
        <v>258</v>
      </c>
    </row>
    <row r="10" spans="1:30" x14ac:dyDescent="0.25">
      <c r="A10" s="1">
        <v>1610612765</v>
      </c>
      <c r="B10" s="1" t="s">
        <v>259</v>
      </c>
      <c r="C10" s="1">
        <v>4</v>
      </c>
      <c r="D10" s="1">
        <v>2</v>
      </c>
      <c r="E10" s="1">
        <v>2</v>
      </c>
      <c r="F10" s="1">
        <v>0.5</v>
      </c>
      <c r="G10" s="1">
        <v>48</v>
      </c>
      <c r="H10" s="1">
        <v>14.3</v>
      </c>
      <c r="I10" s="1">
        <v>13.5</v>
      </c>
      <c r="J10" s="1">
        <v>7.3</v>
      </c>
      <c r="K10" s="1">
        <v>44</v>
      </c>
      <c r="L10" s="1">
        <v>22.8</v>
      </c>
      <c r="M10" s="1">
        <v>13.8</v>
      </c>
      <c r="N10" s="1">
        <v>12.3</v>
      </c>
      <c r="O10" s="1">
        <v>53.5</v>
      </c>
      <c r="P10" s="1">
        <v>1</v>
      </c>
      <c r="Q10" s="1">
        <v>11</v>
      </c>
      <c r="R10" s="1">
        <v>14</v>
      </c>
      <c r="S10" s="1">
        <v>14</v>
      </c>
      <c r="T10" s="1">
        <v>7</v>
      </c>
      <c r="U10" s="1">
        <v>28</v>
      </c>
      <c r="V10" s="1">
        <v>14</v>
      </c>
      <c r="W10" s="1">
        <v>30</v>
      </c>
      <c r="X10" s="1">
        <v>23</v>
      </c>
      <c r="Y10" s="1">
        <v>27</v>
      </c>
      <c r="Z10" s="1">
        <v>17</v>
      </c>
      <c r="AA10" s="1">
        <v>10</v>
      </c>
      <c r="AB10" s="1">
        <v>26</v>
      </c>
      <c r="AC10" s="1">
        <v>10</v>
      </c>
      <c r="AD10" s="1" t="s">
        <v>259</v>
      </c>
    </row>
    <row r="11" spans="1:30" x14ac:dyDescent="0.25">
      <c r="A11" s="1">
        <v>1610612744</v>
      </c>
      <c r="B11" s="1" t="s">
        <v>260</v>
      </c>
      <c r="C11" s="1">
        <v>3</v>
      </c>
      <c r="D11" s="1">
        <v>1</v>
      </c>
      <c r="E11" s="1">
        <v>2</v>
      </c>
      <c r="F11" s="1">
        <v>0.33300000000000002</v>
      </c>
      <c r="G11" s="1">
        <v>48</v>
      </c>
      <c r="H11" s="1">
        <v>20.3</v>
      </c>
      <c r="I11" s="1">
        <v>17.7</v>
      </c>
      <c r="J11" s="1">
        <v>14.3</v>
      </c>
      <c r="K11" s="1">
        <v>48.7</v>
      </c>
      <c r="L11" s="1">
        <v>20.3</v>
      </c>
      <c r="M11" s="1">
        <v>10.3</v>
      </c>
      <c r="N11" s="1">
        <v>18.7</v>
      </c>
      <c r="O11" s="1">
        <v>55.3</v>
      </c>
      <c r="P11" s="1">
        <v>19</v>
      </c>
      <c r="Q11" s="1">
        <v>18</v>
      </c>
      <c r="R11" s="1">
        <v>14</v>
      </c>
      <c r="S11" s="1">
        <v>18</v>
      </c>
      <c r="T11" s="1">
        <v>22</v>
      </c>
      <c r="U11" s="1">
        <v>9</v>
      </c>
      <c r="V11" s="1">
        <v>1</v>
      </c>
      <c r="W11" s="1">
        <v>16</v>
      </c>
      <c r="X11" s="1">
        <v>14</v>
      </c>
      <c r="Y11" s="1">
        <v>21</v>
      </c>
      <c r="Z11" s="1">
        <v>4</v>
      </c>
      <c r="AA11" s="1">
        <v>26</v>
      </c>
      <c r="AB11" s="1">
        <v>28</v>
      </c>
      <c r="AC11" s="1">
        <v>10</v>
      </c>
      <c r="AD11" s="1" t="s">
        <v>260</v>
      </c>
    </row>
    <row r="12" spans="1:30" x14ac:dyDescent="0.25">
      <c r="A12" s="1">
        <v>1610612745</v>
      </c>
      <c r="B12" s="1" t="s">
        <v>261</v>
      </c>
      <c r="C12" s="1">
        <v>3</v>
      </c>
      <c r="D12" s="1">
        <v>2</v>
      </c>
      <c r="E12" s="1">
        <v>1</v>
      </c>
      <c r="F12" s="1">
        <v>0.66700000000000004</v>
      </c>
      <c r="G12" s="1">
        <v>48</v>
      </c>
      <c r="H12" s="1">
        <v>16</v>
      </c>
      <c r="I12" s="1">
        <v>15.3</v>
      </c>
      <c r="J12" s="1">
        <v>18</v>
      </c>
      <c r="K12" s="1">
        <v>50</v>
      </c>
      <c r="L12" s="1">
        <v>19.7</v>
      </c>
      <c r="M12" s="1">
        <v>15.7</v>
      </c>
      <c r="N12" s="1">
        <v>14</v>
      </c>
      <c r="O12" s="1">
        <v>49.3</v>
      </c>
      <c r="P12" s="1">
        <v>19</v>
      </c>
      <c r="Q12" s="1">
        <v>11</v>
      </c>
      <c r="R12" s="1">
        <v>4</v>
      </c>
      <c r="S12" s="1">
        <v>11</v>
      </c>
      <c r="T12" s="1">
        <v>22</v>
      </c>
      <c r="U12" s="1">
        <v>19</v>
      </c>
      <c r="V12" s="1">
        <v>8</v>
      </c>
      <c r="W12" s="1">
        <v>6</v>
      </c>
      <c r="X12" s="1">
        <v>9</v>
      </c>
      <c r="Y12" s="1">
        <v>17</v>
      </c>
      <c r="Z12" s="1">
        <v>26</v>
      </c>
      <c r="AA12" s="1">
        <v>16</v>
      </c>
      <c r="AB12" s="1">
        <v>20</v>
      </c>
      <c r="AC12" s="1">
        <v>10</v>
      </c>
      <c r="AD12" s="1" t="s">
        <v>261</v>
      </c>
    </row>
    <row r="13" spans="1:30" x14ac:dyDescent="0.25">
      <c r="A13" s="1">
        <v>1610612754</v>
      </c>
      <c r="B13" s="1" t="s">
        <v>262</v>
      </c>
      <c r="C13" s="1">
        <v>3</v>
      </c>
      <c r="D13" s="1">
        <v>0</v>
      </c>
      <c r="E13" s="1">
        <v>3</v>
      </c>
      <c r="F13" s="1">
        <v>0</v>
      </c>
      <c r="G13" s="1">
        <v>48</v>
      </c>
      <c r="H13" s="1">
        <v>22.3</v>
      </c>
      <c r="I13" s="1">
        <v>16</v>
      </c>
      <c r="J13" s="1">
        <v>12.3</v>
      </c>
      <c r="K13" s="1">
        <v>50.7</v>
      </c>
      <c r="L13" s="1">
        <v>11.3</v>
      </c>
      <c r="M13" s="1">
        <v>15.3</v>
      </c>
      <c r="N13" s="1">
        <v>6.3</v>
      </c>
      <c r="O13" s="1">
        <v>45.3</v>
      </c>
      <c r="P13" s="1">
        <v>19</v>
      </c>
      <c r="Q13" s="1">
        <v>28</v>
      </c>
      <c r="R13" s="1">
        <v>23</v>
      </c>
      <c r="S13" s="1">
        <v>28</v>
      </c>
      <c r="T13" s="1">
        <v>22</v>
      </c>
      <c r="U13" s="1">
        <v>3</v>
      </c>
      <c r="V13" s="1">
        <v>5</v>
      </c>
      <c r="W13" s="1">
        <v>19</v>
      </c>
      <c r="X13" s="1">
        <v>7</v>
      </c>
      <c r="Y13" s="1">
        <v>1</v>
      </c>
      <c r="Z13" s="1">
        <v>25</v>
      </c>
      <c r="AA13" s="1">
        <v>1</v>
      </c>
      <c r="AB13" s="1">
        <v>10</v>
      </c>
      <c r="AC13" s="1">
        <v>10</v>
      </c>
      <c r="AD13" s="1" t="s">
        <v>262</v>
      </c>
    </row>
    <row r="14" spans="1:30" x14ac:dyDescent="0.25">
      <c r="A14" s="1">
        <v>1610612746</v>
      </c>
      <c r="B14" s="1" t="s">
        <v>263</v>
      </c>
      <c r="C14" s="1">
        <v>4</v>
      </c>
      <c r="D14" s="1">
        <v>3</v>
      </c>
      <c r="E14" s="1">
        <v>1</v>
      </c>
      <c r="F14" s="1">
        <v>0.75</v>
      </c>
      <c r="G14" s="1">
        <v>48</v>
      </c>
      <c r="H14" s="1">
        <v>23</v>
      </c>
      <c r="I14" s="1">
        <v>12</v>
      </c>
      <c r="J14" s="1">
        <v>17.8</v>
      </c>
      <c r="K14" s="1">
        <v>48.5</v>
      </c>
      <c r="L14" s="1">
        <v>20.3</v>
      </c>
      <c r="M14" s="1">
        <v>10.5</v>
      </c>
      <c r="N14" s="1">
        <v>13.8</v>
      </c>
      <c r="O14" s="1">
        <v>42.5</v>
      </c>
      <c r="P14" s="1">
        <v>1</v>
      </c>
      <c r="Q14" s="1">
        <v>1</v>
      </c>
      <c r="R14" s="1">
        <v>4</v>
      </c>
      <c r="S14" s="1">
        <v>4</v>
      </c>
      <c r="T14" s="1">
        <v>7</v>
      </c>
      <c r="U14" s="1">
        <v>2</v>
      </c>
      <c r="V14" s="1">
        <v>22</v>
      </c>
      <c r="W14" s="1">
        <v>7</v>
      </c>
      <c r="X14" s="1">
        <v>16</v>
      </c>
      <c r="Y14" s="1">
        <v>20</v>
      </c>
      <c r="Z14" s="1">
        <v>5</v>
      </c>
      <c r="AA14" s="1">
        <v>15</v>
      </c>
      <c r="AB14" s="1">
        <v>7</v>
      </c>
      <c r="AC14" s="1">
        <v>10</v>
      </c>
      <c r="AD14" s="1" t="s">
        <v>263</v>
      </c>
    </row>
    <row r="15" spans="1:30" x14ac:dyDescent="0.25">
      <c r="A15" s="1">
        <v>1610612747</v>
      </c>
      <c r="B15" s="1" t="s">
        <v>264</v>
      </c>
      <c r="C15" s="1">
        <v>4</v>
      </c>
      <c r="D15" s="1">
        <v>3</v>
      </c>
      <c r="E15" s="1">
        <v>1</v>
      </c>
      <c r="F15" s="1">
        <v>0.75</v>
      </c>
      <c r="G15" s="1">
        <v>48</v>
      </c>
      <c r="H15" s="1">
        <v>20</v>
      </c>
      <c r="I15" s="1">
        <v>13</v>
      </c>
      <c r="J15" s="1">
        <v>15.3</v>
      </c>
      <c r="K15" s="1">
        <v>50</v>
      </c>
      <c r="L15" s="1">
        <v>15.3</v>
      </c>
      <c r="M15" s="1">
        <v>14.3</v>
      </c>
      <c r="N15" s="1">
        <v>18.5</v>
      </c>
      <c r="O15" s="1">
        <v>42</v>
      </c>
      <c r="P15" s="1">
        <v>1</v>
      </c>
      <c r="Q15" s="1">
        <v>1</v>
      </c>
      <c r="R15" s="1">
        <v>4</v>
      </c>
      <c r="S15" s="1">
        <v>4</v>
      </c>
      <c r="T15" s="1">
        <v>7</v>
      </c>
      <c r="U15" s="1">
        <v>12</v>
      </c>
      <c r="V15" s="1">
        <v>15</v>
      </c>
      <c r="W15" s="1">
        <v>11</v>
      </c>
      <c r="X15" s="1">
        <v>9</v>
      </c>
      <c r="Y15" s="1">
        <v>9</v>
      </c>
      <c r="Z15" s="1">
        <v>20</v>
      </c>
      <c r="AA15" s="1">
        <v>24</v>
      </c>
      <c r="AB15" s="1">
        <v>6</v>
      </c>
      <c r="AC15" s="1">
        <v>10</v>
      </c>
      <c r="AD15" s="1" t="s">
        <v>264</v>
      </c>
    </row>
    <row r="16" spans="1:30" x14ac:dyDescent="0.25">
      <c r="A16" s="1">
        <v>1610612763</v>
      </c>
      <c r="B16" s="1" t="s">
        <v>265</v>
      </c>
      <c r="C16" s="1">
        <v>4</v>
      </c>
      <c r="D16" s="1">
        <v>1</v>
      </c>
      <c r="E16" s="1">
        <v>3</v>
      </c>
      <c r="F16" s="1">
        <v>0.25</v>
      </c>
      <c r="G16" s="1">
        <v>49.3</v>
      </c>
      <c r="H16" s="1">
        <v>15.8</v>
      </c>
      <c r="I16" s="1">
        <v>16</v>
      </c>
      <c r="J16" s="1">
        <v>16.5</v>
      </c>
      <c r="K16" s="1">
        <v>52.5</v>
      </c>
      <c r="L16" s="1">
        <v>21.8</v>
      </c>
      <c r="M16" s="1">
        <v>16.5</v>
      </c>
      <c r="N16" s="1">
        <v>20.5</v>
      </c>
      <c r="O16" s="1">
        <v>53.5</v>
      </c>
      <c r="P16" s="1">
        <v>1</v>
      </c>
      <c r="Q16" s="1">
        <v>18</v>
      </c>
      <c r="R16" s="1">
        <v>23</v>
      </c>
      <c r="S16" s="1">
        <v>23</v>
      </c>
      <c r="T16" s="1">
        <v>1</v>
      </c>
      <c r="U16" s="1">
        <v>21</v>
      </c>
      <c r="V16" s="1">
        <v>5</v>
      </c>
      <c r="W16" s="1">
        <v>8</v>
      </c>
      <c r="X16" s="1">
        <v>4</v>
      </c>
      <c r="Y16" s="1">
        <v>25</v>
      </c>
      <c r="Z16" s="1">
        <v>28</v>
      </c>
      <c r="AA16" s="1">
        <v>30</v>
      </c>
      <c r="AB16" s="1">
        <v>26</v>
      </c>
      <c r="AC16" s="1">
        <v>10</v>
      </c>
      <c r="AD16" s="1" t="s">
        <v>265</v>
      </c>
    </row>
    <row r="17" spans="1:30" x14ac:dyDescent="0.25">
      <c r="A17" s="1">
        <v>1610612748</v>
      </c>
      <c r="B17" s="1" t="s">
        <v>266</v>
      </c>
      <c r="C17" s="1">
        <v>4</v>
      </c>
      <c r="D17" s="1">
        <v>3</v>
      </c>
      <c r="E17" s="1">
        <v>1</v>
      </c>
      <c r="F17" s="1">
        <v>0.75</v>
      </c>
      <c r="G17" s="1">
        <v>49.3</v>
      </c>
      <c r="H17" s="1">
        <v>18.8</v>
      </c>
      <c r="I17" s="1">
        <v>12.5</v>
      </c>
      <c r="J17" s="1">
        <v>9.5</v>
      </c>
      <c r="K17" s="1">
        <v>47</v>
      </c>
      <c r="L17" s="1">
        <v>22</v>
      </c>
      <c r="M17" s="1">
        <v>13.5</v>
      </c>
      <c r="N17" s="1">
        <v>15</v>
      </c>
      <c r="O17" s="1">
        <v>47.5</v>
      </c>
      <c r="P17" s="1">
        <v>1</v>
      </c>
      <c r="Q17" s="1">
        <v>1</v>
      </c>
      <c r="R17" s="1">
        <v>4</v>
      </c>
      <c r="S17" s="1">
        <v>4</v>
      </c>
      <c r="T17" s="1">
        <v>1</v>
      </c>
      <c r="U17" s="1">
        <v>14</v>
      </c>
      <c r="V17" s="1">
        <v>19</v>
      </c>
      <c r="W17" s="1">
        <v>26</v>
      </c>
      <c r="X17" s="1">
        <v>19</v>
      </c>
      <c r="Y17" s="1">
        <v>26</v>
      </c>
      <c r="Z17" s="1">
        <v>15</v>
      </c>
      <c r="AA17" s="1">
        <v>18</v>
      </c>
      <c r="AB17" s="1">
        <v>16</v>
      </c>
      <c r="AC17" s="1">
        <v>10</v>
      </c>
      <c r="AD17" s="1" t="s">
        <v>266</v>
      </c>
    </row>
    <row r="18" spans="1:30" x14ac:dyDescent="0.25">
      <c r="A18" s="1">
        <v>1610612749</v>
      </c>
      <c r="B18" s="1" t="s">
        <v>267</v>
      </c>
      <c r="C18" s="1">
        <v>3</v>
      </c>
      <c r="D18" s="1">
        <v>2</v>
      </c>
      <c r="E18" s="1">
        <v>1</v>
      </c>
      <c r="F18" s="1">
        <v>0.66700000000000004</v>
      </c>
      <c r="G18" s="1">
        <v>49.7</v>
      </c>
      <c r="H18" s="1">
        <v>19.7</v>
      </c>
      <c r="I18" s="1">
        <v>10.7</v>
      </c>
      <c r="J18" s="1">
        <v>22</v>
      </c>
      <c r="K18" s="1">
        <v>48.7</v>
      </c>
      <c r="L18" s="1">
        <v>15.3</v>
      </c>
      <c r="M18" s="1">
        <v>13</v>
      </c>
      <c r="N18" s="1">
        <v>16.3</v>
      </c>
      <c r="O18" s="1">
        <v>44</v>
      </c>
      <c r="P18" s="1">
        <v>19</v>
      </c>
      <c r="Q18" s="1">
        <v>11</v>
      </c>
      <c r="R18" s="1">
        <v>4</v>
      </c>
      <c r="S18" s="1">
        <v>11</v>
      </c>
      <c r="T18" s="1">
        <v>20</v>
      </c>
      <c r="U18" s="1">
        <v>13</v>
      </c>
      <c r="V18" s="1">
        <v>27</v>
      </c>
      <c r="W18" s="1">
        <v>1</v>
      </c>
      <c r="X18" s="1">
        <v>14</v>
      </c>
      <c r="Y18" s="1">
        <v>10</v>
      </c>
      <c r="Z18" s="1">
        <v>13</v>
      </c>
      <c r="AA18" s="1">
        <v>22</v>
      </c>
      <c r="AB18" s="1">
        <v>8</v>
      </c>
      <c r="AC18" s="1">
        <v>10</v>
      </c>
      <c r="AD18" s="1" t="s">
        <v>267</v>
      </c>
    </row>
    <row r="19" spans="1:30" x14ac:dyDescent="0.25">
      <c r="A19" s="1">
        <v>1610612750</v>
      </c>
      <c r="B19" s="1" t="s">
        <v>268</v>
      </c>
      <c r="C19" s="1">
        <v>3</v>
      </c>
      <c r="D19" s="1">
        <v>3</v>
      </c>
      <c r="E19" s="1">
        <v>0</v>
      </c>
      <c r="F19" s="1">
        <v>1</v>
      </c>
      <c r="G19" s="1">
        <v>49.7</v>
      </c>
      <c r="H19" s="1">
        <v>20.3</v>
      </c>
      <c r="I19" s="1">
        <v>17.3</v>
      </c>
      <c r="J19" s="1">
        <v>8.3000000000000007</v>
      </c>
      <c r="K19" s="1">
        <v>54.7</v>
      </c>
      <c r="L19" s="1">
        <v>12.3</v>
      </c>
      <c r="M19" s="1">
        <v>7.7</v>
      </c>
      <c r="N19" s="1">
        <v>12.3</v>
      </c>
      <c r="O19" s="1">
        <v>50</v>
      </c>
      <c r="P19" s="1">
        <v>19</v>
      </c>
      <c r="Q19" s="1">
        <v>1</v>
      </c>
      <c r="R19" s="1">
        <v>1</v>
      </c>
      <c r="S19" s="1">
        <v>1</v>
      </c>
      <c r="T19" s="1">
        <v>20</v>
      </c>
      <c r="U19" s="1">
        <v>9</v>
      </c>
      <c r="V19" s="1">
        <v>3</v>
      </c>
      <c r="W19" s="1">
        <v>28</v>
      </c>
      <c r="X19" s="1">
        <v>2</v>
      </c>
      <c r="Y19" s="1">
        <v>5</v>
      </c>
      <c r="Z19" s="1">
        <v>1</v>
      </c>
      <c r="AA19" s="1">
        <v>11</v>
      </c>
      <c r="AB19" s="1">
        <v>21</v>
      </c>
      <c r="AC19" s="1">
        <v>10</v>
      </c>
      <c r="AD19" s="1" t="s">
        <v>268</v>
      </c>
    </row>
    <row r="20" spans="1:30" x14ac:dyDescent="0.25">
      <c r="A20" s="1">
        <v>1610612740</v>
      </c>
      <c r="B20" s="1" t="s">
        <v>269</v>
      </c>
      <c r="C20" s="1">
        <v>4</v>
      </c>
      <c r="D20" s="1">
        <v>0</v>
      </c>
      <c r="E20" s="1">
        <v>4</v>
      </c>
      <c r="F20" s="1">
        <v>0</v>
      </c>
      <c r="G20" s="1">
        <v>49.3</v>
      </c>
      <c r="H20" s="1">
        <v>20.8</v>
      </c>
      <c r="I20" s="1">
        <v>11.8</v>
      </c>
      <c r="J20" s="1">
        <v>15</v>
      </c>
      <c r="K20" s="1">
        <v>50.5</v>
      </c>
      <c r="L20" s="1">
        <v>20.5</v>
      </c>
      <c r="M20" s="1">
        <v>20</v>
      </c>
      <c r="N20" s="1">
        <v>20</v>
      </c>
      <c r="O20" s="1">
        <v>59.5</v>
      </c>
      <c r="P20" s="1">
        <v>1</v>
      </c>
      <c r="Q20" s="1">
        <v>28</v>
      </c>
      <c r="R20" s="1">
        <v>29</v>
      </c>
      <c r="S20" s="1">
        <v>28</v>
      </c>
      <c r="T20" s="1">
        <v>1</v>
      </c>
      <c r="U20" s="1">
        <v>7</v>
      </c>
      <c r="V20" s="1">
        <v>23</v>
      </c>
      <c r="W20" s="1">
        <v>14</v>
      </c>
      <c r="X20" s="1">
        <v>8</v>
      </c>
      <c r="Y20" s="1">
        <v>22</v>
      </c>
      <c r="Z20" s="1">
        <v>30</v>
      </c>
      <c r="AA20" s="1">
        <v>28</v>
      </c>
      <c r="AB20" s="1">
        <v>29</v>
      </c>
      <c r="AC20" s="1">
        <v>10</v>
      </c>
      <c r="AD20" s="1" t="s">
        <v>269</v>
      </c>
    </row>
    <row r="21" spans="1:30" x14ac:dyDescent="0.25">
      <c r="A21" s="1">
        <v>1610612752</v>
      </c>
      <c r="B21" s="1" t="s">
        <v>270</v>
      </c>
      <c r="C21" s="1">
        <v>4</v>
      </c>
      <c r="D21" s="1">
        <v>1</v>
      </c>
      <c r="E21" s="1">
        <v>3</v>
      </c>
      <c r="F21" s="1">
        <v>0.25</v>
      </c>
      <c r="G21" s="1">
        <v>48</v>
      </c>
      <c r="H21" s="1">
        <v>21</v>
      </c>
      <c r="I21" s="1">
        <v>17.5</v>
      </c>
      <c r="J21" s="1">
        <v>13</v>
      </c>
      <c r="K21" s="1">
        <v>45</v>
      </c>
      <c r="L21" s="1">
        <v>25.3</v>
      </c>
      <c r="M21" s="1">
        <v>13.5</v>
      </c>
      <c r="N21" s="1">
        <v>20</v>
      </c>
      <c r="O21" s="1">
        <v>46</v>
      </c>
      <c r="P21" s="1">
        <v>1</v>
      </c>
      <c r="Q21" s="1">
        <v>18</v>
      </c>
      <c r="R21" s="1">
        <v>23</v>
      </c>
      <c r="S21" s="1">
        <v>23</v>
      </c>
      <c r="T21" s="1">
        <v>7</v>
      </c>
      <c r="U21" s="1">
        <v>5</v>
      </c>
      <c r="V21" s="1">
        <v>2</v>
      </c>
      <c r="W21" s="1">
        <v>18</v>
      </c>
      <c r="X21" s="1">
        <v>22</v>
      </c>
      <c r="Y21" s="1">
        <v>30</v>
      </c>
      <c r="Z21" s="1">
        <v>15</v>
      </c>
      <c r="AA21" s="1">
        <v>28</v>
      </c>
      <c r="AB21" s="1">
        <v>11</v>
      </c>
      <c r="AC21" s="1">
        <v>10</v>
      </c>
      <c r="AD21" s="1" t="s">
        <v>270</v>
      </c>
    </row>
    <row r="22" spans="1:30" x14ac:dyDescent="0.25">
      <c r="A22" s="1">
        <v>1610612760</v>
      </c>
      <c r="B22" s="1" t="s">
        <v>271</v>
      </c>
      <c r="C22" s="1">
        <v>4</v>
      </c>
      <c r="D22" s="1">
        <v>1</v>
      </c>
      <c r="E22" s="1">
        <v>3</v>
      </c>
      <c r="F22" s="1">
        <v>0.25</v>
      </c>
      <c r="G22" s="1">
        <v>48</v>
      </c>
      <c r="H22" s="1">
        <v>14.5</v>
      </c>
      <c r="I22" s="1">
        <v>11.5</v>
      </c>
      <c r="J22" s="1">
        <v>11</v>
      </c>
      <c r="K22" s="1">
        <v>44</v>
      </c>
      <c r="L22" s="1">
        <v>16.5</v>
      </c>
      <c r="M22" s="1">
        <v>11.3</v>
      </c>
      <c r="N22" s="1">
        <v>10.3</v>
      </c>
      <c r="O22" s="1">
        <v>50</v>
      </c>
      <c r="P22" s="1">
        <v>1</v>
      </c>
      <c r="Q22" s="1">
        <v>18</v>
      </c>
      <c r="R22" s="1">
        <v>23</v>
      </c>
      <c r="S22" s="1">
        <v>23</v>
      </c>
      <c r="T22" s="1">
        <v>7</v>
      </c>
      <c r="U22" s="1">
        <v>27</v>
      </c>
      <c r="V22" s="1">
        <v>24</v>
      </c>
      <c r="W22" s="1">
        <v>22</v>
      </c>
      <c r="X22" s="1">
        <v>23</v>
      </c>
      <c r="Y22" s="1">
        <v>12</v>
      </c>
      <c r="Z22" s="1">
        <v>8</v>
      </c>
      <c r="AA22" s="1">
        <v>6</v>
      </c>
      <c r="AB22" s="1">
        <v>21</v>
      </c>
      <c r="AC22" s="1">
        <v>10</v>
      </c>
      <c r="AD22" s="1" t="s">
        <v>271</v>
      </c>
    </row>
    <row r="23" spans="1:30" x14ac:dyDescent="0.25">
      <c r="A23" s="1">
        <v>1610612753</v>
      </c>
      <c r="B23" s="1" t="s">
        <v>272</v>
      </c>
      <c r="C23" s="1">
        <v>3</v>
      </c>
      <c r="D23" s="1">
        <v>1</v>
      </c>
      <c r="E23" s="1">
        <v>2</v>
      </c>
      <c r="F23" s="1">
        <v>0.33300000000000002</v>
      </c>
      <c r="G23" s="1">
        <v>48</v>
      </c>
      <c r="H23" s="1">
        <v>16</v>
      </c>
      <c r="I23" s="1">
        <v>14</v>
      </c>
      <c r="J23" s="1">
        <v>11.3</v>
      </c>
      <c r="K23" s="1">
        <v>45.3</v>
      </c>
      <c r="L23" s="1">
        <v>11.3</v>
      </c>
      <c r="M23" s="1">
        <v>8</v>
      </c>
      <c r="N23" s="1">
        <v>15</v>
      </c>
      <c r="O23" s="1">
        <v>46</v>
      </c>
      <c r="P23" s="1">
        <v>19</v>
      </c>
      <c r="Q23" s="1">
        <v>18</v>
      </c>
      <c r="R23" s="1">
        <v>14</v>
      </c>
      <c r="S23" s="1">
        <v>18</v>
      </c>
      <c r="T23" s="1">
        <v>22</v>
      </c>
      <c r="U23" s="1">
        <v>19</v>
      </c>
      <c r="V23" s="1">
        <v>13</v>
      </c>
      <c r="W23" s="1">
        <v>21</v>
      </c>
      <c r="X23" s="1">
        <v>20</v>
      </c>
      <c r="Y23" s="1">
        <v>1</v>
      </c>
      <c r="Z23" s="1">
        <v>2</v>
      </c>
      <c r="AA23" s="1">
        <v>18</v>
      </c>
      <c r="AB23" s="1">
        <v>11</v>
      </c>
      <c r="AC23" s="1">
        <v>10</v>
      </c>
      <c r="AD23" s="1" t="s">
        <v>272</v>
      </c>
    </row>
    <row r="24" spans="1:30" x14ac:dyDescent="0.25">
      <c r="A24" s="1">
        <v>1610612755</v>
      </c>
      <c r="B24" s="1" t="s">
        <v>273</v>
      </c>
      <c r="C24" s="1">
        <v>3</v>
      </c>
      <c r="D24" s="1">
        <v>3</v>
      </c>
      <c r="E24" s="1">
        <v>0</v>
      </c>
      <c r="F24" s="1">
        <v>1</v>
      </c>
      <c r="G24" s="1">
        <v>48</v>
      </c>
      <c r="H24" s="1">
        <v>22</v>
      </c>
      <c r="I24" s="1">
        <v>12.3</v>
      </c>
      <c r="J24" s="1">
        <v>9.6999999999999993</v>
      </c>
      <c r="K24" s="1">
        <v>51.3</v>
      </c>
      <c r="L24" s="1">
        <v>20</v>
      </c>
      <c r="M24" s="1">
        <v>12</v>
      </c>
      <c r="N24" s="1">
        <v>6.7</v>
      </c>
      <c r="O24" s="1">
        <v>46.7</v>
      </c>
      <c r="P24" s="1">
        <v>19</v>
      </c>
      <c r="Q24" s="1">
        <v>1</v>
      </c>
      <c r="R24" s="1">
        <v>1</v>
      </c>
      <c r="S24" s="1">
        <v>1</v>
      </c>
      <c r="T24" s="1">
        <v>22</v>
      </c>
      <c r="U24" s="1">
        <v>4</v>
      </c>
      <c r="V24" s="1">
        <v>21</v>
      </c>
      <c r="W24" s="1">
        <v>25</v>
      </c>
      <c r="X24" s="1">
        <v>6</v>
      </c>
      <c r="Y24" s="1">
        <v>18</v>
      </c>
      <c r="Z24" s="1">
        <v>11</v>
      </c>
      <c r="AA24" s="1">
        <v>2</v>
      </c>
      <c r="AB24" s="1">
        <v>14</v>
      </c>
      <c r="AC24" s="1">
        <v>10</v>
      </c>
      <c r="AD24" s="1" t="s">
        <v>273</v>
      </c>
    </row>
    <row r="25" spans="1:30" x14ac:dyDescent="0.25">
      <c r="A25" s="1">
        <v>1610612756</v>
      </c>
      <c r="B25" s="1" t="s">
        <v>274</v>
      </c>
      <c r="C25" s="1">
        <v>4</v>
      </c>
      <c r="D25" s="1">
        <v>2</v>
      </c>
      <c r="E25" s="1">
        <v>2</v>
      </c>
      <c r="F25" s="1">
        <v>0.5</v>
      </c>
      <c r="G25" s="1">
        <v>49.3</v>
      </c>
      <c r="H25" s="1">
        <v>20.5</v>
      </c>
      <c r="I25" s="1">
        <v>10</v>
      </c>
      <c r="J25" s="1">
        <v>16</v>
      </c>
      <c r="K25" s="1">
        <v>49.5</v>
      </c>
      <c r="L25" s="1">
        <v>16.8</v>
      </c>
      <c r="M25" s="1">
        <v>11.5</v>
      </c>
      <c r="N25" s="1">
        <v>14.3</v>
      </c>
      <c r="O25" s="1">
        <v>39.5</v>
      </c>
      <c r="P25" s="1">
        <v>1</v>
      </c>
      <c r="Q25" s="1">
        <v>11</v>
      </c>
      <c r="R25" s="1">
        <v>14</v>
      </c>
      <c r="S25" s="1">
        <v>14</v>
      </c>
      <c r="T25" s="1">
        <v>1</v>
      </c>
      <c r="U25" s="1">
        <v>8</v>
      </c>
      <c r="V25" s="1">
        <v>28</v>
      </c>
      <c r="W25" s="1">
        <v>10</v>
      </c>
      <c r="X25" s="1">
        <v>12</v>
      </c>
      <c r="Y25" s="1">
        <v>13</v>
      </c>
      <c r="Z25" s="1">
        <v>9</v>
      </c>
      <c r="AA25" s="1">
        <v>17</v>
      </c>
      <c r="AB25" s="1">
        <v>3</v>
      </c>
      <c r="AC25" s="1">
        <v>10</v>
      </c>
      <c r="AD25" s="1" t="s">
        <v>274</v>
      </c>
    </row>
    <row r="26" spans="1:30" x14ac:dyDescent="0.25">
      <c r="A26" s="1">
        <v>1610612757</v>
      </c>
      <c r="B26" s="1" t="s">
        <v>275</v>
      </c>
      <c r="C26" s="1">
        <v>4</v>
      </c>
      <c r="D26" s="1">
        <v>2</v>
      </c>
      <c r="E26" s="1">
        <v>2</v>
      </c>
      <c r="F26" s="1">
        <v>0.5</v>
      </c>
      <c r="G26" s="1">
        <v>48</v>
      </c>
      <c r="H26" s="1">
        <v>18.5</v>
      </c>
      <c r="I26" s="1">
        <v>14.8</v>
      </c>
      <c r="J26" s="1">
        <v>14.5</v>
      </c>
      <c r="K26" s="1">
        <v>48.5</v>
      </c>
      <c r="L26" s="1">
        <v>17.5</v>
      </c>
      <c r="M26" s="1">
        <v>14.3</v>
      </c>
      <c r="N26" s="1">
        <v>12.5</v>
      </c>
      <c r="O26" s="1">
        <v>37</v>
      </c>
      <c r="P26" s="1">
        <v>1</v>
      </c>
      <c r="Q26" s="1">
        <v>11</v>
      </c>
      <c r="R26" s="1">
        <v>14</v>
      </c>
      <c r="S26" s="1">
        <v>14</v>
      </c>
      <c r="T26" s="1">
        <v>7</v>
      </c>
      <c r="U26" s="1">
        <v>15</v>
      </c>
      <c r="V26" s="1">
        <v>11</v>
      </c>
      <c r="W26" s="1">
        <v>15</v>
      </c>
      <c r="X26" s="1">
        <v>16</v>
      </c>
      <c r="Y26" s="1">
        <v>14</v>
      </c>
      <c r="Z26" s="1">
        <v>20</v>
      </c>
      <c r="AA26" s="1">
        <v>12</v>
      </c>
      <c r="AB26" s="1">
        <v>2</v>
      </c>
      <c r="AC26" s="1">
        <v>10</v>
      </c>
      <c r="AD26" s="1" t="s">
        <v>275</v>
      </c>
    </row>
    <row r="27" spans="1:30" x14ac:dyDescent="0.25">
      <c r="A27" s="1">
        <v>1610612758</v>
      </c>
      <c r="B27" s="1" t="s">
        <v>276</v>
      </c>
      <c r="C27" s="1">
        <v>4</v>
      </c>
      <c r="D27" s="1">
        <v>0</v>
      </c>
      <c r="E27" s="1">
        <v>4</v>
      </c>
      <c r="F27" s="1">
        <v>0</v>
      </c>
      <c r="G27" s="1">
        <v>48</v>
      </c>
      <c r="H27" s="1">
        <v>13.5</v>
      </c>
      <c r="I27" s="1">
        <v>12.5</v>
      </c>
      <c r="J27" s="1">
        <v>10.8</v>
      </c>
      <c r="K27" s="1">
        <v>36.5</v>
      </c>
      <c r="L27" s="1">
        <v>23</v>
      </c>
      <c r="M27" s="1">
        <v>14.3</v>
      </c>
      <c r="N27" s="1">
        <v>11.8</v>
      </c>
      <c r="O27" s="1">
        <v>51</v>
      </c>
      <c r="P27" s="1">
        <v>1</v>
      </c>
      <c r="Q27" s="1">
        <v>28</v>
      </c>
      <c r="R27" s="1">
        <v>29</v>
      </c>
      <c r="S27" s="1">
        <v>28</v>
      </c>
      <c r="T27" s="1">
        <v>7</v>
      </c>
      <c r="U27" s="1">
        <v>29</v>
      </c>
      <c r="V27" s="1">
        <v>19</v>
      </c>
      <c r="W27" s="1">
        <v>23</v>
      </c>
      <c r="X27" s="1">
        <v>30</v>
      </c>
      <c r="Y27" s="1">
        <v>28</v>
      </c>
      <c r="Z27" s="1">
        <v>20</v>
      </c>
      <c r="AA27" s="1">
        <v>9</v>
      </c>
      <c r="AB27" s="1">
        <v>24</v>
      </c>
      <c r="AC27" s="1">
        <v>10</v>
      </c>
      <c r="AD27" s="1" t="s">
        <v>276</v>
      </c>
    </row>
    <row r="28" spans="1:30" x14ac:dyDescent="0.25">
      <c r="A28" s="1">
        <v>1610612759</v>
      </c>
      <c r="B28" s="1" t="s">
        <v>277</v>
      </c>
      <c r="C28" s="1">
        <v>3</v>
      </c>
      <c r="D28" s="1">
        <v>3</v>
      </c>
      <c r="E28" s="1">
        <v>0</v>
      </c>
      <c r="F28" s="1">
        <v>1</v>
      </c>
      <c r="G28" s="1">
        <v>48</v>
      </c>
      <c r="H28" s="1">
        <v>15</v>
      </c>
      <c r="I28" s="1">
        <v>15.7</v>
      </c>
      <c r="J28" s="1">
        <v>21.7</v>
      </c>
      <c r="K28" s="1">
        <v>56.7</v>
      </c>
      <c r="L28" s="1">
        <v>21</v>
      </c>
      <c r="M28" s="1">
        <v>11.7</v>
      </c>
      <c r="N28" s="1">
        <v>19.7</v>
      </c>
      <c r="O28" s="1">
        <v>50</v>
      </c>
      <c r="P28" s="1">
        <v>19</v>
      </c>
      <c r="Q28" s="1">
        <v>1</v>
      </c>
      <c r="R28" s="1">
        <v>1</v>
      </c>
      <c r="S28" s="1">
        <v>1</v>
      </c>
      <c r="T28" s="1">
        <v>22</v>
      </c>
      <c r="U28" s="1">
        <v>26</v>
      </c>
      <c r="V28" s="1">
        <v>7</v>
      </c>
      <c r="W28" s="1">
        <v>2</v>
      </c>
      <c r="X28" s="1">
        <v>1</v>
      </c>
      <c r="Y28" s="1">
        <v>23</v>
      </c>
      <c r="Z28" s="1">
        <v>10</v>
      </c>
      <c r="AA28" s="1">
        <v>27</v>
      </c>
      <c r="AB28" s="1">
        <v>21</v>
      </c>
      <c r="AC28" s="1">
        <v>10</v>
      </c>
      <c r="AD28" s="1" t="s">
        <v>277</v>
      </c>
    </row>
    <row r="29" spans="1:30" x14ac:dyDescent="0.25">
      <c r="A29" s="1">
        <v>1610612761</v>
      </c>
      <c r="B29" s="1" t="s">
        <v>278</v>
      </c>
      <c r="C29" s="1">
        <v>4</v>
      </c>
      <c r="D29" s="1">
        <v>3</v>
      </c>
      <c r="E29" s="1">
        <v>1</v>
      </c>
      <c r="F29" s="1">
        <v>0.75</v>
      </c>
      <c r="G29" s="1">
        <v>49.3</v>
      </c>
      <c r="H29" s="1">
        <v>15.3</v>
      </c>
      <c r="I29" s="1">
        <v>7.8</v>
      </c>
      <c r="J29" s="1">
        <v>19.3</v>
      </c>
      <c r="K29" s="1">
        <v>41.5</v>
      </c>
      <c r="L29" s="1">
        <v>21</v>
      </c>
      <c r="M29" s="1">
        <v>14</v>
      </c>
      <c r="N29" s="1">
        <v>10.8</v>
      </c>
      <c r="O29" s="1">
        <v>41.5</v>
      </c>
      <c r="P29" s="1">
        <v>1</v>
      </c>
      <c r="Q29" s="1">
        <v>1</v>
      </c>
      <c r="R29" s="1">
        <v>4</v>
      </c>
      <c r="S29" s="1">
        <v>4</v>
      </c>
      <c r="T29" s="1">
        <v>1</v>
      </c>
      <c r="U29" s="1">
        <v>24</v>
      </c>
      <c r="V29" s="1">
        <v>29</v>
      </c>
      <c r="W29" s="1">
        <v>4</v>
      </c>
      <c r="X29" s="1">
        <v>28</v>
      </c>
      <c r="Y29" s="1">
        <v>23</v>
      </c>
      <c r="Z29" s="1">
        <v>18</v>
      </c>
      <c r="AA29" s="1">
        <v>7</v>
      </c>
      <c r="AB29" s="1">
        <v>4</v>
      </c>
      <c r="AC29" s="1">
        <v>10</v>
      </c>
      <c r="AD29" s="1" t="s">
        <v>278</v>
      </c>
    </row>
    <row r="30" spans="1:30" x14ac:dyDescent="0.25">
      <c r="A30" s="1">
        <v>1610612762</v>
      </c>
      <c r="B30" s="1" t="s">
        <v>279</v>
      </c>
      <c r="C30" s="1">
        <v>4</v>
      </c>
      <c r="D30" s="1">
        <v>3</v>
      </c>
      <c r="E30" s="1">
        <v>1</v>
      </c>
      <c r="F30" s="1">
        <v>0.75</v>
      </c>
      <c r="G30" s="1">
        <v>48</v>
      </c>
      <c r="H30" s="1">
        <v>15.5</v>
      </c>
      <c r="I30" s="1">
        <v>7</v>
      </c>
      <c r="J30" s="1">
        <v>15.3</v>
      </c>
      <c r="K30" s="1">
        <v>43.5</v>
      </c>
      <c r="L30" s="1">
        <v>15.8</v>
      </c>
      <c r="M30" s="1">
        <v>8.5</v>
      </c>
      <c r="N30" s="1">
        <v>8.8000000000000007</v>
      </c>
      <c r="O30" s="1">
        <v>36</v>
      </c>
      <c r="P30" s="1">
        <v>1</v>
      </c>
      <c r="Q30" s="1">
        <v>1</v>
      </c>
      <c r="R30" s="1">
        <v>4</v>
      </c>
      <c r="S30" s="1">
        <v>4</v>
      </c>
      <c r="T30" s="1">
        <v>7</v>
      </c>
      <c r="U30" s="1">
        <v>22</v>
      </c>
      <c r="V30" s="1">
        <v>30</v>
      </c>
      <c r="W30" s="1">
        <v>11</v>
      </c>
      <c r="X30" s="1">
        <v>26</v>
      </c>
      <c r="Y30" s="1">
        <v>11</v>
      </c>
      <c r="Z30" s="1">
        <v>3</v>
      </c>
      <c r="AA30" s="1">
        <v>4</v>
      </c>
      <c r="AB30" s="1">
        <v>1</v>
      </c>
      <c r="AC30" s="1">
        <v>10</v>
      </c>
      <c r="AD30" s="1" t="s">
        <v>279</v>
      </c>
    </row>
    <row r="31" spans="1:30" x14ac:dyDescent="0.25">
      <c r="A31" s="1">
        <v>1610612764</v>
      </c>
      <c r="B31" s="1" t="s">
        <v>280</v>
      </c>
      <c r="C31" s="1">
        <v>3</v>
      </c>
      <c r="D31" s="1">
        <v>1</v>
      </c>
      <c r="E31" s="1">
        <v>2</v>
      </c>
      <c r="F31" s="1">
        <v>0.33300000000000002</v>
      </c>
      <c r="G31" s="1">
        <v>48</v>
      </c>
      <c r="H31" s="1">
        <v>16.3</v>
      </c>
      <c r="I31" s="1">
        <v>15.3</v>
      </c>
      <c r="J31" s="1">
        <v>14</v>
      </c>
      <c r="K31" s="1">
        <v>45.3</v>
      </c>
      <c r="L31" s="1">
        <v>14</v>
      </c>
      <c r="M31" s="1">
        <v>11</v>
      </c>
      <c r="N31" s="1">
        <v>11.3</v>
      </c>
      <c r="O31" s="1">
        <v>46.7</v>
      </c>
      <c r="P31" s="1">
        <v>19</v>
      </c>
      <c r="Q31" s="1">
        <v>18</v>
      </c>
      <c r="R31" s="1">
        <v>14</v>
      </c>
      <c r="S31" s="1">
        <v>18</v>
      </c>
      <c r="T31" s="1">
        <v>22</v>
      </c>
      <c r="U31" s="1">
        <v>18</v>
      </c>
      <c r="V31" s="1">
        <v>8</v>
      </c>
      <c r="W31" s="1">
        <v>17</v>
      </c>
      <c r="X31" s="1">
        <v>20</v>
      </c>
      <c r="Y31" s="1">
        <v>6</v>
      </c>
      <c r="Z31" s="1">
        <v>6</v>
      </c>
      <c r="AA31" s="1">
        <v>8</v>
      </c>
      <c r="AB31" s="1">
        <v>14</v>
      </c>
      <c r="AC31" s="1">
        <v>10</v>
      </c>
      <c r="AD31" s="1" t="s">
        <v>280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A0644-2E69-405F-8132-2E05E02C6D56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203</v>
      </c>
      <c r="B1" s="1" t="s">
        <v>204</v>
      </c>
      <c r="C1" s="1" t="s">
        <v>205</v>
      </c>
      <c r="D1" s="1" t="s">
        <v>206</v>
      </c>
      <c r="E1" s="1" t="s">
        <v>207</v>
      </c>
      <c r="F1" s="1" t="s">
        <v>208</v>
      </c>
      <c r="G1" s="1" t="s">
        <v>209</v>
      </c>
      <c r="H1" s="1" t="s">
        <v>996</v>
      </c>
      <c r="I1" s="1" t="s">
        <v>997</v>
      </c>
      <c r="J1" s="1" t="s">
        <v>998</v>
      </c>
      <c r="K1" s="1" t="s">
        <v>999</v>
      </c>
      <c r="L1" s="1" t="s">
        <v>1000</v>
      </c>
      <c r="M1" s="1" t="s">
        <v>1001</v>
      </c>
      <c r="N1" s="1" t="s">
        <v>1002</v>
      </c>
      <c r="O1" s="1" t="s">
        <v>1003</v>
      </c>
      <c r="P1" s="1" t="s">
        <v>230</v>
      </c>
      <c r="Q1" s="1" t="s">
        <v>231</v>
      </c>
      <c r="R1" s="1" t="s">
        <v>232</v>
      </c>
      <c r="S1" s="1" t="s">
        <v>233</v>
      </c>
      <c r="T1" s="1" t="s">
        <v>234</v>
      </c>
      <c r="U1" s="1" t="s">
        <v>1004</v>
      </c>
      <c r="V1" s="1" t="s">
        <v>1005</v>
      </c>
      <c r="W1" s="1" t="s">
        <v>1006</v>
      </c>
      <c r="X1" s="1" t="s">
        <v>1007</v>
      </c>
      <c r="Y1" s="1" t="s">
        <v>1008</v>
      </c>
      <c r="Z1" s="1" t="s">
        <v>1009</v>
      </c>
      <c r="AA1" s="1" t="s">
        <v>1010</v>
      </c>
      <c r="AB1" s="1" t="s">
        <v>1011</v>
      </c>
      <c r="AC1" s="1" t="s">
        <v>249</v>
      </c>
      <c r="AD1" s="1" t="s">
        <v>250</v>
      </c>
    </row>
    <row r="2" spans="1:30" x14ac:dyDescent="0.25">
      <c r="A2" s="1">
        <v>1610612737</v>
      </c>
      <c r="B2" s="1" t="s">
        <v>251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251</v>
      </c>
    </row>
    <row r="3" spans="1:30" x14ac:dyDescent="0.25">
      <c r="A3" s="1">
        <v>1610612738</v>
      </c>
      <c r="B3" s="1" t="s">
        <v>252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252</v>
      </c>
    </row>
    <row r="4" spans="1:30" x14ac:dyDescent="0.25">
      <c r="A4" s="1">
        <v>1610612751</v>
      </c>
      <c r="B4" s="1" t="s">
        <v>253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253</v>
      </c>
    </row>
    <row r="5" spans="1:30" x14ac:dyDescent="0.25">
      <c r="A5" s="1">
        <v>1610612766</v>
      </c>
      <c r="B5" s="1" t="s">
        <v>254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254</v>
      </c>
    </row>
    <row r="6" spans="1:30" x14ac:dyDescent="0.25">
      <c r="A6" s="1">
        <v>1610612741</v>
      </c>
      <c r="B6" s="1" t="s">
        <v>255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255</v>
      </c>
    </row>
    <row r="7" spans="1:30" x14ac:dyDescent="0.25">
      <c r="A7" s="1">
        <v>1610612739</v>
      </c>
      <c r="B7" s="1" t="s">
        <v>256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256</v>
      </c>
    </row>
    <row r="8" spans="1:30" x14ac:dyDescent="0.25">
      <c r="A8" s="1">
        <v>1610612742</v>
      </c>
      <c r="B8" s="1" t="s">
        <v>257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257</v>
      </c>
    </row>
    <row r="9" spans="1:30" x14ac:dyDescent="0.25">
      <c r="A9" s="1">
        <v>1610612743</v>
      </c>
      <c r="B9" s="1" t="s">
        <v>258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258</v>
      </c>
    </row>
    <row r="10" spans="1:30" x14ac:dyDescent="0.25">
      <c r="A10" s="1">
        <v>1610612765</v>
      </c>
      <c r="B10" s="1" t="s">
        <v>259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259</v>
      </c>
    </row>
    <row r="11" spans="1:30" x14ac:dyDescent="0.25">
      <c r="A11" s="1">
        <v>1610612744</v>
      </c>
      <c r="B11" s="1" t="s">
        <v>260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260</v>
      </c>
    </row>
    <row r="12" spans="1:30" x14ac:dyDescent="0.25">
      <c r="A12" s="1">
        <v>1610612745</v>
      </c>
      <c r="B12" s="1" t="s">
        <v>261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261</v>
      </c>
    </row>
    <row r="13" spans="1:30" x14ac:dyDescent="0.25">
      <c r="A13" s="1">
        <v>1610612754</v>
      </c>
      <c r="B13" s="1" t="s">
        <v>262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262</v>
      </c>
    </row>
    <row r="14" spans="1:30" x14ac:dyDescent="0.25">
      <c r="A14" s="1">
        <v>1610612746</v>
      </c>
      <c r="B14" s="1" t="s">
        <v>263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263</v>
      </c>
    </row>
    <row r="15" spans="1:30" x14ac:dyDescent="0.25">
      <c r="A15" s="1">
        <v>1610612747</v>
      </c>
      <c r="B15" s="1" t="s">
        <v>264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264</v>
      </c>
    </row>
    <row r="16" spans="1:30" x14ac:dyDescent="0.25">
      <c r="A16" s="1">
        <v>1610612763</v>
      </c>
      <c r="B16" s="1" t="s">
        <v>265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265</v>
      </c>
    </row>
    <row r="17" spans="1:30" x14ac:dyDescent="0.25">
      <c r="A17" s="1">
        <v>1610612748</v>
      </c>
      <c r="B17" s="1" t="s">
        <v>266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266</v>
      </c>
    </row>
    <row r="18" spans="1:30" x14ac:dyDescent="0.25">
      <c r="A18" s="1">
        <v>1610612749</v>
      </c>
      <c r="B18" s="1" t="s">
        <v>267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267</v>
      </c>
    </row>
    <row r="19" spans="1:30" x14ac:dyDescent="0.25">
      <c r="A19" s="1">
        <v>1610612750</v>
      </c>
      <c r="B19" s="1" t="s">
        <v>268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268</v>
      </c>
    </row>
    <row r="20" spans="1:30" x14ac:dyDescent="0.25">
      <c r="A20" s="1">
        <v>1610612740</v>
      </c>
      <c r="B20" s="1" t="s">
        <v>269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269</v>
      </c>
    </row>
    <row r="21" spans="1:30" x14ac:dyDescent="0.25">
      <c r="A21" s="1">
        <v>1610612752</v>
      </c>
      <c r="B21" s="1" t="s">
        <v>270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270</v>
      </c>
    </row>
    <row r="22" spans="1:30" x14ac:dyDescent="0.25">
      <c r="A22" s="1">
        <v>1610612760</v>
      </c>
      <c r="B22" s="1" t="s">
        <v>271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271</v>
      </c>
    </row>
    <row r="23" spans="1:30" x14ac:dyDescent="0.25">
      <c r="A23" s="1">
        <v>1610612753</v>
      </c>
      <c r="B23" s="1" t="s">
        <v>272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272</v>
      </c>
    </row>
    <row r="24" spans="1:30" x14ac:dyDescent="0.25">
      <c r="A24" s="1">
        <v>1610612755</v>
      </c>
      <c r="B24" s="1" t="s">
        <v>273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273</v>
      </c>
    </row>
    <row r="25" spans="1:30" x14ac:dyDescent="0.25">
      <c r="A25" s="1">
        <v>1610612756</v>
      </c>
      <c r="B25" s="1" t="s">
        <v>274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274</v>
      </c>
    </row>
    <row r="26" spans="1:30" x14ac:dyDescent="0.25">
      <c r="A26" s="1">
        <v>1610612757</v>
      </c>
      <c r="B26" s="1" t="s">
        <v>275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275</v>
      </c>
    </row>
    <row r="27" spans="1:30" x14ac:dyDescent="0.25">
      <c r="A27" s="1">
        <v>1610612758</v>
      </c>
      <c r="B27" s="1" t="s">
        <v>276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276</v>
      </c>
    </row>
    <row r="28" spans="1:30" x14ac:dyDescent="0.25">
      <c r="A28" s="1">
        <v>1610612759</v>
      </c>
      <c r="B28" s="1" t="s">
        <v>277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277</v>
      </c>
    </row>
    <row r="29" spans="1:30" x14ac:dyDescent="0.25">
      <c r="A29" s="1">
        <v>1610612761</v>
      </c>
      <c r="B29" s="1" t="s">
        <v>278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278</v>
      </c>
    </row>
    <row r="30" spans="1:30" x14ac:dyDescent="0.25">
      <c r="A30" s="1">
        <v>1610612762</v>
      </c>
      <c r="B30" s="1" t="s">
        <v>279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279</v>
      </c>
    </row>
    <row r="31" spans="1:30" x14ac:dyDescent="0.25">
      <c r="A31" s="1">
        <v>1610612764</v>
      </c>
      <c r="B31" s="1" t="s">
        <v>280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280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59</vt:i4>
      </vt:variant>
    </vt:vector>
  </HeadingPairs>
  <TitlesOfParts>
    <vt:vector size="68" baseType="lpstr">
      <vt:lpstr>Controller</vt:lpstr>
      <vt:lpstr>View</vt:lpstr>
      <vt:lpstr>DataStandingsN</vt:lpstr>
      <vt:lpstr>DataAdvancedN1</vt:lpstr>
      <vt:lpstr>DataAdvancedN</vt:lpstr>
      <vt:lpstr>DataStandingsN1</vt:lpstr>
      <vt:lpstr>DataRoster</vt:lpstr>
      <vt:lpstr>DataMiscN</vt:lpstr>
      <vt:lpstr>DataMiscN1</vt:lpstr>
      <vt:lpstr>AdvAstPctN</vt:lpstr>
      <vt:lpstr>AdvAstPctN1</vt:lpstr>
      <vt:lpstr>AdvAstPctRankN</vt:lpstr>
      <vt:lpstr>AdvAstPctRankN1</vt:lpstr>
      <vt:lpstr>AdvDefRatingN</vt:lpstr>
      <vt:lpstr>AdvDefRatingN1</vt:lpstr>
      <vt:lpstr>AdvDefRatingRankN</vt:lpstr>
      <vt:lpstr>AdvDefRatingRankN1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2019-10-30T14:45:01Z</dcterms:modified>
</cp:coreProperties>
</file>